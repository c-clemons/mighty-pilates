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0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50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 t="n">
        <v>147113.46</v>
      </c>
      <c r="Q10" s="19" t="n">
        <v>146344.65</v>
      </c>
      <c r="R10" s="19" t="n">
        <v>147382.66</v>
      </c>
      <c r="S10" s="19" t="n">
        <v>148059.43</v>
      </c>
      <c r="T10" s="31" t="n">
        <v>147112.25</v>
      </c>
      <c r="U10" s="31">
        <f>'P&amp;L'!U19</f>
        <v/>
      </c>
      <c r="V10" s="31">
        <f>'P&amp;L'!V19</f>
        <v/>
      </c>
      <c r="W10" s="31">
        <f>'P&amp;L'!W19</f>
        <v/>
      </c>
      <c r="X10" s="31">
        <f>'P&amp;L'!X19</f>
        <v/>
      </c>
      <c r="Y10" s="31">
        <f>'P&amp;L'!Y19</f>
        <v/>
      </c>
      <c r="Z10" s="31">
        <f>'P&amp;L'!Z19</f>
        <v/>
      </c>
      <c r="AA10" s="31">
        <f>'P&amp;L'!AA19</f>
        <v/>
      </c>
      <c r="AB10" s="31">
        <f>'P&amp;L'!AB19</f>
        <v/>
      </c>
      <c r="AC10" s="31">
        <f>'P&amp;L'!AC19</f>
        <v/>
      </c>
      <c r="AD10" s="31">
        <f>'P&amp;L'!AD19</f>
        <v/>
      </c>
      <c r="AE10" s="31">
        <f>'P&amp;L'!AE19</f>
        <v/>
      </c>
      <c r="AF10" s="31">
        <f>'P&amp;L'!AF19</f>
        <v/>
      </c>
      <c r="AG10" s="31">
        <f>'P&amp;L'!AG19</f>
        <v/>
      </c>
      <c r="AH10" s="31">
        <f>'P&amp;L'!AH19</f>
        <v/>
      </c>
      <c r="AI10" s="31">
        <f>'P&amp;L'!AI19</f>
        <v/>
      </c>
      <c r="AJ10" s="31">
        <f>'P&amp;L'!AJ19</f>
        <v/>
      </c>
      <c r="AK10" s="31">
        <f>'P&amp;L'!AK19</f>
        <v/>
      </c>
      <c r="AL10" s="31">
        <f>'P&amp;L'!AL19</f>
        <v/>
      </c>
      <c r="AM10" s="31">
        <f>'P&amp;L'!AM19</f>
        <v/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 t="n">
        <v>681232.98</v>
      </c>
      <c r="Q11" s="19" t="n">
        <v>590412.0599999999</v>
      </c>
      <c r="R11" s="19" t="n">
        <v>628953.8100000001</v>
      </c>
      <c r="S11" s="19" t="n">
        <v>576480.9800000001</v>
      </c>
      <c r="T11" s="31" t="n">
        <v>598615.6099999999</v>
      </c>
      <c r="U11" s="31">
        <f>'P&amp;L'!U15</f>
        <v/>
      </c>
      <c r="V11" s="31">
        <f>'P&amp;L'!V15</f>
        <v/>
      </c>
      <c r="W11" s="31">
        <f>'P&amp;L'!W15</f>
        <v/>
      </c>
      <c r="X11" s="31">
        <f>'P&amp;L'!X15</f>
        <v/>
      </c>
      <c r="Y11" s="31">
        <f>'P&amp;L'!Y15</f>
        <v/>
      </c>
      <c r="Z11" s="31">
        <f>'P&amp;L'!Z15</f>
        <v/>
      </c>
      <c r="AA11" s="31">
        <f>'P&amp;L'!AA15</f>
        <v/>
      </c>
      <c r="AB11" s="31">
        <f>'P&amp;L'!AB15</f>
        <v/>
      </c>
      <c r="AC11" s="31">
        <f>'P&amp;L'!AC15</f>
        <v/>
      </c>
      <c r="AD11" s="31">
        <f>'P&amp;L'!AD15</f>
        <v/>
      </c>
      <c r="AE11" s="31">
        <f>'P&amp;L'!AE15</f>
        <v/>
      </c>
      <c r="AF11" s="31">
        <f>'P&amp;L'!AF15</f>
        <v/>
      </c>
      <c r="AG11" s="31">
        <f>'P&amp;L'!AG15</f>
        <v/>
      </c>
      <c r="AH11" s="31">
        <f>'P&amp;L'!AH15</f>
        <v/>
      </c>
      <c r="AI11" s="31">
        <f>'P&amp;L'!AI15</f>
        <v/>
      </c>
      <c r="AJ11" s="31">
        <f>'P&amp;L'!AJ15</f>
        <v/>
      </c>
      <c r="AK11" s="31">
        <f>'P&amp;L'!AK15</f>
        <v/>
      </c>
      <c r="AL11" s="31">
        <f>'P&amp;L'!AL15</f>
        <v/>
      </c>
      <c r="AM11" s="31">
        <f>'P&amp;L'!AM15</f>
        <v/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 t="n">
        <v>7087.42</v>
      </c>
      <c r="Q12" s="19" t="n">
        <v>9973.09</v>
      </c>
      <c r="R12" s="19" t="n">
        <v>7034.72</v>
      </c>
      <c r="S12" s="19" t="n">
        <v>7270.22</v>
      </c>
      <c r="T12" s="31" t="n">
        <v>8720.110000000001</v>
      </c>
      <c r="U12" s="31">
        <f>'P&amp;L'!U18</f>
        <v/>
      </c>
      <c r="V12" s="31">
        <f>'P&amp;L'!V18</f>
        <v/>
      </c>
      <c r="W12" s="31">
        <f>'P&amp;L'!W18</f>
        <v/>
      </c>
      <c r="X12" s="31">
        <f>'P&amp;L'!X18</f>
        <v/>
      </c>
      <c r="Y12" s="31">
        <f>'P&amp;L'!Y18</f>
        <v/>
      </c>
      <c r="Z12" s="31">
        <f>'P&amp;L'!Z18</f>
        <v/>
      </c>
      <c r="AA12" s="31">
        <f>'P&amp;L'!AA18</f>
        <v/>
      </c>
      <c r="AB12" s="31">
        <f>'P&amp;L'!AB18</f>
        <v/>
      </c>
      <c r="AC12" s="31">
        <f>'P&amp;L'!AC18</f>
        <v/>
      </c>
      <c r="AD12" s="31">
        <f>'P&amp;L'!AD18</f>
        <v/>
      </c>
      <c r="AE12" s="31">
        <f>'P&amp;L'!AE18</f>
        <v/>
      </c>
      <c r="AF12" s="31">
        <f>'P&amp;L'!AF18</f>
        <v/>
      </c>
      <c r="AG12" s="31">
        <f>'P&amp;L'!AG18</f>
        <v/>
      </c>
      <c r="AH12" s="31">
        <f>'P&amp;L'!AH18</f>
        <v/>
      </c>
      <c r="AI12" s="31">
        <f>'P&amp;L'!AI18</f>
        <v/>
      </c>
      <c r="AJ12" s="31">
        <f>'P&amp;L'!AJ18</f>
        <v/>
      </c>
      <c r="AK12" s="31">
        <f>'P&amp;L'!AK18</f>
        <v/>
      </c>
      <c r="AL12" s="31">
        <f>'P&amp;L'!AL18</f>
        <v/>
      </c>
      <c r="AM12" s="31">
        <f>'P&amp;L'!AM18</f>
        <v/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 t="n">
        <v>27740.18</v>
      </c>
      <c r="Q13" s="19" t="n">
        <v>27007.49</v>
      </c>
      <c r="R13" s="19" t="n">
        <v>16681.8</v>
      </c>
      <c r="S13" s="19" t="n">
        <v>5975.58</v>
      </c>
      <c r="T13" s="31" t="n">
        <v>16948.9</v>
      </c>
      <c r="U13" s="31">
        <f>'P&amp;L'!U14</f>
        <v/>
      </c>
      <c r="V13" s="31">
        <f>'P&amp;L'!V14</f>
        <v/>
      </c>
      <c r="W13" s="31">
        <f>'P&amp;L'!W14</f>
        <v/>
      </c>
      <c r="X13" s="31">
        <f>'P&amp;L'!X14</f>
        <v/>
      </c>
      <c r="Y13" s="31">
        <f>'P&amp;L'!Y14</f>
        <v/>
      </c>
      <c r="Z13" s="31">
        <f>'P&amp;L'!Z14</f>
        <v/>
      </c>
      <c r="AA13" s="31">
        <f>'P&amp;L'!AA14</f>
        <v/>
      </c>
      <c r="AB13" s="31">
        <f>'P&amp;L'!AB14</f>
        <v/>
      </c>
      <c r="AC13" s="31">
        <f>'P&amp;L'!AC14</f>
        <v/>
      </c>
      <c r="AD13" s="31">
        <f>'P&amp;L'!AD14</f>
        <v/>
      </c>
      <c r="AE13" s="31">
        <f>'P&amp;L'!AE14</f>
        <v/>
      </c>
      <c r="AF13" s="31">
        <f>'P&amp;L'!AF14</f>
        <v/>
      </c>
      <c r="AG13" s="31">
        <f>'P&amp;L'!AG14</f>
        <v/>
      </c>
      <c r="AH13" s="31">
        <f>'P&amp;L'!AH14</f>
        <v/>
      </c>
      <c r="AI13" s="31">
        <f>'P&amp;L'!AI14</f>
        <v/>
      </c>
      <c r="AJ13" s="31">
        <f>'P&amp;L'!AJ14</f>
        <v/>
      </c>
      <c r="AK13" s="31">
        <f>'P&amp;L'!AK14</f>
        <v/>
      </c>
      <c r="AL13" s="31">
        <f>'P&amp;L'!AL14</f>
        <v/>
      </c>
      <c r="AM13" s="31">
        <f>'P&amp;L'!AM14</f>
        <v/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 t="n">
        <v>32760.80999999999</v>
      </c>
      <c r="Q14" s="19" t="n">
        <v>38409.23</v>
      </c>
      <c r="R14" s="19" t="n">
        <v>33297.16</v>
      </c>
      <c r="S14" s="19" t="n">
        <v>28817.49</v>
      </c>
      <c r="T14" s="31" t="n">
        <v>37431.59</v>
      </c>
      <c r="U14" s="31">
        <f>'P&amp;L'!U16</f>
        <v/>
      </c>
      <c r="V14" s="31">
        <f>'P&amp;L'!V16</f>
        <v/>
      </c>
      <c r="W14" s="31">
        <f>'P&amp;L'!W16</f>
        <v/>
      </c>
      <c r="X14" s="31">
        <f>'P&amp;L'!X16</f>
        <v/>
      </c>
      <c r="Y14" s="31">
        <f>'P&amp;L'!Y16</f>
        <v/>
      </c>
      <c r="Z14" s="31">
        <f>'P&amp;L'!Z16</f>
        <v/>
      </c>
      <c r="AA14" s="31">
        <f>'P&amp;L'!AA16</f>
        <v/>
      </c>
      <c r="AB14" s="31">
        <f>'P&amp;L'!AB16</f>
        <v/>
      </c>
      <c r="AC14" s="31">
        <f>'P&amp;L'!AC16</f>
        <v/>
      </c>
      <c r="AD14" s="31">
        <f>'P&amp;L'!AD16</f>
        <v/>
      </c>
      <c r="AE14" s="31">
        <f>'P&amp;L'!AE16</f>
        <v/>
      </c>
      <c r="AF14" s="31">
        <f>'P&amp;L'!AF16</f>
        <v/>
      </c>
      <c r="AG14" s="31">
        <f>'P&amp;L'!AG16</f>
        <v/>
      </c>
      <c r="AH14" s="31">
        <f>'P&amp;L'!AH16</f>
        <v/>
      </c>
      <c r="AI14" s="31">
        <f>'P&amp;L'!AI16</f>
        <v/>
      </c>
      <c r="AJ14" s="31">
        <f>'P&amp;L'!AJ16</f>
        <v/>
      </c>
      <c r="AK14" s="31">
        <f>'P&amp;L'!AK16</f>
        <v/>
      </c>
      <c r="AL14" s="31">
        <f>'P&amp;L'!AL16</f>
        <v/>
      </c>
      <c r="AM14" s="31">
        <f>'P&amp;L'!AM16</f>
        <v/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 t="n">
        <v>42733.79</v>
      </c>
      <c r="Q15" s="19" t="n">
        <v>24202.3</v>
      </c>
      <c r="R15" s="19" t="n">
        <v>22556.84</v>
      </c>
      <c r="S15" s="19" t="n">
        <v>25366</v>
      </c>
      <c r="T15" s="31" t="n">
        <v>24041.72</v>
      </c>
      <c r="U15" s="31">
        <f>'P&amp;L'!U17</f>
        <v/>
      </c>
      <c r="V15" s="31">
        <f>'P&amp;L'!V17</f>
        <v/>
      </c>
      <c r="W15" s="31">
        <f>'P&amp;L'!W17</f>
        <v/>
      </c>
      <c r="X15" s="31">
        <f>'P&amp;L'!X17</f>
        <v/>
      </c>
      <c r="Y15" s="31">
        <f>'P&amp;L'!Y17</f>
        <v/>
      </c>
      <c r="Z15" s="31">
        <f>'P&amp;L'!Z17</f>
        <v/>
      </c>
      <c r="AA15" s="31">
        <f>'P&amp;L'!AA17</f>
        <v/>
      </c>
      <c r="AB15" s="31">
        <f>'P&amp;L'!AB17</f>
        <v/>
      </c>
      <c r="AC15" s="31">
        <f>'P&amp;L'!AC17</f>
        <v/>
      </c>
      <c r="AD15" s="31">
        <f>'P&amp;L'!AD17</f>
        <v/>
      </c>
      <c r="AE15" s="31">
        <f>'P&amp;L'!AE17</f>
        <v/>
      </c>
      <c r="AF15" s="31">
        <f>'P&amp;L'!AF17</f>
        <v/>
      </c>
      <c r="AG15" s="31">
        <f>'P&amp;L'!AG17</f>
        <v/>
      </c>
      <c r="AH15" s="31">
        <f>'P&amp;L'!AH17</f>
        <v/>
      </c>
      <c r="AI15" s="31">
        <f>'P&amp;L'!AI17</f>
        <v/>
      </c>
      <c r="AJ15" s="31">
        <f>'P&amp;L'!AJ17</f>
        <v/>
      </c>
      <c r="AK15" s="31">
        <f>'P&amp;L'!AK17</f>
        <v/>
      </c>
      <c r="AL15" s="31">
        <f>'P&amp;L'!AL17</f>
        <v/>
      </c>
      <c r="AM15" s="31">
        <f>'P&amp;L'!AM17</f>
        <v/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 t="n">
        <v>6819.030000000001</v>
      </c>
      <c r="Q16" s="19" t="n">
        <v>3543.33</v>
      </c>
      <c r="R16" s="19" t="n">
        <v>6002.360000000001</v>
      </c>
      <c r="S16" s="19" t="n">
        <v>2789.61</v>
      </c>
      <c r="T16" s="31" t="n">
        <v>4111.78</v>
      </c>
      <c r="U16" s="31">
        <f>'BK P&amp;L'!U50+'CC P&amp;L'!U50+'DN P&amp;L'!U50+'LF P&amp;L'!U50+'MR P&amp;L'!U50+'OP P&amp;L'!U50+'PH P&amp;L'!U50+'RH P&amp;L'!U50+'SB P&amp;L'!U50+'SM P&amp;L'!U50+'WP P&amp;L'!U50+'WW P&amp;L'!U50+'HO P&amp;L'!U30</f>
        <v/>
      </c>
      <c r="V16" s="31">
        <f>'BK P&amp;L'!V50+'CC P&amp;L'!V50+'DN P&amp;L'!V50+'LF P&amp;L'!V50+'MR P&amp;L'!V50+'OP P&amp;L'!V50+'PH P&amp;L'!V50+'RH P&amp;L'!V50+'SB P&amp;L'!V50+'SM P&amp;L'!V50+'WP P&amp;L'!V50+'WW P&amp;L'!V50+'HO P&amp;L'!V30</f>
        <v/>
      </c>
      <c r="W16" s="31">
        <f>'BK P&amp;L'!W50+'CC P&amp;L'!W50+'DN P&amp;L'!W50+'LF P&amp;L'!W50+'MR P&amp;L'!W50+'OP P&amp;L'!W50+'PH P&amp;L'!W50+'RH P&amp;L'!W50+'SB P&amp;L'!W50+'SM P&amp;L'!W50+'WP P&amp;L'!W50+'WW P&amp;L'!W50+'HO P&amp;L'!W30</f>
        <v/>
      </c>
      <c r="X16" s="31">
        <f>'BK P&amp;L'!X50+'CC P&amp;L'!X50+'DN P&amp;L'!X50+'LF P&amp;L'!X50+'MR P&amp;L'!X50+'OP P&amp;L'!X50+'PH P&amp;L'!X50+'RH P&amp;L'!X50+'SB P&amp;L'!X50+'SM P&amp;L'!X50+'WP P&amp;L'!X50+'WW P&amp;L'!X50+'HO P&amp;L'!X30</f>
        <v/>
      </c>
      <c r="Y16" s="31">
        <f>'BK P&amp;L'!Y50+'CC P&amp;L'!Y50+'DN P&amp;L'!Y50+'LF P&amp;L'!Y50+'MR P&amp;L'!Y50+'OP P&amp;L'!Y50+'PH P&amp;L'!Y50+'RH P&amp;L'!Y50+'SB P&amp;L'!Y50+'SM P&amp;L'!Y50+'WP P&amp;L'!Y50+'WW P&amp;L'!Y50+'HO P&amp;L'!Y30</f>
        <v/>
      </c>
      <c r="Z16" s="31">
        <f>'BK P&amp;L'!Z50+'CC P&amp;L'!Z50+'DN P&amp;L'!Z50+'LF P&amp;L'!Z50+'MR P&amp;L'!Z50+'OP P&amp;L'!Z50+'PH P&amp;L'!Z50+'RH P&amp;L'!Z50+'SB P&amp;L'!Z50+'SM P&amp;L'!Z50+'WP P&amp;L'!Z50+'WW P&amp;L'!Z50+'HO P&amp;L'!Z30</f>
        <v/>
      </c>
      <c r="AA16" s="31">
        <f>'BK P&amp;L'!AA50+'CC P&amp;L'!AA50+'DN P&amp;L'!AA50+'LF P&amp;L'!AA50+'MR P&amp;L'!AA50+'OP P&amp;L'!AA50+'PH P&amp;L'!AA50+'RH P&amp;L'!AA50+'SB P&amp;L'!AA50+'SM P&amp;L'!AA50+'WP P&amp;L'!AA50+'WW P&amp;L'!AA50+'HO P&amp;L'!AA30</f>
        <v/>
      </c>
      <c r="AB16" s="31">
        <f>'BK P&amp;L'!AB50+'CC P&amp;L'!AB50+'DN P&amp;L'!AB50+'LF P&amp;L'!AB50+'MR P&amp;L'!AB50+'OP P&amp;L'!AB50+'PH P&amp;L'!AB50+'RH P&amp;L'!AB50+'SB P&amp;L'!AB50+'SM P&amp;L'!AB50+'WP P&amp;L'!AB50+'WW P&amp;L'!AB50+'HO P&amp;L'!AB30</f>
        <v/>
      </c>
      <c r="AC16" s="31">
        <f>'BK P&amp;L'!AC50+'CC P&amp;L'!AC50+'DN P&amp;L'!AC50+'LF P&amp;L'!AC50+'MR P&amp;L'!AC50+'OP P&amp;L'!AC50+'PH P&amp;L'!AC50+'RH P&amp;L'!AC50+'SB P&amp;L'!AC50+'SM P&amp;L'!AC50+'WP P&amp;L'!AC50+'WW P&amp;L'!AC50+'HO P&amp;L'!AC30</f>
        <v/>
      </c>
      <c r="AD16" s="31">
        <f>'BK P&amp;L'!AD50+'CC P&amp;L'!AD50+'DN P&amp;L'!AD50+'LF P&amp;L'!AD50+'MR P&amp;L'!AD50+'OP P&amp;L'!AD50+'PH P&amp;L'!AD50+'RH P&amp;L'!AD50+'SB P&amp;L'!AD50+'SM P&amp;L'!AD50+'WP P&amp;L'!AD50+'WW P&amp;L'!AD50+'HO P&amp;L'!AD30</f>
        <v/>
      </c>
      <c r="AE16" s="31">
        <f>'BK P&amp;L'!AE50+'CC P&amp;L'!AE50+'DN P&amp;L'!AE50+'LF P&amp;L'!AE50+'MR P&amp;L'!AE50+'OP P&amp;L'!AE50+'PH P&amp;L'!AE50+'RH P&amp;L'!AE50+'SB P&amp;L'!AE50+'SM P&amp;L'!AE50+'WP P&amp;L'!AE50+'WW P&amp;L'!AE50+'HO P&amp;L'!AE30</f>
        <v/>
      </c>
      <c r="AF16" s="31">
        <f>'BK P&amp;L'!AF50+'CC P&amp;L'!AF50+'DN P&amp;L'!AF50+'LF P&amp;L'!AF50+'MR P&amp;L'!AF50+'OP P&amp;L'!AF50+'PH P&amp;L'!AF50+'RH P&amp;L'!AF50+'SB P&amp;L'!AF50+'SM P&amp;L'!AF50+'WP P&amp;L'!AF50+'WW P&amp;L'!AF50+'HO P&amp;L'!AF30</f>
        <v/>
      </c>
      <c r="AG16" s="31">
        <f>'BK P&amp;L'!AG50+'CC P&amp;L'!AG50+'DN P&amp;L'!AG50+'LF P&amp;L'!AG50+'MR P&amp;L'!AG50+'OP P&amp;L'!AG50+'PH P&amp;L'!AG50+'RH P&amp;L'!AG50+'SB P&amp;L'!AG50+'SM P&amp;L'!AG50+'WP P&amp;L'!AG50+'WW P&amp;L'!AG50+'HO P&amp;L'!AG30</f>
        <v/>
      </c>
      <c r="AH16" s="31">
        <f>'BK P&amp;L'!AH50+'CC P&amp;L'!AH50+'DN P&amp;L'!AH50+'LF P&amp;L'!AH50+'MR P&amp;L'!AH50+'OP P&amp;L'!AH50+'PH P&amp;L'!AH50+'RH P&amp;L'!AH50+'SB P&amp;L'!AH50+'SM P&amp;L'!AH50+'WP P&amp;L'!AH50+'WW P&amp;L'!AH50+'HO P&amp;L'!AH30</f>
        <v/>
      </c>
      <c r="AI16" s="31">
        <f>'BK P&amp;L'!AI50+'CC P&amp;L'!AI50+'DN P&amp;L'!AI50+'LF P&amp;L'!AI50+'MR P&amp;L'!AI50+'OP P&amp;L'!AI50+'PH P&amp;L'!AI50+'RH P&amp;L'!AI50+'SB P&amp;L'!AI50+'SM P&amp;L'!AI50+'WP P&amp;L'!AI50+'WW P&amp;L'!AI50+'HO P&amp;L'!AI30</f>
        <v/>
      </c>
      <c r="AJ16" s="31">
        <f>'BK P&amp;L'!AJ50+'CC P&amp;L'!AJ50+'DN P&amp;L'!AJ50+'LF P&amp;L'!AJ50+'MR P&amp;L'!AJ50+'OP P&amp;L'!AJ50+'PH P&amp;L'!AJ50+'RH P&amp;L'!AJ50+'SB P&amp;L'!AJ50+'SM P&amp;L'!AJ50+'WP P&amp;L'!AJ50+'WW P&amp;L'!AJ50+'HO P&amp;L'!AJ30</f>
        <v/>
      </c>
      <c r="AK16" s="31">
        <f>'BK P&amp;L'!AK50+'CC P&amp;L'!AK50+'DN P&amp;L'!AK50+'LF P&amp;L'!AK50+'MR P&amp;L'!AK50+'OP P&amp;L'!AK50+'PH P&amp;L'!AK50+'RH P&amp;L'!AK50+'SB P&amp;L'!AK50+'SM P&amp;L'!AK50+'WP P&amp;L'!AK50+'WW P&amp;L'!AK50+'HO P&amp;L'!AK30</f>
        <v/>
      </c>
      <c r="AL16" s="31">
        <f>'BK P&amp;L'!AL50+'CC P&amp;L'!AL50+'DN P&amp;L'!AL50+'LF P&amp;L'!AL50+'MR P&amp;L'!AL50+'OP P&amp;L'!AL50+'PH P&amp;L'!AL50+'RH P&amp;L'!AL50+'SB P&amp;L'!AL50+'SM P&amp;L'!AL50+'WP P&amp;L'!AL50+'WW P&amp;L'!AL50+'HO P&amp;L'!AL30</f>
        <v/>
      </c>
      <c r="AM16" s="31">
        <f>'BK P&amp;L'!AM50+'CC P&amp;L'!AM50+'DN P&amp;L'!AM50+'LF P&amp;L'!AM50+'MR P&amp;L'!AM50+'OP P&amp;L'!AM50+'PH P&amp;L'!AM50+'RH P&amp;L'!AM50+'SB P&amp;L'!AM50+'SM P&amp;L'!AM50+'WP P&amp;L'!AM50+'WW P&amp;L'!AM50+'HO P&amp;L'!AM30</f>
        <v/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 t="n">
        <v>65117.3</v>
      </c>
      <c r="Q17" s="19" t="n">
        <v>67419.25999999999</v>
      </c>
      <c r="R17" s="19" t="n">
        <v>61727.36</v>
      </c>
      <c r="S17" s="19" t="n">
        <v>65364.98000000001</v>
      </c>
      <c r="T17" s="20">
        <f>T7*(Assumptions!$C$19+Assumptions!$C$20)</f>
        <v/>
      </c>
      <c r="U17" s="20">
        <f>'P&amp;L'!U12</f>
        <v/>
      </c>
      <c r="V17" s="20">
        <f>'P&amp;L'!V12</f>
        <v/>
      </c>
      <c r="W17" s="20">
        <f>'P&amp;L'!W12</f>
        <v/>
      </c>
      <c r="X17" s="20">
        <f>'P&amp;L'!X12</f>
        <v/>
      </c>
      <c r="Y17" s="20">
        <f>'P&amp;L'!Y12</f>
        <v/>
      </c>
      <c r="Z17" s="20">
        <f>'P&amp;L'!Z12</f>
        <v/>
      </c>
      <c r="AA17" s="20">
        <f>'P&amp;L'!AA12</f>
        <v/>
      </c>
      <c r="AB17" s="20">
        <f>'P&amp;L'!AB12</f>
        <v/>
      </c>
      <c r="AC17" s="20">
        <f>'P&amp;L'!AC12</f>
        <v/>
      </c>
      <c r="AD17" s="20">
        <f>'P&amp;L'!AD12</f>
        <v/>
      </c>
      <c r="AE17" s="20">
        <f>'P&amp;L'!AE12</f>
        <v/>
      </c>
      <c r="AF17" s="20">
        <f>'P&amp;L'!AF12</f>
        <v/>
      </c>
      <c r="AG17" s="20">
        <f>'P&amp;L'!AG12</f>
        <v/>
      </c>
      <c r="AH17" s="20">
        <f>'P&amp;L'!AH12</f>
        <v/>
      </c>
      <c r="AI17" s="20">
        <f>'P&amp;L'!AI12</f>
        <v/>
      </c>
      <c r="AJ17" s="20">
        <f>'P&amp;L'!AJ12</f>
        <v/>
      </c>
      <c r="AK17" s="20">
        <f>'P&amp;L'!AK12</f>
        <v/>
      </c>
      <c r="AL17" s="20">
        <f>'P&amp;L'!AL12</f>
        <v/>
      </c>
      <c r="AM17" s="20">
        <f>'P&amp;L'!AM12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 t="n">
        <v>3673</v>
      </c>
      <c r="Q19" s="19" t="n">
        <v>8816</v>
      </c>
      <c r="R19" s="19" t="n">
        <v>3673</v>
      </c>
      <c r="S19" s="19" t="n">
        <v>3673</v>
      </c>
      <c r="T19" s="31" t="n">
        <v>5387.33</v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Expenses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444458.84</v>
      </c>
      <c r="E6" s="19" t="n">
        <v>541393.7599999999</v>
      </c>
      <c r="F6" s="19" t="n">
        <v>704822.0399999999</v>
      </c>
      <c r="G6" s="19" t="n">
        <v>684557.5900000001</v>
      </c>
      <c r="H6" s="19" t="n">
        <v>741695.3900000001</v>
      </c>
      <c r="I6" s="19" t="n">
        <v>732460.21</v>
      </c>
      <c r="J6" s="19" t="n">
        <v>728344.66</v>
      </c>
      <c r="K6" s="19" t="n">
        <v>718819.7200000002</v>
      </c>
      <c r="L6" s="19" t="n">
        <v>720323.37</v>
      </c>
      <c r="M6" s="19" t="n">
        <v>736168.7400000001</v>
      </c>
      <c r="N6" s="19" t="n">
        <v>706551.9899999999</v>
      </c>
      <c r="O6" s="19" t="n">
        <v>690895.8200000001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>
        <f>'BK P&amp;L'!U18+'CC P&amp;L'!U18+'DN P&amp;L'!U18+'LF P&amp;L'!U18+'MR P&amp;L'!U18+'OP P&amp;L'!U18+'PH P&amp;L'!U18+'RH P&amp;L'!U18+'SB P&amp;L'!U18+'SM P&amp;L'!U18+'WP P&amp;L'!U18+'WW P&amp;L'!U18</f>
        <v/>
      </c>
      <c r="V8" s="20">
        <f>'BK P&amp;L'!V18+'CC P&amp;L'!V18+'DN P&amp;L'!V18+'LF P&amp;L'!V18+'MR P&amp;L'!V18+'OP P&amp;L'!V18+'PH P&amp;L'!V18+'RH P&amp;L'!V18+'SB P&amp;L'!V18+'SM P&amp;L'!V18+'WP P&amp;L'!V18+'WW P&amp;L'!V18</f>
        <v/>
      </c>
      <c r="W8" s="20">
        <f>'BK P&amp;L'!W18+'CC P&amp;L'!W18+'DN P&amp;L'!W18+'LF P&amp;L'!W18+'MR P&amp;L'!W18+'OP P&amp;L'!W18+'PH P&amp;L'!W18+'RH P&amp;L'!W18+'SB P&amp;L'!W18+'SM P&amp;L'!W18+'WP P&amp;L'!W18+'WW P&amp;L'!W18</f>
        <v/>
      </c>
      <c r="X8" s="20">
        <f>'BK P&amp;L'!X18+'CC P&amp;L'!X18+'DN P&amp;L'!X18+'LF P&amp;L'!X18+'MR P&amp;L'!X18+'OP P&amp;L'!X18+'PH P&amp;L'!X18+'RH P&amp;L'!X18+'SB P&amp;L'!X18+'SM P&amp;L'!X18+'WP P&amp;L'!X18+'WW P&amp;L'!X18</f>
        <v/>
      </c>
      <c r="Y8" s="20">
        <f>'BK P&amp;L'!Y18+'CC P&amp;L'!Y18+'DN P&amp;L'!Y18+'LF P&amp;L'!Y18+'MR P&amp;L'!Y18+'OP P&amp;L'!Y18+'PH P&amp;L'!Y18+'RH P&amp;L'!Y18+'SB P&amp;L'!Y18+'SM P&amp;L'!Y18+'WP P&amp;L'!Y18+'WW P&amp;L'!Y18</f>
        <v/>
      </c>
      <c r="Z8" s="20">
        <f>'BK P&amp;L'!Z18+'CC P&amp;L'!Z18+'DN P&amp;L'!Z18+'LF P&amp;L'!Z18+'MR P&amp;L'!Z18+'OP P&amp;L'!Z18+'PH P&amp;L'!Z18+'RH P&amp;L'!Z18+'SB P&amp;L'!Z18+'SM P&amp;L'!Z18+'WP P&amp;L'!Z18+'WW P&amp;L'!Z18</f>
        <v/>
      </c>
      <c r="AA8" s="20">
        <f>'BK P&amp;L'!AA18+'CC P&amp;L'!AA18+'DN P&amp;L'!AA18+'LF P&amp;L'!AA18+'MR P&amp;L'!AA18+'OP P&amp;L'!AA18+'PH P&amp;L'!AA18+'RH P&amp;L'!AA18+'SB P&amp;L'!AA18+'SM P&amp;L'!AA18+'WP P&amp;L'!AA18+'WW P&amp;L'!AA18</f>
        <v/>
      </c>
      <c r="AB8" s="20">
        <f>'BK P&amp;L'!AB18+'CC P&amp;L'!AB18+'DN P&amp;L'!AB18+'LF P&amp;L'!AB18+'MR P&amp;L'!AB18+'OP P&amp;L'!AB18+'PH P&amp;L'!AB18+'RH P&amp;L'!AB18+'SB P&amp;L'!AB18+'SM P&amp;L'!AB18+'WP P&amp;L'!AB18+'WW P&amp;L'!AB18</f>
        <v/>
      </c>
      <c r="AC8" s="20">
        <f>'BK P&amp;L'!AC18+'CC P&amp;L'!AC18+'DN P&amp;L'!AC18+'LF P&amp;L'!AC18+'MR P&amp;L'!AC18+'OP P&amp;L'!AC18+'PH P&amp;L'!AC18+'RH P&amp;L'!AC18+'SB P&amp;L'!AC18+'SM P&amp;L'!AC18+'WP P&amp;L'!AC18+'WW P&amp;L'!AC18</f>
        <v/>
      </c>
      <c r="AD8" s="20">
        <f>'BK P&amp;L'!AD18+'CC P&amp;L'!AD18+'DN P&amp;L'!AD18+'LF P&amp;L'!AD18+'MR P&amp;L'!AD18+'OP P&amp;L'!AD18+'PH P&amp;L'!AD18+'RH P&amp;L'!AD18+'SB P&amp;L'!AD18+'SM P&amp;L'!AD18+'WP P&amp;L'!AD18+'WW P&amp;L'!AD18</f>
        <v/>
      </c>
      <c r="AE8" s="20">
        <f>'BK P&amp;L'!AE18+'CC P&amp;L'!AE18+'DN P&amp;L'!AE18+'LF P&amp;L'!AE18+'MR P&amp;L'!AE18+'OP P&amp;L'!AE18+'PH P&amp;L'!AE18+'RH P&amp;L'!AE18+'SB P&amp;L'!AE18+'SM P&amp;L'!AE18+'WP P&amp;L'!AE18+'WW P&amp;L'!AE18</f>
        <v/>
      </c>
      <c r="AF8" s="20">
        <f>'BK P&amp;L'!AF18+'CC P&amp;L'!AF18+'DN P&amp;L'!AF18+'LF P&amp;L'!AF18+'MR P&amp;L'!AF18+'OP P&amp;L'!AF18+'PH P&amp;L'!AF18+'RH P&amp;L'!AF18+'SB P&amp;L'!AF18+'SM P&amp;L'!AF18+'WP P&amp;L'!AF18+'WW P&amp;L'!AF18</f>
        <v/>
      </c>
      <c r="AG8" s="20">
        <f>'BK P&amp;L'!AG18+'CC P&amp;L'!AG18+'DN P&amp;L'!AG18+'LF P&amp;L'!AG18+'MR P&amp;L'!AG18+'OP P&amp;L'!AG18+'PH P&amp;L'!AG18+'RH P&amp;L'!AG18+'SB P&amp;L'!AG18+'SM P&amp;L'!AG18+'WP P&amp;L'!AG18+'WW P&amp;L'!AG18</f>
        <v/>
      </c>
      <c r="AH8" s="20">
        <f>'BK P&amp;L'!AH18+'CC P&amp;L'!AH18+'DN P&amp;L'!AH18+'LF P&amp;L'!AH18+'MR P&amp;L'!AH18+'OP P&amp;L'!AH18+'PH P&amp;L'!AH18+'RH P&amp;L'!AH18+'SB P&amp;L'!AH18+'SM P&amp;L'!AH18+'WP P&amp;L'!AH18+'WW P&amp;L'!AH18</f>
        <v/>
      </c>
      <c r="AI8" s="20">
        <f>'BK P&amp;L'!AI18+'CC P&amp;L'!AI18+'DN P&amp;L'!AI18+'LF P&amp;L'!AI18+'MR P&amp;L'!AI18+'OP P&amp;L'!AI18+'PH P&amp;L'!AI18+'RH P&amp;L'!AI18+'SB P&amp;L'!AI18+'SM P&amp;L'!AI18+'WP P&amp;L'!AI18+'WW P&amp;L'!AI18</f>
        <v/>
      </c>
      <c r="AJ8" s="20">
        <f>'BK P&amp;L'!AJ18+'CC P&amp;L'!AJ18+'DN P&amp;L'!AJ18+'LF P&amp;L'!AJ18+'MR P&amp;L'!AJ18+'OP P&amp;L'!AJ18+'PH P&amp;L'!AJ18+'RH P&amp;L'!AJ18+'SB P&amp;L'!AJ18+'SM P&amp;L'!AJ18+'WP P&amp;L'!AJ18+'WW P&amp;L'!AJ18</f>
        <v/>
      </c>
      <c r="AK8" s="20">
        <f>'BK P&amp;L'!AK18+'CC P&amp;L'!AK18+'DN P&amp;L'!AK18+'LF P&amp;L'!AK18+'MR P&amp;L'!AK18+'OP P&amp;L'!AK18+'PH P&amp;L'!AK18+'RH P&amp;L'!AK18+'SB P&amp;L'!AK18+'SM P&amp;L'!AK18+'WP P&amp;L'!AK18+'WW P&amp;L'!AK18</f>
        <v/>
      </c>
      <c r="AL8" s="20">
        <f>'BK P&amp;L'!AL18+'CC P&amp;L'!AL18+'DN P&amp;L'!AL18+'LF P&amp;L'!AL18+'MR P&amp;L'!AL18+'OP P&amp;L'!AL18+'PH P&amp;L'!AL18+'RH P&amp;L'!AL18+'SB P&amp;L'!AL18+'SM P&amp;L'!AL18+'WP P&amp;L'!AL18+'WW P&amp;L'!AL18</f>
        <v/>
      </c>
      <c r="AM8" s="20">
        <f>'BK P&amp;L'!AM18+'CC P&amp;L'!AM18+'DN P&amp;L'!AM18+'LF P&amp;L'!AM18+'MR P&amp;L'!AM18+'OP P&amp;L'!AM18+'PH P&amp;L'!AM18+'RH P&amp;L'!AM18+'SB P&amp;L'!AM18+'SM P&amp;L'!AM18+'WP P&amp;L'!AM18+'WW P&amp;L'!AM18</f>
        <v/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 t="n">
        <v>629355.5600000001</v>
      </c>
      <c r="E11" s="35" t="n">
        <v>695448.3899999999</v>
      </c>
      <c r="F11" s="35" t="n">
        <v>845088.6099999999</v>
      </c>
      <c r="G11" s="35" t="n">
        <v>803508.3700000001</v>
      </c>
      <c r="H11" s="35" t="n">
        <v>877719.53</v>
      </c>
      <c r="I11" s="35" t="n">
        <v>853012.7899999999</v>
      </c>
      <c r="J11" s="35" t="n">
        <v>844889.7300000001</v>
      </c>
      <c r="K11" s="35" t="n">
        <v>882190.1800000002</v>
      </c>
      <c r="L11" s="35" t="n">
        <v>877190.1899999999</v>
      </c>
      <c r="M11" s="35" t="n">
        <v>861368.9300000001</v>
      </c>
      <c r="N11" s="35" t="n">
        <v>903526.46</v>
      </c>
      <c r="O11" s="35" t="n">
        <v>943564.3100000001</v>
      </c>
      <c r="P11" s="35" t="n">
        <v>1082861.84</v>
      </c>
      <c r="Q11" s="35" t="n">
        <v>969453.09</v>
      </c>
      <c r="R11" s="35" t="n">
        <v>946910.6399999999</v>
      </c>
      <c r="S11" s="35" t="n">
        <v>887877.7</v>
      </c>
      <c r="T11" s="85" t="n">
        <v>918006.51</v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 t="n">
        <v>587714.4</v>
      </c>
      <c r="E13" s="35" t="n">
        <v>664601.9699999999</v>
      </c>
      <c r="F13" s="35" t="n">
        <v>810233.7899999999</v>
      </c>
      <c r="G13" s="35" t="n">
        <v>766400.5500000002</v>
      </c>
      <c r="H13" s="35" t="n">
        <v>846558.9</v>
      </c>
      <c r="I13" s="35" t="n">
        <v>817869.2799999999</v>
      </c>
      <c r="J13" s="35" t="n">
        <v>811691.7000000001</v>
      </c>
      <c r="K13" s="35" t="n">
        <v>847262.5500000002</v>
      </c>
      <c r="L13" s="35" t="n">
        <v>844736.5299999999</v>
      </c>
      <c r="M13" s="35" t="n">
        <v>829313.1900000001</v>
      </c>
      <c r="N13" s="35" t="n">
        <v>869551.3999999999</v>
      </c>
      <c r="O13" s="35" t="n">
        <v>888842.6200000001</v>
      </c>
      <c r="P13" s="35" t="n">
        <v>1044851.99</v>
      </c>
      <c r="Q13" s="35" t="n">
        <v>930956.0599999999</v>
      </c>
      <c r="R13" s="35" t="n">
        <v>911950.1099999999</v>
      </c>
      <c r="S13" s="35" t="n">
        <v>850941.21</v>
      </c>
      <c r="T13" s="85" t="n">
        <v>890917.8500000001</v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14252.66</v>
      </c>
      <c r="E16" s="19" t="n">
        <v>8816.290000000001</v>
      </c>
      <c r="F16" s="19" t="n">
        <v>10929.2</v>
      </c>
      <c r="G16" s="19" t="n">
        <v>12816.7</v>
      </c>
      <c r="H16" s="19" t="n">
        <v>13026.09</v>
      </c>
      <c r="I16" s="19" t="n">
        <v>12037.55</v>
      </c>
      <c r="J16" s="19" t="n">
        <v>10467.78</v>
      </c>
      <c r="K16" s="19" t="n">
        <v>14382.58</v>
      </c>
      <c r="L16" s="19" t="n">
        <v>12170.58</v>
      </c>
      <c r="M16" s="19" t="n">
        <v>13845.85</v>
      </c>
      <c r="N16" s="19" t="n">
        <v>13927.97</v>
      </c>
      <c r="O16" s="19" t="n">
        <v>15405.24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62" t="inlineStr">
        <is>
          <t>HO Other (Util+Fin)</t>
        </is>
      </c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>
        <v>0</v>
      </c>
      <c r="Q20" s="63" t="n">
        <v>0</v>
      </c>
      <c r="R20" s="63" t="n">
        <v>0</v>
      </c>
      <c r="S20" s="63" t="n">
        <v>0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1193.14</v>
      </c>
      <c r="AE20" s="63" t="n">
        <v>1193.14</v>
      </c>
      <c r="AF20" s="63" t="n">
        <v>1193.14</v>
      </c>
      <c r="AG20" s="63" t="n">
        <v>1193.14</v>
      </c>
      <c r="AH20" s="63" t="n">
        <v>1193.14</v>
      </c>
      <c r="AI20" s="63" t="n">
        <v>1193.14</v>
      </c>
      <c r="AJ20" s="63" t="n">
        <v>1193.14</v>
      </c>
      <c r="AK20" s="63" t="n">
        <v>1193.14</v>
      </c>
      <c r="AL20" s="63" t="n">
        <v>1193.14</v>
      </c>
      <c r="AM20" s="63" t="n">
        <v>1193.14</v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 t="n">
        <v>598853.02</v>
      </c>
      <c r="E21" s="35" t="n">
        <v>591281.7700000001</v>
      </c>
      <c r="F21" s="35" t="n">
        <v>661491.5999999999</v>
      </c>
      <c r="G21" s="35" t="n">
        <v>644054.36</v>
      </c>
      <c r="H21" s="35" t="n">
        <v>760286.5799999998</v>
      </c>
      <c r="I21" s="35" t="n">
        <v>785644.3100000003</v>
      </c>
      <c r="J21" s="35" t="n">
        <v>759734.3800000004</v>
      </c>
      <c r="K21" s="35" t="n">
        <v>802009.51</v>
      </c>
      <c r="L21" s="35" t="n">
        <v>834091.6900000001</v>
      </c>
      <c r="M21" s="35" t="n">
        <v>910855.6799999998</v>
      </c>
      <c r="N21" s="35" t="n">
        <v>885287.7299999997</v>
      </c>
      <c r="O21" s="35" t="n">
        <v>893553.72</v>
      </c>
      <c r="P21" s="35" t="n">
        <v>945487.6700000002</v>
      </c>
      <c r="Q21" s="35" t="n">
        <v>846207.66</v>
      </c>
      <c r="R21" s="35" t="n">
        <v>863798.3500000001</v>
      </c>
      <c r="S21" s="35" t="n">
        <v>797830.6700000002</v>
      </c>
      <c r="T21" s="85" t="n">
        <v>817186.3100000001</v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 t="n">
        <v>-11138.62</v>
      </c>
      <c r="E22" s="35" t="n">
        <v>73320.19999999972</v>
      </c>
      <c r="F22" s="35" t="n">
        <v>148742.1900000001</v>
      </c>
      <c r="G22" s="35" t="n">
        <v>122346.1900000002</v>
      </c>
      <c r="H22" s="35" t="n">
        <v>86272.32000000018</v>
      </c>
      <c r="I22" s="35" t="n">
        <v>32224.96999999962</v>
      </c>
      <c r="J22" s="35" t="n">
        <v>51957.31999999971</v>
      </c>
      <c r="K22" s="35" t="n">
        <v>45253.04000000015</v>
      </c>
      <c r="L22" s="35" t="n">
        <v>10644.83999999985</v>
      </c>
      <c r="M22" s="35" t="n">
        <v>-81542.48999999976</v>
      </c>
      <c r="N22" s="35" t="n">
        <v>-15736.32999999984</v>
      </c>
      <c r="O22" s="35" t="n">
        <v>-4711.09999999986</v>
      </c>
      <c r="P22" s="35" t="n">
        <v>99364.31999999996</v>
      </c>
      <c r="Q22" s="35" t="n">
        <v>84748.39999999991</v>
      </c>
      <c r="R22" s="35" t="n">
        <v>48151.75999999989</v>
      </c>
      <c r="S22" s="35" t="n">
        <v>53110.5399999998</v>
      </c>
      <c r="T22" s="85" t="n">
        <v>73731.54000000004</v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>
        <f>'BK P&amp;L'!U65+'CC P&amp;L'!U65+'DN P&amp;L'!U65+'LF P&amp;L'!U65+'MR P&amp;L'!U65+'OP P&amp;L'!U65+'PH P&amp;L'!U65+'RH P&amp;L'!U65+'SB P&amp;L'!U65+'SM P&amp;L'!U65+'WP P&amp;L'!U65+'WW P&amp;L'!U65+'HO P&amp;L'!U38</f>
        <v/>
      </c>
      <c r="V23" s="20">
        <f>'BK P&amp;L'!V65+'CC P&amp;L'!V65+'DN P&amp;L'!V65+'LF P&amp;L'!V65+'MR P&amp;L'!V65+'OP P&amp;L'!V65+'PH P&amp;L'!V65+'RH P&amp;L'!V65+'SB P&amp;L'!V65+'SM P&amp;L'!V65+'WP P&amp;L'!V65+'WW P&amp;L'!V65+'HO P&amp;L'!V38</f>
        <v/>
      </c>
      <c r="W23" s="20">
        <f>'BK P&amp;L'!W65+'CC P&amp;L'!W65+'DN P&amp;L'!W65+'LF P&amp;L'!W65+'MR P&amp;L'!W65+'OP P&amp;L'!W65+'PH P&amp;L'!W65+'RH P&amp;L'!W65+'SB P&amp;L'!W65+'SM P&amp;L'!W65+'WP P&amp;L'!W65+'WW P&amp;L'!W65+'HO P&amp;L'!W38</f>
        <v/>
      </c>
      <c r="X23" s="20">
        <f>'BK P&amp;L'!X65+'CC P&amp;L'!X65+'DN P&amp;L'!X65+'LF P&amp;L'!X65+'MR P&amp;L'!X65+'OP P&amp;L'!X65+'PH P&amp;L'!X65+'RH P&amp;L'!X65+'SB P&amp;L'!X65+'SM P&amp;L'!X65+'WP P&amp;L'!X65+'WW P&amp;L'!X65+'HO P&amp;L'!X38</f>
        <v/>
      </c>
      <c r="Y23" s="20">
        <f>'BK P&amp;L'!Y65+'CC P&amp;L'!Y65+'DN P&amp;L'!Y65+'LF P&amp;L'!Y65+'MR P&amp;L'!Y65+'OP P&amp;L'!Y65+'PH P&amp;L'!Y65+'RH P&amp;L'!Y65+'SB P&amp;L'!Y65+'SM P&amp;L'!Y65+'WP P&amp;L'!Y65+'WW P&amp;L'!Y65+'HO P&amp;L'!Y38</f>
        <v/>
      </c>
      <c r="Z23" s="20">
        <f>'BK P&amp;L'!Z65+'CC P&amp;L'!Z65+'DN P&amp;L'!Z65+'LF P&amp;L'!Z65+'MR P&amp;L'!Z65+'OP P&amp;L'!Z65+'PH P&amp;L'!Z65+'RH P&amp;L'!Z65+'SB P&amp;L'!Z65+'SM P&amp;L'!Z65+'WP P&amp;L'!Z65+'WW P&amp;L'!Z65+'HO P&amp;L'!Z38</f>
        <v/>
      </c>
      <c r="AA23" s="20">
        <f>'BK P&amp;L'!AA65+'CC P&amp;L'!AA65+'DN P&amp;L'!AA65+'LF P&amp;L'!AA65+'MR P&amp;L'!AA65+'OP P&amp;L'!AA65+'PH P&amp;L'!AA65+'RH P&amp;L'!AA65+'SB P&amp;L'!AA65+'SM P&amp;L'!AA65+'WP P&amp;L'!AA65+'WW P&amp;L'!AA65+'HO P&amp;L'!AA38</f>
        <v/>
      </c>
      <c r="AB23" s="20">
        <f>'BK P&amp;L'!AB65+'CC P&amp;L'!AB65+'DN P&amp;L'!AB65+'LF P&amp;L'!AB65+'MR P&amp;L'!AB65+'OP P&amp;L'!AB65+'PH P&amp;L'!AB65+'RH P&amp;L'!AB65+'SB P&amp;L'!AB65+'SM P&amp;L'!AB65+'WP P&amp;L'!AB65+'WW P&amp;L'!AB65+'HO P&amp;L'!AB38</f>
        <v/>
      </c>
      <c r="AC23" s="20">
        <f>'BK P&amp;L'!AC65+'CC P&amp;L'!AC65+'DN P&amp;L'!AC65+'LF P&amp;L'!AC65+'MR P&amp;L'!AC65+'OP P&amp;L'!AC65+'PH P&amp;L'!AC65+'RH P&amp;L'!AC65+'SB P&amp;L'!AC65+'SM P&amp;L'!AC65+'WP P&amp;L'!AC65+'WW P&amp;L'!AC65+'HO P&amp;L'!AC38</f>
        <v/>
      </c>
      <c r="AD23" s="20">
        <f>'BK P&amp;L'!AD65+'CC P&amp;L'!AD65+'DN P&amp;L'!AD65+'LF P&amp;L'!AD65+'MR P&amp;L'!AD65+'OP P&amp;L'!AD65+'PH P&amp;L'!AD65+'RH P&amp;L'!AD65+'SB P&amp;L'!AD65+'SM P&amp;L'!AD65+'WP P&amp;L'!AD65+'WW P&amp;L'!AD65+'HO P&amp;L'!AD38</f>
        <v/>
      </c>
      <c r="AE23" s="20">
        <f>'BK P&amp;L'!AE65+'CC P&amp;L'!AE65+'DN P&amp;L'!AE65+'LF P&amp;L'!AE65+'MR P&amp;L'!AE65+'OP P&amp;L'!AE65+'PH P&amp;L'!AE65+'RH P&amp;L'!AE65+'SB P&amp;L'!AE65+'SM P&amp;L'!AE65+'WP P&amp;L'!AE65+'WW P&amp;L'!AE65+'HO P&amp;L'!AE38</f>
        <v/>
      </c>
      <c r="AF23" s="20">
        <f>'BK P&amp;L'!AF65+'CC P&amp;L'!AF65+'DN P&amp;L'!AF65+'LF P&amp;L'!AF65+'MR P&amp;L'!AF65+'OP P&amp;L'!AF65+'PH P&amp;L'!AF65+'RH P&amp;L'!AF65+'SB P&amp;L'!AF65+'SM P&amp;L'!AF65+'WP P&amp;L'!AF65+'WW P&amp;L'!AF65+'HO P&amp;L'!AF38</f>
        <v/>
      </c>
      <c r="AG23" s="20">
        <f>'BK P&amp;L'!AG65+'CC P&amp;L'!AG65+'DN P&amp;L'!AG65+'LF P&amp;L'!AG65+'MR P&amp;L'!AG65+'OP P&amp;L'!AG65+'PH P&amp;L'!AG65+'RH P&amp;L'!AG65+'SB P&amp;L'!AG65+'SM P&amp;L'!AG65+'WP P&amp;L'!AG65+'WW P&amp;L'!AG65+'HO P&amp;L'!AG38</f>
        <v/>
      </c>
      <c r="AH23" s="20">
        <f>'BK P&amp;L'!AH65+'CC P&amp;L'!AH65+'DN P&amp;L'!AH65+'LF P&amp;L'!AH65+'MR P&amp;L'!AH65+'OP P&amp;L'!AH65+'PH P&amp;L'!AH65+'RH P&amp;L'!AH65+'SB P&amp;L'!AH65+'SM P&amp;L'!AH65+'WP P&amp;L'!AH65+'WW P&amp;L'!AH65+'HO P&amp;L'!AH38</f>
        <v/>
      </c>
      <c r="AI23" s="20">
        <f>'BK P&amp;L'!AI65+'CC P&amp;L'!AI65+'DN P&amp;L'!AI65+'LF P&amp;L'!AI65+'MR P&amp;L'!AI65+'OP P&amp;L'!AI65+'PH P&amp;L'!AI65+'RH P&amp;L'!AI65+'SB P&amp;L'!AI65+'SM P&amp;L'!AI65+'WP P&amp;L'!AI65+'WW P&amp;L'!AI65+'HO P&amp;L'!AI38</f>
        <v/>
      </c>
      <c r="AJ23" s="20">
        <f>'BK P&amp;L'!AJ65+'CC P&amp;L'!AJ65+'DN P&amp;L'!AJ65+'LF P&amp;L'!AJ65+'MR P&amp;L'!AJ65+'OP P&amp;L'!AJ65+'PH P&amp;L'!AJ65+'RH P&amp;L'!AJ65+'SB P&amp;L'!AJ65+'SM P&amp;L'!AJ65+'WP P&amp;L'!AJ65+'WW P&amp;L'!AJ65+'HO P&amp;L'!AJ38</f>
        <v/>
      </c>
      <c r="AK23" s="20">
        <f>'BK P&amp;L'!AK65+'CC P&amp;L'!AK65+'DN P&amp;L'!AK65+'LF P&amp;L'!AK65+'MR P&amp;L'!AK65+'OP P&amp;L'!AK65+'PH P&amp;L'!AK65+'RH P&amp;L'!AK65+'SB P&amp;L'!AK65+'SM P&amp;L'!AK65+'WP P&amp;L'!AK65+'WW P&amp;L'!AK65+'HO P&amp;L'!AK38</f>
        <v/>
      </c>
      <c r="AL23" s="20">
        <f>'BK P&amp;L'!AL65+'CC P&amp;L'!AL65+'DN P&amp;L'!AL65+'LF P&amp;L'!AL65+'MR P&amp;L'!AL65+'OP P&amp;L'!AL65+'PH P&amp;L'!AL65+'RH P&amp;L'!AL65+'SB P&amp;L'!AL65+'SM P&amp;L'!AL65+'WP P&amp;L'!AL65+'WW P&amp;L'!AL65+'HO P&amp;L'!AL38</f>
        <v/>
      </c>
      <c r="AM23" s="20">
        <f>'BK P&amp;L'!AM65+'CC P&amp;L'!AM65+'DN P&amp;L'!AM65+'LF P&amp;L'!AM65+'MR P&amp;L'!AM65+'OP P&amp;L'!AM65+'PH P&amp;L'!AM65+'RH P&amp;L'!AM65+'SB P&amp;L'!AM65+'SM P&amp;L'!AM65+'WP P&amp;L'!AM65+'WW P&amp;L'!AM65+'HO P&amp;L'!AM38</f>
        <v/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'BK P&amp;L'!U66+'CC P&amp;L'!U66+'DN P&amp;L'!U66+'LF P&amp;L'!U66+'MR P&amp;L'!U66+'OP P&amp;L'!U66+'PH P&amp;L'!U66+'RH P&amp;L'!U66+'SB P&amp;L'!U66+'SM P&amp;L'!U66+'WP P&amp;L'!U66+'WW P&amp;L'!U66+'HO P&amp;L'!U39</f>
        <v/>
      </c>
      <c r="V24" s="20">
        <f>'BK P&amp;L'!V66+'CC P&amp;L'!V66+'DN P&amp;L'!V66+'LF P&amp;L'!V66+'MR P&amp;L'!V66+'OP P&amp;L'!V66+'PH P&amp;L'!V66+'RH P&amp;L'!V66+'SB P&amp;L'!V66+'SM P&amp;L'!V66+'WP P&amp;L'!V66+'WW P&amp;L'!V66+'HO P&amp;L'!V39</f>
        <v/>
      </c>
      <c r="W24" s="20">
        <f>'BK P&amp;L'!W66+'CC P&amp;L'!W66+'DN P&amp;L'!W66+'LF P&amp;L'!W66+'MR P&amp;L'!W66+'OP P&amp;L'!W66+'PH P&amp;L'!W66+'RH P&amp;L'!W66+'SB P&amp;L'!W66+'SM P&amp;L'!W66+'WP P&amp;L'!W66+'WW P&amp;L'!W66+'HO P&amp;L'!W39</f>
        <v/>
      </c>
      <c r="X24" s="20">
        <f>'BK P&amp;L'!X66+'CC P&amp;L'!X66+'DN P&amp;L'!X66+'LF P&amp;L'!X66+'MR P&amp;L'!X66+'OP P&amp;L'!X66+'PH P&amp;L'!X66+'RH P&amp;L'!X66+'SB P&amp;L'!X66+'SM P&amp;L'!X66+'WP P&amp;L'!X66+'WW P&amp;L'!X66+'HO P&amp;L'!X39</f>
        <v/>
      </c>
      <c r="Y24" s="20">
        <f>'BK P&amp;L'!Y66+'CC P&amp;L'!Y66+'DN P&amp;L'!Y66+'LF P&amp;L'!Y66+'MR P&amp;L'!Y66+'OP P&amp;L'!Y66+'PH P&amp;L'!Y66+'RH P&amp;L'!Y66+'SB P&amp;L'!Y66+'SM P&amp;L'!Y66+'WP P&amp;L'!Y66+'WW P&amp;L'!Y66+'HO P&amp;L'!Y39</f>
        <v/>
      </c>
      <c r="Z24" s="20">
        <f>'BK P&amp;L'!Z66+'CC P&amp;L'!Z66+'DN P&amp;L'!Z66+'LF P&amp;L'!Z66+'MR P&amp;L'!Z66+'OP P&amp;L'!Z66+'PH P&amp;L'!Z66+'RH P&amp;L'!Z66+'SB P&amp;L'!Z66+'SM P&amp;L'!Z66+'WP P&amp;L'!Z66+'WW P&amp;L'!Z66+'HO P&amp;L'!Z39</f>
        <v/>
      </c>
      <c r="AA24" s="20">
        <f>'BK P&amp;L'!AA66+'CC P&amp;L'!AA66+'DN P&amp;L'!AA66+'LF P&amp;L'!AA66+'MR P&amp;L'!AA66+'OP P&amp;L'!AA66+'PH P&amp;L'!AA66+'RH P&amp;L'!AA66+'SB P&amp;L'!AA66+'SM P&amp;L'!AA66+'WP P&amp;L'!AA66+'WW P&amp;L'!AA66+'HO P&amp;L'!AA39</f>
        <v/>
      </c>
      <c r="AB24" s="20">
        <f>'BK P&amp;L'!AB66+'CC P&amp;L'!AB66+'DN P&amp;L'!AB66+'LF P&amp;L'!AB66+'MR P&amp;L'!AB66+'OP P&amp;L'!AB66+'PH P&amp;L'!AB66+'RH P&amp;L'!AB66+'SB P&amp;L'!AB66+'SM P&amp;L'!AB66+'WP P&amp;L'!AB66+'WW P&amp;L'!AB66+'HO P&amp;L'!AB39</f>
        <v/>
      </c>
      <c r="AC24" s="20">
        <f>'BK P&amp;L'!AC66+'CC P&amp;L'!AC66+'DN P&amp;L'!AC66+'LF P&amp;L'!AC66+'MR P&amp;L'!AC66+'OP P&amp;L'!AC66+'PH P&amp;L'!AC66+'RH P&amp;L'!AC66+'SB P&amp;L'!AC66+'SM P&amp;L'!AC66+'WP P&amp;L'!AC66+'WW P&amp;L'!AC66+'HO P&amp;L'!AC39</f>
        <v/>
      </c>
      <c r="AD24" s="20">
        <f>'BK P&amp;L'!AD66+'CC P&amp;L'!AD66+'DN P&amp;L'!AD66+'LF P&amp;L'!AD66+'MR P&amp;L'!AD66+'OP P&amp;L'!AD66+'PH P&amp;L'!AD66+'RH P&amp;L'!AD66+'SB P&amp;L'!AD66+'SM P&amp;L'!AD66+'WP P&amp;L'!AD66+'WW P&amp;L'!AD66+'HO P&amp;L'!AD39</f>
        <v/>
      </c>
      <c r="AE24" s="20">
        <f>'BK P&amp;L'!AE66+'CC P&amp;L'!AE66+'DN P&amp;L'!AE66+'LF P&amp;L'!AE66+'MR P&amp;L'!AE66+'OP P&amp;L'!AE66+'PH P&amp;L'!AE66+'RH P&amp;L'!AE66+'SB P&amp;L'!AE66+'SM P&amp;L'!AE66+'WP P&amp;L'!AE66+'WW P&amp;L'!AE66+'HO P&amp;L'!AE39</f>
        <v/>
      </c>
      <c r="AF24" s="20">
        <f>'BK P&amp;L'!AF66+'CC P&amp;L'!AF66+'DN P&amp;L'!AF66+'LF P&amp;L'!AF66+'MR P&amp;L'!AF66+'OP P&amp;L'!AF66+'PH P&amp;L'!AF66+'RH P&amp;L'!AF66+'SB P&amp;L'!AF66+'SM P&amp;L'!AF66+'WP P&amp;L'!AF66+'WW P&amp;L'!AF66+'HO P&amp;L'!AF39</f>
        <v/>
      </c>
      <c r="AG24" s="20">
        <f>'BK P&amp;L'!AG66+'CC P&amp;L'!AG66+'DN P&amp;L'!AG66+'LF P&amp;L'!AG66+'MR P&amp;L'!AG66+'OP P&amp;L'!AG66+'PH P&amp;L'!AG66+'RH P&amp;L'!AG66+'SB P&amp;L'!AG66+'SM P&amp;L'!AG66+'WP P&amp;L'!AG66+'WW P&amp;L'!AG66+'HO P&amp;L'!AG39</f>
        <v/>
      </c>
      <c r="AH24" s="20">
        <f>'BK P&amp;L'!AH66+'CC P&amp;L'!AH66+'DN P&amp;L'!AH66+'LF P&amp;L'!AH66+'MR P&amp;L'!AH66+'OP P&amp;L'!AH66+'PH P&amp;L'!AH66+'RH P&amp;L'!AH66+'SB P&amp;L'!AH66+'SM P&amp;L'!AH66+'WP P&amp;L'!AH66+'WW P&amp;L'!AH66+'HO P&amp;L'!AH39</f>
        <v/>
      </c>
      <c r="AI24" s="20">
        <f>'BK P&amp;L'!AI66+'CC P&amp;L'!AI66+'DN P&amp;L'!AI66+'LF P&amp;L'!AI66+'MR P&amp;L'!AI66+'OP P&amp;L'!AI66+'PH P&amp;L'!AI66+'RH P&amp;L'!AI66+'SB P&amp;L'!AI66+'SM P&amp;L'!AI66+'WP P&amp;L'!AI66+'WW P&amp;L'!AI66+'HO P&amp;L'!AI39</f>
        <v/>
      </c>
      <c r="AJ24" s="20">
        <f>'BK P&amp;L'!AJ66+'CC P&amp;L'!AJ66+'DN P&amp;L'!AJ66+'LF P&amp;L'!AJ66+'MR P&amp;L'!AJ66+'OP P&amp;L'!AJ66+'PH P&amp;L'!AJ66+'RH P&amp;L'!AJ66+'SB P&amp;L'!AJ66+'SM P&amp;L'!AJ66+'WP P&amp;L'!AJ66+'WW P&amp;L'!AJ66+'HO P&amp;L'!AJ39</f>
        <v/>
      </c>
      <c r="AK24" s="20">
        <f>'BK P&amp;L'!AK66+'CC P&amp;L'!AK66+'DN P&amp;L'!AK66+'LF P&amp;L'!AK66+'MR P&amp;L'!AK66+'OP P&amp;L'!AK66+'PH P&amp;L'!AK66+'RH P&amp;L'!AK66+'SB P&amp;L'!AK66+'SM P&amp;L'!AK66+'WP P&amp;L'!AK66+'WW P&amp;L'!AK66+'HO P&amp;L'!AK39</f>
        <v/>
      </c>
      <c r="AL24" s="20">
        <f>'BK P&amp;L'!AL66+'CC P&amp;L'!AL66+'DN P&amp;L'!AL66+'LF P&amp;L'!AL66+'MR P&amp;L'!AL66+'OP P&amp;L'!AL66+'PH P&amp;L'!AL66+'RH P&amp;L'!AL66+'SB P&amp;L'!AL66+'SM P&amp;L'!AL66+'WP P&amp;L'!AL66+'WW P&amp;L'!AL66+'HO P&amp;L'!AL39</f>
        <v/>
      </c>
      <c r="AM24" s="20">
        <f>'BK P&amp;L'!AM66+'CC P&amp;L'!AM66+'DN P&amp;L'!AM66+'LF P&amp;L'!AM66+'MR P&amp;L'!AM66+'OP P&amp;L'!AM66+'PH P&amp;L'!AM66+'RH P&amp;L'!AM66+'SB P&amp;L'!AM66+'SM P&amp;L'!AM66+'WP P&amp;L'!AM66+'WW P&amp;L'!AM66+'HO P&amp;L'!AM39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>
        <f>'BK P&amp;L'!U67+'CC P&amp;L'!U67+'DN P&amp;L'!U67+'LF P&amp;L'!U67+'MR P&amp;L'!U67+'OP P&amp;L'!U67+'PH P&amp;L'!U67+'RH P&amp;L'!U67+'SB P&amp;L'!U67+'SM P&amp;L'!U67+'WP P&amp;L'!U67+'WW P&amp;L'!U67+'HO P&amp;L'!U33</f>
        <v/>
      </c>
      <c r="V25" s="20">
        <f>'BK P&amp;L'!V67+'CC P&amp;L'!V67+'DN P&amp;L'!V67+'LF P&amp;L'!V67+'MR P&amp;L'!V67+'OP P&amp;L'!V67+'PH P&amp;L'!V67+'RH P&amp;L'!V67+'SB P&amp;L'!V67+'SM P&amp;L'!V67+'WP P&amp;L'!V67+'WW P&amp;L'!V67+'HO P&amp;L'!V33</f>
        <v/>
      </c>
      <c r="W25" s="20">
        <f>'BK P&amp;L'!W67+'CC P&amp;L'!W67+'DN P&amp;L'!W67+'LF P&amp;L'!W67+'MR P&amp;L'!W67+'OP P&amp;L'!W67+'PH P&amp;L'!W67+'RH P&amp;L'!W67+'SB P&amp;L'!W67+'SM P&amp;L'!W67+'WP P&amp;L'!W67+'WW P&amp;L'!W67+'HO P&amp;L'!W33</f>
        <v/>
      </c>
      <c r="X25" s="20">
        <f>'BK P&amp;L'!X67+'CC P&amp;L'!X67+'DN P&amp;L'!X67+'LF P&amp;L'!X67+'MR P&amp;L'!X67+'OP P&amp;L'!X67+'PH P&amp;L'!X67+'RH P&amp;L'!X67+'SB P&amp;L'!X67+'SM P&amp;L'!X67+'WP P&amp;L'!X67+'WW P&amp;L'!X67+'HO P&amp;L'!X33</f>
        <v/>
      </c>
      <c r="Y25" s="20">
        <f>'BK P&amp;L'!Y67+'CC P&amp;L'!Y67+'DN P&amp;L'!Y67+'LF P&amp;L'!Y67+'MR P&amp;L'!Y67+'OP P&amp;L'!Y67+'PH P&amp;L'!Y67+'RH P&amp;L'!Y67+'SB P&amp;L'!Y67+'SM P&amp;L'!Y67+'WP P&amp;L'!Y67+'WW P&amp;L'!Y67+'HO P&amp;L'!Y33</f>
        <v/>
      </c>
      <c r="Z25" s="20">
        <f>'BK P&amp;L'!Z67+'CC P&amp;L'!Z67+'DN P&amp;L'!Z67+'LF P&amp;L'!Z67+'MR P&amp;L'!Z67+'OP P&amp;L'!Z67+'PH P&amp;L'!Z67+'RH P&amp;L'!Z67+'SB P&amp;L'!Z67+'SM P&amp;L'!Z67+'WP P&amp;L'!Z67+'WW P&amp;L'!Z67+'HO P&amp;L'!Z33</f>
        <v/>
      </c>
      <c r="AA25" s="20">
        <f>'BK P&amp;L'!AA67+'CC P&amp;L'!AA67+'DN P&amp;L'!AA67+'LF P&amp;L'!AA67+'MR P&amp;L'!AA67+'OP P&amp;L'!AA67+'PH P&amp;L'!AA67+'RH P&amp;L'!AA67+'SB P&amp;L'!AA67+'SM P&amp;L'!AA67+'WP P&amp;L'!AA67+'WW P&amp;L'!AA67+'HO P&amp;L'!AA33</f>
        <v/>
      </c>
      <c r="AB25" s="20">
        <f>'BK P&amp;L'!AB67+'CC P&amp;L'!AB67+'DN P&amp;L'!AB67+'LF P&amp;L'!AB67+'MR P&amp;L'!AB67+'OP P&amp;L'!AB67+'PH P&amp;L'!AB67+'RH P&amp;L'!AB67+'SB P&amp;L'!AB67+'SM P&amp;L'!AB67+'WP P&amp;L'!AB67+'WW P&amp;L'!AB67+'HO P&amp;L'!AB33</f>
        <v/>
      </c>
      <c r="AC25" s="20">
        <f>'BK P&amp;L'!AC67+'CC P&amp;L'!AC67+'DN P&amp;L'!AC67+'LF P&amp;L'!AC67+'MR P&amp;L'!AC67+'OP P&amp;L'!AC67+'PH P&amp;L'!AC67+'RH P&amp;L'!AC67+'SB P&amp;L'!AC67+'SM P&amp;L'!AC67+'WP P&amp;L'!AC67+'WW P&amp;L'!AC67+'HO P&amp;L'!AC33</f>
        <v/>
      </c>
      <c r="AD25" s="20">
        <f>'BK P&amp;L'!AD67+'CC P&amp;L'!AD67+'DN P&amp;L'!AD67+'LF P&amp;L'!AD67+'MR P&amp;L'!AD67+'OP P&amp;L'!AD67+'PH P&amp;L'!AD67+'RH P&amp;L'!AD67+'SB P&amp;L'!AD67+'SM P&amp;L'!AD67+'WP P&amp;L'!AD67+'WW P&amp;L'!AD67+'HO P&amp;L'!AD33</f>
        <v/>
      </c>
      <c r="AE25" s="20">
        <f>'BK P&amp;L'!AE67+'CC P&amp;L'!AE67+'DN P&amp;L'!AE67+'LF P&amp;L'!AE67+'MR P&amp;L'!AE67+'OP P&amp;L'!AE67+'PH P&amp;L'!AE67+'RH P&amp;L'!AE67+'SB P&amp;L'!AE67+'SM P&amp;L'!AE67+'WP P&amp;L'!AE67+'WW P&amp;L'!AE67+'HO P&amp;L'!AE33</f>
        <v/>
      </c>
      <c r="AF25" s="20">
        <f>'BK P&amp;L'!AF67+'CC P&amp;L'!AF67+'DN P&amp;L'!AF67+'LF P&amp;L'!AF67+'MR P&amp;L'!AF67+'OP P&amp;L'!AF67+'PH P&amp;L'!AF67+'RH P&amp;L'!AF67+'SB P&amp;L'!AF67+'SM P&amp;L'!AF67+'WP P&amp;L'!AF67+'WW P&amp;L'!AF67+'HO P&amp;L'!AF33</f>
        <v/>
      </c>
      <c r="AG25" s="20">
        <f>'BK P&amp;L'!AG67+'CC P&amp;L'!AG67+'DN P&amp;L'!AG67+'LF P&amp;L'!AG67+'MR P&amp;L'!AG67+'OP P&amp;L'!AG67+'PH P&amp;L'!AG67+'RH P&amp;L'!AG67+'SB P&amp;L'!AG67+'SM P&amp;L'!AG67+'WP P&amp;L'!AG67+'WW P&amp;L'!AG67+'HO P&amp;L'!AG33</f>
        <v/>
      </c>
      <c r="AH25" s="20">
        <f>'BK P&amp;L'!AH67+'CC P&amp;L'!AH67+'DN P&amp;L'!AH67+'LF P&amp;L'!AH67+'MR P&amp;L'!AH67+'OP P&amp;L'!AH67+'PH P&amp;L'!AH67+'RH P&amp;L'!AH67+'SB P&amp;L'!AH67+'SM P&amp;L'!AH67+'WP P&amp;L'!AH67+'WW P&amp;L'!AH67+'HO P&amp;L'!AH33</f>
        <v/>
      </c>
      <c r="AI25" s="20">
        <f>'BK P&amp;L'!AI67+'CC P&amp;L'!AI67+'DN P&amp;L'!AI67+'LF P&amp;L'!AI67+'MR P&amp;L'!AI67+'OP P&amp;L'!AI67+'PH P&amp;L'!AI67+'RH P&amp;L'!AI67+'SB P&amp;L'!AI67+'SM P&amp;L'!AI67+'WP P&amp;L'!AI67+'WW P&amp;L'!AI67+'HO P&amp;L'!AI33</f>
        <v/>
      </c>
      <c r="AJ25" s="20">
        <f>'BK P&amp;L'!AJ67+'CC P&amp;L'!AJ67+'DN P&amp;L'!AJ67+'LF P&amp;L'!AJ67+'MR P&amp;L'!AJ67+'OP P&amp;L'!AJ67+'PH P&amp;L'!AJ67+'RH P&amp;L'!AJ67+'SB P&amp;L'!AJ67+'SM P&amp;L'!AJ67+'WP P&amp;L'!AJ67+'WW P&amp;L'!AJ67+'HO P&amp;L'!AJ33</f>
        <v/>
      </c>
      <c r="AK25" s="20">
        <f>'BK P&amp;L'!AK67+'CC P&amp;L'!AK67+'DN P&amp;L'!AK67+'LF P&amp;L'!AK67+'MR P&amp;L'!AK67+'OP P&amp;L'!AK67+'PH P&amp;L'!AK67+'RH P&amp;L'!AK67+'SB P&amp;L'!AK67+'SM P&amp;L'!AK67+'WP P&amp;L'!AK67+'WW P&amp;L'!AK67+'HO P&amp;L'!AK33</f>
        <v/>
      </c>
      <c r="AL25" s="20">
        <f>'BK P&amp;L'!AL67+'CC P&amp;L'!AL67+'DN P&amp;L'!AL67+'LF P&amp;L'!AL67+'MR P&amp;L'!AL67+'OP P&amp;L'!AL67+'PH P&amp;L'!AL67+'RH P&amp;L'!AL67+'SB P&amp;L'!AL67+'SM P&amp;L'!AL67+'WP P&amp;L'!AL67+'WW P&amp;L'!AL67+'HO P&amp;L'!AL33</f>
        <v/>
      </c>
      <c r="AM25" s="20">
        <f>'BK P&amp;L'!AM67+'CC P&amp;L'!AM67+'DN P&amp;L'!AM67+'LF P&amp;L'!AM67+'MR P&amp;L'!AM67+'OP P&amp;L'!AM67+'PH P&amp;L'!AM67+'RH P&amp;L'!AM67+'SB P&amp;L'!AM67+'SM P&amp;L'!AM67+'WP P&amp;L'!AM67+'WW P&amp;L'!AM67+'HO P&amp;L'!AM33</f>
        <v/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3673</v>
      </c>
      <c r="V26" s="20" t="n">
        <v>3673</v>
      </c>
      <c r="W26" s="20" t="n">
        <v>3673</v>
      </c>
      <c r="X26" s="20" t="n">
        <v>3673</v>
      </c>
      <c r="Y26" s="20" t="n">
        <v>3673</v>
      </c>
      <c r="Z26" s="20" t="n">
        <v>3673</v>
      </c>
      <c r="AA26" s="20" t="n">
        <v>3673</v>
      </c>
      <c r="AB26" s="20" t="n">
        <v>3673</v>
      </c>
      <c r="AC26" s="20" t="n">
        <v>3673</v>
      </c>
      <c r="AD26" s="20" t="n">
        <v>3673</v>
      </c>
      <c r="AE26" s="20" t="n">
        <v>3673</v>
      </c>
      <c r="AF26" s="20" t="n">
        <v>3673</v>
      </c>
      <c r="AG26" s="20" t="n">
        <v>3673</v>
      </c>
      <c r="AH26" s="20" t="n">
        <v>3673</v>
      </c>
      <c r="AI26" s="20" t="n">
        <v>3673</v>
      </c>
      <c r="AJ26" s="20" t="n">
        <v>3673</v>
      </c>
      <c r="AK26" s="20" t="n">
        <v>3673</v>
      </c>
      <c r="AL26" s="20" t="n">
        <v>3673</v>
      </c>
      <c r="AM26" s="20" t="n">
        <v>3673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 t="n">
        <v>18651.42</v>
      </c>
      <c r="E27" s="35" t="n">
        <v>30112.25</v>
      </c>
      <c r="F27" s="35" t="n">
        <v>22797.93</v>
      </c>
      <c r="G27" s="35" t="n">
        <v>24384.42</v>
      </c>
      <c r="H27" s="35" t="n">
        <v>23359.71</v>
      </c>
      <c r="I27" s="35" t="n">
        <v>27831.44</v>
      </c>
      <c r="J27" s="35" t="n">
        <v>32066.51</v>
      </c>
      <c r="K27" s="35" t="n">
        <v>28173.3</v>
      </c>
      <c r="L27" s="35" t="n">
        <v>46144.4</v>
      </c>
      <c r="M27" s="35" t="n">
        <v>56646.6</v>
      </c>
      <c r="N27" s="35" t="n">
        <v>53770.93</v>
      </c>
      <c r="O27" s="35" t="n">
        <v>41660.09</v>
      </c>
      <c r="P27" s="35" t="n">
        <v>62905.92</v>
      </c>
      <c r="Q27" s="35" t="n">
        <v>68103.48</v>
      </c>
      <c r="R27" s="35" t="n">
        <v>63171.66</v>
      </c>
      <c r="S27" s="35" t="n">
        <v>62636.34</v>
      </c>
      <c r="T27" s="85" t="n">
        <v>64262.28</v>
      </c>
      <c r="U27" s="17">
        <f>U23+U24+U25+U26</f>
        <v/>
      </c>
      <c r="V27" s="17">
        <f>V23+V24+V25+V26</f>
        <v/>
      </c>
      <c r="W27" s="17">
        <f>W23+W24+W25+W26</f>
        <v/>
      </c>
      <c r="X27" s="17">
        <f>X23+X24+X25+X26</f>
        <v/>
      </c>
      <c r="Y27" s="17">
        <f>Y23+Y24+Y25+Y26</f>
        <v/>
      </c>
      <c r="Z27" s="17">
        <f>Z23+Z24+Z25+Z26</f>
        <v/>
      </c>
      <c r="AA27" s="17">
        <f>AA23+AA24+AA25+AA26</f>
        <v/>
      </c>
      <c r="AB27" s="17">
        <f>AB23+AB24+AB25+AB26</f>
        <v/>
      </c>
      <c r="AC27" s="17">
        <f>AC23+AC24+AC25+AC26</f>
        <v/>
      </c>
      <c r="AD27" s="17">
        <f>AD23+AD24+AD25+AD26</f>
        <v/>
      </c>
      <c r="AE27" s="17">
        <f>AE23+AE24+AE25+AE26</f>
        <v/>
      </c>
      <c r="AF27" s="17">
        <f>AF23+AF24+AF25+AF26</f>
        <v/>
      </c>
      <c r="AG27" s="17">
        <f>AG23+AG24+AG25+AG26</f>
        <v/>
      </c>
      <c r="AH27" s="17">
        <f>AH23+AH24+AH25+AH26</f>
        <v/>
      </c>
      <c r="AI27" s="17">
        <f>AI23+AI24+AI25+AI26</f>
        <v/>
      </c>
      <c r="AJ27" s="17">
        <f>AJ23+AJ24+AJ25+AJ26</f>
        <v/>
      </c>
      <c r="AK27" s="17">
        <f>AK23+AK24+AK25+AK26</f>
        <v/>
      </c>
      <c r="AL27" s="17">
        <f>AL23+AL24+AL25+AL26</f>
        <v/>
      </c>
      <c r="AM27" s="17">
        <f>AM23+AM24+AM25+AM26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 t="n">
        <v>-29790.03999999999</v>
      </c>
      <c r="E28" s="35" t="n">
        <v>43207.94999999972</v>
      </c>
      <c r="F28" s="35" t="n">
        <v>125944.2600000001</v>
      </c>
      <c r="G28" s="35" t="n">
        <v>97961.77000000018</v>
      </c>
      <c r="H28" s="35" t="n">
        <v>62912.61000000018</v>
      </c>
      <c r="I28" s="35" t="n">
        <v>4393.529999999624</v>
      </c>
      <c r="J28" s="35" t="n">
        <v>19890.80999999971</v>
      </c>
      <c r="K28" s="35" t="n">
        <v>17079.74000000015</v>
      </c>
      <c r="L28" s="35" t="n">
        <v>-35499.56000000015</v>
      </c>
      <c r="M28" s="35" t="n">
        <v>-138189.0899999998</v>
      </c>
      <c r="N28" s="35" t="n">
        <v>-69507.25999999983</v>
      </c>
      <c r="O28" s="35" t="n">
        <v>-46371.18999999986</v>
      </c>
      <c r="P28" s="35" t="n">
        <v>36458.39999999995</v>
      </c>
      <c r="Q28" s="35" t="n">
        <v>16644.91999999991</v>
      </c>
      <c r="R28" s="35" t="n">
        <v>-15019.90000000011</v>
      </c>
      <c r="S28" s="35" t="n">
        <v>-9525.800000000192</v>
      </c>
      <c r="T28" s="85" t="n">
        <v>9469.260000000038</v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1842.1</v>
      </c>
      <c r="E69" s="35" t="n">
        <v>1850.23</v>
      </c>
      <c r="F69" s="35" t="n">
        <v>1850.23</v>
      </c>
      <c r="G69" s="35" t="n">
        <v>2219.38</v>
      </c>
      <c r="H69" s="35" t="n">
        <v>1855.96</v>
      </c>
      <c r="I69" s="35" t="n">
        <v>1855.96</v>
      </c>
      <c r="J69" s="35" t="n">
        <v>1855.96</v>
      </c>
      <c r="K69" s="35" t="n">
        <v>1855.96</v>
      </c>
      <c r="L69" s="35" t="n">
        <v>1882.97</v>
      </c>
      <c r="M69" s="35" t="n">
        <v>1882.97</v>
      </c>
      <c r="N69" s="35" t="n">
        <v>1882.97</v>
      </c>
      <c r="O69" s="35" t="n">
        <v>1483.6</v>
      </c>
      <c r="P69" s="35" t="n">
        <v>1833.55</v>
      </c>
      <c r="Q69" s="35" t="n">
        <v>2392.15</v>
      </c>
      <c r="R69" s="35" t="n">
        <v>1833.55</v>
      </c>
      <c r="S69" s="35" t="n">
        <v>1833.55</v>
      </c>
      <c r="T69" s="85" t="n">
        <v>1833.55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1124.68</v>
      </c>
      <c r="L69" s="35" t="n">
        <v>4074.81</v>
      </c>
      <c r="M69" s="35" t="n">
        <v>5914.690000000001</v>
      </c>
      <c r="N69" s="35" t="n">
        <v>4441.57</v>
      </c>
      <c r="O69" s="35" t="n">
        <v>1465.71</v>
      </c>
      <c r="P69" s="35" t="n">
        <v>4691.67</v>
      </c>
      <c r="Q69" s="35" t="n">
        <v>5077.36</v>
      </c>
      <c r="R69" s="35" t="n">
        <v>4691.67</v>
      </c>
      <c r="S69" s="35" t="n">
        <v>4691.67</v>
      </c>
      <c r="T69" s="85" t="n">
        <v>4691.67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3539.61</v>
      </c>
      <c r="J69" s="35" t="n">
        <v>3629.04</v>
      </c>
      <c r="K69" s="35" t="n">
        <v>3519.23</v>
      </c>
      <c r="L69" s="35" t="n">
        <v>3552.17</v>
      </c>
      <c r="M69" s="35" t="n">
        <v>3587.95</v>
      </c>
      <c r="N69" s="35" t="n">
        <v>3599.54</v>
      </c>
      <c r="O69" s="35" t="n">
        <v>5647.2</v>
      </c>
      <c r="P69" s="35" t="n">
        <v>3615.45</v>
      </c>
      <c r="Q69" s="35" t="n">
        <v>3812.78</v>
      </c>
      <c r="R69" s="35" t="n">
        <v>3615.45</v>
      </c>
      <c r="S69" s="35" t="n">
        <v>3615.45</v>
      </c>
      <c r="T69" s="85" t="n">
        <v>3615.45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5752.95</v>
      </c>
      <c r="E69" s="35" t="n">
        <v>5752.95</v>
      </c>
      <c r="F69" s="35" t="n">
        <v>5752.95</v>
      </c>
      <c r="G69" s="35" t="n">
        <v>5752.95</v>
      </c>
      <c r="H69" s="35" t="n">
        <v>5755.1</v>
      </c>
      <c r="I69" s="35" t="n">
        <v>5755.1</v>
      </c>
      <c r="J69" s="35" t="n">
        <v>5755.1</v>
      </c>
      <c r="K69" s="35" t="n">
        <v>5755.1</v>
      </c>
      <c r="L69" s="35" t="n">
        <v>5755.1</v>
      </c>
      <c r="M69" s="35" t="n">
        <v>8168.85</v>
      </c>
      <c r="N69" s="35" t="n">
        <v>7152.73</v>
      </c>
      <c r="O69" s="35" t="n">
        <v>-4232.47</v>
      </c>
      <c r="P69" s="35" t="n">
        <v>6276.940000000001</v>
      </c>
      <c r="Q69" s="35" t="n">
        <v>6705.830000000001</v>
      </c>
      <c r="R69" s="35" t="n">
        <v>6276.940000000001</v>
      </c>
      <c r="S69" s="35" t="n">
        <v>7674.530000000001</v>
      </c>
      <c r="T69" s="85" t="n">
        <v>4879.31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2839.96</v>
      </c>
      <c r="E69" s="35" t="n">
        <v>2857.96</v>
      </c>
      <c r="F69" s="35" t="n">
        <v>2857.96</v>
      </c>
      <c r="G69" s="35" t="n">
        <v>2857.96</v>
      </c>
      <c r="H69" s="35" t="n">
        <v>2860.18</v>
      </c>
      <c r="I69" s="35" t="n">
        <v>2860.18</v>
      </c>
      <c r="J69" s="35" t="n">
        <v>2860.18</v>
      </c>
      <c r="K69" s="35" t="n">
        <v>2860.18</v>
      </c>
      <c r="L69" s="35" t="n">
        <v>2860.18</v>
      </c>
      <c r="M69" s="35" t="n">
        <v>3543.56</v>
      </c>
      <c r="N69" s="35" t="n">
        <v>4226.93</v>
      </c>
      <c r="O69" s="35" t="n">
        <v>2491.5</v>
      </c>
      <c r="P69" s="35" t="n">
        <v>4093.43</v>
      </c>
      <c r="Q69" s="35" t="n">
        <v>4673.61</v>
      </c>
      <c r="R69" s="35" t="n">
        <v>4093.43</v>
      </c>
      <c r="S69" s="35" t="n">
        <v>6143.549999999999</v>
      </c>
      <c r="T69" s="85" t="n">
        <v>2726.68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2084.22</v>
      </c>
      <c r="H69" s="35" t="n">
        <v>2089.47</v>
      </c>
      <c r="I69" s="35" t="n">
        <v>2112.72</v>
      </c>
      <c r="J69" s="35" t="n">
        <v>2062.49</v>
      </c>
      <c r="K69" s="35" t="n">
        <v>2104.17</v>
      </c>
      <c r="L69" s="35" t="n">
        <v>2105.9</v>
      </c>
      <c r="M69" s="35" t="n">
        <v>2095.37</v>
      </c>
      <c r="N69" s="35" t="n">
        <v>2105.9</v>
      </c>
      <c r="O69" s="35" t="n">
        <v>2023.81</v>
      </c>
      <c r="P69" s="35" t="n">
        <v>1996.64</v>
      </c>
      <c r="Q69" s="35" t="n">
        <v>1996.64</v>
      </c>
      <c r="R69" s="35" t="n">
        <v>1996.64</v>
      </c>
      <c r="S69" s="35" t="n">
        <v>1996.64</v>
      </c>
      <c r="T69" s="85" t="n">
        <v>1996.64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661.33</v>
      </c>
      <c r="E69" s="35" t="n">
        <v>661.33</v>
      </c>
      <c r="F69" s="35" t="n">
        <v>661.33</v>
      </c>
      <c r="G69" s="35" t="n">
        <v>663.3200000000001</v>
      </c>
      <c r="H69" s="35" t="n">
        <v>669.97</v>
      </c>
      <c r="I69" s="35" t="n">
        <v>669.97</v>
      </c>
      <c r="J69" s="35" t="n">
        <v>669.97</v>
      </c>
      <c r="K69" s="35" t="n">
        <v>720.3099999999999</v>
      </c>
      <c r="L69" s="35" t="n">
        <v>809.14</v>
      </c>
      <c r="M69" s="35" t="n">
        <v>3214.14</v>
      </c>
      <c r="N69" s="35" t="n">
        <v>3214.04</v>
      </c>
      <c r="O69" s="35" t="n">
        <v>2881.07</v>
      </c>
      <c r="P69" s="35" t="n">
        <v>3129.74</v>
      </c>
      <c r="Q69" s="35" t="n">
        <v>3866.14</v>
      </c>
      <c r="R69" s="35" t="n">
        <v>3129.74</v>
      </c>
      <c r="S69" s="35" t="n">
        <v>3129.74</v>
      </c>
      <c r="T69" s="85" t="n">
        <v>3129.74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2222.08</v>
      </c>
      <c r="F69" s="35" t="n">
        <v>2272.52</v>
      </c>
      <c r="G69" s="35" t="n">
        <v>2278.09</v>
      </c>
      <c r="H69" s="35" t="n">
        <v>2374.86</v>
      </c>
      <c r="I69" s="35" t="n">
        <v>2374.86</v>
      </c>
      <c r="J69" s="35" t="n">
        <v>2402.5</v>
      </c>
      <c r="K69" s="35" t="n">
        <v>2402.5</v>
      </c>
      <c r="L69" s="35" t="n">
        <v>2402.5</v>
      </c>
      <c r="M69" s="35" t="n">
        <v>2433.63</v>
      </c>
      <c r="N69" s="35" t="n">
        <v>2433.63</v>
      </c>
      <c r="O69" s="35" t="n">
        <v>8606.440000000001</v>
      </c>
      <c r="P69" s="35" t="n">
        <v>2812.47</v>
      </c>
      <c r="Q69" s="35" t="n">
        <v>3392.4</v>
      </c>
      <c r="R69" s="35" t="n">
        <v>2812.47</v>
      </c>
      <c r="S69" s="35" t="n">
        <v>-1187.53</v>
      </c>
      <c r="T69" s="85" t="n">
        <v>2812.47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30.06</v>
      </c>
      <c r="L69" s="35" t="n">
        <v>28.29</v>
      </c>
      <c r="M69" s="35" t="n">
        <v>1226.85</v>
      </c>
      <c r="N69" s="35" t="n">
        <v>1989.31</v>
      </c>
      <c r="O69" s="35" t="n">
        <v>3449.56</v>
      </c>
      <c r="P69" s="35" t="n">
        <v>2506.58</v>
      </c>
      <c r="Q69" s="35" t="n">
        <v>2592.41</v>
      </c>
      <c r="R69" s="35" t="n">
        <v>2483.89</v>
      </c>
      <c r="S69" s="35" t="n">
        <v>2483.89</v>
      </c>
      <c r="T69" s="85" t="n">
        <v>2483.89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1930.47</v>
      </c>
      <c r="E69" s="35" t="n">
        <v>1926.7</v>
      </c>
      <c r="F69" s="35" t="n">
        <v>1926.7</v>
      </c>
      <c r="G69" s="35" t="n">
        <v>1936.47</v>
      </c>
      <c r="H69" s="35" t="n">
        <v>1957.26</v>
      </c>
      <c r="I69" s="35" t="n">
        <v>2892.68</v>
      </c>
      <c r="J69" s="35" t="n">
        <v>5146.1</v>
      </c>
      <c r="K69" s="35" t="n">
        <v>1985.01</v>
      </c>
      <c r="L69" s="35" t="n">
        <v>3930.01</v>
      </c>
      <c r="M69" s="35" t="n">
        <v>5875.01</v>
      </c>
      <c r="N69" s="35" t="n">
        <v>5875.01</v>
      </c>
      <c r="O69" s="35" t="n">
        <v>9818.83</v>
      </c>
      <c r="P69" s="35" t="n">
        <v>6183.280000000001</v>
      </c>
      <c r="Q69" s="35" t="n">
        <v>7255.240000000001</v>
      </c>
      <c r="R69" s="35" t="n">
        <v>6183.280000000001</v>
      </c>
      <c r="S69" s="35" t="n">
        <v>6200.25</v>
      </c>
      <c r="T69" s="85" t="n">
        <v>4238.280000000001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4.88</v>
      </c>
      <c r="I69" s="35" t="n">
        <v>4.88</v>
      </c>
      <c r="J69" s="35" t="n">
        <v>14.63</v>
      </c>
      <c r="K69" s="35" t="n">
        <v>42.21</v>
      </c>
      <c r="L69" s="35" t="n">
        <v>469.44</v>
      </c>
      <c r="M69" s="35" t="n">
        <v>635.23</v>
      </c>
      <c r="N69" s="35" t="n">
        <v>635.23</v>
      </c>
      <c r="O69" s="35" t="n">
        <v>-201.99</v>
      </c>
      <c r="P69" s="35" t="n">
        <v>772.58</v>
      </c>
      <c r="Q69" s="35" t="n">
        <v>826.9299999999999</v>
      </c>
      <c r="R69" s="35" t="n">
        <v>1038.11</v>
      </c>
      <c r="S69" s="35" t="n">
        <v>1038.11</v>
      </c>
      <c r="T69" s="85" t="n">
        <v>1038.11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 t="n">
        <v>5217.58</v>
      </c>
      <c r="E69" s="35" t="n">
        <v>5392.73</v>
      </c>
      <c r="F69" s="35" t="n">
        <v>5369.21</v>
      </c>
      <c r="G69" s="35" t="n">
        <v>5383.450000000001</v>
      </c>
      <c r="H69" s="35" t="n">
        <v>5383.450000000001</v>
      </c>
      <c r="I69" s="35" t="n">
        <v>5383.450000000001</v>
      </c>
      <c r="J69" s="35" t="n">
        <v>7288.51</v>
      </c>
      <c r="K69" s="35" t="n">
        <v>5391.860000000001</v>
      </c>
      <c r="L69" s="35" t="n">
        <v>5391.860000000001</v>
      </c>
      <c r="M69" s="35" t="n">
        <v>5391.860000000001</v>
      </c>
      <c r="N69" s="35" t="n">
        <v>4433.440000000001</v>
      </c>
      <c r="O69" s="35" t="n">
        <v>3242.35</v>
      </c>
      <c r="P69" s="35" t="n">
        <v>5453.99</v>
      </c>
      <c r="Q69" s="35" t="n">
        <v>5949.49</v>
      </c>
      <c r="R69" s="35" t="n">
        <v>5453.99</v>
      </c>
      <c r="S69" s="35" t="n">
        <v>5453.99</v>
      </c>
      <c r="T69" s="85" t="n">
        <v>5453.99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1188.6</v>
      </c>
      <c r="V33" s="41" t="n">
        <v>1188.6</v>
      </c>
      <c r="W33" s="41" t="n">
        <v>1188.6</v>
      </c>
      <c r="X33" s="41" t="n">
        <v>1188.6</v>
      </c>
      <c r="Y33" s="41" t="n">
        <v>1188.6</v>
      </c>
      <c r="Z33" s="41" t="n">
        <v>1188.6</v>
      </c>
      <c r="AA33" s="41" t="n">
        <v>1188.6</v>
      </c>
      <c r="AB33" s="41" t="n">
        <v>1188.6</v>
      </c>
      <c r="AC33" s="41" t="n">
        <v>1188.6</v>
      </c>
      <c r="AD33" s="41" t="n">
        <v>1188.6</v>
      </c>
      <c r="AE33" s="41" t="n">
        <v>1188.6</v>
      </c>
      <c r="AF33" s="41" t="n">
        <v>1188.6</v>
      </c>
      <c r="AG33" s="41" t="n">
        <v>1188.6</v>
      </c>
      <c r="AH33" s="41" t="n">
        <v>1188.6</v>
      </c>
      <c r="AI33" s="41" t="n">
        <v>1188.6</v>
      </c>
      <c r="AJ33" s="41" t="n">
        <v>1188.6</v>
      </c>
      <c r="AK33" s="41" t="n">
        <v>1188.6</v>
      </c>
      <c r="AL33" s="41" t="n">
        <v>1188.6</v>
      </c>
      <c r="AM33" s="41" t="n">
        <v>1188.6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14026</v>
      </c>
      <c r="V39" s="41" t="n">
        <v>14026</v>
      </c>
      <c r="W39" s="41" t="n">
        <v>14026</v>
      </c>
      <c r="X39" s="41">
        <f>'Cash Flow Forecast'!X49+1333.3333</f>
        <v/>
      </c>
      <c r="Y39" s="41">
        <f>'Cash Flow Forecast'!Y49+1333.3333</f>
        <v/>
      </c>
      <c r="Z39" s="41">
        <f>'Cash Flow Forecast'!Z49+1333.3333</f>
        <v/>
      </c>
      <c r="AA39" s="41">
        <f>'Cash Flow Forecast'!AA49+1333.3333</f>
        <v/>
      </c>
      <c r="AB39" s="41">
        <f>'Cash Flow Forecast'!AB49+1333.3333</f>
        <v/>
      </c>
      <c r="AC39" s="41">
        <f>'Cash Flow Forecast'!AC49+1333.3333</f>
        <v/>
      </c>
      <c r="AD39" s="41">
        <f>'Cash Flow Forecast'!AD49+1333.3333</f>
        <v/>
      </c>
      <c r="AE39" s="41">
        <f>'Cash Flow Forecast'!AE49+1333.3333</f>
        <v/>
      </c>
      <c r="AF39" s="41">
        <f>'Cash Flow Forecast'!AF49+1333.3333</f>
        <v/>
      </c>
      <c r="AG39" s="41">
        <f>'Cash Flow Forecast'!AG49+1333.3333</f>
        <v/>
      </c>
      <c r="AH39" s="41">
        <f>'Cash Flow Forecast'!AH49+1333.3333</f>
        <v/>
      </c>
      <c r="AI39" s="41">
        <f>'Cash Flow Forecast'!AI49+1333.3333</f>
        <v/>
      </c>
      <c r="AJ39" s="41">
        <f>'Cash Flow Forecast'!AJ49+1333.3333</f>
        <v/>
      </c>
      <c r="AK39" s="41">
        <f>'Cash Flow Forecast'!AK49+1333.3333</f>
        <v/>
      </c>
      <c r="AL39" s="41">
        <f>'Cash Flow Forecast'!AL49+1333.3333</f>
        <v/>
      </c>
      <c r="AM39" s="41">
        <f>'Cash Flow Forecast'!AM49+1333.3333</f>
        <v/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2026-06-30T22:46:32Z</dcterms:modified>
  <cp:lastModifiedBy>Jason Grunfeld</cp:lastModifiedBy>
</cp:coreProperties>
</file>