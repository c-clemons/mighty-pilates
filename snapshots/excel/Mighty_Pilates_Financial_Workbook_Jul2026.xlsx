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400" yWindow="-20" windowWidth="38400" windowHeight="19660" tabRatio="600" firstSheet="0" activeTab="6" autoFilterDateGrouping="1"/>
  </bookViews>
  <sheets>
    <sheet xmlns:r="http://schemas.openxmlformats.org/officeDocument/2006/relationships" name="Company Prepared Model&gt;&gt;&gt;" sheetId="1" state="visible" r:id="rId1"/>
    <sheet xmlns:r="http://schemas.openxmlformats.org/officeDocument/2006/relationships" name="Sources and Uses" sheetId="2" state="visible" r:id="rId2"/>
    <sheet xmlns:r="http://schemas.openxmlformats.org/officeDocument/2006/relationships" name="Charts" sheetId="3" state="visible" r:id="rId3"/>
    <sheet xmlns:r="http://schemas.openxmlformats.org/officeDocument/2006/relationships" name="Financials Commentary" sheetId="4" state="visible" r:id="rId4"/>
    <sheet xmlns:r="http://schemas.openxmlformats.org/officeDocument/2006/relationships" name="Cover" sheetId="5" state="visible" r:id="rId5"/>
    <sheet xmlns:r="http://schemas.openxmlformats.org/officeDocument/2006/relationships" name="Read Me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Sales Forecast" sheetId="8" state="visible" r:id="rId8"/>
    <sheet xmlns:r="http://schemas.openxmlformats.org/officeDocument/2006/relationships" name="Assumptions" sheetId="9" state="visible" r:id="rId9"/>
    <sheet xmlns:r="http://schemas.openxmlformats.org/officeDocument/2006/relationships" name="Cash, Debt &amp; Equity" sheetId="10" state="visible" r:id="rId10"/>
    <sheet xmlns:r="http://schemas.openxmlformats.org/officeDocument/2006/relationships" name="Cash Flow Forecast (w prototype" sheetId="11" state="visible" r:id="rId11"/>
    <sheet xmlns:r="http://schemas.openxmlformats.org/officeDocument/2006/relationships" name="P&amp;L (Existing Locations)" sheetId="12" state="visible" r:id="rId12"/>
    <sheet xmlns:r="http://schemas.openxmlformats.org/officeDocument/2006/relationships" name="All Studios Summary (Existing)" sheetId="13" state="visible" r:id="rId13"/>
    <sheet xmlns:r="http://schemas.openxmlformats.org/officeDocument/2006/relationships" name="BK P&amp;L" sheetId="14" state="visible" r:id="rId14"/>
    <sheet xmlns:r="http://schemas.openxmlformats.org/officeDocument/2006/relationships" name="CC P&amp;L" sheetId="15" state="visible" r:id="rId15"/>
    <sheet xmlns:r="http://schemas.openxmlformats.org/officeDocument/2006/relationships" name="DN P&amp;L" sheetId="16" state="visible" r:id="rId16"/>
    <sheet xmlns:r="http://schemas.openxmlformats.org/officeDocument/2006/relationships" name="LF P&amp;L" sheetId="17" state="visible" r:id="rId17"/>
    <sheet xmlns:r="http://schemas.openxmlformats.org/officeDocument/2006/relationships" name="MR P&amp;L" sheetId="18" state="visible" r:id="rId18"/>
    <sheet xmlns:r="http://schemas.openxmlformats.org/officeDocument/2006/relationships" name="OP P&amp;L" sheetId="19" state="visible" r:id="rId19"/>
    <sheet xmlns:r="http://schemas.openxmlformats.org/officeDocument/2006/relationships" name="PH P&amp;L" sheetId="20" state="visible" r:id="rId20"/>
    <sheet xmlns:r="http://schemas.openxmlformats.org/officeDocument/2006/relationships" name="RH P&amp;L" sheetId="21" state="visible" r:id="rId21"/>
    <sheet xmlns:r="http://schemas.openxmlformats.org/officeDocument/2006/relationships" name="SB P&amp;L" sheetId="22" state="visible" r:id="rId22"/>
    <sheet xmlns:r="http://schemas.openxmlformats.org/officeDocument/2006/relationships" name="SM P&amp;L" sheetId="23" state="visible" r:id="rId23"/>
    <sheet xmlns:r="http://schemas.openxmlformats.org/officeDocument/2006/relationships" name="WP P&amp;L" sheetId="24" state="visible" r:id="rId24"/>
    <sheet xmlns:r="http://schemas.openxmlformats.org/officeDocument/2006/relationships" name="WW P&amp;L" sheetId="25" state="visible" r:id="rId25"/>
    <sheet xmlns:r="http://schemas.openxmlformats.org/officeDocument/2006/relationships" name="HO P&amp;L" sheetId="26" state="visible" r:id="rId26"/>
    <sheet xmlns:r="http://schemas.openxmlformats.org/officeDocument/2006/relationships" name="CapEx" sheetId="27" state="visible" r:id="rId27"/>
    <sheet xmlns:r="http://schemas.openxmlformats.org/officeDocument/2006/relationships" name="Prototype Build&gt;&gt;&gt;" sheetId="28" state="visible" r:id="rId28"/>
    <sheet xmlns:r="http://schemas.openxmlformats.org/officeDocument/2006/relationships" name="Prototype" sheetId="29" state="visible" r:id="rId29"/>
    <sheet xmlns:r="http://schemas.openxmlformats.org/officeDocument/2006/relationships" name="All Calculations" sheetId="30" state="visible" r:id="rId30"/>
    <sheet xmlns:r="http://schemas.openxmlformats.org/officeDocument/2006/relationships" name="QBO Actuals" sheetId="31" state="visible" r:id="rId31"/>
  </sheets>
  <definedNames>
    <definedName name="_xlnm.Print_Area" localSheetId="6">'Summary'!$B$1:$BH$95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3">
    <numFmt numFmtId="164" formatCode="#,##0;[Red]\(#,##0\);&quot;-&quot;"/>
    <numFmt numFmtId="165" formatCode="0.0%"/>
    <numFmt numFmtId="166" formatCode="#,##0.00\ _€"/>
    <numFmt numFmtId="167" formatCode="0.0\x"/>
    <numFmt numFmtId="168" formatCode="&quot;$&quot;#,##0_);\(&quot;$&quot;#,##0\)"/>
    <numFmt numFmtId="169" formatCode="&quot;$&quot;#,##0_);[Red]\(&quot;$&quot;#,##0\)"/>
    <numFmt numFmtId="170" formatCode="General\P"/>
    <numFmt numFmtId="171" formatCode="General\A"/>
    <numFmt numFmtId="172" formatCode="&quot;$&quot;#,##0;\(&quot;$&quot;#,##0\);\-"/>
    <numFmt numFmtId="173" formatCode="0.0%;\(0.0%\);\-"/>
    <numFmt numFmtId="174" formatCode="&quot;$&quot;#,##0"/>
    <numFmt numFmtId="175" formatCode="mmm\-yyyy"/>
    <numFmt numFmtId="176" formatCode="_(&quot;$&quot;* #,##0.00_);_(&quot;$&quot;* \(#,##0.00\);_(&quot;$&quot;* &quot;-&quot;??_);_(@_)"/>
  </numFmts>
  <fonts count="86">
    <font>
      <name val="Calibri"/>
      <family val="2"/>
      <color theme="1"/>
      <sz val="11"/>
      <scheme val="minor"/>
    </font>
    <font>
      <name val="Calibri"/>
      <family val="2"/>
      <b val="1"/>
      <color rgb="FF1B2A4A"/>
      <sz val="24"/>
    </font>
    <font>
      <name val="Calibri"/>
      <family val="2"/>
      <color rgb="FF1B2A4A"/>
      <sz val="18"/>
    </font>
    <font>
      <name val="Calibri"/>
      <family val="2"/>
      <i val="1"/>
      <color rgb="FF666666"/>
      <sz val="10"/>
    </font>
    <font>
      <name val="Calibri"/>
      <family val="2"/>
      <b val="1"/>
      <color rgb="FF1B2A4A"/>
      <sz val="11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b val="1"/>
      <color rgb="FFFFFFFF"/>
      <sz val="12"/>
    </font>
    <font>
      <name val="Calibri"/>
      <family val="2"/>
      <color rgb="FF0000CC"/>
      <sz val="10"/>
    </font>
    <font>
      <name val="Calibri"/>
      <family val="2"/>
      <i val="1"/>
      <color rgb="FF666666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i val="1"/>
      <color rgb="FF999999"/>
      <sz val="11"/>
    </font>
    <font>
      <name val="Calibri"/>
      <family val="2"/>
      <color rgb="FF999999"/>
      <sz val="11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Arial"/>
      <family val="2"/>
      <color indexed="8"/>
      <sz val="8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u val="single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sz val="11"/>
    </font>
    <font>
      <name val="Calibri"/>
      <family val="2"/>
      <color indexed="8"/>
      <sz val="11"/>
    </font>
    <font>
      <name val="Calibri"/>
      <family val="2"/>
      <color rgb="FF0000FF"/>
      <sz val="11"/>
    </font>
    <font>
      <name val="Calibri"/>
      <family val="2"/>
      <b val="1"/>
      <color indexed="8"/>
      <sz val="11"/>
    </font>
    <font>
      <name val="Calibri"/>
      <family val="2"/>
      <b val="1"/>
      <color rgb="FF00B050"/>
      <sz val="11"/>
    </font>
    <font>
      <name val="Calibri"/>
      <family val="2"/>
      <b val="1"/>
      <color theme="1"/>
      <sz val="11"/>
    </font>
    <font>
      <name val="Calibri"/>
      <family val="2"/>
      <color rgb="FF00B050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00B050"/>
      <sz val="10"/>
    </font>
    <font>
      <name val="Calibri"/>
      <family val="2"/>
      <b val="1"/>
      <color rgb="FFCC9900"/>
      <sz val="10"/>
    </font>
    <font>
      <name val="Calibri"/>
      <family val="2"/>
      <b val="1"/>
      <color rgb="FFFF0000"/>
      <sz val="11"/>
      <scheme val="minor"/>
    </font>
    <font>
      <name val="Calibri"/>
      <family val="2"/>
      <color rgb="FF00B050"/>
      <sz val="10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sz val="11"/>
    </font>
    <font>
      <name val="Arial"/>
      <family val="2"/>
      <b val="1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rgb="FF595959"/>
      <sz val="12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9"/>
      <scheme val="minor"/>
    </font>
    <font>
      <name val="Calibri"/>
      <family val="2"/>
      <color rgb="FF008000"/>
      <sz val="12"/>
      <scheme val="minor"/>
    </font>
    <font>
      <name val="Calibri"/>
      <family val="2"/>
      <b val="1"/>
      <color rgb="FF008000"/>
      <sz val="12"/>
      <scheme val="minor"/>
    </font>
    <font>
      <name val="Calibri"/>
      <family val="2"/>
      <i val="1"/>
      <color rgb="FF808080"/>
      <sz val="12"/>
      <scheme val="minor"/>
    </font>
    <font>
      <name val="Calibri"/>
      <family val="2"/>
      <b val="1"/>
      <i val="1"/>
      <color rgb="FF808080"/>
      <sz val="12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FF"/>
      <sz val="12"/>
      <scheme val="minor"/>
    </font>
    <font>
      <name val="Calibri"/>
      <family val="2"/>
      <b val="1"/>
      <color rgb="FF0000FF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8" tint="0.3999755851924192"/>
      <sz val="12"/>
      <scheme val="minor"/>
    </font>
    <font>
      <name val="Calibri"/>
      <family val="2"/>
      <b val="1"/>
      <color theme="7" tint="-0.249977111117893"/>
      <sz val="12"/>
      <scheme val="minor"/>
    </font>
    <font>
      <name val="Calibri"/>
      <family val="2"/>
      <b val="1"/>
      <color rgb="FFFFC000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color theme="8" tint="0.3999755851924192"/>
      <sz val="12"/>
      <scheme val="minor"/>
    </font>
    <font>
      <name val="Calibri"/>
      <family val="2"/>
      <color theme="7" tint="-0.249977111117893"/>
      <sz val="12"/>
      <scheme val="minor"/>
    </font>
    <font>
      <name val="Calibri"/>
      <family val="2"/>
      <color rgb="FFFFC00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color rgb="FF0066FF"/>
      <sz val="10"/>
    </font>
    <font>
      <name val="Calibri"/>
      <family val="2"/>
      <i val="1"/>
      <color rgb="FF0066FF"/>
      <sz val="10"/>
    </font>
    <font>
      <name val="Calibri"/>
      <family val="2"/>
      <color rgb="FF0066FF"/>
      <sz val="11"/>
      <scheme val="minor"/>
    </font>
    <font>
      <name val="Calibri"/>
      <family val="2"/>
      <color rgb="FF00B050"/>
      <sz val="12"/>
      <scheme val="minor"/>
    </font>
    <font>
      <name val="Calibri"/>
      <family val="2"/>
      <color theme="0" tint="-0.0499893185216834"/>
      <sz val="11"/>
      <scheme val="minor"/>
    </font>
    <font>
      <name val="Calibri"/>
      <family val="2"/>
      <color rgb="FFFF0000"/>
      <sz val="10"/>
    </font>
    <font>
      <name val="Calibri"/>
      <family val="2"/>
      <b val="1"/>
      <color rgb="FF00B050"/>
      <sz val="11"/>
      <scheme val="minor"/>
    </font>
    <font>
      <name val="Calibri"/>
      <family val="2"/>
      <b val="1"/>
      <color indexed="8"/>
      <sz val="11"/>
      <u val="single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2D5016"/>
        <bgColor rgb="FF2D5016"/>
      </patternFill>
    </fill>
    <fill>
      <patternFill patternType="solid">
        <fgColor rgb="FFD5EAD0"/>
        <bgColor rgb="FFD5EAD0"/>
      </patternFill>
    </fill>
    <fill>
      <patternFill patternType="solid">
        <fgColor rgb="FF1B2A4A"/>
        <bgColor rgb="FF1B2A4A"/>
      </patternFill>
    </fill>
    <fill>
      <patternFill patternType="solid">
        <fgColor rgb="FF4472C4"/>
        <bgColor rgb="FF4472C4"/>
      </patternFill>
    </fill>
    <fill>
      <patternFill patternType="solid">
        <fgColor rgb="FF2D5016"/>
        <bgColor rgb="FF2D5016"/>
      </patternFill>
    </fill>
    <fill>
      <patternFill patternType="solid">
        <fgColor rgb="FFE8F4E8"/>
        <bgColor rgb="FFE8F4E8"/>
      </patternFill>
    </fill>
    <fill>
      <patternFill patternType="solid">
        <fgColor rgb="FFD6E4F0"/>
        <bgColor rgb="FFD6E4F0"/>
      </patternFill>
    </fill>
    <fill>
      <patternFill patternType="solid">
        <fgColor rgb="FF1B2A4A"/>
        <bgColor rgb="FF1B2A4A"/>
      </patternFill>
    </fill>
    <fill>
      <patternFill patternType="solid">
        <fgColor rgb="FFE8F4E8"/>
        <bgColor rgb="FFE8F4E8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D5EAD0"/>
        <bgColor rgb="FFD5EAD0"/>
      </patternFill>
    </fill>
    <fill>
      <patternFill patternType="solid">
        <fgColor rgb="FFE8F4E8"/>
        <bgColor rgb="FFE8F4E8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C9900"/>
        <bgColor rgb="FF1B2A4A"/>
      </patternFill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0" tint="-0.1499984740745262"/>
        <bgColor rgb="FFD5EAD0"/>
      </patternFill>
    </fill>
    <fill>
      <patternFill patternType="solid">
        <fgColor rgb="FF00B050"/>
        <bgColor indexed="64"/>
      </patternFill>
    </fill>
  </fills>
  <borders count="3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</borders>
  <cellStyleXfs count="6">
    <xf numFmtId="0" fontId="52" fillId="0" borderId="0"/>
    <xf numFmtId="9" fontId="52" fillId="0" borderId="0"/>
    <xf numFmtId="0" fontId="53" fillId="0" borderId="0"/>
    <xf numFmtId="0" fontId="52" fillId="0" borderId="0"/>
    <xf numFmtId="9" fontId="52" fillId="0" borderId="0"/>
    <xf numFmtId="44" fontId="52" fillId="0" borderId="0"/>
  </cellStyleXfs>
  <cellXfs count="3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8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1" fillId="6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5" fillId="9" borderId="1" pivotButton="0" quotePrefix="0" xfId="0"/>
    <xf numFmtId="164" fontId="5" fillId="5" borderId="1" pivotButton="0" quotePrefix="0" xfId="0"/>
    <xf numFmtId="0" fontId="6" fillId="0" borderId="0" applyAlignment="1" pivotButton="0" quotePrefix="0" xfId="0">
      <alignment horizontal="left" vertical="center"/>
    </xf>
    <xf numFmtId="164" fontId="6" fillId="3" borderId="1" pivotButton="0" quotePrefix="0" xfId="0"/>
    <xf numFmtId="164" fontId="6" fillId="0" borderId="1" pivotButton="0" quotePrefix="0" xfId="0"/>
    <xf numFmtId="165" fontId="5" fillId="0" borderId="1" pivotButton="0" quotePrefix="0" xfId="0"/>
    <xf numFmtId="165" fontId="6" fillId="0" borderId="1" pivotButton="0" quotePrefix="0" xfId="0"/>
    <xf numFmtId="164" fontId="5" fillId="5" borderId="0" pivotButton="0" quotePrefix="0" xfId="0"/>
    <xf numFmtId="164" fontId="0" fillId="0" borderId="0" pivotButton="0" quotePrefix="0" xfId="0"/>
    <xf numFmtId="49" fontId="9" fillId="2" borderId="1" pivotButton="0" quotePrefix="0" xfId="0"/>
    <xf numFmtId="3" fontId="9" fillId="2" borderId="1" pivotButton="0" quotePrefix="0" xfId="0"/>
    <xf numFmtId="0" fontId="5" fillId="5" borderId="0" applyAlignment="1" pivotButton="0" quotePrefix="0" xfId="0">
      <alignment horizontal="center" vertical="center"/>
    </xf>
    <xf numFmtId="165" fontId="9" fillId="2" borderId="1" pivotButton="0" quotePrefix="0" xfId="0"/>
    <xf numFmtId="165" fontId="5" fillId="5" borderId="1" pivotButton="0" quotePrefix="0" xfId="0"/>
    <xf numFmtId="10" fontId="9" fillId="2" borderId="1" pivotButton="0" quotePrefix="0" xfId="0"/>
    <xf numFmtId="164" fontId="9" fillId="2" borderId="1" pivotButton="0" quotePrefix="0" xfId="0"/>
    <xf numFmtId="0" fontId="5" fillId="5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164" fontId="5" fillId="3" borderId="1" pivotButton="0" quotePrefix="0" xfId="0"/>
    <xf numFmtId="164" fontId="5" fillId="7" borderId="1" pivotButton="0" quotePrefix="0" xfId="0"/>
    <xf numFmtId="164" fontId="5" fillId="0" borderId="1" pivotButton="0" quotePrefix="0" xfId="0"/>
    <xf numFmtId="0" fontId="0" fillId="2" borderId="1" pivotButton="0" quotePrefix="0" xfId="0"/>
    <xf numFmtId="0" fontId="17" fillId="0" borderId="0" pivotButton="0" quotePrefix="0" xfId="0"/>
    <xf numFmtId="164" fontId="17" fillId="13" borderId="2" pivotButton="0" quotePrefix="0" xfId="0"/>
    <xf numFmtId="164" fontId="17" fillId="0" borderId="2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16" fillId="11" borderId="0" applyAlignment="1" pivotButton="0" quotePrefix="0" xfId="0">
      <alignment horizontal="left" vertical="center"/>
    </xf>
    <xf numFmtId="0" fontId="16" fillId="12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indent="1"/>
    </xf>
    <xf numFmtId="0" fontId="15" fillId="14" borderId="0" applyAlignment="1" pivotButton="0" quotePrefix="0" xfId="0">
      <alignment horizontal="left" vertical="center"/>
    </xf>
    <xf numFmtId="0" fontId="0" fillId="14" borderId="0" pivotButton="0" quotePrefix="0" xfId="0"/>
    <xf numFmtId="164" fontId="15" fillId="13" borderId="2" pivotButton="0" quotePrefix="0" xfId="0"/>
    <xf numFmtId="164" fontId="15" fillId="14" borderId="2" pivotButton="0" quotePrefix="0" xfId="0"/>
    <xf numFmtId="0" fontId="18" fillId="0" borderId="0" pivotButton="0" quotePrefix="0" xfId="0"/>
    <xf numFmtId="164" fontId="19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15" borderId="0" applyAlignment="1" pivotButton="0" quotePrefix="0" xfId="0">
      <alignment horizontal="left" vertical="center"/>
    </xf>
    <xf numFmtId="0" fontId="0" fillId="15" borderId="0" pivotButton="0" quotePrefix="0" xfId="0"/>
    <xf numFmtId="0" fontId="24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 wrapText="1"/>
    </xf>
    <xf numFmtId="164" fontId="20" fillId="0" borderId="3" pivotButton="0" quotePrefix="0" xfId="0"/>
    <xf numFmtId="164" fontId="6" fillId="16" borderId="4" pivotButton="0" quotePrefix="0" xfId="0"/>
    <xf numFmtId="164" fontId="25" fillId="16" borderId="4" pivotButton="0" quotePrefix="0" xfId="0"/>
    <xf numFmtId="0" fontId="27" fillId="18" borderId="0" applyAlignment="1" pivotButton="0" quotePrefix="0" xfId="0">
      <alignment horizontal="left" vertical="center"/>
    </xf>
    <xf numFmtId="0" fontId="0" fillId="18" borderId="0" pivotButton="0" quotePrefix="0" xfId="0"/>
    <xf numFmtId="0" fontId="28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164" fontId="0" fillId="17" borderId="0" pivotButton="0" quotePrefix="0" xfId="0"/>
    <xf numFmtId="164" fontId="28" fillId="19" borderId="0" pivotButton="0" quotePrefix="0" xfId="0"/>
    <xf numFmtId="164" fontId="28" fillId="20" borderId="0" pivotButton="0" quotePrefix="0" xfId="0"/>
    <xf numFmtId="0" fontId="26" fillId="2" borderId="1" pivotButton="0" quotePrefix="0" xfId="0"/>
    <xf numFmtId="164" fontId="0" fillId="2" borderId="1" pivotButton="0" quotePrefix="0" xfId="0"/>
    <xf numFmtId="1" fontId="0" fillId="2" borderId="1" pivotButton="0" quotePrefix="0" xfId="0"/>
    <xf numFmtId="164" fontId="6" fillId="0" borderId="0" pivotButton="0" quotePrefix="0" xfId="0"/>
    <xf numFmtId="165" fontId="6" fillId="0" borderId="0" pivotButton="0" quotePrefix="0" xfId="0"/>
    <xf numFmtId="165" fontId="5" fillId="0" borderId="0" pivotButton="0" quotePrefix="0" xfId="0"/>
    <xf numFmtId="164" fontId="5" fillId="5" borderId="5" pivotButton="0" quotePrefix="0" xfId="0"/>
    <xf numFmtId="164" fontId="5" fillId="5" borderId="6" pivotButton="0" quotePrefix="0" xfId="0"/>
    <xf numFmtId="165" fontId="5" fillId="0" borderId="7" pivotButton="0" quotePrefix="0" xfId="0"/>
    <xf numFmtId="165" fontId="5" fillId="0" borderId="8" pivotButton="0" quotePrefix="0" xfId="0"/>
    <xf numFmtId="3" fontId="19" fillId="0" borderId="0" pivotButton="0" quotePrefix="0" xfId="0"/>
    <xf numFmtId="164" fontId="6" fillId="21" borderId="9" pivotButton="0" quotePrefix="0" xfId="0"/>
    <xf numFmtId="164" fontId="5" fillId="21" borderId="9" pivotButton="0" quotePrefix="0" xfId="0"/>
    <xf numFmtId="17" fontId="11" fillId="6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166" fontId="29" fillId="0" borderId="0" applyAlignment="1" pivotButton="0" quotePrefix="0" xfId="0">
      <alignment horizontal="right" wrapText="1"/>
    </xf>
    <xf numFmtId="0" fontId="31" fillId="23" borderId="10" pivotButton="0" quotePrefix="0" xfId="0"/>
    <xf numFmtId="0" fontId="32" fillId="0" borderId="0" pivotButton="0" quotePrefix="0" xfId="0"/>
    <xf numFmtId="0" fontId="33" fillId="0" borderId="11" pivotButton="0" quotePrefix="0" xfId="0"/>
    <xf numFmtId="0" fontId="34" fillId="0" borderId="11" pivotButton="0" quotePrefix="0" xfId="0"/>
    <xf numFmtId="0" fontId="33" fillId="0" borderId="0" pivotButton="0" quotePrefix="0" xfId="0"/>
    <xf numFmtId="0" fontId="34" fillId="0" borderId="0" pivotButton="0" quotePrefix="0" xfId="0"/>
    <xf numFmtId="167" fontId="35" fillId="0" borderId="0" pivotButton="0" quotePrefix="0" xfId="0"/>
    <xf numFmtId="0" fontId="36" fillId="0" borderId="0" pivotButton="0" quotePrefix="0" xfId="0"/>
    <xf numFmtId="0" fontId="38" fillId="0" borderId="0" pivotButton="0" quotePrefix="0" xfId="0"/>
    <xf numFmtId="168" fontId="38" fillId="0" borderId="0" pivotButton="0" quotePrefix="0" xfId="0"/>
    <xf numFmtId="168" fontId="0" fillId="0" borderId="0" pivotButton="0" quotePrefix="0" xfId="0"/>
    <xf numFmtId="0" fontId="30" fillId="0" borderId="0" pivotButton="0" quotePrefix="0" xfId="0"/>
    <xf numFmtId="168" fontId="30" fillId="0" borderId="0" pivotButton="0" quotePrefix="0" xfId="0"/>
    <xf numFmtId="0" fontId="40" fillId="0" borderId="0" pivotButton="0" quotePrefix="0" xfId="0"/>
    <xf numFmtId="169" fontId="0" fillId="0" borderId="0" pivotButton="0" quotePrefix="0" xfId="0"/>
    <xf numFmtId="168" fontId="0" fillId="0" borderId="11" pivotButton="0" quotePrefix="0" xfId="0"/>
    <xf numFmtId="0" fontId="30" fillId="0" borderId="0" applyAlignment="1" pivotButton="0" quotePrefix="0" xfId="0">
      <alignment horizontal="left" indent="1"/>
    </xf>
    <xf numFmtId="170" fontId="11" fillId="6" borderId="0" applyAlignment="1" pivotButton="0" quotePrefix="0" xfId="0">
      <alignment horizontal="center" vertical="center"/>
    </xf>
    <xf numFmtId="171" fontId="11" fillId="8" borderId="0" applyAlignment="1" pivotButton="0" quotePrefix="0" xfId="0">
      <alignment horizontal="center" vertical="center"/>
    </xf>
    <xf numFmtId="168" fontId="41" fillId="0" borderId="0" pivotButton="0" quotePrefix="0" xfId="0"/>
    <xf numFmtId="169" fontId="41" fillId="0" borderId="11" pivotButton="0" quotePrefix="0" xfId="0"/>
    <xf numFmtId="169" fontId="43" fillId="0" borderId="11" pivotButton="0" quotePrefix="0" xfId="0"/>
    <xf numFmtId="168" fontId="43" fillId="0" borderId="0" pivotButton="0" quotePrefix="0" xfId="0"/>
    <xf numFmtId="0" fontId="0" fillId="0" borderId="0" applyAlignment="1" pivotButton="0" quotePrefix="0" xfId="0">
      <alignment horizontal="center"/>
    </xf>
    <xf numFmtId="0" fontId="0" fillId="24" borderId="0" pivotButton="0" quotePrefix="0" xfId="0"/>
    <xf numFmtId="164" fontId="44" fillId="2" borderId="1" pivotButton="0" quotePrefix="0" xfId="0"/>
    <xf numFmtId="164" fontId="6" fillId="3" borderId="9" pivotButton="0" quotePrefix="0" xfId="0"/>
    <xf numFmtId="164" fontId="9" fillId="2" borderId="9" pivotButton="0" quotePrefix="0" xfId="0"/>
    <xf numFmtId="0" fontId="45" fillId="0" borderId="0" applyAlignment="1" pivotButton="0" quotePrefix="0" xfId="0">
      <alignment horizontal="left" vertical="center"/>
    </xf>
    <xf numFmtId="0" fontId="8" fillId="25" borderId="0" applyAlignment="1" pivotButton="0" quotePrefix="0" xfId="0">
      <alignment horizontal="left" vertical="center"/>
    </xf>
    <xf numFmtId="0" fontId="0" fillId="25" borderId="0" pivotButton="0" quotePrefix="0" xfId="0"/>
    <xf numFmtId="168" fontId="39" fillId="0" borderId="0" pivotButton="0" quotePrefix="0" xfId="0"/>
    <xf numFmtId="169" fontId="30" fillId="0" borderId="0" pivotButton="0" quotePrefix="0" xfId="0"/>
    <xf numFmtId="9" fontId="39" fillId="0" borderId="0" pivotButton="0" quotePrefix="0" xfId="0"/>
    <xf numFmtId="164" fontId="6" fillId="2" borderId="9" pivotButton="0" quotePrefix="0" xfId="0"/>
    <xf numFmtId="37" fontId="37" fillId="0" borderId="11" pivotButton="0" quotePrefix="0" xfId="0"/>
    <xf numFmtId="9" fontId="4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30" fillId="0" borderId="0" pivotButton="0" quotePrefix="0" xfId="0"/>
    <xf numFmtId="167" fontId="0" fillId="0" borderId="0" pivotButton="0" quotePrefix="0" xfId="0"/>
    <xf numFmtId="0" fontId="30" fillId="0" borderId="0" applyAlignment="1" pivotButton="0" quotePrefix="0" xfId="0">
      <alignment horizontal="center"/>
    </xf>
    <xf numFmtId="170" fontId="3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9" fontId="46" fillId="0" borderId="0" pivotButton="0" quotePrefix="0" xfId="0"/>
    <xf numFmtId="167" fontId="0" fillId="0" borderId="0" applyAlignment="1" pivotButton="0" quotePrefix="0" xfId="0">
      <alignment horizontal="right"/>
    </xf>
    <xf numFmtId="164" fontId="6" fillId="2" borderId="1" pivotButton="0" quotePrefix="0" xfId="0"/>
    <xf numFmtId="164" fontId="47" fillId="2" borderId="9" pivotButton="0" quotePrefix="0" xfId="0"/>
    <xf numFmtId="0" fontId="48" fillId="0" borderId="0" pivotButton="0" quotePrefix="0" xfId="0"/>
    <xf numFmtId="0" fontId="49" fillId="0" borderId="0" pivotButton="0" quotePrefix="0" xfId="0"/>
    <xf numFmtId="0" fontId="0" fillId="0" borderId="0" applyAlignment="1" pivotButton="0" quotePrefix="0" xfId="0">
      <alignment vertical="top" wrapText="1"/>
    </xf>
    <xf numFmtId="0" fontId="50" fillId="0" borderId="0" applyAlignment="1" pivotButton="0" quotePrefix="0" xfId="0">
      <alignment horizontal="left" vertical="center"/>
    </xf>
    <xf numFmtId="164" fontId="51" fillId="0" borderId="0" pivotButton="0" quotePrefix="0" xfId="0"/>
    <xf numFmtId="0" fontId="53" fillId="0" borderId="0" pivotButton="0" quotePrefix="0" xfId="2"/>
    <xf numFmtId="0" fontId="54" fillId="0" borderId="0" pivotButton="0" quotePrefix="0" xfId="2"/>
    <xf numFmtId="0" fontId="55" fillId="26" borderId="0" pivotButton="0" quotePrefix="0" xfId="2"/>
    <xf numFmtId="172" fontId="56" fillId="27" borderId="0" pivotButton="0" quotePrefix="0" xfId="2"/>
    <xf numFmtId="172" fontId="56" fillId="0" borderId="0" pivotButton="0" quotePrefix="0" xfId="2"/>
    <xf numFmtId="0" fontId="56" fillId="0" borderId="0" pivotButton="0" quotePrefix="0" xfId="2"/>
    <xf numFmtId="172" fontId="53" fillId="27" borderId="0" pivotButton="0" quotePrefix="0" xfId="2"/>
    <xf numFmtId="172" fontId="53" fillId="0" borderId="0" pivotButton="0" quotePrefix="0" xfId="2"/>
    <xf numFmtId="0" fontId="57" fillId="0" borderId="0" applyAlignment="1" pivotButton="0" quotePrefix="0" xfId="2">
      <alignment vertical="top" wrapText="1"/>
    </xf>
    <xf numFmtId="0" fontId="53" fillId="27" borderId="0" pivotButton="0" quotePrefix="0" xfId="2"/>
    <xf numFmtId="173" fontId="53" fillId="27" borderId="0" pivotButton="0" quotePrefix="0" xfId="2"/>
    <xf numFmtId="173" fontId="53" fillId="0" borderId="0" pivotButton="0" quotePrefix="0" xfId="2"/>
    <xf numFmtId="172" fontId="56" fillId="28" borderId="12" pivotButton="0" quotePrefix="0" xfId="2"/>
    <xf numFmtId="172" fontId="56" fillId="29" borderId="12" pivotButton="0" quotePrefix="0" xfId="2"/>
    <xf numFmtId="0" fontId="56" fillId="29" borderId="12" pivotButton="0" quotePrefix="0" xfId="2"/>
    <xf numFmtId="172" fontId="56" fillId="27" borderId="12" pivotButton="0" quotePrefix="0" xfId="2"/>
    <xf numFmtId="172" fontId="56" fillId="0" borderId="12" pivotButton="0" quotePrefix="0" xfId="2"/>
    <xf numFmtId="0" fontId="56" fillId="0" borderId="12" pivotButton="0" quotePrefix="0" xfId="2"/>
    <xf numFmtId="172" fontId="58" fillId="0" borderId="0" pivotButton="0" quotePrefix="0" xfId="2"/>
    <xf numFmtId="172" fontId="59" fillId="0" borderId="0" pivotButton="0" quotePrefix="0" xfId="2"/>
    <xf numFmtId="0" fontId="60" fillId="27" borderId="0" applyAlignment="1" pivotButton="0" quotePrefix="0" xfId="2">
      <alignment horizontal="center"/>
    </xf>
    <xf numFmtId="0" fontId="60" fillId="0" borderId="0" applyAlignment="1" pivotButton="0" quotePrefix="0" xfId="2">
      <alignment horizontal="center"/>
    </xf>
    <xf numFmtId="0" fontId="61" fillId="0" borderId="0" applyAlignment="1" pivotButton="0" quotePrefix="0" xfId="2">
      <alignment horizontal="left"/>
    </xf>
    <xf numFmtId="0" fontId="55" fillId="30" borderId="0" applyAlignment="1" pivotButton="0" quotePrefix="0" xfId="2">
      <alignment horizontal="center"/>
    </xf>
    <xf numFmtId="17" fontId="55" fillId="30" borderId="0" applyAlignment="1" pivotButton="0" quotePrefix="0" xfId="2">
      <alignment horizontal="center"/>
    </xf>
    <xf numFmtId="0" fontId="55" fillId="30" borderId="0" applyAlignment="1" pivotButton="0" quotePrefix="0" xfId="2">
      <alignment horizontal="left"/>
    </xf>
    <xf numFmtId="174" fontId="62" fillId="0" borderId="13" pivotButton="0" quotePrefix="0" xfId="2"/>
    <xf numFmtId="174" fontId="62" fillId="0" borderId="12" pivotButton="0" quotePrefix="0" xfId="2"/>
    <xf numFmtId="0" fontId="62" fillId="0" borderId="0" pivotButton="0" quotePrefix="0" xfId="2"/>
    <xf numFmtId="174" fontId="63" fillId="0" borderId="14" pivotButton="0" quotePrefix="0" xfId="2"/>
    <xf numFmtId="174" fontId="64" fillId="0" borderId="0" pivotButton="0" quotePrefix="0" xfId="2"/>
    <xf numFmtId="0" fontId="63" fillId="0" borderId="0" pivotButton="0" quotePrefix="0" xfId="2"/>
    <xf numFmtId="174" fontId="63" fillId="0" borderId="15" pivotButton="0" quotePrefix="0" xfId="2"/>
    <xf numFmtId="174" fontId="62" fillId="0" borderId="0" pivotButton="0" quotePrefix="0" xfId="2"/>
    <xf numFmtId="174" fontId="63" fillId="0" borderId="0" pivotButton="0" quotePrefix="0" xfId="2"/>
    <xf numFmtId="174" fontId="62" fillId="0" borderId="15" pivotButton="0" quotePrefix="0" xfId="2"/>
    <xf numFmtId="0" fontId="63" fillId="0" borderId="15" pivotButton="0" quotePrefix="0" xfId="2"/>
    <xf numFmtId="0" fontId="54" fillId="0" borderId="0" applyAlignment="1" pivotButton="0" quotePrefix="0" xfId="2">
      <alignment vertical="top"/>
    </xf>
    <xf numFmtId="0" fontId="56" fillId="23" borderId="10" applyAlignment="1" pivotButton="0" quotePrefix="0" xfId="2">
      <alignment horizontal="right" wrapText="1"/>
    </xf>
    <xf numFmtId="0" fontId="56" fillId="0" borderId="0" applyAlignment="1" pivotButton="0" quotePrefix="0" xfId="2">
      <alignment horizontal="right" wrapText="1"/>
    </xf>
    <xf numFmtId="175" fontId="65" fillId="0" borderId="0" pivotButton="0" quotePrefix="0" xfId="2"/>
    <xf numFmtId="174" fontId="58" fillId="0" borderId="0" pivotButton="0" quotePrefix="0" xfId="2"/>
    <xf numFmtId="0" fontId="65" fillId="0" borderId="0" pivotButton="0" quotePrefix="0" xfId="2"/>
    <xf numFmtId="0" fontId="55" fillId="26" borderId="0" applyAlignment="1" pivotButton="0" quotePrefix="0" xfId="2">
      <alignment vertical="top"/>
    </xf>
    <xf numFmtId="0" fontId="66" fillId="0" borderId="0" pivotButton="0" quotePrefix="0" xfId="2"/>
    <xf numFmtId="0" fontId="52" fillId="0" borderId="0" pivotButton="0" quotePrefix="0" xfId="3"/>
    <xf numFmtId="0" fontId="30" fillId="0" borderId="0" pivotButton="0" quotePrefix="0" xfId="3"/>
    <xf numFmtId="9" fontId="56" fillId="0" borderId="16" pivotButton="0" quotePrefix="0" xfId="3"/>
    <xf numFmtId="9" fontId="56" fillId="0" borderId="17" pivotButton="0" quotePrefix="0" xfId="3"/>
    <xf numFmtId="9" fontId="63" fillId="31" borderId="18" applyAlignment="1" pivotButton="0" quotePrefix="0" xfId="4">
      <alignment readingOrder="1"/>
    </xf>
    <xf numFmtId="169" fontId="63" fillId="32" borderId="18" applyAlignment="1" pivotButton="0" quotePrefix="0" xfId="3">
      <alignment readingOrder="1"/>
    </xf>
    <xf numFmtId="0" fontId="52" fillId="0" borderId="18" applyAlignment="1" pivotButton="0" quotePrefix="0" xfId="3">
      <alignment horizontal="center"/>
    </xf>
    <xf numFmtId="0" fontId="67" fillId="0" borderId="19" pivotButton="0" quotePrefix="0" xfId="3"/>
    <xf numFmtId="9" fontId="56" fillId="0" borderId="20" pivotButton="0" quotePrefix="0" xfId="3"/>
    <xf numFmtId="9" fontId="56" fillId="0" borderId="21" pivotButton="0" quotePrefix="0" xfId="3"/>
    <xf numFmtId="0" fontId="68" fillId="0" borderId="19" pivotButton="0" quotePrefix="0" xfId="3"/>
    <xf numFmtId="0" fontId="69" fillId="0" borderId="19" pivotButton="0" quotePrefix="0" xfId="3"/>
    <xf numFmtId="9" fontId="56" fillId="0" borderId="22" pivotButton="0" quotePrefix="0" xfId="3"/>
    <xf numFmtId="9" fontId="56" fillId="0" borderId="23" pivotButton="0" quotePrefix="0" xfId="3"/>
    <xf numFmtId="0" fontId="70" fillId="0" borderId="19" pivotButton="0" quotePrefix="0" xfId="3"/>
    <xf numFmtId="0" fontId="52" fillId="0" borderId="0" applyAlignment="1" pivotButton="0" quotePrefix="0" xfId="3">
      <alignment horizontal="center"/>
    </xf>
    <xf numFmtId="9" fontId="63" fillId="31" borderId="5" applyAlignment="1" pivotButton="0" quotePrefix="0" xfId="4">
      <alignment readingOrder="1"/>
    </xf>
    <xf numFmtId="169" fontId="56" fillId="0" borderId="20" pivotButton="0" quotePrefix="0" xfId="3"/>
    <xf numFmtId="169" fontId="63" fillId="31" borderId="18" applyAlignment="1" pivotButton="0" quotePrefix="0" xfId="3">
      <alignment readingOrder="1"/>
    </xf>
    <xf numFmtId="0" fontId="53" fillId="0" borderId="16" pivotButton="0" quotePrefix="0" xfId="3"/>
    <xf numFmtId="0" fontId="53" fillId="31" borderId="24" pivotButton="0" quotePrefix="0" xfId="3"/>
    <xf numFmtId="169" fontId="63" fillId="31" borderId="24" applyAlignment="1" pivotButton="0" quotePrefix="0" xfId="3">
      <alignment readingOrder="1"/>
    </xf>
    <xf numFmtId="0" fontId="67" fillId="0" borderId="25" pivotButton="0" quotePrefix="0" xfId="3"/>
    <xf numFmtId="0" fontId="53" fillId="0" borderId="22" pivotButton="0" quotePrefix="0" xfId="3"/>
    <xf numFmtId="0" fontId="53" fillId="31" borderId="26" pivotButton="0" quotePrefix="0" xfId="3"/>
    <xf numFmtId="169" fontId="63" fillId="31" borderId="26" applyAlignment="1" pivotButton="0" quotePrefix="0" xfId="3">
      <alignment readingOrder="1"/>
    </xf>
    <xf numFmtId="0" fontId="71" fillId="0" borderId="25" pivotButton="0" quotePrefix="0" xfId="3"/>
    <xf numFmtId="0" fontId="71" fillId="0" borderId="19" pivotButton="0" quotePrefix="0" xfId="3"/>
    <xf numFmtId="0" fontId="56" fillId="0" borderId="20" pivotButton="0" quotePrefix="0" xfId="3"/>
    <xf numFmtId="169" fontId="62" fillId="31" borderId="18" applyAlignment="1" pivotButton="0" quotePrefix="0" xfId="3">
      <alignment readingOrder="1"/>
    </xf>
    <xf numFmtId="0" fontId="52" fillId="0" borderId="27" pivotButton="0" quotePrefix="0" xfId="3"/>
    <xf numFmtId="0" fontId="53" fillId="31" borderId="18" pivotButton="0" quotePrefix="0" xfId="3"/>
    <xf numFmtId="0" fontId="52" fillId="0" borderId="28" pivotButton="0" quotePrefix="0" xfId="3"/>
    <xf numFmtId="0" fontId="52" fillId="0" borderId="29" pivotButton="0" quotePrefix="0" xfId="3"/>
    <xf numFmtId="0" fontId="72" fillId="0" borderId="19" pivotButton="0" quotePrefix="0" xfId="3"/>
    <xf numFmtId="0" fontId="73" fillId="0" borderId="19" pivotButton="0" quotePrefix="0" xfId="3"/>
    <xf numFmtId="0" fontId="74" fillId="0" borderId="19" pivotButton="0" quotePrefix="0" xfId="3"/>
    <xf numFmtId="0" fontId="75" fillId="0" borderId="19" pivotButton="0" quotePrefix="0" xfId="3"/>
    <xf numFmtId="0" fontId="71" fillId="0" borderId="30" pivotButton="0" quotePrefix="0" xfId="3"/>
    <xf numFmtId="0" fontId="71" fillId="0" borderId="31" pivotButton="0" quotePrefix="0" xfId="3"/>
    <xf numFmtId="0" fontId="52" fillId="31" borderId="26" pivotButton="0" quotePrefix="0" xfId="3"/>
    <xf numFmtId="0" fontId="53" fillId="32" borderId="32" pivotButton="0" quotePrefix="0" xfId="3"/>
    <xf numFmtId="0" fontId="52" fillId="0" borderId="20" pivotButton="0" quotePrefix="0" xfId="3"/>
    <xf numFmtId="0" fontId="52" fillId="31" borderId="18" pivotButton="0" quotePrefix="0" xfId="3"/>
    <xf numFmtId="0" fontId="53" fillId="0" borderId="25" pivotButton="0" quotePrefix="0" xfId="3"/>
    <xf numFmtId="0" fontId="53" fillId="0" borderId="19" pivotButton="0" quotePrefix="0" xfId="3"/>
    <xf numFmtId="0" fontId="53" fillId="0" borderId="32" pivotButton="0" quotePrefix="0" xfId="3"/>
    <xf numFmtId="0" fontId="53" fillId="0" borderId="31" pivotButton="0" quotePrefix="0" xfId="3"/>
    <xf numFmtId="0" fontId="56" fillId="0" borderId="0" pivotButton="0" quotePrefix="0" xfId="3"/>
    <xf numFmtId="0" fontId="52" fillId="32" borderId="34" pivotButton="0" quotePrefix="0" xfId="3"/>
    <xf numFmtId="0" fontId="52" fillId="0" borderId="34" pivotButton="0" quotePrefix="0" xfId="3"/>
    <xf numFmtId="0" fontId="71" fillId="32" borderId="32" pivotButton="0" quotePrefix="0" xfId="3"/>
    <xf numFmtId="0" fontId="71" fillId="0" borderId="32" pivotButton="0" quotePrefix="0" xfId="3"/>
    <xf numFmtId="0" fontId="67" fillId="32" borderId="25" pivotButton="0" quotePrefix="0" xfId="3"/>
    <xf numFmtId="0" fontId="53" fillId="0" borderId="0" pivotButton="0" quotePrefix="0" xfId="3"/>
    <xf numFmtId="0" fontId="71" fillId="32" borderId="25" pivotButton="0" quotePrefix="0" xfId="3"/>
    <xf numFmtId="0" fontId="53" fillId="32" borderId="25" pivotButton="0" quotePrefix="0" xfId="3"/>
    <xf numFmtId="169" fontId="41" fillId="0" borderId="0" pivotButton="0" quotePrefix="0" xfId="0"/>
    <xf numFmtId="164" fontId="76" fillId="0" borderId="1" pivotButton="0" quotePrefix="0" xfId="0"/>
    <xf numFmtId="164" fontId="77" fillId="0" borderId="1" pivotButton="0" quotePrefix="0" xfId="0"/>
    <xf numFmtId="0" fontId="78" fillId="0" borderId="0" pivotButton="0" quotePrefix="0" xfId="0"/>
    <xf numFmtId="0" fontId="30" fillId="24" borderId="0" pivotButton="0" quotePrefix="0" xfId="0"/>
    <xf numFmtId="164" fontId="30" fillId="24" borderId="0" pivotButton="0" quotePrefix="0" xfId="0"/>
    <xf numFmtId="0" fontId="0" fillId="22" borderId="11" pivotButton="0" quotePrefix="0" xfId="0"/>
    <xf numFmtId="164" fontId="6" fillId="22" borderId="36" pivotButton="0" quotePrefix="0" xfId="0"/>
    <xf numFmtId="0" fontId="5" fillId="24" borderId="0" applyAlignment="1" pivotButton="0" quotePrefix="0" xfId="0">
      <alignment horizontal="left" vertical="center"/>
    </xf>
    <xf numFmtId="164" fontId="5" fillId="33" borderId="35" pivotButton="0" quotePrefix="0" xfId="0"/>
    <xf numFmtId="0" fontId="43" fillId="0" borderId="0" pivotButton="0" quotePrefix="0" xfId="0"/>
    <xf numFmtId="9" fontId="0" fillId="0" borderId="0" pivotButton="0" quotePrefix="0" xfId="1"/>
    <xf numFmtId="164" fontId="6" fillId="0" borderId="9" pivotButton="0" quotePrefix="0" xfId="0"/>
    <xf numFmtId="164" fontId="47" fillId="0" borderId="9" pivotButton="0" quotePrefix="0" xfId="0"/>
    <xf numFmtId="37" fontId="47" fillId="0" borderId="9" pivotButton="0" quotePrefix="0" xfId="0"/>
    <xf numFmtId="165" fontId="79" fillId="0" borderId="0" pivotButton="0" quotePrefix="0" xfId="2"/>
    <xf numFmtId="0" fontId="53" fillId="34" borderId="0" pivotButton="0" quotePrefix="0" xfId="2"/>
    <xf numFmtId="164" fontId="47" fillId="2" borderId="1" pivotButton="0" quotePrefix="0" xfId="0"/>
    <xf numFmtId="37" fontId="47" fillId="2" borderId="1" pivotButton="0" quotePrefix="0" xfId="0"/>
    <xf numFmtId="0" fontId="80" fillId="0" borderId="0" pivotButton="0" quotePrefix="0" xfId="0"/>
    <xf numFmtId="164" fontId="17" fillId="13" borderId="9" pivotButton="0" quotePrefix="0" xfId="0"/>
    <xf numFmtId="164" fontId="17" fillId="0" borderId="9" pivotButton="0" quotePrefix="0" xfId="0"/>
    <xf numFmtId="164" fontId="81" fillId="0" borderId="9" pivotButton="0" quotePrefix="0" xfId="0"/>
    <xf numFmtId="164" fontId="6" fillId="23" borderId="1" pivotButton="0" quotePrefix="0" xfId="0"/>
    <xf numFmtId="0" fontId="6" fillId="2" borderId="1" pivotButton="0" quotePrefix="0" xfId="0"/>
    <xf numFmtId="171" fontId="0" fillId="0" borderId="0" applyAlignment="1" pivotButton="0" quotePrefix="0" xfId="0">
      <alignment horizontal="center"/>
    </xf>
    <xf numFmtId="170" fontId="0" fillId="0" borderId="0" applyAlignment="1" pivotButton="0" quotePrefix="0" xfId="0">
      <alignment horizontal="center"/>
    </xf>
    <xf numFmtId="168" fontId="82" fillId="0" borderId="0" pivotButton="0" quotePrefix="0" xfId="0"/>
    <xf numFmtId="49" fontId="0" fillId="0" borderId="0" pivotButton="0" quotePrefix="0" xfId="0"/>
    <xf numFmtId="0" fontId="0" fillId="23" borderId="0" pivotButton="0" quotePrefix="0" xfId="0"/>
    <xf numFmtId="0" fontId="83" fillId="0" borderId="0" pivotButton="0" quotePrefix="0" xfId="0"/>
    <xf numFmtId="168" fontId="84" fillId="0" borderId="0" pivotButton="0" quotePrefix="0" xfId="0"/>
    <xf numFmtId="9" fontId="52" fillId="0" borderId="0" pivotButton="0" quotePrefix="0" xfId="1"/>
    <xf numFmtId="9" fontId="30" fillId="0" borderId="0" pivotButton="0" quotePrefix="0" xfId="0"/>
    <xf numFmtId="9" fontId="84" fillId="0" borderId="0" pivotButton="0" quotePrefix="0" xfId="0"/>
    <xf numFmtId="40" fontId="0" fillId="0" borderId="0" pivotButton="0" quotePrefix="0" xfId="0"/>
    <xf numFmtId="164" fontId="5" fillId="3" borderId="9" pivotButton="0" quotePrefix="0" xfId="0"/>
    <xf numFmtId="164" fontId="5" fillId="5" borderId="9" pivotButton="0" quotePrefix="0" xfId="0"/>
    <xf numFmtId="176" fontId="85" fillId="4" borderId="0" pivotButton="0" quotePrefix="0" xfId="5"/>
    <xf numFmtId="0" fontId="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56" fillId="31" borderId="33" applyAlignment="1" pivotButton="0" quotePrefix="0" xfId="3">
      <alignment horizontal="center"/>
    </xf>
    <xf numFmtId="0" fontId="0" fillId="0" borderId="33" pivotButton="0" quotePrefix="0" xfId="0"/>
    <xf numFmtId="0" fontId="56" fillId="32" borderId="33" applyAlignment="1" pivotButton="0" quotePrefix="0" xfId="3">
      <alignment horizontal="center"/>
    </xf>
    <xf numFmtId="168" fontId="38" fillId="0" borderId="0" pivotButton="0" quotePrefix="0" xfId="0"/>
    <xf numFmtId="168" fontId="0" fillId="0" borderId="0" pivotButton="0" quotePrefix="0" xfId="0"/>
    <xf numFmtId="168" fontId="39" fillId="0" borderId="0" pivotButton="0" quotePrefix="0" xfId="0"/>
    <xf numFmtId="168" fontId="43" fillId="0" borderId="0" pivotButton="0" quotePrefix="0" xfId="0"/>
    <xf numFmtId="168" fontId="41" fillId="0" borderId="0" pivotButton="0" quotePrefix="0" xfId="0"/>
    <xf numFmtId="169" fontId="43" fillId="0" borderId="11" pivotButton="0" quotePrefix="0" xfId="0"/>
    <xf numFmtId="168" fontId="30" fillId="0" borderId="0" pivotButton="0" quotePrefix="0" xfId="0"/>
    <xf numFmtId="168" fontId="0" fillId="0" borderId="11" pivotButton="0" quotePrefix="0" xfId="0"/>
    <xf numFmtId="170" fontId="30" fillId="0" borderId="0" applyAlignment="1" pivotButton="0" quotePrefix="0" xfId="0">
      <alignment horizontal="center"/>
    </xf>
    <xf numFmtId="171" fontId="0" fillId="0" borderId="0" applyAlignment="1" pivotButton="0" quotePrefix="0" xfId="0">
      <alignment horizontal="center"/>
    </xf>
    <xf numFmtId="170" fontId="0" fillId="0" borderId="0" applyAlignment="1" pivotButton="0" quotePrefix="0" xfId="0">
      <alignment horizontal="center"/>
    </xf>
    <xf numFmtId="168" fontId="82" fillId="0" borderId="0" pivotButton="0" quotePrefix="0" xfId="0"/>
    <xf numFmtId="171" fontId="11" fillId="8" borderId="0" applyAlignment="1" pivotButton="0" quotePrefix="0" xfId="0">
      <alignment horizontal="center" vertical="center"/>
    </xf>
    <xf numFmtId="170" fontId="11" fillId="6" borderId="0" applyAlignment="1" pivotButton="0" quotePrefix="0" xfId="0">
      <alignment horizontal="center" vertical="center"/>
    </xf>
    <xf numFmtId="176" fontId="85" fillId="4" borderId="0" pivotButton="0" quotePrefix="0" xfId="5"/>
    <xf numFmtId="169" fontId="41" fillId="0" borderId="0" pivotButton="0" quotePrefix="0" xfId="0"/>
    <xf numFmtId="169" fontId="0" fillId="0" borderId="0" pivotButton="0" quotePrefix="0" xfId="0"/>
    <xf numFmtId="169" fontId="41" fillId="0" borderId="11" pivotButton="0" quotePrefix="0" xfId="0"/>
    <xf numFmtId="169" fontId="30" fillId="0" borderId="0" pivotButton="0" quotePrefix="0" xfId="0"/>
    <xf numFmtId="169" fontId="46" fillId="0" borderId="0" pivotButton="0" quotePrefix="0" xfId="0"/>
    <xf numFmtId="168" fontId="84" fillId="0" borderId="0" pivotButton="0" quotePrefix="0" xfId="0"/>
    <xf numFmtId="174" fontId="58" fillId="0" borderId="0" pivotButton="0" quotePrefix="0" xfId="2"/>
    <xf numFmtId="175" fontId="65" fillId="0" borderId="0" pivotButton="0" quotePrefix="0" xfId="2"/>
    <xf numFmtId="174" fontId="64" fillId="0" borderId="0" pivotButton="0" quotePrefix="0" xfId="2"/>
    <xf numFmtId="174" fontId="63" fillId="0" borderId="15" pivotButton="0" quotePrefix="0" xfId="2"/>
    <xf numFmtId="174" fontId="62" fillId="0" borderId="0" pivotButton="0" quotePrefix="0" xfId="2"/>
    <xf numFmtId="174" fontId="62" fillId="0" borderId="15" pivotButton="0" quotePrefix="0" xfId="2"/>
    <xf numFmtId="174" fontId="63" fillId="0" borderId="0" pivotButton="0" quotePrefix="0" xfId="2"/>
    <xf numFmtId="174" fontId="63" fillId="0" borderId="14" pivotButton="0" quotePrefix="0" xfId="2"/>
    <xf numFmtId="174" fontId="62" fillId="0" borderId="12" pivotButton="0" quotePrefix="0" xfId="2"/>
    <xf numFmtId="174" fontId="62" fillId="0" borderId="13" pivotButton="0" quotePrefix="0" xfId="2"/>
    <xf numFmtId="172" fontId="59" fillId="0" borderId="0" pivotButton="0" quotePrefix="0" xfId="2"/>
    <xf numFmtId="172" fontId="56" fillId="0" borderId="0" pivotButton="0" quotePrefix="0" xfId="2"/>
    <xf numFmtId="172" fontId="56" fillId="27" borderId="0" pivotButton="0" quotePrefix="0" xfId="2"/>
    <xf numFmtId="172" fontId="58" fillId="0" borderId="0" pivotButton="0" quotePrefix="0" xfId="2"/>
    <xf numFmtId="172" fontId="53" fillId="0" borderId="0" pivotButton="0" quotePrefix="0" xfId="2"/>
    <xf numFmtId="172" fontId="53" fillId="27" borderId="0" pivotButton="0" quotePrefix="0" xfId="2"/>
    <xf numFmtId="172" fontId="56" fillId="0" borderId="12" pivotButton="0" quotePrefix="0" xfId="2"/>
    <xf numFmtId="172" fontId="56" fillId="27" borderId="12" pivotButton="0" quotePrefix="0" xfId="2"/>
    <xf numFmtId="172" fontId="56" fillId="29" borderId="12" pivotButton="0" quotePrefix="0" xfId="2"/>
    <xf numFmtId="172" fontId="56" fillId="28" borderId="12" pivotButton="0" quotePrefix="0" xfId="2"/>
    <xf numFmtId="173" fontId="53" fillId="0" borderId="0" pivotButton="0" quotePrefix="0" xfId="2"/>
    <xf numFmtId="173" fontId="53" fillId="27" borderId="0" pivotButton="0" quotePrefix="0" xfId="2"/>
    <xf numFmtId="169" fontId="63" fillId="32" borderId="18" applyAlignment="1" pivotButton="0" quotePrefix="0" xfId="3">
      <alignment readingOrder="1"/>
    </xf>
    <xf numFmtId="169" fontId="63" fillId="31" borderId="18" applyAlignment="1" pivotButton="0" quotePrefix="0" xfId="3">
      <alignment readingOrder="1"/>
    </xf>
    <xf numFmtId="169" fontId="56" fillId="0" borderId="20" pivotButton="0" quotePrefix="0" xfId="3"/>
    <xf numFmtId="169" fontId="62" fillId="31" borderId="18" applyAlignment="1" pivotButton="0" quotePrefix="0" xfId="3">
      <alignment readingOrder="1"/>
    </xf>
    <xf numFmtId="169" fontId="63" fillId="31" borderId="26" applyAlignment="1" pivotButton="0" quotePrefix="0" xfId="3">
      <alignment readingOrder="1"/>
    </xf>
    <xf numFmtId="169" fontId="63" fillId="31" borderId="24" applyAlignment="1" pivotButton="0" quotePrefix="0" xfId="3">
      <alignment readingOrder="1"/>
    </xf>
  </cellXfs>
  <cellStyles count="6">
    <cellStyle name="Normal" xfId="0" builtinId="0"/>
    <cellStyle name="Percent" xfId="1" builtinId="5"/>
    <cellStyle name="Normal 2" xfId="2"/>
    <cellStyle name="Normal 3" xfId="3"/>
    <cellStyle name="Percent 2" xfId="4"/>
    <cellStyle name="Currency" xfId="5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Charts!$C$3:$F$3</f>
              <numCache>
                <formatCode>General\P</formatCode>
                <ptCount val="4"/>
                <pt idx="0">
                  <formatCode>General\A</formatCode>
                  <v>2025</v>
                </pt>
                <pt idx="1">
                  <v>2026</v>
                </pt>
                <pt idx="2">
                  <v>2027</v>
                </pt>
                <pt idx="3">
                  <v>2028</v>
                </pt>
              </numCache>
            </numRef>
          </cat>
          <val>
            <numRef>
              <f>Charts!$C$4:$F$4</f>
              <numCache>
                <formatCode>"$"#,##0_);\("$"#,##0\)</formatCode>
                <ptCount val="4"/>
                <pt idx="0">
                  <v>9699823</v>
                </pt>
                <pt idx="1">
                  <v>11671466</v>
                </pt>
                <pt idx="2">
                  <v>15187409.75</v>
                </pt>
                <pt idx="3">
                  <v>16294187.985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836870080"/>
        <axId val="1845273392"/>
      </barChart>
      <catAx>
        <axId val="1836870080"/>
        <scaling>
          <orientation val="minMax"/>
        </scaling>
        <delete val="0"/>
        <axPos val="b"/>
        <numFmt formatCode="General\A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45273392"/>
        <crosses val="autoZero"/>
        <auto val="1"/>
        <lblAlgn val="ctr"/>
        <lblOffset val="100"/>
        <noMultiLvlLbl val="0"/>
      </catAx>
      <valAx>
        <axId val="18452733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$&quot;#,##0_);\(&quot;$&quot;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3687008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Studio Level EBITDA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Charts!$C$3:$F$3</f>
              <numCache>
                <formatCode>General\P</formatCode>
                <ptCount val="4"/>
                <pt idx="0">
                  <formatCode>General\A</formatCode>
                  <v>2025</v>
                </pt>
                <pt idx="1">
                  <v>2026</v>
                </pt>
                <pt idx="2">
                  <v>2027</v>
                </pt>
                <pt idx="3">
                  <v>2028</v>
                </pt>
              </numCache>
            </numRef>
          </cat>
          <val>
            <numRef>
              <f>Charts!$C$8:$F$8</f>
              <numCache>
                <formatCode>"$"#,##0_);\("$"#,##0\)</formatCode>
                <ptCount val="4"/>
                <pt idx="0">
                  <v>1900315.41</v>
                </pt>
                <pt idx="1">
                  <v>2355670.950563392</v>
                </pt>
                <pt idx="2">
                  <v>4035344.017792777</v>
                </pt>
                <pt idx="3">
                  <v>5089024.977700556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836870080"/>
        <axId val="1845273392"/>
      </barChart>
      <catAx>
        <axId val="1836870080"/>
        <scaling>
          <orientation val="minMax"/>
        </scaling>
        <delete val="0"/>
        <axPos val="b"/>
        <numFmt formatCode="General\A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45273392"/>
        <crosses val="autoZero"/>
        <auto val="1"/>
        <lblAlgn val="ctr"/>
        <lblOffset val="100"/>
        <noMultiLvlLbl val="0"/>
      </catAx>
      <valAx>
        <axId val="18452733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$&quot;#,##0_);\(&quot;$&quot;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3687008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Adjusted EBITDA,</a:t>
            </a:r>
            <a:r>
              <a:rPr lang="en-US" baseline="0"/>
              <a:t xml:space="preserve"> Post Corp Overhead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Charts!$C$3:$F$3</f>
              <numCache>
                <formatCode>General\P</formatCode>
                <ptCount val="4"/>
                <pt idx="0">
                  <formatCode>General\A</formatCode>
                  <v>2025</v>
                </pt>
                <pt idx="1">
                  <v>2026</v>
                </pt>
                <pt idx="2">
                  <v>2027</v>
                </pt>
                <pt idx="3">
                  <v>2028</v>
                </pt>
              </numCache>
            </numRef>
          </cat>
          <val>
            <numRef>
              <f>Charts!$C$13:$F$13</f>
              <numCache>
                <formatCode>"$"#,##0_);\("$"#,##0\)</formatCode>
                <ptCount val="4"/>
                <pt idx="0">
                  <v>1017089.51</v>
                </pt>
                <pt idx="1">
                  <v>969246.4405633918</v>
                </pt>
                <pt idx="2">
                  <v>2104496.017792776</v>
                </pt>
                <pt idx="3">
                  <v>3157434.897700556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836870080"/>
        <axId val="1845273392"/>
      </barChart>
      <catAx>
        <axId val="1836870080"/>
        <scaling>
          <orientation val="minMax"/>
        </scaling>
        <delete val="0"/>
        <axPos val="b"/>
        <numFmt formatCode="General\A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45273392"/>
        <crosses val="autoZero"/>
        <auto val="1"/>
        <lblAlgn val="ctr"/>
        <lblOffset val="100"/>
        <noMultiLvlLbl val="0"/>
      </catAx>
      <valAx>
        <axId val="18452733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$&quot;#,##0_);\(&quot;$&quot;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3687008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EBITDA,</a:t>
            </a:r>
            <a:r>
              <a:rPr lang="en-US" baseline="0"/>
              <a:t xml:space="preserve"> Post Corp Overhead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Charts!$C$3:$F$3</f>
              <numCache>
                <formatCode>General\P</formatCode>
                <ptCount val="4"/>
                <pt idx="0">
                  <formatCode>General\A</formatCode>
                  <v>2025</v>
                </pt>
                <pt idx="1">
                  <v>2026</v>
                </pt>
                <pt idx="2">
                  <v>2027</v>
                </pt>
                <pt idx="3">
                  <v>2028</v>
                </pt>
              </numCache>
            </numRef>
          </cat>
          <val>
            <numRef>
              <f>Charts!$C$18:$F$18</f>
              <numCache>
                <formatCode>"$"#,##0_);\("$"#,##0\)</formatCode>
                <ptCount val="4"/>
                <pt idx="0">
                  <v>440503.5399999996</v>
                </pt>
                <pt idx="1">
                  <v>598081.4205633919</v>
                </pt>
                <pt idx="2">
                  <v>2104496.017792777</v>
                </pt>
                <pt idx="3">
                  <v>3157434.897700556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836870080"/>
        <axId val="1845273392"/>
      </barChart>
      <catAx>
        <axId val="1836870080"/>
        <scaling>
          <orientation val="minMax"/>
        </scaling>
        <delete val="0"/>
        <axPos val="b"/>
        <numFmt formatCode="General\A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45273392"/>
        <crosses val="autoZero"/>
        <auto val="1"/>
        <lblAlgn val="ctr"/>
        <lblOffset val="100"/>
        <noMultiLvlLbl val="0"/>
      </catAx>
      <valAx>
        <axId val="18452733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$&quot;#,##0_);\(&quot;$&quot;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3687008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Studio By Studio Historical Revenue:</a:t>
            </a:r>
            <a:r>
              <a:rPr lang="en-US" baseline="0"/>
              <a:t> </a:t>
            </a:r>
            <a:r>
              <a:rPr lang="en-US"/>
              <a:t>2025 -</a:t>
            </a:r>
            <a:r>
              <a:rPr lang="en-US" baseline="0"/>
              <a:t xml:space="preserve"> May 2026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Charts!$A$36</f>
              <strCache>
                <ptCount val="1"/>
                <pt idx="0">
                  <v>Berkeley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Charts!$B$35:$R$35</f>
              <strCache>
                <ptCount val="17"/>
                <pt idx="0">
                  <v>Jan 2025</v>
                </pt>
                <pt idx="1">
                  <v>Feb 2025</v>
                </pt>
                <pt idx="2">
                  <v>March 2025</v>
                </pt>
                <pt idx="3">
                  <v>April 2025</v>
                </pt>
                <pt idx="4">
                  <v>May 2025</v>
                </pt>
                <pt idx="5">
                  <v>Jun 2025</v>
                </pt>
                <pt idx="6">
                  <v>Jul 2025</v>
                </pt>
                <pt idx="7">
                  <v>Aug 2025</v>
                </pt>
                <pt idx="8">
                  <v>Sep 2025</v>
                </pt>
                <pt idx="9">
                  <v>Oct 2025</v>
                </pt>
                <pt idx="10">
                  <v>Nov 2025</v>
                </pt>
                <pt idx="11">
                  <v>Dec 2025</v>
                </pt>
                <pt idx="12">
                  <v>Jan 2026</v>
                </pt>
                <pt idx="13">
                  <v>Feb 2026</v>
                </pt>
                <pt idx="14">
                  <v>Mar 2026</v>
                </pt>
                <pt idx="15">
                  <v>Apr 2026</v>
                </pt>
                <pt idx="16">
                  <v>May 2026</v>
                </pt>
              </strCache>
            </strRef>
          </cat>
          <val>
            <numRef>
              <f>Charts!$B$36:$R$36</f>
              <numCache>
                <formatCode>"$"#,##0_);\("$"#,##0\)</formatCode>
                <ptCount val="17"/>
                <pt idx="0">
                  <v>122672</v>
                </pt>
                <pt idx="1">
                  <v>124750</v>
                </pt>
                <pt idx="2">
                  <v>112908</v>
                </pt>
                <pt idx="3">
                  <v>140814</v>
                </pt>
                <pt idx="4">
                  <v>111061</v>
                </pt>
                <pt idx="5">
                  <v>107458</v>
                </pt>
                <pt idx="6">
                  <v>101618</v>
                </pt>
                <pt idx="7">
                  <v>142373</v>
                </pt>
                <pt idx="8">
                  <v>101097</v>
                </pt>
                <pt idx="9">
                  <v>115965</v>
                </pt>
                <pt idx="10">
                  <v>101860</v>
                </pt>
                <pt idx="11">
                  <v>99707</v>
                </pt>
                <pt idx="12">
                  <v>124393</v>
                </pt>
                <pt idx="13">
                  <v>129377</v>
                </pt>
                <pt idx="14">
                  <v>103159</v>
                </pt>
                <pt idx="15">
                  <v>136117</v>
                </pt>
                <pt idx="16">
                  <v>83273</v>
                </pt>
              </numCache>
            </numRef>
          </val>
          <smooth val="0"/>
        </ser>
        <ser>
          <idx val="1"/>
          <order val="1"/>
          <tx>
            <strRef>
              <f>Charts!$A$37</f>
              <strCache>
                <ptCount val="1"/>
                <pt idx="0">
                  <v>Culver City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Charts!$B$35:$R$35</f>
              <strCache>
                <ptCount val="17"/>
                <pt idx="0">
                  <v>Jan 2025</v>
                </pt>
                <pt idx="1">
                  <v>Feb 2025</v>
                </pt>
                <pt idx="2">
                  <v>March 2025</v>
                </pt>
                <pt idx="3">
                  <v>April 2025</v>
                </pt>
                <pt idx="4">
                  <v>May 2025</v>
                </pt>
                <pt idx="5">
                  <v>Jun 2025</v>
                </pt>
                <pt idx="6">
                  <v>Jul 2025</v>
                </pt>
                <pt idx="7">
                  <v>Aug 2025</v>
                </pt>
                <pt idx="8">
                  <v>Sep 2025</v>
                </pt>
                <pt idx="9">
                  <v>Oct 2025</v>
                </pt>
                <pt idx="10">
                  <v>Nov 2025</v>
                </pt>
                <pt idx="11">
                  <v>Dec 2025</v>
                </pt>
                <pt idx="12">
                  <v>Jan 2026</v>
                </pt>
                <pt idx="13">
                  <v>Feb 2026</v>
                </pt>
                <pt idx="14">
                  <v>Mar 2026</v>
                </pt>
                <pt idx="15">
                  <v>Apr 2026</v>
                </pt>
                <pt idx="16">
                  <v>May 2026</v>
                </pt>
              </strCache>
            </strRef>
          </cat>
          <val>
            <numRef>
              <f>Charts!$B$37:$R$37</f>
              <numCache>
                <formatCode>"$"#,##0_);\("$"#,##0\)</formatCode>
                <ptCount val="1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16118</v>
                </pt>
                <pt idx="9">
                  <v>31030</v>
                </pt>
                <pt idx="10">
                  <v>31622</v>
                </pt>
                <pt idx="11">
                  <v>31310</v>
                </pt>
                <pt idx="12">
                  <v>43840</v>
                </pt>
                <pt idx="13">
                  <v>38704</v>
                </pt>
                <pt idx="14">
                  <v>42619</v>
                </pt>
                <pt idx="15">
                  <v>39690</v>
                </pt>
                <pt idx="16">
                  <v>43327</v>
                </pt>
              </numCache>
            </numRef>
          </val>
          <smooth val="0"/>
        </ser>
        <ser>
          <idx val="2"/>
          <order val="2"/>
          <tx>
            <strRef>
              <f>Charts!$A$38</f>
              <strCache>
                <ptCount val="1"/>
                <pt idx="0">
                  <v>Danville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Charts!$B$35:$R$35</f>
              <strCache>
                <ptCount val="17"/>
                <pt idx="0">
                  <v>Jan 2025</v>
                </pt>
                <pt idx="1">
                  <v>Feb 2025</v>
                </pt>
                <pt idx="2">
                  <v>March 2025</v>
                </pt>
                <pt idx="3">
                  <v>April 2025</v>
                </pt>
                <pt idx="4">
                  <v>May 2025</v>
                </pt>
                <pt idx="5">
                  <v>Jun 2025</v>
                </pt>
                <pt idx="6">
                  <v>Jul 2025</v>
                </pt>
                <pt idx="7">
                  <v>Aug 2025</v>
                </pt>
                <pt idx="8">
                  <v>Sep 2025</v>
                </pt>
                <pt idx="9">
                  <v>Oct 2025</v>
                </pt>
                <pt idx="10">
                  <v>Nov 2025</v>
                </pt>
                <pt idx="11">
                  <v>Dec 2025</v>
                </pt>
                <pt idx="12">
                  <v>Jan 2026</v>
                </pt>
                <pt idx="13">
                  <v>Feb 2026</v>
                </pt>
                <pt idx="14">
                  <v>Mar 2026</v>
                </pt>
                <pt idx="15">
                  <v>Apr 2026</v>
                </pt>
                <pt idx="16">
                  <v>May 2026</v>
                </pt>
              </strCache>
            </strRef>
          </cat>
          <val>
            <numRef>
              <f>Charts!$B$38:$R$38</f>
              <numCache>
                <formatCode>"$"#,##0_);\("$"#,##0\)</formatCode>
                <ptCount val="1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8385</v>
                </pt>
                <pt idx="6">
                  <v>14789</v>
                </pt>
                <pt idx="7">
                  <v>16531</v>
                </pt>
                <pt idx="8">
                  <v>16660</v>
                </pt>
                <pt idx="9">
                  <v>14843</v>
                </pt>
                <pt idx="10">
                  <v>15819</v>
                </pt>
                <pt idx="11">
                  <v>17950</v>
                </pt>
                <pt idx="12">
                  <v>24286</v>
                </pt>
                <pt idx="13">
                  <v>23358</v>
                </pt>
                <pt idx="14">
                  <v>20289</v>
                </pt>
                <pt idx="15">
                  <v>20363</v>
                </pt>
                <pt idx="16">
                  <v>15337</v>
                </pt>
              </numCache>
            </numRef>
          </val>
          <smooth val="0"/>
        </ser>
        <ser>
          <idx val="3"/>
          <order val="3"/>
          <tx>
            <strRef>
              <f>Charts!$A$39</f>
              <strCache>
                <ptCount val="1"/>
                <pt idx="0">
                  <v>Lafayette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Charts!$B$35:$R$35</f>
              <strCache>
                <ptCount val="17"/>
                <pt idx="0">
                  <v>Jan 2025</v>
                </pt>
                <pt idx="1">
                  <v>Feb 2025</v>
                </pt>
                <pt idx="2">
                  <v>March 2025</v>
                </pt>
                <pt idx="3">
                  <v>April 2025</v>
                </pt>
                <pt idx="4">
                  <v>May 2025</v>
                </pt>
                <pt idx="5">
                  <v>Jun 2025</v>
                </pt>
                <pt idx="6">
                  <v>Jul 2025</v>
                </pt>
                <pt idx="7">
                  <v>Aug 2025</v>
                </pt>
                <pt idx="8">
                  <v>Sep 2025</v>
                </pt>
                <pt idx="9">
                  <v>Oct 2025</v>
                </pt>
                <pt idx="10">
                  <v>Nov 2025</v>
                </pt>
                <pt idx="11">
                  <v>Dec 2025</v>
                </pt>
                <pt idx="12">
                  <v>Jan 2026</v>
                </pt>
                <pt idx="13">
                  <v>Feb 2026</v>
                </pt>
                <pt idx="14">
                  <v>Mar 2026</v>
                </pt>
                <pt idx="15">
                  <v>Apr 2026</v>
                </pt>
                <pt idx="16">
                  <v>May 2026</v>
                </pt>
              </strCache>
            </strRef>
          </cat>
          <val>
            <numRef>
              <f>Charts!$B$39:$R$39</f>
              <numCache>
                <formatCode>"$"#,##0_);\("$"#,##0\)</formatCode>
                <ptCount val="17"/>
                <pt idx="0">
                  <v>90025</v>
                </pt>
                <pt idx="1">
                  <v>86822</v>
                </pt>
                <pt idx="2">
                  <v>85300</v>
                </pt>
                <pt idx="3">
                  <v>127703</v>
                </pt>
                <pt idx="4">
                  <v>79380</v>
                </pt>
                <pt idx="5">
                  <v>76768</v>
                </pt>
                <pt idx="6">
                  <v>70767</v>
                </pt>
                <pt idx="7">
                  <v>102739</v>
                </pt>
                <pt idx="8">
                  <v>68837</v>
                </pt>
                <pt idx="9">
                  <v>83777</v>
                </pt>
                <pt idx="10">
                  <v>79979</v>
                </pt>
                <pt idx="11">
                  <v>79880</v>
                </pt>
                <pt idx="12">
                  <v>92365</v>
                </pt>
                <pt idx="13">
                  <v>126186</v>
                </pt>
                <pt idx="14">
                  <v>78385</v>
                </pt>
                <pt idx="15">
                  <v>106542</v>
                </pt>
                <pt idx="16">
                  <v>71444</v>
                </pt>
              </numCache>
            </numRef>
          </val>
          <smooth val="0"/>
        </ser>
        <ser>
          <idx val="4"/>
          <order val="4"/>
          <tx>
            <strRef>
              <f>Charts!$A$40</f>
              <strCache>
                <ptCount val="1"/>
                <pt idx="0">
                  <v>Marin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Charts!$B$35:$R$35</f>
              <strCache>
                <ptCount val="17"/>
                <pt idx="0">
                  <v>Jan 2025</v>
                </pt>
                <pt idx="1">
                  <v>Feb 2025</v>
                </pt>
                <pt idx="2">
                  <v>March 2025</v>
                </pt>
                <pt idx="3">
                  <v>April 2025</v>
                </pt>
                <pt idx="4">
                  <v>May 2025</v>
                </pt>
                <pt idx="5">
                  <v>Jun 2025</v>
                </pt>
                <pt idx="6">
                  <v>Jul 2025</v>
                </pt>
                <pt idx="7">
                  <v>Aug 2025</v>
                </pt>
                <pt idx="8">
                  <v>Sep 2025</v>
                </pt>
                <pt idx="9">
                  <v>Oct 2025</v>
                </pt>
                <pt idx="10">
                  <v>Nov 2025</v>
                </pt>
                <pt idx="11">
                  <v>Dec 2025</v>
                </pt>
                <pt idx="12">
                  <v>Jan 2026</v>
                </pt>
                <pt idx="13">
                  <v>Feb 2026</v>
                </pt>
                <pt idx="14">
                  <v>Mar 2026</v>
                </pt>
                <pt idx="15">
                  <v>Apr 2026</v>
                </pt>
                <pt idx="16">
                  <v>May 2026</v>
                </pt>
              </strCache>
            </strRef>
          </cat>
          <val>
            <numRef>
              <f>Charts!$B$40:$R$40</f>
              <numCache>
                <formatCode>"$"#,##0_);\("$"#,##0\)</formatCode>
                <ptCount val="17"/>
                <pt idx="0">
                  <v>16838.59987049735</v>
                </pt>
                <pt idx="1">
                  <v>13867.04562923458</v>
                </pt>
                <pt idx="2">
                  <v>14508.23346796695</v>
                </pt>
                <pt idx="3">
                  <v>36538</v>
                </pt>
                <pt idx="4">
                  <v>90956</v>
                </pt>
                <pt idx="5">
                  <v>87668</v>
                </pt>
                <pt idx="6">
                  <v>91349</v>
                </pt>
                <pt idx="7">
                  <v>113973</v>
                </pt>
                <pt idx="8">
                  <v>81190</v>
                </pt>
                <pt idx="9">
                  <v>98516</v>
                </pt>
                <pt idx="10">
                  <v>90001</v>
                </pt>
                <pt idx="11">
                  <v>104919</v>
                </pt>
                <pt idx="12">
                  <v>100589</v>
                </pt>
                <pt idx="13">
                  <v>114193</v>
                </pt>
                <pt idx="14">
                  <v>90196</v>
                </pt>
                <pt idx="15">
                  <v>140256</v>
                </pt>
                <pt idx="16">
                  <v>74382</v>
                </pt>
              </numCache>
            </numRef>
          </val>
          <smooth val="0"/>
        </ser>
        <ser>
          <idx val="5"/>
          <order val="5"/>
          <tx>
            <strRef>
              <f>Charts!$A$41</f>
              <strCache>
                <ptCount val="1"/>
                <pt idx="0">
                  <v>Ocean Park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Charts!$B$35:$R$35</f>
              <strCache>
                <ptCount val="17"/>
                <pt idx="0">
                  <v>Jan 2025</v>
                </pt>
                <pt idx="1">
                  <v>Feb 2025</v>
                </pt>
                <pt idx="2">
                  <v>March 2025</v>
                </pt>
                <pt idx="3">
                  <v>April 2025</v>
                </pt>
                <pt idx="4">
                  <v>May 2025</v>
                </pt>
                <pt idx="5">
                  <v>Jun 2025</v>
                </pt>
                <pt idx="6">
                  <v>Jul 2025</v>
                </pt>
                <pt idx="7">
                  <v>Aug 2025</v>
                </pt>
                <pt idx="8">
                  <v>Sep 2025</v>
                </pt>
                <pt idx="9">
                  <v>Oct 2025</v>
                </pt>
                <pt idx="10">
                  <v>Nov 2025</v>
                </pt>
                <pt idx="11">
                  <v>Dec 2025</v>
                </pt>
                <pt idx="12">
                  <v>Jan 2026</v>
                </pt>
                <pt idx="13">
                  <v>Feb 2026</v>
                </pt>
                <pt idx="14">
                  <v>Mar 2026</v>
                </pt>
                <pt idx="15">
                  <v>Apr 2026</v>
                </pt>
                <pt idx="16">
                  <v>May 2026</v>
                </pt>
              </strCache>
            </strRef>
          </cat>
          <val>
            <numRef>
              <f>Charts!$B$41:$R$41</f>
              <numCache>
                <formatCode>"$"#,##0_);\("$"#,##0\)</formatCode>
                <ptCount val="1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30025</v>
                </pt>
                <pt idx="4">
                  <v>45379</v>
                </pt>
                <pt idx="5">
                  <v>50782</v>
                </pt>
                <pt idx="6">
                  <v>59231</v>
                </pt>
                <pt idx="7">
                  <v>60132</v>
                </pt>
                <pt idx="8">
                  <v>52754</v>
                </pt>
                <pt idx="9">
                  <v>51670</v>
                </pt>
                <pt idx="10">
                  <v>60236</v>
                </pt>
                <pt idx="11">
                  <v>51621</v>
                </pt>
                <pt idx="12">
                  <v>60583</v>
                </pt>
                <pt idx="13">
                  <v>59614</v>
                </pt>
                <pt idx="14">
                  <v>62052</v>
                </pt>
                <pt idx="15">
                  <v>73815</v>
                </pt>
                <pt idx="16">
                  <v>63770</v>
                </pt>
              </numCache>
            </numRef>
          </val>
          <smooth val="0"/>
        </ser>
        <ser>
          <idx val="6"/>
          <order val="6"/>
          <tx>
            <strRef>
              <f>Charts!$A$42</f>
              <strCache>
                <ptCount val="1"/>
                <pt idx="0">
                  <v>Presidio Heights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Charts!$B$35:$R$35</f>
              <strCache>
                <ptCount val="17"/>
                <pt idx="0">
                  <v>Jan 2025</v>
                </pt>
                <pt idx="1">
                  <v>Feb 2025</v>
                </pt>
                <pt idx="2">
                  <v>March 2025</v>
                </pt>
                <pt idx="3">
                  <v>April 2025</v>
                </pt>
                <pt idx="4">
                  <v>May 2025</v>
                </pt>
                <pt idx="5">
                  <v>Jun 2025</v>
                </pt>
                <pt idx="6">
                  <v>Jul 2025</v>
                </pt>
                <pt idx="7">
                  <v>Aug 2025</v>
                </pt>
                <pt idx="8">
                  <v>Sep 2025</v>
                </pt>
                <pt idx="9">
                  <v>Oct 2025</v>
                </pt>
                <pt idx="10">
                  <v>Nov 2025</v>
                </pt>
                <pt idx="11">
                  <v>Dec 2025</v>
                </pt>
                <pt idx="12">
                  <v>Jan 2026</v>
                </pt>
                <pt idx="13">
                  <v>Feb 2026</v>
                </pt>
                <pt idx="14">
                  <v>Mar 2026</v>
                </pt>
                <pt idx="15">
                  <v>Apr 2026</v>
                </pt>
                <pt idx="16">
                  <v>May 2026</v>
                </pt>
              </strCache>
            </strRef>
          </cat>
          <val>
            <numRef>
              <f>Charts!$B$42:$R$42</f>
              <numCache>
                <formatCode>"$"#,##0_);\("$"#,##0\)</formatCode>
                <ptCount val="17"/>
                <pt idx="0">
                  <v>233958.4001295027</v>
                </pt>
                <pt idx="1">
                  <v>218217.9543707655</v>
                </pt>
                <pt idx="2">
                  <v>206588.766532033</v>
                </pt>
                <pt idx="3">
                  <v>189694</v>
                </pt>
                <pt idx="4">
                  <v>117239</v>
                </pt>
                <pt idx="5">
                  <v>109486</v>
                </pt>
                <pt idx="6">
                  <v>91214</v>
                </pt>
                <pt idx="7">
                  <v>179728</v>
                </pt>
                <pt idx="8">
                  <v>107500</v>
                </pt>
                <pt idx="9">
                  <v>134780</v>
                </pt>
                <pt idx="10">
                  <v>113334</v>
                </pt>
                <pt idx="11">
                  <v>128126</v>
                </pt>
                <pt idx="12">
                  <v>124927</v>
                </pt>
                <pt idx="13">
                  <v>180839</v>
                </pt>
                <pt idx="14">
                  <v>115051</v>
                </pt>
                <pt idx="15">
                  <v>179323</v>
                </pt>
                <pt idx="16">
                  <v>93511</v>
                </pt>
              </numCache>
            </numRef>
          </val>
          <smooth val="0"/>
        </ser>
        <ser>
          <idx val="7"/>
          <order val="7"/>
          <tx>
            <strRef>
              <f>Charts!$A$43</f>
              <strCache>
                <ptCount val="1"/>
                <pt idx="0">
                  <v>Russian Hill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Charts!$B$35:$R$35</f>
              <strCache>
                <ptCount val="17"/>
                <pt idx="0">
                  <v>Jan 2025</v>
                </pt>
                <pt idx="1">
                  <v>Feb 2025</v>
                </pt>
                <pt idx="2">
                  <v>March 2025</v>
                </pt>
                <pt idx="3">
                  <v>April 2025</v>
                </pt>
                <pt idx="4">
                  <v>May 2025</v>
                </pt>
                <pt idx="5">
                  <v>Jun 2025</v>
                </pt>
                <pt idx="6">
                  <v>Jul 2025</v>
                </pt>
                <pt idx="7">
                  <v>Aug 2025</v>
                </pt>
                <pt idx="8">
                  <v>Sep 2025</v>
                </pt>
                <pt idx="9">
                  <v>Oct 2025</v>
                </pt>
                <pt idx="10">
                  <v>Nov 2025</v>
                </pt>
                <pt idx="11">
                  <v>Dec 2025</v>
                </pt>
                <pt idx="12">
                  <v>Jan 2026</v>
                </pt>
                <pt idx="13">
                  <v>Feb 2026</v>
                </pt>
                <pt idx="14">
                  <v>Mar 2026</v>
                </pt>
                <pt idx="15">
                  <v>Apr 2026</v>
                </pt>
                <pt idx="16">
                  <v>May 2026</v>
                </pt>
              </strCache>
            </strRef>
          </cat>
          <val>
            <numRef>
              <f>Charts!$B$43:$R$43</f>
              <numCache>
                <formatCode>"$"#,##0_);\("$"#,##0\)</formatCode>
                <ptCount val="17"/>
                <pt idx="0">
                  <v>0</v>
                </pt>
                <pt idx="1">
                  <v>31933</v>
                </pt>
                <pt idx="2">
                  <v>55412</v>
                </pt>
                <pt idx="3">
                  <v>81989</v>
                </pt>
                <pt idx="4">
                  <v>70953</v>
                </pt>
                <pt idx="5">
                  <v>67470</v>
                </pt>
                <pt idx="6">
                  <v>72141</v>
                </pt>
                <pt idx="7">
                  <v>93312</v>
                </pt>
                <pt idx="8">
                  <v>69913</v>
                </pt>
                <pt idx="9">
                  <v>80685</v>
                </pt>
                <pt idx="10">
                  <v>76340</v>
                </pt>
                <pt idx="11">
                  <v>72252</v>
                </pt>
                <pt idx="12">
                  <v>96145</v>
                </pt>
                <pt idx="13">
                  <v>94253</v>
                </pt>
                <pt idx="14">
                  <v>85589</v>
                </pt>
                <pt idx="15">
                  <v>108129</v>
                </pt>
                <pt idx="16">
                  <v>66857</v>
                </pt>
              </numCache>
            </numRef>
          </val>
          <smooth val="0"/>
        </ser>
        <ser>
          <idx val="8"/>
          <order val="8"/>
          <tx>
            <strRef>
              <f>Charts!$A$44</f>
              <strCache>
                <ptCount val="1"/>
                <pt idx="0">
                  <v>Santa Barbara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Charts!$B$35:$R$35</f>
              <strCache>
                <ptCount val="17"/>
                <pt idx="0">
                  <v>Jan 2025</v>
                </pt>
                <pt idx="1">
                  <v>Feb 2025</v>
                </pt>
                <pt idx="2">
                  <v>March 2025</v>
                </pt>
                <pt idx="3">
                  <v>April 2025</v>
                </pt>
                <pt idx="4">
                  <v>May 2025</v>
                </pt>
                <pt idx="5">
                  <v>Jun 2025</v>
                </pt>
                <pt idx="6">
                  <v>Jul 2025</v>
                </pt>
                <pt idx="7">
                  <v>Aug 2025</v>
                </pt>
                <pt idx="8">
                  <v>Sep 2025</v>
                </pt>
                <pt idx="9">
                  <v>Oct 2025</v>
                </pt>
                <pt idx="10">
                  <v>Nov 2025</v>
                </pt>
                <pt idx="11">
                  <v>Dec 2025</v>
                </pt>
                <pt idx="12">
                  <v>Jan 2026</v>
                </pt>
                <pt idx="13">
                  <v>Feb 2026</v>
                </pt>
                <pt idx="14">
                  <v>Mar 2026</v>
                </pt>
                <pt idx="15">
                  <v>Apr 2026</v>
                </pt>
                <pt idx="16">
                  <v>May 2026</v>
                </pt>
              </strCache>
            </strRef>
          </cat>
          <val>
            <numRef>
              <f>Charts!$B$44:$R$44</f>
              <numCache>
                <formatCode>"$"#,##0_);\("$"#,##0\)</formatCode>
                <ptCount val="1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8231</v>
                </pt>
                <pt idx="11">
                  <v>17514</v>
                </pt>
                <pt idx="12">
                  <v>32747</v>
                </pt>
                <pt idx="13">
                  <v>27799</v>
                </pt>
                <pt idx="14">
                  <v>25898</v>
                </pt>
                <pt idx="15">
                  <v>23393</v>
                </pt>
                <pt idx="16">
                  <v>20133</v>
                </pt>
              </numCache>
            </numRef>
          </val>
          <smooth val="0"/>
        </ser>
        <ser>
          <idx val="9"/>
          <order val="9"/>
          <tx>
            <strRef>
              <f>Charts!$A$45</f>
              <strCache>
                <ptCount val="1"/>
                <pt idx="0">
                  <v>Santa Monica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Charts!$B$35:$R$35</f>
              <strCache>
                <ptCount val="17"/>
                <pt idx="0">
                  <v>Jan 2025</v>
                </pt>
                <pt idx="1">
                  <v>Feb 2025</v>
                </pt>
                <pt idx="2">
                  <v>March 2025</v>
                </pt>
                <pt idx="3">
                  <v>April 2025</v>
                </pt>
                <pt idx="4">
                  <v>May 2025</v>
                </pt>
                <pt idx="5">
                  <v>Jun 2025</v>
                </pt>
                <pt idx="6">
                  <v>Jul 2025</v>
                </pt>
                <pt idx="7">
                  <v>Aug 2025</v>
                </pt>
                <pt idx="8">
                  <v>Sep 2025</v>
                </pt>
                <pt idx="9">
                  <v>Oct 2025</v>
                </pt>
                <pt idx="10">
                  <v>Nov 2025</v>
                </pt>
                <pt idx="11">
                  <v>Dec 2025</v>
                </pt>
                <pt idx="12">
                  <v>Jan 2026</v>
                </pt>
                <pt idx="13">
                  <v>Feb 2026</v>
                </pt>
                <pt idx="14">
                  <v>Mar 2026</v>
                </pt>
                <pt idx="15">
                  <v>Apr 2026</v>
                </pt>
                <pt idx="16">
                  <v>May 2026</v>
                </pt>
              </strCache>
            </strRef>
          </cat>
          <val>
            <numRef>
              <f>Charts!$B$45:$R$45</f>
              <numCache>
                <formatCode>"$"#,##0_);\("$"#,##0\)</formatCode>
                <ptCount val="17"/>
                <pt idx="0">
                  <v>143755</v>
                </pt>
                <pt idx="1">
                  <v>203570</v>
                </pt>
                <pt idx="2">
                  <v>268747</v>
                </pt>
                <pt idx="3">
                  <v>164726</v>
                </pt>
                <pt idx="4">
                  <v>193168</v>
                </pt>
                <pt idx="5">
                  <v>169753</v>
                </pt>
                <pt idx="6">
                  <v>231840</v>
                </pt>
                <pt idx="7">
                  <v>162408</v>
                </pt>
                <pt idx="8">
                  <v>176867</v>
                </pt>
                <pt idx="9">
                  <v>154064</v>
                </pt>
                <pt idx="10">
                  <v>188610</v>
                </pt>
                <pt idx="11">
                  <v>178478</v>
                </pt>
                <pt idx="12">
                  <v>184491</v>
                </pt>
                <pt idx="13">
                  <v>161597</v>
                </pt>
                <pt idx="14">
                  <v>192258</v>
                </pt>
                <pt idx="15">
                  <v>157521</v>
                </pt>
                <pt idx="16">
                  <v>206632</v>
                </pt>
              </numCache>
            </numRef>
          </val>
          <smooth val="0"/>
        </ser>
        <ser>
          <idx val="10"/>
          <order val="10"/>
          <tx>
            <strRef>
              <f>Charts!$A$46</f>
              <strCache>
                <ptCount val="1"/>
                <pt idx="0">
                  <v>West Portal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Charts!$B$35:$R$35</f>
              <strCache>
                <ptCount val="17"/>
                <pt idx="0">
                  <v>Jan 2025</v>
                </pt>
                <pt idx="1">
                  <v>Feb 2025</v>
                </pt>
                <pt idx="2">
                  <v>March 2025</v>
                </pt>
                <pt idx="3">
                  <v>April 2025</v>
                </pt>
                <pt idx="4">
                  <v>May 2025</v>
                </pt>
                <pt idx="5">
                  <v>Jun 2025</v>
                </pt>
                <pt idx="6">
                  <v>Jul 2025</v>
                </pt>
                <pt idx="7">
                  <v>Aug 2025</v>
                </pt>
                <pt idx="8">
                  <v>Sep 2025</v>
                </pt>
                <pt idx="9">
                  <v>Oct 2025</v>
                </pt>
                <pt idx="10">
                  <v>Nov 2025</v>
                </pt>
                <pt idx="11">
                  <v>Dec 2025</v>
                </pt>
                <pt idx="12">
                  <v>Jan 2026</v>
                </pt>
                <pt idx="13">
                  <v>Feb 2026</v>
                </pt>
                <pt idx="14">
                  <v>Mar 2026</v>
                </pt>
                <pt idx="15">
                  <v>Apr 2026</v>
                </pt>
                <pt idx="16">
                  <v>May 2026</v>
                </pt>
              </strCache>
            </strRef>
          </cat>
          <val>
            <numRef>
              <f>Charts!$B$46:$R$46</f>
              <numCache>
                <formatCode>"$"#,##0_);\("$"#,##0\)</formatCode>
                <ptCount val="1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470</v>
                </pt>
                <pt idx="11">
                  <v>4114</v>
                </pt>
                <pt idx="12">
                  <v>1573</v>
                </pt>
                <pt idx="13">
                  <v>1513</v>
                </pt>
                <pt idx="14">
                  <v>784</v>
                </pt>
                <pt idx="15">
                  <v>370</v>
                </pt>
                <pt idx="16">
                  <v>26</v>
                </pt>
              </numCache>
            </numRef>
          </val>
          <smooth val="0"/>
        </ser>
        <ser>
          <idx val="11"/>
          <order val="11"/>
          <tx>
            <strRef>
              <f>Charts!$A$47</f>
              <strCache>
                <ptCount val="1"/>
                <pt idx="0">
                  <v>Westwood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Charts!$B$35:$R$35</f>
              <strCache>
                <ptCount val="17"/>
                <pt idx="0">
                  <v>Jan 2025</v>
                </pt>
                <pt idx="1">
                  <v>Feb 2025</v>
                </pt>
                <pt idx="2">
                  <v>March 2025</v>
                </pt>
                <pt idx="3">
                  <v>April 2025</v>
                </pt>
                <pt idx="4">
                  <v>May 2025</v>
                </pt>
                <pt idx="5">
                  <v>Jun 2025</v>
                </pt>
                <pt idx="6">
                  <v>Jul 2025</v>
                </pt>
                <pt idx="7">
                  <v>Aug 2025</v>
                </pt>
                <pt idx="8">
                  <v>Sep 2025</v>
                </pt>
                <pt idx="9">
                  <v>Oct 2025</v>
                </pt>
                <pt idx="10">
                  <v>Nov 2025</v>
                </pt>
                <pt idx="11">
                  <v>Dec 2025</v>
                </pt>
                <pt idx="12">
                  <v>Jan 2026</v>
                </pt>
                <pt idx="13">
                  <v>Feb 2026</v>
                </pt>
                <pt idx="14">
                  <v>Mar 2026</v>
                </pt>
                <pt idx="15">
                  <v>Apr 2026</v>
                </pt>
                <pt idx="16">
                  <v>May 2026</v>
                </pt>
              </strCache>
            </strRef>
          </cat>
          <val>
            <numRef>
              <f>Charts!$B$47:$R$47</f>
              <numCache>
                <formatCode>"$"#,##0_);\("$"#,##0\)</formatCode>
                <ptCount val="17"/>
                <pt idx="0">
                  <v>71187</v>
                </pt>
                <pt idx="1">
                  <v>96307</v>
                </pt>
                <pt idx="2">
                  <v>93607</v>
                </pt>
                <pt idx="3">
                  <v>77241</v>
                </pt>
                <pt idx="4">
                  <v>90103</v>
                </pt>
                <pt idx="5">
                  <v>75890</v>
                </pt>
                <pt idx="6">
                  <v>75128</v>
                </pt>
                <pt idx="7">
                  <v>59513</v>
                </pt>
                <pt idx="8">
                  <v>67496</v>
                </pt>
                <pt idx="9">
                  <v>64714</v>
                </pt>
                <pt idx="10">
                  <v>67128</v>
                </pt>
                <pt idx="11">
                  <v>61457</v>
                </pt>
                <pt idx="12">
                  <v>71360</v>
                </pt>
                <pt idx="13">
                  <v>69405</v>
                </pt>
                <pt idx="14">
                  <v>62992</v>
                </pt>
                <pt idx="15">
                  <v>49441</v>
                </pt>
                <pt idx="16">
                  <v>60750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64011664"/>
        <axId val="1845282512"/>
      </lineChart>
      <catAx>
        <axId val="196401166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45282512"/>
        <crosses val="autoZero"/>
        <auto val="1"/>
        <lblAlgn val="ctr"/>
        <lblOffset val="100"/>
        <noMultiLvlLbl val="0"/>
      </catAx>
      <valAx>
        <axId val="18452825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$&quot;#,##0_);\(&quot;$&quot;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96401166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twoCellAnchor>
    <from>
      <col>6</col>
      <colOff>428625</colOff>
      <row>1</row>
      <rowOff>27893</rowOff>
    </from>
    <to>
      <col>10</col>
      <colOff>982434</colOff>
      <row>6</row>
      <rowOff>27214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421822</colOff>
      <row>6</row>
      <rowOff>68035</rowOff>
    </from>
    <to>
      <col>10</col>
      <colOff>975631</colOff>
      <row>11</row>
      <rowOff>72118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6</col>
      <colOff>408214</colOff>
      <row>11</row>
      <rowOff>163286</rowOff>
    </from>
    <to>
      <col>10</col>
      <colOff>962023</colOff>
      <row>16</row>
      <rowOff>172130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6</col>
      <colOff>421822</colOff>
      <row>17</row>
      <rowOff>163285</rowOff>
    </from>
    <to>
      <col>10</col>
      <colOff>975631</colOff>
      <row>22</row>
      <rowOff>172130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8</col>
      <colOff>846137</colOff>
      <row>20</row>
      <rowOff>152400</rowOff>
    </from>
    <to>
      <col>22</col>
      <colOff>555625</colOff>
      <row>47</row>
      <rowOff>15875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1"/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CC9900"/>
    <outlinePr summaryBelow="1" summaryRight="1"/>
    <pageSetUpPr/>
  </sheetPr>
  <dimension ref="B2:G36"/>
  <sheetViews>
    <sheetView showGridLines="0" zoomScale="80" zoomScaleNormal="80" workbookViewId="0">
      <selection activeCell="A1" sqref="A1"/>
    </sheetView>
  </sheetViews>
  <sheetFormatPr baseColWidth="10" defaultColWidth="8.83203125" defaultRowHeight="15"/>
  <cols>
    <col width="62.33203125" customWidth="1" style="282" min="2" max="2"/>
    <col width="18.1640625" customWidth="1" style="282" min="3" max="7"/>
  </cols>
  <sheetData>
    <row r="1" ht="14.75" customHeight="1" s="282" thickBot="1"/>
    <row r="2" ht="14.75" customHeight="1" s="282" thickBot="1">
      <c r="B2" s="88" t="inlineStr">
        <is>
          <t>NOTE: Model assumes transaction closes on August 1, 2026</t>
        </is>
      </c>
    </row>
    <row r="3">
      <c r="B3" s="89" t="n"/>
    </row>
    <row r="4">
      <c r="B4" s="90" t="inlineStr">
        <is>
          <t>Entry Valuation</t>
        </is>
      </c>
      <c r="C4" s="91" t="n"/>
    </row>
    <row r="5" ht="2.5" customHeight="1" s="282">
      <c r="B5" s="92" t="n"/>
      <c r="C5" s="93" t="n"/>
    </row>
    <row r="6">
      <c r="B6" s="93" t="inlineStr">
        <is>
          <t>EBITDA Multiple</t>
        </is>
      </c>
      <c r="C6" s="94" t="n">
        <v>5.5</v>
      </c>
    </row>
    <row r="7">
      <c r="B7" s="95" t="inlineStr">
        <is>
          <t>LTM May 2026 Studio Level EBITDA</t>
        </is>
      </c>
      <c r="C7" s="123">
        <f>SUM(Summary!BF24:BF35)</f>
        <v/>
      </c>
    </row>
    <row r="8">
      <c r="B8" s="96" t="inlineStr">
        <is>
          <t>Pre Money TEV</t>
        </is>
      </c>
      <c r="C8" s="287">
        <f>C7*C6</f>
        <v/>
      </c>
    </row>
    <row r="9">
      <c r="C9" s="288" t="n"/>
    </row>
    <row r="10">
      <c r="B10" s="90" t="inlineStr">
        <is>
          <t>Sources and Uses</t>
        </is>
      </c>
      <c r="C10" s="91" t="n"/>
    </row>
    <row r="11">
      <c r="B11" s="101" t="inlineStr">
        <is>
          <t>Uses</t>
        </is>
      </c>
    </row>
    <row r="12">
      <c r="B12" t="inlineStr">
        <is>
          <t>Pre Money TEV</t>
        </is>
      </c>
      <c r="C12" s="288">
        <f>C8</f>
        <v/>
      </c>
    </row>
    <row r="13">
      <c r="B13" t="inlineStr">
        <is>
          <t>Existing Debt Paydown (at August 2026)</t>
        </is>
      </c>
      <c r="C13" s="289">
        <f>'Cash, Debt &amp; Equity'!W26</f>
        <v/>
      </c>
    </row>
    <row r="14">
      <c r="B14" t="inlineStr">
        <is>
          <t>New Studio Build (in Jan 2027)</t>
        </is>
      </c>
      <c r="C14" s="289">
        <f>-'Cash Flow Forecast (w prototype'!AB26</f>
        <v/>
      </c>
    </row>
    <row r="15">
      <c r="B15" t="inlineStr">
        <is>
          <t>Cash on balance sheet for working capital</t>
        </is>
      </c>
      <c r="C15" s="290">
        <f>C18-SUM(C12,C17,C16,C13,C14)</f>
        <v/>
      </c>
    </row>
    <row r="16">
      <c r="B16" t="inlineStr">
        <is>
          <t>Legal Fees</t>
        </is>
      </c>
      <c r="C16" s="291" t="n">
        <v>50000</v>
      </c>
    </row>
    <row r="17">
      <c r="B17" t="inlineStr">
        <is>
          <t>Financing Fees (2% of raise)</t>
        </is>
      </c>
      <c r="C17" s="292">
        <f>D17*C21</f>
        <v/>
      </c>
      <c r="D17" s="124" t="n">
        <v>0.02</v>
      </c>
      <c r="E17" s="125" t="inlineStr">
        <is>
          <t>&lt;&lt;&lt; Fee</t>
        </is>
      </c>
    </row>
    <row r="18">
      <c r="B18" s="104" t="inlineStr">
        <is>
          <t>Total Uses</t>
        </is>
      </c>
      <c r="C18" s="293">
        <f>C23</f>
        <v/>
      </c>
      <c r="D18" s="111" t="n"/>
      <c r="E18" s="125" t="n"/>
    </row>
    <row r="19">
      <c r="D19" s="111" t="n"/>
      <c r="E19" s="125" t="n"/>
    </row>
    <row r="20">
      <c r="B20" s="101" t="inlineStr">
        <is>
          <t>Sources</t>
        </is>
      </c>
      <c r="D20" s="111" t="n"/>
      <c r="E20" s="125" t="n"/>
    </row>
    <row r="21">
      <c r="B21" t="inlineStr">
        <is>
          <t>New Debt (leasehold, certain amount covers losses)</t>
        </is>
      </c>
      <c r="C21" s="291" t="n">
        <v>1650000</v>
      </c>
      <c r="D21" s="124" t="n">
        <v>0.1</v>
      </c>
      <c r="E21" s="125" t="inlineStr">
        <is>
          <t>&lt;&lt;&lt; Cash Interest, paid monthly</t>
        </is>
      </c>
    </row>
    <row r="22">
      <c r="B22" t="inlineStr">
        <is>
          <t>Management Rollover</t>
        </is>
      </c>
      <c r="C22" s="294">
        <f>C12</f>
        <v/>
      </c>
    </row>
    <row r="23">
      <c r="B23" s="104" t="inlineStr">
        <is>
          <t>Total Uses</t>
        </is>
      </c>
      <c r="C23" s="293">
        <f>SUM(C21:C22)</f>
        <v/>
      </c>
    </row>
    <row r="25">
      <c r="B25" s="90" t="inlineStr">
        <is>
          <t>Debt Service Coverage Metrics</t>
        </is>
      </c>
      <c r="C25" s="91" t="n"/>
      <c r="D25" s="91" t="n"/>
      <c r="E25" s="91" t="n"/>
      <c r="F25" s="91" t="n"/>
    </row>
    <row r="26">
      <c r="C26" s="128" t="inlineStr">
        <is>
          <t>LTM May 2026</t>
        </is>
      </c>
      <c r="D26" s="295" t="n">
        <v>2026</v>
      </c>
      <c r="E26" s="295">
        <f>D26+1</f>
        <v/>
      </c>
      <c r="F26" s="295">
        <f>E26+1</f>
        <v/>
      </c>
      <c r="G26" s="111" t="n"/>
    </row>
    <row r="27">
      <c r="B27">
        <f>'Cash Flow Forecast (w prototype'!B55</f>
        <v/>
      </c>
      <c r="C27" s="130">
        <f>'Cash Flow Forecast (w prototype'!BF55</f>
        <v/>
      </c>
      <c r="D27" s="130">
        <f>'Cash Flow Forecast (w prototype'!BB55</f>
        <v/>
      </c>
      <c r="E27" s="130">
        <f>'Cash Flow Forecast (w prototype'!BC55</f>
        <v/>
      </c>
      <c r="F27" s="130">
        <f>'Cash Flow Forecast (w prototype'!BD55</f>
        <v/>
      </c>
      <c r="G27" s="111" t="n"/>
    </row>
    <row r="28">
      <c r="B28">
        <f>'Cash Flow Forecast (w prototype'!B56</f>
        <v/>
      </c>
      <c r="C28" s="130">
        <f>'Cash Flow Forecast (w prototype'!BF56</f>
        <v/>
      </c>
      <c r="D28" s="130">
        <f>'Cash Flow Forecast (w prototype'!BB56</f>
        <v/>
      </c>
      <c r="E28" s="130">
        <f>'Cash Flow Forecast (w prototype'!BC56</f>
        <v/>
      </c>
      <c r="F28" s="130">
        <f>'Cash Flow Forecast (w prototype'!BD56</f>
        <v/>
      </c>
      <c r="G28" s="111" t="n"/>
    </row>
    <row r="29">
      <c r="B29">
        <f>'Cash Flow Forecast (w prototype'!B57</f>
        <v/>
      </c>
      <c r="C29" s="130">
        <f>'Cash Flow Forecast (w prototype'!BF57</f>
        <v/>
      </c>
      <c r="D29" s="130">
        <f>'Cash Flow Forecast (w prototype'!BB57</f>
        <v/>
      </c>
      <c r="E29" s="130">
        <f>'Cash Flow Forecast (w prototype'!BC57</f>
        <v/>
      </c>
      <c r="F29" s="130">
        <f>'Cash Flow Forecast (w prototype'!BD57</f>
        <v/>
      </c>
      <c r="G29" s="111" t="n"/>
    </row>
    <row r="30">
      <c r="B30">
        <f>'Cash Flow Forecast (w prototype'!B58</f>
        <v/>
      </c>
      <c r="C30" s="130">
        <f>'Cash Flow Forecast (w prototype'!BF58</f>
        <v/>
      </c>
      <c r="D30" s="130">
        <f>IFERROR('Cash Flow Forecast (w prototype'!BB58,"NA")</f>
        <v/>
      </c>
      <c r="E30" s="130">
        <f>'Cash Flow Forecast (w prototype'!BC58</f>
        <v/>
      </c>
      <c r="F30" s="130">
        <f>'Cash Flow Forecast (w prototype'!BD58</f>
        <v/>
      </c>
      <c r="G30" s="111" t="n"/>
    </row>
    <row r="36">
      <c r="B36" s="9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7" tint="-0.249977111117893"/>
    <outlinePr summaryBelow="1" summaryRight="1"/>
    <pageSetUpPr/>
  </sheetPr>
  <dimension ref="A2:R62"/>
  <sheetViews>
    <sheetView zoomScale="60" zoomScaleNormal="60" workbookViewId="0">
      <selection activeCell="A1" sqref="A1"/>
    </sheetView>
  </sheetViews>
  <sheetFormatPr baseColWidth="10" defaultColWidth="8.83203125" defaultRowHeight="15"/>
  <cols>
    <col width="29.83203125" bestFit="1" customWidth="1" style="282" min="1" max="1"/>
    <col width="14" customWidth="1" style="282" min="2" max="18"/>
  </cols>
  <sheetData>
    <row r="2">
      <c r="B2" s="89" t="inlineStr">
        <is>
          <t>Consolidated Revenue</t>
        </is>
      </c>
    </row>
    <row r="3">
      <c r="C3" s="296" t="n">
        <v>2025</v>
      </c>
      <c r="D3" s="297">
        <f>C3+1</f>
        <v/>
      </c>
      <c r="E3" s="297">
        <f>D3+1</f>
        <v/>
      </c>
      <c r="F3" s="297">
        <f>E3+1</f>
        <v/>
      </c>
    </row>
    <row r="4">
      <c r="C4" s="289">
        <f>Summary!BA6</f>
        <v/>
      </c>
      <c r="D4" s="289">
        <f>Summary!BB6</f>
        <v/>
      </c>
      <c r="E4" s="289">
        <f>Summary!BC6</f>
        <v/>
      </c>
      <c r="F4" s="289">
        <f>Summary!BD6</f>
        <v/>
      </c>
    </row>
    <row r="6">
      <c r="B6" s="89" t="inlineStr">
        <is>
          <t>Consolidated Studio Level EBITDA</t>
        </is>
      </c>
    </row>
    <row r="7">
      <c r="C7" s="296" t="n">
        <v>2025</v>
      </c>
      <c r="D7" s="297">
        <f>C7+1</f>
        <v/>
      </c>
      <c r="E7" s="297">
        <f>D7+1</f>
        <v/>
      </c>
      <c r="F7" s="297">
        <f>E7+1</f>
        <v/>
      </c>
    </row>
    <row r="8">
      <c r="C8" s="289">
        <f>Summary!BA39</f>
        <v/>
      </c>
      <c r="D8" s="289">
        <f>Summary!BB39</f>
        <v/>
      </c>
      <c r="E8" s="289">
        <f>Summary!BC39</f>
        <v/>
      </c>
      <c r="F8" s="289">
        <f>Summary!BD39</f>
        <v/>
      </c>
    </row>
    <row r="11">
      <c r="B11" s="89" t="inlineStr">
        <is>
          <t>Consolidated Adjusted EBITDA, Post Corp Overhead</t>
        </is>
      </c>
    </row>
    <row r="12">
      <c r="C12" s="296" t="n">
        <v>2025</v>
      </c>
      <c r="D12" s="297">
        <f>C12+1</f>
        <v/>
      </c>
      <c r="E12" s="297">
        <f>D12+1</f>
        <v/>
      </c>
      <c r="F12" s="297">
        <f>E12+1</f>
        <v/>
      </c>
    </row>
    <row r="13">
      <c r="C13" s="298">
        <f>Summary!BA59</f>
        <v/>
      </c>
      <c r="D13" s="298">
        <f>Summary!BB59</f>
        <v/>
      </c>
      <c r="E13" s="298">
        <f>Summary!BC59</f>
        <v/>
      </c>
      <c r="F13" s="298">
        <f>Summary!BD59</f>
        <v/>
      </c>
    </row>
    <row r="16">
      <c r="B16" s="89" t="inlineStr">
        <is>
          <t>Consolidated EBITDA, Post Corp Overhead</t>
        </is>
      </c>
    </row>
    <row r="17">
      <c r="C17" s="296" t="n">
        <v>2025</v>
      </c>
      <c r="D17" s="297">
        <f>C17+1</f>
        <v/>
      </c>
      <c r="E17" s="297">
        <f>D17+1</f>
        <v/>
      </c>
      <c r="F17" s="297">
        <f>E17+1</f>
        <v/>
      </c>
    </row>
    <row r="18">
      <c r="C18" s="298">
        <f>Summary!BA41</f>
        <v/>
      </c>
      <c r="D18" s="298">
        <f>Summary!BB41</f>
        <v/>
      </c>
      <c r="E18" s="298">
        <f>Summary!BC41</f>
        <v/>
      </c>
      <c r="F18" s="298">
        <f>Summary!BD41</f>
        <v/>
      </c>
    </row>
    <row r="33">
      <c r="B33" s="89" t="inlineStr">
        <is>
          <t>Studio By Studio Revenue, Monthly Roll Up</t>
        </is>
      </c>
    </row>
    <row r="34">
      <c r="B34" s="271" t="n"/>
      <c r="C34" s="271" t="n"/>
      <c r="D34" s="271" t="n"/>
      <c r="E34" s="271" t="n"/>
      <c r="F34" s="271" t="n"/>
      <c r="G34" s="271" t="n"/>
      <c r="H34" s="271" t="n"/>
      <c r="I34" s="271" t="n"/>
      <c r="J34" s="271" t="n"/>
      <c r="K34" s="271" t="n"/>
      <c r="L34" s="271" t="n"/>
      <c r="M34" s="271" t="n"/>
      <c r="N34" s="271" t="n"/>
      <c r="O34" s="271" t="n"/>
      <c r="P34" s="271" t="n"/>
      <c r="Q34" s="271" t="n"/>
      <c r="R34" s="271" t="n"/>
    </row>
    <row r="35">
      <c r="B35" s="270" t="inlineStr">
        <is>
          <t>Jan 2025</t>
        </is>
      </c>
      <c r="C35" s="270" t="inlineStr">
        <is>
          <t>Feb 2025</t>
        </is>
      </c>
      <c r="D35" s="270" t="inlineStr">
        <is>
          <t>March 2025</t>
        </is>
      </c>
      <c r="E35" s="270" t="inlineStr">
        <is>
          <t>April 2025</t>
        </is>
      </c>
      <c r="F35" s="270" t="inlineStr">
        <is>
          <t>May 2025</t>
        </is>
      </c>
      <c r="G35" s="270" t="inlineStr">
        <is>
          <t>Jun 2025</t>
        </is>
      </c>
      <c r="H35" s="270" t="inlineStr">
        <is>
          <t>Jul 2025</t>
        </is>
      </c>
      <c r="I35" s="270" t="inlineStr">
        <is>
          <t>Aug 2025</t>
        </is>
      </c>
      <c r="J35" s="270" t="inlineStr">
        <is>
          <t>Sep 2025</t>
        </is>
      </c>
      <c r="K35" s="270" t="inlineStr">
        <is>
          <t>Oct 2025</t>
        </is>
      </c>
      <c r="L35" s="270" t="inlineStr">
        <is>
          <t>Nov 2025</t>
        </is>
      </c>
      <c r="M35" s="270" t="inlineStr">
        <is>
          <t>Dec 2025</t>
        </is>
      </c>
      <c r="N35" s="270" t="inlineStr">
        <is>
          <t>Jan 2026</t>
        </is>
      </c>
      <c r="O35" s="270" t="inlineStr">
        <is>
          <t>Feb 2026</t>
        </is>
      </c>
      <c r="P35" s="270" t="inlineStr">
        <is>
          <t>Mar 2026</t>
        </is>
      </c>
      <c r="Q35" s="270" t="inlineStr">
        <is>
          <t>Apr 2026</t>
        </is>
      </c>
      <c r="R35" s="270" t="inlineStr">
        <is>
          <t>May 2026</t>
        </is>
      </c>
    </row>
    <row r="36">
      <c r="A36">
        <f>Summary!C7</f>
        <v/>
      </c>
      <c r="B36" s="298">
        <f>Summary!D7</f>
        <v/>
      </c>
      <c r="C36" s="298">
        <f>Summary!E7</f>
        <v/>
      </c>
      <c r="D36" s="298">
        <f>Summary!F7</f>
        <v/>
      </c>
      <c r="E36" s="298">
        <f>Summary!G7</f>
        <v/>
      </c>
      <c r="F36" s="298">
        <f>Summary!H7</f>
        <v/>
      </c>
      <c r="G36" s="298">
        <f>Summary!I7</f>
        <v/>
      </c>
      <c r="H36" s="298">
        <f>Summary!J7</f>
        <v/>
      </c>
      <c r="I36" s="298">
        <f>Summary!K7</f>
        <v/>
      </c>
      <c r="J36" s="298">
        <f>Summary!L7</f>
        <v/>
      </c>
      <c r="K36" s="298">
        <f>Summary!M7</f>
        <v/>
      </c>
      <c r="L36" s="298">
        <f>Summary!N7</f>
        <v/>
      </c>
      <c r="M36" s="298">
        <f>Summary!O7</f>
        <v/>
      </c>
      <c r="N36" s="298">
        <f>Summary!P7</f>
        <v/>
      </c>
      <c r="O36" s="298">
        <f>Summary!Q7</f>
        <v/>
      </c>
      <c r="P36" s="298">
        <f>Summary!R7</f>
        <v/>
      </c>
      <c r="Q36" s="298">
        <f>Summary!S7</f>
        <v/>
      </c>
      <c r="R36" s="298">
        <f>Summary!T7</f>
        <v/>
      </c>
    </row>
    <row r="37">
      <c r="A37">
        <f>Summary!C8</f>
        <v/>
      </c>
      <c r="B37" s="298">
        <f>Summary!D8</f>
        <v/>
      </c>
      <c r="C37" s="298">
        <f>Summary!E8</f>
        <v/>
      </c>
      <c r="D37" s="298">
        <f>Summary!F8</f>
        <v/>
      </c>
      <c r="E37" s="298">
        <f>Summary!G8</f>
        <v/>
      </c>
      <c r="F37" s="298">
        <f>Summary!H8</f>
        <v/>
      </c>
      <c r="G37" s="298">
        <f>Summary!I8</f>
        <v/>
      </c>
      <c r="H37" s="298">
        <f>Summary!J8</f>
        <v/>
      </c>
      <c r="I37" s="298">
        <f>Summary!K8</f>
        <v/>
      </c>
      <c r="J37" s="298">
        <f>Summary!L8</f>
        <v/>
      </c>
      <c r="K37" s="298">
        <f>Summary!M8</f>
        <v/>
      </c>
      <c r="L37" s="298">
        <f>Summary!N8</f>
        <v/>
      </c>
      <c r="M37" s="298">
        <f>Summary!O8</f>
        <v/>
      </c>
      <c r="N37" s="298">
        <f>Summary!P8</f>
        <v/>
      </c>
      <c r="O37" s="298">
        <f>Summary!Q8</f>
        <v/>
      </c>
      <c r="P37" s="298">
        <f>Summary!R8</f>
        <v/>
      </c>
      <c r="Q37" s="298">
        <f>Summary!S8</f>
        <v/>
      </c>
      <c r="R37" s="298">
        <f>Summary!T8</f>
        <v/>
      </c>
    </row>
    <row r="38">
      <c r="A38">
        <f>Summary!C9</f>
        <v/>
      </c>
      <c r="B38" s="298">
        <f>Summary!D9</f>
        <v/>
      </c>
      <c r="C38" s="298">
        <f>Summary!E9</f>
        <v/>
      </c>
      <c r="D38" s="298">
        <f>Summary!F9</f>
        <v/>
      </c>
      <c r="E38" s="298">
        <f>Summary!G9</f>
        <v/>
      </c>
      <c r="F38" s="298">
        <f>Summary!H9</f>
        <v/>
      </c>
      <c r="G38" s="298">
        <f>Summary!I9</f>
        <v/>
      </c>
      <c r="H38" s="298">
        <f>Summary!J9</f>
        <v/>
      </c>
      <c r="I38" s="298">
        <f>Summary!K9</f>
        <v/>
      </c>
      <c r="J38" s="298">
        <f>Summary!L9</f>
        <v/>
      </c>
      <c r="K38" s="298">
        <f>Summary!M9</f>
        <v/>
      </c>
      <c r="L38" s="298">
        <f>Summary!N9</f>
        <v/>
      </c>
      <c r="M38" s="298">
        <f>Summary!O9</f>
        <v/>
      </c>
      <c r="N38" s="298">
        <f>Summary!P9</f>
        <v/>
      </c>
      <c r="O38" s="298">
        <f>Summary!Q9</f>
        <v/>
      </c>
      <c r="P38" s="298">
        <f>Summary!R9</f>
        <v/>
      </c>
      <c r="Q38" s="298">
        <f>Summary!S9</f>
        <v/>
      </c>
      <c r="R38" s="298">
        <f>Summary!T9</f>
        <v/>
      </c>
    </row>
    <row r="39">
      <c r="A39">
        <f>Summary!C10</f>
        <v/>
      </c>
      <c r="B39" s="298">
        <f>Summary!D10</f>
        <v/>
      </c>
      <c r="C39" s="298">
        <f>Summary!E10</f>
        <v/>
      </c>
      <c r="D39" s="298">
        <f>Summary!F10</f>
        <v/>
      </c>
      <c r="E39" s="298">
        <f>Summary!G10</f>
        <v/>
      </c>
      <c r="F39" s="298">
        <f>Summary!H10</f>
        <v/>
      </c>
      <c r="G39" s="298">
        <f>Summary!I10</f>
        <v/>
      </c>
      <c r="H39" s="298">
        <f>Summary!J10</f>
        <v/>
      </c>
      <c r="I39" s="298">
        <f>Summary!K10</f>
        <v/>
      </c>
      <c r="J39" s="298">
        <f>Summary!L10</f>
        <v/>
      </c>
      <c r="K39" s="298">
        <f>Summary!M10</f>
        <v/>
      </c>
      <c r="L39" s="298">
        <f>Summary!N10</f>
        <v/>
      </c>
      <c r="M39" s="298">
        <f>Summary!O10</f>
        <v/>
      </c>
      <c r="N39" s="298">
        <f>Summary!P10</f>
        <v/>
      </c>
      <c r="O39" s="298">
        <f>Summary!Q10</f>
        <v/>
      </c>
      <c r="P39" s="298">
        <f>Summary!R10</f>
        <v/>
      </c>
      <c r="Q39" s="298">
        <f>Summary!S10</f>
        <v/>
      </c>
      <c r="R39" s="298">
        <f>Summary!T10</f>
        <v/>
      </c>
    </row>
    <row r="40">
      <c r="A40">
        <f>Summary!C11</f>
        <v/>
      </c>
      <c r="B40" s="298">
        <f>Summary!D11</f>
        <v/>
      </c>
      <c r="C40" s="298">
        <f>Summary!E11</f>
        <v/>
      </c>
      <c r="D40" s="298">
        <f>Summary!F11</f>
        <v/>
      </c>
      <c r="E40" s="298">
        <f>Summary!G11</f>
        <v/>
      </c>
      <c r="F40" s="298">
        <f>Summary!H11</f>
        <v/>
      </c>
      <c r="G40" s="298">
        <f>Summary!I11</f>
        <v/>
      </c>
      <c r="H40" s="298">
        <f>Summary!J11</f>
        <v/>
      </c>
      <c r="I40" s="298">
        <f>Summary!K11</f>
        <v/>
      </c>
      <c r="J40" s="298">
        <f>Summary!L11</f>
        <v/>
      </c>
      <c r="K40" s="298">
        <f>Summary!M11</f>
        <v/>
      </c>
      <c r="L40" s="298">
        <f>Summary!N11</f>
        <v/>
      </c>
      <c r="M40" s="298">
        <f>Summary!O11</f>
        <v/>
      </c>
      <c r="N40" s="298">
        <f>Summary!P11</f>
        <v/>
      </c>
      <c r="O40" s="298">
        <f>Summary!Q11</f>
        <v/>
      </c>
      <c r="P40" s="298">
        <f>Summary!R11</f>
        <v/>
      </c>
      <c r="Q40" s="298">
        <f>Summary!S11</f>
        <v/>
      </c>
      <c r="R40" s="298">
        <f>Summary!T11</f>
        <v/>
      </c>
    </row>
    <row r="41">
      <c r="A41">
        <f>Summary!C12</f>
        <v/>
      </c>
      <c r="B41" s="298">
        <f>Summary!D12</f>
        <v/>
      </c>
      <c r="C41" s="298">
        <f>Summary!E12</f>
        <v/>
      </c>
      <c r="D41" s="298">
        <f>Summary!F12</f>
        <v/>
      </c>
      <c r="E41" s="298">
        <f>Summary!G12</f>
        <v/>
      </c>
      <c r="F41" s="298">
        <f>Summary!H12</f>
        <v/>
      </c>
      <c r="G41" s="298">
        <f>Summary!I12</f>
        <v/>
      </c>
      <c r="H41" s="298">
        <f>Summary!J12</f>
        <v/>
      </c>
      <c r="I41" s="298">
        <f>Summary!K12</f>
        <v/>
      </c>
      <c r="J41" s="298">
        <f>Summary!L12</f>
        <v/>
      </c>
      <c r="K41" s="298">
        <f>Summary!M12</f>
        <v/>
      </c>
      <c r="L41" s="298">
        <f>Summary!N12</f>
        <v/>
      </c>
      <c r="M41" s="298">
        <f>Summary!O12</f>
        <v/>
      </c>
      <c r="N41" s="298">
        <f>Summary!P12</f>
        <v/>
      </c>
      <c r="O41" s="298">
        <f>Summary!Q12</f>
        <v/>
      </c>
      <c r="P41" s="298">
        <f>Summary!R12</f>
        <v/>
      </c>
      <c r="Q41" s="298">
        <f>Summary!S12</f>
        <v/>
      </c>
      <c r="R41" s="298">
        <f>Summary!T12</f>
        <v/>
      </c>
    </row>
    <row r="42">
      <c r="A42">
        <f>Summary!C13</f>
        <v/>
      </c>
      <c r="B42" s="298">
        <f>Summary!D13</f>
        <v/>
      </c>
      <c r="C42" s="298">
        <f>Summary!E13</f>
        <v/>
      </c>
      <c r="D42" s="298">
        <f>Summary!F13</f>
        <v/>
      </c>
      <c r="E42" s="298">
        <f>Summary!G13</f>
        <v/>
      </c>
      <c r="F42" s="298">
        <f>Summary!H13</f>
        <v/>
      </c>
      <c r="G42" s="298">
        <f>Summary!I13</f>
        <v/>
      </c>
      <c r="H42" s="298">
        <f>Summary!J13</f>
        <v/>
      </c>
      <c r="I42" s="298">
        <f>Summary!K13</f>
        <v/>
      </c>
      <c r="J42" s="298">
        <f>Summary!L13</f>
        <v/>
      </c>
      <c r="K42" s="298">
        <f>Summary!M13</f>
        <v/>
      </c>
      <c r="L42" s="298">
        <f>Summary!N13</f>
        <v/>
      </c>
      <c r="M42" s="298">
        <f>Summary!O13</f>
        <v/>
      </c>
      <c r="N42" s="298">
        <f>Summary!P13</f>
        <v/>
      </c>
      <c r="O42" s="298">
        <f>Summary!Q13</f>
        <v/>
      </c>
      <c r="P42" s="298">
        <f>Summary!R13</f>
        <v/>
      </c>
      <c r="Q42" s="298">
        <f>Summary!S13</f>
        <v/>
      </c>
      <c r="R42" s="298">
        <f>Summary!T13</f>
        <v/>
      </c>
    </row>
    <row r="43">
      <c r="A43">
        <f>Summary!C14</f>
        <v/>
      </c>
      <c r="B43" s="298">
        <f>Summary!D14</f>
        <v/>
      </c>
      <c r="C43" s="298">
        <f>Summary!E14</f>
        <v/>
      </c>
      <c r="D43" s="298">
        <f>Summary!F14</f>
        <v/>
      </c>
      <c r="E43" s="298">
        <f>Summary!G14</f>
        <v/>
      </c>
      <c r="F43" s="298">
        <f>Summary!H14</f>
        <v/>
      </c>
      <c r="G43" s="298">
        <f>Summary!I14</f>
        <v/>
      </c>
      <c r="H43" s="298">
        <f>Summary!J14</f>
        <v/>
      </c>
      <c r="I43" s="298">
        <f>Summary!K14</f>
        <v/>
      </c>
      <c r="J43" s="298">
        <f>Summary!L14</f>
        <v/>
      </c>
      <c r="K43" s="298">
        <f>Summary!M14</f>
        <v/>
      </c>
      <c r="L43" s="298">
        <f>Summary!N14</f>
        <v/>
      </c>
      <c r="M43" s="298">
        <f>Summary!O14</f>
        <v/>
      </c>
      <c r="N43" s="298">
        <f>Summary!P14</f>
        <v/>
      </c>
      <c r="O43" s="298">
        <f>Summary!Q14</f>
        <v/>
      </c>
      <c r="P43" s="298">
        <f>Summary!R14</f>
        <v/>
      </c>
      <c r="Q43" s="298">
        <f>Summary!S14</f>
        <v/>
      </c>
      <c r="R43" s="298">
        <f>Summary!T14</f>
        <v/>
      </c>
    </row>
    <row r="44">
      <c r="A44">
        <f>Summary!C15</f>
        <v/>
      </c>
      <c r="B44" s="298">
        <f>Summary!D15</f>
        <v/>
      </c>
      <c r="C44" s="298">
        <f>Summary!E15</f>
        <v/>
      </c>
      <c r="D44" s="298">
        <f>Summary!F15</f>
        <v/>
      </c>
      <c r="E44" s="298">
        <f>Summary!G15</f>
        <v/>
      </c>
      <c r="F44" s="298">
        <f>Summary!H15</f>
        <v/>
      </c>
      <c r="G44" s="298">
        <f>Summary!I15</f>
        <v/>
      </c>
      <c r="H44" s="298">
        <f>Summary!J15</f>
        <v/>
      </c>
      <c r="I44" s="298">
        <f>Summary!K15</f>
        <v/>
      </c>
      <c r="J44" s="298">
        <f>Summary!L15</f>
        <v/>
      </c>
      <c r="K44" s="298">
        <f>Summary!M15</f>
        <v/>
      </c>
      <c r="L44" s="298">
        <f>Summary!N15</f>
        <v/>
      </c>
      <c r="M44" s="298">
        <f>Summary!O15</f>
        <v/>
      </c>
      <c r="N44" s="298">
        <f>Summary!P15</f>
        <v/>
      </c>
      <c r="O44" s="298">
        <f>Summary!Q15</f>
        <v/>
      </c>
      <c r="P44" s="298">
        <f>Summary!R15</f>
        <v/>
      </c>
      <c r="Q44" s="298">
        <f>Summary!S15</f>
        <v/>
      </c>
      <c r="R44" s="298">
        <f>Summary!T15</f>
        <v/>
      </c>
    </row>
    <row r="45">
      <c r="A45">
        <f>Summary!C16</f>
        <v/>
      </c>
      <c r="B45" s="298">
        <f>Summary!D16</f>
        <v/>
      </c>
      <c r="C45" s="298">
        <f>Summary!E16</f>
        <v/>
      </c>
      <c r="D45" s="298">
        <f>Summary!F16</f>
        <v/>
      </c>
      <c r="E45" s="298">
        <f>Summary!G16</f>
        <v/>
      </c>
      <c r="F45" s="298">
        <f>Summary!H16</f>
        <v/>
      </c>
      <c r="G45" s="298">
        <f>Summary!I16</f>
        <v/>
      </c>
      <c r="H45" s="298">
        <f>Summary!J16</f>
        <v/>
      </c>
      <c r="I45" s="298">
        <f>Summary!K16</f>
        <v/>
      </c>
      <c r="J45" s="298">
        <f>Summary!L16</f>
        <v/>
      </c>
      <c r="K45" s="298">
        <f>Summary!M16</f>
        <v/>
      </c>
      <c r="L45" s="298">
        <f>Summary!N16</f>
        <v/>
      </c>
      <c r="M45" s="298">
        <f>Summary!O16</f>
        <v/>
      </c>
      <c r="N45" s="298">
        <f>Summary!P16</f>
        <v/>
      </c>
      <c r="O45" s="298">
        <f>Summary!Q16</f>
        <v/>
      </c>
      <c r="P45" s="298">
        <f>Summary!R16</f>
        <v/>
      </c>
      <c r="Q45" s="298">
        <f>Summary!S16</f>
        <v/>
      </c>
      <c r="R45" s="298">
        <f>Summary!T16</f>
        <v/>
      </c>
    </row>
    <row r="46">
      <c r="A46">
        <f>Summary!C17</f>
        <v/>
      </c>
      <c r="B46" s="298">
        <f>Summary!D17</f>
        <v/>
      </c>
      <c r="C46" s="298">
        <f>Summary!E17</f>
        <v/>
      </c>
      <c r="D46" s="298">
        <f>Summary!F17</f>
        <v/>
      </c>
      <c r="E46" s="298">
        <f>Summary!G17</f>
        <v/>
      </c>
      <c r="F46" s="298">
        <f>Summary!H17</f>
        <v/>
      </c>
      <c r="G46" s="298">
        <f>Summary!I17</f>
        <v/>
      </c>
      <c r="H46" s="298">
        <f>Summary!J17</f>
        <v/>
      </c>
      <c r="I46" s="298">
        <f>Summary!K17</f>
        <v/>
      </c>
      <c r="J46" s="298">
        <f>Summary!L17</f>
        <v/>
      </c>
      <c r="K46" s="298">
        <f>Summary!M17</f>
        <v/>
      </c>
      <c r="L46" s="298">
        <f>Summary!N17</f>
        <v/>
      </c>
      <c r="M46" s="298">
        <f>Summary!O17</f>
        <v/>
      </c>
      <c r="N46" s="298">
        <f>Summary!P17</f>
        <v/>
      </c>
      <c r="O46" s="298">
        <f>Summary!Q17</f>
        <v/>
      </c>
      <c r="P46" s="298">
        <f>Summary!R17</f>
        <v/>
      </c>
      <c r="Q46" s="298">
        <f>Summary!S17</f>
        <v/>
      </c>
      <c r="R46" s="298">
        <f>Summary!T17</f>
        <v/>
      </c>
    </row>
    <row r="47">
      <c r="A47">
        <f>Summary!C18</f>
        <v/>
      </c>
      <c r="B47" s="298">
        <f>Summary!D18</f>
        <v/>
      </c>
      <c r="C47" s="298">
        <f>Summary!E18</f>
        <v/>
      </c>
      <c r="D47" s="298">
        <f>Summary!F18</f>
        <v/>
      </c>
      <c r="E47" s="298">
        <f>Summary!G18</f>
        <v/>
      </c>
      <c r="F47" s="298">
        <f>Summary!H18</f>
        <v/>
      </c>
      <c r="G47" s="298">
        <f>Summary!I18</f>
        <v/>
      </c>
      <c r="H47" s="298">
        <f>Summary!J18</f>
        <v/>
      </c>
      <c r="I47" s="298">
        <f>Summary!K18</f>
        <v/>
      </c>
      <c r="J47" s="298">
        <f>Summary!L18</f>
        <v/>
      </c>
      <c r="K47" s="298">
        <f>Summary!M18</f>
        <v/>
      </c>
      <c r="L47" s="298">
        <f>Summary!N18</f>
        <v/>
      </c>
      <c r="M47" s="298">
        <f>Summary!O18</f>
        <v/>
      </c>
      <c r="N47" s="298">
        <f>Summary!P18</f>
        <v/>
      </c>
      <c r="O47" s="298">
        <f>Summary!Q18</f>
        <v/>
      </c>
      <c r="P47" s="298">
        <f>Summary!R18</f>
        <v/>
      </c>
      <c r="Q47" s="298">
        <f>Summary!S18</f>
        <v/>
      </c>
      <c r="R47" s="298">
        <f>Summary!T18</f>
        <v/>
      </c>
    </row>
    <row r="48">
      <c r="B48" s="298" t="n"/>
      <c r="C48" s="298" t="n"/>
      <c r="D48" s="298" t="n"/>
      <c r="E48" s="298" t="n"/>
      <c r="F48" s="298" t="n"/>
      <c r="G48" s="298" t="n"/>
      <c r="H48" s="298" t="n"/>
      <c r="I48" s="298" t="n"/>
      <c r="J48" s="298" t="n"/>
      <c r="K48" s="298" t="n"/>
      <c r="L48" s="298" t="n"/>
      <c r="M48" s="298" t="n"/>
      <c r="N48" s="298" t="n"/>
      <c r="O48" s="298" t="n"/>
      <c r="P48" s="298" t="n"/>
      <c r="Q48" s="298" t="n"/>
      <c r="R48" s="298" t="n"/>
    </row>
    <row r="50">
      <c r="B50" s="89" t="inlineStr">
        <is>
          <t>Revenue Segement Breakdown</t>
        </is>
      </c>
    </row>
    <row r="51">
      <c r="A51" t="inlineStr">
        <is>
          <t>Berkeley</t>
        </is>
      </c>
    </row>
    <row r="52">
      <c r="A52" t="inlineStr">
        <is>
          <t>Culver City</t>
        </is>
      </c>
    </row>
    <row r="53">
      <c r="A53" t="inlineStr">
        <is>
          <t>Danville</t>
        </is>
      </c>
    </row>
    <row r="54">
      <c r="A54" t="inlineStr">
        <is>
          <t>Lafayette</t>
        </is>
      </c>
    </row>
    <row r="55">
      <c r="A55" t="inlineStr">
        <is>
          <t>Marin</t>
        </is>
      </c>
    </row>
    <row r="56">
      <c r="A56" t="inlineStr">
        <is>
          <t>Ocean Park</t>
        </is>
      </c>
    </row>
    <row r="57">
      <c r="A57" t="inlineStr">
        <is>
          <t>Presidio Heights</t>
        </is>
      </c>
    </row>
    <row r="58">
      <c r="A58" t="inlineStr">
        <is>
          <t>Russian Hill</t>
        </is>
      </c>
    </row>
    <row r="59">
      <c r="A59" t="inlineStr">
        <is>
          <t>Santa Barbara</t>
        </is>
      </c>
    </row>
    <row r="60">
      <c r="A60" t="inlineStr">
        <is>
          <t>Santa Monica</t>
        </is>
      </c>
    </row>
    <row r="61">
      <c r="A61" t="inlineStr">
        <is>
          <t>West Portal</t>
        </is>
      </c>
    </row>
    <row r="62">
      <c r="A62" t="inlineStr">
        <is>
          <t>Westwood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1" tint="0.249977111117893"/>
    <outlinePr summaryBelow="1" summaryRight="1"/>
    <pageSetUpPr/>
  </sheetPr>
  <dimension ref="C3:R10"/>
  <sheetViews>
    <sheetView workbookViewId="0">
      <selection activeCell="A1" sqref="A1"/>
    </sheetView>
  </sheetViews>
  <sheetFormatPr baseColWidth="10" defaultColWidth="8.83203125" defaultRowHeight="15"/>
  <sheetData>
    <row r="3">
      <c r="C3" s="89" t="inlineStr">
        <is>
          <t>Cash Sales vs. Accrual (Earned) Revenue — how to read the two revenue lines in the model</t>
        </is>
      </c>
    </row>
    <row r="4">
      <c r="C4" t="inlineStr">
        <is>
          <t>Sales Forecast &amp; Summary tabs show CASH SALES — the total dollar value of packs, memberships, and workshops purchased at the MindBody / ClassPass / GymPass point-of-sale in the period. This is the operating KPI.</t>
        </is>
      </c>
    </row>
    <row r="5">
      <c r="C5" t="inlineStr">
        <is>
          <t>Studio P&amp;L, All Studios, and Consolidated P&amp;L show ACCRUAL (GAAP) REVENUE — Sessions recognized over the package usage window + Breakage on expired unused packages − Refunds − Discounts. This is what shows up on the P&amp;L / EBITDA line.</t>
        </is>
      </c>
    </row>
    <row r="6">
      <c r="C6" t="inlineStr">
        <is>
          <t xml:space="preserve">They diverge in any given month by design. A pack sold in June is booked as cash sales in June but recognized as P&amp;L revenue across the months a member actually uses it (or when it expires). </t>
        </is>
      </c>
    </row>
    <row r="9">
      <c r="C9" s="89" t="inlineStr">
        <is>
          <t>Presidio Heights and Marina historical results</t>
        </is>
      </c>
    </row>
    <row r="10" ht="44.25" customHeight="1" s="282">
      <c r="C10" s="281" t="inlineStr">
        <is>
          <t>Presidio Heights and Marina historical results are not directly comparable due to a system migration in April 2025. Prior to April 2025, both physical locations were tracked as a single studio (Presidio Heights) in MindBody. Beginning in April 2025, the locations were separated into two distinct studios, creating a reporting discontinuity in the historical results.</t>
        </is>
      </c>
    </row>
  </sheetData>
  <mergeCells count="1">
    <mergeCell ref="C10:R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808080"/>
    <outlinePr summaryBelow="1" summaryRight="1"/>
    <pageSetUpPr/>
  </sheetPr>
  <dimension ref="A1:E25"/>
  <sheetViews>
    <sheetView showGridLines="0" topLeftCell="B1" workbookViewId="0">
      <selection activeCell="B1" sqref="B1"/>
    </sheetView>
  </sheetViews>
  <sheetFormatPr baseColWidth="10" defaultColWidth="8.83203125" defaultRowHeight="15"/>
  <cols>
    <col hidden="1" width="2" customWidth="1" style="282" min="1" max="1"/>
    <col width="90" customWidth="1" style="282" min="2" max="2"/>
    <col width="70" customWidth="1" style="282" min="3" max="3"/>
  </cols>
  <sheetData>
    <row r="1"/>
    <row r="2" ht="31" customHeight="1" s="282">
      <c r="B2" s="1" t="inlineStr">
        <is>
          <t>Mighty Pilates</t>
        </is>
      </c>
    </row>
    <row r="3" ht="24" customHeight="1" s="282">
      <c r="B3" s="2" t="inlineStr">
        <is>
          <t>Financial Model</t>
        </is>
      </c>
    </row>
    <row r="4"/>
    <row r="5">
      <c r="B5" s="3" t="inlineStr">
        <is>
          <t>Last refreshed: June 23, 2026</t>
        </is>
      </c>
      <c r="C5" t="inlineStr">
        <is>
          <t>2026-08-24</t>
        </is>
      </c>
    </row>
    <row r="6"/>
    <row r="7">
      <c r="B7" s="4" t="inlineStr">
        <is>
          <t>Tab Guide</t>
        </is>
      </c>
    </row>
    <row r="8"/>
    <row r="9">
      <c r="B9" s="5" t="inlineStr">
        <is>
          <t>Summary &amp; Controls</t>
        </is>
      </c>
      <c r="C9" s="6" t="inlineStr">
        <is>
          <t>Top-level KPIs, studio sales &amp; EBITDA tables, charts</t>
        </is>
      </c>
    </row>
    <row r="10">
      <c r="B10" s="5" t="inlineStr">
        <is>
          <t>Assumptions</t>
        </is>
      </c>
      <c r="C10" s="6" t="inlineStr">
        <is>
          <t>All model inputs: OpEx, sales forecast, rev rec curves, loan terms</t>
        </is>
      </c>
    </row>
    <row r="11">
      <c r="B11" s="5" t="inlineStr">
        <is>
          <t>Cash Flow Forecast</t>
        </is>
      </c>
      <c r="C11" s="6" t="inlineStr">
        <is>
          <t>Monthly cash flow from operations + investing + financing</t>
        </is>
      </c>
    </row>
    <row r="12">
      <c r="B12" s="5" t="inlineStr">
        <is>
          <t>P&amp;L Summary</t>
        </is>
      </c>
      <c r="C12" s="6" t="inlineStr">
        <is>
          <t>Consolidated monthly P&amp;L (Revenue → EBITDA)</t>
        </is>
      </c>
    </row>
    <row r="13">
      <c r="B13" s="5" t="inlineStr">
        <is>
          <t>P&amp;L Detail</t>
        </is>
      </c>
      <c r="C13" s="6" t="inlineStr">
        <is>
          <t>Account-level P&amp;L matching accountant chart of accounts</t>
        </is>
      </c>
    </row>
    <row r="14">
      <c r="B14" s="5" t="inlineStr">
        <is>
          <t>All Studios Summary</t>
        </is>
      </c>
      <c r="C14" s="6" t="inlineStr">
        <is>
          <t>Side-by-side studio comparison</t>
        </is>
      </c>
    </row>
    <row r="15">
      <c r="B15" s="5" t="inlineStr">
        <is>
          <t>[Studio] FCST (×12)</t>
        </is>
      </c>
      <c r="C15" s="6" t="inlineStr">
        <is>
          <t>Per-studio P&amp;L forecast (BK, CC, DN, LF, MR, OP, PH, RH, SB, SM, WP, WW)</t>
        </is>
      </c>
    </row>
    <row r="16">
      <c r="B16" s="5" t="inlineStr">
        <is>
          <t>Cash, Debt &amp; Equity</t>
        </is>
      </c>
      <c r="C16" s="6" t="inlineStr">
        <is>
          <t>Balance sheet, loan amortization schedules, equity tracking</t>
        </is>
      </c>
    </row>
    <row r="17">
      <c r="B17" s="5" t="inlineStr">
        <is>
          <t>Sales Forecast</t>
        </is>
      </c>
      <c r="C17" s="6" t="inlineStr">
        <is>
          <t>Studio × month editable sales grid</t>
        </is>
      </c>
    </row>
    <row r="18">
      <c r="B18" s="5" t="inlineStr">
        <is>
          <t>CapEx</t>
        </is>
      </c>
      <c r="C18" s="6" t="inlineStr">
        <is>
          <t>Capital expenditure project schedule</t>
        </is>
      </c>
    </row>
    <row r="19">
      <c r="B19" s="5" t="inlineStr">
        <is>
          <t>QBO Actuals</t>
        </is>
      </c>
      <c r="C19" s="6" t="inlineStr">
        <is>
          <t>Historical accountant-booked P&amp;L, BS, SCF (read-only)</t>
        </is>
      </c>
    </row>
    <row r="20"/>
    <row r="21"/>
    <row r="22">
      <c r="B22" s="4" t="inlineStr">
        <is>
          <t>Conventions</t>
        </is>
      </c>
    </row>
    <row r="23"/>
    <row r="24">
      <c r="B24" s="7" t="inlineStr">
        <is>
          <t>Yellow cells = inputs (edit these)</t>
        </is>
      </c>
    </row>
    <row r="25">
      <c r="B25" s="8" t="inlineStr">
        <is>
          <t>Light green cells = actuals (closed months, do not edit)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B2:C54"/>
  <sheetViews>
    <sheetView showGridLines="0" topLeftCell="B1" workbookViewId="0">
      <selection activeCell="B1" sqref="B1"/>
    </sheetView>
  </sheetViews>
  <sheetFormatPr baseColWidth="10" defaultColWidth="8.83203125" defaultRowHeight="15"/>
  <cols>
    <col hidden="1" width="13" customWidth="1" style="282" min="1" max="1"/>
    <col width="30" customWidth="1" style="282" min="2" max="2"/>
    <col width="100" customWidth="1" style="282" min="3" max="3"/>
  </cols>
  <sheetData>
    <row r="2" ht="21" customHeight="1" s="282">
      <c r="B2" s="56" t="inlineStr">
        <is>
          <t>Read Me — Model Architecture</t>
        </is>
      </c>
    </row>
    <row r="3">
      <c r="B3" s="57" t="inlineStr">
        <is>
          <t>Last refreshed: June 23, 2026</t>
        </is>
      </c>
    </row>
    <row r="5" ht="16" customHeight="1" s="282">
      <c r="B5" s="58" t="inlineStr">
        <is>
          <t>Tab Roles</t>
        </is>
      </c>
      <c r="C5" s="59" t="n"/>
    </row>
    <row r="6" ht="15" customHeight="1" s="282">
      <c r="B6" s="60" t="inlineStr">
        <is>
          <t>Summary &amp; Controls</t>
        </is>
      </c>
      <c r="C6" s="61" t="inlineStr">
        <is>
          <t>Top-level dashboard. Sales + EBITDA by studio. Total EBITDA references P&amp;L NOI directly.</t>
        </is>
      </c>
    </row>
    <row r="7" ht="30" customHeight="1" s="282">
      <c r="B7" s="60" t="inlineStr">
        <is>
          <t>Assumptions</t>
        </is>
      </c>
      <c r="C7" s="61" t="inlineStr">
        <is>
          <t>Editable global parameters: rev rec curves, refund/discount/COGS rates, escalations, loan terms.</t>
        </is>
      </c>
    </row>
    <row r="8" ht="30" customHeight="1" s="282">
      <c r="B8" s="60" t="inlineStr">
        <is>
          <t>Sales Forecast</t>
        </is>
      </c>
      <c r="C8" s="61" t="inlineStr">
        <is>
          <t>Per-studio × month sales grid. EDITABLE for forecast months (yellow). Drives revenue formulas. Hidden rows 101-113 hold 2025 history for lag formulas — do not delete.</t>
        </is>
      </c>
    </row>
    <row r="9" ht="15" customHeight="1" s="282">
      <c r="B9" s="60" t="inlineStr">
        <is>
          <t>Cash, Debt &amp; Equity</t>
        </is>
      </c>
      <c r="C9" s="61" t="inlineStr">
        <is>
          <t>Loan amortization schedule + debt service forecast.</t>
        </is>
      </c>
    </row>
    <row r="10" ht="15" customHeight="1" s="282">
      <c r="B10" s="60" t="inlineStr">
        <is>
          <t>Cash Flow Forecast</t>
        </is>
      </c>
      <c r="C10" s="61" t="inlineStr">
        <is>
          <t>Monthly CF with operating/investing/financing.</t>
        </is>
      </c>
    </row>
    <row r="11" ht="30" customHeight="1" s="282">
      <c r="B11" s="60" t="inlineStr">
        <is>
          <t>P&amp;L (Consolidated)</t>
        </is>
      </c>
      <c r="C11" s="61" t="inlineStr">
        <is>
          <t>Consolidated monthly P&amp;L. Revenue/COGS use direct lag formulas (with 2025 history). OpEx rows = SUM(per-studio) + HO + HO Other.</t>
        </is>
      </c>
    </row>
    <row r="12" ht="15" customHeight="1" s="282">
      <c r="B12" s="60" t="inlineStr">
        <is>
          <t>All Studios Summary</t>
        </is>
      </c>
      <c r="C12" s="61" t="inlineStr">
        <is>
          <t>Side-by-side studio comparison.</t>
        </is>
      </c>
    </row>
    <row r="13" ht="45" customHeight="1" s="282">
      <c r="B13" s="60" t="inlineStr">
        <is>
          <t>[Code] P&amp;L (×12)</t>
        </is>
      </c>
      <c r="C13" s="61" t="inlineStr">
        <is>
          <t>Per-studio P&amp;L: BK, CC, DN, LF, MR, OP, PH, RH, SB, SM, WP, WW. OpEx leaves are HARDCODED values (editable) summing to per-studio override. Revenue formulas use per-studio lag (2026+ from Sales Forecast, 2025 from hidden helper rows 102-113).</t>
        </is>
      </c>
    </row>
    <row r="14" ht="30" customHeight="1" s="282">
      <c r="B14" s="60" t="inlineStr">
        <is>
          <t>HO P&amp;L</t>
        </is>
      </c>
      <c r="C14" s="61" t="inlineStr">
        <is>
          <t>Head Office overhead (no revenue). Same leaf-summing structure. NOI is negative (= -Total OpEx).</t>
        </is>
      </c>
    </row>
    <row r="15" ht="15" customHeight="1" s="282">
      <c r="B15" s="60" t="inlineStr">
        <is>
          <t>CapEx</t>
        </is>
      </c>
      <c r="C15" s="61" t="inlineStr">
        <is>
          <t>Project schedule (empty — add projects to populate Investing rows on CF).</t>
        </is>
      </c>
    </row>
    <row r="16" ht="15" customHeight="1" s="282">
      <c r="B16" s="60" t="inlineStr">
        <is>
          <t>QBO Actuals</t>
        </is>
      </c>
      <c r="C16" s="61" t="inlineStr">
        <is>
          <t>Raw accountant-booked P&amp;L/BS/SCF data. Read-only reference.</t>
        </is>
      </c>
    </row>
    <row r="18" ht="16" customHeight="1" s="282">
      <c r="B18" s="58" t="inlineStr">
        <is>
          <t>Cell Conventions</t>
        </is>
      </c>
      <c r="C18" s="59" t="n"/>
    </row>
    <row r="19" ht="15" customHeight="1" s="282">
      <c r="B19" s="60" t="inlineStr">
        <is>
          <t>Yellow fill (FFFF99)</t>
        </is>
      </c>
      <c r="C19" s="61" t="inlineStr">
        <is>
          <t>EDITABLE input cell. Cat can change these.</t>
        </is>
      </c>
    </row>
    <row r="20" ht="15" customHeight="1" s="282">
      <c r="B20" s="60" t="inlineStr">
        <is>
          <t>Light green fill</t>
        </is>
      </c>
      <c r="C20" s="61" t="inlineStr">
        <is>
          <t>Hardcoded actual from QBO/accountant. Do not edit (would diverge from source data).</t>
        </is>
      </c>
    </row>
    <row r="21" ht="15" customHeight="1" s="282">
      <c r="B21" s="60" t="inlineStr">
        <is>
          <t>White/no fill</t>
        </is>
      </c>
      <c r="C21" s="61" t="inlineStr">
        <is>
          <t>Formula cell. Computed from other cells.</t>
        </is>
      </c>
    </row>
    <row r="22" ht="15" customHeight="1" s="282">
      <c r="B22" s="60" t="inlineStr">
        <is>
          <t>Light blue fill</t>
        </is>
      </c>
      <c r="C22" s="61" t="inlineStr">
        <is>
          <t>Subtotal or total row.</t>
        </is>
      </c>
    </row>
    <row r="23" ht="15" customHeight="1" s="282">
      <c r="B23" s="60" t="inlineStr">
        <is>
          <t>Bold green fill</t>
        </is>
      </c>
      <c r="C23" s="61" t="inlineStr">
        <is>
          <t>Key KPI (EBITDA, ending cash).</t>
        </is>
      </c>
    </row>
    <row r="25" ht="16" customHeight="1" s="282">
      <c r="B25" s="58" t="inlineStr">
        <is>
          <t>Value Flow</t>
        </is>
      </c>
      <c r="C25" s="59" t="n"/>
    </row>
    <row r="26" ht="45" customHeight="1" s="282">
      <c r="B26" s="60" t="inlineStr">
        <is>
          <t>Sales edit</t>
        </is>
      </c>
      <c r="C26" s="61" t="inlineStr">
        <is>
          <t>Edit Sales Forecast cell → flows to: Studio P&amp;L Sessions/Breakage (via lag formula) → Studio NOI → Summary &amp; Controls studio row → Sales Forecast TOTAL row → Consolidated P&amp;L revenue → Consolidated NOI → Summary &amp; Controls Total EBITDA.</t>
        </is>
      </c>
    </row>
    <row r="27" ht="60" customHeight="1" s="282">
      <c r="B27" s="60" t="inlineStr">
        <is>
          <t>OpEx leaf edit</t>
        </is>
      </c>
      <c r="C27" s="61" t="inlineStr">
        <is>
          <t>Edit per-studio OpEx leaf (e.g., BK Paid Ads) → Studio Marketing subtotal (=SUM leaves) → Studio Total OpEx → Studio NOI → Summary &amp; Controls studio row → Consolidated P&amp;L Marketing (=SUM studios + HO) → Consolidated Total OpEx → Consolidated NOI → Summary &amp; Controls Total EBITDA. Full propagation works.</t>
        </is>
      </c>
    </row>
    <row r="28" ht="30" customHeight="1" s="282">
      <c r="B28" s="60" t="inlineStr">
        <is>
          <t>Assumption edit</t>
        </is>
      </c>
      <c r="C28" s="61" t="inlineStr">
        <is>
          <t>Edit rate on Assumptions tab (refund %, discount %, escalation, etc.) → flows through all formulas referencing that cell.</t>
        </is>
      </c>
    </row>
    <row r="30" ht="16" customHeight="1" s="282">
      <c r="B30" s="58" t="inlineStr">
        <is>
          <t>Hidden Helpers — DO NOT DELETE</t>
        </is>
      </c>
      <c r="C30" s="59" t="n"/>
    </row>
    <row r="31" ht="45" customHeight="1" s="282">
      <c r="B31" s="60" t="inlineStr">
        <is>
          <t>Sales Forecast rows 100-113</t>
        </is>
      </c>
      <c r="C31" s="61" t="inlineStr">
        <is>
          <t>Hidden helper rows holding 2025 monthly sales (consolidated row 101 and per-studio rows 102-113). Required for 7-month lag formulas on Session/Breakage Revenue forecasts for May 2026 and Jun 2026.</t>
        </is>
      </c>
    </row>
    <row r="32" ht="15" customHeight="1" s="282">
      <c r="B32" s="60" t="inlineStr">
        <is>
          <t>Sales Forecast row ~50+</t>
        </is>
      </c>
      <c r="C32" s="61" t="inlineStr">
        <is>
          <t>Helper for chart data references on Summary &amp; Controls. Removing breaks charts.</t>
        </is>
      </c>
    </row>
    <row r="34" ht="16" customHeight="1" s="282">
      <c r="B34" s="58" t="inlineStr">
        <is>
          <t>Monthly Update Procedure (when QBO closes new month)</t>
        </is>
      </c>
      <c r="C34" s="59" t="n"/>
    </row>
    <row r="35" ht="30" customHeight="1" s="282">
      <c r="B35" s="60" t="inlineStr">
        <is>
          <t>Step 1</t>
        </is>
      </c>
      <c r="C35" s="61" t="inlineStr">
        <is>
          <t>Upload new QBO export to Streamlit dashboard. Streamlit's committed_actuals.json gets updated.</t>
        </is>
      </c>
    </row>
    <row r="36" ht="30" customHeight="1" s="282">
      <c r="B36" s="60" t="inlineStr">
        <is>
          <t>Step 2</t>
        </is>
      </c>
      <c r="C36" s="61" t="inlineStr">
        <is>
          <t>Run refresh_from_streamlit.py (in /Users/chandlerclemons/financial-modeling/models/mighty/).</t>
        </is>
      </c>
    </row>
    <row r="37" ht="45" customHeight="1" s="282">
      <c r="B37" s="60" t="inlineStr">
        <is>
          <t>Step 3</t>
        </is>
      </c>
      <c r="C37" s="61" t="inlineStr">
        <is>
          <t>Refresh script will: (a) extend actuals columns by 1 month, (b) shift forecast forward, (c) refresh trailing-3-month avg lines (Taxes Paid, Property Taxes, Retail, Depreciation), (d) update 2025 helper row values if Streamlit data changed historicals.</t>
        </is>
      </c>
    </row>
    <row r="38" ht="30" customHeight="1" s="282">
      <c r="B38" s="60" t="inlineStr">
        <is>
          <t>Step 4</t>
        </is>
      </c>
      <c r="C38" s="61" t="inlineStr">
        <is>
          <t>Open the Excel and spot-check the new actuals column vs Streamlit. Save &amp; share with stakeholders.</t>
        </is>
      </c>
    </row>
    <row r="41">
      <c r="B41" s="135" t="inlineStr">
        <is>
          <t>Cash Sales vs Accrual Revenue</t>
        </is>
      </c>
    </row>
    <row r="42" ht="32" customHeight="1" s="282">
      <c r="B42" s="136" t="inlineStr">
        <is>
          <t>Sales Forecast / Summary</t>
        </is>
      </c>
      <c r="C42" s="137" t="inlineStr">
        <is>
          <t>These tabs show CASH SALES: Total Sales captured at the MindBody/ClassPass/GymPass point-of-sale when a member buys a class pack, membership, or workshop.</t>
        </is>
      </c>
    </row>
    <row r="43" ht="32" customHeight="1" s="282">
      <c r="B43" s="136" t="inlineStr">
        <is>
          <t>Studio P&amp;L / All Studios</t>
        </is>
      </c>
      <c r="C43" s="137" t="inlineStr">
        <is>
          <t>These tabs show ACCRUAL P&amp;L REVENUE: Sessions recognized over the package usage window + Breakage when unused packages expire − Refunds − Discounts.</t>
        </is>
      </c>
    </row>
    <row r="44" ht="32" customHeight="1" s="282">
      <c r="B44" s="136" t="inlineStr">
        <is>
          <t>Reconciliation horizon</t>
        </is>
      </c>
      <c r="C44" s="137" t="inlineStr">
        <is>
          <t>These metrics diverge in any individual month by design. They reconcile only over the full lifecycle of a cohort of packages (typically 6-12 months from purchase).</t>
        </is>
      </c>
    </row>
    <row r="45" ht="16" customHeight="1" s="282">
      <c r="B45" s="136" t="inlineStr">
        <is>
          <t>Both are correct</t>
        </is>
      </c>
      <c r="C45" s="137" t="inlineStr">
        <is>
          <t>Cash Sales is the operating KPI (Total cash value of sales in period). Accrual Revenue is the GAAP P&amp;L line (what's earned).</t>
        </is>
      </c>
    </row>
    <row r="47" ht="48" customHeight="1" s="282">
      <c r="B47" s="136" t="inlineStr">
        <is>
          <t>Why hardcoded</t>
        </is>
      </c>
      <c r="C47" s="137" t="inlineStr">
        <is>
          <t>Property Tax on consolidated P&amp;L row 26 is kept as a hardcoded forecast value rather than linked to individual P&amp;L tabs because the QBO source booked property tax at corporate (Norbrook) level, not per-studio. Studio P&amp;L row 68 ('903000 Property taxes') is $0 in actuals.</t>
        </is>
      </c>
    </row>
    <row r="48" ht="32" customHeight="1" s="282">
      <c r="B48" s="136" t="inlineStr">
        <is>
          <t>Forecast basis</t>
        </is>
      </c>
      <c r="C48" s="137" t="inlineStr">
        <is>
          <t>Forecast value $4178.19/mo = 2025 actual annual Property Taxes ($50,138.23) / 12. Conservative assumption that 2026 onwards will run at the same rate.</t>
        </is>
      </c>
    </row>
    <row r="50" ht="32" customHeight="1" s="282">
      <c r="B50" s="136" t="inlineStr">
        <is>
          <t>Categories tracked</t>
        </is>
      </c>
      <c r="C50" s="137" t="inlineStr">
        <is>
          <t>The consolidated P&amp;L tracks 7 OpEx categories: Marketing (r14), Payroll (r15), Software &amp; Admin (r16), Professional Fees (r17), Utilities (r18), Property Costs (r19), Travel &amp; Meals (r20).</t>
        </is>
      </c>
    </row>
    <row r="51" ht="48" customHeight="1" s="282">
      <c r="B51" s="136" t="inlineStr">
        <is>
          <t>Categories NOT separately tracked</t>
        </is>
      </c>
      <c r="C51" s="137" t="inlineStr">
        <is>
          <t>The accountant's actuals include a handful of smaller categories the model doesn't break out: 610100 Furniture &amp; Equipment, 611000 Shipping &amp; postage, 613000 Bank fees (corporate), 615000 Parking Lot Rental, 609000 Business licenses, 607000 Entertainment. Combined ~$5-10K/month.</t>
        </is>
      </c>
    </row>
    <row r="53" ht="32" customHeight="1" s="282">
      <c r="B53" s="136" t="inlineStr">
        <is>
          <t>Why 2025 is hardcoded from QBO</t>
        </is>
      </c>
      <c r="C53" s="137" t="inlineStr">
        <is>
          <t xml:space="preserve">2025 consolidated P&amp;L values are pulled directly from the QBO 2025 financial package (Mighty Pilates_Financials_2025_062326.xlsx) to guarantee tie-out to accountant. </t>
        </is>
      </c>
    </row>
    <row r="54" ht="32" customHeight="1" s="282">
      <c r="B54" s="136" t="inlineStr">
        <is>
          <t>Where Old Mighty Revenue lives</t>
        </is>
      </c>
      <c r="C54" s="137" t="inlineStr">
        <is>
          <t>QBO has a 402000 Revenue from Old Mighty line ($440K in 2025, tailing from $180K Jan to $1K Dec). It is absorbed into r6 Session Revenue for 2025 (no separate row). For 2026+ it is $0.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1B2A4A"/>
    <outlinePr summaryBelow="1" summaryRight="1"/>
    <pageSetUpPr/>
  </sheetPr>
  <dimension ref="B2:BH130"/>
  <sheetViews>
    <sheetView showGridLines="0" tabSelected="1" topLeftCell="B2" zoomScaleNormal="100" zoomScaleSheetLayoutView="70" workbookViewId="0">
      <pane xSplit="2" ySplit="4" topLeftCell="H6" activePane="bottomRight" state="frozen"/>
      <selection activeCell="B2" sqref="B2"/>
      <selection pane="topRight" activeCell="D2" sqref="D2"/>
      <selection pane="bottomLeft" activeCell="B6" sqref="B6"/>
      <selection pane="bottomRight" activeCell="U30" sqref="U30:W30"/>
    </sheetView>
  </sheetViews>
  <sheetFormatPr baseColWidth="10" defaultColWidth="8.83203125" defaultRowHeight="15"/>
  <cols>
    <col hidden="1" width="2" customWidth="1" style="282" min="1" max="1"/>
    <col width="24" customWidth="1" style="282" min="2" max="2"/>
    <col width="22" customWidth="1" style="282" min="3" max="3"/>
    <col width="11.33203125" bestFit="1" customWidth="1" style="282" min="4" max="4"/>
    <col width="11.5" bestFit="1" customWidth="1" style="282" min="5" max="5"/>
    <col width="11.33203125" bestFit="1" customWidth="1" style="282" min="6" max="6"/>
    <col width="11.1640625" bestFit="1" customWidth="1" style="282" min="7" max="7"/>
    <col width="11.5" bestFit="1" customWidth="1" style="282" min="8" max="9"/>
    <col width="10.83203125" bestFit="1" customWidth="1" style="282" min="10" max="10"/>
    <col width="11.5" bestFit="1" customWidth="1" style="282" min="11" max="12"/>
    <col width="11.1640625" bestFit="1" customWidth="1" style="282" min="13" max="13"/>
    <col width="11.6640625" bestFit="1" customWidth="1" style="282" min="14" max="14"/>
    <col width="11.5" bestFit="1" customWidth="1" style="282" min="15" max="15"/>
    <col width="12.1640625" bestFit="1" customWidth="1" style="282" min="16" max="16"/>
    <col width="11.6640625" bestFit="1" customWidth="1" style="282" min="17" max="17"/>
    <col width="11.5" bestFit="1" customWidth="1" style="282" min="18" max="18"/>
    <col width="11.33203125" bestFit="1" customWidth="1" style="282" min="19" max="19"/>
    <col width="11.6640625" bestFit="1" customWidth="1" style="282" min="20" max="21"/>
    <col width="9.83203125" bestFit="1" customWidth="1" style="282" min="22" max="51"/>
    <col width="10.33203125" bestFit="1" customWidth="1" style="282" min="53" max="56"/>
    <col width="9.6640625" bestFit="1" customWidth="1" style="282" min="57" max="57"/>
    <col width="12.83203125" bestFit="1" customWidth="1" style="282" min="58" max="58"/>
  </cols>
  <sheetData>
    <row r="2" ht="21" customHeight="1" s="282">
      <c r="B2" s="9" t="inlineStr">
        <is>
          <t>Summary &amp; Controls</t>
        </is>
      </c>
    </row>
    <row r="3">
      <c r="B3" s="3" t="inlineStr">
        <is>
          <t>Top-level dashboard. Studio sales, EBITDA, YoY summary, charts.</t>
        </is>
      </c>
    </row>
    <row r="4" ht="16" customHeight="1" s="282">
      <c r="B4" s="10" t="inlineStr">
        <is>
          <t>Monthly Total Session Sales by Studio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BA4" s="11" t="n"/>
      <c r="BB4" s="11" t="n"/>
      <c r="BC4" s="11" t="n"/>
      <c r="BD4" s="11" t="n"/>
      <c r="BF4" s="11" t="n"/>
    </row>
    <row r="5">
      <c r="B5" s="12" t="inlineStr">
        <is>
          <t>Metric</t>
        </is>
      </c>
      <c r="C5" s="12" t="inlineStr">
        <is>
          <t>Studio</t>
        </is>
      </c>
      <c r="D5" s="13" t="inlineStr">
        <is>
          <t>Jan 2025 (A)</t>
        </is>
      </c>
      <c r="E5" s="13" t="inlineStr">
        <is>
          <t>Feb 2025 (A)</t>
        </is>
      </c>
      <c r="F5" s="13" t="inlineStr">
        <is>
          <t>Mar 2025 (A)</t>
        </is>
      </c>
      <c r="G5" s="13" t="inlineStr">
        <is>
          <t>Apr 2025 (A)</t>
        </is>
      </c>
      <c r="H5" s="13" t="inlineStr">
        <is>
          <t>May 2025 (A)</t>
        </is>
      </c>
      <c r="I5" s="13" t="inlineStr">
        <is>
          <t>Jun 2025 (A)</t>
        </is>
      </c>
      <c r="J5" s="13" t="inlineStr">
        <is>
          <t>Jul 2025 (A)</t>
        </is>
      </c>
      <c r="K5" s="13" t="inlineStr">
        <is>
          <t>Aug 2025 (A)</t>
        </is>
      </c>
      <c r="L5" s="13" t="inlineStr">
        <is>
          <t>Sep 2025 (A)</t>
        </is>
      </c>
      <c r="M5" s="13" t="inlineStr">
        <is>
          <t>Oct 2025 (A)</t>
        </is>
      </c>
      <c r="N5" s="13" t="inlineStr">
        <is>
          <t>Nov 2025 (A)</t>
        </is>
      </c>
      <c r="O5" s="13" t="inlineStr">
        <is>
          <t>Dec 2025 (A)</t>
        </is>
      </c>
      <c r="P5" s="13" t="inlineStr">
        <is>
          <t>Jan 2026 (A)</t>
        </is>
      </c>
      <c r="Q5" s="13" t="inlineStr">
        <is>
          <t>Feb 2026 (A)</t>
        </is>
      </c>
      <c r="R5" s="13" t="inlineStr">
        <is>
          <t>Mar 2026 (A)</t>
        </is>
      </c>
      <c r="S5" s="13" t="inlineStr">
        <is>
          <t>Apr 2026 (A)</t>
        </is>
      </c>
      <c r="T5" s="13" t="inlineStr">
        <is>
          <t>May 2026 (A)</t>
        </is>
      </c>
      <c r="U5" s="13" t="inlineStr">
        <is>
          <t>June 2026 (A)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299" t="n">
        <v>2025</v>
      </c>
      <c r="BB5" s="300">
        <f>BA5+1</f>
        <v/>
      </c>
      <c r="BC5" s="300">
        <f>BB5+1</f>
        <v/>
      </c>
      <c r="BD5" s="300">
        <f>BC5+1</f>
        <v/>
      </c>
      <c r="BF5" s="299" t="inlineStr">
        <is>
          <t>LTM May 2026</t>
        </is>
      </c>
    </row>
    <row r="6">
      <c r="B6" s="15" t="inlineStr">
        <is>
          <t>Total Sales</t>
        </is>
      </c>
      <c r="D6" s="16">
        <f>SUM(D7:D20)</f>
        <v/>
      </c>
      <c r="E6" s="16">
        <f>SUM(E7:E20)</f>
        <v/>
      </c>
      <c r="F6" s="16">
        <f>SUM(F7:F20)</f>
        <v/>
      </c>
      <c r="G6" s="16">
        <f>SUM(G7:G20)</f>
        <v/>
      </c>
      <c r="H6" s="16">
        <f>SUM(H7:H20)</f>
        <v/>
      </c>
      <c r="I6" s="16">
        <f>SUM(I7:I20)</f>
        <v/>
      </c>
      <c r="J6" s="16">
        <f>SUM(J7:J20)</f>
        <v/>
      </c>
      <c r="K6" s="16">
        <f>SUM(K7:K20)</f>
        <v/>
      </c>
      <c r="L6" s="16">
        <f>SUM(L7:L20)</f>
        <v/>
      </c>
      <c r="M6" s="16">
        <f>SUM(M7:M20)</f>
        <v/>
      </c>
      <c r="N6" s="16">
        <f>SUM(N7:N20)</f>
        <v/>
      </c>
      <c r="O6" s="16">
        <f>SUM(O7:O20)</f>
        <v/>
      </c>
      <c r="P6" s="16">
        <f>SUM(P7:P20)</f>
        <v/>
      </c>
      <c r="Q6" s="16">
        <f>SUM(Q7:Q20)</f>
        <v/>
      </c>
      <c r="R6" s="16">
        <f>SUM(R7:R20)</f>
        <v/>
      </c>
      <c r="S6" s="16">
        <f>SUM(S7:S20)</f>
        <v/>
      </c>
      <c r="T6" s="16">
        <f>SUM(T7:T20)</f>
        <v/>
      </c>
      <c r="U6" s="16">
        <f>SUM(U7:U20)</f>
        <v/>
      </c>
      <c r="V6" s="17">
        <f>SUM(V7:V20)</f>
        <v/>
      </c>
      <c r="W6" s="17">
        <f>SUM(W7:W20)</f>
        <v/>
      </c>
      <c r="X6" s="17">
        <f>SUM(X7:X20)</f>
        <v/>
      </c>
      <c r="Y6" s="17">
        <f>SUM(Y7:Y20)</f>
        <v/>
      </c>
      <c r="Z6" s="17">
        <f>SUM(Z7:Z20)</f>
        <v/>
      </c>
      <c r="AA6" s="17">
        <f>SUM(AA7:AA20)</f>
        <v/>
      </c>
      <c r="AB6" s="17">
        <f>SUM(AB7:AB20)</f>
        <v/>
      </c>
      <c r="AC6" s="17">
        <f>SUM(AC7:AC20)</f>
        <v/>
      </c>
      <c r="AD6" s="17">
        <f>SUM(AD7:AD20)</f>
        <v/>
      </c>
      <c r="AE6" s="17">
        <f>SUM(AE7:AE20)</f>
        <v/>
      </c>
      <c r="AF6" s="17">
        <f>SUM(AF7:AF20)</f>
        <v/>
      </c>
      <c r="AG6" s="17">
        <f>SUM(AG7:AG20)</f>
        <v/>
      </c>
      <c r="AH6" s="17">
        <f>SUM(AH7:AH20)</f>
        <v/>
      </c>
      <c r="AI6" s="17">
        <f>SUM(AI7:AI20)</f>
        <v/>
      </c>
      <c r="AJ6" s="17">
        <f>SUM(AJ7:AJ20)</f>
        <v/>
      </c>
      <c r="AK6" s="17">
        <f>SUM(AK7:AK20)</f>
        <v/>
      </c>
      <c r="AL6" s="17">
        <f>SUM(AL7:AL20)</f>
        <v/>
      </c>
      <c r="AM6" s="17">
        <f>SUM(AM7:AM20)</f>
        <v/>
      </c>
      <c r="AN6" s="17">
        <f>SUM(AN7:AN20)</f>
        <v/>
      </c>
      <c r="AO6" s="17">
        <f>SUM(AO7:AO20)</f>
        <v/>
      </c>
      <c r="AP6" s="17">
        <f>SUM(AP7:AP20)</f>
        <v/>
      </c>
      <c r="AQ6" s="17">
        <f>SUM(AQ7:AQ20)</f>
        <v/>
      </c>
      <c r="AR6" s="17">
        <f>SUM(AR7:AR20)</f>
        <v/>
      </c>
      <c r="AS6" s="17">
        <f>SUM(AS7:AS20)</f>
        <v/>
      </c>
      <c r="AT6" s="17">
        <f>SUM(AT7:AT20)</f>
        <v/>
      </c>
      <c r="AU6" s="17">
        <f>SUM(AU7:AU20)</f>
        <v/>
      </c>
      <c r="AV6" s="17">
        <f>SUM(AV7:AV20)</f>
        <v/>
      </c>
      <c r="AW6" s="17">
        <f>SUM(AW7:AW20)</f>
        <v/>
      </c>
      <c r="AX6" s="17">
        <f>SUM(AX7:AX20)</f>
        <v/>
      </c>
      <c r="AY6" s="17">
        <f>SUM(AY7:AY20)</f>
        <v/>
      </c>
      <c r="BA6" s="17">
        <f>SUM(D6:O6)</f>
        <v/>
      </c>
      <c r="BB6" s="17">
        <f>SUM(P6:AA6)</f>
        <v/>
      </c>
      <c r="BC6" s="17">
        <f>SUM(AB6:AM6)</f>
        <v/>
      </c>
      <c r="BD6" s="17">
        <f>SUM(AN6:AY6)</f>
        <v/>
      </c>
      <c r="BF6" s="17">
        <f>SUM(I6:T6)</f>
        <v/>
      </c>
      <c r="BH6" s="24">
        <f>SUM(BA6:BD6)-SUM(D6:AY6)</f>
        <v/>
      </c>
    </row>
    <row r="7">
      <c r="C7" s="18" t="inlineStr">
        <is>
          <t>Berkeley</t>
        </is>
      </c>
      <c r="D7" s="19">
        <f>'Sales Forecast'!D6</f>
        <v/>
      </c>
      <c r="E7" s="19">
        <f>'Sales Forecast'!E6</f>
        <v/>
      </c>
      <c r="F7" s="19">
        <f>'Sales Forecast'!F6</f>
        <v/>
      </c>
      <c r="G7" s="19">
        <f>'Sales Forecast'!G6</f>
        <v/>
      </c>
      <c r="H7" s="19">
        <f>'Sales Forecast'!H6</f>
        <v/>
      </c>
      <c r="I7" s="19">
        <f>'Sales Forecast'!I6</f>
        <v/>
      </c>
      <c r="J7" s="19">
        <f>'Sales Forecast'!J6</f>
        <v/>
      </c>
      <c r="K7" s="19">
        <f>'Sales Forecast'!K6</f>
        <v/>
      </c>
      <c r="L7" s="19">
        <f>'Sales Forecast'!L6</f>
        <v/>
      </c>
      <c r="M7" s="19">
        <f>'Sales Forecast'!M6</f>
        <v/>
      </c>
      <c r="N7" s="19">
        <f>'Sales Forecast'!N6</f>
        <v/>
      </c>
      <c r="O7" s="19">
        <f>'Sales Forecast'!O6</f>
        <v/>
      </c>
      <c r="P7" s="19">
        <f>'Sales Forecast'!P6</f>
        <v/>
      </c>
      <c r="Q7" s="19">
        <f>'Sales Forecast'!Q6</f>
        <v/>
      </c>
      <c r="R7" s="19">
        <f>'Sales Forecast'!R6</f>
        <v/>
      </c>
      <c r="S7" s="19">
        <f>'Sales Forecast'!S6</f>
        <v/>
      </c>
      <c r="T7" s="19">
        <f>'Sales Forecast'!T6</f>
        <v/>
      </c>
      <c r="U7" s="19">
        <f>'Sales Forecast'!U6</f>
        <v/>
      </c>
      <c r="V7" s="20">
        <f>'Sales Forecast'!V6</f>
        <v/>
      </c>
      <c r="W7" s="20">
        <f>'Sales Forecast'!W6</f>
        <v/>
      </c>
      <c r="X7" s="20">
        <f>'Sales Forecast'!X6</f>
        <v/>
      </c>
      <c r="Y7" s="20">
        <f>'Sales Forecast'!Y6</f>
        <v/>
      </c>
      <c r="Z7" s="20">
        <f>'Sales Forecast'!Z6</f>
        <v/>
      </c>
      <c r="AA7" s="20">
        <f>'Sales Forecast'!AA6</f>
        <v/>
      </c>
      <c r="AB7" s="20">
        <f>'Sales Forecast'!AB6</f>
        <v/>
      </c>
      <c r="AC7" s="20">
        <f>'Sales Forecast'!AC6</f>
        <v/>
      </c>
      <c r="AD7" s="20">
        <f>'Sales Forecast'!AD6</f>
        <v/>
      </c>
      <c r="AE7" s="20">
        <f>'Sales Forecast'!AE6</f>
        <v/>
      </c>
      <c r="AF7" s="20">
        <f>'Sales Forecast'!AF6</f>
        <v/>
      </c>
      <c r="AG7" s="20">
        <f>'Sales Forecast'!AG6</f>
        <v/>
      </c>
      <c r="AH7" s="20">
        <f>'Sales Forecast'!AH6</f>
        <v/>
      </c>
      <c r="AI7" s="20">
        <f>'Sales Forecast'!AI6</f>
        <v/>
      </c>
      <c r="AJ7" s="20">
        <f>'Sales Forecast'!AJ6</f>
        <v/>
      </c>
      <c r="AK7" s="20">
        <f>'Sales Forecast'!AK6</f>
        <v/>
      </c>
      <c r="AL7" s="20">
        <f>'Sales Forecast'!AL6</f>
        <v/>
      </c>
      <c r="AM7" s="20">
        <f>'Sales Forecast'!AM6</f>
        <v/>
      </c>
      <c r="AN7" s="20">
        <f>'Sales Forecast'!AN6</f>
        <v/>
      </c>
      <c r="AO7" s="20">
        <f>'Sales Forecast'!AO6</f>
        <v/>
      </c>
      <c r="AP7" s="20">
        <f>'Sales Forecast'!AP6</f>
        <v/>
      </c>
      <c r="AQ7" s="20">
        <f>'Sales Forecast'!AQ6</f>
        <v/>
      </c>
      <c r="AR7" s="20">
        <f>'Sales Forecast'!AR6</f>
        <v/>
      </c>
      <c r="AS7" s="20">
        <f>'Sales Forecast'!AS6</f>
        <v/>
      </c>
      <c r="AT7" s="20">
        <f>'Sales Forecast'!AT6</f>
        <v/>
      </c>
      <c r="AU7" s="20">
        <f>'Sales Forecast'!AU6</f>
        <v/>
      </c>
      <c r="AV7" s="20">
        <f>'Sales Forecast'!AV6</f>
        <v/>
      </c>
      <c r="AW7" s="20">
        <f>'Sales Forecast'!AW6</f>
        <v/>
      </c>
      <c r="AX7" s="20">
        <f>'Sales Forecast'!AX6</f>
        <v/>
      </c>
      <c r="AY7" s="20">
        <f>'Sales Forecast'!AY6</f>
        <v/>
      </c>
      <c r="BA7" s="20">
        <f>SUM(D7:O7)</f>
        <v/>
      </c>
      <c r="BB7" s="20">
        <f>SUM(P7:AA7)</f>
        <v/>
      </c>
      <c r="BC7" s="20">
        <f>SUM(AB7:AM7)</f>
        <v/>
      </c>
      <c r="BD7" s="20">
        <f>SUM(AN7:AY7)</f>
        <v/>
      </c>
      <c r="BF7" s="20">
        <f>SUM(I7:T7)</f>
        <v/>
      </c>
      <c r="BG7" s="253" t="n"/>
      <c r="BH7" s="24">
        <f>SUM(BA7:BD7)-SUM(D7:AY7)</f>
        <v/>
      </c>
    </row>
    <row r="8">
      <c r="C8" s="18" t="inlineStr">
        <is>
          <t>Culver City</t>
        </is>
      </c>
      <c r="D8" s="19">
        <f>'Sales Forecast'!D7</f>
        <v/>
      </c>
      <c r="E8" s="19">
        <f>'Sales Forecast'!E7</f>
        <v/>
      </c>
      <c r="F8" s="19">
        <f>'Sales Forecast'!F7</f>
        <v/>
      </c>
      <c r="G8" s="19">
        <f>'Sales Forecast'!G7</f>
        <v/>
      </c>
      <c r="H8" s="19">
        <f>'Sales Forecast'!H7</f>
        <v/>
      </c>
      <c r="I8" s="19">
        <f>'Sales Forecast'!I7</f>
        <v/>
      </c>
      <c r="J8" s="19">
        <f>'Sales Forecast'!J7</f>
        <v/>
      </c>
      <c r="K8" s="19">
        <f>'Sales Forecast'!K7</f>
        <v/>
      </c>
      <c r="L8" s="19">
        <f>'Sales Forecast'!L7</f>
        <v/>
      </c>
      <c r="M8" s="19">
        <f>'Sales Forecast'!M7</f>
        <v/>
      </c>
      <c r="N8" s="19">
        <f>'Sales Forecast'!N7</f>
        <v/>
      </c>
      <c r="O8" s="19">
        <f>'Sales Forecast'!O7</f>
        <v/>
      </c>
      <c r="P8" s="19">
        <f>'Sales Forecast'!P7</f>
        <v/>
      </c>
      <c r="Q8" s="19">
        <f>'Sales Forecast'!Q7</f>
        <v/>
      </c>
      <c r="R8" s="19">
        <f>'Sales Forecast'!R7</f>
        <v/>
      </c>
      <c r="S8" s="19">
        <f>'Sales Forecast'!S7</f>
        <v/>
      </c>
      <c r="T8" s="19">
        <f>'Sales Forecast'!T7</f>
        <v/>
      </c>
      <c r="U8" s="19">
        <f>'Sales Forecast'!U7</f>
        <v/>
      </c>
      <c r="V8" s="20">
        <f>'Sales Forecast'!V7</f>
        <v/>
      </c>
      <c r="W8" s="20">
        <f>'Sales Forecast'!W7</f>
        <v/>
      </c>
      <c r="X8" s="20">
        <f>'Sales Forecast'!X7</f>
        <v/>
      </c>
      <c r="Y8" s="20">
        <f>'Sales Forecast'!Y7</f>
        <v/>
      </c>
      <c r="Z8" s="20">
        <f>'Sales Forecast'!Z7</f>
        <v/>
      </c>
      <c r="AA8" s="20">
        <f>'Sales Forecast'!AA7</f>
        <v/>
      </c>
      <c r="AB8" s="20">
        <f>'Sales Forecast'!AB7</f>
        <v/>
      </c>
      <c r="AC8" s="20">
        <f>'Sales Forecast'!AC7</f>
        <v/>
      </c>
      <c r="AD8" s="20">
        <f>'Sales Forecast'!AD7</f>
        <v/>
      </c>
      <c r="AE8" s="20">
        <f>'Sales Forecast'!AE7</f>
        <v/>
      </c>
      <c r="AF8" s="20">
        <f>'Sales Forecast'!AF7</f>
        <v/>
      </c>
      <c r="AG8" s="20">
        <f>'Sales Forecast'!AG7</f>
        <v/>
      </c>
      <c r="AH8" s="20">
        <f>'Sales Forecast'!AH7</f>
        <v/>
      </c>
      <c r="AI8" s="20">
        <f>'Sales Forecast'!AI7</f>
        <v/>
      </c>
      <c r="AJ8" s="20">
        <f>'Sales Forecast'!AJ7</f>
        <v/>
      </c>
      <c r="AK8" s="20">
        <f>'Sales Forecast'!AK7</f>
        <v/>
      </c>
      <c r="AL8" s="20">
        <f>'Sales Forecast'!AL7</f>
        <v/>
      </c>
      <c r="AM8" s="20">
        <f>'Sales Forecast'!AM7</f>
        <v/>
      </c>
      <c r="AN8" s="20">
        <f>'Sales Forecast'!AN7</f>
        <v/>
      </c>
      <c r="AO8" s="20">
        <f>'Sales Forecast'!AO7</f>
        <v/>
      </c>
      <c r="AP8" s="20">
        <f>'Sales Forecast'!AP7</f>
        <v/>
      </c>
      <c r="AQ8" s="20">
        <f>'Sales Forecast'!AQ7</f>
        <v/>
      </c>
      <c r="AR8" s="20">
        <f>'Sales Forecast'!AR7</f>
        <v/>
      </c>
      <c r="AS8" s="20">
        <f>'Sales Forecast'!AS7</f>
        <v/>
      </c>
      <c r="AT8" s="20">
        <f>'Sales Forecast'!AT7</f>
        <v/>
      </c>
      <c r="AU8" s="20">
        <f>'Sales Forecast'!AU7</f>
        <v/>
      </c>
      <c r="AV8" s="20">
        <f>'Sales Forecast'!AV7</f>
        <v/>
      </c>
      <c r="AW8" s="20">
        <f>'Sales Forecast'!AW7</f>
        <v/>
      </c>
      <c r="AX8" s="20">
        <f>'Sales Forecast'!AX7</f>
        <v/>
      </c>
      <c r="AY8" s="20">
        <f>'Sales Forecast'!AY7</f>
        <v/>
      </c>
      <c r="BA8" s="20">
        <f>SUM(D8:O8)</f>
        <v/>
      </c>
      <c r="BB8" s="20">
        <f>SUM(P8:AA8)</f>
        <v/>
      </c>
      <c r="BC8" s="20">
        <f>SUM(AB8:AM8)</f>
        <v/>
      </c>
      <c r="BD8" s="20">
        <f>SUM(AN8:AY8)</f>
        <v/>
      </c>
      <c r="BF8" s="20">
        <f>SUM(I8:T8)</f>
        <v/>
      </c>
      <c r="BG8" s="253" t="n"/>
      <c r="BH8" s="24">
        <f>SUM(BA8:BD8)-SUM(D8:AY8)</f>
        <v/>
      </c>
    </row>
    <row r="9">
      <c r="C9" s="18" t="inlineStr">
        <is>
          <t>Danville</t>
        </is>
      </c>
      <c r="D9" s="19">
        <f>'Sales Forecast'!D8</f>
        <v/>
      </c>
      <c r="E9" s="19">
        <f>'Sales Forecast'!E8</f>
        <v/>
      </c>
      <c r="F9" s="19">
        <f>'Sales Forecast'!F8</f>
        <v/>
      </c>
      <c r="G9" s="19">
        <f>'Sales Forecast'!G8</f>
        <v/>
      </c>
      <c r="H9" s="19">
        <f>'Sales Forecast'!H8</f>
        <v/>
      </c>
      <c r="I9" s="19">
        <f>'Sales Forecast'!I8</f>
        <v/>
      </c>
      <c r="J9" s="19">
        <f>'Sales Forecast'!J8</f>
        <v/>
      </c>
      <c r="K9" s="19">
        <f>'Sales Forecast'!K8</f>
        <v/>
      </c>
      <c r="L9" s="19">
        <f>'Sales Forecast'!L8</f>
        <v/>
      </c>
      <c r="M9" s="19">
        <f>'Sales Forecast'!M8</f>
        <v/>
      </c>
      <c r="N9" s="19">
        <f>'Sales Forecast'!N8</f>
        <v/>
      </c>
      <c r="O9" s="19">
        <f>'Sales Forecast'!O8</f>
        <v/>
      </c>
      <c r="P9" s="19">
        <f>'Sales Forecast'!P8</f>
        <v/>
      </c>
      <c r="Q9" s="19">
        <f>'Sales Forecast'!Q8</f>
        <v/>
      </c>
      <c r="R9" s="19">
        <f>'Sales Forecast'!R8</f>
        <v/>
      </c>
      <c r="S9" s="19">
        <f>'Sales Forecast'!S8</f>
        <v/>
      </c>
      <c r="T9" s="19">
        <f>'Sales Forecast'!T8</f>
        <v/>
      </c>
      <c r="U9" s="19">
        <f>'Sales Forecast'!U8</f>
        <v/>
      </c>
      <c r="V9" s="20">
        <f>'Sales Forecast'!V8</f>
        <v/>
      </c>
      <c r="W9" s="20">
        <f>'Sales Forecast'!W8</f>
        <v/>
      </c>
      <c r="X9" s="20">
        <f>'Sales Forecast'!X8</f>
        <v/>
      </c>
      <c r="Y9" s="20">
        <f>'Sales Forecast'!Y8</f>
        <v/>
      </c>
      <c r="Z9" s="20">
        <f>'Sales Forecast'!Z8</f>
        <v/>
      </c>
      <c r="AA9" s="20">
        <f>'Sales Forecast'!AA8</f>
        <v/>
      </c>
      <c r="AB9" s="20">
        <f>'Sales Forecast'!AB8</f>
        <v/>
      </c>
      <c r="AC9" s="20">
        <f>'Sales Forecast'!AC8</f>
        <v/>
      </c>
      <c r="AD9" s="20">
        <f>'Sales Forecast'!AD8</f>
        <v/>
      </c>
      <c r="AE9" s="20">
        <f>'Sales Forecast'!AE8</f>
        <v/>
      </c>
      <c r="AF9" s="20">
        <f>'Sales Forecast'!AF8</f>
        <v/>
      </c>
      <c r="AG9" s="20">
        <f>'Sales Forecast'!AG8</f>
        <v/>
      </c>
      <c r="AH9" s="20">
        <f>'Sales Forecast'!AH8</f>
        <v/>
      </c>
      <c r="AI9" s="20">
        <f>'Sales Forecast'!AI8</f>
        <v/>
      </c>
      <c r="AJ9" s="20">
        <f>'Sales Forecast'!AJ8</f>
        <v/>
      </c>
      <c r="AK9" s="20">
        <f>'Sales Forecast'!AK8</f>
        <v/>
      </c>
      <c r="AL9" s="20">
        <f>'Sales Forecast'!AL8</f>
        <v/>
      </c>
      <c r="AM9" s="20">
        <f>'Sales Forecast'!AM8</f>
        <v/>
      </c>
      <c r="AN9" s="20">
        <f>'Sales Forecast'!AN8</f>
        <v/>
      </c>
      <c r="AO9" s="20">
        <f>'Sales Forecast'!AO8</f>
        <v/>
      </c>
      <c r="AP9" s="20">
        <f>'Sales Forecast'!AP8</f>
        <v/>
      </c>
      <c r="AQ9" s="20">
        <f>'Sales Forecast'!AQ8</f>
        <v/>
      </c>
      <c r="AR9" s="20">
        <f>'Sales Forecast'!AR8</f>
        <v/>
      </c>
      <c r="AS9" s="20">
        <f>'Sales Forecast'!AS8</f>
        <v/>
      </c>
      <c r="AT9" s="20">
        <f>'Sales Forecast'!AT8</f>
        <v/>
      </c>
      <c r="AU9" s="20">
        <f>'Sales Forecast'!AU8</f>
        <v/>
      </c>
      <c r="AV9" s="20">
        <f>'Sales Forecast'!AV8</f>
        <v/>
      </c>
      <c r="AW9" s="20">
        <f>'Sales Forecast'!AW8</f>
        <v/>
      </c>
      <c r="AX9" s="20">
        <f>'Sales Forecast'!AX8</f>
        <v/>
      </c>
      <c r="AY9" s="20">
        <f>'Sales Forecast'!AY8</f>
        <v/>
      </c>
      <c r="BA9" s="20">
        <f>SUM(D9:O9)</f>
        <v/>
      </c>
      <c r="BB9" s="20">
        <f>SUM(P9:AA9)</f>
        <v/>
      </c>
      <c r="BC9" s="20">
        <f>SUM(AB9:AM9)</f>
        <v/>
      </c>
      <c r="BD9" s="20">
        <f>SUM(AN9:AY9)</f>
        <v/>
      </c>
      <c r="BF9" s="20">
        <f>SUM(I9:T9)</f>
        <v/>
      </c>
      <c r="BG9" s="253" t="n"/>
      <c r="BH9" s="24">
        <f>SUM(BA9:BD9)-SUM(D9:AY9)</f>
        <v/>
      </c>
    </row>
    <row r="10">
      <c r="C10" s="18" t="inlineStr">
        <is>
          <t>Lafayette</t>
        </is>
      </c>
      <c r="D10" s="19">
        <f>'Sales Forecast'!D9</f>
        <v/>
      </c>
      <c r="E10" s="19">
        <f>'Sales Forecast'!E9</f>
        <v/>
      </c>
      <c r="F10" s="19">
        <f>'Sales Forecast'!F9</f>
        <v/>
      </c>
      <c r="G10" s="19">
        <f>'Sales Forecast'!G9</f>
        <v/>
      </c>
      <c r="H10" s="19">
        <f>'Sales Forecast'!H9</f>
        <v/>
      </c>
      <c r="I10" s="19">
        <f>'Sales Forecast'!I9</f>
        <v/>
      </c>
      <c r="J10" s="19">
        <f>'Sales Forecast'!J9</f>
        <v/>
      </c>
      <c r="K10" s="19">
        <f>'Sales Forecast'!K9</f>
        <v/>
      </c>
      <c r="L10" s="19">
        <f>'Sales Forecast'!L9</f>
        <v/>
      </c>
      <c r="M10" s="19">
        <f>'Sales Forecast'!M9</f>
        <v/>
      </c>
      <c r="N10" s="19">
        <f>'Sales Forecast'!N9</f>
        <v/>
      </c>
      <c r="O10" s="19">
        <f>'Sales Forecast'!O9</f>
        <v/>
      </c>
      <c r="P10" s="19">
        <f>'Sales Forecast'!P9</f>
        <v/>
      </c>
      <c r="Q10" s="19">
        <f>'Sales Forecast'!Q9</f>
        <v/>
      </c>
      <c r="R10" s="19">
        <f>'Sales Forecast'!R9</f>
        <v/>
      </c>
      <c r="S10" s="19">
        <f>'Sales Forecast'!S9</f>
        <v/>
      </c>
      <c r="T10" s="19">
        <f>'Sales Forecast'!T9</f>
        <v/>
      </c>
      <c r="U10" s="19">
        <f>'Sales Forecast'!U9</f>
        <v/>
      </c>
      <c r="V10" s="20">
        <f>'Sales Forecast'!V9</f>
        <v/>
      </c>
      <c r="W10" s="20">
        <f>'Sales Forecast'!W9</f>
        <v/>
      </c>
      <c r="X10" s="20">
        <f>'Sales Forecast'!X9</f>
        <v/>
      </c>
      <c r="Y10" s="20">
        <f>'Sales Forecast'!Y9</f>
        <v/>
      </c>
      <c r="Z10" s="20">
        <f>'Sales Forecast'!Z9</f>
        <v/>
      </c>
      <c r="AA10" s="20">
        <f>'Sales Forecast'!AA9</f>
        <v/>
      </c>
      <c r="AB10" s="20">
        <f>'Sales Forecast'!AB9</f>
        <v/>
      </c>
      <c r="AC10" s="20">
        <f>'Sales Forecast'!AC9</f>
        <v/>
      </c>
      <c r="AD10" s="20">
        <f>'Sales Forecast'!AD9</f>
        <v/>
      </c>
      <c r="AE10" s="20">
        <f>'Sales Forecast'!AE9</f>
        <v/>
      </c>
      <c r="AF10" s="20">
        <f>'Sales Forecast'!AF9</f>
        <v/>
      </c>
      <c r="AG10" s="20">
        <f>'Sales Forecast'!AG9</f>
        <v/>
      </c>
      <c r="AH10" s="20">
        <f>'Sales Forecast'!AH9</f>
        <v/>
      </c>
      <c r="AI10" s="20">
        <f>'Sales Forecast'!AI9</f>
        <v/>
      </c>
      <c r="AJ10" s="20">
        <f>'Sales Forecast'!AJ9</f>
        <v/>
      </c>
      <c r="AK10" s="20">
        <f>'Sales Forecast'!AK9</f>
        <v/>
      </c>
      <c r="AL10" s="20">
        <f>'Sales Forecast'!AL9</f>
        <v/>
      </c>
      <c r="AM10" s="20">
        <f>'Sales Forecast'!AM9</f>
        <v/>
      </c>
      <c r="AN10" s="20">
        <f>'Sales Forecast'!AN9</f>
        <v/>
      </c>
      <c r="AO10" s="20">
        <f>'Sales Forecast'!AO9</f>
        <v/>
      </c>
      <c r="AP10" s="20">
        <f>'Sales Forecast'!AP9</f>
        <v/>
      </c>
      <c r="AQ10" s="20">
        <f>'Sales Forecast'!AQ9</f>
        <v/>
      </c>
      <c r="AR10" s="20">
        <f>'Sales Forecast'!AR9</f>
        <v/>
      </c>
      <c r="AS10" s="20">
        <f>'Sales Forecast'!AS9</f>
        <v/>
      </c>
      <c r="AT10" s="20">
        <f>'Sales Forecast'!AT9</f>
        <v/>
      </c>
      <c r="AU10" s="20">
        <f>'Sales Forecast'!AU9</f>
        <v/>
      </c>
      <c r="AV10" s="20">
        <f>'Sales Forecast'!AV9</f>
        <v/>
      </c>
      <c r="AW10" s="20">
        <f>'Sales Forecast'!AW9</f>
        <v/>
      </c>
      <c r="AX10" s="20">
        <f>'Sales Forecast'!AX9</f>
        <v/>
      </c>
      <c r="AY10" s="20">
        <f>'Sales Forecast'!AY9</f>
        <v/>
      </c>
      <c r="BA10" s="20">
        <f>SUM(D10:O10)</f>
        <v/>
      </c>
      <c r="BB10" s="20">
        <f>SUM(P10:AA10)</f>
        <v/>
      </c>
      <c r="BC10" s="20">
        <f>SUM(AB10:AM10)</f>
        <v/>
      </c>
      <c r="BD10" s="20">
        <f>SUM(AN10:AY10)</f>
        <v/>
      </c>
      <c r="BF10" s="20">
        <f>SUM(I10:T10)</f>
        <v/>
      </c>
      <c r="BG10" s="253" t="n"/>
      <c r="BH10" s="24">
        <f>SUM(BA10:BD10)-SUM(D10:AY10)</f>
        <v/>
      </c>
    </row>
    <row r="11">
      <c r="C11" s="18" t="inlineStr">
        <is>
          <t>Marin</t>
        </is>
      </c>
      <c r="D11" s="19">
        <f>'Sales Forecast'!D10</f>
        <v/>
      </c>
      <c r="E11" s="19">
        <f>'Sales Forecast'!E10</f>
        <v/>
      </c>
      <c r="F11" s="19">
        <f>'Sales Forecast'!F10</f>
        <v/>
      </c>
      <c r="G11" s="19">
        <f>'Sales Forecast'!G10</f>
        <v/>
      </c>
      <c r="H11" s="19">
        <f>'Sales Forecast'!H10</f>
        <v/>
      </c>
      <c r="I11" s="19">
        <f>'Sales Forecast'!I10</f>
        <v/>
      </c>
      <c r="J11" s="19">
        <f>'Sales Forecast'!J10</f>
        <v/>
      </c>
      <c r="K11" s="19">
        <f>'Sales Forecast'!K10</f>
        <v/>
      </c>
      <c r="L11" s="19">
        <f>'Sales Forecast'!L10</f>
        <v/>
      </c>
      <c r="M11" s="19">
        <f>'Sales Forecast'!M10</f>
        <v/>
      </c>
      <c r="N11" s="19">
        <f>'Sales Forecast'!N10</f>
        <v/>
      </c>
      <c r="O11" s="19">
        <f>'Sales Forecast'!O10</f>
        <v/>
      </c>
      <c r="P11" s="19">
        <f>'Sales Forecast'!P10</f>
        <v/>
      </c>
      <c r="Q11" s="19">
        <f>'Sales Forecast'!Q10</f>
        <v/>
      </c>
      <c r="R11" s="19">
        <f>'Sales Forecast'!R10</f>
        <v/>
      </c>
      <c r="S11" s="19">
        <f>'Sales Forecast'!S10</f>
        <v/>
      </c>
      <c r="T11" s="19">
        <f>'Sales Forecast'!T10</f>
        <v/>
      </c>
      <c r="U11" s="19">
        <f>'Sales Forecast'!U10</f>
        <v/>
      </c>
      <c r="V11" s="20">
        <f>'Sales Forecast'!V10</f>
        <v/>
      </c>
      <c r="W11" s="20">
        <f>'Sales Forecast'!W10</f>
        <v/>
      </c>
      <c r="X11" s="20">
        <f>'Sales Forecast'!X10</f>
        <v/>
      </c>
      <c r="Y11" s="20">
        <f>'Sales Forecast'!Y10</f>
        <v/>
      </c>
      <c r="Z11" s="20">
        <f>'Sales Forecast'!Z10</f>
        <v/>
      </c>
      <c r="AA11" s="20">
        <f>'Sales Forecast'!AA10</f>
        <v/>
      </c>
      <c r="AB11" s="20">
        <f>'Sales Forecast'!AB10</f>
        <v/>
      </c>
      <c r="AC11" s="20">
        <f>'Sales Forecast'!AC10</f>
        <v/>
      </c>
      <c r="AD11" s="20">
        <f>'Sales Forecast'!AD10</f>
        <v/>
      </c>
      <c r="AE11" s="20">
        <f>'Sales Forecast'!AE10</f>
        <v/>
      </c>
      <c r="AF11" s="20">
        <f>'Sales Forecast'!AF10</f>
        <v/>
      </c>
      <c r="AG11" s="20">
        <f>'Sales Forecast'!AG10</f>
        <v/>
      </c>
      <c r="AH11" s="20">
        <f>'Sales Forecast'!AH10</f>
        <v/>
      </c>
      <c r="AI11" s="20">
        <f>'Sales Forecast'!AI10</f>
        <v/>
      </c>
      <c r="AJ11" s="20">
        <f>'Sales Forecast'!AJ10</f>
        <v/>
      </c>
      <c r="AK11" s="20">
        <f>'Sales Forecast'!AK10</f>
        <v/>
      </c>
      <c r="AL11" s="20">
        <f>'Sales Forecast'!AL10</f>
        <v/>
      </c>
      <c r="AM11" s="20">
        <f>'Sales Forecast'!AM10</f>
        <v/>
      </c>
      <c r="AN11" s="20">
        <f>'Sales Forecast'!AN10</f>
        <v/>
      </c>
      <c r="AO11" s="20">
        <f>'Sales Forecast'!AO10</f>
        <v/>
      </c>
      <c r="AP11" s="20">
        <f>'Sales Forecast'!AP10</f>
        <v/>
      </c>
      <c r="AQ11" s="20">
        <f>'Sales Forecast'!AQ10</f>
        <v/>
      </c>
      <c r="AR11" s="20">
        <f>'Sales Forecast'!AR10</f>
        <v/>
      </c>
      <c r="AS11" s="20">
        <f>'Sales Forecast'!AS10</f>
        <v/>
      </c>
      <c r="AT11" s="20">
        <f>'Sales Forecast'!AT10</f>
        <v/>
      </c>
      <c r="AU11" s="20">
        <f>'Sales Forecast'!AU10</f>
        <v/>
      </c>
      <c r="AV11" s="20">
        <f>'Sales Forecast'!AV10</f>
        <v/>
      </c>
      <c r="AW11" s="20">
        <f>'Sales Forecast'!AW10</f>
        <v/>
      </c>
      <c r="AX11" s="20">
        <f>'Sales Forecast'!AX10</f>
        <v/>
      </c>
      <c r="AY11" s="20">
        <f>'Sales Forecast'!AY10</f>
        <v/>
      </c>
      <c r="BA11" s="20">
        <f>SUM(D11:O11)</f>
        <v/>
      </c>
      <c r="BB11" s="20">
        <f>SUM(P11:AA11)</f>
        <v/>
      </c>
      <c r="BC11" s="20">
        <f>SUM(AB11:AM11)</f>
        <v/>
      </c>
      <c r="BD11" s="20">
        <f>SUM(AN11:AY11)</f>
        <v/>
      </c>
      <c r="BF11" s="20">
        <f>SUM(I11:T11)</f>
        <v/>
      </c>
      <c r="BG11" s="253" t="n"/>
      <c r="BH11" s="24">
        <f>SUM(BA11:BD11)-SUM(D11:AY11)</f>
        <v/>
      </c>
    </row>
    <row r="12">
      <c r="C12" s="18" t="inlineStr">
        <is>
          <t>Ocean Park</t>
        </is>
      </c>
      <c r="D12" s="19">
        <f>'Sales Forecast'!D11</f>
        <v/>
      </c>
      <c r="E12" s="19">
        <f>'Sales Forecast'!E11</f>
        <v/>
      </c>
      <c r="F12" s="19">
        <f>'Sales Forecast'!F11</f>
        <v/>
      </c>
      <c r="G12" s="19">
        <f>'Sales Forecast'!G11</f>
        <v/>
      </c>
      <c r="H12" s="19">
        <f>'Sales Forecast'!H11</f>
        <v/>
      </c>
      <c r="I12" s="19">
        <f>'Sales Forecast'!I11</f>
        <v/>
      </c>
      <c r="J12" s="19">
        <f>'Sales Forecast'!J11</f>
        <v/>
      </c>
      <c r="K12" s="19">
        <f>'Sales Forecast'!K11</f>
        <v/>
      </c>
      <c r="L12" s="19">
        <f>'Sales Forecast'!L11</f>
        <v/>
      </c>
      <c r="M12" s="19">
        <f>'Sales Forecast'!M11</f>
        <v/>
      </c>
      <c r="N12" s="19">
        <f>'Sales Forecast'!N11</f>
        <v/>
      </c>
      <c r="O12" s="19">
        <f>'Sales Forecast'!O11</f>
        <v/>
      </c>
      <c r="P12" s="19">
        <f>'Sales Forecast'!P11</f>
        <v/>
      </c>
      <c r="Q12" s="19">
        <f>'Sales Forecast'!Q11</f>
        <v/>
      </c>
      <c r="R12" s="19">
        <f>'Sales Forecast'!R11</f>
        <v/>
      </c>
      <c r="S12" s="19">
        <f>'Sales Forecast'!S11</f>
        <v/>
      </c>
      <c r="T12" s="19">
        <f>'Sales Forecast'!T11</f>
        <v/>
      </c>
      <c r="U12" s="19">
        <f>'Sales Forecast'!U11</f>
        <v/>
      </c>
      <c r="V12" s="20">
        <f>'Sales Forecast'!V11</f>
        <v/>
      </c>
      <c r="W12" s="20">
        <f>'Sales Forecast'!W11</f>
        <v/>
      </c>
      <c r="X12" s="20">
        <f>'Sales Forecast'!X11</f>
        <v/>
      </c>
      <c r="Y12" s="20">
        <f>'Sales Forecast'!Y11</f>
        <v/>
      </c>
      <c r="Z12" s="20">
        <f>'Sales Forecast'!Z11</f>
        <v/>
      </c>
      <c r="AA12" s="20">
        <f>'Sales Forecast'!AA11</f>
        <v/>
      </c>
      <c r="AB12" s="20">
        <f>'Sales Forecast'!AB11</f>
        <v/>
      </c>
      <c r="AC12" s="20">
        <f>'Sales Forecast'!AC11</f>
        <v/>
      </c>
      <c r="AD12" s="20">
        <f>'Sales Forecast'!AD11</f>
        <v/>
      </c>
      <c r="AE12" s="20">
        <f>'Sales Forecast'!AE11</f>
        <v/>
      </c>
      <c r="AF12" s="20">
        <f>'Sales Forecast'!AF11</f>
        <v/>
      </c>
      <c r="AG12" s="20">
        <f>'Sales Forecast'!AG11</f>
        <v/>
      </c>
      <c r="AH12" s="20">
        <f>'Sales Forecast'!AH11</f>
        <v/>
      </c>
      <c r="AI12" s="20">
        <f>'Sales Forecast'!AI11</f>
        <v/>
      </c>
      <c r="AJ12" s="20">
        <f>'Sales Forecast'!AJ11</f>
        <v/>
      </c>
      <c r="AK12" s="20">
        <f>'Sales Forecast'!AK11</f>
        <v/>
      </c>
      <c r="AL12" s="20">
        <f>'Sales Forecast'!AL11</f>
        <v/>
      </c>
      <c r="AM12" s="20">
        <f>'Sales Forecast'!AM11</f>
        <v/>
      </c>
      <c r="AN12" s="20">
        <f>'Sales Forecast'!AN11</f>
        <v/>
      </c>
      <c r="AO12" s="20">
        <f>'Sales Forecast'!AO11</f>
        <v/>
      </c>
      <c r="AP12" s="20">
        <f>'Sales Forecast'!AP11</f>
        <v/>
      </c>
      <c r="AQ12" s="20">
        <f>'Sales Forecast'!AQ11</f>
        <v/>
      </c>
      <c r="AR12" s="20">
        <f>'Sales Forecast'!AR11</f>
        <v/>
      </c>
      <c r="AS12" s="20">
        <f>'Sales Forecast'!AS11</f>
        <v/>
      </c>
      <c r="AT12" s="20">
        <f>'Sales Forecast'!AT11</f>
        <v/>
      </c>
      <c r="AU12" s="20">
        <f>'Sales Forecast'!AU11</f>
        <v/>
      </c>
      <c r="AV12" s="20">
        <f>'Sales Forecast'!AV11</f>
        <v/>
      </c>
      <c r="AW12" s="20">
        <f>'Sales Forecast'!AW11</f>
        <v/>
      </c>
      <c r="AX12" s="20">
        <f>'Sales Forecast'!AX11</f>
        <v/>
      </c>
      <c r="AY12" s="20">
        <f>'Sales Forecast'!AY11</f>
        <v/>
      </c>
      <c r="BA12" s="20">
        <f>SUM(D12:O12)</f>
        <v/>
      </c>
      <c r="BB12" s="20">
        <f>SUM(P12:AA12)</f>
        <v/>
      </c>
      <c r="BC12" s="20">
        <f>SUM(AB12:AM12)</f>
        <v/>
      </c>
      <c r="BD12" s="20">
        <f>SUM(AN12:AY12)</f>
        <v/>
      </c>
      <c r="BF12" s="20">
        <f>SUM(I12:T12)</f>
        <v/>
      </c>
      <c r="BG12" s="253" t="n"/>
      <c r="BH12" s="24">
        <f>SUM(BA12:BD12)-SUM(D12:AY12)</f>
        <v/>
      </c>
    </row>
    <row r="13">
      <c r="C13" s="18" t="inlineStr">
        <is>
          <t>Presidio Heights</t>
        </is>
      </c>
      <c r="D13" s="19">
        <f>'Sales Forecast'!D12</f>
        <v/>
      </c>
      <c r="E13" s="19">
        <f>'Sales Forecast'!E12</f>
        <v/>
      </c>
      <c r="F13" s="19">
        <f>'Sales Forecast'!F12</f>
        <v/>
      </c>
      <c r="G13" s="19">
        <f>'Sales Forecast'!G12</f>
        <v/>
      </c>
      <c r="H13" s="19">
        <f>'Sales Forecast'!H12</f>
        <v/>
      </c>
      <c r="I13" s="19">
        <f>'Sales Forecast'!I12</f>
        <v/>
      </c>
      <c r="J13" s="19">
        <f>'Sales Forecast'!J12</f>
        <v/>
      </c>
      <c r="K13" s="19">
        <f>'Sales Forecast'!K12</f>
        <v/>
      </c>
      <c r="L13" s="19">
        <f>'Sales Forecast'!L12</f>
        <v/>
      </c>
      <c r="M13" s="19">
        <f>'Sales Forecast'!M12</f>
        <v/>
      </c>
      <c r="N13" s="19">
        <f>'Sales Forecast'!N12</f>
        <v/>
      </c>
      <c r="O13" s="19">
        <f>'Sales Forecast'!O12</f>
        <v/>
      </c>
      <c r="P13" s="19">
        <f>'Sales Forecast'!P12</f>
        <v/>
      </c>
      <c r="Q13" s="19">
        <f>'Sales Forecast'!Q12</f>
        <v/>
      </c>
      <c r="R13" s="19">
        <f>'Sales Forecast'!R12</f>
        <v/>
      </c>
      <c r="S13" s="19">
        <f>'Sales Forecast'!S12</f>
        <v/>
      </c>
      <c r="T13" s="19">
        <f>'Sales Forecast'!T12</f>
        <v/>
      </c>
      <c r="U13" s="19">
        <f>'Sales Forecast'!U12</f>
        <v/>
      </c>
      <c r="V13" s="20">
        <f>'Sales Forecast'!V12</f>
        <v/>
      </c>
      <c r="W13" s="20">
        <f>'Sales Forecast'!W12</f>
        <v/>
      </c>
      <c r="X13" s="20">
        <f>'Sales Forecast'!X12</f>
        <v/>
      </c>
      <c r="Y13" s="20">
        <f>'Sales Forecast'!Y12</f>
        <v/>
      </c>
      <c r="Z13" s="20">
        <f>'Sales Forecast'!Z12</f>
        <v/>
      </c>
      <c r="AA13" s="20">
        <f>'Sales Forecast'!AA12</f>
        <v/>
      </c>
      <c r="AB13" s="20">
        <f>'Sales Forecast'!AB12</f>
        <v/>
      </c>
      <c r="AC13" s="20">
        <f>'Sales Forecast'!AC12</f>
        <v/>
      </c>
      <c r="AD13" s="20">
        <f>'Sales Forecast'!AD12</f>
        <v/>
      </c>
      <c r="AE13" s="20">
        <f>'Sales Forecast'!AE12</f>
        <v/>
      </c>
      <c r="AF13" s="20">
        <f>'Sales Forecast'!AF12</f>
        <v/>
      </c>
      <c r="AG13" s="20">
        <f>'Sales Forecast'!AG12</f>
        <v/>
      </c>
      <c r="AH13" s="20">
        <f>'Sales Forecast'!AH12</f>
        <v/>
      </c>
      <c r="AI13" s="20">
        <f>'Sales Forecast'!AI12</f>
        <v/>
      </c>
      <c r="AJ13" s="20">
        <f>'Sales Forecast'!AJ12</f>
        <v/>
      </c>
      <c r="AK13" s="20">
        <f>'Sales Forecast'!AK12</f>
        <v/>
      </c>
      <c r="AL13" s="20">
        <f>'Sales Forecast'!AL12</f>
        <v/>
      </c>
      <c r="AM13" s="20">
        <f>'Sales Forecast'!AM12</f>
        <v/>
      </c>
      <c r="AN13" s="20">
        <f>'Sales Forecast'!AN12</f>
        <v/>
      </c>
      <c r="AO13" s="20">
        <f>'Sales Forecast'!AO12</f>
        <v/>
      </c>
      <c r="AP13" s="20">
        <f>'Sales Forecast'!AP12</f>
        <v/>
      </c>
      <c r="AQ13" s="20">
        <f>'Sales Forecast'!AQ12</f>
        <v/>
      </c>
      <c r="AR13" s="20">
        <f>'Sales Forecast'!AR12</f>
        <v/>
      </c>
      <c r="AS13" s="20">
        <f>'Sales Forecast'!AS12</f>
        <v/>
      </c>
      <c r="AT13" s="20">
        <f>'Sales Forecast'!AT12</f>
        <v/>
      </c>
      <c r="AU13" s="20">
        <f>'Sales Forecast'!AU12</f>
        <v/>
      </c>
      <c r="AV13" s="20">
        <f>'Sales Forecast'!AV12</f>
        <v/>
      </c>
      <c r="AW13" s="20">
        <f>'Sales Forecast'!AW12</f>
        <v/>
      </c>
      <c r="AX13" s="20">
        <f>'Sales Forecast'!AX12</f>
        <v/>
      </c>
      <c r="AY13" s="20">
        <f>'Sales Forecast'!AY12</f>
        <v/>
      </c>
      <c r="BA13" s="20">
        <f>SUM(D13:O13)</f>
        <v/>
      </c>
      <c r="BB13" s="20">
        <f>SUM(P13:AA13)</f>
        <v/>
      </c>
      <c r="BC13" s="20">
        <f>SUM(AB13:AM13)</f>
        <v/>
      </c>
      <c r="BD13" s="20">
        <f>SUM(AN13:AY13)</f>
        <v/>
      </c>
      <c r="BF13" s="20">
        <f>SUM(I13:T13)</f>
        <v/>
      </c>
      <c r="BG13" s="253" t="n"/>
      <c r="BH13" s="24">
        <f>SUM(BA13:BD13)-SUM(D13:AY13)</f>
        <v/>
      </c>
    </row>
    <row r="14">
      <c r="C14" s="18" t="inlineStr">
        <is>
          <t>Russian Hill</t>
        </is>
      </c>
      <c r="D14" s="19">
        <f>'Sales Forecast'!D13</f>
        <v/>
      </c>
      <c r="E14" s="19">
        <f>'Sales Forecast'!E13</f>
        <v/>
      </c>
      <c r="F14" s="19">
        <f>'Sales Forecast'!F13</f>
        <v/>
      </c>
      <c r="G14" s="19">
        <f>'Sales Forecast'!G13</f>
        <v/>
      </c>
      <c r="H14" s="19">
        <f>'Sales Forecast'!H13</f>
        <v/>
      </c>
      <c r="I14" s="19">
        <f>'Sales Forecast'!I13</f>
        <v/>
      </c>
      <c r="J14" s="19">
        <f>'Sales Forecast'!J13</f>
        <v/>
      </c>
      <c r="K14" s="19">
        <f>'Sales Forecast'!K13</f>
        <v/>
      </c>
      <c r="L14" s="19">
        <f>'Sales Forecast'!L13</f>
        <v/>
      </c>
      <c r="M14" s="19">
        <f>'Sales Forecast'!M13</f>
        <v/>
      </c>
      <c r="N14" s="19">
        <f>'Sales Forecast'!N13</f>
        <v/>
      </c>
      <c r="O14" s="19">
        <f>'Sales Forecast'!O13</f>
        <v/>
      </c>
      <c r="P14" s="19">
        <f>'Sales Forecast'!P13</f>
        <v/>
      </c>
      <c r="Q14" s="19">
        <f>'Sales Forecast'!Q13</f>
        <v/>
      </c>
      <c r="R14" s="19">
        <f>'Sales Forecast'!R13</f>
        <v/>
      </c>
      <c r="S14" s="19">
        <f>'Sales Forecast'!S13</f>
        <v/>
      </c>
      <c r="T14" s="19">
        <f>'Sales Forecast'!T13</f>
        <v/>
      </c>
      <c r="U14" s="19">
        <f>'Sales Forecast'!U13</f>
        <v/>
      </c>
      <c r="V14" s="20">
        <f>'Sales Forecast'!V13</f>
        <v/>
      </c>
      <c r="W14" s="20">
        <f>'Sales Forecast'!W13</f>
        <v/>
      </c>
      <c r="X14" s="20">
        <f>'Sales Forecast'!X13</f>
        <v/>
      </c>
      <c r="Y14" s="20">
        <f>'Sales Forecast'!Y13</f>
        <v/>
      </c>
      <c r="Z14" s="20">
        <f>'Sales Forecast'!Z13</f>
        <v/>
      </c>
      <c r="AA14" s="20">
        <f>'Sales Forecast'!AA13</f>
        <v/>
      </c>
      <c r="AB14" s="20">
        <f>'Sales Forecast'!AB13</f>
        <v/>
      </c>
      <c r="AC14" s="20">
        <f>'Sales Forecast'!AC13</f>
        <v/>
      </c>
      <c r="AD14" s="20">
        <f>'Sales Forecast'!AD13</f>
        <v/>
      </c>
      <c r="AE14" s="20">
        <f>'Sales Forecast'!AE13</f>
        <v/>
      </c>
      <c r="AF14" s="20">
        <f>'Sales Forecast'!AF13</f>
        <v/>
      </c>
      <c r="AG14" s="20">
        <f>'Sales Forecast'!AG13</f>
        <v/>
      </c>
      <c r="AH14" s="20">
        <f>'Sales Forecast'!AH13</f>
        <v/>
      </c>
      <c r="AI14" s="20">
        <f>'Sales Forecast'!AI13</f>
        <v/>
      </c>
      <c r="AJ14" s="20">
        <f>'Sales Forecast'!AJ13</f>
        <v/>
      </c>
      <c r="AK14" s="20">
        <f>'Sales Forecast'!AK13</f>
        <v/>
      </c>
      <c r="AL14" s="20">
        <f>'Sales Forecast'!AL13</f>
        <v/>
      </c>
      <c r="AM14" s="20">
        <f>'Sales Forecast'!AM13</f>
        <v/>
      </c>
      <c r="AN14" s="20">
        <f>'Sales Forecast'!AN13</f>
        <v/>
      </c>
      <c r="AO14" s="20">
        <f>'Sales Forecast'!AO13</f>
        <v/>
      </c>
      <c r="AP14" s="20">
        <f>'Sales Forecast'!AP13</f>
        <v/>
      </c>
      <c r="AQ14" s="20">
        <f>'Sales Forecast'!AQ13</f>
        <v/>
      </c>
      <c r="AR14" s="20">
        <f>'Sales Forecast'!AR13</f>
        <v/>
      </c>
      <c r="AS14" s="20">
        <f>'Sales Forecast'!AS13</f>
        <v/>
      </c>
      <c r="AT14" s="20">
        <f>'Sales Forecast'!AT13</f>
        <v/>
      </c>
      <c r="AU14" s="20">
        <f>'Sales Forecast'!AU13</f>
        <v/>
      </c>
      <c r="AV14" s="20">
        <f>'Sales Forecast'!AV13</f>
        <v/>
      </c>
      <c r="AW14" s="20">
        <f>'Sales Forecast'!AW13</f>
        <v/>
      </c>
      <c r="AX14" s="20">
        <f>'Sales Forecast'!AX13</f>
        <v/>
      </c>
      <c r="AY14" s="20">
        <f>'Sales Forecast'!AY13</f>
        <v/>
      </c>
      <c r="BA14" s="20">
        <f>SUM(D14:O14)</f>
        <v/>
      </c>
      <c r="BB14" s="20">
        <f>SUM(P14:AA14)</f>
        <v/>
      </c>
      <c r="BC14" s="20">
        <f>SUM(AB14:AM14)</f>
        <v/>
      </c>
      <c r="BD14" s="20">
        <f>SUM(AN14:AY14)</f>
        <v/>
      </c>
      <c r="BF14" s="20">
        <f>SUM(I14:T14)</f>
        <v/>
      </c>
      <c r="BG14" s="253" t="n"/>
      <c r="BH14" s="24">
        <f>SUM(BA14:BD14)-SUM(D14:AY14)</f>
        <v/>
      </c>
    </row>
    <row r="15">
      <c r="C15" s="18" t="inlineStr">
        <is>
          <t>Santa Barbara</t>
        </is>
      </c>
      <c r="D15" s="19">
        <f>'Sales Forecast'!D14</f>
        <v/>
      </c>
      <c r="E15" s="19">
        <f>'Sales Forecast'!E14</f>
        <v/>
      </c>
      <c r="F15" s="19">
        <f>'Sales Forecast'!F14</f>
        <v/>
      </c>
      <c r="G15" s="19">
        <f>'Sales Forecast'!G14</f>
        <v/>
      </c>
      <c r="H15" s="19">
        <f>'Sales Forecast'!H14</f>
        <v/>
      </c>
      <c r="I15" s="19">
        <f>'Sales Forecast'!I14</f>
        <v/>
      </c>
      <c r="J15" s="19">
        <f>'Sales Forecast'!J14</f>
        <v/>
      </c>
      <c r="K15" s="19">
        <f>'Sales Forecast'!K14</f>
        <v/>
      </c>
      <c r="L15" s="19">
        <f>'Sales Forecast'!L14</f>
        <v/>
      </c>
      <c r="M15" s="19">
        <f>'Sales Forecast'!M14</f>
        <v/>
      </c>
      <c r="N15" s="19">
        <f>'Sales Forecast'!N14</f>
        <v/>
      </c>
      <c r="O15" s="19">
        <f>'Sales Forecast'!O14</f>
        <v/>
      </c>
      <c r="P15" s="19">
        <f>'Sales Forecast'!P14</f>
        <v/>
      </c>
      <c r="Q15" s="19">
        <f>'Sales Forecast'!Q14</f>
        <v/>
      </c>
      <c r="R15" s="19">
        <f>'Sales Forecast'!R14</f>
        <v/>
      </c>
      <c r="S15" s="19">
        <f>'Sales Forecast'!S14</f>
        <v/>
      </c>
      <c r="T15" s="19">
        <f>'Sales Forecast'!T14</f>
        <v/>
      </c>
      <c r="U15" s="19">
        <f>'Sales Forecast'!U14</f>
        <v/>
      </c>
      <c r="V15" s="20">
        <f>'Sales Forecast'!V14</f>
        <v/>
      </c>
      <c r="W15" s="20">
        <f>'Sales Forecast'!W14</f>
        <v/>
      </c>
      <c r="X15" s="20">
        <f>'Sales Forecast'!X14</f>
        <v/>
      </c>
      <c r="Y15" s="20">
        <f>'Sales Forecast'!Y14</f>
        <v/>
      </c>
      <c r="Z15" s="20">
        <f>'Sales Forecast'!Z14</f>
        <v/>
      </c>
      <c r="AA15" s="20">
        <f>'Sales Forecast'!AA14</f>
        <v/>
      </c>
      <c r="AB15" s="20">
        <f>'Sales Forecast'!AB14</f>
        <v/>
      </c>
      <c r="AC15" s="20">
        <f>'Sales Forecast'!AC14</f>
        <v/>
      </c>
      <c r="AD15" s="20">
        <f>'Sales Forecast'!AD14</f>
        <v/>
      </c>
      <c r="AE15" s="20">
        <f>'Sales Forecast'!AE14</f>
        <v/>
      </c>
      <c r="AF15" s="20">
        <f>'Sales Forecast'!AF14</f>
        <v/>
      </c>
      <c r="AG15" s="20">
        <f>'Sales Forecast'!AG14</f>
        <v/>
      </c>
      <c r="AH15" s="20">
        <f>'Sales Forecast'!AH14</f>
        <v/>
      </c>
      <c r="AI15" s="20">
        <f>'Sales Forecast'!AI14</f>
        <v/>
      </c>
      <c r="AJ15" s="20">
        <f>'Sales Forecast'!AJ14</f>
        <v/>
      </c>
      <c r="AK15" s="20">
        <f>'Sales Forecast'!AK14</f>
        <v/>
      </c>
      <c r="AL15" s="20">
        <f>'Sales Forecast'!AL14</f>
        <v/>
      </c>
      <c r="AM15" s="20">
        <f>'Sales Forecast'!AM14</f>
        <v/>
      </c>
      <c r="AN15" s="20">
        <f>'Sales Forecast'!AN14</f>
        <v/>
      </c>
      <c r="AO15" s="20">
        <f>'Sales Forecast'!AO14</f>
        <v/>
      </c>
      <c r="AP15" s="20">
        <f>'Sales Forecast'!AP14</f>
        <v/>
      </c>
      <c r="AQ15" s="20">
        <f>'Sales Forecast'!AQ14</f>
        <v/>
      </c>
      <c r="AR15" s="20">
        <f>'Sales Forecast'!AR14</f>
        <v/>
      </c>
      <c r="AS15" s="20">
        <f>'Sales Forecast'!AS14</f>
        <v/>
      </c>
      <c r="AT15" s="20">
        <f>'Sales Forecast'!AT14</f>
        <v/>
      </c>
      <c r="AU15" s="20">
        <f>'Sales Forecast'!AU14</f>
        <v/>
      </c>
      <c r="AV15" s="20">
        <f>'Sales Forecast'!AV14</f>
        <v/>
      </c>
      <c r="AW15" s="20">
        <f>'Sales Forecast'!AW14</f>
        <v/>
      </c>
      <c r="AX15" s="20">
        <f>'Sales Forecast'!AX14</f>
        <v/>
      </c>
      <c r="AY15" s="20">
        <f>'Sales Forecast'!AY14</f>
        <v/>
      </c>
      <c r="BA15" s="20">
        <f>SUM(D15:O15)</f>
        <v/>
      </c>
      <c r="BB15" s="20">
        <f>SUM(P15:AA15)</f>
        <v/>
      </c>
      <c r="BC15" s="20">
        <f>SUM(AB15:AM15)</f>
        <v/>
      </c>
      <c r="BD15" s="20">
        <f>SUM(AN15:AY15)</f>
        <v/>
      </c>
      <c r="BF15" s="20">
        <f>SUM(I15:T15)</f>
        <v/>
      </c>
      <c r="BG15" s="253" t="n"/>
      <c r="BH15" s="24">
        <f>SUM(BA15:BD15)-SUM(D15:AY15)</f>
        <v/>
      </c>
    </row>
    <row r="16">
      <c r="C16" s="18" t="inlineStr">
        <is>
          <t>Santa Monica</t>
        </is>
      </c>
      <c r="D16" s="19">
        <f>'Sales Forecast'!D15</f>
        <v/>
      </c>
      <c r="E16" s="19">
        <f>'Sales Forecast'!E15</f>
        <v/>
      </c>
      <c r="F16" s="19">
        <f>'Sales Forecast'!F15</f>
        <v/>
      </c>
      <c r="G16" s="19">
        <f>'Sales Forecast'!G15</f>
        <v/>
      </c>
      <c r="H16" s="19">
        <f>'Sales Forecast'!H15</f>
        <v/>
      </c>
      <c r="I16" s="19">
        <f>'Sales Forecast'!I15</f>
        <v/>
      </c>
      <c r="J16" s="19">
        <f>'Sales Forecast'!J15</f>
        <v/>
      </c>
      <c r="K16" s="19">
        <f>'Sales Forecast'!K15</f>
        <v/>
      </c>
      <c r="L16" s="19">
        <f>'Sales Forecast'!L15</f>
        <v/>
      </c>
      <c r="M16" s="19">
        <f>'Sales Forecast'!M15</f>
        <v/>
      </c>
      <c r="N16" s="19">
        <f>'Sales Forecast'!N15</f>
        <v/>
      </c>
      <c r="O16" s="19">
        <f>'Sales Forecast'!O15</f>
        <v/>
      </c>
      <c r="P16" s="19">
        <f>'Sales Forecast'!P15</f>
        <v/>
      </c>
      <c r="Q16" s="19">
        <f>'Sales Forecast'!Q15</f>
        <v/>
      </c>
      <c r="R16" s="19">
        <f>'Sales Forecast'!R15</f>
        <v/>
      </c>
      <c r="S16" s="19">
        <f>'Sales Forecast'!S15</f>
        <v/>
      </c>
      <c r="T16" s="19">
        <f>'Sales Forecast'!T15</f>
        <v/>
      </c>
      <c r="U16" s="19">
        <f>'Sales Forecast'!U15</f>
        <v/>
      </c>
      <c r="V16" s="20">
        <f>'Sales Forecast'!V15</f>
        <v/>
      </c>
      <c r="W16" s="20">
        <f>'Sales Forecast'!W15</f>
        <v/>
      </c>
      <c r="X16" s="20">
        <f>'Sales Forecast'!X15</f>
        <v/>
      </c>
      <c r="Y16" s="20">
        <f>'Sales Forecast'!Y15</f>
        <v/>
      </c>
      <c r="Z16" s="20">
        <f>'Sales Forecast'!Z15</f>
        <v/>
      </c>
      <c r="AA16" s="20">
        <f>'Sales Forecast'!AA15</f>
        <v/>
      </c>
      <c r="AB16" s="20">
        <f>'Sales Forecast'!AB15</f>
        <v/>
      </c>
      <c r="AC16" s="20">
        <f>'Sales Forecast'!AC15</f>
        <v/>
      </c>
      <c r="AD16" s="20">
        <f>'Sales Forecast'!AD15</f>
        <v/>
      </c>
      <c r="AE16" s="20">
        <f>'Sales Forecast'!AE15</f>
        <v/>
      </c>
      <c r="AF16" s="20">
        <f>'Sales Forecast'!AF15</f>
        <v/>
      </c>
      <c r="AG16" s="20">
        <f>'Sales Forecast'!AG15</f>
        <v/>
      </c>
      <c r="AH16" s="20">
        <f>'Sales Forecast'!AH15</f>
        <v/>
      </c>
      <c r="AI16" s="20">
        <f>'Sales Forecast'!AI15</f>
        <v/>
      </c>
      <c r="AJ16" s="20">
        <f>'Sales Forecast'!AJ15</f>
        <v/>
      </c>
      <c r="AK16" s="20">
        <f>'Sales Forecast'!AK15</f>
        <v/>
      </c>
      <c r="AL16" s="20">
        <f>'Sales Forecast'!AL15</f>
        <v/>
      </c>
      <c r="AM16" s="20">
        <f>'Sales Forecast'!AM15</f>
        <v/>
      </c>
      <c r="AN16" s="20">
        <f>'Sales Forecast'!AN15</f>
        <v/>
      </c>
      <c r="AO16" s="20">
        <f>'Sales Forecast'!AO15</f>
        <v/>
      </c>
      <c r="AP16" s="20">
        <f>'Sales Forecast'!AP15</f>
        <v/>
      </c>
      <c r="AQ16" s="20">
        <f>'Sales Forecast'!AQ15</f>
        <v/>
      </c>
      <c r="AR16" s="20">
        <f>'Sales Forecast'!AR15</f>
        <v/>
      </c>
      <c r="AS16" s="20">
        <f>'Sales Forecast'!AS15</f>
        <v/>
      </c>
      <c r="AT16" s="20">
        <f>'Sales Forecast'!AT15</f>
        <v/>
      </c>
      <c r="AU16" s="20">
        <f>'Sales Forecast'!AU15</f>
        <v/>
      </c>
      <c r="AV16" s="20">
        <f>'Sales Forecast'!AV15</f>
        <v/>
      </c>
      <c r="AW16" s="20">
        <f>'Sales Forecast'!AW15</f>
        <v/>
      </c>
      <c r="AX16" s="20">
        <f>'Sales Forecast'!AX15</f>
        <v/>
      </c>
      <c r="AY16" s="20">
        <f>'Sales Forecast'!AY15</f>
        <v/>
      </c>
      <c r="BA16" s="20">
        <f>SUM(D16:O16)</f>
        <v/>
      </c>
      <c r="BB16" s="20">
        <f>SUM(P16:AA16)</f>
        <v/>
      </c>
      <c r="BC16" s="20">
        <f>SUM(AB16:AM16)</f>
        <v/>
      </c>
      <c r="BD16" s="20">
        <f>SUM(AN16:AY16)</f>
        <v/>
      </c>
      <c r="BF16" s="20">
        <f>SUM(I16:T16)</f>
        <v/>
      </c>
      <c r="BG16" s="253" t="n"/>
      <c r="BH16" s="24">
        <f>SUM(BA16:BD16)-SUM(D16:AY16)</f>
        <v/>
      </c>
    </row>
    <row r="17">
      <c r="C17" s="18" t="inlineStr">
        <is>
          <t>West Portal</t>
        </is>
      </c>
      <c r="D17" s="19">
        <f>'Sales Forecast'!D16</f>
        <v/>
      </c>
      <c r="E17" s="19">
        <f>'Sales Forecast'!E16</f>
        <v/>
      </c>
      <c r="F17" s="19">
        <f>'Sales Forecast'!F16</f>
        <v/>
      </c>
      <c r="G17" s="19">
        <f>'Sales Forecast'!G16</f>
        <v/>
      </c>
      <c r="H17" s="19">
        <f>'Sales Forecast'!H16</f>
        <v/>
      </c>
      <c r="I17" s="19">
        <f>'Sales Forecast'!I16</f>
        <v/>
      </c>
      <c r="J17" s="19">
        <f>'Sales Forecast'!J16</f>
        <v/>
      </c>
      <c r="K17" s="19">
        <f>'Sales Forecast'!K16</f>
        <v/>
      </c>
      <c r="L17" s="19">
        <f>'Sales Forecast'!L16</f>
        <v/>
      </c>
      <c r="M17" s="19">
        <f>'Sales Forecast'!M16</f>
        <v/>
      </c>
      <c r="N17" s="19">
        <f>'Sales Forecast'!N16</f>
        <v/>
      </c>
      <c r="O17" s="19">
        <f>'Sales Forecast'!O16</f>
        <v/>
      </c>
      <c r="P17" s="19">
        <f>'Sales Forecast'!P16</f>
        <v/>
      </c>
      <c r="Q17" s="19">
        <f>'Sales Forecast'!Q16</f>
        <v/>
      </c>
      <c r="R17" s="19">
        <f>'Sales Forecast'!R16</f>
        <v/>
      </c>
      <c r="S17" s="19">
        <f>'Sales Forecast'!S16</f>
        <v/>
      </c>
      <c r="T17" s="19">
        <f>'Sales Forecast'!T16</f>
        <v/>
      </c>
      <c r="U17" s="19">
        <f>'Sales Forecast'!U16</f>
        <v/>
      </c>
      <c r="V17" s="20">
        <f>'Sales Forecast'!V16</f>
        <v/>
      </c>
      <c r="W17" s="20">
        <f>'Sales Forecast'!W16</f>
        <v/>
      </c>
      <c r="X17" s="20">
        <f>'Sales Forecast'!X16</f>
        <v/>
      </c>
      <c r="Y17" s="20">
        <f>'Sales Forecast'!Y16</f>
        <v/>
      </c>
      <c r="Z17" s="20">
        <f>'Sales Forecast'!Z16</f>
        <v/>
      </c>
      <c r="AA17" s="20">
        <f>'Sales Forecast'!AA16</f>
        <v/>
      </c>
      <c r="AB17" s="20">
        <f>'Sales Forecast'!AB16</f>
        <v/>
      </c>
      <c r="AC17" s="20">
        <f>'Sales Forecast'!AC16</f>
        <v/>
      </c>
      <c r="AD17" s="20">
        <f>'Sales Forecast'!AD16</f>
        <v/>
      </c>
      <c r="AE17" s="20">
        <f>'Sales Forecast'!AE16</f>
        <v/>
      </c>
      <c r="AF17" s="20">
        <f>'Sales Forecast'!AF16</f>
        <v/>
      </c>
      <c r="AG17" s="20">
        <f>'Sales Forecast'!AG16</f>
        <v/>
      </c>
      <c r="AH17" s="20">
        <f>'Sales Forecast'!AH16</f>
        <v/>
      </c>
      <c r="AI17" s="20">
        <f>'Sales Forecast'!AI16</f>
        <v/>
      </c>
      <c r="AJ17" s="20">
        <f>'Sales Forecast'!AJ16</f>
        <v/>
      </c>
      <c r="AK17" s="20">
        <f>'Sales Forecast'!AK16</f>
        <v/>
      </c>
      <c r="AL17" s="20">
        <f>'Sales Forecast'!AL16</f>
        <v/>
      </c>
      <c r="AM17" s="20">
        <f>'Sales Forecast'!AM16</f>
        <v/>
      </c>
      <c r="AN17" s="20">
        <f>'Sales Forecast'!AN16</f>
        <v/>
      </c>
      <c r="AO17" s="20">
        <f>'Sales Forecast'!AO16</f>
        <v/>
      </c>
      <c r="AP17" s="20">
        <f>'Sales Forecast'!AP16</f>
        <v/>
      </c>
      <c r="AQ17" s="20">
        <f>'Sales Forecast'!AQ16</f>
        <v/>
      </c>
      <c r="AR17" s="20">
        <f>'Sales Forecast'!AR16</f>
        <v/>
      </c>
      <c r="AS17" s="20">
        <f>'Sales Forecast'!AS16</f>
        <v/>
      </c>
      <c r="AT17" s="20">
        <f>'Sales Forecast'!AT16</f>
        <v/>
      </c>
      <c r="AU17" s="20">
        <f>'Sales Forecast'!AU16</f>
        <v/>
      </c>
      <c r="AV17" s="20">
        <f>'Sales Forecast'!AV16</f>
        <v/>
      </c>
      <c r="AW17" s="20">
        <f>'Sales Forecast'!AW16</f>
        <v/>
      </c>
      <c r="AX17" s="20">
        <f>'Sales Forecast'!AX16</f>
        <v/>
      </c>
      <c r="AY17" s="20">
        <f>'Sales Forecast'!AY16</f>
        <v/>
      </c>
      <c r="BA17" s="20">
        <f>SUM(D17:O17)</f>
        <v/>
      </c>
      <c r="BB17" s="20">
        <f>SUM(P17:AA17)</f>
        <v/>
      </c>
      <c r="BC17" s="20">
        <f>SUM(AB17:AM17)</f>
        <v/>
      </c>
      <c r="BD17" s="20">
        <f>SUM(AN17:AY17)</f>
        <v/>
      </c>
      <c r="BF17" s="20">
        <f>SUM(I17:T17)</f>
        <v/>
      </c>
      <c r="BG17" s="253" t="n"/>
      <c r="BH17" s="24">
        <f>SUM(BA17:BD17)-SUM(D17:AY17)</f>
        <v/>
      </c>
    </row>
    <row r="18">
      <c r="C18" s="18" t="inlineStr">
        <is>
          <t>Westwood</t>
        </is>
      </c>
      <c r="D18" s="19">
        <f>'Sales Forecast'!D17</f>
        <v/>
      </c>
      <c r="E18" s="19">
        <f>'Sales Forecast'!E17</f>
        <v/>
      </c>
      <c r="F18" s="19">
        <f>'Sales Forecast'!F17</f>
        <v/>
      </c>
      <c r="G18" s="19">
        <f>'Sales Forecast'!G17</f>
        <v/>
      </c>
      <c r="H18" s="19">
        <f>'Sales Forecast'!H17</f>
        <v/>
      </c>
      <c r="I18" s="19">
        <f>'Sales Forecast'!I17</f>
        <v/>
      </c>
      <c r="J18" s="19">
        <f>'Sales Forecast'!J17</f>
        <v/>
      </c>
      <c r="K18" s="19">
        <f>'Sales Forecast'!K17</f>
        <v/>
      </c>
      <c r="L18" s="19">
        <f>'Sales Forecast'!L17</f>
        <v/>
      </c>
      <c r="M18" s="19">
        <f>'Sales Forecast'!M17</f>
        <v/>
      </c>
      <c r="N18" s="19">
        <f>'Sales Forecast'!N17</f>
        <v/>
      </c>
      <c r="O18" s="19">
        <f>'Sales Forecast'!O17</f>
        <v/>
      </c>
      <c r="P18" s="19">
        <f>'Sales Forecast'!P17</f>
        <v/>
      </c>
      <c r="Q18" s="19">
        <f>'Sales Forecast'!Q17</f>
        <v/>
      </c>
      <c r="R18" s="19">
        <f>'Sales Forecast'!R17</f>
        <v/>
      </c>
      <c r="S18" s="19">
        <f>'Sales Forecast'!S17</f>
        <v/>
      </c>
      <c r="T18" s="19">
        <f>'Sales Forecast'!T17</f>
        <v/>
      </c>
      <c r="U18" s="19">
        <f>'Sales Forecast'!U17</f>
        <v/>
      </c>
      <c r="V18" s="20">
        <f>'Sales Forecast'!V17</f>
        <v/>
      </c>
      <c r="W18" s="20">
        <f>'Sales Forecast'!W17</f>
        <v/>
      </c>
      <c r="X18" s="20">
        <f>'Sales Forecast'!X17</f>
        <v/>
      </c>
      <c r="Y18" s="20">
        <f>'Sales Forecast'!Y17</f>
        <v/>
      </c>
      <c r="Z18" s="20">
        <f>'Sales Forecast'!Z17</f>
        <v/>
      </c>
      <c r="AA18" s="20">
        <f>'Sales Forecast'!AA17</f>
        <v/>
      </c>
      <c r="AB18" s="20">
        <f>'Sales Forecast'!AB17</f>
        <v/>
      </c>
      <c r="AC18" s="20">
        <f>'Sales Forecast'!AC17</f>
        <v/>
      </c>
      <c r="AD18" s="20">
        <f>'Sales Forecast'!AD17</f>
        <v/>
      </c>
      <c r="AE18" s="20">
        <f>'Sales Forecast'!AE17</f>
        <v/>
      </c>
      <c r="AF18" s="20">
        <f>'Sales Forecast'!AF17</f>
        <v/>
      </c>
      <c r="AG18" s="20">
        <f>'Sales Forecast'!AG17</f>
        <v/>
      </c>
      <c r="AH18" s="20">
        <f>'Sales Forecast'!AH17</f>
        <v/>
      </c>
      <c r="AI18" s="20">
        <f>'Sales Forecast'!AI17</f>
        <v/>
      </c>
      <c r="AJ18" s="20">
        <f>'Sales Forecast'!AJ17</f>
        <v/>
      </c>
      <c r="AK18" s="20">
        <f>'Sales Forecast'!AK17</f>
        <v/>
      </c>
      <c r="AL18" s="20">
        <f>'Sales Forecast'!AL17</f>
        <v/>
      </c>
      <c r="AM18" s="20">
        <f>'Sales Forecast'!AM17</f>
        <v/>
      </c>
      <c r="AN18" s="20">
        <f>'Sales Forecast'!AN17</f>
        <v/>
      </c>
      <c r="AO18" s="20">
        <f>'Sales Forecast'!AO17</f>
        <v/>
      </c>
      <c r="AP18" s="20">
        <f>'Sales Forecast'!AP17</f>
        <v/>
      </c>
      <c r="AQ18" s="20">
        <f>'Sales Forecast'!AQ17</f>
        <v/>
      </c>
      <c r="AR18" s="20">
        <f>'Sales Forecast'!AR17</f>
        <v/>
      </c>
      <c r="AS18" s="20">
        <f>'Sales Forecast'!AS17</f>
        <v/>
      </c>
      <c r="AT18" s="20">
        <f>'Sales Forecast'!AT17</f>
        <v/>
      </c>
      <c r="AU18" s="20">
        <f>'Sales Forecast'!AU17</f>
        <v/>
      </c>
      <c r="AV18" s="20">
        <f>'Sales Forecast'!AV17</f>
        <v/>
      </c>
      <c r="AW18" s="20">
        <f>'Sales Forecast'!AW17</f>
        <v/>
      </c>
      <c r="AX18" s="20">
        <f>'Sales Forecast'!AX17</f>
        <v/>
      </c>
      <c r="AY18" s="20">
        <f>'Sales Forecast'!AY17</f>
        <v/>
      </c>
      <c r="BA18" s="20">
        <f>SUM(D18:O18)</f>
        <v/>
      </c>
      <c r="BB18" s="20">
        <f>SUM(P18:AA18)</f>
        <v/>
      </c>
      <c r="BC18" s="20">
        <f>SUM(AB18:AM18)</f>
        <v/>
      </c>
      <c r="BD18" s="20">
        <f>SUM(AN18:AY18)</f>
        <v/>
      </c>
      <c r="BF18" s="20">
        <f>SUM(I18:T18)</f>
        <v/>
      </c>
      <c r="BG18" s="253" t="n"/>
      <c r="BH18" s="24">
        <f>SUM(BA18:BD18)-SUM(D18:AY18)</f>
        <v/>
      </c>
    </row>
    <row r="19">
      <c r="C19" s="116" t="inlineStr">
        <is>
          <t>New Location (Prototype Build)</t>
        </is>
      </c>
      <c r="D19" s="114" t="n"/>
      <c r="E19" s="114" t="n"/>
      <c r="F19" s="114" t="n"/>
      <c r="G19" s="114" t="n"/>
      <c r="H19" s="114" t="n"/>
      <c r="I19" s="114" t="n"/>
      <c r="J19" s="114" t="n"/>
      <c r="K19" s="114" t="n"/>
      <c r="L19" s="114" t="n"/>
      <c r="M19" s="114" t="n"/>
      <c r="N19" s="114" t="n"/>
      <c r="O19" s="114" t="n"/>
      <c r="P19" s="114" t="n"/>
      <c r="Q19" s="114" t="n"/>
      <c r="R19" s="114" t="n"/>
      <c r="S19" s="114" t="n"/>
      <c r="T19" s="114" t="n"/>
      <c r="U19" s="114" t="n"/>
      <c r="V19" s="254" t="n"/>
      <c r="W19" s="254" t="n"/>
      <c r="X19" s="254" t="n"/>
      <c r="Y19" s="254" t="n"/>
      <c r="Z19" s="254" t="n"/>
      <c r="AA19" s="254" t="n"/>
      <c r="AB19" s="255">
        <f>Prototype!B35</f>
        <v/>
      </c>
      <c r="AC19" s="255">
        <f>Prototype!C35</f>
        <v/>
      </c>
      <c r="AD19" s="255">
        <f>Prototype!D35</f>
        <v/>
      </c>
      <c r="AE19" s="255">
        <f>Prototype!E35</f>
        <v/>
      </c>
      <c r="AF19" s="255">
        <f>Prototype!F35</f>
        <v/>
      </c>
      <c r="AG19" s="255">
        <f>Prototype!G35</f>
        <v/>
      </c>
      <c r="AH19" s="255">
        <f>Prototype!H35</f>
        <v/>
      </c>
      <c r="AI19" s="255">
        <f>Prototype!I35</f>
        <v/>
      </c>
      <c r="AJ19" s="255">
        <f>Prototype!J35</f>
        <v/>
      </c>
      <c r="AK19" s="255">
        <f>Prototype!K35</f>
        <v/>
      </c>
      <c r="AL19" s="255">
        <f>Prototype!L35</f>
        <v/>
      </c>
      <c r="AM19" s="255">
        <f>Prototype!M35</f>
        <v/>
      </c>
      <c r="AN19" s="255">
        <f>Prototype!N35</f>
        <v/>
      </c>
      <c r="AO19" s="255">
        <f>Prototype!O35</f>
        <v/>
      </c>
      <c r="AP19" s="255">
        <f>Prototype!P35</f>
        <v/>
      </c>
      <c r="AQ19" s="255">
        <f>Prototype!Q35</f>
        <v/>
      </c>
      <c r="AR19" s="255">
        <f>Prototype!R35</f>
        <v/>
      </c>
      <c r="AS19" s="255">
        <f>Prototype!S35</f>
        <v/>
      </c>
      <c r="AT19" s="255">
        <f>Prototype!T35</f>
        <v/>
      </c>
      <c r="AU19" s="255">
        <f>Prototype!U35</f>
        <v/>
      </c>
      <c r="AV19" s="255">
        <f>Prototype!V35</f>
        <v/>
      </c>
      <c r="AW19" s="255">
        <f>Prototype!W35</f>
        <v/>
      </c>
      <c r="AX19" s="255">
        <f>Prototype!X35</f>
        <v/>
      </c>
      <c r="AY19" s="255">
        <f>Prototype!Y35</f>
        <v/>
      </c>
      <c r="BA19" s="20">
        <f>SUM(D19:O19)</f>
        <v/>
      </c>
      <c r="BB19" s="20">
        <f>SUM(P19:AA19)</f>
        <v/>
      </c>
      <c r="BC19" s="20">
        <f>SUM(AB19:AM19)</f>
        <v/>
      </c>
      <c r="BD19" s="20">
        <f>SUM(AN19:AY19)</f>
        <v/>
      </c>
      <c r="BF19" s="20">
        <f>SUM(I19:T19)</f>
        <v/>
      </c>
      <c r="BG19" s="253" t="n"/>
      <c r="BH19" s="24" t="n"/>
    </row>
    <row r="20">
      <c r="C20" s="39" t="inlineStr">
        <is>
          <t>Head Office</t>
        </is>
      </c>
      <c r="D20" s="40" t="n">
        <v>0</v>
      </c>
      <c r="E20" s="40" t="n">
        <v>0</v>
      </c>
      <c r="F20" s="40" t="n">
        <v>0</v>
      </c>
      <c r="G20" s="40" t="n">
        <v>0</v>
      </c>
      <c r="H20" s="40" t="n">
        <v>0</v>
      </c>
      <c r="I20" s="40" t="n">
        <v>0</v>
      </c>
      <c r="J20" s="40" t="n">
        <v>0</v>
      </c>
      <c r="K20" s="40" t="n">
        <v>0</v>
      </c>
      <c r="L20" s="40" t="n">
        <v>0</v>
      </c>
      <c r="M20" s="40" t="n">
        <v>0</v>
      </c>
      <c r="N20" s="40" t="n">
        <v>0</v>
      </c>
      <c r="O20" s="40" t="n">
        <v>0</v>
      </c>
      <c r="P20" s="40" t="n">
        <v>0</v>
      </c>
      <c r="Q20" s="40" t="n">
        <v>0</v>
      </c>
      <c r="R20" s="40" t="n">
        <v>0</v>
      </c>
      <c r="S20" s="40" t="n">
        <v>0</v>
      </c>
      <c r="T20" s="40" t="n">
        <v>0</v>
      </c>
      <c r="U20" s="40" t="n">
        <v>0</v>
      </c>
      <c r="V20" s="41" t="n">
        <v>0</v>
      </c>
      <c r="W20" s="41" t="n">
        <v>0</v>
      </c>
      <c r="X20" s="41" t="n">
        <v>0</v>
      </c>
      <c r="Y20" s="41" t="n">
        <v>0</v>
      </c>
      <c r="Z20" s="41" t="n">
        <v>0</v>
      </c>
      <c r="AA20" s="41" t="n">
        <v>0</v>
      </c>
      <c r="AB20" s="41" t="n">
        <v>0</v>
      </c>
      <c r="AC20" s="41" t="n">
        <v>0</v>
      </c>
      <c r="AD20" s="41" t="n">
        <v>0</v>
      </c>
      <c r="AE20" s="41" t="n">
        <v>0</v>
      </c>
      <c r="AF20" s="41" t="n">
        <v>0</v>
      </c>
      <c r="AG20" s="41" t="n">
        <v>0</v>
      </c>
      <c r="AH20" s="41" t="n">
        <v>0</v>
      </c>
      <c r="AI20" s="41" t="n">
        <v>0</v>
      </c>
      <c r="AJ20" s="41" t="n">
        <v>0</v>
      </c>
      <c r="AK20" s="41" t="n">
        <v>0</v>
      </c>
      <c r="AL20" s="41" t="n">
        <v>0</v>
      </c>
      <c r="AM20" s="41" t="n">
        <v>0</v>
      </c>
      <c r="AN20" s="41" t="n">
        <v>0</v>
      </c>
      <c r="AO20" s="41" t="n">
        <v>0</v>
      </c>
      <c r="AP20" s="41" t="n">
        <v>0</v>
      </c>
      <c r="AQ20" s="41" t="n">
        <v>0</v>
      </c>
      <c r="AR20" s="41" t="n">
        <v>0</v>
      </c>
      <c r="AS20" s="41" t="n">
        <v>0</v>
      </c>
      <c r="AT20" s="41" t="n">
        <v>0</v>
      </c>
      <c r="AU20" s="41" t="n">
        <v>0</v>
      </c>
      <c r="AV20" s="41" t="n">
        <v>0</v>
      </c>
      <c r="AW20" s="41" t="n">
        <v>0</v>
      </c>
      <c r="AX20" s="41" t="n">
        <v>0</v>
      </c>
      <c r="AY20" s="41" t="n">
        <v>0</v>
      </c>
      <c r="BA20" s="41">
        <f>SUM(D20:O20)</f>
        <v/>
      </c>
      <c r="BB20" s="41">
        <f>SUM(P20:AA20)</f>
        <v/>
      </c>
      <c r="BC20" s="41">
        <f>SUM(AB20:AM20)</f>
        <v/>
      </c>
      <c r="BD20" s="41">
        <f>SUM(AN20:AY20)</f>
        <v/>
      </c>
      <c r="BF20" s="41">
        <f>SUM(I20:T20)</f>
        <v/>
      </c>
      <c r="BG20" s="253" t="n"/>
      <c r="BH20" s="24">
        <f>SUM(BA20:BD20)-SUM(D20:AY20)</f>
        <v/>
      </c>
    </row>
    <row r="21" ht="16" customHeight="1" s="282"/>
    <row r="22" ht="16" customHeight="1" s="282">
      <c r="B22" s="10" t="inlineStr">
        <is>
          <t>Monthly EBITDA by Studio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301" t="n"/>
      <c r="Q22" s="301" t="n"/>
      <c r="R22" s="301" t="n"/>
      <c r="S22" s="301" t="n"/>
      <c r="T22" s="301" t="n"/>
      <c r="U22" s="30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  <c r="BA22" s="11" t="n"/>
      <c r="BB22" s="11" t="n"/>
      <c r="BC22" s="11" t="n"/>
      <c r="BD22" s="11" t="n"/>
      <c r="BF22" s="11" t="n"/>
    </row>
    <row r="23">
      <c r="B23" s="15" t="inlineStr">
        <is>
          <t>Total EBITDA</t>
        </is>
      </c>
      <c r="D23" s="16">
        <f>SUM(D24:D37)</f>
        <v/>
      </c>
      <c r="E23" s="16">
        <f>SUM(E24:E37)</f>
        <v/>
      </c>
      <c r="F23" s="16">
        <f>SUM(F24:F37)</f>
        <v/>
      </c>
      <c r="G23" s="16">
        <f>SUM(G24:G37)</f>
        <v/>
      </c>
      <c r="H23" s="16">
        <f>SUM(H24:H37)</f>
        <v/>
      </c>
      <c r="I23" s="16">
        <f>SUM(I24:I37)</f>
        <v/>
      </c>
      <c r="J23" s="16">
        <f>SUM(J24:J37)</f>
        <v/>
      </c>
      <c r="K23" s="16">
        <f>SUM(K24:K37)</f>
        <v/>
      </c>
      <c r="L23" s="16">
        <f>SUM(L24:L37)</f>
        <v/>
      </c>
      <c r="M23" s="16">
        <f>SUM(M24:M37)</f>
        <v/>
      </c>
      <c r="N23" s="16">
        <f>SUM(N24:N37)</f>
        <v/>
      </c>
      <c r="O23" s="16">
        <f>SUM(O24:O37)</f>
        <v/>
      </c>
      <c r="P23" s="16">
        <f>SUM(P24:P37)</f>
        <v/>
      </c>
      <c r="Q23" s="16">
        <f>SUM(Q24:Q37)</f>
        <v/>
      </c>
      <c r="R23" s="16">
        <f>SUM(R24:R37)</f>
        <v/>
      </c>
      <c r="S23" s="16">
        <f>SUM(S24:S37)</f>
        <v/>
      </c>
      <c r="T23" s="16">
        <f>SUM(T24:T37)</f>
        <v/>
      </c>
      <c r="U23" s="16">
        <f>SUM(U24:U37)</f>
        <v/>
      </c>
      <c r="V23" s="17">
        <f>SUM(V24:V37)</f>
        <v/>
      </c>
      <c r="W23" s="17">
        <f>SUM(W24:W37)</f>
        <v/>
      </c>
      <c r="X23" s="17">
        <f>SUM(X24:X37)</f>
        <v/>
      </c>
      <c r="Y23" s="17">
        <f>SUM(Y24:Y37)</f>
        <v/>
      </c>
      <c r="Z23" s="17">
        <f>SUM(Z24:Z37)</f>
        <v/>
      </c>
      <c r="AA23" s="17">
        <f>SUM(AA24:AA37)</f>
        <v/>
      </c>
      <c r="AB23" s="17">
        <f>SUM(AB24:AB37)</f>
        <v/>
      </c>
      <c r="AC23" s="17">
        <f>SUM(AC24:AC37)</f>
        <v/>
      </c>
      <c r="AD23" s="17">
        <f>SUM(AD24:AD37)</f>
        <v/>
      </c>
      <c r="AE23" s="17">
        <f>SUM(AE24:AE37)</f>
        <v/>
      </c>
      <c r="AF23" s="17">
        <f>SUM(AF24:AF37)</f>
        <v/>
      </c>
      <c r="AG23" s="17">
        <f>SUM(AG24:AG37)</f>
        <v/>
      </c>
      <c r="AH23" s="17">
        <f>SUM(AH24:AH37)</f>
        <v/>
      </c>
      <c r="AI23" s="17">
        <f>SUM(AI24:AI37)</f>
        <v/>
      </c>
      <c r="AJ23" s="17">
        <f>SUM(AJ24:AJ37)</f>
        <v/>
      </c>
      <c r="AK23" s="17">
        <f>SUM(AK24:AK37)</f>
        <v/>
      </c>
      <c r="AL23" s="17">
        <f>SUM(AL24:AL37)</f>
        <v/>
      </c>
      <c r="AM23" s="17">
        <f>SUM(AM24:AM37)</f>
        <v/>
      </c>
      <c r="AN23" s="17">
        <f>SUM(AN24:AN37)</f>
        <v/>
      </c>
      <c r="AO23" s="17">
        <f>SUM(AO24:AO37)</f>
        <v/>
      </c>
      <c r="AP23" s="17">
        <f>SUM(AP24:AP37)</f>
        <v/>
      </c>
      <c r="AQ23" s="17">
        <f>SUM(AQ24:AQ37)</f>
        <v/>
      </c>
      <c r="AR23" s="17">
        <f>SUM(AR24:AR37)</f>
        <v/>
      </c>
      <c r="AS23" s="17">
        <f>SUM(AS24:AS37)</f>
        <v/>
      </c>
      <c r="AT23" s="17">
        <f>SUM(AT24:AT37)</f>
        <v/>
      </c>
      <c r="AU23" s="17">
        <f>SUM(AU24:AU37)</f>
        <v/>
      </c>
      <c r="AV23" s="17">
        <f>SUM(AV24:AV37)</f>
        <v/>
      </c>
      <c r="AW23" s="17">
        <f>SUM(AW24:AW37)</f>
        <v/>
      </c>
      <c r="AX23" s="17">
        <f>SUM(AX24:AX37)</f>
        <v/>
      </c>
      <c r="AY23" s="17">
        <f>SUM(AY24:AY37)</f>
        <v/>
      </c>
      <c r="BA23" s="17">
        <f>SUM(D23:O23)</f>
        <v/>
      </c>
      <c r="BB23" s="17">
        <f>SUM(P23:AA23)</f>
        <v/>
      </c>
      <c r="BC23" s="17">
        <f>SUM(AB23:AM23)</f>
        <v/>
      </c>
      <c r="BD23" s="17">
        <f>SUM(AN23:AY23)</f>
        <v/>
      </c>
      <c r="BF23" s="17">
        <f>SUM(I23:T23)</f>
        <v/>
      </c>
      <c r="BH23" s="24">
        <f>SUM(BA23:BD23)-SUM(D23:AY23)</f>
        <v/>
      </c>
    </row>
    <row r="24">
      <c r="C24" s="18" t="inlineStr">
        <is>
          <t>Berkeley</t>
        </is>
      </c>
      <c r="D24" s="19">
        <f>'BK P&amp;L'!D64</f>
        <v/>
      </c>
      <c r="E24" s="19">
        <f>'BK P&amp;L'!E64</f>
        <v/>
      </c>
      <c r="F24" s="19">
        <f>'BK P&amp;L'!F64</f>
        <v/>
      </c>
      <c r="G24" s="19">
        <f>'BK P&amp;L'!G64</f>
        <v/>
      </c>
      <c r="H24" s="19">
        <f>'BK P&amp;L'!H64</f>
        <v/>
      </c>
      <c r="I24" s="19">
        <f>'BK P&amp;L'!I64</f>
        <v/>
      </c>
      <c r="J24" s="19">
        <f>'BK P&amp;L'!J64</f>
        <v/>
      </c>
      <c r="K24" s="19">
        <f>'BK P&amp;L'!K64</f>
        <v/>
      </c>
      <c r="L24" s="19">
        <f>'BK P&amp;L'!L64</f>
        <v/>
      </c>
      <c r="M24" s="19">
        <f>'BK P&amp;L'!M64</f>
        <v/>
      </c>
      <c r="N24" s="19">
        <f>'BK P&amp;L'!N64</f>
        <v/>
      </c>
      <c r="O24" s="19">
        <f>'BK P&amp;L'!O64</f>
        <v/>
      </c>
      <c r="P24" s="19">
        <f>'BK P&amp;L'!P64</f>
        <v/>
      </c>
      <c r="Q24" s="19">
        <f>'BK P&amp;L'!Q64</f>
        <v/>
      </c>
      <c r="R24" s="19">
        <f>'BK P&amp;L'!R64</f>
        <v/>
      </c>
      <c r="S24" s="19">
        <f>'BK P&amp;L'!S64</f>
        <v/>
      </c>
      <c r="T24" s="19">
        <f>'BK P&amp;L'!T64</f>
        <v/>
      </c>
      <c r="U24" s="19">
        <f>'BK P&amp;L'!U64</f>
        <v/>
      </c>
      <c r="V24" s="20">
        <f>'BK P&amp;L'!V64</f>
        <v/>
      </c>
      <c r="W24" s="20">
        <f>'BK P&amp;L'!W64</f>
        <v/>
      </c>
      <c r="X24" s="20">
        <f>'BK P&amp;L'!X64</f>
        <v/>
      </c>
      <c r="Y24" s="20">
        <f>'BK P&amp;L'!Y64</f>
        <v/>
      </c>
      <c r="Z24" s="20">
        <f>'BK P&amp;L'!Z64</f>
        <v/>
      </c>
      <c r="AA24" s="20">
        <f>'BK P&amp;L'!AA64</f>
        <v/>
      </c>
      <c r="AB24" s="20">
        <f>'BK P&amp;L'!AB64</f>
        <v/>
      </c>
      <c r="AC24" s="20">
        <f>'BK P&amp;L'!AC64</f>
        <v/>
      </c>
      <c r="AD24" s="20">
        <f>'BK P&amp;L'!AD64</f>
        <v/>
      </c>
      <c r="AE24" s="20">
        <f>'BK P&amp;L'!AE64</f>
        <v/>
      </c>
      <c r="AF24" s="20">
        <f>'BK P&amp;L'!AF64</f>
        <v/>
      </c>
      <c r="AG24" s="20">
        <f>'BK P&amp;L'!AG64</f>
        <v/>
      </c>
      <c r="AH24" s="20">
        <f>'BK P&amp;L'!AH64</f>
        <v/>
      </c>
      <c r="AI24" s="20">
        <f>'BK P&amp;L'!AI64</f>
        <v/>
      </c>
      <c r="AJ24" s="20">
        <f>'BK P&amp;L'!AJ64</f>
        <v/>
      </c>
      <c r="AK24" s="20">
        <f>'BK P&amp;L'!AK64</f>
        <v/>
      </c>
      <c r="AL24" s="20">
        <f>'BK P&amp;L'!AL64</f>
        <v/>
      </c>
      <c r="AM24" s="20">
        <f>'BK P&amp;L'!AM64</f>
        <v/>
      </c>
      <c r="AN24" s="20">
        <f>'BK P&amp;L'!AN64</f>
        <v/>
      </c>
      <c r="AO24" s="20">
        <f>'BK P&amp;L'!AO64</f>
        <v/>
      </c>
      <c r="AP24" s="20">
        <f>'BK P&amp;L'!AP64</f>
        <v/>
      </c>
      <c r="AQ24" s="20">
        <f>'BK P&amp;L'!AQ64</f>
        <v/>
      </c>
      <c r="AR24" s="20">
        <f>'BK P&amp;L'!AR64</f>
        <v/>
      </c>
      <c r="AS24" s="20">
        <f>'BK P&amp;L'!AS64</f>
        <v/>
      </c>
      <c r="AT24" s="20">
        <f>'BK P&amp;L'!AT64</f>
        <v/>
      </c>
      <c r="AU24" s="20">
        <f>'BK P&amp;L'!AU64</f>
        <v/>
      </c>
      <c r="AV24" s="20">
        <f>'BK P&amp;L'!AV64</f>
        <v/>
      </c>
      <c r="AW24" s="20">
        <f>'BK P&amp;L'!AW64</f>
        <v/>
      </c>
      <c r="AX24" s="20">
        <f>'BK P&amp;L'!AX64</f>
        <v/>
      </c>
      <c r="AY24" s="20">
        <f>'BK P&amp;L'!AY64</f>
        <v/>
      </c>
      <c r="BA24" s="20">
        <f>SUM(D24:O24)</f>
        <v/>
      </c>
      <c r="BB24" s="20">
        <f>SUM(P24:AA24)</f>
        <v/>
      </c>
      <c r="BC24" s="20">
        <f>SUM(AB24:AM24)</f>
        <v/>
      </c>
      <c r="BD24" s="20">
        <f>SUM(AN24:AY24)</f>
        <v/>
      </c>
      <c r="BF24" s="20">
        <f>SUM(I24:T24)</f>
        <v/>
      </c>
      <c r="BH24" s="24">
        <f>SUM(BA24:BD24)-SUM(D24:AY24)</f>
        <v/>
      </c>
    </row>
    <row r="25">
      <c r="C25" s="18" t="inlineStr">
        <is>
          <t>Culver City</t>
        </is>
      </c>
      <c r="D25" s="19">
        <f>'CC P&amp;L'!D63</f>
        <v/>
      </c>
      <c r="E25" s="19">
        <f>'CC P&amp;L'!E63</f>
        <v/>
      </c>
      <c r="F25" s="19">
        <f>'CC P&amp;L'!F63</f>
        <v/>
      </c>
      <c r="G25" s="19">
        <f>'CC P&amp;L'!G63</f>
        <v/>
      </c>
      <c r="H25" s="19">
        <f>'CC P&amp;L'!H63</f>
        <v/>
      </c>
      <c r="I25" s="19">
        <f>'CC P&amp;L'!I63</f>
        <v/>
      </c>
      <c r="J25" s="19">
        <f>'CC P&amp;L'!J63</f>
        <v/>
      </c>
      <c r="K25" s="19">
        <f>'CC P&amp;L'!K63</f>
        <v/>
      </c>
      <c r="L25" s="19">
        <f>'CC P&amp;L'!L63</f>
        <v/>
      </c>
      <c r="M25" s="19">
        <f>'CC P&amp;L'!M63</f>
        <v/>
      </c>
      <c r="N25" s="19">
        <f>'CC P&amp;L'!N63</f>
        <v/>
      </c>
      <c r="O25" s="19">
        <f>'CC P&amp;L'!O63</f>
        <v/>
      </c>
      <c r="P25" s="19">
        <f>'CC P&amp;L'!P63</f>
        <v/>
      </c>
      <c r="Q25" s="19">
        <f>'CC P&amp;L'!Q63</f>
        <v/>
      </c>
      <c r="R25" s="19">
        <f>'CC P&amp;L'!R63</f>
        <v/>
      </c>
      <c r="S25" s="19">
        <f>'CC P&amp;L'!S63</f>
        <v/>
      </c>
      <c r="T25" s="19">
        <f>'CC P&amp;L'!T63</f>
        <v/>
      </c>
      <c r="U25" s="19">
        <f>'CC P&amp;L'!U63</f>
        <v/>
      </c>
      <c r="V25" s="20">
        <f>'CC P&amp;L'!V63</f>
        <v/>
      </c>
      <c r="W25" s="20">
        <f>'CC P&amp;L'!W63</f>
        <v/>
      </c>
      <c r="X25" s="20">
        <f>'CC P&amp;L'!X63</f>
        <v/>
      </c>
      <c r="Y25" s="20">
        <f>'CC P&amp;L'!Y63</f>
        <v/>
      </c>
      <c r="Z25" s="20">
        <f>'CC P&amp;L'!Z63</f>
        <v/>
      </c>
      <c r="AA25" s="20">
        <f>'CC P&amp;L'!AA63</f>
        <v/>
      </c>
      <c r="AB25" s="20">
        <f>'CC P&amp;L'!AB63</f>
        <v/>
      </c>
      <c r="AC25" s="20">
        <f>'CC P&amp;L'!AC63</f>
        <v/>
      </c>
      <c r="AD25" s="20">
        <f>'CC P&amp;L'!AD63</f>
        <v/>
      </c>
      <c r="AE25" s="20">
        <f>'CC P&amp;L'!AE63</f>
        <v/>
      </c>
      <c r="AF25" s="20">
        <f>'CC P&amp;L'!AF63</f>
        <v/>
      </c>
      <c r="AG25" s="20">
        <f>'CC P&amp;L'!AG63</f>
        <v/>
      </c>
      <c r="AH25" s="20">
        <f>'CC P&amp;L'!AH63</f>
        <v/>
      </c>
      <c r="AI25" s="20">
        <f>'CC P&amp;L'!AI63</f>
        <v/>
      </c>
      <c r="AJ25" s="20">
        <f>'CC P&amp;L'!AJ63</f>
        <v/>
      </c>
      <c r="AK25" s="20">
        <f>'CC P&amp;L'!AK63</f>
        <v/>
      </c>
      <c r="AL25" s="20">
        <f>'CC P&amp;L'!AL63</f>
        <v/>
      </c>
      <c r="AM25" s="20">
        <f>'CC P&amp;L'!AM63</f>
        <v/>
      </c>
      <c r="AN25" s="20">
        <f>'CC P&amp;L'!AN63</f>
        <v/>
      </c>
      <c r="AO25" s="20">
        <f>'CC P&amp;L'!AO63</f>
        <v/>
      </c>
      <c r="AP25" s="20">
        <f>'CC P&amp;L'!AP63</f>
        <v/>
      </c>
      <c r="AQ25" s="20">
        <f>'CC P&amp;L'!AQ63</f>
        <v/>
      </c>
      <c r="AR25" s="20">
        <f>'CC P&amp;L'!AR63</f>
        <v/>
      </c>
      <c r="AS25" s="20">
        <f>'CC P&amp;L'!AS63</f>
        <v/>
      </c>
      <c r="AT25" s="20">
        <f>'CC P&amp;L'!AT63</f>
        <v/>
      </c>
      <c r="AU25" s="20">
        <f>'CC P&amp;L'!AU63</f>
        <v/>
      </c>
      <c r="AV25" s="20">
        <f>'CC P&amp;L'!AV63</f>
        <v/>
      </c>
      <c r="AW25" s="20">
        <f>'CC P&amp;L'!AW63</f>
        <v/>
      </c>
      <c r="AX25" s="20">
        <f>'CC P&amp;L'!AX63</f>
        <v/>
      </c>
      <c r="AY25" s="20">
        <f>'CC P&amp;L'!AY63</f>
        <v/>
      </c>
      <c r="BA25" s="20">
        <f>SUM(D25:O25)</f>
        <v/>
      </c>
      <c r="BB25" s="20">
        <f>SUM(P25:AA25)</f>
        <v/>
      </c>
      <c r="BC25" s="20">
        <f>SUM(AB25:AM25)</f>
        <v/>
      </c>
      <c r="BD25" s="20">
        <f>SUM(AN25:AY25)</f>
        <v/>
      </c>
      <c r="BF25" s="20">
        <f>SUM(I25:T25)</f>
        <v/>
      </c>
      <c r="BH25" s="24">
        <f>SUM(BA25:BD25)-SUM(D25:AY25)</f>
        <v/>
      </c>
    </row>
    <row r="26">
      <c r="C26" s="18" t="inlineStr">
        <is>
          <t>Danville</t>
        </is>
      </c>
      <c r="D26" s="19">
        <f>'DN P&amp;L'!D63</f>
        <v/>
      </c>
      <c r="E26" s="19">
        <f>'DN P&amp;L'!E63</f>
        <v/>
      </c>
      <c r="F26" s="19">
        <f>'DN P&amp;L'!F63</f>
        <v/>
      </c>
      <c r="G26" s="19">
        <f>'DN P&amp;L'!G63</f>
        <v/>
      </c>
      <c r="H26" s="19">
        <f>'DN P&amp;L'!H63</f>
        <v/>
      </c>
      <c r="I26" s="19">
        <f>'DN P&amp;L'!I63</f>
        <v/>
      </c>
      <c r="J26" s="19">
        <f>'DN P&amp;L'!J63</f>
        <v/>
      </c>
      <c r="K26" s="19">
        <f>'DN P&amp;L'!K63</f>
        <v/>
      </c>
      <c r="L26" s="19">
        <f>'DN P&amp;L'!L63</f>
        <v/>
      </c>
      <c r="M26" s="19">
        <f>'DN P&amp;L'!M63</f>
        <v/>
      </c>
      <c r="N26" s="19">
        <f>'DN P&amp;L'!N63</f>
        <v/>
      </c>
      <c r="O26" s="19">
        <f>'DN P&amp;L'!O63</f>
        <v/>
      </c>
      <c r="P26" s="19">
        <f>'DN P&amp;L'!P63</f>
        <v/>
      </c>
      <c r="Q26" s="19">
        <f>'DN P&amp;L'!Q63</f>
        <v/>
      </c>
      <c r="R26" s="19">
        <f>'DN P&amp;L'!R63</f>
        <v/>
      </c>
      <c r="S26" s="19">
        <f>'DN P&amp;L'!S63</f>
        <v/>
      </c>
      <c r="T26" s="19">
        <f>'DN P&amp;L'!T63</f>
        <v/>
      </c>
      <c r="U26" s="19">
        <f>'DN P&amp;L'!U63</f>
        <v/>
      </c>
      <c r="V26" s="20">
        <f>'DN P&amp;L'!V63</f>
        <v/>
      </c>
      <c r="W26" s="20">
        <f>'DN P&amp;L'!W63</f>
        <v/>
      </c>
      <c r="X26" s="20">
        <f>'DN P&amp;L'!X63</f>
        <v/>
      </c>
      <c r="Y26" s="20">
        <f>'DN P&amp;L'!Y63</f>
        <v/>
      </c>
      <c r="Z26" s="20">
        <f>'DN P&amp;L'!Z63</f>
        <v/>
      </c>
      <c r="AA26" s="20">
        <f>'DN P&amp;L'!AA63</f>
        <v/>
      </c>
      <c r="AB26" s="20">
        <f>'DN P&amp;L'!AB63</f>
        <v/>
      </c>
      <c r="AC26" s="20">
        <f>'DN P&amp;L'!AC63</f>
        <v/>
      </c>
      <c r="AD26" s="20">
        <f>'DN P&amp;L'!AD63</f>
        <v/>
      </c>
      <c r="AE26" s="20">
        <f>'DN P&amp;L'!AE63</f>
        <v/>
      </c>
      <c r="AF26" s="20">
        <f>'DN P&amp;L'!AF63</f>
        <v/>
      </c>
      <c r="AG26" s="20">
        <f>'DN P&amp;L'!AG63</f>
        <v/>
      </c>
      <c r="AH26" s="20">
        <f>'DN P&amp;L'!AH63</f>
        <v/>
      </c>
      <c r="AI26" s="20">
        <f>'DN P&amp;L'!AI63</f>
        <v/>
      </c>
      <c r="AJ26" s="20">
        <f>'DN P&amp;L'!AJ63</f>
        <v/>
      </c>
      <c r="AK26" s="20">
        <f>'DN P&amp;L'!AK63</f>
        <v/>
      </c>
      <c r="AL26" s="20">
        <f>'DN P&amp;L'!AL63</f>
        <v/>
      </c>
      <c r="AM26" s="20">
        <f>'DN P&amp;L'!AM63</f>
        <v/>
      </c>
      <c r="AN26" s="20">
        <f>'DN P&amp;L'!AN63</f>
        <v/>
      </c>
      <c r="AO26" s="20">
        <f>'DN P&amp;L'!AO63</f>
        <v/>
      </c>
      <c r="AP26" s="20">
        <f>'DN P&amp;L'!AP63</f>
        <v/>
      </c>
      <c r="AQ26" s="20">
        <f>'DN P&amp;L'!AQ63</f>
        <v/>
      </c>
      <c r="AR26" s="20">
        <f>'DN P&amp;L'!AR63</f>
        <v/>
      </c>
      <c r="AS26" s="20">
        <f>'DN P&amp;L'!AS63</f>
        <v/>
      </c>
      <c r="AT26" s="20">
        <f>'DN P&amp;L'!AT63</f>
        <v/>
      </c>
      <c r="AU26" s="20">
        <f>'DN P&amp;L'!AU63</f>
        <v/>
      </c>
      <c r="AV26" s="20">
        <f>'DN P&amp;L'!AV63</f>
        <v/>
      </c>
      <c r="AW26" s="20">
        <f>'DN P&amp;L'!AW63</f>
        <v/>
      </c>
      <c r="AX26" s="20">
        <f>'DN P&amp;L'!AX63</f>
        <v/>
      </c>
      <c r="AY26" s="20">
        <f>'DN P&amp;L'!AY63</f>
        <v/>
      </c>
      <c r="BA26" s="20">
        <f>SUM(D26:O26)</f>
        <v/>
      </c>
      <c r="BB26" s="20">
        <f>SUM(P26:AA26)</f>
        <v/>
      </c>
      <c r="BC26" s="20">
        <f>SUM(AB26:AM26)</f>
        <v/>
      </c>
      <c r="BD26" s="20">
        <f>SUM(AN26:AY26)</f>
        <v/>
      </c>
      <c r="BF26" s="20">
        <f>SUM(I26:T26)</f>
        <v/>
      </c>
      <c r="BH26" s="24">
        <f>SUM(BA26:BD26)-SUM(D26:AY26)</f>
        <v/>
      </c>
    </row>
    <row r="27">
      <c r="C27" s="18" t="inlineStr">
        <is>
          <t>Lafayette</t>
        </is>
      </c>
      <c r="D27" s="19">
        <f>'LF P&amp;L'!D64</f>
        <v/>
      </c>
      <c r="E27" s="19">
        <f>'LF P&amp;L'!E64</f>
        <v/>
      </c>
      <c r="F27" s="19">
        <f>'LF P&amp;L'!F64</f>
        <v/>
      </c>
      <c r="G27" s="19">
        <f>'LF P&amp;L'!G64</f>
        <v/>
      </c>
      <c r="H27" s="19">
        <f>'LF P&amp;L'!H64</f>
        <v/>
      </c>
      <c r="I27" s="19">
        <f>'LF P&amp;L'!I64</f>
        <v/>
      </c>
      <c r="J27" s="19">
        <f>'LF P&amp;L'!J64</f>
        <v/>
      </c>
      <c r="K27" s="19">
        <f>'LF P&amp;L'!K64</f>
        <v/>
      </c>
      <c r="L27" s="19">
        <f>'LF P&amp;L'!L64</f>
        <v/>
      </c>
      <c r="M27" s="19">
        <f>'LF P&amp;L'!M64</f>
        <v/>
      </c>
      <c r="N27" s="19">
        <f>'LF P&amp;L'!N64</f>
        <v/>
      </c>
      <c r="O27" s="19">
        <f>'LF P&amp;L'!O64</f>
        <v/>
      </c>
      <c r="P27" s="19">
        <f>'LF P&amp;L'!P64</f>
        <v/>
      </c>
      <c r="Q27" s="19">
        <f>'LF P&amp;L'!Q64</f>
        <v/>
      </c>
      <c r="R27" s="19">
        <f>'LF P&amp;L'!R64</f>
        <v/>
      </c>
      <c r="S27" s="19">
        <f>'LF P&amp;L'!S64</f>
        <v/>
      </c>
      <c r="T27" s="19">
        <f>'LF P&amp;L'!T64</f>
        <v/>
      </c>
      <c r="U27" s="19">
        <f>'LF P&amp;L'!U64</f>
        <v/>
      </c>
      <c r="V27" s="20">
        <f>'LF P&amp;L'!V64</f>
        <v/>
      </c>
      <c r="W27" s="20">
        <f>'LF P&amp;L'!W64</f>
        <v/>
      </c>
      <c r="X27" s="20">
        <f>'LF P&amp;L'!X64</f>
        <v/>
      </c>
      <c r="Y27" s="20">
        <f>'LF P&amp;L'!Y64</f>
        <v/>
      </c>
      <c r="Z27" s="20">
        <f>'LF P&amp;L'!Z64</f>
        <v/>
      </c>
      <c r="AA27" s="20">
        <f>'LF P&amp;L'!AA64</f>
        <v/>
      </c>
      <c r="AB27" s="20">
        <f>'LF P&amp;L'!AB64</f>
        <v/>
      </c>
      <c r="AC27" s="20">
        <f>'LF P&amp;L'!AC64</f>
        <v/>
      </c>
      <c r="AD27" s="20">
        <f>'LF P&amp;L'!AD64</f>
        <v/>
      </c>
      <c r="AE27" s="20">
        <f>'LF P&amp;L'!AE64</f>
        <v/>
      </c>
      <c r="AF27" s="20">
        <f>'LF P&amp;L'!AF64</f>
        <v/>
      </c>
      <c r="AG27" s="20">
        <f>'LF P&amp;L'!AG64</f>
        <v/>
      </c>
      <c r="AH27" s="20">
        <f>'LF P&amp;L'!AH64</f>
        <v/>
      </c>
      <c r="AI27" s="20">
        <f>'LF P&amp;L'!AI64</f>
        <v/>
      </c>
      <c r="AJ27" s="20">
        <f>'LF P&amp;L'!AJ64</f>
        <v/>
      </c>
      <c r="AK27" s="20">
        <f>'LF P&amp;L'!AK64</f>
        <v/>
      </c>
      <c r="AL27" s="20">
        <f>'LF P&amp;L'!AL64</f>
        <v/>
      </c>
      <c r="AM27" s="20">
        <f>'LF P&amp;L'!AM64</f>
        <v/>
      </c>
      <c r="AN27" s="20">
        <f>'LF P&amp;L'!AN64</f>
        <v/>
      </c>
      <c r="AO27" s="20">
        <f>'LF P&amp;L'!AO64</f>
        <v/>
      </c>
      <c r="AP27" s="20">
        <f>'LF P&amp;L'!AP64</f>
        <v/>
      </c>
      <c r="AQ27" s="20">
        <f>'LF P&amp;L'!AQ64</f>
        <v/>
      </c>
      <c r="AR27" s="20">
        <f>'LF P&amp;L'!AR64</f>
        <v/>
      </c>
      <c r="AS27" s="20">
        <f>'LF P&amp;L'!AS64</f>
        <v/>
      </c>
      <c r="AT27" s="20">
        <f>'LF P&amp;L'!AT64</f>
        <v/>
      </c>
      <c r="AU27" s="20">
        <f>'LF P&amp;L'!AU64</f>
        <v/>
      </c>
      <c r="AV27" s="20">
        <f>'LF P&amp;L'!AV64</f>
        <v/>
      </c>
      <c r="AW27" s="20">
        <f>'LF P&amp;L'!AW64</f>
        <v/>
      </c>
      <c r="AX27" s="20">
        <f>'LF P&amp;L'!AX64</f>
        <v/>
      </c>
      <c r="AY27" s="20">
        <f>'LF P&amp;L'!AY64</f>
        <v/>
      </c>
      <c r="BA27" s="20">
        <f>SUM(D27:O27)</f>
        <v/>
      </c>
      <c r="BB27" s="20">
        <f>SUM(P27:AA27)</f>
        <v/>
      </c>
      <c r="BC27" s="20">
        <f>SUM(AB27:AM27)</f>
        <v/>
      </c>
      <c r="BD27" s="20">
        <f>SUM(AN27:AY27)</f>
        <v/>
      </c>
      <c r="BF27" s="20">
        <f>SUM(I27:T27)</f>
        <v/>
      </c>
      <c r="BH27" s="24">
        <f>SUM(BA27:BD27)-SUM(D27:AY27)</f>
        <v/>
      </c>
    </row>
    <row r="28">
      <c r="C28" s="18" t="inlineStr">
        <is>
          <t>Marin</t>
        </is>
      </c>
      <c r="D28" s="19">
        <f>'MR P&amp;L'!D63</f>
        <v/>
      </c>
      <c r="E28" s="19">
        <f>'MR P&amp;L'!E63</f>
        <v/>
      </c>
      <c r="F28" s="19">
        <f>'MR P&amp;L'!F63</f>
        <v/>
      </c>
      <c r="G28" s="19">
        <f>'MR P&amp;L'!G63</f>
        <v/>
      </c>
      <c r="H28" s="19">
        <f>'MR P&amp;L'!H63</f>
        <v/>
      </c>
      <c r="I28" s="19">
        <f>'MR P&amp;L'!I63</f>
        <v/>
      </c>
      <c r="J28" s="19">
        <f>'MR P&amp;L'!J63</f>
        <v/>
      </c>
      <c r="K28" s="19">
        <f>'MR P&amp;L'!K63</f>
        <v/>
      </c>
      <c r="L28" s="19">
        <f>'MR P&amp;L'!L63</f>
        <v/>
      </c>
      <c r="M28" s="19">
        <f>'MR P&amp;L'!M63</f>
        <v/>
      </c>
      <c r="N28" s="19">
        <f>'MR P&amp;L'!N63</f>
        <v/>
      </c>
      <c r="O28" s="19">
        <f>'MR P&amp;L'!O63</f>
        <v/>
      </c>
      <c r="P28" s="19">
        <f>'MR P&amp;L'!P63</f>
        <v/>
      </c>
      <c r="Q28" s="19">
        <f>'MR P&amp;L'!Q63</f>
        <v/>
      </c>
      <c r="R28" s="19">
        <f>'MR P&amp;L'!R63</f>
        <v/>
      </c>
      <c r="S28" s="19">
        <f>'MR P&amp;L'!S63</f>
        <v/>
      </c>
      <c r="T28" s="19">
        <f>'MR P&amp;L'!T63</f>
        <v/>
      </c>
      <c r="U28" s="19">
        <f>'MR P&amp;L'!U63</f>
        <v/>
      </c>
      <c r="V28" s="20">
        <f>'MR P&amp;L'!V63</f>
        <v/>
      </c>
      <c r="W28" s="20">
        <f>'MR P&amp;L'!W63</f>
        <v/>
      </c>
      <c r="X28" s="20">
        <f>'MR P&amp;L'!X63</f>
        <v/>
      </c>
      <c r="Y28" s="20">
        <f>'MR P&amp;L'!Y63</f>
        <v/>
      </c>
      <c r="Z28" s="20">
        <f>'MR P&amp;L'!Z63</f>
        <v/>
      </c>
      <c r="AA28" s="20">
        <f>'MR P&amp;L'!AA63</f>
        <v/>
      </c>
      <c r="AB28" s="20">
        <f>'MR P&amp;L'!AB63</f>
        <v/>
      </c>
      <c r="AC28" s="20">
        <f>'MR P&amp;L'!AC63</f>
        <v/>
      </c>
      <c r="AD28" s="20">
        <f>'MR P&amp;L'!AD63</f>
        <v/>
      </c>
      <c r="AE28" s="20">
        <f>'MR P&amp;L'!AE63</f>
        <v/>
      </c>
      <c r="AF28" s="20">
        <f>'MR P&amp;L'!AF63</f>
        <v/>
      </c>
      <c r="AG28" s="20">
        <f>'MR P&amp;L'!AG63</f>
        <v/>
      </c>
      <c r="AH28" s="20">
        <f>'MR P&amp;L'!AH63</f>
        <v/>
      </c>
      <c r="AI28" s="20">
        <f>'MR P&amp;L'!AI63</f>
        <v/>
      </c>
      <c r="AJ28" s="20">
        <f>'MR P&amp;L'!AJ63</f>
        <v/>
      </c>
      <c r="AK28" s="20">
        <f>'MR P&amp;L'!AK63</f>
        <v/>
      </c>
      <c r="AL28" s="20">
        <f>'MR P&amp;L'!AL63</f>
        <v/>
      </c>
      <c r="AM28" s="20">
        <f>'MR P&amp;L'!AM63</f>
        <v/>
      </c>
      <c r="AN28" s="20">
        <f>'MR P&amp;L'!AN63</f>
        <v/>
      </c>
      <c r="AO28" s="20">
        <f>'MR P&amp;L'!AO63</f>
        <v/>
      </c>
      <c r="AP28" s="20">
        <f>'MR P&amp;L'!AP63</f>
        <v/>
      </c>
      <c r="AQ28" s="20">
        <f>'MR P&amp;L'!AQ63</f>
        <v/>
      </c>
      <c r="AR28" s="20">
        <f>'MR P&amp;L'!AR63</f>
        <v/>
      </c>
      <c r="AS28" s="20">
        <f>'MR P&amp;L'!AS63</f>
        <v/>
      </c>
      <c r="AT28" s="20">
        <f>'MR P&amp;L'!AT63</f>
        <v/>
      </c>
      <c r="AU28" s="20">
        <f>'MR P&amp;L'!AU63</f>
        <v/>
      </c>
      <c r="AV28" s="20">
        <f>'MR P&amp;L'!AV63</f>
        <v/>
      </c>
      <c r="AW28" s="20">
        <f>'MR P&amp;L'!AW63</f>
        <v/>
      </c>
      <c r="AX28" s="20">
        <f>'MR P&amp;L'!AX63</f>
        <v/>
      </c>
      <c r="AY28" s="20">
        <f>'MR P&amp;L'!AY63</f>
        <v/>
      </c>
      <c r="BA28" s="20">
        <f>SUM(D28:O28)</f>
        <v/>
      </c>
      <c r="BB28" s="20">
        <f>SUM(P28:AA28)</f>
        <v/>
      </c>
      <c r="BC28" s="20">
        <f>SUM(AB28:AM28)</f>
        <v/>
      </c>
      <c r="BD28" s="20">
        <f>SUM(AN28:AY28)</f>
        <v/>
      </c>
      <c r="BF28" s="20">
        <f>SUM(I28:T28)</f>
        <v/>
      </c>
      <c r="BH28" s="24">
        <f>SUM(BA28:BD28)-SUM(D28:AY28)</f>
        <v/>
      </c>
    </row>
    <row r="29">
      <c r="C29" s="18" t="inlineStr">
        <is>
          <t>Ocean Park</t>
        </is>
      </c>
      <c r="D29" s="19">
        <f>'OP P&amp;L'!D63</f>
        <v/>
      </c>
      <c r="E29" s="19">
        <f>'OP P&amp;L'!E63</f>
        <v/>
      </c>
      <c r="F29" s="19">
        <f>'OP P&amp;L'!F63</f>
        <v/>
      </c>
      <c r="G29" s="19">
        <f>'OP P&amp;L'!G63</f>
        <v/>
      </c>
      <c r="H29" s="19">
        <f>'OP P&amp;L'!H63</f>
        <v/>
      </c>
      <c r="I29" s="19">
        <f>'OP P&amp;L'!I63</f>
        <v/>
      </c>
      <c r="J29" s="19">
        <f>'OP P&amp;L'!J63</f>
        <v/>
      </c>
      <c r="K29" s="19">
        <f>'OP P&amp;L'!K63</f>
        <v/>
      </c>
      <c r="L29" s="19">
        <f>'OP P&amp;L'!L63</f>
        <v/>
      </c>
      <c r="M29" s="19">
        <f>'OP P&amp;L'!M63</f>
        <v/>
      </c>
      <c r="N29" s="19">
        <f>'OP P&amp;L'!N63</f>
        <v/>
      </c>
      <c r="O29" s="19">
        <f>'OP P&amp;L'!O63</f>
        <v/>
      </c>
      <c r="P29" s="19">
        <f>'OP P&amp;L'!P63</f>
        <v/>
      </c>
      <c r="Q29" s="19">
        <f>'OP P&amp;L'!Q63</f>
        <v/>
      </c>
      <c r="R29" s="19">
        <f>'OP P&amp;L'!R63</f>
        <v/>
      </c>
      <c r="S29" s="19">
        <f>'OP P&amp;L'!S63</f>
        <v/>
      </c>
      <c r="T29" s="19">
        <f>'OP P&amp;L'!T63</f>
        <v/>
      </c>
      <c r="U29" s="19">
        <f>'OP P&amp;L'!U63</f>
        <v/>
      </c>
      <c r="V29" s="20">
        <f>'OP P&amp;L'!V63</f>
        <v/>
      </c>
      <c r="W29" s="20">
        <f>'OP P&amp;L'!W63</f>
        <v/>
      </c>
      <c r="X29" s="20">
        <f>'OP P&amp;L'!X63</f>
        <v/>
      </c>
      <c r="Y29" s="20">
        <f>'OP P&amp;L'!Y63</f>
        <v/>
      </c>
      <c r="Z29" s="20">
        <f>'OP P&amp;L'!Z63</f>
        <v/>
      </c>
      <c r="AA29" s="20">
        <f>'OP P&amp;L'!AA63</f>
        <v/>
      </c>
      <c r="AB29" s="20">
        <f>'OP P&amp;L'!AB63</f>
        <v/>
      </c>
      <c r="AC29" s="20">
        <f>'OP P&amp;L'!AC63</f>
        <v/>
      </c>
      <c r="AD29" s="20">
        <f>'OP P&amp;L'!AD63</f>
        <v/>
      </c>
      <c r="AE29" s="20">
        <f>'OP P&amp;L'!AE63</f>
        <v/>
      </c>
      <c r="AF29" s="20">
        <f>'OP P&amp;L'!AF63</f>
        <v/>
      </c>
      <c r="AG29" s="20">
        <f>'OP P&amp;L'!AG63</f>
        <v/>
      </c>
      <c r="AH29" s="20">
        <f>'OP P&amp;L'!AH63</f>
        <v/>
      </c>
      <c r="AI29" s="20">
        <f>'OP P&amp;L'!AI63</f>
        <v/>
      </c>
      <c r="AJ29" s="20">
        <f>'OP P&amp;L'!AJ63</f>
        <v/>
      </c>
      <c r="AK29" s="20">
        <f>'OP P&amp;L'!AK63</f>
        <v/>
      </c>
      <c r="AL29" s="20">
        <f>'OP P&amp;L'!AL63</f>
        <v/>
      </c>
      <c r="AM29" s="20">
        <f>'OP P&amp;L'!AM63</f>
        <v/>
      </c>
      <c r="AN29" s="20">
        <f>'OP P&amp;L'!AN63</f>
        <v/>
      </c>
      <c r="AO29" s="20">
        <f>'OP P&amp;L'!AO63</f>
        <v/>
      </c>
      <c r="AP29" s="20">
        <f>'OP P&amp;L'!AP63</f>
        <v/>
      </c>
      <c r="AQ29" s="20">
        <f>'OP P&amp;L'!AQ63</f>
        <v/>
      </c>
      <c r="AR29" s="20">
        <f>'OP P&amp;L'!AR63</f>
        <v/>
      </c>
      <c r="AS29" s="20">
        <f>'OP P&amp;L'!AS63</f>
        <v/>
      </c>
      <c r="AT29" s="20">
        <f>'OP P&amp;L'!AT63</f>
        <v/>
      </c>
      <c r="AU29" s="20">
        <f>'OP P&amp;L'!AU63</f>
        <v/>
      </c>
      <c r="AV29" s="20">
        <f>'OP P&amp;L'!AV63</f>
        <v/>
      </c>
      <c r="AW29" s="20">
        <f>'OP P&amp;L'!AW63</f>
        <v/>
      </c>
      <c r="AX29" s="20">
        <f>'OP P&amp;L'!AX63</f>
        <v/>
      </c>
      <c r="AY29" s="20">
        <f>'OP P&amp;L'!AY63</f>
        <v/>
      </c>
      <c r="BA29" s="20">
        <f>SUM(D29:O29)</f>
        <v/>
      </c>
      <c r="BB29" s="20">
        <f>SUM(P29:AA29)</f>
        <v/>
      </c>
      <c r="BC29" s="20">
        <f>SUM(AB29:AM29)</f>
        <v/>
      </c>
      <c r="BD29" s="20">
        <f>SUM(AN29:AY29)</f>
        <v/>
      </c>
      <c r="BF29" s="20">
        <f>SUM(I29:T29)</f>
        <v/>
      </c>
      <c r="BH29" s="24">
        <f>SUM(BA29:BD29)-SUM(D29:AY29)</f>
        <v/>
      </c>
    </row>
    <row r="30">
      <c r="C30" s="18" t="inlineStr">
        <is>
          <t>Presidio Heights</t>
        </is>
      </c>
      <c r="D30" s="19">
        <f>'PH P&amp;L'!D64</f>
        <v/>
      </c>
      <c r="E30" s="19">
        <f>'PH P&amp;L'!E64</f>
        <v/>
      </c>
      <c r="F30" s="19">
        <f>'PH P&amp;L'!F64</f>
        <v/>
      </c>
      <c r="G30" s="19">
        <f>'PH P&amp;L'!G64</f>
        <v/>
      </c>
      <c r="H30" s="19">
        <f>'PH P&amp;L'!H64</f>
        <v/>
      </c>
      <c r="I30" s="19">
        <f>'PH P&amp;L'!I64</f>
        <v/>
      </c>
      <c r="J30" s="19">
        <f>'PH P&amp;L'!J64</f>
        <v/>
      </c>
      <c r="K30" s="19">
        <f>'PH P&amp;L'!K64</f>
        <v/>
      </c>
      <c r="L30" s="19">
        <f>'PH P&amp;L'!L64</f>
        <v/>
      </c>
      <c r="M30" s="19">
        <f>'PH P&amp;L'!M64</f>
        <v/>
      </c>
      <c r="N30" s="19">
        <f>'PH P&amp;L'!N64</f>
        <v/>
      </c>
      <c r="O30" s="19">
        <f>'PH P&amp;L'!O64</f>
        <v/>
      </c>
      <c r="P30" s="19">
        <f>'PH P&amp;L'!P64</f>
        <v/>
      </c>
      <c r="Q30" s="19">
        <f>'PH P&amp;L'!Q64</f>
        <v/>
      </c>
      <c r="R30" s="19">
        <f>'PH P&amp;L'!R64</f>
        <v/>
      </c>
      <c r="S30" s="19">
        <f>'PH P&amp;L'!S64</f>
        <v/>
      </c>
      <c r="T30" s="19">
        <f>'PH P&amp;L'!T64</f>
        <v/>
      </c>
      <c r="U30" s="19">
        <f>'PH P&amp;L'!U64</f>
        <v/>
      </c>
      <c r="V30" s="20">
        <f>'PH P&amp;L'!V64</f>
        <v/>
      </c>
      <c r="W30" s="20">
        <f>'PH P&amp;L'!W64</f>
        <v/>
      </c>
      <c r="X30" s="20">
        <f>'PH P&amp;L'!X64</f>
        <v/>
      </c>
      <c r="Y30" s="20">
        <f>'PH P&amp;L'!Y64</f>
        <v/>
      </c>
      <c r="Z30" s="20">
        <f>'PH P&amp;L'!Z64</f>
        <v/>
      </c>
      <c r="AA30" s="20">
        <f>'PH P&amp;L'!AA64</f>
        <v/>
      </c>
      <c r="AB30" s="20">
        <f>'PH P&amp;L'!AB64</f>
        <v/>
      </c>
      <c r="AC30" s="20">
        <f>'PH P&amp;L'!AC64</f>
        <v/>
      </c>
      <c r="AD30" s="20">
        <f>'PH P&amp;L'!AD64</f>
        <v/>
      </c>
      <c r="AE30" s="20">
        <f>'PH P&amp;L'!AE64</f>
        <v/>
      </c>
      <c r="AF30" s="20">
        <f>'PH P&amp;L'!AF64</f>
        <v/>
      </c>
      <c r="AG30" s="20">
        <f>'PH P&amp;L'!AG64</f>
        <v/>
      </c>
      <c r="AH30" s="20">
        <f>'PH P&amp;L'!AH64</f>
        <v/>
      </c>
      <c r="AI30" s="20">
        <f>'PH P&amp;L'!AI64</f>
        <v/>
      </c>
      <c r="AJ30" s="20">
        <f>'PH P&amp;L'!AJ64</f>
        <v/>
      </c>
      <c r="AK30" s="20">
        <f>'PH P&amp;L'!AK64</f>
        <v/>
      </c>
      <c r="AL30" s="20">
        <f>'PH P&amp;L'!AL64</f>
        <v/>
      </c>
      <c r="AM30" s="20">
        <f>'PH P&amp;L'!AM64</f>
        <v/>
      </c>
      <c r="AN30" s="20">
        <f>'PH P&amp;L'!AN64</f>
        <v/>
      </c>
      <c r="AO30" s="20">
        <f>'PH P&amp;L'!AO64</f>
        <v/>
      </c>
      <c r="AP30" s="20">
        <f>'PH P&amp;L'!AP64</f>
        <v/>
      </c>
      <c r="AQ30" s="20">
        <f>'PH P&amp;L'!AQ64</f>
        <v/>
      </c>
      <c r="AR30" s="20">
        <f>'PH P&amp;L'!AR64</f>
        <v/>
      </c>
      <c r="AS30" s="20">
        <f>'PH P&amp;L'!AS64</f>
        <v/>
      </c>
      <c r="AT30" s="20">
        <f>'PH P&amp;L'!AT64</f>
        <v/>
      </c>
      <c r="AU30" s="20">
        <f>'PH P&amp;L'!AU64</f>
        <v/>
      </c>
      <c r="AV30" s="20">
        <f>'PH P&amp;L'!AV64</f>
        <v/>
      </c>
      <c r="AW30" s="20">
        <f>'PH P&amp;L'!AW64</f>
        <v/>
      </c>
      <c r="AX30" s="20">
        <f>'PH P&amp;L'!AX64</f>
        <v/>
      </c>
      <c r="AY30" s="20">
        <f>'PH P&amp;L'!AY64</f>
        <v/>
      </c>
      <c r="BA30" s="20">
        <f>SUM(D30:O30)</f>
        <v/>
      </c>
      <c r="BB30" s="20">
        <f>SUM(P30:AA30)</f>
        <v/>
      </c>
      <c r="BC30" s="20">
        <f>SUM(AB30:AM30)</f>
        <v/>
      </c>
      <c r="BD30" s="20">
        <f>SUM(AN30:AY30)</f>
        <v/>
      </c>
      <c r="BF30" s="20">
        <f>SUM(I30:T30)</f>
        <v/>
      </c>
      <c r="BH30" s="24">
        <f>SUM(BA30:BD30)-SUM(D30:AY30)</f>
        <v/>
      </c>
    </row>
    <row r="31">
      <c r="C31" s="18" t="inlineStr">
        <is>
          <t>Russian Hill</t>
        </is>
      </c>
      <c r="D31" s="19">
        <f>'RH P&amp;L'!D63</f>
        <v/>
      </c>
      <c r="E31" s="19">
        <f>'RH P&amp;L'!E63</f>
        <v/>
      </c>
      <c r="F31" s="19">
        <f>'RH P&amp;L'!F63</f>
        <v/>
      </c>
      <c r="G31" s="19">
        <f>'RH P&amp;L'!G63</f>
        <v/>
      </c>
      <c r="H31" s="19">
        <f>'RH P&amp;L'!H63</f>
        <v/>
      </c>
      <c r="I31" s="19">
        <f>'RH P&amp;L'!I63</f>
        <v/>
      </c>
      <c r="J31" s="19">
        <f>'RH P&amp;L'!J63</f>
        <v/>
      </c>
      <c r="K31" s="19">
        <f>'RH P&amp;L'!K63</f>
        <v/>
      </c>
      <c r="L31" s="19">
        <f>'RH P&amp;L'!L63</f>
        <v/>
      </c>
      <c r="M31" s="19">
        <f>'RH P&amp;L'!M63</f>
        <v/>
      </c>
      <c r="N31" s="19">
        <f>'RH P&amp;L'!N63</f>
        <v/>
      </c>
      <c r="O31" s="19">
        <f>'RH P&amp;L'!O63</f>
        <v/>
      </c>
      <c r="P31" s="19">
        <f>'RH P&amp;L'!P63</f>
        <v/>
      </c>
      <c r="Q31" s="19">
        <f>'RH P&amp;L'!Q63</f>
        <v/>
      </c>
      <c r="R31" s="19">
        <f>'RH P&amp;L'!R63</f>
        <v/>
      </c>
      <c r="S31" s="19">
        <f>'RH P&amp;L'!S63</f>
        <v/>
      </c>
      <c r="T31" s="19">
        <f>'RH P&amp;L'!T63</f>
        <v/>
      </c>
      <c r="U31" s="19">
        <f>'RH P&amp;L'!U63</f>
        <v/>
      </c>
      <c r="V31" s="20">
        <f>'RH P&amp;L'!V63</f>
        <v/>
      </c>
      <c r="W31" s="20">
        <f>'RH P&amp;L'!W63</f>
        <v/>
      </c>
      <c r="X31" s="20">
        <f>'RH P&amp;L'!X63</f>
        <v/>
      </c>
      <c r="Y31" s="20">
        <f>'RH P&amp;L'!Y63</f>
        <v/>
      </c>
      <c r="Z31" s="20">
        <f>'RH P&amp;L'!Z63</f>
        <v/>
      </c>
      <c r="AA31" s="20">
        <f>'RH P&amp;L'!AA63</f>
        <v/>
      </c>
      <c r="AB31" s="20">
        <f>'RH P&amp;L'!AB63</f>
        <v/>
      </c>
      <c r="AC31" s="20">
        <f>'RH P&amp;L'!AC63</f>
        <v/>
      </c>
      <c r="AD31" s="20">
        <f>'RH P&amp;L'!AD63</f>
        <v/>
      </c>
      <c r="AE31" s="20">
        <f>'RH P&amp;L'!AE63</f>
        <v/>
      </c>
      <c r="AF31" s="20">
        <f>'RH P&amp;L'!AF63</f>
        <v/>
      </c>
      <c r="AG31" s="20">
        <f>'RH P&amp;L'!AG63</f>
        <v/>
      </c>
      <c r="AH31" s="20">
        <f>'RH P&amp;L'!AH63</f>
        <v/>
      </c>
      <c r="AI31" s="20">
        <f>'RH P&amp;L'!AI63</f>
        <v/>
      </c>
      <c r="AJ31" s="20">
        <f>'RH P&amp;L'!AJ63</f>
        <v/>
      </c>
      <c r="AK31" s="20">
        <f>'RH P&amp;L'!AK63</f>
        <v/>
      </c>
      <c r="AL31" s="20">
        <f>'RH P&amp;L'!AL63</f>
        <v/>
      </c>
      <c r="AM31" s="20">
        <f>'RH P&amp;L'!AM63</f>
        <v/>
      </c>
      <c r="AN31" s="20">
        <f>'RH P&amp;L'!AN63</f>
        <v/>
      </c>
      <c r="AO31" s="20">
        <f>'RH P&amp;L'!AO63</f>
        <v/>
      </c>
      <c r="AP31" s="20">
        <f>'RH P&amp;L'!AP63</f>
        <v/>
      </c>
      <c r="AQ31" s="20">
        <f>'RH P&amp;L'!AQ63</f>
        <v/>
      </c>
      <c r="AR31" s="20">
        <f>'RH P&amp;L'!AR63</f>
        <v/>
      </c>
      <c r="AS31" s="20">
        <f>'RH P&amp;L'!AS63</f>
        <v/>
      </c>
      <c r="AT31" s="20">
        <f>'RH P&amp;L'!AT63</f>
        <v/>
      </c>
      <c r="AU31" s="20">
        <f>'RH P&amp;L'!AU63</f>
        <v/>
      </c>
      <c r="AV31" s="20">
        <f>'RH P&amp;L'!AV63</f>
        <v/>
      </c>
      <c r="AW31" s="20">
        <f>'RH P&amp;L'!AW63</f>
        <v/>
      </c>
      <c r="AX31" s="20">
        <f>'RH P&amp;L'!AX63</f>
        <v/>
      </c>
      <c r="AY31" s="20">
        <f>'RH P&amp;L'!AY63</f>
        <v/>
      </c>
      <c r="BA31" s="20">
        <f>SUM(D31:O31)</f>
        <v/>
      </c>
      <c r="BB31" s="20">
        <f>SUM(P31:AA31)</f>
        <v/>
      </c>
      <c r="BC31" s="20">
        <f>SUM(AB31:AM31)</f>
        <v/>
      </c>
      <c r="BD31" s="20">
        <f>SUM(AN31:AY31)</f>
        <v/>
      </c>
      <c r="BF31" s="20">
        <f>SUM(I31:T31)</f>
        <v/>
      </c>
      <c r="BH31" s="24">
        <f>SUM(BA31:BD31)-SUM(D31:AY31)</f>
        <v/>
      </c>
    </row>
    <row r="32">
      <c r="C32" s="18" t="inlineStr">
        <is>
          <t>Santa Barbara</t>
        </is>
      </c>
      <c r="D32" s="19">
        <f>'SB P&amp;L'!D63</f>
        <v/>
      </c>
      <c r="E32" s="19">
        <f>'SB P&amp;L'!E63</f>
        <v/>
      </c>
      <c r="F32" s="19">
        <f>'SB P&amp;L'!F63</f>
        <v/>
      </c>
      <c r="G32" s="19">
        <f>'SB P&amp;L'!G63</f>
        <v/>
      </c>
      <c r="H32" s="19">
        <f>'SB P&amp;L'!H63</f>
        <v/>
      </c>
      <c r="I32" s="19">
        <f>'SB P&amp;L'!I63</f>
        <v/>
      </c>
      <c r="J32" s="19">
        <f>'SB P&amp;L'!J63</f>
        <v/>
      </c>
      <c r="K32" s="19">
        <f>'SB P&amp;L'!K63</f>
        <v/>
      </c>
      <c r="L32" s="19">
        <f>'SB P&amp;L'!L63</f>
        <v/>
      </c>
      <c r="M32" s="19">
        <f>'SB P&amp;L'!M63</f>
        <v/>
      </c>
      <c r="N32" s="19">
        <f>'SB P&amp;L'!N63</f>
        <v/>
      </c>
      <c r="O32" s="19">
        <f>'SB P&amp;L'!O63</f>
        <v/>
      </c>
      <c r="P32" s="19">
        <f>'SB P&amp;L'!P63</f>
        <v/>
      </c>
      <c r="Q32" s="19">
        <f>'SB P&amp;L'!Q63</f>
        <v/>
      </c>
      <c r="R32" s="19">
        <f>'SB P&amp;L'!R63</f>
        <v/>
      </c>
      <c r="S32" s="19">
        <f>'SB P&amp;L'!S63</f>
        <v/>
      </c>
      <c r="T32" s="19">
        <f>'SB P&amp;L'!T63</f>
        <v/>
      </c>
      <c r="U32" s="19">
        <f>'SB P&amp;L'!U63</f>
        <v/>
      </c>
      <c r="V32" s="20">
        <f>'SB P&amp;L'!V63</f>
        <v/>
      </c>
      <c r="W32" s="20">
        <f>'SB P&amp;L'!W63</f>
        <v/>
      </c>
      <c r="X32" s="20">
        <f>'SB P&amp;L'!X63</f>
        <v/>
      </c>
      <c r="Y32" s="20">
        <f>'SB P&amp;L'!Y63</f>
        <v/>
      </c>
      <c r="Z32" s="20">
        <f>'SB P&amp;L'!Z63</f>
        <v/>
      </c>
      <c r="AA32" s="20">
        <f>'SB P&amp;L'!AA63</f>
        <v/>
      </c>
      <c r="AB32" s="20">
        <f>'SB P&amp;L'!AB63</f>
        <v/>
      </c>
      <c r="AC32" s="20">
        <f>'SB P&amp;L'!AC63</f>
        <v/>
      </c>
      <c r="AD32" s="20">
        <f>'SB P&amp;L'!AD63</f>
        <v/>
      </c>
      <c r="AE32" s="20">
        <f>'SB P&amp;L'!AE63</f>
        <v/>
      </c>
      <c r="AF32" s="20">
        <f>'SB P&amp;L'!AF63</f>
        <v/>
      </c>
      <c r="AG32" s="20">
        <f>'SB P&amp;L'!AG63</f>
        <v/>
      </c>
      <c r="AH32" s="20">
        <f>'SB P&amp;L'!AH63</f>
        <v/>
      </c>
      <c r="AI32" s="20">
        <f>'SB P&amp;L'!AI63</f>
        <v/>
      </c>
      <c r="AJ32" s="20">
        <f>'SB P&amp;L'!AJ63</f>
        <v/>
      </c>
      <c r="AK32" s="20">
        <f>'SB P&amp;L'!AK63</f>
        <v/>
      </c>
      <c r="AL32" s="20">
        <f>'SB P&amp;L'!AL63</f>
        <v/>
      </c>
      <c r="AM32" s="20">
        <f>'SB P&amp;L'!AM63</f>
        <v/>
      </c>
      <c r="AN32" s="20">
        <f>'SB P&amp;L'!AN63</f>
        <v/>
      </c>
      <c r="AO32" s="20">
        <f>'SB P&amp;L'!AO63</f>
        <v/>
      </c>
      <c r="AP32" s="20">
        <f>'SB P&amp;L'!AP63</f>
        <v/>
      </c>
      <c r="AQ32" s="20">
        <f>'SB P&amp;L'!AQ63</f>
        <v/>
      </c>
      <c r="AR32" s="20">
        <f>'SB P&amp;L'!AR63</f>
        <v/>
      </c>
      <c r="AS32" s="20">
        <f>'SB P&amp;L'!AS63</f>
        <v/>
      </c>
      <c r="AT32" s="20">
        <f>'SB P&amp;L'!AT63</f>
        <v/>
      </c>
      <c r="AU32" s="20">
        <f>'SB P&amp;L'!AU63</f>
        <v/>
      </c>
      <c r="AV32" s="20">
        <f>'SB P&amp;L'!AV63</f>
        <v/>
      </c>
      <c r="AW32" s="20">
        <f>'SB P&amp;L'!AW63</f>
        <v/>
      </c>
      <c r="AX32" s="20">
        <f>'SB P&amp;L'!AX63</f>
        <v/>
      </c>
      <c r="AY32" s="20">
        <f>'SB P&amp;L'!AY63</f>
        <v/>
      </c>
      <c r="BA32" s="20">
        <f>SUM(D32:O32)</f>
        <v/>
      </c>
      <c r="BB32" s="20">
        <f>SUM(P32:AA32)</f>
        <v/>
      </c>
      <c r="BC32" s="20">
        <f>SUM(AB32:AM32)</f>
        <v/>
      </c>
      <c r="BD32" s="20">
        <f>SUM(AN32:AY32)</f>
        <v/>
      </c>
      <c r="BF32" s="20">
        <f>SUM(I32:T32)</f>
        <v/>
      </c>
      <c r="BH32" s="24">
        <f>SUM(BA32:BD32)-SUM(D32:AY32)</f>
        <v/>
      </c>
    </row>
    <row r="33">
      <c r="C33" s="18" t="inlineStr">
        <is>
          <t>Santa Monica</t>
        </is>
      </c>
      <c r="D33" s="19">
        <f>'SM P&amp;L'!D64</f>
        <v/>
      </c>
      <c r="E33" s="19">
        <f>'SM P&amp;L'!E64</f>
        <v/>
      </c>
      <c r="F33" s="19">
        <f>'SM P&amp;L'!F64</f>
        <v/>
      </c>
      <c r="G33" s="19">
        <f>'SM P&amp;L'!G64</f>
        <v/>
      </c>
      <c r="H33" s="19">
        <f>'SM P&amp;L'!H64</f>
        <v/>
      </c>
      <c r="I33" s="19">
        <f>'SM P&amp;L'!I64</f>
        <v/>
      </c>
      <c r="J33" s="19">
        <f>'SM P&amp;L'!J64</f>
        <v/>
      </c>
      <c r="K33" s="19">
        <f>'SM P&amp;L'!K64</f>
        <v/>
      </c>
      <c r="L33" s="19">
        <f>'SM P&amp;L'!L64</f>
        <v/>
      </c>
      <c r="M33" s="19">
        <f>'SM P&amp;L'!M64</f>
        <v/>
      </c>
      <c r="N33" s="19">
        <f>'SM P&amp;L'!N64</f>
        <v/>
      </c>
      <c r="O33" s="19">
        <f>'SM P&amp;L'!O64</f>
        <v/>
      </c>
      <c r="P33" s="19">
        <f>'SM P&amp;L'!P64</f>
        <v/>
      </c>
      <c r="Q33" s="19">
        <f>'SM P&amp;L'!Q64</f>
        <v/>
      </c>
      <c r="R33" s="19">
        <f>'SM P&amp;L'!R64</f>
        <v/>
      </c>
      <c r="S33" s="19">
        <f>'SM P&amp;L'!S64</f>
        <v/>
      </c>
      <c r="T33" s="19">
        <f>'SM P&amp;L'!T64</f>
        <v/>
      </c>
      <c r="U33" s="19">
        <f>'SM P&amp;L'!U64</f>
        <v/>
      </c>
      <c r="V33" s="20">
        <f>'SM P&amp;L'!V64</f>
        <v/>
      </c>
      <c r="W33" s="20">
        <f>'SM P&amp;L'!W64</f>
        <v/>
      </c>
      <c r="X33" s="20">
        <f>'SM P&amp;L'!X64</f>
        <v/>
      </c>
      <c r="Y33" s="20">
        <f>'SM P&amp;L'!Y64</f>
        <v/>
      </c>
      <c r="Z33" s="20">
        <f>'SM P&amp;L'!Z64</f>
        <v/>
      </c>
      <c r="AA33" s="20">
        <f>'SM P&amp;L'!AA64</f>
        <v/>
      </c>
      <c r="AB33" s="20">
        <f>'SM P&amp;L'!AB64</f>
        <v/>
      </c>
      <c r="AC33" s="20">
        <f>'SM P&amp;L'!AC64</f>
        <v/>
      </c>
      <c r="AD33" s="20">
        <f>'SM P&amp;L'!AD64</f>
        <v/>
      </c>
      <c r="AE33" s="20">
        <f>'SM P&amp;L'!AE64</f>
        <v/>
      </c>
      <c r="AF33" s="20">
        <f>'SM P&amp;L'!AF64</f>
        <v/>
      </c>
      <c r="AG33" s="20">
        <f>'SM P&amp;L'!AG64</f>
        <v/>
      </c>
      <c r="AH33" s="20">
        <f>'SM P&amp;L'!AH64</f>
        <v/>
      </c>
      <c r="AI33" s="20">
        <f>'SM P&amp;L'!AI64</f>
        <v/>
      </c>
      <c r="AJ33" s="20">
        <f>'SM P&amp;L'!AJ64</f>
        <v/>
      </c>
      <c r="AK33" s="20">
        <f>'SM P&amp;L'!AK64</f>
        <v/>
      </c>
      <c r="AL33" s="20">
        <f>'SM P&amp;L'!AL64</f>
        <v/>
      </c>
      <c r="AM33" s="20">
        <f>'SM P&amp;L'!AM64</f>
        <v/>
      </c>
      <c r="AN33" s="20">
        <f>'SM P&amp;L'!AN64</f>
        <v/>
      </c>
      <c r="AO33" s="20">
        <f>'SM P&amp;L'!AO64</f>
        <v/>
      </c>
      <c r="AP33" s="20">
        <f>'SM P&amp;L'!AP64</f>
        <v/>
      </c>
      <c r="AQ33" s="20">
        <f>'SM P&amp;L'!AQ64</f>
        <v/>
      </c>
      <c r="AR33" s="20">
        <f>'SM P&amp;L'!AR64</f>
        <v/>
      </c>
      <c r="AS33" s="20">
        <f>'SM P&amp;L'!AS64</f>
        <v/>
      </c>
      <c r="AT33" s="20">
        <f>'SM P&amp;L'!AT64</f>
        <v/>
      </c>
      <c r="AU33" s="20">
        <f>'SM P&amp;L'!AU64</f>
        <v/>
      </c>
      <c r="AV33" s="20">
        <f>'SM P&amp;L'!AV64</f>
        <v/>
      </c>
      <c r="AW33" s="20">
        <f>'SM P&amp;L'!AW64</f>
        <v/>
      </c>
      <c r="AX33" s="20">
        <f>'SM P&amp;L'!AX64</f>
        <v/>
      </c>
      <c r="AY33" s="20">
        <f>'SM P&amp;L'!AY64</f>
        <v/>
      </c>
      <c r="BA33" s="20">
        <f>SUM(D33:O33)</f>
        <v/>
      </c>
      <c r="BB33" s="20">
        <f>SUM(P33:AA33)</f>
        <v/>
      </c>
      <c r="BC33" s="20">
        <f>SUM(AB33:AM33)</f>
        <v/>
      </c>
      <c r="BD33" s="20">
        <f>SUM(AN33:AY33)</f>
        <v/>
      </c>
      <c r="BF33" s="20">
        <f>SUM(I33:T33)</f>
        <v/>
      </c>
      <c r="BH33" s="24">
        <f>SUM(BA33:BD33)-SUM(D33:AY33)</f>
        <v/>
      </c>
    </row>
    <row r="34">
      <c r="C34" s="18" t="inlineStr">
        <is>
          <t>West Portal</t>
        </is>
      </c>
      <c r="D34" s="19">
        <f>'WP P&amp;L'!D63</f>
        <v/>
      </c>
      <c r="E34" s="19">
        <f>'WP P&amp;L'!E63</f>
        <v/>
      </c>
      <c r="F34" s="19">
        <f>'WP P&amp;L'!F63</f>
        <v/>
      </c>
      <c r="G34" s="19">
        <f>'WP P&amp;L'!G63</f>
        <v/>
      </c>
      <c r="H34" s="19">
        <f>'WP P&amp;L'!H63</f>
        <v/>
      </c>
      <c r="I34" s="19">
        <f>'WP P&amp;L'!I63</f>
        <v/>
      </c>
      <c r="J34" s="19">
        <f>'WP P&amp;L'!J63</f>
        <v/>
      </c>
      <c r="K34" s="19">
        <f>'WP P&amp;L'!K63</f>
        <v/>
      </c>
      <c r="L34" s="19">
        <f>'WP P&amp;L'!L63</f>
        <v/>
      </c>
      <c r="M34" s="19">
        <f>'WP P&amp;L'!M63</f>
        <v/>
      </c>
      <c r="N34" s="19">
        <f>'WP P&amp;L'!N63</f>
        <v/>
      </c>
      <c r="O34" s="19">
        <f>'WP P&amp;L'!O63</f>
        <v/>
      </c>
      <c r="P34" s="19">
        <f>'WP P&amp;L'!P63</f>
        <v/>
      </c>
      <c r="Q34" s="19">
        <f>'WP P&amp;L'!Q63</f>
        <v/>
      </c>
      <c r="R34" s="19">
        <f>'WP P&amp;L'!R63</f>
        <v/>
      </c>
      <c r="S34" s="19">
        <f>'WP P&amp;L'!S63</f>
        <v/>
      </c>
      <c r="T34" s="19">
        <f>'WP P&amp;L'!T63</f>
        <v/>
      </c>
      <c r="U34" s="19">
        <f>'WP P&amp;L'!U63</f>
        <v/>
      </c>
      <c r="V34" s="20">
        <f>'WP P&amp;L'!V63</f>
        <v/>
      </c>
      <c r="W34" s="20">
        <f>'WP P&amp;L'!W63</f>
        <v/>
      </c>
      <c r="X34" s="20">
        <f>'WP P&amp;L'!X63</f>
        <v/>
      </c>
      <c r="Y34" s="20">
        <f>'WP P&amp;L'!Y63</f>
        <v/>
      </c>
      <c r="Z34" s="20">
        <f>'WP P&amp;L'!Z63</f>
        <v/>
      </c>
      <c r="AA34" s="20">
        <f>'WP P&amp;L'!AA63</f>
        <v/>
      </c>
      <c r="AB34" s="20">
        <f>'WP P&amp;L'!AB63</f>
        <v/>
      </c>
      <c r="AC34" s="20">
        <f>'WP P&amp;L'!AC63</f>
        <v/>
      </c>
      <c r="AD34" s="20">
        <f>'WP P&amp;L'!AD63</f>
        <v/>
      </c>
      <c r="AE34" s="20">
        <f>'WP P&amp;L'!AE63</f>
        <v/>
      </c>
      <c r="AF34" s="20">
        <f>'WP P&amp;L'!AF63</f>
        <v/>
      </c>
      <c r="AG34" s="20">
        <f>'WP P&amp;L'!AG63</f>
        <v/>
      </c>
      <c r="AH34" s="20">
        <f>'WP P&amp;L'!AH63</f>
        <v/>
      </c>
      <c r="AI34" s="20">
        <f>'WP P&amp;L'!AI63</f>
        <v/>
      </c>
      <c r="AJ34" s="20">
        <f>'WP P&amp;L'!AJ63</f>
        <v/>
      </c>
      <c r="AK34" s="20">
        <f>'WP P&amp;L'!AK63</f>
        <v/>
      </c>
      <c r="AL34" s="20">
        <f>'WP P&amp;L'!AL63</f>
        <v/>
      </c>
      <c r="AM34" s="20">
        <f>'WP P&amp;L'!AM63</f>
        <v/>
      </c>
      <c r="AN34" s="20">
        <f>'WP P&amp;L'!AN63</f>
        <v/>
      </c>
      <c r="AO34" s="20">
        <f>'WP P&amp;L'!AO63</f>
        <v/>
      </c>
      <c r="AP34" s="20">
        <f>'WP P&amp;L'!AP63</f>
        <v/>
      </c>
      <c r="AQ34" s="20">
        <f>'WP P&amp;L'!AQ63</f>
        <v/>
      </c>
      <c r="AR34" s="20">
        <f>'WP P&amp;L'!AR63</f>
        <v/>
      </c>
      <c r="AS34" s="20">
        <f>'WP P&amp;L'!AS63</f>
        <v/>
      </c>
      <c r="AT34" s="20">
        <f>'WP P&amp;L'!AT63</f>
        <v/>
      </c>
      <c r="AU34" s="20">
        <f>'WP P&amp;L'!AU63</f>
        <v/>
      </c>
      <c r="AV34" s="20">
        <f>'WP P&amp;L'!AV63</f>
        <v/>
      </c>
      <c r="AW34" s="20">
        <f>'WP P&amp;L'!AW63</f>
        <v/>
      </c>
      <c r="AX34" s="20">
        <f>'WP P&amp;L'!AX63</f>
        <v/>
      </c>
      <c r="AY34" s="20">
        <f>'WP P&amp;L'!AY63</f>
        <v/>
      </c>
      <c r="BA34" s="20">
        <f>SUM(D34:O34)</f>
        <v/>
      </c>
      <c r="BB34" s="20">
        <f>SUM(P34:AA34)</f>
        <v/>
      </c>
      <c r="BC34" s="20">
        <f>SUM(AB34:AM34)</f>
        <v/>
      </c>
      <c r="BD34" s="20">
        <f>SUM(AN34:AY34)</f>
        <v/>
      </c>
      <c r="BF34" s="20">
        <f>SUM(I34:T34)</f>
        <v/>
      </c>
      <c r="BH34" s="24">
        <f>SUM(BA34:BD34)-SUM(D34:AY34)</f>
        <v/>
      </c>
    </row>
    <row r="35">
      <c r="C35" s="18" t="inlineStr">
        <is>
          <t>Westwood</t>
        </is>
      </c>
      <c r="D35" s="19">
        <f>'WW P&amp;L'!D64</f>
        <v/>
      </c>
      <c r="E35" s="19">
        <f>'WW P&amp;L'!E64</f>
        <v/>
      </c>
      <c r="F35" s="19">
        <f>'WW P&amp;L'!F64</f>
        <v/>
      </c>
      <c r="G35" s="19">
        <f>'WW P&amp;L'!G64</f>
        <v/>
      </c>
      <c r="H35" s="19">
        <f>'WW P&amp;L'!H64</f>
        <v/>
      </c>
      <c r="I35" s="19">
        <f>'WW P&amp;L'!I64</f>
        <v/>
      </c>
      <c r="J35" s="19">
        <f>'WW P&amp;L'!J64</f>
        <v/>
      </c>
      <c r="K35" s="19">
        <f>'WW P&amp;L'!K64</f>
        <v/>
      </c>
      <c r="L35" s="19">
        <f>'WW P&amp;L'!L64</f>
        <v/>
      </c>
      <c r="M35" s="19">
        <f>'WW P&amp;L'!M64</f>
        <v/>
      </c>
      <c r="N35" s="19">
        <f>'WW P&amp;L'!N64</f>
        <v/>
      </c>
      <c r="O35" s="19">
        <f>'WW P&amp;L'!O64</f>
        <v/>
      </c>
      <c r="P35" s="19">
        <f>'WW P&amp;L'!P64</f>
        <v/>
      </c>
      <c r="Q35" s="19">
        <f>'WW P&amp;L'!Q64</f>
        <v/>
      </c>
      <c r="R35" s="19">
        <f>'WW P&amp;L'!R64</f>
        <v/>
      </c>
      <c r="S35" s="19">
        <f>'WW P&amp;L'!S64</f>
        <v/>
      </c>
      <c r="T35" s="19">
        <f>'WW P&amp;L'!T64</f>
        <v/>
      </c>
      <c r="U35" s="19">
        <f>'WW P&amp;L'!U64</f>
        <v/>
      </c>
      <c r="V35" s="20">
        <f>'WW P&amp;L'!V64</f>
        <v/>
      </c>
      <c r="W35" s="20">
        <f>'WW P&amp;L'!W64</f>
        <v/>
      </c>
      <c r="X35" s="20">
        <f>'WW P&amp;L'!X64</f>
        <v/>
      </c>
      <c r="Y35" s="20">
        <f>'WW P&amp;L'!Y64</f>
        <v/>
      </c>
      <c r="Z35" s="20">
        <f>'WW P&amp;L'!Z64</f>
        <v/>
      </c>
      <c r="AA35" s="20">
        <f>'WW P&amp;L'!AA64</f>
        <v/>
      </c>
      <c r="AB35" s="20">
        <f>'WW P&amp;L'!AB64</f>
        <v/>
      </c>
      <c r="AC35" s="20">
        <f>'WW P&amp;L'!AC64</f>
        <v/>
      </c>
      <c r="AD35" s="20">
        <f>'WW P&amp;L'!AD64</f>
        <v/>
      </c>
      <c r="AE35" s="20">
        <f>'WW P&amp;L'!AE64</f>
        <v/>
      </c>
      <c r="AF35" s="20">
        <f>'WW P&amp;L'!AF64</f>
        <v/>
      </c>
      <c r="AG35" s="20">
        <f>'WW P&amp;L'!AG64</f>
        <v/>
      </c>
      <c r="AH35" s="20">
        <f>'WW P&amp;L'!AH64</f>
        <v/>
      </c>
      <c r="AI35" s="20">
        <f>'WW P&amp;L'!AI64</f>
        <v/>
      </c>
      <c r="AJ35" s="20">
        <f>'WW P&amp;L'!AJ64</f>
        <v/>
      </c>
      <c r="AK35" s="20">
        <f>'WW P&amp;L'!AK64</f>
        <v/>
      </c>
      <c r="AL35" s="20">
        <f>'WW P&amp;L'!AL64</f>
        <v/>
      </c>
      <c r="AM35" s="20">
        <f>'WW P&amp;L'!AM64</f>
        <v/>
      </c>
      <c r="AN35" s="20">
        <f>'WW P&amp;L'!AN64</f>
        <v/>
      </c>
      <c r="AO35" s="20">
        <f>'WW P&amp;L'!AO64</f>
        <v/>
      </c>
      <c r="AP35" s="20">
        <f>'WW P&amp;L'!AP64</f>
        <v/>
      </c>
      <c r="AQ35" s="20">
        <f>'WW P&amp;L'!AQ64</f>
        <v/>
      </c>
      <c r="AR35" s="20">
        <f>'WW P&amp;L'!AR64</f>
        <v/>
      </c>
      <c r="AS35" s="20">
        <f>'WW P&amp;L'!AS64</f>
        <v/>
      </c>
      <c r="AT35" s="20">
        <f>'WW P&amp;L'!AT64</f>
        <v/>
      </c>
      <c r="AU35" s="20">
        <f>'WW P&amp;L'!AU64</f>
        <v/>
      </c>
      <c r="AV35" s="20">
        <f>'WW P&amp;L'!AV64</f>
        <v/>
      </c>
      <c r="AW35" s="20">
        <f>'WW P&amp;L'!AW64</f>
        <v/>
      </c>
      <c r="AX35" s="20">
        <f>'WW P&amp;L'!AX64</f>
        <v/>
      </c>
      <c r="AY35" s="20">
        <f>'WW P&amp;L'!AY64</f>
        <v/>
      </c>
      <c r="BA35" s="20">
        <f>SUM(D35:O35)</f>
        <v/>
      </c>
      <c r="BB35" s="20">
        <f>SUM(P35:AA35)</f>
        <v/>
      </c>
      <c r="BC35" s="20">
        <f>SUM(AB35:AM35)</f>
        <v/>
      </c>
      <c r="BD35" s="20">
        <f>SUM(AN35:AY35)</f>
        <v/>
      </c>
      <c r="BF35" s="20">
        <f>SUM(I35:T35)</f>
        <v/>
      </c>
      <c r="BH35" s="24">
        <f>SUM(BA35:BD35)-SUM(D35:AY35)</f>
        <v/>
      </c>
    </row>
    <row r="36">
      <c r="C36" s="116" t="inlineStr">
        <is>
          <t>New Location (Prototype Build)</t>
        </is>
      </c>
      <c r="D36" s="114" t="n"/>
      <c r="E36" s="114" t="n"/>
      <c r="F36" s="114" t="n"/>
      <c r="G36" s="114" t="n"/>
      <c r="H36" s="114" t="n"/>
      <c r="I36" s="114" t="n"/>
      <c r="J36" s="114" t="n"/>
      <c r="K36" s="114" t="n"/>
      <c r="L36" s="114" t="n"/>
      <c r="M36" s="114" t="n"/>
      <c r="N36" s="114" t="n"/>
      <c r="O36" s="114" t="n"/>
      <c r="P36" s="114" t="n"/>
      <c r="Q36" s="114" t="n"/>
      <c r="R36" s="114" t="n"/>
      <c r="S36" s="114" t="n"/>
      <c r="T36" s="114" t="n"/>
      <c r="U36" s="114" t="n"/>
      <c r="V36" s="254" t="n"/>
      <c r="W36" s="254" t="n"/>
      <c r="X36" s="254" t="n"/>
      <c r="Y36" s="254" t="n"/>
      <c r="Z36" s="254" t="n"/>
      <c r="AA36" s="254" t="n"/>
      <c r="AB36" s="256">
        <f>Prototype!B48</f>
        <v/>
      </c>
      <c r="AC36" s="256">
        <f>Prototype!C48</f>
        <v/>
      </c>
      <c r="AD36" s="256">
        <f>Prototype!D48</f>
        <v/>
      </c>
      <c r="AE36" s="256">
        <f>Prototype!E48</f>
        <v/>
      </c>
      <c r="AF36" s="256">
        <f>Prototype!F48</f>
        <v/>
      </c>
      <c r="AG36" s="256">
        <f>Prototype!G48</f>
        <v/>
      </c>
      <c r="AH36" s="256">
        <f>Prototype!H48</f>
        <v/>
      </c>
      <c r="AI36" s="256">
        <f>Prototype!I48</f>
        <v/>
      </c>
      <c r="AJ36" s="256">
        <f>Prototype!J48</f>
        <v/>
      </c>
      <c r="AK36" s="256">
        <f>Prototype!K48</f>
        <v/>
      </c>
      <c r="AL36" s="256">
        <f>Prototype!L48</f>
        <v/>
      </c>
      <c r="AM36" s="256">
        <f>Prototype!M48</f>
        <v/>
      </c>
      <c r="AN36" s="256">
        <f>Prototype!N48</f>
        <v/>
      </c>
      <c r="AO36" s="256">
        <f>Prototype!O48</f>
        <v/>
      </c>
      <c r="AP36" s="256">
        <f>Prototype!P48</f>
        <v/>
      </c>
      <c r="AQ36" s="256">
        <f>Prototype!Q48</f>
        <v/>
      </c>
      <c r="AR36" s="256">
        <f>Prototype!R48</f>
        <v/>
      </c>
      <c r="AS36" s="256">
        <f>Prototype!S48</f>
        <v/>
      </c>
      <c r="AT36" s="256">
        <f>Prototype!T48</f>
        <v/>
      </c>
      <c r="AU36" s="256">
        <f>Prototype!U48</f>
        <v/>
      </c>
      <c r="AV36" s="256">
        <f>Prototype!V48</f>
        <v/>
      </c>
      <c r="AW36" s="256">
        <f>Prototype!W48</f>
        <v/>
      </c>
      <c r="AX36" s="256">
        <f>Prototype!X48</f>
        <v/>
      </c>
      <c r="AY36" s="256">
        <f>Prototype!Y48</f>
        <v/>
      </c>
      <c r="BA36" s="20">
        <f>SUM(D36:O36)</f>
        <v/>
      </c>
      <c r="BB36" s="20">
        <f>SUM(P36:AA36)</f>
        <v/>
      </c>
      <c r="BC36" s="20">
        <f>SUM(AB36:AM36)</f>
        <v/>
      </c>
      <c r="BD36" s="20">
        <f>SUM(AN36:AY36)</f>
        <v/>
      </c>
      <c r="BF36" s="20">
        <f>SUM(I36:T36)</f>
        <v/>
      </c>
      <c r="BH36" s="24" t="n"/>
    </row>
    <row r="37" ht="16" customHeight="1" s="282">
      <c r="C37" s="39" t="inlineStr">
        <is>
          <t>Head Office</t>
        </is>
      </c>
      <c r="D37" s="40">
        <f>'HO P&amp;L'!D36</f>
        <v/>
      </c>
      <c r="E37" s="40">
        <f>'HO P&amp;L'!E36</f>
        <v/>
      </c>
      <c r="F37" s="40">
        <f>'HO P&amp;L'!F36</f>
        <v/>
      </c>
      <c r="G37" s="40">
        <f>'HO P&amp;L'!G36</f>
        <v/>
      </c>
      <c r="H37" s="40">
        <f>'HO P&amp;L'!H36</f>
        <v/>
      </c>
      <c r="I37" s="40">
        <f>'HO P&amp;L'!I36</f>
        <v/>
      </c>
      <c r="J37" s="40">
        <f>'HO P&amp;L'!J36</f>
        <v/>
      </c>
      <c r="K37" s="40">
        <f>'HO P&amp;L'!K36</f>
        <v/>
      </c>
      <c r="L37" s="40">
        <f>'HO P&amp;L'!L36</f>
        <v/>
      </c>
      <c r="M37" s="40">
        <f>'HO P&amp;L'!M36</f>
        <v/>
      </c>
      <c r="N37" s="40">
        <f>'HO P&amp;L'!N36</f>
        <v/>
      </c>
      <c r="O37" s="40">
        <f>'HO P&amp;L'!O36</f>
        <v/>
      </c>
      <c r="P37" s="40">
        <f>'HO P&amp;L'!P36</f>
        <v/>
      </c>
      <c r="Q37" s="40">
        <f>'HO P&amp;L'!Q36</f>
        <v/>
      </c>
      <c r="R37" s="40">
        <f>'HO P&amp;L'!R36</f>
        <v/>
      </c>
      <c r="S37" s="40">
        <f>'HO P&amp;L'!S36</f>
        <v/>
      </c>
      <c r="T37" s="40">
        <f>'HO P&amp;L'!T36</f>
        <v/>
      </c>
      <c r="U37" s="40">
        <f>'HO P&amp;L'!U36</f>
        <v/>
      </c>
      <c r="V37" s="41">
        <f>'HO P&amp;L'!V36</f>
        <v/>
      </c>
      <c r="W37" s="41">
        <f>'HO P&amp;L'!W36</f>
        <v/>
      </c>
      <c r="X37" s="41">
        <f>'HO P&amp;L'!X36</f>
        <v/>
      </c>
      <c r="Y37" s="41">
        <f>'HO P&amp;L'!Y36</f>
        <v/>
      </c>
      <c r="Z37" s="41">
        <f>'HO P&amp;L'!Z36</f>
        <v/>
      </c>
      <c r="AA37" s="41">
        <f>'HO P&amp;L'!AA36</f>
        <v/>
      </c>
      <c r="AB37" s="41">
        <f>'HO P&amp;L'!AB36</f>
        <v/>
      </c>
      <c r="AC37" s="41">
        <f>'HO P&amp;L'!AC36</f>
        <v/>
      </c>
      <c r="AD37" s="41">
        <f>'HO P&amp;L'!AD36</f>
        <v/>
      </c>
      <c r="AE37" s="41">
        <f>'HO P&amp;L'!AE36</f>
        <v/>
      </c>
      <c r="AF37" s="41">
        <f>'HO P&amp;L'!AF36</f>
        <v/>
      </c>
      <c r="AG37" s="41">
        <f>'HO P&amp;L'!AG36</f>
        <v/>
      </c>
      <c r="AH37" s="41">
        <f>'HO P&amp;L'!AH36</f>
        <v/>
      </c>
      <c r="AI37" s="41">
        <f>'HO P&amp;L'!AI36</f>
        <v/>
      </c>
      <c r="AJ37" s="41">
        <f>'HO P&amp;L'!AJ36</f>
        <v/>
      </c>
      <c r="AK37" s="41">
        <f>'HO P&amp;L'!AK36</f>
        <v/>
      </c>
      <c r="AL37" s="41">
        <f>'HO P&amp;L'!AL36</f>
        <v/>
      </c>
      <c r="AM37" s="41">
        <f>'HO P&amp;L'!AM36</f>
        <v/>
      </c>
      <c r="AN37" s="41">
        <f>'HO P&amp;L'!AN36</f>
        <v/>
      </c>
      <c r="AO37" s="41">
        <f>'HO P&amp;L'!AO36</f>
        <v/>
      </c>
      <c r="AP37" s="41">
        <f>'HO P&amp;L'!AP36</f>
        <v/>
      </c>
      <c r="AQ37" s="41">
        <f>'HO P&amp;L'!AQ36</f>
        <v/>
      </c>
      <c r="AR37" s="41">
        <f>'HO P&amp;L'!AR36</f>
        <v/>
      </c>
      <c r="AS37" s="41">
        <f>'HO P&amp;L'!AS36</f>
        <v/>
      </c>
      <c r="AT37" s="41">
        <f>'HO P&amp;L'!AT36</f>
        <v/>
      </c>
      <c r="AU37" s="41">
        <f>'HO P&amp;L'!AU36</f>
        <v/>
      </c>
      <c r="AV37" s="41">
        <f>'HO P&amp;L'!AV36</f>
        <v/>
      </c>
      <c r="AW37" s="41">
        <f>'HO P&amp;L'!AW36</f>
        <v/>
      </c>
      <c r="AX37" s="41">
        <f>'HO P&amp;L'!AX36</f>
        <v/>
      </c>
      <c r="AY37" s="41">
        <f>'HO P&amp;L'!AY36</f>
        <v/>
      </c>
      <c r="BA37" s="41">
        <f>SUM(D37:O37)</f>
        <v/>
      </c>
      <c r="BB37" s="41">
        <f>SUM(P37:AA37)</f>
        <v/>
      </c>
      <c r="BC37" s="41">
        <f>SUM(AB37:AM37)</f>
        <v/>
      </c>
      <c r="BD37" s="41">
        <f>SUM(AN37:AY37)</f>
        <v/>
      </c>
      <c r="BF37" s="41">
        <f>SUM(I37:T37)</f>
        <v/>
      </c>
      <c r="BH37" s="24">
        <f>SUM(BA37:BD37)-SUM(D37:AY37)</f>
        <v/>
      </c>
    </row>
    <row r="39">
      <c r="B39" s="246" t="inlineStr">
        <is>
          <t>Studio Level EBITDA</t>
        </is>
      </c>
      <c r="C39" s="246" t="n"/>
      <c r="D39" s="247">
        <f>SUM(D24:D36)</f>
        <v/>
      </c>
      <c r="E39" s="247">
        <f>SUM(E24:E36)</f>
        <v/>
      </c>
      <c r="F39" s="247">
        <f>SUM(F24:F36)</f>
        <v/>
      </c>
      <c r="G39" s="247">
        <f>SUM(G24:G36)</f>
        <v/>
      </c>
      <c r="H39" s="247">
        <f>SUM(H24:H36)</f>
        <v/>
      </c>
      <c r="I39" s="247">
        <f>SUM(I24:I36)</f>
        <v/>
      </c>
      <c r="J39" s="247">
        <f>SUM(J24:J36)</f>
        <v/>
      </c>
      <c r="K39" s="247">
        <f>SUM(K24:K36)</f>
        <v/>
      </c>
      <c r="L39" s="247">
        <f>SUM(L24:L36)</f>
        <v/>
      </c>
      <c r="M39" s="247">
        <f>SUM(M24:M36)</f>
        <v/>
      </c>
      <c r="N39" s="247">
        <f>SUM(N24:N36)</f>
        <v/>
      </c>
      <c r="O39" s="247">
        <f>SUM(O24:O36)</f>
        <v/>
      </c>
      <c r="P39" s="247">
        <f>SUM(P24:P36)</f>
        <v/>
      </c>
      <c r="Q39" s="247">
        <f>SUM(Q24:Q36)</f>
        <v/>
      </c>
      <c r="R39" s="247">
        <f>SUM(R24:R36)</f>
        <v/>
      </c>
      <c r="S39" s="247">
        <f>SUM(S24:S36)</f>
        <v/>
      </c>
      <c r="T39" s="247">
        <f>SUM(T24:T36)</f>
        <v/>
      </c>
      <c r="U39" s="247">
        <f>SUM(U24:U36)</f>
        <v/>
      </c>
      <c r="V39" s="247">
        <f>SUM(V24:V36)</f>
        <v/>
      </c>
      <c r="W39" s="247">
        <f>SUM(W24:W36)</f>
        <v/>
      </c>
      <c r="X39" s="247">
        <f>SUM(X24:X36)</f>
        <v/>
      </c>
      <c r="Y39" s="247">
        <f>SUM(Y24:Y36)</f>
        <v/>
      </c>
      <c r="Z39" s="247">
        <f>SUM(Z24:Z36)</f>
        <v/>
      </c>
      <c r="AA39" s="247">
        <f>SUM(AA24:AA36)</f>
        <v/>
      </c>
      <c r="AB39" s="247">
        <f>SUM(AB24:AB36)</f>
        <v/>
      </c>
      <c r="AC39" s="247">
        <f>SUM(AC24:AC36)</f>
        <v/>
      </c>
      <c r="AD39" s="247">
        <f>SUM(AD24:AD36)</f>
        <v/>
      </c>
      <c r="AE39" s="247">
        <f>SUM(AE24:AE36)</f>
        <v/>
      </c>
      <c r="AF39" s="247">
        <f>SUM(AF24:AF36)</f>
        <v/>
      </c>
      <c r="AG39" s="247">
        <f>SUM(AG24:AG36)</f>
        <v/>
      </c>
      <c r="AH39" s="247">
        <f>SUM(AH24:AH36)</f>
        <v/>
      </c>
      <c r="AI39" s="247">
        <f>SUM(AI24:AI36)</f>
        <v/>
      </c>
      <c r="AJ39" s="247">
        <f>SUM(AJ24:AJ36)</f>
        <v/>
      </c>
      <c r="AK39" s="247">
        <f>SUM(AK24:AK36)</f>
        <v/>
      </c>
      <c r="AL39" s="247">
        <f>SUM(AL24:AL36)</f>
        <v/>
      </c>
      <c r="AM39" s="247">
        <f>SUM(AM24:AM36)</f>
        <v/>
      </c>
      <c r="AN39" s="247">
        <f>SUM(AN24:AN36)</f>
        <v/>
      </c>
      <c r="AO39" s="247">
        <f>SUM(AO24:AO36)</f>
        <v/>
      </c>
      <c r="AP39" s="247">
        <f>SUM(AP24:AP36)</f>
        <v/>
      </c>
      <c r="AQ39" s="247">
        <f>SUM(AQ24:AQ36)</f>
        <v/>
      </c>
      <c r="AR39" s="247">
        <f>SUM(AR24:AR36)</f>
        <v/>
      </c>
      <c r="AS39" s="247">
        <f>SUM(AS24:AS36)</f>
        <v/>
      </c>
      <c r="AT39" s="247">
        <f>SUM(AT24:AT36)</f>
        <v/>
      </c>
      <c r="AU39" s="247">
        <f>SUM(AU24:AU36)</f>
        <v/>
      </c>
      <c r="AV39" s="247">
        <f>SUM(AV24:AV36)</f>
        <v/>
      </c>
      <c r="AW39" s="247">
        <f>SUM(AW24:AW36)</f>
        <v/>
      </c>
      <c r="AX39" s="247">
        <f>SUM(AX24:AX36)</f>
        <v/>
      </c>
      <c r="AY39" s="247">
        <f>SUM(AY24:AY36)</f>
        <v/>
      </c>
      <c r="AZ39" s="246" t="n"/>
      <c r="BA39" s="247">
        <f>SUM(D39:O39)</f>
        <v/>
      </c>
      <c r="BB39" s="247">
        <f>SUM(P39:AA39)</f>
        <v/>
      </c>
      <c r="BC39" s="247">
        <f>SUM(AB39:AM39)</f>
        <v/>
      </c>
      <c r="BD39" s="247">
        <f>SUM(AN39:AY39)</f>
        <v/>
      </c>
      <c r="BE39" s="112" t="n"/>
      <c r="BF39" s="247">
        <f>SUM(I39:T39)</f>
        <v/>
      </c>
    </row>
    <row r="40">
      <c r="B40" s="39" t="inlineStr">
        <is>
          <t>Head Office</t>
        </is>
      </c>
      <c r="C40" s="99" t="n"/>
      <c r="D40" s="126">
        <f>D37</f>
        <v/>
      </c>
      <c r="E40" s="126">
        <f>E37</f>
        <v/>
      </c>
      <c r="F40" s="126">
        <f>F37</f>
        <v/>
      </c>
      <c r="G40" s="126">
        <f>G37</f>
        <v/>
      </c>
      <c r="H40" s="126">
        <f>H37</f>
        <v/>
      </c>
      <c r="I40" s="126">
        <f>I37</f>
        <v/>
      </c>
      <c r="J40" s="126">
        <f>J37</f>
        <v/>
      </c>
      <c r="K40" s="126">
        <f>K37</f>
        <v/>
      </c>
      <c r="L40" s="126">
        <f>L37</f>
        <v/>
      </c>
      <c r="M40" s="126">
        <f>M37</f>
        <v/>
      </c>
      <c r="N40" s="126">
        <f>N37</f>
        <v/>
      </c>
      <c r="O40" s="126">
        <f>O37</f>
        <v/>
      </c>
      <c r="P40" s="126">
        <f>P37</f>
        <v/>
      </c>
      <c r="Q40" s="126">
        <f>Q37</f>
        <v/>
      </c>
      <c r="R40" s="126">
        <f>R37</f>
        <v/>
      </c>
      <c r="S40" s="126">
        <f>S37</f>
        <v/>
      </c>
      <c r="T40" s="126">
        <f>T37</f>
        <v/>
      </c>
      <c r="U40" s="126">
        <f>U37</f>
        <v/>
      </c>
      <c r="V40" s="126">
        <f>V37</f>
        <v/>
      </c>
      <c r="W40" s="126">
        <f>W37</f>
        <v/>
      </c>
      <c r="X40" s="126">
        <f>X37</f>
        <v/>
      </c>
      <c r="Y40" s="126">
        <f>Y37</f>
        <v/>
      </c>
      <c r="Z40" s="126">
        <f>Z37</f>
        <v/>
      </c>
      <c r="AA40" s="126">
        <f>AA37</f>
        <v/>
      </c>
      <c r="AB40" s="126">
        <f>AB37</f>
        <v/>
      </c>
      <c r="AC40" s="126">
        <f>AC37</f>
        <v/>
      </c>
      <c r="AD40" s="126">
        <f>AD37</f>
        <v/>
      </c>
      <c r="AE40" s="126">
        <f>AE37</f>
        <v/>
      </c>
      <c r="AF40" s="126">
        <f>AF37</f>
        <v/>
      </c>
      <c r="AG40" s="126">
        <f>AG37</f>
        <v/>
      </c>
      <c r="AH40" s="126">
        <f>AH37</f>
        <v/>
      </c>
      <c r="AI40" s="126">
        <f>AI37</f>
        <v/>
      </c>
      <c r="AJ40" s="126">
        <f>AJ37</f>
        <v/>
      </c>
      <c r="AK40" s="126">
        <f>AK37</f>
        <v/>
      </c>
      <c r="AL40" s="126">
        <f>AL37</f>
        <v/>
      </c>
      <c r="AM40" s="126">
        <f>AM37</f>
        <v/>
      </c>
      <c r="AN40" s="126">
        <f>AN37</f>
        <v/>
      </c>
      <c r="AO40" s="126">
        <f>AO37</f>
        <v/>
      </c>
      <c r="AP40" s="126">
        <f>AP37</f>
        <v/>
      </c>
      <c r="AQ40" s="126">
        <f>AQ37</f>
        <v/>
      </c>
      <c r="AR40" s="126">
        <f>AR37</f>
        <v/>
      </c>
      <c r="AS40" s="126">
        <f>AS37</f>
        <v/>
      </c>
      <c r="AT40" s="126">
        <f>AT37</f>
        <v/>
      </c>
      <c r="AU40" s="126">
        <f>AU37</f>
        <v/>
      </c>
      <c r="AV40" s="126">
        <f>AV37</f>
        <v/>
      </c>
      <c r="AW40" s="126">
        <f>AW37</f>
        <v/>
      </c>
      <c r="AX40" s="126">
        <f>AX37</f>
        <v/>
      </c>
      <c r="AY40" s="126">
        <f>AY37</f>
        <v/>
      </c>
      <c r="AZ40" s="99" t="n"/>
      <c r="BA40" s="20">
        <f>SUM(D40:O40)</f>
        <v/>
      </c>
      <c r="BB40" s="20">
        <f>SUM(P40:AA40)</f>
        <v/>
      </c>
      <c r="BC40" s="20">
        <f>SUM(AB40:AM40)</f>
        <v/>
      </c>
      <c r="BD40" s="20">
        <f>SUM(AN40:AY40)</f>
        <v/>
      </c>
      <c r="BF40" s="20">
        <f>SUM(I40:T40)</f>
        <v/>
      </c>
    </row>
    <row r="41">
      <c r="B41" s="246" t="inlineStr">
        <is>
          <t>EBITDA, Post Corp Overhead</t>
        </is>
      </c>
      <c r="C41" s="246" t="n"/>
      <c r="D41" s="247">
        <f>SUM(D39:D40)</f>
        <v/>
      </c>
      <c r="E41" s="247">
        <f>SUM(E39:E40)</f>
        <v/>
      </c>
      <c r="F41" s="247">
        <f>SUM(F39:F40)</f>
        <v/>
      </c>
      <c r="G41" s="247">
        <f>SUM(G39:G40)</f>
        <v/>
      </c>
      <c r="H41" s="247">
        <f>SUM(H39:H40)</f>
        <v/>
      </c>
      <c r="I41" s="247">
        <f>SUM(I39:I40)</f>
        <v/>
      </c>
      <c r="J41" s="247">
        <f>SUM(J39:J40)</f>
        <v/>
      </c>
      <c r="K41" s="247">
        <f>SUM(K39:K40)</f>
        <v/>
      </c>
      <c r="L41" s="247">
        <f>SUM(L39:L40)</f>
        <v/>
      </c>
      <c r="M41" s="247">
        <f>SUM(M39:M40)</f>
        <v/>
      </c>
      <c r="N41" s="247">
        <f>SUM(N39:N40)</f>
        <v/>
      </c>
      <c r="O41" s="247">
        <f>SUM(O39:O40)</f>
        <v/>
      </c>
      <c r="P41" s="247">
        <f>SUM(P39:P40)</f>
        <v/>
      </c>
      <c r="Q41" s="247">
        <f>SUM(Q39:Q40)</f>
        <v/>
      </c>
      <c r="R41" s="247">
        <f>SUM(R39:R40)</f>
        <v/>
      </c>
      <c r="S41" s="247">
        <f>SUM(S39:S40)</f>
        <v/>
      </c>
      <c r="T41" s="247">
        <f>SUM(T39:T40)</f>
        <v/>
      </c>
      <c r="U41" s="247">
        <f>SUM(U39:U40)</f>
        <v/>
      </c>
      <c r="V41" s="247">
        <f>SUM(V39:V40)</f>
        <v/>
      </c>
      <c r="W41" s="247">
        <f>SUM(W39:W40)</f>
        <v/>
      </c>
      <c r="X41" s="247">
        <f>SUM(X39:X40)</f>
        <v/>
      </c>
      <c r="Y41" s="247">
        <f>SUM(Y39:Y40)</f>
        <v/>
      </c>
      <c r="Z41" s="247">
        <f>SUM(Z39:Z40)</f>
        <v/>
      </c>
      <c r="AA41" s="247">
        <f>SUM(AA39:AA40)</f>
        <v/>
      </c>
      <c r="AB41" s="247">
        <f>SUM(AB39:AB40)</f>
        <v/>
      </c>
      <c r="AC41" s="247">
        <f>SUM(AC39:AC40)</f>
        <v/>
      </c>
      <c r="AD41" s="247">
        <f>SUM(AD39:AD40)</f>
        <v/>
      </c>
      <c r="AE41" s="247">
        <f>SUM(AE39:AE40)</f>
        <v/>
      </c>
      <c r="AF41" s="247">
        <f>SUM(AF39:AF40)</f>
        <v/>
      </c>
      <c r="AG41" s="247">
        <f>SUM(AG39:AG40)</f>
        <v/>
      </c>
      <c r="AH41" s="247">
        <f>SUM(AH39:AH40)</f>
        <v/>
      </c>
      <c r="AI41" s="247">
        <f>SUM(AI39:AI40)</f>
        <v/>
      </c>
      <c r="AJ41" s="247">
        <f>SUM(AJ39:AJ40)</f>
        <v/>
      </c>
      <c r="AK41" s="247">
        <f>SUM(AK39:AK40)</f>
        <v/>
      </c>
      <c r="AL41" s="247">
        <f>SUM(AL39:AL40)</f>
        <v/>
      </c>
      <c r="AM41" s="247">
        <f>SUM(AM39:AM40)</f>
        <v/>
      </c>
      <c r="AN41" s="247">
        <f>SUM(AN39:AN40)</f>
        <v/>
      </c>
      <c r="AO41" s="247">
        <f>SUM(AO39:AO40)</f>
        <v/>
      </c>
      <c r="AP41" s="247">
        <f>SUM(AP39:AP40)</f>
        <v/>
      </c>
      <c r="AQ41" s="247">
        <f>SUM(AQ39:AQ40)</f>
        <v/>
      </c>
      <c r="AR41" s="247">
        <f>SUM(AR39:AR40)</f>
        <v/>
      </c>
      <c r="AS41" s="247">
        <f>SUM(AS39:AS40)</f>
        <v/>
      </c>
      <c r="AT41" s="247">
        <f>SUM(AT39:AT40)</f>
        <v/>
      </c>
      <c r="AU41" s="247">
        <f>SUM(AU39:AU40)</f>
        <v/>
      </c>
      <c r="AV41" s="247">
        <f>SUM(AV39:AV40)</f>
        <v/>
      </c>
      <c r="AW41" s="247">
        <f>SUM(AW39:AW40)</f>
        <v/>
      </c>
      <c r="AX41" s="247">
        <f>SUM(AX39:AX40)</f>
        <v/>
      </c>
      <c r="AY41" s="247">
        <f>SUM(AY39:AY40)</f>
        <v/>
      </c>
      <c r="AZ41" s="246" t="n"/>
      <c r="BA41" s="247">
        <f>SUM(BA39:BA40)</f>
        <v/>
      </c>
      <c r="BB41" s="247">
        <f>SUM(BB39:BB40)</f>
        <v/>
      </c>
      <c r="BC41" s="247">
        <f>SUM(BC39:BC40)</f>
        <v/>
      </c>
      <c r="BD41" s="247">
        <f>SUM(BD39:BD40)</f>
        <v/>
      </c>
      <c r="BE41" s="112" t="n"/>
      <c r="BF41" s="247">
        <f>SUM(I41:T41)</f>
        <v/>
      </c>
    </row>
    <row r="42" ht="16" customHeight="1" s="282">
      <c r="B42" t="inlineStr">
        <is>
          <t>Russian Hill Start-Up Costs</t>
        </is>
      </c>
      <c r="D42" s="243" t="n">
        <v>27678.97</v>
      </c>
      <c r="E42" s="243" t="n">
        <v>46607.8</v>
      </c>
      <c r="F42" s="243" t="n">
        <v>2621.08</v>
      </c>
      <c r="G42" s="243" t="n">
        <v>3676.99</v>
      </c>
      <c r="H42" s="243" t="n">
        <v>3252</v>
      </c>
      <c r="I42" s="243" t="n">
        <v>0</v>
      </c>
      <c r="J42" s="243" t="n">
        <v>0</v>
      </c>
      <c r="K42" s="243" t="n">
        <v>1306.25</v>
      </c>
      <c r="L42" s="243" t="n">
        <v>0</v>
      </c>
      <c r="M42" s="243" t="n">
        <v>0</v>
      </c>
      <c r="N42" s="243" t="n">
        <v>0</v>
      </c>
      <c r="O42" s="243" t="n">
        <v>0</v>
      </c>
      <c r="P42" s="243" t="n"/>
      <c r="Q42" s="243" t="n"/>
      <c r="R42" s="243" t="n"/>
      <c r="S42" s="243" t="n"/>
      <c r="T42" s="243" t="n"/>
      <c r="U42" s="243" t="n"/>
      <c r="V42" s="244" t="n"/>
      <c r="W42" s="244" t="n"/>
      <c r="X42" s="244" t="n"/>
      <c r="Y42" s="244" t="n"/>
      <c r="Z42" s="244" t="n"/>
      <c r="AA42" s="244" t="n"/>
      <c r="AB42" s="139" t="n"/>
      <c r="AC42" s="139" t="n"/>
      <c r="AD42" s="139" t="n"/>
      <c r="AE42" s="139" t="n"/>
      <c r="AF42" s="139" t="n"/>
      <c r="AG42" s="139" t="n"/>
      <c r="AH42" s="139" t="n"/>
      <c r="AI42" s="139" t="n"/>
      <c r="AJ42" s="139" t="n"/>
      <c r="AK42" s="139" t="n"/>
      <c r="AL42" s="139" t="n"/>
      <c r="AM42" s="139" t="n"/>
      <c r="AN42" s="139" t="n"/>
      <c r="AO42" s="139" t="n"/>
      <c r="AP42" s="139" t="n"/>
      <c r="AQ42" s="126" t="n"/>
      <c r="AR42" s="126" t="n"/>
      <c r="AS42" s="126" t="n"/>
      <c r="AT42" s="126" t="n"/>
      <c r="AU42" s="126" t="n"/>
      <c r="AV42" s="126" t="n"/>
      <c r="AW42" s="126" t="n"/>
      <c r="AX42" s="126" t="n"/>
      <c r="AY42" s="126" t="n"/>
      <c r="BA42" s="20">
        <f>SUM(D42:O42)</f>
        <v/>
      </c>
      <c r="BB42" s="20">
        <f>SUM(P42:AA42)</f>
        <v/>
      </c>
      <c r="BC42" s="20">
        <f>SUM(AB42:AM42)</f>
        <v/>
      </c>
      <c r="BD42" s="20">
        <f>SUM(AN42:AY42)</f>
        <v/>
      </c>
      <c r="BE42" s="252" t="n"/>
      <c r="BF42" s="20">
        <f>SUM(I42:T42)</f>
        <v/>
      </c>
    </row>
    <row r="43" ht="16" customHeight="1" s="282">
      <c r="B43" t="inlineStr">
        <is>
          <t>Ocean Park Start-Up Costs</t>
        </is>
      </c>
      <c r="D43" s="243" t="n">
        <v>719.87</v>
      </c>
      <c r="E43" s="243" t="n">
        <v>5189.830000000001</v>
      </c>
      <c r="F43" s="243" t="n">
        <v>27247.86</v>
      </c>
      <c r="G43" s="243" t="n">
        <v>9987.27</v>
      </c>
      <c r="H43" s="243" t="n">
        <v>543.23</v>
      </c>
      <c r="I43" s="243" t="n">
        <v>777.13</v>
      </c>
      <c r="J43" s="243" t="n">
        <v>0</v>
      </c>
      <c r="K43" s="243" t="n">
        <v>0</v>
      </c>
      <c r="L43" s="243" t="n">
        <v>387.59</v>
      </c>
      <c r="M43" s="243" t="n">
        <v>0</v>
      </c>
      <c r="N43" s="243" t="n">
        <v>0</v>
      </c>
      <c r="O43" s="243" t="n">
        <v>0</v>
      </c>
      <c r="P43" s="243" t="n"/>
      <c r="Q43" s="243" t="n"/>
      <c r="R43" s="243" t="n"/>
      <c r="S43" s="243" t="n"/>
      <c r="T43" s="243" t="n"/>
      <c r="U43" s="243" t="n"/>
      <c r="V43" s="244" t="n"/>
      <c r="W43" s="244" t="n"/>
      <c r="X43" s="244" t="n"/>
      <c r="Y43" s="244" t="n"/>
      <c r="Z43" s="244" t="n"/>
      <c r="AA43" s="244" t="n"/>
      <c r="AB43" s="139" t="n"/>
      <c r="AC43" s="139" t="n"/>
      <c r="AD43" s="139" t="n"/>
      <c r="AE43" s="139" t="n"/>
      <c r="AF43" s="139" t="n"/>
      <c r="AG43" s="139" t="n"/>
      <c r="AH43" s="139" t="n"/>
      <c r="AI43" s="139" t="n"/>
      <c r="AJ43" s="139" t="n"/>
      <c r="AK43" s="139" t="n"/>
      <c r="AL43" s="139" t="n"/>
      <c r="AM43" s="139" t="n"/>
      <c r="AN43" s="139" t="n"/>
      <c r="AO43" s="139" t="n"/>
      <c r="AP43" s="139" t="n"/>
      <c r="AQ43" s="126" t="n"/>
      <c r="AR43" s="126" t="n"/>
      <c r="AS43" s="126" t="n"/>
      <c r="AT43" s="126" t="n"/>
      <c r="AU43" s="126" t="n"/>
      <c r="AV43" s="126" t="n"/>
      <c r="AW43" s="126" t="n"/>
      <c r="AX43" s="126" t="n"/>
      <c r="AY43" s="126" t="n"/>
      <c r="BA43" s="20">
        <f>SUM(D43:O43)</f>
        <v/>
      </c>
      <c r="BB43" s="20">
        <f>SUM(P43:AA43)</f>
        <v/>
      </c>
      <c r="BC43" s="20">
        <f>SUM(AB43:AM43)</f>
        <v/>
      </c>
      <c r="BD43" s="20">
        <f>SUM(AN43:AY43)</f>
        <v/>
      </c>
      <c r="BE43" s="252" t="n"/>
      <c r="BF43" s="20">
        <f>SUM(I43:T43)</f>
        <v/>
      </c>
    </row>
    <row r="44" ht="16" customHeight="1" s="282">
      <c r="B44" t="inlineStr">
        <is>
          <t>Danville Start-Up Costs</t>
        </is>
      </c>
      <c r="D44" s="243" t="n">
        <v>0</v>
      </c>
      <c r="E44" s="243" t="n">
        <v>132.98</v>
      </c>
      <c r="F44" s="243" t="n">
        <v>2286</v>
      </c>
      <c r="G44" s="243" t="n">
        <v>6670.780000000001</v>
      </c>
      <c r="H44" s="243" t="n">
        <v>19624.68</v>
      </c>
      <c r="I44" s="243" t="n">
        <v>52723.88</v>
      </c>
      <c r="J44" s="243" t="n">
        <v>2276.32</v>
      </c>
      <c r="K44" s="243" t="n">
        <v>2394.01</v>
      </c>
      <c r="L44" s="243" t="n">
        <v>600</v>
      </c>
      <c r="M44" s="243" t="n">
        <v>0</v>
      </c>
      <c r="N44" s="243" t="n">
        <v>0</v>
      </c>
      <c r="O44" s="243" t="n">
        <v>0</v>
      </c>
      <c r="P44" s="243" t="n"/>
      <c r="Q44" s="243" t="n"/>
      <c r="R44" s="243" t="n"/>
      <c r="S44" s="243" t="n"/>
      <c r="T44" s="243" t="n"/>
      <c r="U44" s="243" t="n"/>
      <c r="V44" s="244" t="n"/>
      <c r="W44" s="244" t="n"/>
      <c r="X44" s="244" t="n"/>
      <c r="Y44" s="244" t="n"/>
      <c r="Z44" s="244" t="n"/>
      <c r="AA44" s="244" t="n"/>
      <c r="AB44" s="139" t="n"/>
      <c r="AC44" s="139" t="n"/>
      <c r="AD44" s="139" t="n"/>
      <c r="AE44" s="139" t="n"/>
      <c r="AF44" s="139" t="n"/>
      <c r="AG44" s="139" t="n"/>
      <c r="AH44" s="139" t="n"/>
      <c r="AI44" s="139" t="n"/>
      <c r="AJ44" s="139" t="n"/>
      <c r="AK44" s="139" t="n"/>
      <c r="AL44" s="139" t="n"/>
      <c r="AM44" s="139" t="n"/>
      <c r="AN44" s="139" t="n"/>
      <c r="AO44" s="139" t="n"/>
      <c r="AP44" s="139" t="n"/>
      <c r="AQ44" s="126" t="n"/>
      <c r="AR44" s="126" t="n"/>
      <c r="AS44" s="126" t="n"/>
      <c r="AT44" s="126" t="n"/>
      <c r="AU44" s="126" t="n"/>
      <c r="AV44" s="126" t="n"/>
      <c r="AW44" s="126" t="n"/>
      <c r="AX44" s="126" t="n"/>
      <c r="AY44" s="126" t="n"/>
      <c r="BA44" s="20">
        <f>SUM(D44:O44)</f>
        <v/>
      </c>
      <c r="BB44" s="20">
        <f>SUM(P44:AA44)</f>
        <v/>
      </c>
      <c r="BC44" s="20">
        <f>SUM(AB44:AM44)</f>
        <v/>
      </c>
      <c r="BD44" s="20">
        <f>SUM(AN44:AY44)</f>
        <v/>
      </c>
      <c r="BE44" s="252" t="n"/>
      <c r="BF44" s="20">
        <f>SUM(I44:T44)</f>
        <v/>
      </c>
    </row>
    <row r="45" ht="16" customHeight="1" s="282">
      <c r="B45" t="inlineStr">
        <is>
          <t>Culver City Start-Up Costs</t>
        </is>
      </c>
      <c r="D45" s="243" t="n">
        <v>0</v>
      </c>
      <c r="E45" s="243" t="n">
        <v>0</v>
      </c>
      <c r="F45" s="243" t="n">
        <v>0</v>
      </c>
      <c r="G45" s="243" t="n">
        <v>0</v>
      </c>
      <c r="H45" s="243" t="n">
        <v>0</v>
      </c>
      <c r="I45" s="243" t="n">
        <v>9139.65</v>
      </c>
      <c r="J45" s="243" t="n">
        <v>2529.94</v>
      </c>
      <c r="K45" s="243" t="n">
        <v>9485.01</v>
      </c>
      <c r="L45" s="243" t="n">
        <v>45764.82999999999</v>
      </c>
      <c r="M45" s="243" t="n">
        <v>7688.860000000001</v>
      </c>
      <c r="N45" s="243" t="n">
        <v>0</v>
      </c>
      <c r="O45" s="243" t="n">
        <v>0</v>
      </c>
      <c r="P45" s="243" t="n"/>
      <c r="Q45" s="243" t="n"/>
      <c r="R45" s="243" t="n"/>
      <c r="S45" s="243" t="n"/>
      <c r="T45" s="243" t="n"/>
      <c r="U45" s="243" t="n"/>
      <c r="V45" s="244" t="n"/>
      <c r="W45" s="244" t="n"/>
      <c r="X45" s="244" t="n"/>
      <c r="Y45" s="244" t="n"/>
      <c r="Z45" s="244" t="n"/>
      <c r="AA45" s="244" t="n"/>
      <c r="AB45" s="139" t="n"/>
      <c r="AC45" s="139" t="n"/>
      <c r="AD45" s="139" t="n"/>
      <c r="AE45" s="139" t="n"/>
      <c r="AF45" s="139" t="n"/>
      <c r="AG45" s="139" t="n"/>
      <c r="AH45" s="139" t="n"/>
      <c r="AI45" s="139" t="n"/>
      <c r="AJ45" s="139" t="n"/>
      <c r="AK45" s="139" t="n"/>
      <c r="AL45" s="139" t="n"/>
      <c r="AM45" s="139" t="n"/>
      <c r="AN45" s="139" t="n"/>
      <c r="AO45" s="139" t="n"/>
      <c r="AP45" s="139" t="n"/>
      <c r="AQ45" s="126" t="n"/>
      <c r="AR45" s="126" t="n"/>
      <c r="AS45" s="126" t="n"/>
      <c r="AT45" s="126" t="n"/>
      <c r="AU45" s="126" t="n"/>
      <c r="AV45" s="126" t="n"/>
      <c r="AW45" s="126" t="n"/>
      <c r="AX45" s="126" t="n"/>
      <c r="AY45" s="126" t="n"/>
      <c r="BA45" s="20">
        <f>SUM(D45:O45)</f>
        <v/>
      </c>
      <c r="BB45" s="20">
        <f>SUM(P45:AA45)</f>
        <v/>
      </c>
      <c r="BC45" s="20">
        <f>SUM(AB45:AM45)</f>
        <v/>
      </c>
      <c r="BD45" s="20">
        <f>SUM(AN45:AY45)</f>
        <v/>
      </c>
      <c r="BE45" s="252" t="n"/>
      <c r="BF45" s="20">
        <f>SUM(I45:T45)</f>
        <v/>
      </c>
    </row>
    <row r="46" ht="16" customHeight="1" s="282">
      <c r="B46" t="inlineStr">
        <is>
          <t>Santa Monica Leasehold Improvements</t>
        </is>
      </c>
      <c r="D46" s="243" t="n"/>
      <c r="E46" s="243" t="n"/>
      <c r="F46" s="243" t="n"/>
      <c r="G46" s="243" t="n"/>
      <c r="H46" s="243" t="n"/>
      <c r="I46" s="243" t="n"/>
      <c r="J46" s="243" t="n"/>
      <c r="K46" s="243" t="n"/>
      <c r="L46" s="243" t="n"/>
      <c r="M46" s="243" t="n"/>
      <c r="N46" s="243" t="n"/>
      <c r="O46" s="243" t="n"/>
      <c r="P46" s="243" t="n"/>
      <c r="Q46" s="243" t="n"/>
      <c r="R46" s="243" t="n"/>
      <c r="S46" s="243" t="n"/>
      <c r="T46" s="243" t="n"/>
      <c r="U46" s="243" t="n"/>
      <c r="V46" s="244" t="n"/>
      <c r="W46" s="244" t="n"/>
      <c r="X46" s="244" t="n">
        <v>10000</v>
      </c>
      <c r="Y46" s="244" t="n">
        <v>5000</v>
      </c>
      <c r="Z46" s="244" t="n">
        <v>5000</v>
      </c>
      <c r="AA46" s="244" t="n">
        <v>5000</v>
      </c>
      <c r="AB46" s="139" t="n"/>
      <c r="AC46" s="139" t="n"/>
      <c r="AD46" s="139" t="n"/>
      <c r="AE46" s="139" t="n"/>
      <c r="AF46" s="139" t="n"/>
      <c r="AG46" s="139" t="n"/>
      <c r="AH46" s="139" t="n"/>
      <c r="AI46" s="139" t="n"/>
      <c r="AJ46" s="139" t="n"/>
      <c r="AK46" s="139" t="n"/>
      <c r="AL46" s="139" t="n"/>
      <c r="AM46" s="139" t="n"/>
      <c r="AN46" s="139" t="n"/>
      <c r="AO46" s="139" t="n"/>
      <c r="AP46" s="139" t="n"/>
      <c r="AQ46" s="126" t="n"/>
      <c r="AR46" s="126" t="n"/>
      <c r="AS46" s="126" t="n"/>
      <c r="AT46" s="126" t="n"/>
      <c r="AU46" s="126" t="n"/>
      <c r="AV46" s="126" t="n"/>
      <c r="AW46" s="126" t="n"/>
      <c r="AX46" s="126" t="n"/>
      <c r="AY46" s="126" t="n"/>
      <c r="BA46" s="20">
        <f>SUM(D46:O46)</f>
        <v/>
      </c>
      <c r="BB46" s="20">
        <f>SUM(P46:AA46)</f>
        <v/>
      </c>
      <c r="BC46" s="20">
        <f>SUM(AB46:AM46)</f>
        <v/>
      </c>
      <c r="BD46" s="20">
        <f>SUM(AN46:AY46)</f>
        <v/>
      </c>
      <c r="BE46" s="252" t="n"/>
      <c r="BF46" s="20">
        <f>SUM(I46:T46)</f>
        <v/>
      </c>
    </row>
    <row r="47">
      <c r="B47" t="inlineStr">
        <is>
          <t>West Portal Start-Up Costs</t>
        </is>
      </c>
      <c r="D47" s="243" t="n"/>
      <c r="E47" s="243" t="n"/>
      <c r="F47" s="243" t="n"/>
      <c r="G47" s="243" t="n"/>
      <c r="H47" s="243" t="n"/>
      <c r="I47" s="243" t="n"/>
      <c r="J47" s="243" t="n"/>
      <c r="K47" s="243" t="n"/>
      <c r="L47" s="243" t="n"/>
      <c r="M47" s="243" t="n"/>
      <c r="N47" s="243" t="n"/>
      <c r="O47" s="243" t="n"/>
      <c r="P47" s="243" t="n">
        <v>16222.39</v>
      </c>
      <c r="Q47" s="243" t="n">
        <v>17111.26</v>
      </c>
      <c r="R47" s="243" t="n">
        <v>14310.31</v>
      </c>
      <c r="S47" s="243" t="n">
        <v>19092.69</v>
      </c>
      <c r="T47" s="243" t="n">
        <v>16668</v>
      </c>
      <c r="U47" s="243" t="n">
        <v>11669.37</v>
      </c>
      <c r="V47" s="244" t="n">
        <v>15000</v>
      </c>
      <c r="W47" s="244" t="n">
        <v>15000</v>
      </c>
      <c r="X47" s="244" t="n">
        <v>60000</v>
      </c>
      <c r="Y47" s="244" t="n">
        <v>35000</v>
      </c>
      <c r="Z47" s="244" t="n">
        <v>15000</v>
      </c>
      <c r="AA47" s="244" t="n">
        <v>10000</v>
      </c>
      <c r="AB47" s="20" t="n"/>
      <c r="AC47" s="20" t="n"/>
      <c r="AD47" s="20" t="n"/>
      <c r="AE47" s="20" t="n"/>
      <c r="AF47" s="20" t="n"/>
      <c r="AG47" s="20" t="n"/>
      <c r="AH47" s="20" t="n"/>
      <c r="AI47" s="20" t="n"/>
      <c r="AJ47" s="20" t="n"/>
      <c r="AK47" s="20" t="n"/>
      <c r="AL47" s="20" t="n"/>
      <c r="AM47" s="20" t="n"/>
      <c r="AN47" s="20" t="n"/>
      <c r="AO47" s="20" t="n"/>
      <c r="AP47" s="20" t="n"/>
      <c r="AQ47" s="20" t="n"/>
      <c r="AR47" s="20" t="n"/>
      <c r="AS47" s="20" t="n"/>
      <c r="AT47" s="20" t="n"/>
      <c r="AU47" s="20" t="n"/>
      <c r="AV47" s="20" t="n"/>
      <c r="AW47" s="20" t="n"/>
      <c r="AX47" s="20" t="n"/>
      <c r="AY47" s="20" t="n"/>
      <c r="BA47" s="20">
        <f>SUM(D47:O47)</f>
        <v/>
      </c>
      <c r="BB47" s="20">
        <f>SUM(P47:AA47)</f>
        <v/>
      </c>
      <c r="BC47" s="20">
        <f>SUM(AB47:AM47)</f>
        <v/>
      </c>
      <c r="BD47" s="20">
        <f>SUM(AN47:AY47)</f>
        <v/>
      </c>
      <c r="BE47" s="252" t="n"/>
      <c r="BF47" s="20">
        <f>SUM(I47:T47)</f>
        <v/>
      </c>
    </row>
    <row r="48">
      <c r="B48" t="inlineStr">
        <is>
          <t>ADP Error</t>
        </is>
      </c>
      <c r="D48" s="243" t="n"/>
      <c r="E48" s="243" t="n"/>
      <c r="F48" s="243" t="n"/>
      <c r="G48" s="243" t="n"/>
      <c r="H48" s="243" t="n"/>
      <c r="I48" s="243" t="n"/>
      <c r="J48" s="243" t="n"/>
      <c r="K48" s="243" t="n"/>
      <c r="L48" s="243" t="n"/>
      <c r="M48" s="243" t="n"/>
      <c r="N48" s="243" t="n"/>
      <c r="O48" s="243" t="n"/>
      <c r="P48" s="243" t="n"/>
      <c r="Q48" s="243" t="n"/>
      <c r="R48" s="243" t="n">
        <v>45000</v>
      </c>
      <c r="S48" s="243" t="n"/>
      <c r="T48" s="243" t="n"/>
      <c r="U48" s="243" t="n"/>
      <c r="V48" s="244" t="n"/>
      <c r="W48" s="244" t="n"/>
      <c r="X48" s="244" t="n"/>
      <c r="Y48" s="244" t="n"/>
      <c r="Z48" s="244" t="n"/>
      <c r="AA48" s="244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  <c r="AR48" s="20" t="n"/>
      <c r="AS48" s="20" t="n"/>
      <c r="AT48" s="20" t="n"/>
      <c r="AU48" s="20" t="n"/>
      <c r="AV48" s="20" t="n"/>
      <c r="AW48" s="20" t="n"/>
      <c r="AX48" s="20" t="n"/>
      <c r="AY48" s="20" t="n"/>
      <c r="BA48" s="20">
        <f>SUM(D48:O48)</f>
        <v/>
      </c>
      <c r="BB48" s="20">
        <f>SUM(P48:AA48)</f>
        <v/>
      </c>
      <c r="BC48" s="20">
        <f>SUM(AB48:AM48)</f>
        <v/>
      </c>
      <c r="BD48" s="20">
        <f>SUM(AN48:AY48)</f>
        <v/>
      </c>
      <c r="BE48" s="252" t="n"/>
      <c r="BF48" s="20">
        <f>SUM(I48:T48)</f>
        <v/>
      </c>
    </row>
    <row r="49">
      <c r="B49" t="inlineStr">
        <is>
          <t>One-Time Legal Fees</t>
        </is>
      </c>
      <c r="D49" s="243" t="n"/>
      <c r="E49" s="243" t="n"/>
      <c r="F49" s="243" t="n"/>
      <c r="G49" s="243" t="n"/>
      <c r="H49" s="243" t="n">
        <v>500</v>
      </c>
      <c r="I49" s="243" t="n"/>
      <c r="J49" s="243" t="n"/>
      <c r="K49" s="243" t="n">
        <v>7200</v>
      </c>
      <c r="L49" s="243" t="n">
        <v>12500</v>
      </c>
      <c r="M49" s="243">
        <f>2540</f>
        <v/>
      </c>
      <c r="N49" s="243" t="n"/>
      <c r="O49" s="243">
        <f>2359.5</f>
        <v/>
      </c>
      <c r="P49" s="243" t="n">
        <v>2957</v>
      </c>
      <c r="Q49" s="243" t="n"/>
      <c r="R49" s="243">
        <f>3995.5</f>
        <v/>
      </c>
      <c r="S49" s="243" t="n"/>
      <c r="T49" s="243" t="n"/>
      <c r="U49" s="243" t="n">
        <v>770</v>
      </c>
      <c r="V49" s="244" t="n"/>
      <c r="W49" s="244" t="n">
        <v>5000</v>
      </c>
      <c r="X49" s="244" t="n"/>
      <c r="Y49" s="244" t="n"/>
      <c r="Z49" s="244" t="n"/>
      <c r="AA49" s="244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BA49" s="20">
        <f>SUM(D49:O49)</f>
        <v/>
      </c>
      <c r="BB49" s="20">
        <f>SUM(P49:AA49)</f>
        <v/>
      </c>
      <c r="BC49" s="20">
        <f>SUM(AB49:AM49)</f>
        <v/>
      </c>
      <c r="BD49" s="20">
        <f>SUM(AN49:AY49)</f>
        <v/>
      </c>
      <c r="BE49" s="252" t="n"/>
      <c r="BF49" s="20">
        <f>SUM(I49:T49)</f>
        <v/>
      </c>
    </row>
    <row r="50">
      <c r="B50" t="inlineStr">
        <is>
          <t>Santa Barbara Start Up</t>
        </is>
      </c>
      <c r="D50" s="243" t="n"/>
      <c r="E50" s="243" t="n"/>
      <c r="F50" s="243" t="n"/>
      <c r="G50" s="243" t="n"/>
      <c r="H50" s="243" t="n"/>
      <c r="I50" s="243" t="n"/>
      <c r="J50" s="243" t="n"/>
      <c r="K50" s="243" t="n">
        <v>11875.72</v>
      </c>
      <c r="L50" s="243" t="n">
        <v>10160.11</v>
      </c>
      <c r="M50" s="243" t="n">
        <v>23932.64</v>
      </c>
      <c r="N50" s="243" t="n">
        <v>66186.74999999999</v>
      </c>
      <c r="O50" s="243" t="n">
        <v>1772.78</v>
      </c>
      <c r="P50" s="243" t="n">
        <v>3481</v>
      </c>
      <c r="Q50" s="243" t="n"/>
      <c r="R50" s="243" t="n"/>
      <c r="S50" s="243" t="n"/>
      <c r="T50" s="243" t="n"/>
      <c r="U50" s="243" t="n"/>
      <c r="V50" s="244" t="n">
        <v>5000</v>
      </c>
      <c r="W50" s="244" t="n"/>
      <c r="X50" s="244" t="n"/>
      <c r="Y50" s="244" t="n"/>
      <c r="Z50" s="244" t="n"/>
      <c r="AA50" s="244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BA50" s="20">
        <f>SUM(D50:O50)</f>
        <v/>
      </c>
      <c r="BB50" s="20">
        <f>SUM(P50:AA50)</f>
        <v/>
      </c>
      <c r="BC50" s="20">
        <f>SUM(AB50:AM50)</f>
        <v/>
      </c>
      <c r="BD50" s="20">
        <f>SUM(AN50:AY50)</f>
        <v/>
      </c>
      <c r="BE50" s="252" t="n"/>
      <c r="BF50" s="20">
        <f>SUM(I50:T50)</f>
        <v/>
      </c>
    </row>
    <row r="51">
      <c r="B51" t="inlineStr">
        <is>
          <t>One-Time Accounting Fees</t>
        </is>
      </c>
      <c r="D51" s="243" t="n"/>
      <c r="E51" s="243" t="n"/>
      <c r="F51" s="243" t="n"/>
      <c r="G51" s="243" t="n"/>
      <c r="H51" s="243" t="n"/>
      <c r="I51" s="243" t="n"/>
      <c r="J51" s="243" t="n"/>
      <c r="K51" s="243" t="n">
        <v>1700</v>
      </c>
      <c r="L51" s="243" t="n">
        <v>2415</v>
      </c>
      <c r="M51" s="243" t="n">
        <v>27200</v>
      </c>
      <c r="N51" s="243" t="n">
        <v>22632</v>
      </c>
      <c r="O51" s="243" t="n">
        <v>28128</v>
      </c>
      <c r="P51" s="243" t="n">
        <v>19887.5</v>
      </c>
      <c r="Q51" s="243" t="n"/>
      <c r="R51" s="243" t="n"/>
      <c r="S51" s="243" t="n"/>
      <c r="T51" s="243" t="n"/>
      <c r="U51" s="243" t="n"/>
      <c r="V51" s="244" t="n"/>
      <c r="W51" s="244" t="n"/>
      <c r="X51" s="244" t="n"/>
      <c r="Y51" s="244" t="n"/>
      <c r="Z51" s="244" t="n"/>
      <c r="AA51" s="244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BA51" s="20">
        <f>SUM(D51:O51)</f>
        <v/>
      </c>
      <c r="BB51" s="20">
        <f>SUM(P51:AA51)</f>
        <v/>
      </c>
      <c r="BC51" s="20">
        <f>SUM(AB51:AM51)</f>
        <v/>
      </c>
      <c r="BD51" s="20">
        <f>SUM(AN51:AY51)</f>
        <v/>
      </c>
      <c r="BE51" s="252" t="n"/>
      <c r="BF51" s="20">
        <f>SUM(I51:T51)</f>
        <v/>
      </c>
    </row>
    <row r="52">
      <c r="B52" t="inlineStr">
        <is>
          <t>One-Time Professional Fees</t>
        </is>
      </c>
      <c r="D52" s="243" t="n"/>
      <c r="E52" s="243" t="n"/>
      <c r="F52" s="243" t="n"/>
      <c r="G52" s="243" t="n"/>
      <c r="H52" s="243" t="n"/>
      <c r="I52" s="243">
        <f>13840</f>
        <v/>
      </c>
      <c r="J52" s="243" t="n">
        <v>8249</v>
      </c>
      <c r="K52" s="243" t="n"/>
      <c r="L52" s="243" t="n">
        <v>760</v>
      </c>
      <c r="M52" s="243" t="n"/>
      <c r="N52" s="243" t="n"/>
      <c r="O52" s="243" t="n"/>
      <c r="P52" s="243" t="n"/>
      <c r="Q52" s="243" t="n"/>
      <c r="R52" s="243" t="n"/>
      <c r="S52" s="243" t="n"/>
      <c r="T52" s="243" t="n"/>
      <c r="U52" s="243" t="n"/>
      <c r="V52" s="244" t="n"/>
      <c r="W52" s="244" t="n"/>
      <c r="X52" s="244" t="n"/>
      <c r="Y52" s="244" t="n"/>
      <c r="Z52" s="244" t="n"/>
      <c r="AA52" s="244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BA52" s="20">
        <f>SUM(D52:O52)</f>
        <v/>
      </c>
      <c r="BB52" s="20">
        <f>SUM(P52:AA52)</f>
        <v/>
      </c>
      <c r="BC52" s="20">
        <f>SUM(AB52:AM52)</f>
        <v/>
      </c>
      <c r="BD52" s="20">
        <f>SUM(AN52:AY52)</f>
        <v/>
      </c>
      <c r="BE52" s="252" t="n"/>
      <c r="BF52" s="20">
        <f>SUM(I52:T52)</f>
        <v/>
      </c>
    </row>
    <row r="53">
      <c r="B53" t="inlineStr">
        <is>
          <t>Special Marketing Projects One-Time</t>
        </is>
      </c>
      <c r="D53" s="243" t="n"/>
      <c r="E53" s="243" t="n"/>
      <c r="F53" s="243">
        <f>1107.42</f>
        <v/>
      </c>
      <c r="G53" s="243" t="n"/>
      <c r="H53" s="243">
        <f>1218.03</f>
        <v/>
      </c>
      <c r="I53" s="243" t="n"/>
      <c r="J53" s="243" t="n"/>
      <c r="K53" s="243" t="n">
        <v>400</v>
      </c>
      <c r="L53" s="243">
        <f>20.84</f>
        <v/>
      </c>
      <c r="M53" s="243">
        <f>396.92</f>
        <v/>
      </c>
      <c r="N53" s="243" t="n"/>
      <c r="O53" s="243">
        <f>254.31</f>
        <v/>
      </c>
      <c r="P53" s="243" t="n"/>
      <c r="Q53" s="243" t="n"/>
      <c r="R53" s="243" t="n"/>
      <c r="S53" s="243" t="n"/>
      <c r="T53" s="243" t="n"/>
      <c r="U53" s="243" t="n"/>
      <c r="V53" s="244" t="n"/>
      <c r="W53" s="244" t="n">
        <v>5000</v>
      </c>
      <c r="X53" s="244" t="n"/>
      <c r="Y53" s="244" t="n">
        <v>10000</v>
      </c>
      <c r="Z53" s="244" t="n"/>
      <c r="AA53" s="244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  <c r="AU53" s="20" t="n"/>
      <c r="AV53" s="20" t="n"/>
      <c r="AW53" s="20" t="n"/>
      <c r="AX53" s="20" t="n"/>
      <c r="AY53" s="20" t="n"/>
      <c r="BA53" s="20">
        <f>SUM(D53:O53)</f>
        <v/>
      </c>
      <c r="BB53" s="20">
        <f>SUM(P53:AA53)</f>
        <v/>
      </c>
      <c r="BC53" s="20">
        <f>SUM(AB53:AM53)</f>
        <v/>
      </c>
      <c r="BD53" s="20">
        <f>SUM(AN53:AY53)</f>
        <v/>
      </c>
      <c r="BE53" s="252" t="n"/>
      <c r="BF53" s="20">
        <f>SUM(I53:T53)</f>
        <v/>
      </c>
    </row>
    <row r="54">
      <c r="B54" t="inlineStr">
        <is>
          <t>Corporate Transaction Fees</t>
        </is>
      </c>
      <c r="D54" s="243" t="n"/>
      <c r="E54" s="243" t="n"/>
      <c r="F54" s="243" t="n"/>
      <c r="G54" s="243" t="n"/>
      <c r="H54" s="243" t="n"/>
      <c r="I54" s="243" t="n">
        <v>10000</v>
      </c>
      <c r="J54" s="243" t="n"/>
      <c r="K54" s="243" t="n"/>
      <c r="L54" s="243" t="n"/>
      <c r="M54" s="243" t="n"/>
      <c r="N54" s="243" t="n"/>
      <c r="O54" s="243" t="n">
        <v>11500</v>
      </c>
      <c r="P54" s="243" t="n"/>
      <c r="Q54" s="243" t="n"/>
      <c r="R54" s="243" t="n"/>
      <c r="S54" s="243" t="n"/>
      <c r="T54" s="243" t="n"/>
      <c r="U54" s="243" t="n"/>
      <c r="V54" s="244" t="n"/>
      <c r="W54" s="244" t="n"/>
      <c r="X54" s="245" t="n"/>
      <c r="Y54" s="244" t="n"/>
      <c r="Z54" s="244" t="n"/>
      <c r="AA54" s="244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  <c r="AR54" s="20" t="n"/>
      <c r="AS54" s="20" t="n"/>
      <c r="AT54" s="20" t="n"/>
      <c r="AU54" s="20" t="n"/>
      <c r="AV54" s="20" t="n"/>
      <c r="AW54" s="20" t="n"/>
      <c r="AX54" s="20" t="n"/>
      <c r="AY54" s="20" t="n"/>
      <c r="BA54" s="20">
        <f>SUM(D54:O54)</f>
        <v/>
      </c>
      <c r="BB54" s="20">
        <f>SUM(P54:AA54)</f>
        <v/>
      </c>
      <c r="BC54" s="20">
        <f>SUM(AB54:AM54)</f>
        <v/>
      </c>
      <c r="BD54" s="20">
        <f>SUM(AN54:AY54)</f>
        <v/>
      </c>
      <c r="BE54" s="252" t="n"/>
      <c r="BF54" s="20">
        <f>SUM(I54:T54)</f>
        <v/>
      </c>
    </row>
    <row r="55">
      <c r="B55" t="inlineStr">
        <is>
          <t>One-Time GE</t>
        </is>
      </c>
      <c r="D55" s="243" t="n"/>
      <c r="E55" s="243" t="n"/>
      <c r="F55" s="243" t="n">
        <v>1144</v>
      </c>
      <c r="G55" s="243" t="n"/>
      <c r="H55" s="243" t="n"/>
      <c r="I55" s="243" t="n"/>
      <c r="J55" s="243" t="n"/>
      <c r="K55" s="243" t="n"/>
      <c r="L55" s="243" t="n">
        <v>656.8</v>
      </c>
      <c r="M55" s="243" t="n">
        <v>5000</v>
      </c>
      <c r="N55" s="243" t="n">
        <v>2264.81</v>
      </c>
      <c r="O55" s="243" t="n">
        <v>2205.93</v>
      </c>
      <c r="P55" s="243" t="n"/>
      <c r="Q55" s="243" t="n"/>
      <c r="R55" s="243" t="n"/>
      <c r="S55" s="243" t="n"/>
      <c r="T55" s="243" t="n"/>
      <c r="U55" s="243" t="n"/>
      <c r="V55" s="244" t="n"/>
      <c r="W55" s="244" t="n"/>
      <c r="X55" s="244" t="n"/>
      <c r="Y55" s="244" t="n"/>
      <c r="Z55" s="244" t="n"/>
      <c r="AA55" s="244" t="n"/>
      <c r="AB55" s="20" t="n"/>
      <c r="AC55" s="20" t="n"/>
      <c r="AD55" s="20" t="n"/>
      <c r="AE55" s="20" t="n"/>
      <c r="AF55" s="20" t="n"/>
      <c r="AG55" s="20" t="n"/>
      <c r="AH55" s="20" t="n"/>
      <c r="AI55" s="20" t="n"/>
      <c r="AJ55" s="20" t="n"/>
      <c r="AK55" s="20" t="n"/>
      <c r="AL55" s="20" t="n"/>
      <c r="AM55" s="20" t="n"/>
      <c r="AN55" s="20" t="n"/>
      <c r="AO55" s="20" t="n"/>
      <c r="AP55" s="20" t="n"/>
      <c r="AQ55" s="20" t="n"/>
      <c r="AR55" s="20" t="n"/>
      <c r="AS55" s="20" t="n"/>
      <c r="AT55" s="20" t="n"/>
      <c r="AU55" s="20" t="n"/>
      <c r="AV55" s="20" t="n"/>
      <c r="AW55" s="20" t="n"/>
      <c r="AX55" s="20" t="n"/>
      <c r="AY55" s="20" t="n"/>
      <c r="BA55" s="20">
        <f>SUM(D55:O55)</f>
        <v/>
      </c>
      <c r="BB55" s="20">
        <f>SUM(P55:AA55)</f>
        <v/>
      </c>
      <c r="BC55" s="20">
        <f>SUM(AB55:AM55)</f>
        <v/>
      </c>
      <c r="BD55" s="20">
        <f>SUM(AN55:AY55)</f>
        <v/>
      </c>
      <c r="BE55" s="252" t="n"/>
      <c r="BF55" s="20">
        <f>SUM(I55:T55)</f>
        <v/>
      </c>
    </row>
    <row r="56">
      <c r="B56" t="inlineStr">
        <is>
          <t xml:space="preserve">Costs for Potentional Studios Not Opened </t>
        </is>
      </c>
      <c r="D56" s="243" t="n"/>
      <c r="E56" s="243" t="n"/>
      <c r="F56" s="243" t="n"/>
      <c r="G56" s="243" t="n"/>
      <c r="H56" s="243" t="n"/>
      <c r="I56" s="243" t="n"/>
      <c r="J56" s="243" t="n"/>
      <c r="K56" s="243">
        <f>2869+1275</f>
        <v/>
      </c>
      <c r="L56" s="243" t="n"/>
      <c r="M56" s="243">
        <f>459</f>
        <v/>
      </c>
      <c r="N56" s="243">
        <f>97.6</f>
        <v/>
      </c>
      <c r="O56" s="243" t="n"/>
      <c r="P56" s="243" t="n"/>
      <c r="Q56" s="243" t="n"/>
      <c r="R56" s="243" t="n"/>
      <c r="S56" s="243" t="n"/>
      <c r="T56" s="243" t="n"/>
      <c r="U56" s="243" t="n"/>
      <c r="V56" s="244" t="n"/>
      <c r="W56" s="244" t="n"/>
      <c r="X56" s="244" t="n"/>
      <c r="Y56" s="244" t="n"/>
      <c r="Z56" s="244" t="n"/>
      <c r="AA56" s="244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  <c r="AR56" s="20" t="n"/>
      <c r="AS56" s="20" t="n"/>
      <c r="AT56" s="20" t="n"/>
      <c r="AU56" s="20" t="n"/>
      <c r="AV56" s="20" t="n"/>
      <c r="AW56" s="20" t="n"/>
      <c r="AX56" s="20" t="n"/>
      <c r="AY56" s="20" t="n"/>
      <c r="BA56" s="20">
        <f>SUM(D56:O56)</f>
        <v/>
      </c>
      <c r="BB56" s="20">
        <f>SUM(P56:AA56)</f>
        <v/>
      </c>
      <c r="BC56" s="20">
        <f>SUM(AB56:AM56)</f>
        <v/>
      </c>
      <c r="BD56" s="20">
        <f>SUM(AN56:AY56)</f>
        <v/>
      </c>
      <c r="BE56" s="252" t="n"/>
      <c r="BF56" s="20">
        <f>SUM(I56:T56)</f>
        <v/>
      </c>
    </row>
    <row r="57">
      <c r="B57" t="inlineStr">
        <is>
          <t>Other One-Time Costs</t>
        </is>
      </c>
      <c r="D57" s="243" t="n"/>
      <c r="E57" s="243" t="n">
        <v>254</v>
      </c>
      <c r="F57" s="243" t="n"/>
      <c r="G57" s="243" t="n"/>
      <c r="H57" s="243" t="n"/>
      <c r="I57" s="243" t="n"/>
      <c r="J57" s="243" t="n">
        <v>198</v>
      </c>
      <c r="K57" s="243" t="n"/>
      <c r="L57" s="243" t="n"/>
      <c r="M57" s="243" t="n"/>
      <c r="N57" s="243" t="n"/>
      <c r="O57" s="243" t="n"/>
      <c r="P57" s="243" t="n"/>
      <c r="Q57" s="243" t="n"/>
      <c r="R57" s="243" t="n"/>
      <c r="S57" s="243" t="n"/>
      <c r="T57" s="243" t="n"/>
      <c r="U57" s="243" t="n"/>
      <c r="V57" s="244" t="n"/>
      <c r="W57" s="244" t="n"/>
      <c r="X57" s="244" t="n"/>
      <c r="Y57" s="244" t="n"/>
      <c r="Z57" s="244" t="n"/>
      <c r="AA57" s="244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  <c r="AU57" s="20" t="n"/>
      <c r="AV57" s="20" t="n"/>
      <c r="AW57" s="20" t="n"/>
      <c r="AX57" s="20" t="n"/>
      <c r="AY57" s="20" t="n"/>
      <c r="BA57" s="20">
        <f>SUM(D57:O57)</f>
        <v/>
      </c>
      <c r="BB57" s="20">
        <f>SUM(P57:AA57)</f>
        <v/>
      </c>
      <c r="BC57" s="20">
        <f>SUM(AB57:AM57)</f>
        <v/>
      </c>
      <c r="BD57" s="20">
        <f>SUM(AN57:AY57)</f>
        <v/>
      </c>
      <c r="BE57" s="252" t="n"/>
      <c r="BF57" s="20">
        <f>SUM(I57:T57)</f>
        <v/>
      </c>
    </row>
    <row r="58">
      <c r="B58" s="248" t="inlineStr">
        <is>
          <t>Total Add Backs (not including new prototype build one time costs)</t>
        </is>
      </c>
      <c r="C58" s="248" t="n"/>
      <c r="D58" s="249">
        <f>SUM(D42:D57)</f>
        <v/>
      </c>
      <c r="E58" s="249">
        <f>SUM(E42:E57)</f>
        <v/>
      </c>
      <c r="F58" s="249">
        <f>SUM(F42:F57)</f>
        <v/>
      </c>
      <c r="G58" s="249">
        <f>SUM(G42:G57)</f>
        <v/>
      </c>
      <c r="H58" s="249">
        <f>SUM(H42:H57)</f>
        <v/>
      </c>
      <c r="I58" s="249">
        <f>SUM(I42:I57)</f>
        <v/>
      </c>
      <c r="J58" s="249">
        <f>SUM(J42:J57)</f>
        <v/>
      </c>
      <c r="K58" s="249">
        <f>SUM(K42:K57)</f>
        <v/>
      </c>
      <c r="L58" s="249">
        <f>SUM(L42:L57)</f>
        <v/>
      </c>
      <c r="M58" s="249">
        <f>SUM(M42:M57)</f>
        <v/>
      </c>
      <c r="N58" s="249">
        <f>SUM(N42:N57)</f>
        <v/>
      </c>
      <c r="O58" s="249">
        <f>SUM(O42:O57)</f>
        <v/>
      </c>
      <c r="P58" s="249">
        <f>SUM(P42:P57)</f>
        <v/>
      </c>
      <c r="Q58" s="249">
        <f>SUM(Q42:Q57)</f>
        <v/>
      </c>
      <c r="R58" s="249">
        <f>SUM(R42:R57)</f>
        <v/>
      </c>
      <c r="S58" s="249">
        <f>SUM(S42:S57)</f>
        <v/>
      </c>
      <c r="T58" s="249">
        <f>SUM(T42:T57)</f>
        <v/>
      </c>
      <c r="U58" s="249">
        <f>SUM(U42:U57)</f>
        <v/>
      </c>
      <c r="V58" s="249">
        <f>SUM(V42:V57)</f>
        <v/>
      </c>
      <c r="W58" s="249">
        <f>SUM(W42:W57)</f>
        <v/>
      </c>
      <c r="X58" s="249">
        <f>SUM(X42:X57)</f>
        <v/>
      </c>
      <c r="Y58" s="249">
        <f>SUM(Y42:Y57)</f>
        <v/>
      </c>
      <c r="Z58" s="249">
        <f>SUM(Z42:Z57)</f>
        <v/>
      </c>
      <c r="AA58" s="249">
        <f>SUM(AA42:AA57)</f>
        <v/>
      </c>
      <c r="AB58" s="249">
        <f>SUM(AB42:AB57)</f>
        <v/>
      </c>
      <c r="AC58" s="249">
        <f>SUM(AC42:AC57)</f>
        <v/>
      </c>
      <c r="AD58" s="249">
        <f>SUM(AD42:AD57)</f>
        <v/>
      </c>
      <c r="AE58" s="249">
        <f>SUM(AE42:AE57)</f>
        <v/>
      </c>
      <c r="AF58" s="249">
        <f>SUM(AF42:AF57)</f>
        <v/>
      </c>
      <c r="AG58" s="249">
        <f>SUM(AG42:AG57)</f>
        <v/>
      </c>
      <c r="AH58" s="249">
        <f>SUM(AH42:AH57)</f>
        <v/>
      </c>
      <c r="AI58" s="249">
        <f>SUM(AI42:AI57)</f>
        <v/>
      </c>
      <c r="AJ58" s="249">
        <f>SUM(AJ42:AJ57)</f>
        <v/>
      </c>
      <c r="AK58" s="249">
        <f>SUM(AK42:AK57)</f>
        <v/>
      </c>
      <c r="AL58" s="249">
        <f>SUM(AL42:AL57)</f>
        <v/>
      </c>
      <c r="AM58" s="249">
        <f>SUM(AM42:AM57)</f>
        <v/>
      </c>
      <c r="AN58" s="249">
        <f>SUM(AN42:AN57)</f>
        <v/>
      </c>
      <c r="AO58" s="249">
        <f>SUM(AO42:AO57)</f>
        <v/>
      </c>
      <c r="AP58" s="249">
        <f>SUM(AP42:AP57)</f>
        <v/>
      </c>
      <c r="AQ58" s="249">
        <f>SUM(AQ42:AQ57)</f>
        <v/>
      </c>
      <c r="AR58" s="249">
        <f>SUM(AR42:AR57)</f>
        <v/>
      </c>
      <c r="AS58" s="249">
        <f>SUM(AS42:AS57)</f>
        <v/>
      </c>
      <c r="AT58" s="249">
        <f>SUM(AT42:AT57)</f>
        <v/>
      </c>
      <c r="AU58" s="249">
        <f>SUM(AU42:AU57)</f>
        <v/>
      </c>
      <c r="AV58" s="249">
        <f>SUM(AV42:AV57)</f>
        <v/>
      </c>
      <c r="AW58" s="249">
        <f>SUM(AW42:AW57)</f>
        <v/>
      </c>
      <c r="AX58" s="249">
        <f>SUM(AX42:AX57)</f>
        <v/>
      </c>
      <c r="AY58" s="249">
        <f>SUM(AY42:AY57)</f>
        <v/>
      </c>
      <c r="BA58" s="249">
        <f>SUM(D58:O58)</f>
        <v/>
      </c>
      <c r="BB58" s="249">
        <f>SUM(P58:AA58)</f>
        <v/>
      </c>
      <c r="BC58" s="249">
        <f>SUM(AB58:AM58)</f>
        <v/>
      </c>
      <c r="BD58" s="249">
        <f>SUM(AN58:AY58)</f>
        <v/>
      </c>
      <c r="BF58" s="249">
        <f>SUM(I58:T58)</f>
        <v/>
      </c>
    </row>
    <row r="59">
      <c r="B59" s="250" t="inlineStr">
        <is>
          <t>Total Adj-EBITDA</t>
        </is>
      </c>
      <c r="C59" s="112" t="n"/>
      <c r="D59" s="251">
        <f>D23+D58</f>
        <v/>
      </c>
      <c r="E59" s="251">
        <f>E23+E58</f>
        <v/>
      </c>
      <c r="F59" s="251">
        <f>F23+F58</f>
        <v/>
      </c>
      <c r="G59" s="251">
        <f>G23+G58</f>
        <v/>
      </c>
      <c r="H59" s="251">
        <f>H23+H58</f>
        <v/>
      </c>
      <c r="I59" s="251">
        <f>I23+I58</f>
        <v/>
      </c>
      <c r="J59" s="251">
        <f>J23+J58</f>
        <v/>
      </c>
      <c r="K59" s="251">
        <f>K23+K58</f>
        <v/>
      </c>
      <c r="L59" s="251">
        <f>L23+L58</f>
        <v/>
      </c>
      <c r="M59" s="251">
        <f>M23+M58</f>
        <v/>
      </c>
      <c r="N59" s="251">
        <f>N23+N58</f>
        <v/>
      </c>
      <c r="O59" s="251">
        <f>O23+O58</f>
        <v/>
      </c>
      <c r="P59" s="251">
        <f>P23+P58</f>
        <v/>
      </c>
      <c r="Q59" s="251">
        <f>Q23+Q58</f>
        <v/>
      </c>
      <c r="R59" s="251">
        <f>R23+R58</f>
        <v/>
      </c>
      <c r="S59" s="251">
        <f>S23+S58</f>
        <v/>
      </c>
      <c r="T59" s="251">
        <f>T23+T58</f>
        <v/>
      </c>
      <c r="U59" s="251">
        <f>U23+U58</f>
        <v/>
      </c>
      <c r="V59" s="251">
        <f>V23+V58</f>
        <v/>
      </c>
      <c r="W59" s="251">
        <f>W23+W58</f>
        <v/>
      </c>
      <c r="X59" s="251">
        <f>X23+X58</f>
        <v/>
      </c>
      <c r="Y59" s="251">
        <f>Y23+Y58</f>
        <v/>
      </c>
      <c r="Z59" s="251">
        <f>Z23+Z58</f>
        <v/>
      </c>
      <c r="AA59" s="251">
        <f>AA23+AA58</f>
        <v/>
      </c>
      <c r="AB59" s="251">
        <f>AB23+AB58</f>
        <v/>
      </c>
      <c r="AC59" s="251">
        <f>AC23+AC58</f>
        <v/>
      </c>
      <c r="AD59" s="251">
        <f>AD23+AD58</f>
        <v/>
      </c>
      <c r="AE59" s="251">
        <f>AE23+AE58</f>
        <v/>
      </c>
      <c r="AF59" s="251">
        <f>AF23+AF58</f>
        <v/>
      </c>
      <c r="AG59" s="251">
        <f>AG23+AG58</f>
        <v/>
      </c>
      <c r="AH59" s="251">
        <f>AH23+AH58</f>
        <v/>
      </c>
      <c r="AI59" s="251">
        <f>AI23+AI58</f>
        <v/>
      </c>
      <c r="AJ59" s="251">
        <f>AJ23+AJ58</f>
        <v/>
      </c>
      <c r="AK59" s="251">
        <f>AK23+AK58</f>
        <v/>
      </c>
      <c r="AL59" s="251">
        <f>AL23+AL58</f>
        <v/>
      </c>
      <c r="AM59" s="251">
        <f>AM23+AM58</f>
        <v/>
      </c>
      <c r="AN59" s="251">
        <f>AN23+AN58</f>
        <v/>
      </c>
      <c r="AO59" s="251">
        <f>AO23+AO58</f>
        <v/>
      </c>
      <c r="AP59" s="251">
        <f>AP23+AP58</f>
        <v/>
      </c>
      <c r="AQ59" s="251">
        <f>AQ23+AQ58</f>
        <v/>
      </c>
      <c r="AR59" s="251">
        <f>AR23+AR58</f>
        <v/>
      </c>
      <c r="AS59" s="251">
        <f>AS23+AS58</f>
        <v/>
      </c>
      <c r="AT59" s="251">
        <f>AT23+AT58</f>
        <v/>
      </c>
      <c r="AU59" s="251">
        <f>AU23+AU58</f>
        <v/>
      </c>
      <c r="AV59" s="251">
        <f>AV23+AV58</f>
        <v/>
      </c>
      <c r="AW59" s="251">
        <f>AW23+AW58</f>
        <v/>
      </c>
      <c r="AX59" s="251">
        <f>AX23+AX58</f>
        <v/>
      </c>
      <c r="AY59" s="251">
        <f>AY23+AY58</f>
        <v/>
      </c>
      <c r="BA59" s="251">
        <f>SUM(D59:O59)</f>
        <v/>
      </c>
      <c r="BB59" s="251">
        <f>SUM(P59:AA59)</f>
        <v/>
      </c>
      <c r="BC59" s="251">
        <f>SUM(AB59:AM59)</f>
        <v/>
      </c>
      <c r="BD59" s="251">
        <f>SUM(AN59:AY59)</f>
        <v/>
      </c>
      <c r="BF59" s="251">
        <f>SUM(I59:T59)</f>
        <v/>
      </c>
      <c r="BH59" s="24">
        <f>SUM(BA59:BD59)-SUM(D59:AY59)</f>
        <v/>
      </c>
    </row>
    <row r="61" ht="16" customHeight="1" s="282">
      <c r="B61" s="10" t="inlineStr">
        <is>
          <t>Annual Summary</t>
        </is>
      </c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BA61" s="24" t="n"/>
      <c r="BB61" s="24" t="n"/>
      <c r="BC61" s="24" t="n"/>
      <c r="BD61" s="24" t="n"/>
      <c r="BF61" s="24" t="n"/>
    </row>
    <row r="62">
      <c r="B62" s="14" t="inlineStr">
        <is>
          <t>Metric</t>
        </is>
      </c>
      <c r="C62" s="14" t="inlineStr">
        <is>
          <t>Studio</t>
        </is>
      </c>
      <c r="D62" s="14" t="n">
        <v>2025</v>
      </c>
      <c r="E62" s="14" t="inlineStr">
        <is>
          <t>2026</t>
        </is>
      </c>
      <c r="F62" s="14" t="inlineStr">
        <is>
          <t>2027</t>
        </is>
      </c>
      <c r="G62" s="14" t="inlineStr">
        <is>
          <t>2028</t>
        </is>
      </c>
      <c r="H62" s="14" t="inlineStr">
        <is>
          <t>2026 YoY</t>
        </is>
      </c>
      <c r="I62" s="14" t="inlineStr">
        <is>
          <t>2027 YoY</t>
        </is>
      </c>
      <c r="J62" s="14" t="inlineStr">
        <is>
          <t>2028 YoY</t>
        </is>
      </c>
      <c r="AA62" s="24" t="n"/>
      <c r="AM62" s="24" t="n"/>
    </row>
    <row r="63">
      <c r="B63" s="15" t="inlineStr">
        <is>
          <t>Total Sales</t>
        </is>
      </c>
      <c r="D63" s="17">
        <f>SUM(D64:D76)</f>
        <v/>
      </c>
      <c r="E63" s="17">
        <f>SUM(E64:E76)</f>
        <v/>
      </c>
      <c r="F63" s="17">
        <f>SUM(F64:F76)</f>
        <v/>
      </c>
      <c r="G63" s="17">
        <f>SUM(G64:G76)</f>
        <v/>
      </c>
      <c r="H63" s="21">
        <f>IFERROR((E63-D63)/D63,0)</f>
        <v/>
      </c>
      <c r="I63" s="21">
        <f>IFERROR((F63-E63)/E63,0)</f>
        <v/>
      </c>
      <c r="J63" s="21">
        <f>IFERROR((G63-F63)/F63,0)</f>
        <v/>
      </c>
    </row>
    <row r="64">
      <c r="C64" s="18" t="inlineStr">
        <is>
          <t>Berkeley</t>
        </is>
      </c>
      <c r="D64" s="20">
        <f>SUM('Sales Forecast'!D6:O6)</f>
        <v/>
      </c>
      <c r="E64" s="20">
        <f>SUM('Sales Forecast'!P6:AA6)</f>
        <v/>
      </c>
      <c r="F64" s="20">
        <f>SUM('Sales Forecast'!AB6:AM6)</f>
        <v/>
      </c>
      <c r="G64" s="20">
        <f>SUM('Sales Forecast'!AN6:AY6)</f>
        <v/>
      </c>
      <c r="H64" s="22">
        <f>IFERROR((E62-D62)/D62,0)</f>
        <v/>
      </c>
      <c r="I64" s="22">
        <f>IFERROR((F62-E62)/E62,0)</f>
        <v/>
      </c>
      <c r="J64" s="22">
        <f>IFERROR((G62-F62)/F62,0)</f>
        <v/>
      </c>
    </row>
    <row r="65">
      <c r="C65" s="18" t="inlineStr">
        <is>
          <t>Culver City</t>
        </is>
      </c>
      <c r="D65" s="20">
        <f>SUM('Sales Forecast'!D7:O7)</f>
        <v/>
      </c>
      <c r="E65" s="20">
        <f>SUM('Sales Forecast'!P7:AA7)</f>
        <v/>
      </c>
      <c r="F65" s="20">
        <f>SUM('Sales Forecast'!AB7:AM7)</f>
        <v/>
      </c>
      <c r="G65" s="20">
        <f>SUM('Sales Forecast'!AN7:AY7)</f>
        <v/>
      </c>
      <c r="H65" s="22">
        <f>IFERROR((E63-D63)/D63,0)</f>
        <v/>
      </c>
      <c r="I65" s="22">
        <f>IFERROR((F63-E63)/E63,0)</f>
        <v/>
      </c>
      <c r="J65" s="22">
        <f>IFERROR((G63-F63)/F63,0)</f>
        <v/>
      </c>
    </row>
    <row r="66">
      <c r="C66" s="18" t="inlineStr">
        <is>
          <t>Danville</t>
        </is>
      </c>
      <c r="D66" s="20">
        <f>SUM('Sales Forecast'!D8:O8)</f>
        <v/>
      </c>
      <c r="E66" s="20">
        <f>SUM('Sales Forecast'!P8:AA8)</f>
        <v/>
      </c>
      <c r="F66" s="20">
        <f>SUM('Sales Forecast'!AB8:AM8)</f>
        <v/>
      </c>
      <c r="G66" s="20">
        <f>SUM('Sales Forecast'!AN8:AY8)</f>
        <v/>
      </c>
      <c r="H66" s="22">
        <f>IFERROR((E64-D64)/D64,0)</f>
        <v/>
      </c>
      <c r="I66" s="22">
        <f>IFERROR((F64-E64)/E64,0)</f>
        <v/>
      </c>
      <c r="J66" s="22">
        <f>IFERROR((G64-F64)/F64,0)</f>
        <v/>
      </c>
    </row>
    <row r="67">
      <c r="C67" s="18" t="inlineStr">
        <is>
          <t>Lafayette</t>
        </is>
      </c>
      <c r="D67" s="20">
        <f>SUM('Sales Forecast'!D9:O9)</f>
        <v/>
      </c>
      <c r="E67" s="20">
        <f>SUM('Sales Forecast'!P9:AA9)</f>
        <v/>
      </c>
      <c r="F67" s="20">
        <f>SUM('Sales Forecast'!AB9:AM9)</f>
        <v/>
      </c>
      <c r="G67" s="20">
        <f>SUM('Sales Forecast'!AN9:AY9)</f>
        <v/>
      </c>
      <c r="H67" s="22">
        <f>IFERROR((E65-D65)/D65,0)</f>
        <v/>
      </c>
      <c r="I67" s="22">
        <f>IFERROR((F65-E65)/E65,0)</f>
        <v/>
      </c>
      <c r="J67" s="22">
        <f>IFERROR((G65-F65)/F65,0)</f>
        <v/>
      </c>
    </row>
    <row r="68">
      <c r="C68" s="18" t="inlineStr">
        <is>
          <t>Marin</t>
        </is>
      </c>
      <c r="D68" s="20">
        <f>SUM('Sales Forecast'!D10:O10)</f>
        <v/>
      </c>
      <c r="E68" s="20">
        <f>SUM('Sales Forecast'!P10:AA10)</f>
        <v/>
      </c>
      <c r="F68" s="20">
        <f>SUM('Sales Forecast'!AB10:AM10)</f>
        <v/>
      </c>
      <c r="G68" s="20">
        <f>SUM('Sales Forecast'!AN10:AY10)</f>
        <v/>
      </c>
      <c r="H68" s="22">
        <f>IFERROR((E66-D66)/D66,0)</f>
        <v/>
      </c>
      <c r="I68" s="22">
        <f>IFERROR((F66-E66)/E66,0)</f>
        <v/>
      </c>
      <c r="J68" s="22">
        <f>IFERROR((G66-F66)/F66,0)</f>
        <v/>
      </c>
    </row>
    <row r="69">
      <c r="C69" s="18" t="inlineStr">
        <is>
          <t>Ocean Park</t>
        </is>
      </c>
      <c r="D69" s="20">
        <f>SUM('Sales Forecast'!D11:O11)</f>
        <v/>
      </c>
      <c r="E69" s="20">
        <f>SUM('Sales Forecast'!P11:AA11)</f>
        <v/>
      </c>
      <c r="F69" s="20">
        <f>SUM('Sales Forecast'!AB11:AM11)</f>
        <v/>
      </c>
      <c r="G69" s="20">
        <f>SUM('Sales Forecast'!AN11:AY11)</f>
        <v/>
      </c>
      <c r="H69" s="22">
        <f>IFERROR((E67-D67)/D67,0)</f>
        <v/>
      </c>
      <c r="I69" s="22">
        <f>IFERROR((F67-E67)/E67,0)</f>
        <v/>
      </c>
      <c r="J69" s="22">
        <f>IFERROR((G67-F67)/F67,0)</f>
        <v/>
      </c>
    </row>
    <row r="70">
      <c r="C70" s="18" t="inlineStr">
        <is>
          <t>Presidio Heights</t>
        </is>
      </c>
      <c r="D70" s="20">
        <f>SUM('Sales Forecast'!D12:O12)</f>
        <v/>
      </c>
      <c r="E70" s="20">
        <f>SUM('Sales Forecast'!P12:AA12)</f>
        <v/>
      </c>
      <c r="F70" s="20">
        <f>SUM('Sales Forecast'!AB12:AM12)</f>
        <v/>
      </c>
      <c r="G70" s="20">
        <f>SUM('Sales Forecast'!AN12:AY12)</f>
        <v/>
      </c>
      <c r="H70" s="22">
        <f>IFERROR((E68-D68)/D68,0)</f>
        <v/>
      </c>
      <c r="I70" s="22">
        <f>IFERROR((F68-E68)/E68,0)</f>
        <v/>
      </c>
      <c r="J70" s="22">
        <f>IFERROR((G68-F68)/F68,0)</f>
        <v/>
      </c>
    </row>
    <row r="71">
      <c r="C71" s="18" t="inlineStr">
        <is>
          <t>Russian Hill</t>
        </is>
      </c>
      <c r="D71" s="20">
        <f>SUM('Sales Forecast'!D13:O13)</f>
        <v/>
      </c>
      <c r="E71" s="20">
        <f>SUM('Sales Forecast'!P13:AA13)</f>
        <v/>
      </c>
      <c r="F71" s="20">
        <f>SUM('Sales Forecast'!AB13:AM13)</f>
        <v/>
      </c>
      <c r="G71" s="20">
        <f>SUM('Sales Forecast'!AN13:AY13)</f>
        <v/>
      </c>
      <c r="H71" s="22">
        <f>IFERROR((E69-D69)/D69,0)</f>
        <v/>
      </c>
      <c r="I71" s="22">
        <f>IFERROR((F69-E69)/E69,0)</f>
        <v/>
      </c>
      <c r="J71" s="22">
        <f>IFERROR((G69-F69)/F69,0)</f>
        <v/>
      </c>
    </row>
    <row r="72">
      <c r="C72" s="18" t="inlineStr">
        <is>
          <t>Santa Barbara</t>
        </is>
      </c>
      <c r="D72" s="20">
        <f>SUM('Sales Forecast'!D14:O14)</f>
        <v/>
      </c>
      <c r="E72" s="20">
        <f>SUM('Sales Forecast'!P14:AA14)</f>
        <v/>
      </c>
      <c r="F72" s="20">
        <f>SUM('Sales Forecast'!AB14:AM14)</f>
        <v/>
      </c>
      <c r="G72" s="20">
        <f>SUM('Sales Forecast'!AN14:AY14)</f>
        <v/>
      </c>
      <c r="H72" s="22">
        <f>IFERROR((E70-D70)/D70,0)</f>
        <v/>
      </c>
      <c r="I72" s="22">
        <f>IFERROR((F70-E70)/E70,0)</f>
        <v/>
      </c>
      <c r="J72" s="22">
        <f>IFERROR((G70-F70)/F70,0)</f>
        <v/>
      </c>
    </row>
    <row r="73">
      <c r="C73" s="18" t="inlineStr">
        <is>
          <t>Santa Monica</t>
        </is>
      </c>
      <c r="D73" s="20">
        <f>SUM('Sales Forecast'!D15:O15)</f>
        <v/>
      </c>
      <c r="E73" s="20">
        <f>SUM('Sales Forecast'!P15:AA15)</f>
        <v/>
      </c>
      <c r="F73" s="20">
        <f>SUM('Sales Forecast'!AB15:AM15)</f>
        <v/>
      </c>
      <c r="G73" s="20">
        <f>SUM('Sales Forecast'!AN15:AY15)</f>
        <v/>
      </c>
      <c r="H73" s="22">
        <f>IFERROR((E71-D71)/D71,0)</f>
        <v/>
      </c>
      <c r="I73" s="22">
        <f>IFERROR((F71-E71)/E71,0)</f>
        <v/>
      </c>
      <c r="J73" s="22">
        <f>IFERROR((G71-F71)/F71,0)</f>
        <v/>
      </c>
    </row>
    <row r="74">
      <c r="C74" s="18" t="inlineStr">
        <is>
          <t>West Portal</t>
        </is>
      </c>
      <c r="D74" s="20">
        <f>SUM('Sales Forecast'!D16:O16)</f>
        <v/>
      </c>
      <c r="E74" s="20">
        <f>SUM('Sales Forecast'!P16:AA16)</f>
        <v/>
      </c>
      <c r="F74" s="20">
        <f>SUM('Sales Forecast'!AB16:AM16)</f>
        <v/>
      </c>
      <c r="G74" s="20">
        <f>SUM('Sales Forecast'!AN16:AY16)</f>
        <v/>
      </c>
      <c r="H74" s="22">
        <f>IFERROR((E72-D72)/D72,0)</f>
        <v/>
      </c>
      <c r="I74" s="22">
        <f>IFERROR((F72-E72)/E72,0)</f>
        <v/>
      </c>
      <c r="J74" s="22">
        <f>IFERROR((G72-F72)/F72,0)</f>
        <v/>
      </c>
    </row>
    <row r="75">
      <c r="C75" s="18" t="inlineStr">
        <is>
          <t>Westwood</t>
        </is>
      </c>
      <c r="D75" s="20">
        <f>SUM('Sales Forecast'!D17:O17)</f>
        <v/>
      </c>
      <c r="E75" s="20">
        <f>SUM('Sales Forecast'!P17:AA17)</f>
        <v/>
      </c>
      <c r="F75" s="20">
        <f>SUM('Sales Forecast'!AB17:AM17)</f>
        <v/>
      </c>
      <c r="G75" s="20">
        <f>SUM('Sales Forecast'!AN17:AY17)</f>
        <v/>
      </c>
      <c r="H75" s="22">
        <f>IFERROR((E73-D73)/D73,0)</f>
        <v/>
      </c>
      <c r="I75" s="22">
        <f>IFERROR((F73-E73)/E73,0)</f>
        <v/>
      </c>
      <c r="J75" s="22">
        <f>IFERROR((G73-F73)/F73,0)</f>
        <v/>
      </c>
    </row>
    <row r="76">
      <c r="C76" s="18" t="inlineStr">
        <is>
          <t>Head Office</t>
        </is>
      </c>
      <c r="D76" s="20" t="n">
        <v>0</v>
      </c>
      <c r="E76" s="20" t="n">
        <v>0</v>
      </c>
      <c r="F76" s="20" t="n">
        <v>0</v>
      </c>
      <c r="G76" s="20" t="n">
        <v>0</v>
      </c>
      <c r="H76" s="22">
        <f>IFERROR((E76-D76)/D76,0)</f>
        <v/>
      </c>
      <c r="I76" s="22">
        <f>IFERROR((F76-E76)/E76,0)</f>
        <v/>
      </c>
      <c r="J76" s="22">
        <f>IFERROR((G76-F76)/F76,0)</f>
        <v/>
      </c>
    </row>
    <row r="78">
      <c r="B78" s="15" t="inlineStr">
        <is>
          <t>Total EBITDA</t>
        </is>
      </c>
      <c r="D78" s="23">
        <f>SUM(D79:D91)</f>
        <v/>
      </c>
      <c r="E78" s="23">
        <f>SUM(E79:E91)</f>
        <v/>
      </c>
      <c r="F78" s="23">
        <f>SUM(F79:F91)</f>
        <v/>
      </c>
      <c r="G78" s="23">
        <f>SUM(G79:G91)</f>
        <v/>
      </c>
      <c r="H78" s="21">
        <f>IFERROR((E78-D78)/D78,0)</f>
        <v/>
      </c>
      <c r="I78" s="21">
        <f>IFERROR((F78-E78)/E78,0)</f>
        <v/>
      </c>
      <c r="J78" s="21">
        <f>IFERROR((G78-F78)/F78,0)</f>
        <v/>
      </c>
    </row>
    <row r="79">
      <c r="C79" s="18" t="inlineStr">
        <is>
          <t>Berkeley</t>
        </is>
      </c>
      <c r="D79" s="20">
        <f>SUM(D24:O24)</f>
        <v/>
      </c>
      <c r="E79" s="20">
        <f>SUM(P24:AA24)</f>
        <v/>
      </c>
      <c r="F79" s="20">
        <f>SUM(AB24:AM24)</f>
        <v/>
      </c>
      <c r="G79" s="20">
        <f>SUM(AN24:AY24)</f>
        <v/>
      </c>
      <c r="H79" s="22">
        <f>IFERROR((E79-D79)/D79,0)</f>
        <v/>
      </c>
      <c r="I79" s="22">
        <f>IFERROR((F79-E79)/E79,0)</f>
        <v/>
      </c>
      <c r="J79" s="22">
        <f>IFERROR((G79-F79)/F79,0)</f>
        <v/>
      </c>
    </row>
    <row r="80">
      <c r="C80" s="18" t="inlineStr">
        <is>
          <t>Culver City</t>
        </is>
      </c>
      <c r="D80" s="20">
        <f>SUM(D25:O25)</f>
        <v/>
      </c>
      <c r="E80" s="20">
        <f>SUM(P25:AA25)</f>
        <v/>
      </c>
      <c r="F80" s="20">
        <f>SUM(AB25:AM25)</f>
        <v/>
      </c>
      <c r="G80" s="20">
        <f>SUM(AN25:AY25)</f>
        <v/>
      </c>
      <c r="H80" s="22">
        <f>IFERROR((E80-D80)/D80,0)</f>
        <v/>
      </c>
      <c r="I80" s="22">
        <f>IFERROR((F80-E80)/E80,0)</f>
        <v/>
      </c>
      <c r="J80" s="22">
        <f>IFERROR((G80-F80)/F80,0)</f>
        <v/>
      </c>
    </row>
    <row r="81">
      <c r="C81" s="18" t="inlineStr">
        <is>
          <t>Danville</t>
        </is>
      </c>
      <c r="D81" s="20">
        <f>SUM(D26:O26)</f>
        <v/>
      </c>
      <c r="E81" s="20">
        <f>SUM(P26:AA26)</f>
        <v/>
      </c>
      <c r="F81" s="20">
        <f>SUM(AB26:AM26)</f>
        <v/>
      </c>
      <c r="G81" s="20">
        <f>SUM(AN26:AY26)</f>
        <v/>
      </c>
      <c r="H81" s="22">
        <f>IFERROR((E81-D81)/D81,0)</f>
        <v/>
      </c>
      <c r="I81" s="22">
        <f>IFERROR((F81-E81)/E81,0)</f>
        <v/>
      </c>
      <c r="J81" s="22">
        <f>IFERROR((G81-F81)/F81,0)</f>
        <v/>
      </c>
    </row>
    <row r="82">
      <c r="C82" s="18" t="inlineStr">
        <is>
          <t>Lafayette</t>
        </is>
      </c>
      <c r="D82" s="20">
        <f>SUM(D27:O27)</f>
        <v/>
      </c>
      <c r="E82" s="20">
        <f>SUM(P27:AA27)</f>
        <v/>
      </c>
      <c r="F82" s="20">
        <f>SUM(AB27:AM27)</f>
        <v/>
      </c>
      <c r="G82" s="20">
        <f>SUM(AN27:AY27)</f>
        <v/>
      </c>
      <c r="H82" s="22">
        <f>IFERROR((E82-D82)/D82,0)</f>
        <v/>
      </c>
      <c r="I82" s="22">
        <f>IFERROR((F82-E82)/E82,0)</f>
        <v/>
      </c>
      <c r="J82" s="22">
        <f>IFERROR((G82-F82)/F82,0)</f>
        <v/>
      </c>
    </row>
    <row r="83">
      <c r="C83" s="18" t="inlineStr">
        <is>
          <t>Marin</t>
        </is>
      </c>
      <c r="D83" s="20">
        <f>SUM(D28:O28)</f>
        <v/>
      </c>
      <c r="E83" s="20">
        <f>SUM(P28:AA28)</f>
        <v/>
      </c>
      <c r="F83" s="20">
        <f>SUM(AB28:AM28)</f>
        <v/>
      </c>
      <c r="G83" s="20">
        <f>SUM(AN28:AY28)</f>
        <v/>
      </c>
      <c r="H83" s="22">
        <f>IFERROR((E83-D83)/D83,0)</f>
        <v/>
      </c>
      <c r="I83" s="22">
        <f>IFERROR((F83-E83)/E83,0)</f>
        <v/>
      </c>
      <c r="J83" s="22">
        <f>IFERROR((G83-F83)/F83,0)</f>
        <v/>
      </c>
    </row>
    <row r="84">
      <c r="C84" s="18" t="inlineStr">
        <is>
          <t>Ocean Park</t>
        </is>
      </c>
      <c r="D84" s="20">
        <f>SUM(D29:O29)</f>
        <v/>
      </c>
      <c r="E84" s="20">
        <f>SUM(P29:AA29)</f>
        <v/>
      </c>
      <c r="F84" s="20">
        <f>SUM(AB29:AM29)</f>
        <v/>
      </c>
      <c r="G84" s="20">
        <f>SUM(AN29:AY29)</f>
        <v/>
      </c>
      <c r="H84" s="22">
        <f>IFERROR((E84-D84)/D84,0)</f>
        <v/>
      </c>
      <c r="I84" s="22">
        <f>IFERROR((F84-E84)/E84,0)</f>
        <v/>
      </c>
      <c r="J84" s="22">
        <f>IFERROR((G84-F84)/F84,0)</f>
        <v/>
      </c>
    </row>
    <row r="85">
      <c r="C85" s="18" t="inlineStr">
        <is>
          <t>Presidio Heights</t>
        </is>
      </c>
      <c r="D85" s="20">
        <f>SUM(D30:O30)</f>
        <v/>
      </c>
      <c r="E85" s="20">
        <f>SUM(P30:AA30)</f>
        <v/>
      </c>
      <c r="F85" s="20">
        <f>SUM(AB30:AM30)</f>
        <v/>
      </c>
      <c r="G85" s="20">
        <f>SUM(AN30:AY30)</f>
        <v/>
      </c>
      <c r="H85" s="22">
        <f>IFERROR((E85-D85)/D85,0)</f>
        <v/>
      </c>
      <c r="I85" s="22">
        <f>IFERROR((F85-E85)/E85,0)</f>
        <v/>
      </c>
      <c r="J85" s="22">
        <f>IFERROR((G85-F85)/F85,0)</f>
        <v/>
      </c>
    </row>
    <row r="86">
      <c r="C86" s="18" t="inlineStr">
        <is>
          <t>Russian Hill</t>
        </is>
      </c>
      <c r="D86" s="20">
        <f>SUM(D31:O31)</f>
        <v/>
      </c>
      <c r="E86" s="20">
        <f>SUM(P31:AA31)</f>
        <v/>
      </c>
      <c r="F86" s="20">
        <f>SUM(AB31:AM31)</f>
        <v/>
      </c>
      <c r="G86" s="20">
        <f>SUM(AN31:AY31)</f>
        <v/>
      </c>
      <c r="H86" s="22">
        <f>IFERROR((E86-D86)/D86,0)</f>
        <v/>
      </c>
      <c r="I86" s="22">
        <f>IFERROR((F86-E86)/E86,0)</f>
        <v/>
      </c>
      <c r="J86" s="22">
        <f>IFERROR((G86-F86)/F86,0)</f>
        <v/>
      </c>
    </row>
    <row r="87">
      <c r="C87" s="18" t="inlineStr">
        <is>
          <t>Santa Barbara</t>
        </is>
      </c>
      <c r="D87" s="20">
        <f>SUM(D32:O32)</f>
        <v/>
      </c>
      <c r="E87" s="20">
        <f>SUM(P32:AA32)</f>
        <v/>
      </c>
      <c r="F87" s="20">
        <f>SUM(AB32:AM32)</f>
        <v/>
      </c>
      <c r="G87" s="20">
        <f>SUM(AN32:AY32)</f>
        <v/>
      </c>
      <c r="H87" s="22">
        <f>IFERROR((E87-D87)/D87,0)</f>
        <v/>
      </c>
      <c r="I87" s="22">
        <f>IFERROR((F87-E87)/E87,0)</f>
        <v/>
      </c>
      <c r="J87" s="22">
        <f>IFERROR((G87-F87)/F87,0)</f>
        <v/>
      </c>
    </row>
    <row r="88">
      <c r="C88" s="18" t="inlineStr">
        <is>
          <t>Santa Monica</t>
        </is>
      </c>
      <c r="D88" s="20">
        <f>SUM(D33:O33)</f>
        <v/>
      </c>
      <c r="E88" s="20">
        <f>SUM(P33:AA33)</f>
        <v/>
      </c>
      <c r="F88" s="20">
        <f>SUM(AB33:AM33)</f>
        <v/>
      </c>
      <c r="G88" s="20">
        <f>SUM(AN33:AY33)</f>
        <v/>
      </c>
      <c r="H88" s="22">
        <f>IFERROR((E88-D88)/D88,0)</f>
        <v/>
      </c>
      <c r="I88" s="22">
        <f>IFERROR((F88-E88)/E88,0)</f>
        <v/>
      </c>
      <c r="J88" s="22">
        <f>IFERROR((G88-F88)/F88,0)</f>
        <v/>
      </c>
    </row>
    <row r="89">
      <c r="C89" s="18" t="inlineStr">
        <is>
          <t>West Portal</t>
        </is>
      </c>
      <c r="D89" s="20">
        <f>SUM(D34:O34)</f>
        <v/>
      </c>
      <c r="E89" s="20">
        <f>SUM(P34:AA34)</f>
        <v/>
      </c>
      <c r="F89" s="20">
        <f>SUM(AB34:AM34)</f>
        <v/>
      </c>
      <c r="G89" s="20">
        <f>SUM(AN34:AY34)</f>
        <v/>
      </c>
      <c r="H89" s="22">
        <f>IFERROR((E89-D89)/D89,0)</f>
        <v/>
      </c>
      <c r="I89" s="22">
        <f>IFERROR((F89-E89)/E89,0)</f>
        <v/>
      </c>
      <c r="J89" s="22">
        <f>IFERROR((G89-F89)/F89,0)</f>
        <v/>
      </c>
    </row>
    <row r="90">
      <c r="C90" s="18" t="inlineStr">
        <is>
          <t>Westwood</t>
        </is>
      </c>
      <c r="D90" s="20">
        <f>SUM(D35:O35)</f>
        <v/>
      </c>
      <c r="E90" s="20">
        <f>SUM(P35:AA35)</f>
        <v/>
      </c>
      <c r="F90" s="20">
        <f>SUM(AB35:AM35)</f>
        <v/>
      </c>
      <c r="G90" s="20">
        <f>SUM(AN35:AY35)</f>
        <v/>
      </c>
      <c r="H90" s="22">
        <f>IFERROR((E90-D90)/D90,0)</f>
        <v/>
      </c>
      <c r="I90" s="22">
        <f>IFERROR((F90-E90)/E90,0)</f>
        <v/>
      </c>
      <c r="J90" s="22">
        <f>IFERROR((G90-F90)/F90,0)</f>
        <v/>
      </c>
    </row>
    <row r="91">
      <c r="C91" s="18" t="inlineStr">
        <is>
          <t>Head Office</t>
        </is>
      </c>
      <c r="D91" s="20">
        <f>SUM('HO P&amp;L'!D36:O36)</f>
        <v/>
      </c>
      <c r="E91" s="20">
        <f>SUM('HO P&amp;L'!P36:AA36)</f>
        <v/>
      </c>
      <c r="F91" s="20">
        <f>SUM('HO P&amp;L'!AB36:AM36)</f>
        <v/>
      </c>
      <c r="G91" s="20">
        <f>SUM('HO P&amp;L'!AN36:AY36)</f>
        <v/>
      </c>
      <c r="H91" s="22">
        <f>IFERROR((E91-D91)/D91,0)</f>
        <v/>
      </c>
      <c r="I91" s="22">
        <f>IFERROR((F91-E91)/E91,0)</f>
        <v/>
      </c>
      <c r="J91" s="22">
        <f>IFERROR((G91-F91)/F91,0)</f>
        <v/>
      </c>
    </row>
    <row r="92">
      <c r="C92" s="18" t="n"/>
      <c r="D92" s="75" t="n"/>
      <c r="E92" s="75" t="n"/>
      <c r="F92" s="75" t="n"/>
      <c r="G92" s="75" t="n"/>
      <c r="H92" s="76" t="n"/>
      <c r="I92" s="76" t="n"/>
      <c r="J92" s="76" t="n"/>
    </row>
    <row r="93">
      <c r="B93" s="15" t="inlineStr">
        <is>
          <t>Total Adj-EBITDA</t>
        </is>
      </c>
      <c r="D93" s="78">
        <f>SUM(D59:O59)</f>
        <v/>
      </c>
      <c r="E93" s="78">
        <f>SUM(P59:AA59)</f>
        <v/>
      </c>
      <c r="F93" s="79">
        <f>SUM(AB59:AM59)</f>
        <v/>
      </c>
      <c r="G93" s="79">
        <f>SUM(AN59:AY59)</f>
        <v/>
      </c>
      <c r="H93" s="80">
        <f>IFERROR((E93-D93)/D93,0)</f>
        <v/>
      </c>
      <c r="I93" s="80">
        <f>IFERROR((F93-E93)/E93,0)</f>
        <v/>
      </c>
      <c r="J93" s="81">
        <f>IFERROR((G93-F93)/F93,0)</f>
        <v/>
      </c>
    </row>
    <row r="94">
      <c r="B94" s="15" t="n"/>
      <c r="D94" s="77" t="n"/>
      <c r="E94" s="77" t="n"/>
      <c r="F94" s="77" t="n"/>
      <c r="G94" s="77" t="n"/>
      <c r="H94" s="77" t="n"/>
      <c r="I94" s="77" t="n"/>
      <c r="J94" s="77" t="n"/>
      <c r="K94" s="77" t="n"/>
      <c r="L94" s="77" t="n"/>
      <c r="M94" s="77" t="n"/>
      <c r="N94" s="77" t="n"/>
      <c r="O94" s="77" t="n"/>
      <c r="P94" s="77" t="n"/>
      <c r="Q94" s="77" t="n"/>
      <c r="R94" s="77" t="n"/>
      <c r="S94" s="77" t="n"/>
      <c r="T94" s="77" t="n"/>
      <c r="U94" s="77" t="n"/>
    </row>
    <row r="129"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  <c r="AA129" s="24" t="n"/>
      <c r="AB129" s="24" t="n"/>
      <c r="AC129" s="24" t="n"/>
      <c r="AD129" s="24" t="n"/>
      <c r="AE129" s="24" t="n"/>
      <c r="AF129" s="24" t="n"/>
      <c r="AG129" s="24" t="n"/>
      <c r="AH129" s="24" t="n"/>
      <c r="AI129" s="24" t="n"/>
      <c r="AJ129" s="24" t="n"/>
      <c r="AK129" s="24" t="n"/>
      <c r="AL129" s="24" t="n"/>
      <c r="AM129" s="24" t="n"/>
      <c r="AN129" s="24" t="n"/>
      <c r="AO129" s="24" t="n"/>
      <c r="AP129" s="24" t="n"/>
      <c r="AQ129" s="24" t="n"/>
      <c r="AR129" s="24" t="n"/>
      <c r="AS129" s="24" t="n"/>
      <c r="AT129" s="24" t="n"/>
      <c r="AU129" s="24" t="n"/>
      <c r="AV129" s="24" t="n"/>
      <c r="AW129" s="24" t="n"/>
      <c r="AX129" s="24" t="n"/>
      <c r="AY129" s="24" t="n"/>
      <c r="BA129" s="24" t="n"/>
    </row>
    <row r="130"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  <c r="AA130" s="24" t="n"/>
      <c r="AB130" s="24" t="n"/>
      <c r="AC130" s="24" t="n"/>
      <c r="AD130" s="24" t="n"/>
      <c r="AE130" s="24" t="n"/>
      <c r="AF130" s="24" t="n"/>
      <c r="AG130" s="24" t="n"/>
      <c r="AH130" s="24" t="n"/>
      <c r="AI130" s="24" t="n"/>
      <c r="AJ130" s="24" t="n"/>
      <c r="AK130" s="24" t="n"/>
      <c r="AL130" s="24" t="n"/>
      <c r="AM130" s="24" t="n"/>
      <c r="AN130" s="24" t="n"/>
      <c r="AO130" s="24" t="n"/>
      <c r="AP130" s="24" t="n"/>
      <c r="AQ130" s="24" t="n"/>
      <c r="AR130" s="24" t="n"/>
      <c r="AS130" s="24" t="n"/>
      <c r="AT130" s="24" t="n"/>
      <c r="AU130" s="24" t="n"/>
      <c r="AV130" s="24" t="n"/>
      <c r="AW130" s="24" t="n"/>
      <c r="AX130" s="24" t="n"/>
      <c r="AY130" s="24" t="n"/>
      <c r="BA130" s="24" t="n"/>
    </row>
  </sheetData>
  <pageMargins left="0.75" right="0.75" top="1" bottom="1" header="0.5" footer="0.5"/>
  <pageSetup orientation="portrait" horizontalDpi="1200" verticalDpi="1200"/>
</worksheet>
</file>

<file path=xl/worksheets/sheet8.xml><?xml version="1.0" encoding="utf-8"?>
<worksheet xmlns="http://schemas.openxmlformats.org/spreadsheetml/2006/main">
  <sheetPr>
    <tabColor rgb="FFFFD966"/>
    <outlinePr summaryBelow="1" summaryRight="1"/>
    <pageSetUpPr/>
  </sheetPr>
  <dimension ref="B2:AY113"/>
  <sheetViews>
    <sheetView showGridLines="0" zoomScaleNormal="100" workbookViewId="0">
      <pane xSplit="3" ySplit="3" topLeftCell="W4" activePane="bottomRight" state="frozen"/>
      <selection pane="topRight" activeCell="A1" sqref="A1"/>
      <selection pane="bottomLeft" activeCell="A1" sqref="A1"/>
      <selection pane="bottomRight" activeCell="AF28" sqref="AF28"/>
    </sheetView>
  </sheetViews>
  <sheetFormatPr baseColWidth="10" defaultColWidth="8.83203125" defaultRowHeight="15"/>
  <cols>
    <col hidden="1" width="2" customWidth="1" style="282" min="1" max="1"/>
    <col width="8" customWidth="1" style="282" min="2" max="2"/>
    <col width="22" customWidth="1" style="282" min="3" max="3"/>
    <col width="11" customWidth="1" style="282" min="4" max="39"/>
  </cols>
  <sheetData>
    <row r="2" ht="21" customHeight="1" s="282">
      <c r="B2" s="9" t="inlineStr">
        <is>
          <t>Sales Forecast (Gross)</t>
        </is>
      </c>
    </row>
    <row r="3">
      <c r="B3" s="3" t="inlineStr">
        <is>
          <t>Jan-Jun 2026 actuals (locked, Cat-authoritative). Jul 2026 onwards forecast (editable).</t>
        </is>
      </c>
    </row>
    <row r="4" ht="16" customHeight="1" s="282">
      <c r="B4" s="10" t="inlineStr">
        <is>
          <t>Per-Studio Monthly Sales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Code</t>
        </is>
      </c>
      <c r="C5" s="12" t="inlineStr">
        <is>
          <t>Studio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85" t="n">
        <v>46143</v>
      </c>
      <c r="U5" s="85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>
      <c r="B6" s="15" t="inlineStr">
        <is>
          <t>BK</t>
        </is>
      </c>
      <c r="C6" s="18" t="inlineStr">
        <is>
          <t>Berkeley</t>
        </is>
      </c>
      <c r="D6" s="19" t="n">
        <v>122672</v>
      </c>
      <c r="E6" s="19" t="n">
        <v>124750</v>
      </c>
      <c r="F6" s="19" t="n">
        <v>112908</v>
      </c>
      <c r="G6" s="19" t="n">
        <v>140814</v>
      </c>
      <c r="H6" s="19" t="n">
        <v>111061</v>
      </c>
      <c r="I6" s="19" t="n">
        <v>107458</v>
      </c>
      <c r="J6" s="19" t="n">
        <v>101618</v>
      </c>
      <c r="K6" s="19" t="n">
        <v>142373</v>
      </c>
      <c r="L6" s="19" t="n">
        <v>101097</v>
      </c>
      <c r="M6" s="19" t="n">
        <v>115965</v>
      </c>
      <c r="N6" s="19" t="n">
        <v>101860</v>
      </c>
      <c r="O6" s="19" t="n">
        <v>99707</v>
      </c>
      <c r="P6" s="19" t="n">
        <v>124393</v>
      </c>
      <c r="Q6" s="19" t="n">
        <v>129377</v>
      </c>
      <c r="R6" s="63" t="n">
        <v>103159</v>
      </c>
      <c r="S6" s="63" t="n">
        <v>136117</v>
      </c>
      <c r="T6" s="63" t="n">
        <v>83273</v>
      </c>
      <c r="U6" s="63" t="n">
        <v>100821</v>
      </c>
      <c r="V6" s="115" t="n">
        <v>99551</v>
      </c>
      <c r="W6" s="115" t="n">
        <v>120000</v>
      </c>
      <c r="X6" s="115" t="n">
        <v>120000</v>
      </c>
      <c r="Y6" s="115" t="n">
        <v>130000</v>
      </c>
      <c r="Z6" s="115" t="n">
        <v>130000</v>
      </c>
      <c r="AA6" s="115" t="n">
        <v>149000</v>
      </c>
      <c r="AB6" s="115" t="n">
        <v>130612.65</v>
      </c>
      <c r="AC6" s="115" t="n">
        <v>135845.85</v>
      </c>
      <c r="AD6" s="115" t="n">
        <v>108316.95</v>
      </c>
      <c r="AE6" s="115" t="n">
        <v>142922.85</v>
      </c>
      <c r="AF6" s="115" t="n">
        <v>87649.8</v>
      </c>
      <c r="AG6" s="115" t="n">
        <v>115500</v>
      </c>
      <c r="AH6" s="115" t="n">
        <v>110250</v>
      </c>
      <c r="AI6" s="115" t="n">
        <v>126000</v>
      </c>
      <c r="AJ6" s="115" t="n">
        <v>126000</v>
      </c>
      <c r="AK6" s="115" t="n">
        <v>136500</v>
      </c>
      <c r="AL6" s="115" t="n">
        <v>136500</v>
      </c>
      <c r="AM6" s="115" t="n">
        <v>156450</v>
      </c>
      <c r="AN6" s="115" t="n">
        <v>137143.28</v>
      </c>
      <c r="AO6" s="115" t="n">
        <v>142638.14</v>
      </c>
      <c r="AP6" s="115" t="n">
        <v>113732.8</v>
      </c>
      <c r="AQ6" s="115" t="n">
        <v>150068.99</v>
      </c>
      <c r="AR6" s="115" t="n">
        <v>92032.28999999999</v>
      </c>
      <c r="AS6" s="115" t="n">
        <v>121275</v>
      </c>
      <c r="AT6" s="115" t="n">
        <v>115762.5</v>
      </c>
      <c r="AU6" s="115" t="n">
        <v>132300</v>
      </c>
      <c r="AV6" s="115" t="n">
        <v>132300</v>
      </c>
      <c r="AW6" s="115" t="n">
        <v>143325</v>
      </c>
      <c r="AX6" s="115" t="n">
        <v>143325</v>
      </c>
      <c r="AY6" s="115" t="n">
        <v>164272.5</v>
      </c>
    </row>
    <row r="7">
      <c r="B7" s="15" t="inlineStr">
        <is>
          <t>CC</t>
        </is>
      </c>
      <c r="C7" s="18" t="inlineStr">
        <is>
          <t>Culver City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16118</v>
      </c>
      <c r="M7" s="19" t="n">
        <v>31030</v>
      </c>
      <c r="N7" s="19" t="n">
        <v>31622</v>
      </c>
      <c r="O7" s="19" t="n">
        <v>31310</v>
      </c>
      <c r="P7" s="19" t="n">
        <v>43840</v>
      </c>
      <c r="Q7" s="19" t="n">
        <v>38704</v>
      </c>
      <c r="R7" s="63" t="n">
        <v>42619</v>
      </c>
      <c r="S7" s="63" t="n">
        <v>39690</v>
      </c>
      <c r="T7" s="63" t="n">
        <v>43327</v>
      </c>
      <c r="U7" s="63" t="n">
        <v>32522</v>
      </c>
      <c r="V7" s="115" t="n">
        <v>42903</v>
      </c>
      <c r="W7" s="115" t="n">
        <v>50000</v>
      </c>
      <c r="X7" s="115" t="n">
        <v>53000</v>
      </c>
      <c r="Y7" s="115" t="n">
        <v>60000</v>
      </c>
      <c r="Z7" s="115" t="n">
        <v>64000</v>
      </c>
      <c r="AA7" s="115" t="n">
        <v>60000</v>
      </c>
      <c r="AB7" s="115" t="n">
        <v>61000</v>
      </c>
      <c r="AC7" s="115" t="n">
        <v>73307</v>
      </c>
      <c r="AD7" s="115" t="n">
        <v>69238</v>
      </c>
      <c r="AE7" s="115" t="n">
        <v>75096</v>
      </c>
      <c r="AF7" s="115" t="n">
        <v>70949</v>
      </c>
      <c r="AG7" s="115" t="n">
        <v>64231</v>
      </c>
      <c r="AH7" s="115" t="n">
        <v>95489</v>
      </c>
      <c r="AI7" s="115" t="n">
        <v>107456</v>
      </c>
      <c r="AJ7" s="115" t="n">
        <v>102425</v>
      </c>
      <c r="AK7" s="115" t="n">
        <v>95000</v>
      </c>
      <c r="AL7" s="115" t="n">
        <v>95000</v>
      </c>
      <c r="AM7" s="115" t="n">
        <v>95000</v>
      </c>
      <c r="AN7" s="115" t="n">
        <v>64050</v>
      </c>
      <c r="AO7" s="115" t="n">
        <v>76972.35000000001</v>
      </c>
      <c r="AP7" s="115" t="n">
        <v>72699.89999999999</v>
      </c>
      <c r="AQ7" s="115" t="n">
        <v>78850.8</v>
      </c>
      <c r="AR7" s="115" t="n">
        <v>74496.45</v>
      </c>
      <c r="AS7" s="115" t="n">
        <v>67442.55</v>
      </c>
      <c r="AT7" s="115" t="n">
        <v>100263.45</v>
      </c>
      <c r="AU7" s="115" t="n">
        <v>112828.8</v>
      </c>
      <c r="AV7" s="115" t="n">
        <v>107546.25</v>
      </c>
      <c r="AW7" s="115" t="n">
        <v>99750</v>
      </c>
      <c r="AX7" s="115" t="n">
        <v>99750</v>
      </c>
      <c r="AY7" s="115" t="n">
        <v>99750</v>
      </c>
    </row>
    <row r="8">
      <c r="B8" s="15" t="inlineStr">
        <is>
          <t>DN</t>
        </is>
      </c>
      <c r="C8" s="18" t="inlineStr">
        <is>
          <t>Danville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8385</v>
      </c>
      <c r="J8" s="19" t="n">
        <v>14789</v>
      </c>
      <c r="K8" s="19" t="n">
        <v>16531</v>
      </c>
      <c r="L8" s="19" t="n">
        <v>16660</v>
      </c>
      <c r="M8" s="19" t="n">
        <v>14843</v>
      </c>
      <c r="N8" s="19" t="n">
        <v>15819</v>
      </c>
      <c r="O8" s="19" t="n">
        <v>17950</v>
      </c>
      <c r="P8" s="19" t="n">
        <v>24286</v>
      </c>
      <c r="Q8" s="19" t="n">
        <v>23358</v>
      </c>
      <c r="R8" s="63" t="n">
        <v>20289</v>
      </c>
      <c r="S8" s="63" t="n">
        <v>20363</v>
      </c>
      <c r="T8" s="63" t="n">
        <v>15337</v>
      </c>
      <c r="U8" s="63" t="n">
        <v>20327</v>
      </c>
      <c r="V8" s="115" t="n">
        <v>16795</v>
      </c>
      <c r="W8" s="115" t="n">
        <v>25000</v>
      </c>
      <c r="X8" s="115" t="n">
        <v>25000</v>
      </c>
      <c r="Y8" s="115" t="n">
        <v>30000</v>
      </c>
      <c r="Z8" s="115" t="n">
        <v>25000</v>
      </c>
      <c r="AA8" s="115" t="n">
        <v>32000</v>
      </c>
      <c r="AB8" s="115" t="n">
        <v>32000</v>
      </c>
      <c r="AC8" s="115" t="n">
        <v>40000</v>
      </c>
      <c r="AD8" s="115" t="n">
        <v>40000</v>
      </c>
      <c r="AE8" s="115" t="n">
        <v>45000</v>
      </c>
      <c r="AF8" s="115" t="n">
        <v>45000</v>
      </c>
      <c r="AG8" s="115" t="n">
        <v>50000</v>
      </c>
      <c r="AH8" s="115" t="n">
        <v>50000</v>
      </c>
      <c r="AI8" s="115" t="n">
        <v>50000</v>
      </c>
      <c r="AJ8" s="115" t="n">
        <v>55000</v>
      </c>
      <c r="AK8" s="115" t="n">
        <v>55000</v>
      </c>
      <c r="AL8" s="115" t="n">
        <v>55000</v>
      </c>
      <c r="AM8" s="115" t="n">
        <v>55000</v>
      </c>
      <c r="AN8" s="115" t="n">
        <v>33600</v>
      </c>
      <c r="AO8" s="115" t="n">
        <v>42000</v>
      </c>
      <c r="AP8" s="115" t="n">
        <v>42000</v>
      </c>
      <c r="AQ8" s="115" t="n">
        <v>47250</v>
      </c>
      <c r="AR8" s="115" t="n">
        <v>47250</v>
      </c>
      <c r="AS8" s="115" t="n">
        <v>52500</v>
      </c>
      <c r="AT8" s="115" t="n">
        <v>52500</v>
      </c>
      <c r="AU8" s="115" t="n">
        <v>52500</v>
      </c>
      <c r="AV8" s="115" t="n">
        <v>57750</v>
      </c>
      <c r="AW8" s="115" t="n">
        <v>57750</v>
      </c>
      <c r="AX8" s="115" t="n">
        <v>57750</v>
      </c>
      <c r="AY8" s="115" t="n">
        <v>57750</v>
      </c>
    </row>
    <row r="9">
      <c r="B9" s="15" t="inlineStr">
        <is>
          <t>LF</t>
        </is>
      </c>
      <c r="C9" s="18" t="inlineStr">
        <is>
          <t>Lafayette</t>
        </is>
      </c>
      <c r="D9" s="19" t="n">
        <v>90025</v>
      </c>
      <c r="E9" s="19" t="n">
        <v>86822</v>
      </c>
      <c r="F9" s="19" t="n">
        <v>85300</v>
      </c>
      <c r="G9" s="19" t="n">
        <v>127703</v>
      </c>
      <c r="H9" s="19" t="n">
        <v>79380</v>
      </c>
      <c r="I9" s="19" t="n">
        <v>76768</v>
      </c>
      <c r="J9" s="19" t="n">
        <v>70767</v>
      </c>
      <c r="K9" s="19" t="n">
        <v>102739</v>
      </c>
      <c r="L9" s="19" t="n">
        <v>68837</v>
      </c>
      <c r="M9" s="19" t="n">
        <v>83777</v>
      </c>
      <c r="N9" s="19" t="n">
        <v>79979</v>
      </c>
      <c r="O9" s="19" t="n">
        <v>79880</v>
      </c>
      <c r="P9" s="19" t="n">
        <v>92365</v>
      </c>
      <c r="Q9" s="19" t="n">
        <v>126186</v>
      </c>
      <c r="R9" s="63" t="n">
        <v>78385</v>
      </c>
      <c r="S9" s="63" t="n">
        <v>106542</v>
      </c>
      <c r="T9" s="63" t="n">
        <v>71444</v>
      </c>
      <c r="U9" s="63" t="n">
        <v>81024</v>
      </c>
      <c r="V9" s="115" t="n">
        <v>86878</v>
      </c>
      <c r="W9" s="115" t="n">
        <v>80000</v>
      </c>
      <c r="X9" s="115" t="n">
        <v>80250</v>
      </c>
      <c r="Y9" s="115" t="n">
        <v>85000</v>
      </c>
      <c r="Z9" s="115" t="n">
        <v>95000</v>
      </c>
      <c r="AA9" s="115" t="n">
        <v>110000</v>
      </c>
      <c r="AB9" s="115" t="n">
        <v>96983.25</v>
      </c>
      <c r="AC9" s="115" t="n">
        <v>132495.3</v>
      </c>
      <c r="AD9" s="115" t="n">
        <v>82304.25</v>
      </c>
      <c r="AE9" s="115" t="n">
        <v>111869.1</v>
      </c>
      <c r="AF9" s="115" t="n">
        <v>75832.05</v>
      </c>
      <c r="AG9" s="115" t="n">
        <v>84000</v>
      </c>
      <c r="AH9" s="115" t="n">
        <v>84262.5</v>
      </c>
      <c r="AI9" s="115" t="n">
        <v>84000</v>
      </c>
      <c r="AJ9" s="115" t="n">
        <v>84262.5</v>
      </c>
      <c r="AK9" s="115" t="n">
        <v>89250</v>
      </c>
      <c r="AL9" s="115" t="n">
        <v>99750</v>
      </c>
      <c r="AM9" s="115" t="n">
        <v>115500</v>
      </c>
      <c r="AN9" s="115" t="n">
        <v>101832.41</v>
      </c>
      <c r="AO9" s="115" t="n">
        <v>139120.07</v>
      </c>
      <c r="AP9" s="115" t="n">
        <v>86419.46000000001</v>
      </c>
      <c r="AQ9" s="115" t="n">
        <v>117462.56</v>
      </c>
      <c r="AR9" s="115" t="n">
        <v>79623.64999999999</v>
      </c>
      <c r="AS9" s="115" t="n">
        <v>88200</v>
      </c>
      <c r="AT9" s="115" t="n">
        <v>88475.62</v>
      </c>
      <c r="AU9" s="115" t="n">
        <v>88200</v>
      </c>
      <c r="AV9" s="115" t="n">
        <v>88475.62</v>
      </c>
      <c r="AW9" s="115" t="n">
        <v>93712.5</v>
      </c>
      <c r="AX9" s="115" t="n">
        <v>104737.5</v>
      </c>
      <c r="AY9" s="115" t="n">
        <v>121275</v>
      </c>
    </row>
    <row r="10">
      <c r="B10" s="15" t="inlineStr">
        <is>
          <t>MR</t>
        </is>
      </c>
      <c r="C10" s="18" t="inlineStr">
        <is>
          <t>Marin</t>
        </is>
      </c>
      <c r="D10" s="19" t="n">
        <v>16838.59987049735</v>
      </c>
      <c r="E10" s="19" t="n">
        <v>13867.04562923458</v>
      </c>
      <c r="F10" s="19" t="n">
        <v>14508.23346796695</v>
      </c>
      <c r="G10" s="19" t="n">
        <v>36538</v>
      </c>
      <c r="H10" s="19" t="n">
        <v>90956</v>
      </c>
      <c r="I10" s="19" t="n">
        <v>87668</v>
      </c>
      <c r="J10" s="19" t="n">
        <v>91349</v>
      </c>
      <c r="K10" s="19" t="n">
        <v>113973</v>
      </c>
      <c r="L10" s="19" t="n">
        <v>81190</v>
      </c>
      <c r="M10" s="19" t="n">
        <v>98516</v>
      </c>
      <c r="N10" s="19" t="n">
        <v>90001</v>
      </c>
      <c r="O10" s="19" t="n">
        <v>104919</v>
      </c>
      <c r="P10" s="19" t="n">
        <v>100589</v>
      </c>
      <c r="Q10" s="19" t="n">
        <v>114193</v>
      </c>
      <c r="R10" s="63" t="n">
        <v>90196</v>
      </c>
      <c r="S10" s="63" t="n">
        <v>140256</v>
      </c>
      <c r="T10" s="63" t="n">
        <v>74382</v>
      </c>
      <c r="U10" s="63" t="n">
        <v>98742</v>
      </c>
      <c r="V10" s="115" t="n">
        <v>109856</v>
      </c>
      <c r="W10" s="115" t="n">
        <v>120000</v>
      </c>
      <c r="X10" s="115" t="n">
        <v>98000</v>
      </c>
      <c r="Y10" s="115" t="n">
        <v>110000</v>
      </c>
      <c r="Z10" s="115" t="n">
        <v>120000</v>
      </c>
      <c r="AA10" s="115" t="n">
        <v>115000</v>
      </c>
      <c r="AB10" s="115" t="n">
        <v>105618.45</v>
      </c>
      <c r="AC10" s="115" t="n">
        <v>119902.65</v>
      </c>
      <c r="AD10" s="115" t="n">
        <v>94705.8</v>
      </c>
      <c r="AE10" s="115" t="n">
        <v>147268.8</v>
      </c>
      <c r="AF10" s="115" t="n">
        <v>78685.95</v>
      </c>
      <c r="AG10" s="115" t="n">
        <v>101115</v>
      </c>
      <c r="AH10" s="115" t="n">
        <v>99750</v>
      </c>
      <c r="AI10" s="115" t="n">
        <v>126000</v>
      </c>
      <c r="AJ10" s="115" t="n">
        <v>102900</v>
      </c>
      <c r="AK10" s="115" t="n">
        <v>115500</v>
      </c>
      <c r="AL10" s="115" t="n">
        <v>126000</v>
      </c>
      <c r="AM10" s="115" t="n">
        <v>120750</v>
      </c>
      <c r="AN10" s="115" t="n">
        <v>110899.37</v>
      </c>
      <c r="AO10" s="115" t="n">
        <v>125897.78</v>
      </c>
      <c r="AP10" s="115" t="n">
        <v>99441.09</v>
      </c>
      <c r="AQ10" s="115" t="n">
        <v>154632.24</v>
      </c>
      <c r="AR10" s="115" t="n">
        <v>82620.25</v>
      </c>
      <c r="AS10" s="115" t="n">
        <v>106170.75</v>
      </c>
      <c r="AT10" s="115" t="n">
        <v>104737.5</v>
      </c>
      <c r="AU10" s="115" t="n">
        <v>132300</v>
      </c>
      <c r="AV10" s="115" t="n">
        <v>108045</v>
      </c>
      <c r="AW10" s="115" t="n">
        <v>121275</v>
      </c>
      <c r="AX10" s="115" t="n">
        <v>132300</v>
      </c>
      <c r="AY10" s="115" t="n">
        <v>126787.5</v>
      </c>
    </row>
    <row r="11">
      <c r="B11" s="15" t="inlineStr">
        <is>
          <t>OP</t>
        </is>
      </c>
      <c r="C11" s="18" t="inlineStr">
        <is>
          <t>Ocean Park</t>
        </is>
      </c>
      <c r="D11" s="19" t="n">
        <v>0</v>
      </c>
      <c r="E11" s="19" t="n">
        <v>0</v>
      </c>
      <c r="F11" s="19" t="n">
        <v>0</v>
      </c>
      <c r="G11" s="19" t="n">
        <v>30025</v>
      </c>
      <c r="H11" s="19" t="n">
        <v>45379</v>
      </c>
      <c r="I11" s="19" t="n">
        <v>50782</v>
      </c>
      <c r="J11" s="19" t="n">
        <v>59231</v>
      </c>
      <c r="K11" s="19" t="n">
        <v>60132</v>
      </c>
      <c r="L11" s="19" t="n">
        <v>52754</v>
      </c>
      <c r="M11" s="19" t="n">
        <v>51670</v>
      </c>
      <c r="N11" s="19" t="n">
        <v>60236</v>
      </c>
      <c r="O11" s="19" t="n">
        <v>51621</v>
      </c>
      <c r="P11" s="19" t="n">
        <v>60583</v>
      </c>
      <c r="Q11" s="19" t="n">
        <v>59614</v>
      </c>
      <c r="R11" s="63" t="n">
        <v>62052</v>
      </c>
      <c r="S11" s="63" t="n">
        <v>73815</v>
      </c>
      <c r="T11" s="63" t="n">
        <v>63770</v>
      </c>
      <c r="U11" s="63" t="n">
        <v>50286</v>
      </c>
      <c r="V11" s="115" t="n">
        <v>58162</v>
      </c>
      <c r="W11" s="115" t="n">
        <v>60000</v>
      </c>
      <c r="X11" s="115" t="n">
        <v>63000</v>
      </c>
      <c r="Y11" s="115" t="n">
        <v>70000</v>
      </c>
      <c r="Z11" s="115" t="n">
        <v>75000</v>
      </c>
      <c r="AA11" s="115" t="n">
        <v>60000</v>
      </c>
      <c r="AB11" s="115" t="n">
        <v>63612.15</v>
      </c>
      <c r="AC11" s="115" t="n">
        <v>62594.7</v>
      </c>
      <c r="AD11" s="115" t="n">
        <v>65154.6</v>
      </c>
      <c r="AE11" s="115" t="n">
        <v>77505.75</v>
      </c>
      <c r="AF11" s="115" t="n">
        <v>67045.64999999999</v>
      </c>
      <c r="AG11" s="115" t="n">
        <v>67410</v>
      </c>
      <c r="AH11" s="115" t="n">
        <v>78750</v>
      </c>
      <c r="AI11" s="115" t="n">
        <v>63000</v>
      </c>
      <c r="AJ11" s="115" t="n">
        <v>66150</v>
      </c>
      <c r="AK11" s="115" t="n">
        <v>73500</v>
      </c>
      <c r="AL11" s="115" t="n">
        <v>78750</v>
      </c>
      <c r="AM11" s="115" t="n">
        <v>63000</v>
      </c>
      <c r="AN11" s="115" t="n">
        <v>66792.75999999999</v>
      </c>
      <c r="AO11" s="115" t="n">
        <v>65724.42999999999</v>
      </c>
      <c r="AP11" s="115" t="n">
        <v>68412.33</v>
      </c>
      <c r="AQ11" s="115" t="n">
        <v>81381.03999999999</v>
      </c>
      <c r="AR11" s="115" t="n">
        <v>70397.92999999999</v>
      </c>
      <c r="AS11" s="115" t="n">
        <v>70780.5</v>
      </c>
      <c r="AT11" s="115" t="n">
        <v>82687.5</v>
      </c>
      <c r="AU11" s="115" t="n">
        <v>66150</v>
      </c>
      <c r="AV11" s="115" t="n">
        <v>69457.5</v>
      </c>
      <c r="AW11" s="115" t="n">
        <v>77175</v>
      </c>
      <c r="AX11" s="115" t="n">
        <v>82687.5</v>
      </c>
      <c r="AY11" s="115" t="n">
        <v>66150</v>
      </c>
    </row>
    <row r="12">
      <c r="B12" s="15" t="inlineStr">
        <is>
          <t>PH</t>
        </is>
      </c>
      <c r="C12" s="18" t="inlineStr">
        <is>
          <t>Presidio Heights</t>
        </is>
      </c>
      <c r="D12" s="19" t="n">
        <v>233958.4001295027</v>
      </c>
      <c r="E12" s="19" t="n">
        <v>218217.9543707655</v>
      </c>
      <c r="F12" s="19" t="n">
        <v>206588.766532033</v>
      </c>
      <c r="G12" s="19" t="n">
        <v>189694</v>
      </c>
      <c r="H12" s="19" t="n">
        <v>117239</v>
      </c>
      <c r="I12" s="19" t="n">
        <v>109486</v>
      </c>
      <c r="J12" s="19" t="n">
        <v>91214</v>
      </c>
      <c r="K12" s="19" t="n">
        <v>179728</v>
      </c>
      <c r="L12" s="19" t="n">
        <v>107500</v>
      </c>
      <c r="M12" s="19" t="n">
        <v>134780</v>
      </c>
      <c r="N12" s="19" t="n">
        <v>113334</v>
      </c>
      <c r="O12" s="19" t="n">
        <v>128126</v>
      </c>
      <c r="P12" s="19" t="n">
        <v>124927</v>
      </c>
      <c r="Q12" s="19" t="n">
        <v>180839</v>
      </c>
      <c r="R12" s="63" t="n">
        <v>115051</v>
      </c>
      <c r="S12" s="63" t="n">
        <v>179323</v>
      </c>
      <c r="T12" s="63" t="n">
        <v>93511</v>
      </c>
      <c r="U12" s="63" t="n">
        <v>113383</v>
      </c>
      <c r="V12" s="115" t="n">
        <v>117515</v>
      </c>
      <c r="W12" s="115" t="n">
        <v>155000</v>
      </c>
      <c r="X12" s="115" t="n">
        <v>120000</v>
      </c>
      <c r="Y12" s="115" t="n">
        <v>125000</v>
      </c>
      <c r="Z12" s="115" t="n">
        <v>140000</v>
      </c>
      <c r="AA12" s="115" t="n">
        <v>150000</v>
      </c>
      <c r="AB12" s="115" t="n">
        <v>131173.35</v>
      </c>
      <c r="AC12" s="115" t="n">
        <v>189880.95</v>
      </c>
      <c r="AD12" s="115" t="n">
        <v>120803.55</v>
      </c>
      <c r="AE12" s="115" t="n">
        <v>188289.15</v>
      </c>
      <c r="AF12" s="115" t="n">
        <v>100401</v>
      </c>
      <c r="AG12" s="115" t="n">
        <v>120750</v>
      </c>
      <c r="AH12" s="115" t="n">
        <v>115500</v>
      </c>
      <c r="AI12" s="115" t="n">
        <v>162750</v>
      </c>
      <c r="AJ12" s="115" t="n">
        <v>126000</v>
      </c>
      <c r="AK12" s="115" t="n">
        <v>131250</v>
      </c>
      <c r="AL12" s="115" t="n">
        <v>147000</v>
      </c>
      <c r="AM12" s="115" t="n">
        <v>157500</v>
      </c>
      <c r="AN12" s="115" t="n">
        <v>137732.02</v>
      </c>
      <c r="AO12" s="115" t="n">
        <v>199375</v>
      </c>
      <c r="AP12" s="115" t="n">
        <v>126843.73</v>
      </c>
      <c r="AQ12" s="115" t="n">
        <v>197703.61</v>
      </c>
      <c r="AR12" s="115" t="n">
        <v>105421.05</v>
      </c>
      <c r="AS12" s="115" t="n">
        <v>126787.5</v>
      </c>
      <c r="AT12" s="115" t="n">
        <v>121275</v>
      </c>
      <c r="AU12" s="115" t="n">
        <v>170887.5</v>
      </c>
      <c r="AV12" s="115" t="n">
        <v>132300</v>
      </c>
      <c r="AW12" s="115" t="n">
        <v>137812.5</v>
      </c>
      <c r="AX12" s="115" t="n">
        <v>154350</v>
      </c>
      <c r="AY12" s="115" t="n">
        <v>165375</v>
      </c>
    </row>
    <row r="13">
      <c r="B13" s="15" t="inlineStr">
        <is>
          <t>RH</t>
        </is>
      </c>
      <c r="C13" s="18" t="inlineStr">
        <is>
          <t>Russian Hill</t>
        </is>
      </c>
      <c r="D13" s="19" t="n">
        <v>0</v>
      </c>
      <c r="E13" s="19" t="n">
        <v>31933</v>
      </c>
      <c r="F13" s="19" t="n">
        <v>55412</v>
      </c>
      <c r="G13" s="19" t="n">
        <v>81989</v>
      </c>
      <c r="H13" s="19" t="n">
        <v>70953</v>
      </c>
      <c r="I13" s="19" t="n">
        <v>67470</v>
      </c>
      <c r="J13" s="19" t="n">
        <v>72141</v>
      </c>
      <c r="K13" s="19" t="n">
        <v>93312</v>
      </c>
      <c r="L13" s="19" t="n">
        <v>69913</v>
      </c>
      <c r="M13" s="19" t="n">
        <v>80685</v>
      </c>
      <c r="N13" s="19" t="n">
        <v>76340</v>
      </c>
      <c r="O13" s="19" t="n">
        <v>72252</v>
      </c>
      <c r="P13" s="19" t="n">
        <v>96145</v>
      </c>
      <c r="Q13" s="19" t="n">
        <v>94253</v>
      </c>
      <c r="R13" s="63" t="n">
        <v>85589</v>
      </c>
      <c r="S13" s="63" t="n">
        <v>108129</v>
      </c>
      <c r="T13" s="63" t="n">
        <v>66857</v>
      </c>
      <c r="U13" s="63" t="n">
        <v>71619</v>
      </c>
      <c r="V13" s="115" t="n">
        <v>75936</v>
      </c>
      <c r="W13" s="115" t="n">
        <v>95000</v>
      </c>
      <c r="X13" s="115" t="n">
        <v>80000</v>
      </c>
      <c r="Y13" s="115" t="n">
        <v>82000</v>
      </c>
      <c r="Z13" s="115" t="n">
        <v>80000</v>
      </c>
      <c r="AA13" s="115" t="n">
        <v>88000</v>
      </c>
      <c r="AB13" s="115" t="n">
        <v>100952.25</v>
      </c>
      <c r="AC13" s="115" t="n">
        <v>98965.64999999999</v>
      </c>
      <c r="AD13" s="115" t="n">
        <v>89868.45</v>
      </c>
      <c r="AE13" s="115" t="n">
        <v>113535.45</v>
      </c>
      <c r="AF13" s="115" t="n">
        <v>71700.3</v>
      </c>
      <c r="AG13" s="115" t="n">
        <v>80850</v>
      </c>
      <c r="AH13" s="115" t="n">
        <v>78750</v>
      </c>
      <c r="AI13" s="115" t="n">
        <v>99750</v>
      </c>
      <c r="AJ13" s="115" t="n">
        <v>84000</v>
      </c>
      <c r="AK13" s="115" t="n">
        <v>86100</v>
      </c>
      <c r="AL13" s="115" t="n">
        <v>84000</v>
      </c>
      <c r="AM13" s="115" t="n">
        <v>92400</v>
      </c>
      <c r="AN13" s="115" t="n">
        <v>105999.86</v>
      </c>
      <c r="AO13" s="115" t="n">
        <v>103913.93</v>
      </c>
      <c r="AP13" s="115" t="n">
        <v>94361.87</v>
      </c>
      <c r="AQ13" s="115" t="n">
        <v>119212.22</v>
      </c>
      <c r="AR13" s="115" t="n">
        <v>75285.32000000001</v>
      </c>
      <c r="AS13" s="115" t="n">
        <v>84892.5</v>
      </c>
      <c r="AT13" s="115" t="n">
        <v>82687.5</v>
      </c>
      <c r="AU13" s="115" t="n">
        <v>104737.5</v>
      </c>
      <c r="AV13" s="115" t="n">
        <v>88200</v>
      </c>
      <c r="AW13" s="115" t="n">
        <v>90405</v>
      </c>
      <c r="AX13" s="115" t="n">
        <v>88200</v>
      </c>
      <c r="AY13" s="115" t="n">
        <v>97020</v>
      </c>
    </row>
    <row r="14">
      <c r="B14" s="15" t="inlineStr">
        <is>
          <t>SB</t>
        </is>
      </c>
      <c r="C14" s="18" t="inlineStr">
        <is>
          <t>Santa Barbara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8231</v>
      </c>
      <c r="O14" s="19" t="n">
        <v>17514</v>
      </c>
      <c r="P14" s="19" t="n">
        <v>32747</v>
      </c>
      <c r="Q14" s="19" t="n">
        <v>27799</v>
      </c>
      <c r="R14" s="63" t="n">
        <v>25898</v>
      </c>
      <c r="S14" s="63" t="n">
        <v>23393</v>
      </c>
      <c r="T14" s="63" t="n">
        <v>20133</v>
      </c>
      <c r="U14" s="63" t="n">
        <v>17783</v>
      </c>
      <c r="V14" s="115" t="n">
        <v>18714</v>
      </c>
      <c r="W14" s="115" t="n">
        <v>30000</v>
      </c>
      <c r="X14" s="115" t="n">
        <v>30000</v>
      </c>
      <c r="Y14" s="115" t="n">
        <v>33000</v>
      </c>
      <c r="Z14" s="115" t="n">
        <v>35000</v>
      </c>
      <c r="AA14" s="115" t="n">
        <v>35000</v>
      </c>
      <c r="AB14" s="115" t="n">
        <v>59231</v>
      </c>
      <c r="AC14" s="115" t="n">
        <v>60132</v>
      </c>
      <c r="AD14" s="115" t="n">
        <v>52754</v>
      </c>
      <c r="AE14" s="115" t="n">
        <v>51670</v>
      </c>
      <c r="AF14" s="115" t="n">
        <v>60236</v>
      </c>
      <c r="AG14" s="115" t="n">
        <v>51621</v>
      </c>
      <c r="AH14" s="115" t="n">
        <v>62000</v>
      </c>
      <c r="AI14" s="115" t="n">
        <v>63000</v>
      </c>
      <c r="AJ14" s="115" t="n">
        <v>73000</v>
      </c>
      <c r="AK14" s="115" t="n">
        <v>65000</v>
      </c>
      <c r="AL14" s="115" t="n">
        <v>64200</v>
      </c>
      <c r="AM14" s="115" t="n">
        <v>64200</v>
      </c>
      <c r="AN14" s="115" t="n">
        <v>62192.55</v>
      </c>
      <c r="AO14" s="115" t="n">
        <v>63138.6</v>
      </c>
      <c r="AP14" s="115" t="n">
        <v>55391.7</v>
      </c>
      <c r="AQ14" s="115" t="n">
        <v>54253.5</v>
      </c>
      <c r="AR14" s="115" t="n">
        <v>63247.8</v>
      </c>
      <c r="AS14" s="115" t="n">
        <v>54202.05</v>
      </c>
      <c r="AT14" s="115" t="n">
        <v>65100</v>
      </c>
      <c r="AU14" s="115" t="n">
        <v>66150</v>
      </c>
      <c r="AV14" s="115" t="n">
        <v>76650</v>
      </c>
      <c r="AW14" s="115" t="n">
        <v>68250</v>
      </c>
      <c r="AX14" s="115" t="n">
        <v>67410</v>
      </c>
      <c r="AY14" s="115" t="n">
        <v>67410</v>
      </c>
    </row>
    <row r="15">
      <c r="B15" s="15" t="inlineStr">
        <is>
          <t>SM</t>
        </is>
      </c>
      <c r="C15" s="18" t="inlineStr">
        <is>
          <t>Santa Monica</t>
        </is>
      </c>
      <c r="D15" s="19" t="n">
        <v>143755</v>
      </c>
      <c r="E15" s="19" t="n">
        <v>203570</v>
      </c>
      <c r="F15" s="19" t="n">
        <v>268747</v>
      </c>
      <c r="G15" s="19" t="n">
        <v>164726</v>
      </c>
      <c r="H15" s="19" t="n">
        <v>193168</v>
      </c>
      <c r="I15" s="19" t="n">
        <v>169753</v>
      </c>
      <c r="J15" s="19" t="n">
        <v>231840</v>
      </c>
      <c r="K15" s="19" t="n">
        <v>162408</v>
      </c>
      <c r="L15" s="19" t="n">
        <v>176867</v>
      </c>
      <c r="M15" s="19" t="n">
        <v>154064</v>
      </c>
      <c r="N15" s="19" t="n">
        <v>188610</v>
      </c>
      <c r="O15" s="19" t="n">
        <v>178478</v>
      </c>
      <c r="P15" s="19" t="n">
        <v>184491</v>
      </c>
      <c r="Q15" s="19" t="n">
        <v>161597</v>
      </c>
      <c r="R15" s="63" t="n">
        <v>192258</v>
      </c>
      <c r="S15" s="63" t="n">
        <v>157521</v>
      </c>
      <c r="T15" s="63" t="n">
        <v>206632</v>
      </c>
      <c r="U15" s="63" t="n">
        <v>130716</v>
      </c>
      <c r="V15" s="115" t="n">
        <v>163688</v>
      </c>
      <c r="W15" s="115" t="n">
        <v>200000</v>
      </c>
      <c r="X15" s="115" t="n">
        <v>190000</v>
      </c>
      <c r="Y15" s="115" t="n">
        <v>220000</v>
      </c>
      <c r="Z15" s="115" t="n">
        <v>251450</v>
      </c>
      <c r="AA15" s="115" t="n">
        <v>190000</v>
      </c>
      <c r="AB15" s="115" t="n">
        <v>215000</v>
      </c>
      <c r="AC15" s="115" t="n">
        <v>190000</v>
      </c>
      <c r="AD15" s="115" t="n">
        <v>215000</v>
      </c>
      <c r="AE15" s="115" t="n">
        <v>200000</v>
      </c>
      <c r="AF15" s="115" t="n">
        <v>235000</v>
      </c>
      <c r="AG15" s="115" t="n">
        <v>210000</v>
      </c>
      <c r="AH15" s="115" t="n">
        <v>200000</v>
      </c>
      <c r="AI15" s="115" t="n">
        <v>210000</v>
      </c>
      <c r="AJ15" s="115" t="n">
        <v>215000</v>
      </c>
      <c r="AK15" s="115" t="n">
        <v>231000</v>
      </c>
      <c r="AL15" s="115" t="n">
        <v>264022.5</v>
      </c>
      <c r="AM15" s="115" t="n">
        <v>199500</v>
      </c>
      <c r="AN15" s="115">
        <f>1.05*AB15</f>
        <v/>
      </c>
      <c r="AO15" s="115">
        <f>1.05*AC15</f>
        <v/>
      </c>
      <c r="AP15" s="115">
        <f>1.05*AD15</f>
        <v/>
      </c>
      <c r="AQ15" s="115">
        <f>1.05*AE15</f>
        <v/>
      </c>
      <c r="AR15" s="115">
        <f>1.05*AF15</f>
        <v/>
      </c>
      <c r="AS15" s="115">
        <f>1.05*AG15</f>
        <v/>
      </c>
      <c r="AT15" s="115">
        <f>1.05*AH15</f>
        <v/>
      </c>
      <c r="AU15" s="115">
        <f>1.05*AI15</f>
        <v/>
      </c>
      <c r="AV15" s="115">
        <f>1.05*AJ15</f>
        <v/>
      </c>
      <c r="AW15" s="115">
        <f>1.05*AK15</f>
        <v/>
      </c>
      <c r="AX15" s="115">
        <f>1.05*AL15</f>
        <v/>
      </c>
      <c r="AY15" s="115">
        <f>1.05*AM15</f>
        <v/>
      </c>
    </row>
    <row r="16">
      <c r="B16" s="15" t="inlineStr">
        <is>
          <t>WP</t>
        </is>
      </c>
      <c r="C16" s="18" t="inlineStr">
        <is>
          <t>West Portal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470</v>
      </c>
      <c r="O16" s="19" t="n">
        <v>4114</v>
      </c>
      <c r="P16" s="19" t="n">
        <v>1573</v>
      </c>
      <c r="Q16" s="19" t="n">
        <v>1513</v>
      </c>
      <c r="R16" s="63" t="n">
        <v>784</v>
      </c>
      <c r="S16" s="63" t="n">
        <v>370</v>
      </c>
      <c r="T16" s="63" t="n">
        <v>26</v>
      </c>
      <c r="U16" s="63" t="n">
        <v>225</v>
      </c>
      <c r="V16" s="115" t="n">
        <v>99</v>
      </c>
      <c r="W16" s="115" t="n">
        <v>0</v>
      </c>
      <c r="X16" s="115" t="n">
        <v>0</v>
      </c>
      <c r="Y16" s="115" t="n">
        <v>40000</v>
      </c>
      <c r="Z16" s="115" t="n">
        <v>70000</v>
      </c>
      <c r="AA16" s="115" t="n">
        <v>78000</v>
      </c>
      <c r="AB16" s="115" t="n">
        <v>75000</v>
      </c>
      <c r="AC16" s="115" t="n">
        <v>86822</v>
      </c>
      <c r="AD16" s="115" t="n">
        <v>85300</v>
      </c>
      <c r="AE16" s="115" t="n">
        <v>127703</v>
      </c>
      <c r="AF16" s="115" t="n">
        <v>79689</v>
      </c>
      <c r="AG16" s="115" t="n">
        <v>76768</v>
      </c>
      <c r="AH16" s="115" t="n">
        <v>70767</v>
      </c>
      <c r="AI16" s="115" t="n">
        <v>102739</v>
      </c>
      <c r="AJ16" s="115" t="n">
        <v>68837</v>
      </c>
      <c r="AK16" s="115" t="n">
        <v>83777</v>
      </c>
      <c r="AL16" s="115" t="n">
        <v>79979</v>
      </c>
      <c r="AM16" s="115" t="n">
        <v>79880</v>
      </c>
      <c r="AN16" s="115" t="n">
        <v>94526.25</v>
      </c>
      <c r="AO16" s="115" t="n">
        <v>91163.10000000001</v>
      </c>
      <c r="AP16" s="115" t="n">
        <v>89565</v>
      </c>
      <c r="AQ16" s="115" t="n">
        <v>134088.15</v>
      </c>
      <c r="AR16" s="115" t="n">
        <v>83673.45</v>
      </c>
      <c r="AS16" s="115" t="n">
        <v>80606.39999999999</v>
      </c>
      <c r="AT16" s="115" t="n">
        <v>74305.35000000001</v>
      </c>
      <c r="AU16" s="115" t="n">
        <v>107875.95</v>
      </c>
      <c r="AV16" s="115" t="n">
        <v>72278.85000000001</v>
      </c>
      <c r="AW16" s="115" t="n">
        <v>87965.85000000001</v>
      </c>
      <c r="AX16" s="115" t="n">
        <v>83977.95</v>
      </c>
      <c r="AY16" s="115" t="n">
        <v>83874</v>
      </c>
    </row>
    <row r="17">
      <c r="B17" s="15" t="inlineStr">
        <is>
          <t>WW</t>
        </is>
      </c>
      <c r="C17" s="18" t="inlineStr">
        <is>
          <t>Westwood</t>
        </is>
      </c>
      <c r="D17" s="19" t="n">
        <v>71187</v>
      </c>
      <c r="E17" s="19" t="n">
        <v>96307</v>
      </c>
      <c r="F17" s="19" t="n">
        <v>93607</v>
      </c>
      <c r="G17" s="19" t="n">
        <v>77241</v>
      </c>
      <c r="H17" s="19" t="n">
        <v>90103</v>
      </c>
      <c r="I17" s="19" t="n">
        <v>75890</v>
      </c>
      <c r="J17" s="19" t="n">
        <v>75128</v>
      </c>
      <c r="K17" s="19" t="n">
        <v>59513</v>
      </c>
      <c r="L17" s="19" t="n">
        <v>67496</v>
      </c>
      <c r="M17" s="19" t="n">
        <v>64714</v>
      </c>
      <c r="N17" s="19" t="n">
        <v>67128</v>
      </c>
      <c r="O17" s="19" t="n">
        <v>61457</v>
      </c>
      <c r="P17" s="19" t="n">
        <v>71360</v>
      </c>
      <c r="Q17" s="19" t="n">
        <v>69405</v>
      </c>
      <c r="R17" s="63" t="n">
        <v>62992</v>
      </c>
      <c r="S17" s="63" t="n">
        <v>49441</v>
      </c>
      <c r="T17" s="63" t="n">
        <v>60750</v>
      </c>
      <c r="U17" s="63" t="n">
        <v>41757</v>
      </c>
      <c r="V17" s="115" t="n">
        <v>47537</v>
      </c>
      <c r="W17" s="115" t="n">
        <v>64000</v>
      </c>
      <c r="X17" s="115" t="n">
        <v>72000</v>
      </c>
      <c r="Y17" s="115" t="n">
        <v>80000</v>
      </c>
      <c r="Z17" s="115" t="n">
        <v>85600</v>
      </c>
      <c r="AA17" s="115" t="n">
        <v>74900</v>
      </c>
      <c r="AB17" s="115" t="n">
        <v>74928</v>
      </c>
      <c r="AC17" s="115" t="n">
        <v>75000</v>
      </c>
      <c r="AD17" s="115" t="n">
        <v>66141.60000000001</v>
      </c>
      <c r="AE17" s="115" t="n">
        <v>61000</v>
      </c>
      <c r="AF17" s="115" t="n">
        <v>75000</v>
      </c>
      <c r="AG17" s="115" t="n">
        <v>75000</v>
      </c>
      <c r="AH17" s="115" t="n">
        <v>65100</v>
      </c>
      <c r="AI17" s="115" t="n">
        <v>67200</v>
      </c>
      <c r="AJ17" s="115" t="n">
        <v>75600</v>
      </c>
      <c r="AK17" s="115" t="n">
        <v>84000</v>
      </c>
      <c r="AL17" s="115" t="n">
        <v>89880</v>
      </c>
      <c r="AM17" s="115" t="n">
        <v>78645</v>
      </c>
      <c r="AN17" s="115" t="n">
        <v>78674.39999999999</v>
      </c>
      <c r="AO17" s="115" t="n">
        <v>76519.00999999999</v>
      </c>
      <c r="AP17" s="115" t="n">
        <v>69448.67999999999</v>
      </c>
      <c r="AQ17" s="115" t="n">
        <v>61000</v>
      </c>
      <c r="AR17" s="115" t="n">
        <v>71000</v>
      </c>
      <c r="AS17" s="115" t="n">
        <v>71662.5</v>
      </c>
      <c r="AT17" s="115" t="n">
        <v>68355</v>
      </c>
      <c r="AU17" s="115" t="n">
        <v>70560</v>
      </c>
      <c r="AV17" s="115" t="n">
        <v>79380</v>
      </c>
      <c r="AW17" s="115" t="n">
        <v>88200</v>
      </c>
      <c r="AX17" s="115" t="n">
        <v>94374</v>
      </c>
      <c r="AY17" s="115" t="n">
        <v>82577.25</v>
      </c>
    </row>
    <row r="18">
      <c r="B18" s="32" t="inlineStr">
        <is>
          <t>TOTAL</t>
        </is>
      </c>
      <c r="C18" s="32" t="inlineStr">
        <is>
          <t>All Studios</t>
        </is>
      </c>
      <c r="D18" s="17">
        <f>SUM(D6:D17)</f>
        <v/>
      </c>
      <c r="E18" s="17">
        <f>SUM(E6:E17)</f>
        <v/>
      </c>
      <c r="F18" s="17">
        <f>SUM(F6:F17)</f>
        <v/>
      </c>
      <c r="G18" s="17">
        <f>SUM(G6:G17)</f>
        <v/>
      </c>
      <c r="H18" s="17">
        <f>SUM(H6:H17)</f>
        <v/>
      </c>
      <c r="I18" s="17">
        <f>SUM(I6:I17)</f>
        <v/>
      </c>
      <c r="J18" s="17">
        <f>SUM(J6:J17)</f>
        <v/>
      </c>
      <c r="K18" s="17">
        <f>SUM(K6:K17)</f>
        <v/>
      </c>
      <c r="L18" s="17">
        <f>SUM(L6:L17)</f>
        <v/>
      </c>
      <c r="M18" s="17">
        <f>SUM(M6:M17)</f>
        <v/>
      </c>
      <c r="N18" s="17">
        <f>SUM(N6:N17)</f>
        <v/>
      </c>
      <c r="O18" s="17">
        <f>SUM(O6:O17)</f>
        <v/>
      </c>
      <c r="P18" s="17">
        <f>SUM(P6:P17)</f>
        <v/>
      </c>
      <c r="Q18" s="17">
        <f>SUM(Q6:Q17)</f>
        <v/>
      </c>
      <c r="R18" s="17">
        <f>SUM(R6:R17)</f>
        <v/>
      </c>
      <c r="S18" s="17">
        <f>SUM(S6:S17)</f>
        <v/>
      </c>
      <c r="T18" s="17">
        <f>SUM(T6:T17)</f>
        <v/>
      </c>
      <c r="U18" s="17">
        <f>SUM(U6:U17)</f>
        <v/>
      </c>
      <c r="V18" s="17">
        <f>SUM(V6:V17)</f>
        <v/>
      </c>
      <c r="W18" s="17">
        <f>SUM(W6:W17)</f>
        <v/>
      </c>
      <c r="X18" s="17">
        <f>SUM(X6:X17)</f>
        <v/>
      </c>
      <c r="Y18" s="17">
        <f>SUM(Y6:Y17)</f>
        <v/>
      </c>
      <c r="Z18" s="17">
        <f>SUM(Z6:Z17)</f>
        <v/>
      </c>
      <c r="AA18" s="17">
        <f>SUM(AA6:AA17)</f>
        <v/>
      </c>
      <c r="AB18" s="17">
        <f>SUM(AB6:AB17)</f>
        <v/>
      </c>
      <c r="AC18" s="17">
        <f>SUM(AC6:AC17)</f>
        <v/>
      </c>
      <c r="AD18" s="17">
        <f>SUM(AD6:AD17)</f>
        <v/>
      </c>
      <c r="AE18" s="17">
        <f>SUM(AE6:AE17)</f>
        <v/>
      </c>
      <c r="AF18" s="17">
        <f>SUM(AF6:AF17)</f>
        <v/>
      </c>
      <c r="AG18" s="17">
        <f>SUM(AG6:AG17)</f>
        <v/>
      </c>
      <c r="AH18" s="17">
        <f>SUM(AH6:AH17)</f>
        <v/>
      </c>
      <c r="AI18" s="17">
        <f>SUM(AI6:AI17)</f>
        <v/>
      </c>
      <c r="AJ18" s="17">
        <f>SUM(AJ6:AJ17)</f>
        <v/>
      </c>
      <c r="AK18" s="17">
        <f>SUM(AK6:AK17)</f>
        <v/>
      </c>
      <c r="AL18" s="17">
        <f>SUM(AL6:AL17)</f>
        <v/>
      </c>
      <c r="AM18" s="17">
        <f>SUM(AM6:AM17)</f>
        <v/>
      </c>
      <c r="AN18" s="17">
        <f>SUM(AN6:AN17)</f>
        <v/>
      </c>
      <c r="AO18" s="17">
        <f>SUM(AO6:AO17)</f>
        <v/>
      </c>
      <c r="AP18" s="17">
        <f>SUM(AP6:AP17)</f>
        <v/>
      </c>
      <c r="AQ18" s="17">
        <f>SUM(AQ6:AQ17)</f>
        <v/>
      </c>
      <c r="AR18" s="17">
        <f>SUM(AR6:AR17)</f>
        <v/>
      </c>
      <c r="AS18" s="17">
        <f>SUM(AS6:AS17)</f>
        <v/>
      </c>
      <c r="AT18" s="17">
        <f>SUM(AT6:AT17)</f>
        <v/>
      </c>
      <c r="AU18" s="17">
        <f>SUM(AU6:AU17)</f>
        <v/>
      </c>
      <c r="AV18" s="17">
        <f>SUM(AV6:AV17)</f>
        <v/>
      </c>
      <c r="AW18" s="17">
        <f>SUM(AW6:AW17)</f>
        <v/>
      </c>
      <c r="AX18" s="17">
        <f>SUM(AX6:AX17)</f>
        <v/>
      </c>
      <c r="AY18" s="17">
        <f>SUM(AY6:AY17)</f>
        <v/>
      </c>
    </row>
    <row r="20" ht="16" customHeight="1" s="282">
      <c r="B20" s="10" t="inlineStr">
        <is>
          <t>Annual Summary</t>
        </is>
      </c>
      <c r="C20" s="11" t="n"/>
      <c r="D20" s="11" t="n"/>
      <c r="E20" s="11" t="n"/>
      <c r="F20" s="11" t="n"/>
      <c r="G20" s="11" t="n"/>
    </row>
    <row r="21">
      <c r="B21" s="14" t="inlineStr">
        <is>
          <t>Code</t>
        </is>
      </c>
      <c r="C21" s="14" t="inlineStr">
        <is>
          <t>Studio</t>
        </is>
      </c>
      <c r="D21" s="14" t="n">
        <v>2025</v>
      </c>
      <c r="E21" s="14" t="inlineStr">
        <is>
          <t>2026</t>
        </is>
      </c>
      <c r="F21" s="14" t="inlineStr">
        <is>
          <t>2027</t>
        </is>
      </c>
      <c r="G21" s="14" t="inlineStr">
        <is>
          <t>2028</t>
        </is>
      </c>
    </row>
    <row r="22">
      <c r="B22" s="15" t="inlineStr">
        <is>
          <t>BK</t>
        </is>
      </c>
      <c r="C22" s="18" t="inlineStr">
        <is>
          <t>Berkeley</t>
        </is>
      </c>
      <c r="D22" s="20">
        <f>SUM(D6:O6)</f>
        <v/>
      </c>
      <c r="E22" s="20">
        <f>SUM(P6:AA6)</f>
        <v/>
      </c>
      <c r="F22" s="20">
        <f>SUM(AB6:AM6)</f>
        <v/>
      </c>
      <c r="G22" s="20">
        <f>SUM(AN6:AY6)</f>
        <v/>
      </c>
    </row>
    <row r="23">
      <c r="B23" s="15" t="inlineStr">
        <is>
          <t>CC</t>
        </is>
      </c>
      <c r="C23" s="18" t="inlineStr">
        <is>
          <t>Culver City</t>
        </is>
      </c>
      <c r="D23" s="20">
        <f>SUM(D7:O7)</f>
        <v/>
      </c>
      <c r="E23" s="20">
        <f>SUM(P7:AA7)</f>
        <v/>
      </c>
      <c r="F23" s="20">
        <f>SUM(AB7:AM7)</f>
        <v/>
      </c>
      <c r="G23" s="20">
        <f>SUM(AN7:AY7)</f>
        <v/>
      </c>
    </row>
    <row r="24">
      <c r="B24" s="15" t="inlineStr">
        <is>
          <t>DN</t>
        </is>
      </c>
      <c r="C24" s="18" t="inlineStr">
        <is>
          <t>Danville</t>
        </is>
      </c>
      <c r="D24" s="20">
        <f>SUM(D8:O8)</f>
        <v/>
      </c>
      <c r="E24" s="20">
        <f>SUM(P8:AA8)</f>
        <v/>
      </c>
      <c r="F24" s="20">
        <f>SUM(AB8:AM8)</f>
        <v/>
      </c>
      <c r="G24" s="20">
        <f>SUM(AN8:AY8)</f>
        <v/>
      </c>
    </row>
    <row r="25">
      <c r="B25" s="15" t="inlineStr">
        <is>
          <t>LF</t>
        </is>
      </c>
      <c r="C25" s="18" t="inlineStr">
        <is>
          <t>Lafayette</t>
        </is>
      </c>
      <c r="D25" s="20">
        <f>SUM(D9:O9)</f>
        <v/>
      </c>
      <c r="E25" s="20">
        <f>SUM(P9:AA9)</f>
        <v/>
      </c>
      <c r="F25" s="20">
        <f>SUM(AB9:AM9)</f>
        <v/>
      </c>
      <c r="G25" s="20">
        <f>SUM(AN9:AY9)</f>
        <v/>
      </c>
    </row>
    <row r="26">
      <c r="B26" s="15" t="inlineStr">
        <is>
          <t>MR</t>
        </is>
      </c>
      <c r="C26" s="18" t="inlineStr">
        <is>
          <t>Marin</t>
        </is>
      </c>
      <c r="D26" s="20">
        <f>SUM(D10:O10)</f>
        <v/>
      </c>
      <c r="E26" s="20">
        <f>SUM(P10:AA10)</f>
        <v/>
      </c>
      <c r="F26" s="20">
        <f>SUM(AB10:AM10)</f>
        <v/>
      </c>
      <c r="G26" s="20">
        <f>SUM(AN10:AY10)</f>
        <v/>
      </c>
    </row>
    <row r="27">
      <c r="B27" s="15" t="inlineStr">
        <is>
          <t>OP</t>
        </is>
      </c>
      <c r="C27" s="18" t="inlineStr">
        <is>
          <t>Ocean Park</t>
        </is>
      </c>
      <c r="D27" s="20">
        <f>SUM(D11:O11)</f>
        <v/>
      </c>
      <c r="E27" s="20">
        <f>SUM(P11:AA11)</f>
        <v/>
      </c>
      <c r="F27" s="20">
        <f>SUM(AB11:AM11)</f>
        <v/>
      </c>
      <c r="G27" s="20">
        <f>SUM(AN11:AY11)</f>
        <v/>
      </c>
    </row>
    <row r="28">
      <c r="B28" s="15" t="inlineStr">
        <is>
          <t>PH</t>
        </is>
      </c>
      <c r="C28" s="18" t="inlineStr">
        <is>
          <t>Presidio Heights</t>
        </is>
      </c>
      <c r="D28" s="20">
        <f>SUM(D12:O12)</f>
        <v/>
      </c>
      <c r="E28" s="20">
        <f>SUM(P12:AA12)</f>
        <v/>
      </c>
      <c r="F28" s="20">
        <f>SUM(AB12:AM12)</f>
        <v/>
      </c>
      <c r="G28" s="20">
        <f>SUM(AN12:AY12)</f>
        <v/>
      </c>
    </row>
    <row r="29">
      <c r="B29" s="15" t="inlineStr">
        <is>
          <t>RH</t>
        </is>
      </c>
      <c r="C29" s="18" t="inlineStr">
        <is>
          <t>Russian Hill</t>
        </is>
      </c>
      <c r="D29" s="20">
        <f>SUM(D13:O13)</f>
        <v/>
      </c>
      <c r="E29" s="20">
        <f>SUM(P13:AA13)</f>
        <v/>
      </c>
      <c r="F29" s="20">
        <f>SUM(AB13:AM13)</f>
        <v/>
      </c>
      <c r="G29" s="20">
        <f>SUM(AN13:AY13)</f>
        <v/>
      </c>
    </row>
    <row r="30">
      <c r="B30" s="15" t="inlineStr">
        <is>
          <t>SB</t>
        </is>
      </c>
      <c r="C30" s="18" t="inlineStr">
        <is>
          <t>Santa Barbara</t>
        </is>
      </c>
      <c r="D30" s="20">
        <f>SUM(D14:O14)</f>
        <v/>
      </c>
      <c r="E30" s="20">
        <f>SUM(P14:AA14)</f>
        <v/>
      </c>
      <c r="F30" s="20">
        <f>SUM(AB14:AM14)</f>
        <v/>
      </c>
      <c r="G30" s="20">
        <f>SUM(AN14:AY14)</f>
        <v/>
      </c>
    </row>
    <row r="31">
      <c r="B31" s="15" t="inlineStr">
        <is>
          <t>SM</t>
        </is>
      </c>
      <c r="C31" s="18" t="inlineStr">
        <is>
          <t>Santa Monica</t>
        </is>
      </c>
      <c r="D31" s="20">
        <f>SUM(D15:O15)</f>
        <v/>
      </c>
      <c r="E31" s="20">
        <f>SUM(P15:AA15)</f>
        <v/>
      </c>
      <c r="F31" s="20">
        <f>SUM(AB15:AM15)</f>
        <v/>
      </c>
      <c r="G31" s="20">
        <f>SUM(AN15:AY15)</f>
        <v/>
      </c>
    </row>
    <row r="32">
      <c r="B32" s="15" t="inlineStr">
        <is>
          <t>WP</t>
        </is>
      </c>
      <c r="C32" s="18" t="inlineStr">
        <is>
          <t>West Portal</t>
        </is>
      </c>
      <c r="D32" s="20">
        <f>SUM(D16:O16)</f>
        <v/>
      </c>
      <c r="E32" s="20">
        <f>SUM(P16:AA16)</f>
        <v/>
      </c>
      <c r="F32" s="20">
        <f>SUM(AB16:AM16)</f>
        <v/>
      </c>
      <c r="G32" s="20">
        <f>SUM(AN16:AY16)</f>
        <v/>
      </c>
    </row>
    <row r="33">
      <c r="B33" s="15" t="inlineStr">
        <is>
          <t>WW</t>
        </is>
      </c>
      <c r="C33" s="18" t="inlineStr">
        <is>
          <t>Westwood</t>
        </is>
      </c>
      <c r="D33" s="20">
        <f>SUM(D17:O17)</f>
        <v/>
      </c>
      <c r="E33" s="20">
        <f>SUM(P17:AA17)</f>
        <v/>
      </c>
      <c r="F33" s="20">
        <f>SUM(AB17:AM17)</f>
        <v/>
      </c>
      <c r="G33" s="20">
        <f>SUM(AN17:AY17)</f>
        <v/>
      </c>
    </row>
    <row r="34">
      <c r="B34" s="32" t="inlineStr">
        <is>
          <t>TOTAL</t>
        </is>
      </c>
      <c r="C34" s="32" t="inlineStr">
        <is>
          <t>All Studios</t>
        </is>
      </c>
      <c r="D34" s="17">
        <f>SUM(D22:D33)</f>
        <v/>
      </c>
      <c r="E34" s="17">
        <f>SUM(E22:E33)</f>
        <v/>
      </c>
      <c r="F34" s="17">
        <f>SUM(F22:F33)</f>
        <v/>
      </c>
      <c r="G34" s="17">
        <f>SUM(G22:G33)</f>
        <v/>
      </c>
    </row>
    <row r="100" hidden="1" s="282">
      <c r="B100" s="54" t="inlineStr">
        <is>
          <t>2025 SALES HISTORY (hidden helper for lag formulas)</t>
        </is>
      </c>
      <c r="P100" s="54" t="inlineStr">
        <is>
          <t>2025-07</t>
        </is>
      </c>
      <c r="Q100" s="54" t="inlineStr">
        <is>
          <t>2025-08</t>
        </is>
      </c>
      <c r="R100" s="54" t="inlineStr">
        <is>
          <t>2025-09</t>
        </is>
      </c>
      <c r="S100" s="54" t="inlineStr">
        <is>
          <t>2025-10</t>
        </is>
      </c>
      <c r="T100" s="54" t="inlineStr">
        <is>
          <t>2025-11</t>
        </is>
      </c>
      <c r="U100" s="54" t="inlineStr">
        <is>
          <t>2025-12</t>
        </is>
      </c>
    </row>
    <row r="101" hidden="1" s="282">
      <c r="P101" s="55" t="n">
        <v>808077</v>
      </c>
      <c r="Q101" s="55" t="n">
        <v>930709</v>
      </c>
      <c r="R101" s="55" t="n">
        <v>758432</v>
      </c>
      <c r="S101" s="55" t="n">
        <v>830044</v>
      </c>
      <c r="T101" s="55" t="n">
        <v>833160</v>
      </c>
      <c r="U101" s="55" t="n">
        <v>847328</v>
      </c>
    </row>
    <row r="102" hidden="1" s="282">
      <c r="B102" s="54" t="inlineStr">
        <is>
          <t xml:space="preserve">  2025 helper: BK (Berkeley)</t>
        </is>
      </c>
      <c r="T102" s="82" t="n">
        <v>102111.01</v>
      </c>
      <c r="U102" s="82" t="n">
        <v>103847.42</v>
      </c>
    </row>
    <row r="103" hidden="1" s="282">
      <c r="B103" s="54" t="inlineStr">
        <is>
          <t xml:space="preserve">  2025 helper: CC (Culver City)</t>
        </is>
      </c>
      <c r="T103" s="82" t="n">
        <v>36886.61</v>
      </c>
      <c r="U103" s="82" t="n">
        <v>37513.88</v>
      </c>
    </row>
    <row r="104" hidden="1" s="282">
      <c r="B104" s="54" t="inlineStr">
        <is>
          <t xml:space="preserve">  2025 helper: DN (Danville)</t>
        </is>
      </c>
      <c r="T104" s="82" t="n">
        <v>18359.97</v>
      </c>
      <c r="U104" s="82" t="n">
        <v>18672.19</v>
      </c>
    </row>
    <row r="105" hidden="1" s="282">
      <c r="B105" s="54" t="inlineStr">
        <is>
          <t xml:space="preserve">  2025 helper: LF (Lafayette)</t>
        </is>
      </c>
      <c r="T105" s="82" t="n">
        <v>84253.69</v>
      </c>
      <c r="U105" s="82" t="n">
        <v>85686.42999999999</v>
      </c>
    </row>
    <row r="106" hidden="1" s="282">
      <c r="B106" s="54" t="inlineStr">
        <is>
          <t xml:space="preserve">  2025 helper: MR (Marin)</t>
        </is>
      </c>
      <c r="T106" s="82" t="n">
        <v>92130.72</v>
      </c>
      <c r="U106" s="82" t="n">
        <v>93697.42</v>
      </c>
    </row>
    <row r="107" hidden="1" s="282">
      <c r="B107" s="54" t="inlineStr">
        <is>
          <t xml:space="preserve">  2025 helper: OP (Ocean Park)</t>
        </is>
      </c>
      <c r="T107" s="82" t="n">
        <v>56662.27</v>
      </c>
      <c r="U107" s="82" t="n">
        <v>57625.82</v>
      </c>
    </row>
    <row r="108" hidden="1" s="282">
      <c r="B108" s="54" t="inlineStr">
        <is>
          <t xml:space="preserve">  2025 helper: PH (Presidio Heights)</t>
        </is>
      </c>
      <c r="T108" s="82" t="n">
        <v>123229.91</v>
      </c>
      <c r="U108" s="82" t="n">
        <v>125325.45</v>
      </c>
    </row>
    <row r="109" hidden="1" s="282">
      <c r="B109" s="54" t="inlineStr">
        <is>
          <t xml:space="preserve">  2025 helper: RH (Russian Hill)</t>
        </is>
      </c>
      <c r="T109" s="82" t="n">
        <v>80127.42</v>
      </c>
      <c r="U109" s="82" t="n">
        <v>81490</v>
      </c>
    </row>
    <row r="110" hidden="1" s="282">
      <c r="B110" s="54" t="inlineStr">
        <is>
          <t xml:space="preserve">  2025 helper: SB (Santa Barbara)</t>
        </is>
      </c>
      <c r="T110" s="82" t="n">
        <v>23052.3</v>
      </c>
      <c r="U110" s="82" t="n">
        <v>23444.3</v>
      </c>
    </row>
    <row r="111" hidden="1" s="282">
      <c r="B111" s="54" t="inlineStr">
        <is>
          <t xml:space="preserve">  2025 helper: SM (Santa Monica)</t>
        </is>
      </c>
      <c r="T111" s="82" t="n">
        <v>159966.86</v>
      </c>
      <c r="U111" s="82" t="n">
        <v>162687.12</v>
      </c>
    </row>
    <row r="112" hidden="1" s="282">
      <c r="B112" s="54" t="inlineStr">
        <is>
          <t xml:space="preserve">  2025 helper: WP (West Portal)</t>
        </is>
      </c>
      <c r="T112" s="82" t="n">
        <v>755.5700000000001</v>
      </c>
      <c r="U112" s="82" t="n">
        <v>768.42</v>
      </c>
    </row>
    <row r="113" hidden="1" s="282">
      <c r="B113" s="54" t="inlineStr">
        <is>
          <t xml:space="preserve">  2025 helper: WW (Westwood)</t>
        </is>
      </c>
      <c r="T113" s="82" t="n">
        <v>55623.67</v>
      </c>
      <c r="U113" s="82" t="n">
        <v>56569.55</v>
      </c>
    </row>
  </sheetData>
  <pageMargins left="0.75" right="0.75" top="1" bottom="1" header="0.5" footer="0.5"/>
  <pageSetup orientation="portrait" horizontalDpi="1200" verticalDpi="1200"/>
</worksheet>
</file>

<file path=xl/worksheets/sheet9.xml><?xml version="1.0" encoding="utf-8"?>
<worksheet xmlns="http://schemas.openxmlformats.org/spreadsheetml/2006/main">
  <sheetPr>
    <tabColor rgb="FFFFD966"/>
    <outlinePr summaryBelow="1" summaryRight="1"/>
    <pageSetUpPr/>
  </sheetPr>
  <dimension ref="B1:J51"/>
  <sheetViews>
    <sheetView showGridLines="0" topLeftCell="B1" workbookViewId="0">
      <selection activeCell="B1" sqref="B1"/>
    </sheetView>
  </sheetViews>
  <sheetFormatPr baseColWidth="10" defaultColWidth="8.83203125" defaultRowHeight="15"/>
  <cols>
    <col hidden="1" width="2" customWidth="1" style="282" min="1" max="1"/>
    <col width="36" customWidth="1" style="282" min="2" max="2"/>
    <col width="14" customWidth="1" style="282" min="3" max="9"/>
    <col width="18" customWidth="1" style="282" min="10" max="10"/>
  </cols>
  <sheetData>
    <row r="1"/>
    <row r="2" ht="21" customHeight="1" s="282">
      <c r="B2" s="9" t="inlineStr">
        <is>
          <t>Assumptions</t>
        </is>
      </c>
    </row>
    <row r="3">
      <c r="B3" s="3" t="inlineStr">
        <is>
          <t>Yellow cells are editable inputs. All other tabs reference these values.</t>
        </is>
      </c>
    </row>
    <row r="4"/>
    <row r="5" ht="16" customHeight="1" s="282">
      <c r="B5" s="10" t="inlineStr">
        <is>
          <t>1. Model Control</t>
        </is>
      </c>
      <c r="C5" s="11" t="n"/>
      <c r="D5" s="11" t="n"/>
      <c r="E5" s="11" t="n"/>
      <c r="F5" s="11" t="n"/>
      <c r="G5" s="11" t="n"/>
      <c r="H5" s="11" t="n"/>
      <c r="I5" s="11" t="n"/>
    </row>
    <row r="6">
      <c r="B6" s="18" t="inlineStr">
        <is>
          <t>Last Actuals Month</t>
        </is>
      </c>
      <c r="C6" s="25" t="inlineStr">
        <is>
          <t>Jul 2026</t>
        </is>
      </c>
    </row>
    <row r="7">
      <c r="B7" s="18" t="inlineStr">
        <is>
          <t>Forecast Horizon (months)</t>
        </is>
      </c>
      <c r="C7" s="26" t="n">
        <v>32</v>
      </c>
    </row>
    <row r="8">
      <c r="B8" s="18" t="inlineStr">
        <is>
          <t>Forecast End Month</t>
        </is>
      </c>
      <c r="C8" s="25" t="inlineStr">
        <is>
          <t>Dec 2028</t>
        </is>
      </c>
    </row>
    <row r="10" ht="16" customHeight="1" s="282">
      <c r="B10" s="10" t="inlineStr">
        <is>
          <t>2. Revenue Recognition Curves</t>
        </is>
      </c>
      <c r="C10" s="11" t="n"/>
      <c r="D10" s="11" t="n"/>
      <c r="E10" s="11" t="n"/>
      <c r="F10" s="11" t="n"/>
      <c r="G10" s="11" t="n"/>
      <c r="H10" s="11" t="n"/>
      <c r="I10" s="11" t="n"/>
    </row>
    <row r="11">
      <c r="B11" s="15" t="inlineStr">
        <is>
          <t>Lag Month (0 = sale month)</t>
        </is>
      </c>
      <c r="C11" s="27" t="n">
        <v>0</v>
      </c>
      <c r="D11" s="27" t="n">
        <v>1</v>
      </c>
      <c r="E11" s="27" t="n">
        <v>2</v>
      </c>
      <c r="F11" s="27" t="n">
        <v>3</v>
      </c>
      <c r="G11" s="27" t="n">
        <v>4</v>
      </c>
      <c r="H11" s="27" t="n">
        <v>5</v>
      </c>
      <c r="I11" s="27" t="n">
        <v>6</v>
      </c>
      <c r="J11" s="27" t="inlineStr">
        <is>
          <t>Sum</t>
        </is>
      </c>
    </row>
    <row r="12">
      <c r="B12" s="18" t="inlineStr">
        <is>
          <t>Earned %</t>
        </is>
      </c>
      <c r="C12" s="28" t="n">
        <v>0.3868</v>
      </c>
      <c r="D12" s="28" t="n">
        <v>0.2997</v>
      </c>
      <c r="E12" s="28" t="n">
        <v>0.08550000000000001</v>
      </c>
      <c r="F12" s="28" t="n">
        <v>0.0482</v>
      </c>
      <c r="G12" s="28" t="n">
        <v>0.0261</v>
      </c>
      <c r="H12" s="28" t="n">
        <v>0.0193</v>
      </c>
      <c r="I12" s="28" t="n">
        <v>0.0144</v>
      </c>
      <c r="J12" s="29">
        <f>SUM(C12:I12)</f>
        <v/>
      </c>
    </row>
    <row r="13">
      <c r="B13" s="18" t="inlineStr">
        <is>
          <t>Breakage %</t>
        </is>
      </c>
      <c r="C13" s="28" t="n">
        <v>0.0017</v>
      </c>
      <c r="D13" s="28" t="n">
        <v>0.0602</v>
      </c>
      <c r="E13" s="28" t="n">
        <v>0.0053</v>
      </c>
      <c r="F13" s="28" t="n">
        <v>0.0003</v>
      </c>
      <c r="G13" s="28" t="n">
        <v>0.0001</v>
      </c>
      <c r="H13" s="28" t="n">
        <v>0.0008</v>
      </c>
      <c r="I13" s="28" t="n">
        <v>0.0516</v>
      </c>
      <c r="J13" s="29">
        <f>SUM(C13:I13)</f>
        <v/>
      </c>
    </row>
    <row r="14">
      <c r="B14" s="15" t="inlineStr">
        <is>
          <t>Total (Earned + Breakage)</t>
        </is>
      </c>
      <c r="C14" s="29">
        <f>C12+C13</f>
        <v/>
      </c>
      <c r="D14" s="29">
        <f>D12+D13</f>
        <v/>
      </c>
      <c r="E14" s="29">
        <f>E12+E13</f>
        <v/>
      </c>
      <c r="F14" s="29">
        <f>F12+F13</f>
        <v/>
      </c>
      <c r="G14" s="29">
        <f>G12+G13</f>
        <v/>
      </c>
      <c r="H14" s="29">
        <f>H12+H13</f>
        <v/>
      </c>
      <c r="I14" s="29">
        <f>I12+I13</f>
        <v/>
      </c>
      <c r="J14" s="29">
        <f>SUM(C14:I14)</f>
        <v/>
      </c>
    </row>
    <row r="16" ht="16" customHeight="1" s="282">
      <c r="B16" s="10" t="inlineStr">
        <is>
          <t>3. Rates (% of Gross Revenue)</t>
        </is>
      </c>
      <c r="C16" s="11" t="n"/>
      <c r="D16" s="11" t="n"/>
      <c r="E16" s="11" t="n"/>
      <c r="F16" s="11" t="n"/>
      <c r="G16" s="11" t="n"/>
      <c r="H16" s="11" t="n"/>
      <c r="I16" s="11" t="n"/>
    </row>
    <row r="17">
      <c r="B17" s="18" t="inlineStr">
        <is>
          <t>Refund Rate</t>
        </is>
      </c>
      <c r="C17" s="30" t="n">
        <v>-0.0158</v>
      </c>
      <c r="D17" s="283" t="inlineStr">
        <is>
          <t>Refunds as % of gross revenue. Negative reduces net revenue.</t>
        </is>
      </c>
    </row>
    <row r="18">
      <c r="B18" s="18" t="inlineStr">
        <is>
          <t>Discount Rate</t>
        </is>
      </c>
      <c r="C18" s="30" t="n">
        <v>-0.05309999999999999</v>
      </c>
      <c r="D18" s="283" t="inlineStr">
        <is>
          <t>Discounts as % of gross revenue. Negative reduces net revenue.</t>
        </is>
      </c>
    </row>
    <row r="19">
      <c r="B19" s="18" t="inlineStr">
        <is>
          <t>Merchant Fee %</t>
        </is>
      </c>
      <c r="C19" s="30" t="n">
        <v>0.0286</v>
      </c>
      <c r="D19" s="283" t="inlineStr">
        <is>
          <t>Payment processor fees as % of revenue.</t>
        </is>
      </c>
    </row>
    <row r="20">
      <c r="B20" s="18" t="inlineStr">
        <is>
          <t>COGS %</t>
        </is>
      </c>
      <c r="C20" s="30" t="n">
        <v>0.009599999999999999</v>
      </c>
      <c r="D20" s="283" t="inlineStr">
        <is>
          <t>Cost of goods sold as % of revenue (retail).</t>
        </is>
      </c>
    </row>
    <row r="22" ht="16" customHeight="1" s="282">
      <c r="B22" s="10" t="inlineStr">
        <is>
          <t>4. Annual Escalation Rates</t>
        </is>
      </c>
      <c r="C22" s="11" t="n"/>
      <c r="D22" s="11" t="n"/>
      <c r="E22" s="11" t="n"/>
      <c r="F22" s="11" t="n"/>
      <c r="G22" s="11" t="n"/>
      <c r="H22" s="11" t="n"/>
      <c r="I22" s="11" t="n"/>
    </row>
    <row r="23">
      <c r="B23" s="18" t="inlineStr">
        <is>
          <t>Rent / Property Escalation</t>
        </is>
      </c>
      <c r="C23" s="28" t="n">
        <v>0.03</v>
      </c>
      <c r="D23" s="283" t="inlineStr">
        <is>
          <t>3% annual rent step-up applied to forecast months</t>
        </is>
      </c>
    </row>
    <row r="24">
      <c r="B24" s="18" t="inlineStr">
        <is>
          <t>Other OpEx Escalation</t>
        </is>
      </c>
      <c r="C24" s="28" t="n">
        <v>0.04</v>
      </c>
      <c r="D24" s="283" t="inlineStr">
        <is>
          <t>4% annual escalation for all non-rent OpEx categories</t>
        </is>
      </c>
    </row>
    <row r="25">
      <c r="B25" s="18" t="inlineStr">
        <is>
          <t>Sales YoY Growth</t>
        </is>
      </c>
      <c r="C25" s="28" t="n">
        <v>0.05</v>
      </c>
      <c r="D25" s="283" t="inlineStr">
        <is>
          <t>5% YoY assumed for 2028 (applied to 2027 seasonal pattern)</t>
        </is>
      </c>
    </row>
    <row r="27" ht="16" customHeight="1" s="282">
      <c r="B27" s="10" t="inlineStr">
        <is>
          <t>5. Loan Terms (as of Apr 2026)</t>
        </is>
      </c>
      <c r="C27" s="11" t="n"/>
      <c r="D27" s="11" t="n"/>
      <c r="E27" s="11" t="n"/>
      <c r="F27" s="11" t="n"/>
      <c r="G27" s="11" t="n"/>
      <c r="H27" s="11" t="n"/>
      <c r="I27" s="11" t="n"/>
    </row>
    <row r="28">
      <c r="B28" s="14" t="inlineStr">
        <is>
          <t>Loan</t>
        </is>
      </c>
      <c r="C28" s="14" t="inlineStr">
        <is>
          <t>Original Amt</t>
        </is>
      </c>
      <c r="D28" s="14" t="inlineStr">
        <is>
          <t>Current Balance</t>
        </is>
      </c>
      <c r="E28" s="14" t="inlineStr">
        <is>
          <t>Rate (Annual)</t>
        </is>
      </c>
      <c r="F28" s="14" t="inlineStr">
        <is>
          <t>Avg Monthly Pmt</t>
        </is>
      </c>
      <c r="G28" s="14" t="inlineStr">
        <is>
          <t>Start Date</t>
        </is>
      </c>
      <c r="H28" s="14" t="inlineStr">
        <is>
          <t>Type</t>
        </is>
      </c>
    </row>
    <row r="29">
      <c r="B29" s="15" t="inlineStr">
        <is>
          <t>MindBody Loan - SM</t>
        </is>
      </c>
      <c r="C29" s="31" t="n">
        <v>193706.66</v>
      </c>
      <c r="D29" s="31" t="n">
        <v>99348.21000000001</v>
      </c>
      <c r="E29" s="30" t="n">
        <v>0</v>
      </c>
      <c r="F29" s="31" t="n">
        <v>18871.69</v>
      </c>
      <c r="G29" s="25" t="inlineStr">
        <is>
          <t>2025-09</t>
        </is>
      </c>
      <c r="H29" s="18" t="inlineStr">
        <is>
          <t>Amortizing</t>
        </is>
      </c>
    </row>
    <row r="30">
      <c r="B30" s="15" t="inlineStr">
        <is>
          <t>MindBody Loan - PH</t>
        </is>
      </c>
      <c r="C30" s="31" t="n">
        <v>130000</v>
      </c>
      <c r="D30" s="31" t="n">
        <v>46989.79</v>
      </c>
      <c r="E30" s="30" t="n">
        <v>0</v>
      </c>
      <c r="F30" s="31" t="n">
        <v>16602.04</v>
      </c>
      <c r="G30" s="25" t="inlineStr">
        <is>
          <t>2025-09</t>
        </is>
      </c>
      <c r="H30" s="18" t="inlineStr">
        <is>
          <t>Amortizing</t>
        </is>
      </c>
    </row>
    <row r="31">
      <c r="B31" s="15" t="inlineStr">
        <is>
          <t>MindBody Loan - LF</t>
        </is>
      </c>
      <c r="C31" s="31" t="n">
        <v>69249.28</v>
      </c>
      <c r="D31" s="31" t="n">
        <v>20599.85</v>
      </c>
      <c r="E31" s="30" t="n">
        <v>0</v>
      </c>
      <c r="F31" s="31" t="n">
        <v>12162.36</v>
      </c>
      <c r="G31" s="25" t="inlineStr">
        <is>
          <t>2025-10</t>
        </is>
      </c>
      <c r="H31" s="18" t="inlineStr">
        <is>
          <t>Amortizing</t>
        </is>
      </c>
    </row>
    <row r="32">
      <c r="B32" s="15" t="inlineStr">
        <is>
          <t>MindBody Loan - MR</t>
        </is>
      </c>
      <c r="C32" s="31" t="n">
        <v>67443.81</v>
      </c>
      <c r="D32" s="31" t="n">
        <v>14815.18</v>
      </c>
      <c r="E32" s="30" t="n">
        <v>0</v>
      </c>
      <c r="F32" s="31" t="n">
        <v>13157.16</v>
      </c>
      <c r="G32" s="25" t="inlineStr">
        <is>
          <t>2025-10</t>
        </is>
      </c>
      <c r="H32" s="18" t="inlineStr">
        <is>
          <t>Amortizing</t>
        </is>
      </c>
    </row>
    <row r="33">
      <c r="B33" s="15" t="inlineStr">
        <is>
          <t>Samson Loan</t>
        </is>
      </c>
      <c r="C33" s="31" t="n">
        <v>265414.78</v>
      </c>
      <c r="D33" s="31" t="n">
        <v>189034.12</v>
      </c>
      <c r="E33" s="30" t="n">
        <v>0</v>
      </c>
      <c r="F33" s="31" t="n">
        <v>25460.22</v>
      </c>
      <c r="G33" s="25" t="inlineStr">
        <is>
          <t>2025-11</t>
        </is>
      </c>
      <c r="H33" s="18" t="inlineStr">
        <is>
          <t>Amortizing</t>
        </is>
      </c>
    </row>
    <row r="34">
      <c r="B34" s="15" t="inlineStr">
        <is>
          <t>Specialty Capital Loan</t>
        </is>
      </c>
      <c r="C34" s="31" t="n">
        <v>217184.21</v>
      </c>
      <c r="D34" s="31" t="n">
        <v>165407.89</v>
      </c>
      <c r="E34" s="30" t="n">
        <v>0</v>
      </c>
      <c r="F34" s="31" t="n">
        <v>25888.16</v>
      </c>
      <c r="G34" s="25" t="inlineStr">
        <is>
          <t>2025-12</t>
        </is>
      </c>
      <c r="H34" s="18" t="inlineStr">
        <is>
          <t>Amortizing</t>
        </is>
      </c>
    </row>
    <row r="35">
      <c r="B35" s="15" t="inlineStr">
        <is>
          <t>Norbrook Inc Loan</t>
        </is>
      </c>
      <c r="C35" s="31" t="n">
        <v>162318</v>
      </c>
      <c r="D35" s="31" t="n">
        <v>162318</v>
      </c>
      <c r="E35" s="30" t="n">
        <v>0.08</v>
      </c>
      <c r="F35" s="31" t="n">
        <v>0</v>
      </c>
      <c r="G35" s="25" t="inlineStr">
        <is>
          <t>2025-10</t>
        </is>
      </c>
      <c r="H35" s="18" t="inlineStr">
        <is>
          <t>Interest-Only</t>
        </is>
      </c>
    </row>
    <row r="36">
      <c r="B36" s="15" t="inlineStr">
        <is>
          <t>TOTAL DEBT</t>
        </is>
      </c>
      <c r="D36" s="17">
        <f>SUM(D29:D35)</f>
        <v/>
      </c>
      <c r="F36" s="17">
        <f>SUM(F29:F35)</f>
        <v/>
      </c>
    </row>
    <row r="38" ht="16" customHeight="1" s="282">
      <c r="B38" s="10" t="inlineStr">
        <is>
          <t>6. Active Studios</t>
        </is>
      </c>
      <c r="C38" s="11" t="n"/>
      <c r="D38" s="11" t="n"/>
      <c r="E38" s="11" t="n"/>
      <c r="F38" s="11" t="n"/>
      <c r="G38" s="11" t="n"/>
      <c r="H38" s="11" t="n"/>
      <c r="I38" s="11" t="n"/>
    </row>
    <row r="39">
      <c r="B39" s="14" t="inlineStr">
        <is>
          <t>Code</t>
        </is>
      </c>
      <c r="C39" s="14" t="inlineStr">
        <is>
          <t>Name</t>
        </is>
      </c>
    </row>
    <row r="40">
      <c r="B40" s="15" t="inlineStr">
        <is>
          <t>BK</t>
        </is>
      </c>
      <c r="C40" s="18" t="inlineStr">
        <is>
          <t>Berkeley</t>
        </is>
      </c>
    </row>
    <row r="41">
      <c r="B41" s="15" t="inlineStr">
        <is>
          <t>CC</t>
        </is>
      </c>
      <c r="C41" s="18" t="inlineStr">
        <is>
          <t>Culver City</t>
        </is>
      </c>
    </row>
    <row r="42">
      <c r="B42" s="15" t="inlineStr">
        <is>
          <t>DN</t>
        </is>
      </c>
      <c r="C42" s="18" t="inlineStr">
        <is>
          <t>Danville</t>
        </is>
      </c>
    </row>
    <row r="43">
      <c r="B43" s="15" t="inlineStr">
        <is>
          <t>LF</t>
        </is>
      </c>
      <c r="C43" s="18" t="inlineStr">
        <is>
          <t>Lafayette</t>
        </is>
      </c>
    </row>
    <row r="44">
      <c r="B44" s="15" t="inlineStr">
        <is>
          <t>MR</t>
        </is>
      </c>
      <c r="C44" s="18" t="inlineStr">
        <is>
          <t>Marin</t>
        </is>
      </c>
    </row>
    <row r="45">
      <c r="B45" s="15" t="inlineStr">
        <is>
          <t>OP</t>
        </is>
      </c>
      <c r="C45" s="18" t="inlineStr">
        <is>
          <t>Ocean Park</t>
        </is>
      </c>
    </row>
    <row r="46">
      <c r="B46" s="15" t="inlineStr">
        <is>
          <t>PH</t>
        </is>
      </c>
      <c r="C46" s="18" t="inlineStr">
        <is>
          <t>Presidio Heights</t>
        </is>
      </c>
    </row>
    <row r="47">
      <c r="B47" s="15" t="inlineStr">
        <is>
          <t>RH</t>
        </is>
      </c>
      <c r="C47" s="18" t="inlineStr">
        <is>
          <t>Russian Hill</t>
        </is>
      </c>
    </row>
    <row r="48">
      <c r="B48" s="15" t="inlineStr">
        <is>
          <t>SB</t>
        </is>
      </c>
      <c r="C48" s="18" t="inlineStr">
        <is>
          <t>Santa Barbara</t>
        </is>
      </c>
    </row>
    <row r="49">
      <c r="B49" s="15" t="inlineStr">
        <is>
          <t>SM</t>
        </is>
      </c>
      <c r="C49" s="18" t="inlineStr">
        <is>
          <t>Santa Monica</t>
        </is>
      </c>
    </row>
    <row r="50">
      <c r="B50" s="15" t="inlineStr">
        <is>
          <t>WP</t>
        </is>
      </c>
      <c r="C50" s="18" t="inlineStr">
        <is>
          <t>West Portal</t>
        </is>
      </c>
    </row>
    <row r="51">
      <c r="B51" s="15" t="inlineStr">
        <is>
          <t>WW</t>
        </is>
      </c>
      <c r="C51" s="18" t="inlineStr">
        <is>
          <t>Westwood</t>
        </is>
      </c>
    </row>
  </sheetData>
  <mergeCells count="7">
    <mergeCell ref="D19:I19"/>
    <mergeCell ref="D24:I24"/>
    <mergeCell ref="D23:I23"/>
    <mergeCell ref="D18:I18"/>
    <mergeCell ref="D17:I17"/>
    <mergeCell ref="D20:I20"/>
    <mergeCell ref="D25:I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B2:AY2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D5" sqref="D5"/>
    </sheetView>
  </sheetViews>
  <sheetFormatPr baseColWidth="10" defaultColWidth="8.83203125" defaultRowHeight="15"/>
  <cols>
    <col hidden="1" width="2" customWidth="1" style="282" min="1" max="1"/>
    <col width="30" customWidth="1" style="282" min="2" max="2"/>
    <col width="12" customWidth="1" style="282" min="3" max="39"/>
  </cols>
  <sheetData>
    <row r="2" ht="21" customHeight="1" s="282">
      <c r="B2" s="9" t="inlineStr">
        <is>
          <t>Cash, Debt &amp; Equity</t>
        </is>
      </c>
    </row>
    <row r="4">
      <c r="B4" s="12" t="inlineStr">
        <is>
          <t>Item</t>
        </is>
      </c>
      <c r="P4" s="14" t="inlineStr">
        <is>
          <t>Jan 2026</t>
        </is>
      </c>
      <c r="Q4" s="14" t="inlineStr">
        <is>
          <t>Feb 2026</t>
        </is>
      </c>
      <c r="R4" s="14" t="inlineStr">
        <is>
          <t>Mar 2026</t>
        </is>
      </c>
      <c r="S4" s="14" t="inlineStr">
        <is>
          <t>Apr 2026</t>
        </is>
      </c>
      <c r="T4" s="14" t="inlineStr">
        <is>
          <t>May 2026</t>
        </is>
      </c>
      <c r="U4" s="14" t="inlineStr">
        <is>
          <t>Jun 2026</t>
        </is>
      </c>
      <c r="V4" s="14" t="inlineStr">
        <is>
          <t>Jul 2026</t>
        </is>
      </c>
      <c r="W4" s="14" t="inlineStr">
        <is>
          <t>Aug 2026</t>
        </is>
      </c>
      <c r="X4" s="14" t="inlineStr">
        <is>
          <t>Sep 2026</t>
        </is>
      </c>
      <c r="Y4" s="14" t="inlineStr">
        <is>
          <t>Oct 2026</t>
        </is>
      </c>
      <c r="Z4" s="14" t="inlineStr">
        <is>
          <t>Nov 2026</t>
        </is>
      </c>
      <c r="AA4" s="14" t="inlineStr">
        <is>
          <t>Dec 2026</t>
        </is>
      </c>
      <c r="AB4" s="14" t="inlineStr">
        <is>
          <t>Jan 2027</t>
        </is>
      </c>
      <c r="AC4" s="14" t="inlineStr">
        <is>
          <t>Feb 2027</t>
        </is>
      </c>
      <c r="AD4" s="14" t="inlineStr">
        <is>
          <t>Mar 2027</t>
        </is>
      </c>
      <c r="AE4" s="14" t="inlineStr">
        <is>
          <t>Apr 2027</t>
        </is>
      </c>
      <c r="AF4" s="14" t="inlineStr">
        <is>
          <t>May 2027</t>
        </is>
      </c>
      <c r="AG4" s="14" t="inlineStr">
        <is>
          <t>Jun 2027</t>
        </is>
      </c>
      <c r="AH4" s="14" t="inlineStr">
        <is>
          <t>Jul 2027</t>
        </is>
      </c>
      <c r="AI4" s="14" t="inlineStr">
        <is>
          <t>Aug 2027</t>
        </is>
      </c>
      <c r="AJ4" s="14" t="inlineStr">
        <is>
          <t>Sep 2027</t>
        </is>
      </c>
      <c r="AK4" s="14" t="inlineStr">
        <is>
          <t>Oct 2027</t>
        </is>
      </c>
      <c r="AL4" s="14" t="inlineStr">
        <is>
          <t>Nov 2027</t>
        </is>
      </c>
      <c r="AM4" s="14" t="inlineStr">
        <is>
          <t>Dec 2027</t>
        </is>
      </c>
      <c r="AN4" s="14" t="inlineStr">
        <is>
          <t>Jan 2028</t>
        </is>
      </c>
      <c r="AO4" s="14" t="inlineStr">
        <is>
          <t>Feb 2028</t>
        </is>
      </c>
      <c r="AP4" s="14" t="inlineStr">
        <is>
          <t>Mar 2028</t>
        </is>
      </c>
      <c r="AQ4" s="14" t="inlineStr">
        <is>
          <t>Apr 2028</t>
        </is>
      </c>
      <c r="AR4" s="14" t="inlineStr">
        <is>
          <t>May 2028</t>
        </is>
      </c>
      <c r="AS4" s="14" t="inlineStr">
        <is>
          <t>Jun 2028</t>
        </is>
      </c>
      <c r="AT4" s="14" t="inlineStr">
        <is>
          <t>Jul 2028</t>
        </is>
      </c>
      <c r="AU4" s="14" t="inlineStr">
        <is>
          <t>Aug 2028</t>
        </is>
      </c>
      <c r="AV4" s="14" t="inlineStr">
        <is>
          <t>Sep 2028</t>
        </is>
      </c>
      <c r="AW4" s="14" t="inlineStr">
        <is>
          <t>Oct 2028</t>
        </is>
      </c>
      <c r="AX4" s="14" t="inlineStr">
        <is>
          <t>Nov 2028</t>
        </is>
      </c>
      <c r="AY4" s="14" t="inlineStr">
        <is>
          <t>Dec 2028</t>
        </is>
      </c>
    </row>
    <row r="5" ht="16" customHeight="1" s="282">
      <c r="B5" s="10" t="inlineStr">
        <is>
          <t>CASH POSITION</t>
        </is>
      </c>
      <c r="C5" s="11" t="n"/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</row>
    <row r="6">
      <c r="B6" s="15" t="inlineStr">
        <is>
          <t>Ending Cash Balance (from CF)</t>
        </is>
      </c>
      <c r="P6" s="36">
        <f>'Cash Flow Forecast (w prototype'!P40</f>
        <v/>
      </c>
      <c r="Q6" s="36">
        <f>'Cash Flow Forecast (w prototype'!Q40</f>
        <v/>
      </c>
      <c r="R6" s="36">
        <f>'Cash Flow Forecast (w prototype'!R40</f>
        <v/>
      </c>
      <c r="S6" s="36">
        <f>'Cash Flow Forecast (w prototype'!S40</f>
        <v/>
      </c>
      <c r="T6" s="36">
        <f>'Cash Flow Forecast (w prototype'!T40</f>
        <v/>
      </c>
      <c r="U6" s="36">
        <f>'Cash Flow Forecast (w prototype'!U40</f>
        <v/>
      </c>
      <c r="V6" s="36">
        <f>'Cash Flow Forecast (w prototype'!V40</f>
        <v/>
      </c>
      <c r="W6" s="36">
        <f>'Cash Flow Forecast (w prototype'!W40</f>
        <v/>
      </c>
      <c r="X6" s="36">
        <f>'Cash Flow Forecast (w prototype'!X40</f>
        <v/>
      </c>
      <c r="Y6" s="36">
        <f>'Cash Flow Forecast (w prototype'!Y40</f>
        <v/>
      </c>
      <c r="Z6" s="36">
        <f>'Cash Flow Forecast (w prototype'!Z40</f>
        <v/>
      </c>
      <c r="AA6" s="36">
        <f>'Cash Flow Forecast (w prototype'!AA40</f>
        <v/>
      </c>
      <c r="AB6" s="36">
        <f>'Cash Flow Forecast (w prototype'!AB40</f>
        <v/>
      </c>
      <c r="AC6" s="36">
        <f>'Cash Flow Forecast (w prototype'!AC40</f>
        <v/>
      </c>
      <c r="AD6" s="36">
        <f>'Cash Flow Forecast (w prototype'!AD40</f>
        <v/>
      </c>
      <c r="AE6" s="36">
        <f>'Cash Flow Forecast (w prototype'!AE40</f>
        <v/>
      </c>
      <c r="AF6" s="36">
        <f>'Cash Flow Forecast (w prototype'!AF40</f>
        <v/>
      </c>
      <c r="AG6" s="36">
        <f>'Cash Flow Forecast (w prototype'!AG40</f>
        <v/>
      </c>
      <c r="AH6" s="36">
        <f>'Cash Flow Forecast (w prototype'!AH40</f>
        <v/>
      </c>
      <c r="AI6" s="36">
        <f>'Cash Flow Forecast (w prototype'!AI40</f>
        <v/>
      </c>
      <c r="AJ6" s="36">
        <f>'Cash Flow Forecast (w prototype'!AJ40</f>
        <v/>
      </c>
      <c r="AK6" s="36">
        <f>'Cash Flow Forecast (w prototype'!AK40</f>
        <v/>
      </c>
      <c r="AL6" s="36">
        <f>'Cash Flow Forecast (w prototype'!AL40</f>
        <v/>
      </c>
      <c r="AM6" s="36">
        <f>'Cash Flow Forecast (w prototype'!AM40</f>
        <v/>
      </c>
      <c r="AN6" s="36">
        <f>'Cash Flow Forecast (w prototype'!AN40</f>
        <v/>
      </c>
      <c r="AO6" s="36">
        <f>'Cash Flow Forecast (w prototype'!AO40</f>
        <v/>
      </c>
      <c r="AP6" s="36">
        <f>'Cash Flow Forecast (w prototype'!AP40</f>
        <v/>
      </c>
      <c r="AQ6" s="36">
        <f>'Cash Flow Forecast (w prototype'!AQ40</f>
        <v/>
      </c>
      <c r="AR6" s="36">
        <f>'Cash Flow Forecast (w prototype'!AR40</f>
        <v/>
      </c>
      <c r="AS6" s="36">
        <f>'Cash Flow Forecast (w prototype'!AS40</f>
        <v/>
      </c>
      <c r="AT6" s="36">
        <f>'Cash Flow Forecast (w prototype'!AT40</f>
        <v/>
      </c>
      <c r="AU6" s="36">
        <f>'Cash Flow Forecast (w prototype'!AU40</f>
        <v/>
      </c>
      <c r="AV6" s="36">
        <f>'Cash Flow Forecast (w prototype'!AV40</f>
        <v/>
      </c>
      <c r="AW6" s="36">
        <f>'Cash Flow Forecast (w prototype'!AW40</f>
        <v/>
      </c>
      <c r="AX6" s="36">
        <f>'Cash Flow Forecast (w prototype'!AX40</f>
        <v/>
      </c>
      <c r="AY6" s="36">
        <f>'Cash Flow Forecast (w prototype'!AY40</f>
        <v/>
      </c>
    </row>
    <row r="8" ht="16" customHeight="1" s="282">
      <c r="B8" s="10" t="inlineStr">
        <is>
          <t>DEBT SCHEDULE — Loan Balances by Month</t>
        </is>
      </c>
      <c r="C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</row>
    <row r="9">
      <c r="B9" s="15" t="inlineStr">
        <is>
          <t>MindBody Loan - SM</t>
        </is>
      </c>
      <c r="P9" s="19">
        <f>'QBO Actuals'!C195</f>
        <v/>
      </c>
      <c r="Q9" s="19">
        <f>'QBO Actuals'!D195</f>
        <v/>
      </c>
      <c r="R9" s="19">
        <f>'QBO Actuals'!E195</f>
        <v/>
      </c>
      <c r="S9" s="19">
        <f>'QBO Actuals'!F195</f>
        <v/>
      </c>
      <c r="T9" s="83">
        <f>'QBO Actuals'!G195</f>
        <v/>
      </c>
      <c r="U9" s="20">
        <f>'QBO Actuals'!H195</f>
        <v/>
      </c>
      <c r="V9" s="20">
        <f>MAX(U9-18871.69,0)</f>
        <v/>
      </c>
      <c r="W9" s="20">
        <f>MAX(V9-18871.69,0)</f>
        <v/>
      </c>
      <c r="X9" s="20">
        <f>MAX(W9-18871.69,0)</f>
        <v/>
      </c>
      <c r="Y9" s="20">
        <f>MAX(X9-18871.69,0)</f>
        <v/>
      </c>
      <c r="Z9" s="20">
        <f>MAX(Y9-18871.69,0)</f>
        <v/>
      </c>
      <c r="AA9" s="20">
        <f>MAX(Z9-18871.69,0)</f>
        <v/>
      </c>
      <c r="AB9" s="20">
        <f>MAX(AA9-18871.69,0)</f>
        <v/>
      </c>
      <c r="AC9" s="20">
        <f>MAX(AB9-18871.69,0)</f>
        <v/>
      </c>
      <c r="AD9" s="20">
        <f>MAX(AC9-18871.69,0)</f>
        <v/>
      </c>
      <c r="AE9" s="20">
        <f>MAX(AD9-18871.69,0)</f>
        <v/>
      </c>
      <c r="AF9" s="20">
        <f>MAX(AE9-18871.69,0)</f>
        <v/>
      </c>
      <c r="AG9" s="20">
        <f>MAX(AF9-18871.69,0)</f>
        <v/>
      </c>
      <c r="AH9" s="20">
        <f>MAX(AG9-18871.69,0)</f>
        <v/>
      </c>
      <c r="AI9" s="20">
        <f>MAX(AH9-18871.69,0)</f>
        <v/>
      </c>
      <c r="AJ9" s="20">
        <f>MAX(AI9-18871.69,0)</f>
        <v/>
      </c>
      <c r="AK9" s="20">
        <f>MAX(AJ9-18871.69,0)</f>
        <v/>
      </c>
      <c r="AL9" s="20">
        <f>MAX(AK9-18871.69,0)</f>
        <v/>
      </c>
      <c r="AM9" s="20">
        <f>MAX(AL9-18871.69,0)</f>
        <v/>
      </c>
      <c r="AN9" s="20">
        <f>MAX(AM9-18871.69,0)</f>
        <v/>
      </c>
      <c r="AO9" s="20">
        <f>MAX(AN9-18871.69,0)</f>
        <v/>
      </c>
      <c r="AP9" s="20">
        <f>MAX(AO9-18871.69,0)</f>
        <v/>
      </c>
      <c r="AQ9" s="20">
        <f>MAX(AP9-18871.69,0)</f>
        <v/>
      </c>
      <c r="AR9" s="20">
        <f>MAX(AQ9-18871.69,0)</f>
        <v/>
      </c>
      <c r="AS9" s="20">
        <f>MAX(AR9-18871.69,0)</f>
        <v/>
      </c>
      <c r="AT9" s="20">
        <f>MAX(AS9-18871.69,0)</f>
        <v/>
      </c>
      <c r="AU9" s="20">
        <f>MAX(AT9-18871.69,0)</f>
        <v/>
      </c>
      <c r="AV9" s="20">
        <f>MAX(AU9-18871.69,0)</f>
        <v/>
      </c>
      <c r="AW9" s="20">
        <f>MAX(AV9-18871.69,0)</f>
        <v/>
      </c>
      <c r="AX9" s="20">
        <f>MAX(AW9-18871.69,0)</f>
        <v/>
      </c>
      <c r="AY9" s="20">
        <f>MAX(AX9-18871.69,0)</f>
        <v/>
      </c>
    </row>
    <row r="10">
      <c r="B10" s="15" t="inlineStr">
        <is>
          <t>MindBody Loan - PH</t>
        </is>
      </c>
      <c r="P10" s="19">
        <f>'QBO Actuals'!C198</f>
        <v/>
      </c>
      <c r="Q10" s="19">
        <f>'QBO Actuals'!D198</f>
        <v/>
      </c>
      <c r="R10" s="19">
        <f>'QBO Actuals'!E198</f>
        <v/>
      </c>
      <c r="S10" s="19">
        <f>'QBO Actuals'!F198</f>
        <v/>
      </c>
      <c r="T10" s="83">
        <f>'QBO Actuals'!G198</f>
        <v/>
      </c>
      <c r="U10" s="20">
        <f>'QBO Actuals'!H198</f>
        <v/>
      </c>
      <c r="V10" s="20">
        <f>MAX(U10-16602.04,0)</f>
        <v/>
      </c>
      <c r="W10" s="20">
        <f>MAX(V10-16602.04,0)</f>
        <v/>
      </c>
      <c r="X10" s="20">
        <f>MAX(W10-16602.04,0)</f>
        <v/>
      </c>
      <c r="Y10" s="20">
        <f>MAX(X10-16602.04,0)</f>
        <v/>
      </c>
      <c r="Z10" s="20">
        <f>MAX(Y10-16602.04,0)</f>
        <v/>
      </c>
      <c r="AA10" s="20">
        <f>MAX(Z10-16602.04,0)</f>
        <v/>
      </c>
      <c r="AB10" s="20">
        <f>MAX(AA10-16602.04,0)</f>
        <v/>
      </c>
      <c r="AC10" s="20">
        <f>MAX(AB10-16602.04,0)</f>
        <v/>
      </c>
      <c r="AD10" s="20">
        <f>MAX(AC10-16602.04,0)</f>
        <v/>
      </c>
      <c r="AE10" s="20">
        <f>MAX(AD10-16602.04,0)</f>
        <v/>
      </c>
      <c r="AF10" s="20">
        <f>MAX(AE10-16602.04,0)</f>
        <v/>
      </c>
      <c r="AG10" s="20">
        <f>MAX(AF10-16602.04,0)</f>
        <v/>
      </c>
      <c r="AH10" s="20">
        <f>MAX(AG10-16602.04,0)</f>
        <v/>
      </c>
      <c r="AI10" s="20">
        <f>MAX(AH10-16602.04,0)</f>
        <v/>
      </c>
      <c r="AJ10" s="20">
        <f>MAX(AI10-16602.04,0)</f>
        <v/>
      </c>
      <c r="AK10" s="20">
        <f>MAX(AJ10-16602.04,0)</f>
        <v/>
      </c>
      <c r="AL10" s="20">
        <f>MAX(AK10-16602.04,0)</f>
        <v/>
      </c>
      <c r="AM10" s="20">
        <f>MAX(AL10-16602.04,0)</f>
        <v/>
      </c>
      <c r="AN10" s="20">
        <f>MAX(AM10-16602.04,0)</f>
        <v/>
      </c>
      <c r="AO10" s="20">
        <f>MAX(AN10-16602.04,0)</f>
        <v/>
      </c>
      <c r="AP10" s="20">
        <f>MAX(AO10-16602.04,0)</f>
        <v/>
      </c>
      <c r="AQ10" s="20">
        <f>MAX(AP10-16602.04,0)</f>
        <v/>
      </c>
      <c r="AR10" s="20">
        <f>MAX(AQ10-16602.04,0)</f>
        <v/>
      </c>
      <c r="AS10" s="20">
        <f>MAX(AR10-16602.04,0)</f>
        <v/>
      </c>
      <c r="AT10" s="20">
        <f>MAX(AS10-16602.04,0)</f>
        <v/>
      </c>
      <c r="AU10" s="20">
        <f>MAX(AT10-16602.04,0)</f>
        <v/>
      </c>
      <c r="AV10" s="20">
        <f>MAX(AU10-16602.04,0)</f>
        <v/>
      </c>
      <c r="AW10" s="20">
        <f>MAX(AV10-16602.04,0)</f>
        <v/>
      </c>
      <c r="AX10" s="20">
        <f>MAX(AW10-16602.04,0)</f>
        <v/>
      </c>
      <c r="AY10" s="20">
        <f>MAX(AX10-16602.04,0)</f>
        <v/>
      </c>
    </row>
    <row r="11">
      <c r="B11" s="15" t="inlineStr">
        <is>
          <t>MindBody Loan - LF</t>
        </is>
      </c>
      <c r="P11" s="19">
        <f>'QBO Actuals'!C201</f>
        <v/>
      </c>
      <c r="Q11" s="19">
        <f>'QBO Actuals'!D201</f>
        <v/>
      </c>
      <c r="R11" s="19">
        <f>'QBO Actuals'!E201</f>
        <v/>
      </c>
      <c r="S11" s="19">
        <f>'QBO Actuals'!F201</f>
        <v/>
      </c>
      <c r="T11" s="83">
        <f>'QBO Actuals'!G201</f>
        <v/>
      </c>
      <c r="U11" s="20">
        <f>'QBO Actuals'!H201</f>
        <v/>
      </c>
      <c r="V11" s="20">
        <f>MAX(U11-12162.36,0)</f>
        <v/>
      </c>
      <c r="W11" s="20">
        <f>MAX(V11-12162.36,0)</f>
        <v/>
      </c>
      <c r="X11" s="20">
        <f>MAX(W11-12162.36,0)</f>
        <v/>
      </c>
      <c r="Y11" s="20">
        <f>MAX(X11-12162.36,0)</f>
        <v/>
      </c>
      <c r="Z11" s="20">
        <f>MAX(Y11-12162.36,0)</f>
        <v/>
      </c>
      <c r="AA11" s="20">
        <f>MAX(Z11-12162.36,0)</f>
        <v/>
      </c>
      <c r="AB11" s="20">
        <f>MAX(AA11-12162.36,0)</f>
        <v/>
      </c>
      <c r="AC11" s="20">
        <f>MAX(AB11-12162.36,0)</f>
        <v/>
      </c>
      <c r="AD11" s="20">
        <f>MAX(AC11-12162.36,0)</f>
        <v/>
      </c>
      <c r="AE11" s="20">
        <f>MAX(AD11-12162.36,0)</f>
        <v/>
      </c>
      <c r="AF11" s="20">
        <f>MAX(AE11-12162.36,0)</f>
        <v/>
      </c>
      <c r="AG11" s="20">
        <f>MAX(AF11-12162.36,0)</f>
        <v/>
      </c>
      <c r="AH11" s="20">
        <f>MAX(AG11-12162.36,0)</f>
        <v/>
      </c>
      <c r="AI11" s="20">
        <f>MAX(AH11-12162.36,0)</f>
        <v/>
      </c>
      <c r="AJ11" s="20">
        <f>MAX(AI11-12162.36,0)</f>
        <v/>
      </c>
      <c r="AK11" s="20">
        <f>MAX(AJ11-12162.36,0)</f>
        <v/>
      </c>
      <c r="AL11" s="20">
        <f>MAX(AK11-12162.36,0)</f>
        <v/>
      </c>
      <c r="AM11" s="20">
        <f>MAX(AL11-12162.36,0)</f>
        <v/>
      </c>
      <c r="AN11" s="20">
        <f>MAX(AM11-12162.36,0)</f>
        <v/>
      </c>
      <c r="AO11" s="20">
        <f>MAX(AN11-12162.36,0)</f>
        <v/>
      </c>
      <c r="AP11" s="20">
        <f>MAX(AO11-12162.36,0)</f>
        <v/>
      </c>
      <c r="AQ11" s="20">
        <f>MAX(AP11-12162.36,0)</f>
        <v/>
      </c>
      <c r="AR11" s="20">
        <f>MAX(AQ11-12162.36,0)</f>
        <v/>
      </c>
      <c r="AS11" s="20">
        <f>MAX(AR11-12162.36,0)</f>
        <v/>
      </c>
      <c r="AT11" s="20">
        <f>MAX(AS11-12162.36,0)</f>
        <v/>
      </c>
      <c r="AU11" s="20">
        <f>MAX(AT11-12162.36,0)</f>
        <v/>
      </c>
      <c r="AV11" s="20">
        <f>MAX(AU11-12162.36,0)</f>
        <v/>
      </c>
      <c r="AW11" s="20">
        <f>MAX(AV11-12162.36,0)</f>
        <v/>
      </c>
      <c r="AX11" s="20">
        <f>MAX(AW11-12162.36,0)</f>
        <v/>
      </c>
      <c r="AY11" s="20">
        <f>MAX(AX11-12162.36,0)</f>
        <v/>
      </c>
    </row>
    <row r="12">
      <c r="B12" s="15" t="inlineStr">
        <is>
          <t>MindBody Loan - MR</t>
        </is>
      </c>
      <c r="P12" s="19">
        <f>'QBO Actuals'!C204</f>
        <v/>
      </c>
      <c r="Q12" s="19">
        <f>'QBO Actuals'!D204</f>
        <v/>
      </c>
      <c r="R12" s="19">
        <f>'QBO Actuals'!E204</f>
        <v/>
      </c>
      <c r="S12" s="19">
        <f>'QBO Actuals'!F204</f>
        <v/>
      </c>
      <c r="T12" s="83">
        <f>'QBO Actuals'!G204</f>
        <v/>
      </c>
      <c r="U12" s="20">
        <f>'QBO Actuals'!H204</f>
        <v/>
      </c>
      <c r="V12" s="20">
        <f>MAX(U12-13157.16,0)</f>
        <v/>
      </c>
      <c r="W12" s="20">
        <f>MAX(V12-13157.16,0)</f>
        <v/>
      </c>
      <c r="X12" s="20">
        <f>MAX(W12-13157.16,0)</f>
        <v/>
      </c>
      <c r="Y12" s="20">
        <f>MAX(X12-13157.16,0)</f>
        <v/>
      </c>
      <c r="Z12" s="20">
        <f>MAX(Y12-13157.16,0)</f>
        <v/>
      </c>
      <c r="AA12" s="20">
        <f>MAX(Z12-13157.16,0)</f>
        <v/>
      </c>
      <c r="AB12" s="20">
        <f>MAX(AA12-13157.16,0)</f>
        <v/>
      </c>
      <c r="AC12" s="20">
        <f>MAX(AB12-13157.16,0)</f>
        <v/>
      </c>
      <c r="AD12" s="20">
        <f>MAX(AC12-13157.16,0)</f>
        <v/>
      </c>
      <c r="AE12" s="20">
        <f>MAX(AD12-13157.16,0)</f>
        <v/>
      </c>
      <c r="AF12" s="20">
        <f>MAX(AE12-13157.16,0)</f>
        <v/>
      </c>
      <c r="AG12" s="20">
        <f>MAX(AF12-13157.16,0)</f>
        <v/>
      </c>
      <c r="AH12" s="20">
        <f>MAX(AG12-13157.16,0)</f>
        <v/>
      </c>
      <c r="AI12" s="20">
        <f>MAX(AH12-13157.16,0)</f>
        <v/>
      </c>
      <c r="AJ12" s="20">
        <f>MAX(AI12-13157.16,0)</f>
        <v/>
      </c>
      <c r="AK12" s="20">
        <f>MAX(AJ12-13157.16,0)</f>
        <v/>
      </c>
      <c r="AL12" s="20">
        <f>MAX(AK12-13157.16,0)</f>
        <v/>
      </c>
      <c r="AM12" s="20">
        <f>MAX(AL12-13157.16,0)</f>
        <v/>
      </c>
      <c r="AN12" s="20">
        <f>MAX(AM12-13157.16,0)</f>
        <v/>
      </c>
      <c r="AO12" s="20">
        <f>MAX(AN12-13157.16,0)</f>
        <v/>
      </c>
      <c r="AP12" s="20">
        <f>MAX(AO12-13157.16,0)</f>
        <v/>
      </c>
      <c r="AQ12" s="20">
        <f>MAX(AP12-13157.16,0)</f>
        <v/>
      </c>
      <c r="AR12" s="20">
        <f>MAX(AQ12-13157.16,0)</f>
        <v/>
      </c>
      <c r="AS12" s="20">
        <f>MAX(AR12-13157.16,0)</f>
        <v/>
      </c>
      <c r="AT12" s="20">
        <f>MAX(AS12-13157.16,0)</f>
        <v/>
      </c>
      <c r="AU12" s="20">
        <f>MAX(AT12-13157.16,0)</f>
        <v/>
      </c>
      <c r="AV12" s="20">
        <f>MAX(AU12-13157.16,0)</f>
        <v/>
      </c>
      <c r="AW12" s="20">
        <f>MAX(AV12-13157.16,0)</f>
        <v/>
      </c>
      <c r="AX12" s="20">
        <f>MAX(AW12-13157.16,0)</f>
        <v/>
      </c>
      <c r="AY12" s="20">
        <f>MAX(AX12-13157.16,0)</f>
        <v/>
      </c>
    </row>
    <row r="13">
      <c r="B13" s="15" t="inlineStr">
        <is>
          <t>Samson Loan</t>
        </is>
      </c>
      <c r="P13" s="19">
        <f>'QBO Actuals'!C206</f>
        <v/>
      </c>
      <c r="Q13" s="19">
        <f>'QBO Actuals'!D206</f>
        <v/>
      </c>
      <c r="R13" s="19">
        <f>'QBO Actuals'!E206</f>
        <v/>
      </c>
      <c r="S13" s="19">
        <f>'QBO Actuals'!F206</f>
        <v/>
      </c>
      <c r="T13" s="83">
        <f>'QBO Actuals'!G206</f>
        <v/>
      </c>
      <c r="U13" s="264">
        <f>'QBO Actuals'!H206</f>
        <v/>
      </c>
      <c r="V13" s="254">
        <f>MAX(U13-25460.22,0)</f>
        <v/>
      </c>
      <c r="W13" s="254">
        <f>MAX(V13-25460.22,0)</f>
        <v/>
      </c>
      <c r="X13" s="254">
        <f>MAX(W13-25460.22,0)</f>
        <v/>
      </c>
      <c r="Y13" s="254">
        <f>MAX(X13-25460.22,0)</f>
        <v/>
      </c>
      <c r="Z13" s="254">
        <f>MAX(Y13-25460.22,0)</f>
        <v/>
      </c>
      <c r="AA13" s="254">
        <f>MAX(Z13-25460.22,0)</f>
        <v/>
      </c>
      <c r="AB13" s="254">
        <f>MAX(AA13-25460.22,0)</f>
        <v/>
      </c>
      <c r="AC13" s="254">
        <f>MAX(AB13-25460.22,0)</f>
        <v/>
      </c>
      <c r="AD13" s="20">
        <f>MAX(AC13-25460.22,0)</f>
        <v/>
      </c>
      <c r="AE13" s="20">
        <f>MAX(AD13-25460.22,0)</f>
        <v/>
      </c>
      <c r="AF13" s="20">
        <f>MAX(AE13-25460.22,0)</f>
        <v/>
      </c>
      <c r="AG13" s="20">
        <f>MAX(AF13-25460.22,0)</f>
        <v/>
      </c>
      <c r="AH13" s="20">
        <f>MAX(AG13-25460.22,0)</f>
        <v/>
      </c>
      <c r="AI13" s="20">
        <f>MAX(AH13-25460.22,0)</f>
        <v/>
      </c>
      <c r="AJ13" s="20">
        <f>MAX(AI13-25460.22,0)</f>
        <v/>
      </c>
      <c r="AK13" s="20">
        <f>MAX(AJ13-25460.22,0)</f>
        <v/>
      </c>
      <c r="AL13" s="20">
        <f>MAX(AK13-25460.22,0)</f>
        <v/>
      </c>
      <c r="AM13" s="20">
        <f>MAX(AL13-25460.22,0)</f>
        <v/>
      </c>
      <c r="AN13" s="20">
        <f>MAX(AM13-25460.22,0)</f>
        <v/>
      </c>
      <c r="AO13" s="20">
        <f>MAX(AN13-25460.22,0)</f>
        <v/>
      </c>
      <c r="AP13" s="20">
        <f>MAX(AO13-25460.22,0)</f>
        <v/>
      </c>
      <c r="AQ13" s="20">
        <f>MAX(AP13-25460.22,0)</f>
        <v/>
      </c>
      <c r="AR13" s="20">
        <f>MAX(AQ13-25460.22,0)</f>
        <v/>
      </c>
      <c r="AS13" s="20">
        <f>MAX(AR13-25460.22,0)</f>
        <v/>
      </c>
      <c r="AT13" s="20">
        <f>MAX(AS13-25460.22,0)</f>
        <v/>
      </c>
      <c r="AU13" s="20">
        <f>MAX(AT13-25460.22,0)</f>
        <v/>
      </c>
      <c r="AV13" s="20">
        <f>MAX(AU13-25460.22,0)</f>
        <v/>
      </c>
      <c r="AW13" s="20">
        <f>MAX(AV13-25460.22,0)</f>
        <v/>
      </c>
      <c r="AX13" s="20">
        <f>MAX(AW13-25460.22,0)</f>
        <v/>
      </c>
      <c r="AY13" s="20">
        <f>MAX(AX13-25460.22,0)</f>
        <v/>
      </c>
    </row>
    <row r="14">
      <c r="B14" s="15" t="inlineStr">
        <is>
          <t>Specialty Capital Loan</t>
        </is>
      </c>
      <c r="P14" s="19">
        <f>'QBO Actuals'!C207</f>
        <v/>
      </c>
      <c r="Q14" s="19">
        <f>'QBO Actuals'!D207</f>
        <v/>
      </c>
      <c r="R14" s="19">
        <f>'QBO Actuals'!E207</f>
        <v/>
      </c>
      <c r="S14" s="19">
        <f>'QBO Actuals'!F207</f>
        <v/>
      </c>
      <c r="T14" s="83">
        <f>'QBO Actuals'!G207</f>
        <v/>
      </c>
      <c r="U14" s="254">
        <f>'QBO Actuals'!H207</f>
        <v/>
      </c>
      <c r="V14" s="254">
        <f>MAX(U14-25888.16,0)</f>
        <v/>
      </c>
      <c r="W14" s="254">
        <f>MAX(V14-25888.16,0)</f>
        <v/>
      </c>
      <c r="X14" s="254">
        <f>MAX(W14-25888.16,0)</f>
        <v/>
      </c>
      <c r="Y14" s="254">
        <f>MAX(X14-25888.16,0)</f>
        <v/>
      </c>
      <c r="Z14" s="254">
        <f>MAX(Y14-25888.16,0)</f>
        <v/>
      </c>
      <c r="AA14" s="254">
        <f>MAX(Z14-25888.16,0)</f>
        <v/>
      </c>
      <c r="AB14" s="254">
        <f>MAX(AA14-25888.16,0)</f>
        <v/>
      </c>
      <c r="AC14" s="254">
        <f>MAX(AB14-25888.16,0)</f>
        <v/>
      </c>
      <c r="AD14" s="20">
        <f>MAX(AC14-25888.16,0)</f>
        <v/>
      </c>
      <c r="AE14" s="20">
        <f>MAX(AD14-25888.16,0)</f>
        <v/>
      </c>
      <c r="AF14" s="20">
        <f>MAX(AE14-25888.16,0)</f>
        <v/>
      </c>
      <c r="AG14" s="20">
        <f>MAX(AF14-25888.16,0)</f>
        <v/>
      </c>
      <c r="AH14" s="20">
        <f>MAX(AG14-25888.16,0)</f>
        <v/>
      </c>
      <c r="AI14" s="20">
        <f>MAX(AH14-25888.16,0)</f>
        <v/>
      </c>
      <c r="AJ14" s="20">
        <f>MAX(AI14-25888.16,0)</f>
        <v/>
      </c>
      <c r="AK14" s="20">
        <f>MAX(AJ14-25888.16,0)</f>
        <v/>
      </c>
      <c r="AL14" s="20">
        <f>MAX(AK14-25888.16,0)</f>
        <v/>
      </c>
      <c r="AM14" s="20">
        <f>MAX(AL14-25888.16,0)</f>
        <v/>
      </c>
      <c r="AN14" s="20">
        <f>MAX(AM14-25888.16,0)</f>
        <v/>
      </c>
      <c r="AO14" s="20">
        <f>MAX(AN14-25888.16,0)</f>
        <v/>
      </c>
      <c r="AP14" s="20">
        <f>MAX(AO14-25888.16,0)</f>
        <v/>
      </c>
      <c r="AQ14" s="20">
        <f>MAX(AP14-25888.16,0)</f>
        <v/>
      </c>
      <c r="AR14" s="20">
        <f>MAX(AQ14-25888.16,0)</f>
        <v/>
      </c>
      <c r="AS14" s="20">
        <f>MAX(AR14-25888.16,0)</f>
        <v/>
      </c>
      <c r="AT14" s="20">
        <f>MAX(AS14-25888.16,0)</f>
        <v/>
      </c>
      <c r="AU14" s="20">
        <f>MAX(AT14-25888.16,0)</f>
        <v/>
      </c>
      <c r="AV14" s="20">
        <f>MAX(AU14-25888.16,0)</f>
        <v/>
      </c>
      <c r="AW14" s="20">
        <f>MAX(AV14-25888.16,0)</f>
        <v/>
      </c>
      <c r="AX14" s="20">
        <f>MAX(AW14-25888.16,0)</f>
        <v/>
      </c>
      <c r="AY14" s="20">
        <f>MAX(AX14-25888.16,0)</f>
        <v/>
      </c>
    </row>
    <row r="15">
      <c r="B15" s="15" t="inlineStr">
        <is>
          <t>Norbrook Inc Loan</t>
        </is>
      </c>
      <c r="P15" s="19" t="n">
        <v>0</v>
      </c>
      <c r="Q15" s="19" t="n">
        <v>0</v>
      </c>
      <c r="R15" s="19" t="n">
        <v>0</v>
      </c>
      <c r="S15" s="19" t="n">
        <v>162318</v>
      </c>
      <c r="T15" s="19" t="n">
        <v>162318</v>
      </c>
      <c r="U15" s="20">
        <f>T15</f>
        <v/>
      </c>
      <c r="V15" s="20">
        <f>U15</f>
        <v/>
      </c>
      <c r="W15" s="20">
        <f>V15</f>
        <v/>
      </c>
      <c r="X15" s="20">
        <f>W15</f>
        <v/>
      </c>
      <c r="Y15" s="20">
        <f>X15</f>
        <v/>
      </c>
      <c r="Z15" s="20">
        <f>Y15</f>
        <v/>
      </c>
      <c r="AA15" s="20">
        <f>Z15</f>
        <v/>
      </c>
      <c r="AB15" s="20">
        <f>AA15</f>
        <v/>
      </c>
      <c r="AC15" s="20">
        <f>AB15</f>
        <v/>
      </c>
      <c r="AD15" s="20">
        <f>AC15</f>
        <v/>
      </c>
      <c r="AE15" s="20">
        <f>AD15</f>
        <v/>
      </c>
      <c r="AF15" s="20">
        <f>AE15</f>
        <v/>
      </c>
      <c r="AG15" s="20">
        <f>AF15</f>
        <v/>
      </c>
      <c r="AH15" s="20">
        <f>AG15</f>
        <v/>
      </c>
      <c r="AI15" s="20">
        <f>AH15</f>
        <v/>
      </c>
      <c r="AJ15" s="20">
        <f>AI15</f>
        <v/>
      </c>
      <c r="AK15" s="20">
        <f>AJ15</f>
        <v/>
      </c>
      <c r="AL15" s="20">
        <f>AK15</f>
        <v/>
      </c>
      <c r="AM15" s="20">
        <f>AL15</f>
        <v/>
      </c>
      <c r="AN15" s="20">
        <f>AM15</f>
        <v/>
      </c>
      <c r="AO15" s="20">
        <f>AN15</f>
        <v/>
      </c>
      <c r="AP15" s="20">
        <f>AO15</f>
        <v/>
      </c>
      <c r="AQ15" s="20">
        <f>AP15</f>
        <v/>
      </c>
      <c r="AR15" s="20">
        <f>AQ15</f>
        <v/>
      </c>
      <c r="AS15" s="20">
        <f>AR15</f>
        <v/>
      </c>
      <c r="AT15" s="20">
        <f>AS15</f>
        <v/>
      </c>
      <c r="AU15" s="20">
        <f>AT15</f>
        <v/>
      </c>
      <c r="AV15" s="20">
        <f>AU15</f>
        <v/>
      </c>
      <c r="AW15" s="20">
        <f>AV15</f>
        <v/>
      </c>
      <c r="AX15" s="20">
        <f>AW15</f>
        <v/>
      </c>
      <c r="AY15" s="20">
        <f>AX15</f>
        <v/>
      </c>
    </row>
    <row r="16">
      <c r="B16" s="15" t="inlineStr">
        <is>
          <t>TOTAL DEBT</t>
        </is>
      </c>
      <c r="P16" s="17">
        <f>SUM(P9:P15)</f>
        <v/>
      </c>
      <c r="Q16" s="17">
        <f>SUM(Q9:Q15)</f>
        <v/>
      </c>
      <c r="R16" s="17">
        <f>SUM(R9:R15)</f>
        <v/>
      </c>
      <c r="S16" s="17">
        <f>SUM(S9:S15)</f>
        <v/>
      </c>
      <c r="T16" s="17">
        <f>SUM(T9:T15)</f>
        <v/>
      </c>
      <c r="U16" s="17">
        <f>SUM(U9:U15)</f>
        <v/>
      </c>
      <c r="V16" s="17">
        <f>SUM(V9:V15)</f>
        <v/>
      </c>
      <c r="W16" s="17">
        <f>SUM(W9:W15)</f>
        <v/>
      </c>
      <c r="X16" s="17">
        <f>SUM(X9:X15)</f>
        <v/>
      </c>
      <c r="Y16" s="17">
        <f>SUM(Y9:Y15)</f>
        <v/>
      </c>
      <c r="Z16" s="17">
        <f>SUM(Z9:Z15)</f>
        <v/>
      </c>
      <c r="AA16" s="17">
        <f>SUM(AA9:AA15)</f>
        <v/>
      </c>
      <c r="AB16" s="17">
        <f>SUM(AB9:AB15)</f>
        <v/>
      </c>
      <c r="AC16" s="17">
        <f>SUM(AC9:AC15)</f>
        <v/>
      </c>
      <c r="AD16" s="17">
        <f>SUM(AD9:AD15)</f>
        <v/>
      </c>
      <c r="AE16" s="17">
        <f>SUM(AE9:AE15)</f>
        <v/>
      </c>
      <c r="AF16" s="17">
        <f>SUM(AF9:AF15)</f>
        <v/>
      </c>
      <c r="AG16" s="17">
        <f>SUM(AG9:AG15)</f>
        <v/>
      </c>
      <c r="AH16" s="17">
        <f>SUM(AH9:AH15)</f>
        <v/>
      </c>
      <c r="AI16" s="17">
        <f>SUM(AI9:AI15)</f>
        <v/>
      </c>
      <c r="AJ16" s="17">
        <f>SUM(AJ9:AJ15)</f>
        <v/>
      </c>
      <c r="AK16" s="17">
        <f>SUM(AK9:AK15)</f>
        <v/>
      </c>
      <c r="AL16" s="17">
        <f>SUM(AL9:AL15)</f>
        <v/>
      </c>
      <c r="AM16" s="17">
        <f>SUM(AM9:AM15)</f>
        <v/>
      </c>
      <c r="AN16" s="17">
        <f>SUM(AN9:AN15)</f>
        <v/>
      </c>
      <c r="AO16" s="17">
        <f>SUM(AO9:AO15)</f>
        <v/>
      </c>
      <c r="AP16" s="17">
        <f>SUM(AP9:AP15)</f>
        <v/>
      </c>
      <c r="AQ16" s="17">
        <f>SUM(AQ9:AQ15)</f>
        <v/>
      </c>
      <c r="AR16" s="17">
        <f>SUM(AR9:AR15)</f>
        <v/>
      </c>
      <c r="AS16" s="17">
        <f>SUM(AS9:AS15)</f>
        <v/>
      </c>
      <c r="AT16" s="17">
        <f>SUM(AT9:AT15)</f>
        <v/>
      </c>
      <c r="AU16" s="17">
        <f>SUM(AU9:AU15)</f>
        <v/>
      </c>
      <c r="AV16" s="17">
        <f>SUM(AV9:AV15)</f>
        <v/>
      </c>
      <c r="AW16" s="17">
        <f>SUM(AW9:AW15)</f>
        <v/>
      </c>
      <c r="AX16" s="17">
        <f>SUM(AX9:AX15)</f>
        <v/>
      </c>
      <c r="AY16" s="17">
        <f>SUM(AY9:AY15)</f>
        <v/>
      </c>
    </row>
    <row r="18" ht="16" customHeight="1" s="282">
      <c r="B18" s="10" t="inlineStr">
        <is>
          <t>MONTHLY DEBT SERVICE</t>
        </is>
      </c>
      <c r="C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</row>
    <row r="19">
      <c r="B19" s="18" t="inlineStr">
        <is>
          <t>MindBody Loan - SM</t>
        </is>
      </c>
      <c r="P19" s="19" t="n">
        <v>0</v>
      </c>
      <c r="Q19" s="19" t="n">
        <v>0</v>
      </c>
      <c r="R19" s="19" t="n">
        <v>0</v>
      </c>
      <c r="S19" s="19" t="n">
        <v>0</v>
      </c>
      <c r="T19" s="83" t="n">
        <v>0</v>
      </c>
      <c r="U19" s="20">
        <f>IF(U9&gt;0,18871.69,0)</f>
        <v/>
      </c>
      <c r="V19" s="20">
        <f>IF(V9&gt;0,18871.69,0)</f>
        <v/>
      </c>
      <c r="W19" s="20">
        <f>IF(W9&gt;0,18871.69,0)</f>
        <v/>
      </c>
      <c r="X19" s="20">
        <f>IF(X9&gt;0,18871.69,0)</f>
        <v/>
      </c>
      <c r="Y19" s="20">
        <f>IF(Y9&gt;0,18871.69,0)</f>
        <v/>
      </c>
      <c r="Z19" s="20">
        <f>IF(Z9&gt;0,18871.69,0)</f>
        <v/>
      </c>
      <c r="AA19" s="20">
        <f>IF(AA9&gt;0,18871.69,0)</f>
        <v/>
      </c>
      <c r="AB19" s="20">
        <f>IF(AB9&gt;0,18871.69,0)</f>
        <v/>
      </c>
      <c r="AC19" s="20">
        <f>IF(AC9&gt;0,18871.69,0)</f>
        <v/>
      </c>
      <c r="AD19" s="20">
        <f>IF(AD9&gt;0,18871.69,0)</f>
        <v/>
      </c>
      <c r="AE19" s="20">
        <f>IF(AE9&gt;0,18871.69,0)</f>
        <v/>
      </c>
      <c r="AF19" s="20">
        <f>IF(AF9&gt;0,18871.69,0)</f>
        <v/>
      </c>
      <c r="AG19" s="20">
        <f>IF(AG9&gt;0,18871.69,0)</f>
        <v/>
      </c>
      <c r="AH19" s="20">
        <f>IF(AH9&gt;0,18871.69,0)</f>
        <v/>
      </c>
      <c r="AI19" s="20">
        <f>IF(AI9&gt;0,18871.69,0)</f>
        <v/>
      </c>
      <c r="AJ19" s="20">
        <f>IF(AJ9&gt;0,18871.69,0)</f>
        <v/>
      </c>
      <c r="AK19" s="20">
        <f>IF(AK9&gt;0,18871.69,0)</f>
        <v/>
      </c>
      <c r="AL19" s="20">
        <f>IF(AL9&gt;0,18871.69,0)</f>
        <v/>
      </c>
      <c r="AM19" s="20">
        <f>IF(AM9&gt;0,18871.69,0)</f>
        <v/>
      </c>
      <c r="AN19" s="20">
        <f>IF(AN9&gt;0,18871.69,0)</f>
        <v/>
      </c>
      <c r="AO19" s="20">
        <f>IF(AO9&gt;0,18871.69,0)</f>
        <v/>
      </c>
      <c r="AP19" s="20">
        <f>IF(AP9&gt;0,18871.69,0)</f>
        <v/>
      </c>
      <c r="AQ19" s="20">
        <f>IF(AQ9&gt;0,18871.69,0)</f>
        <v/>
      </c>
      <c r="AR19" s="20">
        <f>IF(AR9&gt;0,18871.69,0)</f>
        <v/>
      </c>
      <c r="AS19" s="20">
        <f>IF(AS9&gt;0,18871.69,0)</f>
        <v/>
      </c>
      <c r="AT19" s="20">
        <f>IF(AT9&gt;0,18871.69,0)</f>
        <v/>
      </c>
      <c r="AU19" s="20">
        <f>IF(AU9&gt;0,18871.69,0)</f>
        <v/>
      </c>
      <c r="AV19" s="20">
        <f>IF(AV9&gt;0,18871.69,0)</f>
        <v/>
      </c>
      <c r="AW19" s="20">
        <f>IF(AW9&gt;0,18871.69,0)</f>
        <v/>
      </c>
      <c r="AX19" s="20">
        <f>IF(AX9&gt;0,18871.69,0)</f>
        <v/>
      </c>
      <c r="AY19" s="20">
        <f>IF(AY9&gt;0,18871.69,0)</f>
        <v/>
      </c>
    </row>
    <row r="20">
      <c r="B20" s="18" t="inlineStr">
        <is>
          <t>MindBody Loan - PH</t>
        </is>
      </c>
      <c r="P20" s="19" t="n">
        <v>0</v>
      </c>
      <c r="Q20" s="19" t="n">
        <v>0</v>
      </c>
      <c r="R20" s="19" t="n">
        <v>0</v>
      </c>
      <c r="S20" s="19" t="n">
        <v>0</v>
      </c>
      <c r="T20" s="83" t="n">
        <v>0</v>
      </c>
      <c r="U20" s="20">
        <f>IF(U10&gt;0,16602.04,0)</f>
        <v/>
      </c>
      <c r="V20" s="20">
        <f>IF(V10&gt;0,16602.04,0)</f>
        <v/>
      </c>
      <c r="W20" s="20">
        <f>IF(W10&gt;0,16602.04,0)</f>
        <v/>
      </c>
      <c r="X20" s="20">
        <f>IF(X10&gt;0,16602.04,0)</f>
        <v/>
      </c>
      <c r="Y20" s="20">
        <f>IF(Y10&gt;0,16602.04,0)</f>
        <v/>
      </c>
      <c r="Z20" s="20">
        <f>IF(Z10&gt;0,16602.04,0)</f>
        <v/>
      </c>
      <c r="AA20" s="20">
        <f>IF(AA10&gt;0,16602.04,0)</f>
        <v/>
      </c>
      <c r="AB20" s="20">
        <f>IF(AB10&gt;0,16602.04,0)</f>
        <v/>
      </c>
      <c r="AC20" s="20">
        <f>IF(AC10&gt;0,16602.04,0)</f>
        <v/>
      </c>
      <c r="AD20" s="20">
        <f>IF(AD10&gt;0,16602.04,0)</f>
        <v/>
      </c>
      <c r="AE20" s="20">
        <f>IF(AE10&gt;0,16602.04,0)</f>
        <v/>
      </c>
      <c r="AF20" s="20">
        <f>IF(AF10&gt;0,16602.04,0)</f>
        <v/>
      </c>
      <c r="AG20" s="20">
        <f>IF(AG10&gt;0,16602.04,0)</f>
        <v/>
      </c>
      <c r="AH20" s="20">
        <f>IF(AH10&gt;0,16602.04,0)</f>
        <v/>
      </c>
      <c r="AI20" s="20">
        <f>IF(AI10&gt;0,16602.04,0)</f>
        <v/>
      </c>
      <c r="AJ20" s="20">
        <f>IF(AJ10&gt;0,16602.04,0)</f>
        <v/>
      </c>
      <c r="AK20" s="20">
        <f>IF(AK10&gt;0,16602.04,0)</f>
        <v/>
      </c>
      <c r="AL20" s="20">
        <f>IF(AL10&gt;0,16602.04,0)</f>
        <v/>
      </c>
      <c r="AM20" s="20">
        <f>IF(AM10&gt;0,16602.04,0)</f>
        <v/>
      </c>
      <c r="AN20" s="20">
        <f>IF(AN10&gt;0,16602.04,0)</f>
        <v/>
      </c>
      <c r="AO20" s="20">
        <f>IF(AO10&gt;0,16602.04,0)</f>
        <v/>
      </c>
      <c r="AP20" s="20">
        <f>IF(AP10&gt;0,16602.04,0)</f>
        <v/>
      </c>
      <c r="AQ20" s="20">
        <f>IF(AQ10&gt;0,16602.04,0)</f>
        <v/>
      </c>
      <c r="AR20" s="20">
        <f>IF(AR10&gt;0,16602.04,0)</f>
        <v/>
      </c>
      <c r="AS20" s="20">
        <f>IF(AS10&gt;0,16602.04,0)</f>
        <v/>
      </c>
      <c r="AT20" s="20">
        <f>IF(AT10&gt;0,16602.04,0)</f>
        <v/>
      </c>
      <c r="AU20" s="20">
        <f>IF(AU10&gt;0,16602.04,0)</f>
        <v/>
      </c>
      <c r="AV20" s="20">
        <f>IF(AV10&gt;0,16602.04,0)</f>
        <v/>
      </c>
      <c r="AW20" s="20">
        <f>IF(AW10&gt;0,16602.04,0)</f>
        <v/>
      </c>
      <c r="AX20" s="20">
        <f>IF(AX10&gt;0,16602.04,0)</f>
        <v/>
      </c>
      <c r="AY20" s="20">
        <f>IF(AY10&gt;0,16602.04,0)</f>
        <v/>
      </c>
    </row>
    <row r="21">
      <c r="B21" s="18" t="inlineStr">
        <is>
          <t>MindBody Loan - LF</t>
        </is>
      </c>
      <c r="P21" s="19" t="n">
        <v>0</v>
      </c>
      <c r="Q21" s="19" t="n">
        <v>0</v>
      </c>
      <c r="R21" s="19" t="n">
        <v>0</v>
      </c>
      <c r="S21" s="19" t="n">
        <v>0</v>
      </c>
      <c r="T21" s="83" t="n">
        <v>0</v>
      </c>
      <c r="U21" s="20">
        <f>IF(U11&gt;0,12162.36,0)</f>
        <v/>
      </c>
      <c r="V21" s="20">
        <f>IF(V11&gt;0,12162.36,0)</f>
        <v/>
      </c>
      <c r="W21" s="20">
        <f>IF(W11&gt;0,12162.36,0)</f>
        <v/>
      </c>
      <c r="X21" s="20">
        <f>IF(X11&gt;0,12162.36,0)</f>
        <v/>
      </c>
      <c r="Y21" s="20">
        <f>IF(Y11&gt;0,12162.36,0)</f>
        <v/>
      </c>
      <c r="Z21" s="20">
        <f>IF(Z11&gt;0,12162.36,0)</f>
        <v/>
      </c>
      <c r="AA21" s="20">
        <f>IF(AA11&gt;0,12162.36,0)</f>
        <v/>
      </c>
      <c r="AB21" s="20">
        <f>IF(AB11&gt;0,12162.36,0)</f>
        <v/>
      </c>
      <c r="AC21" s="20">
        <f>IF(AC11&gt;0,12162.36,0)</f>
        <v/>
      </c>
      <c r="AD21" s="20">
        <f>IF(AD11&gt;0,12162.36,0)</f>
        <v/>
      </c>
      <c r="AE21" s="20">
        <f>IF(AE11&gt;0,12162.36,0)</f>
        <v/>
      </c>
      <c r="AF21" s="20">
        <f>IF(AF11&gt;0,12162.36,0)</f>
        <v/>
      </c>
      <c r="AG21" s="20">
        <f>IF(AG11&gt;0,12162.36,0)</f>
        <v/>
      </c>
      <c r="AH21" s="20">
        <f>IF(AH11&gt;0,12162.36,0)</f>
        <v/>
      </c>
      <c r="AI21" s="20">
        <f>IF(AI11&gt;0,12162.36,0)</f>
        <v/>
      </c>
      <c r="AJ21" s="20">
        <f>IF(AJ11&gt;0,12162.36,0)</f>
        <v/>
      </c>
      <c r="AK21" s="20">
        <f>IF(AK11&gt;0,12162.36,0)</f>
        <v/>
      </c>
      <c r="AL21" s="20">
        <f>IF(AL11&gt;0,12162.36,0)</f>
        <v/>
      </c>
      <c r="AM21" s="20">
        <f>IF(AM11&gt;0,12162.36,0)</f>
        <v/>
      </c>
      <c r="AN21" s="20">
        <f>IF(AN11&gt;0,12162.36,0)</f>
        <v/>
      </c>
      <c r="AO21" s="20">
        <f>IF(AO11&gt;0,12162.36,0)</f>
        <v/>
      </c>
      <c r="AP21" s="20">
        <f>IF(AP11&gt;0,12162.36,0)</f>
        <v/>
      </c>
      <c r="AQ21" s="20">
        <f>IF(AQ11&gt;0,12162.36,0)</f>
        <v/>
      </c>
      <c r="AR21" s="20">
        <f>IF(AR11&gt;0,12162.36,0)</f>
        <v/>
      </c>
      <c r="AS21" s="20">
        <f>IF(AS11&gt;0,12162.36,0)</f>
        <v/>
      </c>
      <c r="AT21" s="20">
        <f>IF(AT11&gt;0,12162.36,0)</f>
        <v/>
      </c>
      <c r="AU21" s="20">
        <f>IF(AU11&gt;0,12162.36,0)</f>
        <v/>
      </c>
      <c r="AV21" s="20">
        <f>IF(AV11&gt;0,12162.36,0)</f>
        <v/>
      </c>
      <c r="AW21" s="20">
        <f>IF(AW11&gt;0,12162.36,0)</f>
        <v/>
      </c>
      <c r="AX21" s="20">
        <f>IF(AX11&gt;0,12162.36,0)</f>
        <v/>
      </c>
      <c r="AY21" s="20">
        <f>IF(AY11&gt;0,12162.36,0)</f>
        <v/>
      </c>
    </row>
    <row r="22">
      <c r="B22" s="18" t="inlineStr">
        <is>
          <t>MindBody Loan - MR</t>
        </is>
      </c>
      <c r="P22" s="19" t="n">
        <v>0</v>
      </c>
      <c r="Q22" s="19" t="n">
        <v>0</v>
      </c>
      <c r="R22" s="19" t="n">
        <v>0</v>
      </c>
      <c r="S22" s="19" t="n">
        <v>0</v>
      </c>
      <c r="T22" s="83" t="n">
        <v>0</v>
      </c>
      <c r="U22" s="20">
        <f>IF(U12&gt;0,13157.16,0)</f>
        <v/>
      </c>
      <c r="V22" s="20">
        <f>IF(V12&gt;0,13157.16,0)</f>
        <v/>
      </c>
      <c r="W22" s="20">
        <f>IF(W12&gt;0,13157.16,0)</f>
        <v/>
      </c>
      <c r="X22" s="20">
        <f>IF(X12&gt;0,13157.16,0)</f>
        <v/>
      </c>
      <c r="Y22" s="20">
        <f>IF(Y12&gt;0,13157.16,0)</f>
        <v/>
      </c>
      <c r="Z22" s="20">
        <f>IF(Z12&gt;0,13157.16,0)</f>
        <v/>
      </c>
      <c r="AA22" s="20">
        <f>IF(AA12&gt;0,13157.16,0)</f>
        <v/>
      </c>
      <c r="AB22" s="20">
        <f>IF(AB12&gt;0,13157.16,0)</f>
        <v/>
      </c>
      <c r="AC22" s="20">
        <f>IF(AC12&gt;0,13157.16,0)</f>
        <v/>
      </c>
      <c r="AD22" s="20">
        <f>IF(AD12&gt;0,13157.16,0)</f>
        <v/>
      </c>
      <c r="AE22" s="20">
        <f>IF(AE12&gt;0,13157.16,0)</f>
        <v/>
      </c>
      <c r="AF22" s="20">
        <f>IF(AF12&gt;0,13157.16,0)</f>
        <v/>
      </c>
      <c r="AG22" s="20">
        <f>IF(AG12&gt;0,13157.16,0)</f>
        <v/>
      </c>
      <c r="AH22" s="20">
        <f>IF(AH12&gt;0,13157.16,0)</f>
        <v/>
      </c>
      <c r="AI22" s="20">
        <f>IF(AI12&gt;0,13157.16,0)</f>
        <v/>
      </c>
      <c r="AJ22" s="20">
        <f>IF(AJ12&gt;0,13157.16,0)</f>
        <v/>
      </c>
      <c r="AK22" s="20">
        <f>IF(AK12&gt;0,13157.16,0)</f>
        <v/>
      </c>
      <c r="AL22" s="20">
        <f>IF(AL12&gt;0,13157.16,0)</f>
        <v/>
      </c>
      <c r="AM22" s="20">
        <f>IF(AM12&gt;0,13157.16,0)</f>
        <v/>
      </c>
      <c r="AN22" s="20">
        <f>IF(AN12&gt;0,13157.16,0)</f>
        <v/>
      </c>
      <c r="AO22" s="20">
        <f>IF(AO12&gt;0,13157.16,0)</f>
        <v/>
      </c>
      <c r="AP22" s="20">
        <f>IF(AP12&gt;0,13157.16,0)</f>
        <v/>
      </c>
      <c r="AQ22" s="20">
        <f>IF(AQ12&gt;0,13157.16,0)</f>
        <v/>
      </c>
      <c r="AR22" s="20">
        <f>IF(AR12&gt;0,13157.16,0)</f>
        <v/>
      </c>
      <c r="AS22" s="20">
        <f>IF(AS12&gt;0,13157.16,0)</f>
        <v/>
      </c>
      <c r="AT22" s="20">
        <f>IF(AT12&gt;0,13157.16,0)</f>
        <v/>
      </c>
      <c r="AU22" s="20">
        <f>IF(AU12&gt;0,13157.16,0)</f>
        <v/>
      </c>
      <c r="AV22" s="20">
        <f>IF(AV12&gt;0,13157.16,0)</f>
        <v/>
      </c>
      <c r="AW22" s="20">
        <f>IF(AW12&gt;0,13157.16,0)</f>
        <v/>
      </c>
      <c r="AX22" s="20">
        <f>IF(AX12&gt;0,13157.16,0)</f>
        <v/>
      </c>
      <c r="AY22" s="20">
        <f>IF(AY12&gt;0,13157.16,0)</f>
        <v/>
      </c>
    </row>
    <row r="23">
      <c r="B23" s="18" t="inlineStr">
        <is>
          <t>Samson Loan</t>
        </is>
      </c>
      <c r="P23" s="19" t="n">
        <v>0</v>
      </c>
      <c r="Q23" s="19" t="n">
        <v>0</v>
      </c>
      <c r="R23" s="19" t="n">
        <v>0</v>
      </c>
      <c r="S23" s="19" t="n">
        <v>0</v>
      </c>
      <c r="T23" s="83" t="n">
        <v>94517.10000000001</v>
      </c>
      <c r="U23" s="20">
        <f>IF(U13&gt;0,25460.22,0)</f>
        <v/>
      </c>
      <c r="V23" s="20">
        <f>IF(V13&gt;0,25460.22,0)</f>
        <v/>
      </c>
      <c r="W23" s="20">
        <f>IF(W13&gt;0,25460.22,0)</f>
        <v/>
      </c>
      <c r="X23" s="20">
        <f>IF(X13&gt;0,25460.22,0)</f>
        <v/>
      </c>
      <c r="Y23" s="20">
        <f>IF(Y13&gt;0,25460.22,0)</f>
        <v/>
      </c>
      <c r="Z23" s="20">
        <f>IF(Z13&gt;0,25460.22,0)</f>
        <v/>
      </c>
      <c r="AA23" s="20">
        <f>IF(AA13&gt;0,25460.22,0)</f>
        <v/>
      </c>
      <c r="AB23" s="20">
        <f>IF(AB13&gt;0,25460.22,0)</f>
        <v/>
      </c>
      <c r="AC23" s="20">
        <f>IF(AC13&gt;0,25460.22,0)</f>
        <v/>
      </c>
      <c r="AD23" s="20">
        <f>IF(AD13&gt;0,25460.22,0)</f>
        <v/>
      </c>
      <c r="AE23" s="20">
        <f>IF(AE13&gt;0,25460.22,0)</f>
        <v/>
      </c>
      <c r="AF23" s="20">
        <f>IF(AF13&gt;0,25460.22,0)</f>
        <v/>
      </c>
      <c r="AG23" s="20">
        <f>IF(AG13&gt;0,25460.22,0)</f>
        <v/>
      </c>
      <c r="AH23" s="20">
        <f>IF(AH13&gt;0,25460.22,0)</f>
        <v/>
      </c>
      <c r="AI23" s="20">
        <f>IF(AI13&gt;0,25460.22,0)</f>
        <v/>
      </c>
      <c r="AJ23" s="20">
        <f>IF(AJ13&gt;0,25460.22,0)</f>
        <v/>
      </c>
      <c r="AK23" s="20">
        <f>IF(AK13&gt;0,25460.22,0)</f>
        <v/>
      </c>
      <c r="AL23" s="20">
        <f>IF(AL13&gt;0,25460.22,0)</f>
        <v/>
      </c>
      <c r="AM23" s="20">
        <f>IF(AM13&gt;0,25460.22,0)</f>
        <v/>
      </c>
      <c r="AN23" s="20">
        <f>IF(AN13&gt;0,25460.22,0)</f>
        <v/>
      </c>
      <c r="AO23" s="20">
        <f>IF(AO13&gt;0,25460.22,0)</f>
        <v/>
      </c>
      <c r="AP23" s="20">
        <f>IF(AP13&gt;0,25460.22,0)</f>
        <v/>
      </c>
      <c r="AQ23" s="20">
        <f>IF(AQ13&gt;0,25460.22,0)</f>
        <v/>
      </c>
      <c r="AR23" s="20">
        <f>IF(AR13&gt;0,25460.22,0)</f>
        <v/>
      </c>
      <c r="AS23" s="20">
        <f>IF(AS13&gt;0,25460.22,0)</f>
        <v/>
      </c>
      <c r="AT23" s="20">
        <f>IF(AT13&gt;0,25460.22,0)</f>
        <v/>
      </c>
      <c r="AU23" s="20">
        <f>IF(AU13&gt;0,25460.22,0)</f>
        <v/>
      </c>
      <c r="AV23" s="20">
        <f>IF(AV13&gt;0,25460.22,0)</f>
        <v/>
      </c>
      <c r="AW23" s="20">
        <f>IF(AW13&gt;0,25460.22,0)</f>
        <v/>
      </c>
      <c r="AX23" s="20">
        <f>IF(AX13&gt;0,25460.22,0)</f>
        <v/>
      </c>
      <c r="AY23" s="20">
        <f>IF(AY13&gt;0,25460.22,0)</f>
        <v/>
      </c>
    </row>
    <row r="24">
      <c r="B24" s="18" t="inlineStr">
        <is>
          <t>Specialty Capital Loan</t>
        </is>
      </c>
      <c r="P24" s="19" t="n">
        <v>0</v>
      </c>
      <c r="Q24" s="19" t="n">
        <v>0</v>
      </c>
      <c r="R24" s="19" t="n">
        <v>0</v>
      </c>
      <c r="S24" s="19" t="n">
        <v>0</v>
      </c>
      <c r="T24" s="83" t="n">
        <v>90052.62</v>
      </c>
      <c r="U24" s="20">
        <f>IF(U14&gt;0,25888.16,0)</f>
        <v/>
      </c>
      <c r="V24" s="20">
        <f>IF(V14&gt;0,25888.16,0)</f>
        <v/>
      </c>
      <c r="W24" s="20">
        <f>IF(W14&gt;0,25888.16,0)</f>
        <v/>
      </c>
      <c r="X24" s="20">
        <f>IF(X14&gt;0,25888.16,0)</f>
        <v/>
      </c>
      <c r="Y24" s="20">
        <f>IF(Y14&gt;0,25888.16,0)</f>
        <v/>
      </c>
      <c r="Z24" s="20">
        <f>IF(Z14&gt;0,25888.16,0)</f>
        <v/>
      </c>
      <c r="AA24" s="20">
        <f>IF(AA14&gt;0,25888.16,0)</f>
        <v/>
      </c>
      <c r="AB24" s="20">
        <f>IF(AB14&gt;0,25888.16,0)</f>
        <v/>
      </c>
      <c r="AC24" s="20">
        <f>IF(AC14&gt;0,25888.16,0)</f>
        <v/>
      </c>
      <c r="AD24" s="20">
        <f>IF(AD14&gt;0,25888.16,0)</f>
        <v/>
      </c>
      <c r="AE24" s="20">
        <f>IF(AE14&gt;0,25888.16,0)</f>
        <v/>
      </c>
      <c r="AF24" s="20">
        <f>IF(AF14&gt;0,25888.16,0)</f>
        <v/>
      </c>
      <c r="AG24" s="20">
        <f>IF(AG14&gt;0,25888.16,0)</f>
        <v/>
      </c>
      <c r="AH24" s="20">
        <f>IF(AH14&gt;0,25888.16,0)</f>
        <v/>
      </c>
      <c r="AI24" s="20">
        <f>IF(AI14&gt;0,25888.16,0)</f>
        <v/>
      </c>
      <c r="AJ24" s="20">
        <f>IF(AJ14&gt;0,25888.16,0)</f>
        <v/>
      </c>
      <c r="AK24" s="20">
        <f>IF(AK14&gt;0,25888.16,0)</f>
        <v/>
      </c>
      <c r="AL24" s="20">
        <f>IF(AL14&gt;0,25888.16,0)</f>
        <v/>
      </c>
      <c r="AM24" s="20">
        <f>IF(AM14&gt;0,25888.16,0)</f>
        <v/>
      </c>
      <c r="AN24" s="20">
        <f>IF(AN14&gt;0,25888.16,0)</f>
        <v/>
      </c>
      <c r="AO24" s="20">
        <f>IF(AO14&gt;0,25888.16,0)</f>
        <v/>
      </c>
      <c r="AP24" s="20">
        <f>IF(AP14&gt;0,25888.16,0)</f>
        <v/>
      </c>
      <c r="AQ24" s="20">
        <f>IF(AQ14&gt;0,25888.16,0)</f>
        <v/>
      </c>
      <c r="AR24" s="20">
        <f>IF(AR14&gt;0,25888.16,0)</f>
        <v/>
      </c>
      <c r="AS24" s="20">
        <f>IF(AS14&gt;0,25888.16,0)</f>
        <v/>
      </c>
      <c r="AT24" s="20">
        <f>IF(AT14&gt;0,25888.16,0)</f>
        <v/>
      </c>
      <c r="AU24" s="20">
        <f>IF(AU14&gt;0,25888.16,0)</f>
        <v/>
      </c>
      <c r="AV24" s="20">
        <f>IF(AV14&gt;0,25888.16,0)</f>
        <v/>
      </c>
      <c r="AW24" s="20">
        <f>IF(AW14&gt;0,25888.16,0)</f>
        <v/>
      </c>
      <c r="AX24" s="20">
        <f>IF(AX14&gt;0,25888.16,0)</f>
        <v/>
      </c>
      <c r="AY24" s="20">
        <f>IF(AY14&gt;0,25888.16,0)</f>
        <v/>
      </c>
    </row>
    <row r="25">
      <c r="B25" s="18" t="inlineStr">
        <is>
          <t>Norbrook Inc Loan</t>
        </is>
      </c>
      <c r="P25" s="19" t="n">
        <v>0</v>
      </c>
      <c r="Q25" s="19" t="n">
        <v>0</v>
      </c>
      <c r="R25" s="19" t="n">
        <v>0</v>
      </c>
      <c r="S25" s="19" t="n">
        <v>0</v>
      </c>
      <c r="T25" s="83" t="n">
        <v>0</v>
      </c>
      <c r="U25" s="20">
        <f>U15*0.08/12</f>
        <v/>
      </c>
      <c r="V25" s="20">
        <f>V15*0.08/12</f>
        <v/>
      </c>
      <c r="W25" s="20">
        <f>W15*0.08/12</f>
        <v/>
      </c>
      <c r="X25" s="20">
        <f>X15*0.08/12</f>
        <v/>
      </c>
      <c r="Y25" s="20">
        <f>Y15*0.08/12</f>
        <v/>
      </c>
      <c r="Z25" s="20">
        <f>Z15*0.08/12</f>
        <v/>
      </c>
      <c r="AA25" s="20">
        <f>AA15*0.08/12</f>
        <v/>
      </c>
      <c r="AB25" s="20">
        <f>AB15*0.08/12</f>
        <v/>
      </c>
      <c r="AC25" s="20">
        <f>AC15*0.08/12</f>
        <v/>
      </c>
      <c r="AD25" s="20">
        <f>AD15*0.08/12</f>
        <v/>
      </c>
      <c r="AE25" s="20">
        <f>AE15*0.08/12</f>
        <v/>
      </c>
      <c r="AF25" s="20">
        <f>AF15*0.08/12</f>
        <v/>
      </c>
      <c r="AG25" s="20">
        <f>AG15*0.08/12</f>
        <v/>
      </c>
      <c r="AH25" s="20">
        <f>AH15*0.08/12</f>
        <v/>
      </c>
      <c r="AI25" s="20">
        <f>AI15*0.08/12</f>
        <v/>
      </c>
      <c r="AJ25" s="20">
        <f>AJ15*0.08/12</f>
        <v/>
      </c>
      <c r="AK25" s="20">
        <f>AK15*0.08/12</f>
        <v/>
      </c>
      <c r="AL25" s="20">
        <f>AL15*0.08/12</f>
        <v/>
      </c>
      <c r="AM25" s="20">
        <f>AM15*0.08/12</f>
        <v/>
      </c>
      <c r="AN25" s="20">
        <f>AN15*0.08/12</f>
        <v/>
      </c>
      <c r="AO25" s="20">
        <f>AO15*0.08/12</f>
        <v/>
      </c>
      <c r="AP25" s="20">
        <f>AP15*0.08/12</f>
        <v/>
      </c>
      <c r="AQ25" s="20">
        <f>AQ15*0.08/12</f>
        <v/>
      </c>
      <c r="AR25" s="20">
        <f>AR15*0.08/12</f>
        <v/>
      </c>
      <c r="AS25" s="20">
        <f>AS15*0.08/12</f>
        <v/>
      </c>
      <c r="AT25" s="20">
        <f>AT15*0.08/12</f>
        <v/>
      </c>
      <c r="AU25" s="20">
        <f>AU15*0.08/12</f>
        <v/>
      </c>
      <c r="AV25" s="20">
        <f>AV15*0.08/12</f>
        <v/>
      </c>
      <c r="AW25" s="20">
        <f>AW15*0.08/12</f>
        <v/>
      </c>
      <c r="AX25" s="20">
        <f>AX15*0.08/12</f>
        <v/>
      </c>
      <c r="AY25" s="20">
        <f>AY15*0.08/12</f>
        <v/>
      </c>
    </row>
    <row r="26">
      <c r="B26" s="15" t="inlineStr">
        <is>
          <t>TOTAL DEBT SERVICE</t>
        </is>
      </c>
      <c r="P26" s="17">
        <f>SUM(P19:P25)</f>
        <v/>
      </c>
      <c r="Q26" s="17">
        <f>SUM(Q19:Q25)</f>
        <v/>
      </c>
      <c r="R26" s="17">
        <f>SUM(R19:R25)</f>
        <v/>
      </c>
      <c r="S26" s="17">
        <f>SUM(S19:S25)</f>
        <v/>
      </c>
      <c r="T26" s="17">
        <f>SUM(T19:T25)</f>
        <v/>
      </c>
      <c r="U26" s="17">
        <f>SUM(U19:U25)</f>
        <v/>
      </c>
      <c r="V26" s="17">
        <f>SUM(V19:V25)</f>
        <v/>
      </c>
      <c r="W26" s="17">
        <f>SUM(W19:W25)</f>
        <v/>
      </c>
      <c r="X26" s="17">
        <f>SUM(X19:X25)</f>
        <v/>
      </c>
      <c r="Y26" s="17">
        <f>SUM(Y19:Y25)</f>
        <v/>
      </c>
      <c r="Z26" s="17">
        <f>SUM(Z19:Z25)</f>
        <v/>
      </c>
      <c r="AA26" s="17">
        <f>SUM(AA19:AA25)</f>
        <v/>
      </c>
      <c r="AB26" s="17">
        <f>SUM(AB19:AB25)</f>
        <v/>
      </c>
      <c r="AC26" s="17">
        <f>SUM(AC19:AC25)</f>
        <v/>
      </c>
      <c r="AD26" s="17">
        <f>SUM(AD19:AD25)</f>
        <v/>
      </c>
      <c r="AE26" s="17">
        <f>SUM(AE19:AE25)</f>
        <v/>
      </c>
      <c r="AF26" s="17">
        <f>SUM(AF19:AF25)</f>
        <v/>
      </c>
      <c r="AG26" s="17">
        <f>SUM(AG19:AG25)</f>
        <v/>
      </c>
      <c r="AH26" s="17">
        <f>SUM(AH19:AH25)</f>
        <v/>
      </c>
      <c r="AI26" s="17">
        <f>SUM(AI19:AI25)</f>
        <v/>
      </c>
      <c r="AJ26" s="17">
        <f>SUM(AJ19:AJ25)</f>
        <v/>
      </c>
      <c r="AK26" s="17">
        <f>SUM(AK19:AK25)</f>
        <v/>
      </c>
      <c r="AL26" s="17">
        <f>SUM(AL19:AL25)</f>
        <v/>
      </c>
      <c r="AM26" s="17">
        <f>SUM(AM19:AM25)</f>
        <v/>
      </c>
      <c r="AN26" s="17">
        <f>SUM(AN19:AN25)</f>
        <v/>
      </c>
      <c r="AO26" s="17">
        <f>SUM(AO19:AO25)</f>
        <v/>
      </c>
      <c r="AP26" s="17">
        <f>SUM(AP19:AP25)</f>
        <v/>
      </c>
      <c r="AQ26" s="17">
        <f>SUM(AQ19:AQ25)</f>
        <v/>
      </c>
      <c r="AR26" s="17">
        <f>SUM(AR19:AR25)</f>
        <v/>
      </c>
      <c r="AS26" s="17">
        <f>SUM(AS19:AS25)</f>
        <v/>
      </c>
      <c r="AT26" s="17">
        <f>SUM(AT19:AT25)</f>
        <v/>
      </c>
      <c r="AU26" s="17">
        <f>SUM(AU19:AU25)</f>
        <v/>
      </c>
      <c r="AV26" s="17">
        <f>SUM(AV19:AV25)</f>
        <v/>
      </c>
      <c r="AW26" s="17">
        <f>SUM(AW19:AW25)</f>
        <v/>
      </c>
      <c r="AX26" s="17">
        <f>SUM(AX19:AX25)</f>
        <v/>
      </c>
      <c r="AY26" s="17">
        <f>SUM(AY19:AY25)</f>
        <v/>
      </c>
    </row>
    <row r="28" ht="16" customHeight="1" s="282">
      <c r="B28" s="10" t="inlineStr">
        <is>
          <t>OWNER EQUITY / INTERCOMPANY</t>
        </is>
      </c>
      <c r="C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</row>
    <row r="29">
      <c r="B29" s="15" t="inlineStr">
        <is>
          <t>Intercompany Net Position</t>
        </is>
      </c>
      <c r="P29" s="19" t="n">
        <v>224773.04</v>
      </c>
      <c r="Q29" s="19" t="n">
        <v>224773.04</v>
      </c>
      <c r="R29" s="19" t="n">
        <v>358106.37</v>
      </c>
      <c r="S29" s="19" t="n">
        <v>436439.7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2:BF58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10" defaultColWidth="8.83203125" defaultRowHeight="15"/>
  <cols>
    <col width="1.6640625" customWidth="1" style="282" min="1" max="1"/>
    <col width="36.33203125" customWidth="1" style="282" min="2" max="2"/>
    <col width="12" customWidth="1" style="282" min="3" max="39"/>
    <col width="10.33203125" bestFit="1" customWidth="1" style="282" min="40" max="51"/>
    <col width="9.33203125" customWidth="1" style="282" min="53" max="53"/>
    <col width="10.83203125" bestFit="1" customWidth="1" style="282" min="54" max="56"/>
    <col width="11.83203125" bestFit="1" customWidth="1" style="282" min="58" max="58"/>
  </cols>
  <sheetData>
    <row r="2" ht="21" customHeight="1" s="282">
      <c r="B2" s="9" t="inlineStr">
        <is>
          <t>Cash Flow Forecast with 1 Prototype (Cash Basis Cash Flow Statement - as such, no deffereds / no D&amp;A add back / etc.)</t>
        </is>
      </c>
    </row>
    <row r="3">
      <c r="B3" s="3" t="n"/>
    </row>
    <row r="4" ht="16" customHeight="1" s="282">
      <c r="B4" s="10" t="inlineStr">
        <is>
          <t>Monthly Cash Flow</t>
        </is>
      </c>
      <c r="C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BA4" s="11" t="n"/>
      <c r="BB4" s="11" t="n"/>
      <c r="BC4" s="11" t="n"/>
      <c r="BD4" s="11" t="n"/>
      <c r="BF4" s="11" t="n"/>
    </row>
    <row r="5">
      <c r="B5" s="12" t="inlineStr">
        <is>
          <t>Line Item</t>
        </is>
      </c>
      <c r="C5" s="14" t="inlineStr">
        <is>
          <t>Annual Total</t>
        </is>
      </c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299" t="n">
        <v>2025</v>
      </c>
      <c r="BB5" s="300">
        <f>BA5+1</f>
        <v/>
      </c>
      <c r="BC5" s="300">
        <f>BB5+1</f>
        <v/>
      </c>
      <c r="BD5" s="300">
        <f>BC5+1</f>
        <v/>
      </c>
      <c r="BF5" s="299" t="inlineStr">
        <is>
          <t>LTM May 2026</t>
        </is>
      </c>
    </row>
    <row r="6" ht="16" customHeight="1" s="282">
      <c r="B6" s="10" t="inlineStr">
        <is>
          <t>CASH INFLOWS</t>
        </is>
      </c>
      <c r="C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15" t="inlineStr">
        <is>
          <t>Total Cash Sales</t>
        </is>
      </c>
      <c r="P7" s="64">
        <f>Summary!P6</f>
        <v/>
      </c>
      <c r="Q7" s="64">
        <f>Summary!Q6</f>
        <v/>
      </c>
      <c r="R7" s="64">
        <f>Summary!R6</f>
        <v/>
      </c>
      <c r="S7" s="64">
        <f>Summary!S6</f>
        <v/>
      </c>
      <c r="T7" s="64">
        <f>Summary!T6</f>
        <v/>
      </c>
      <c r="U7" s="64">
        <f>Summary!U6</f>
        <v/>
      </c>
      <c r="V7" s="64">
        <f>Summary!V6</f>
        <v/>
      </c>
      <c r="W7" s="64">
        <f>Summary!W6</f>
        <v/>
      </c>
      <c r="X7" s="64">
        <f>Summary!X6</f>
        <v/>
      </c>
      <c r="Y7" s="64">
        <f>Summary!Y6</f>
        <v/>
      </c>
      <c r="Z7" s="64">
        <f>Summary!Z6</f>
        <v/>
      </c>
      <c r="AA7" s="64">
        <f>Summary!AA6</f>
        <v/>
      </c>
      <c r="AB7" s="64">
        <f>Summary!AB6</f>
        <v/>
      </c>
      <c r="AC7" s="64">
        <f>Summary!AC6</f>
        <v/>
      </c>
      <c r="AD7" s="64">
        <f>Summary!AD6</f>
        <v/>
      </c>
      <c r="AE7" s="64">
        <f>Summary!AE6</f>
        <v/>
      </c>
      <c r="AF7" s="64">
        <f>Summary!AF6</f>
        <v/>
      </c>
      <c r="AG7" s="64">
        <f>Summary!AG6</f>
        <v/>
      </c>
      <c r="AH7" s="64">
        <f>Summary!AH6</f>
        <v/>
      </c>
      <c r="AI7" s="64">
        <f>Summary!AI6</f>
        <v/>
      </c>
      <c r="AJ7" s="64">
        <f>Summary!AJ6</f>
        <v/>
      </c>
      <c r="AK7" s="64">
        <f>Summary!AK6</f>
        <v/>
      </c>
      <c r="AL7" s="64">
        <f>Summary!AL6</f>
        <v/>
      </c>
      <c r="AM7" s="64">
        <f>Summary!AM6</f>
        <v/>
      </c>
      <c r="AN7" s="64">
        <f>Summary!AN6</f>
        <v/>
      </c>
      <c r="AO7" s="64">
        <f>Summary!AO6</f>
        <v/>
      </c>
      <c r="AP7" s="64">
        <f>Summary!AP6</f>
        <v/>
      </c>
      <c r="AQ7" s="64">
        <f>Summary!AQ6</f>
        <v/>
      </c>
      <c r="AR7" s="64">
        <f>Summary!AR6</f>
        <v/>
      </c>
      <c r="AS7" s="64">
        <f>Summary!AS6</f>
        <v/>
      </c>
      <c r="AT7" s="64">
        <f>Summary!AT6</f>
        <v/>
      </c>
      <c r="AU7" s="64">
        <f>Summary!AU6</f>
        <v/>
      </c>
      <c r="AV7" s="64">
        <f>Summary!AV6</f>
        <v/>
      </c>
      <c r="AW7" s="64">
        <f>Summary!AW6</f>
        <v/>
      </c>
      <c r="AX7" s="64">
        <f>Summary!AX6</f>
        <v/>
      </c>
      <c r="AY7" s="64">
        <f>Summary!AY6</f>
        <v/>
      </c>
    </row>
    <row r="9" ht="16" customHeight="1" s="282">
      <c r="B9" s="10" t="inlineStr">
        <is>
          <t>OPERATING OUTFLOWS</t>
        </is>
      </c>
      <c r="C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</row>
    <row r="10">
      <c r="A10" s="261">
        <f>Prototype!A37</f>
        <v/>
      </c>
      <c r="B10" s="18" t="inlineStr">
        <is>
          <t>Property Costs</t>
        </is>
      </c>
      <c r="P10" s="19">
        <f>'P&amp;L (Existing Locations)'!P19</f>
        <v/>
      </c>
      <c r="Q10" s="19">
        <f>'P&amp;L (Existing Locations)'!Q19</f>
        <v/>
      </c>
      <c r="R10" s="19">
        <f>'P&amp;L (Existing Locations)'!R19</f>
        <v/>
      </c>
      <c r="S10" s="19">
        <f>'P&amp;L (Existing Locations)'!S19</f>
        <v/>
      </c>
      <c r="T10" s="31">
        <f>'P&amp;L (Existing Locations)'!T19</f>
        <v/>
      </c>
      <c r="U10" s="31">
        <f>'P&amp;L (Existing Locations)'!U19</f>
        <v/>
      </c>
      <c r="V10" s="31">
        <f>'P&amp;L (Existing Locations)'!V19</f>
        <v/>
      </c>
      <c r="W10" s="31">
        <f>'P&amp;L (Existing Locations)'!W19</f>
        <v/>
      </c>
      <c r="X10" s="31">
        <f>'P&amp;L (Existing Locations)'!X19</f>
        <v/>
      </c>
      <c r="Y10" s="31">
        <f>'P&amp;L (Existing Locations)'!Y19</f>
        <v/>
      </c>
      <c r="Z10" s="31">
        <f>'P&amp;L (Existing Locations)'!Z19</f>
        <v/>
      </c>
      <c r="AA10" s="31">
        <f>'P&amp;L (Existing Locations)'!AA19</f>
        <v/>
      </c>
      <c r="AB10" s="259">
        <f>'P&amp;L (Existing Locations)'!AB19+Prototype!B37</f>
        <v/>
      </c>
      <c r="AC10" s="259">
        <f>'P&amp;L (Existing Locations)'!AC19+Prototype!C37</f>
        <v/>
      </c>
      <c r="AD10" s="259">
        <f>'P&amp;L (Existing Locations)'!AD19+Prototype!D37</f>
        <v/>
      </c>
      <c r="AE10" s="259">
        <f>'P&amp;L (Existing Locations)'!AE19+Prototype!E37</f>
        <v/>
      </c>
      <c r="AF10" s="259">
        <f>'P&amp;L (Existing Locations)'!AF19+Prototype!F37</f>
        <v/>
      </c>
      <c r="AG10" s="259">
        <f>'P&amp;L (Existing Locations)'!AG19+Prototype!G37</f>
        <v/>
      </c>
      <c r="AH10" s="259">
        <f>'P&amp;L (Existing Locations)'!AH19+Prototype!H37</f>
        <v/>
      </c>
      <c r="AI10" s="259">
        <f>'P&amp;L (Existing Locations)'!AI19+Prototype!I37</f>
        <v/>
      </c>
      <c r="AJ10" s="259">
        <f>'P&amp;L (Existing Locations)'!AJ19+Prototype!J37</f>
        <v/>
      </c>
      <c r="AK10" s="259">
        <f>'P&amp;L (Existing Locations)'!AK19+Prototype!K37</f>
        <v/>
      </c>
      <c r="AL10" s="259">
        <f>'P&amp;L (Existing Locations)'!AL19+Prototype!L37</f>
        <v/>
      </c>
      <c r="AM10" s="259">
        <f>'P&amp;L (Existing Locations)'!AM19+Prototype!M37</f>
        <v/>
      </c>
      <c r="AN10" s="259">
        <f>'P&amp;L (Existing Locations)'!AN19+Prototype!N37</f>
        <v/>
      </c>
      <c r="AO10" s="259">
        <f>'P&amp;L (Existing Locations)'!AO19+Prototype!O37</f>
        <v/>
      </c>
      <c r="AP10" s="259">
        <f>'P&amp;L (Existing Locations)'!AP19+Prototype!P37</f>
        <v/>
      </c>
      <c r="AQ10" s="259">
        <f>'P&amp;L (Existing Locations)'!AQ19+Prototype!Q37</f>
        <v/>
      </c>
      <c r="AR10" s="259">
        <f>'P&amp;L (Existing Locations)'!AR19+Prototype!R37</f>
        <v/>
      </c>
      <c r="AS10" s="259">
        <f>'P&amp;L (Existing Locations)'!AS19+Prototype!S37</f>
        <v/>
      </c>
      <c r="AT10" s="259">
        <f>'P&amp;L (Existing Locations)'!AT19+Prototype!T37</f>
        <v/>
      </c>
      <c r="AU10" s="259">
        <f>'P&amp;L (Existing Locations)'!AU19+Prototype!U37</f>
        <v/>
      </c>
      <c r="AV10" s="259">
        <f>'P&amp;L (Existing Locations)'!AV19+Prototype!V37</f>
        <v/>
      </c>
      <c r="AW10" s="259">
        <f>'P&amp;L (Existing Locations)'!AW19+Prototype!W37</f>
        <v/>
      </c>
      <c r="AX10" s="259">
        <f>'P&amp;L (Existing Locations)'!AX19+Prototype!X37</f>
        <v/>
      </c>
      <c r="AY10" s="259">
        <f>'P&amp;L (Existing Locations)'!AY19+Prototype!Y37</f>
        <v/>
      </c>
    </row>
    <row r="11">
      <c r="A11" s="261">
        <f>Prototype!A38</f>
        <v/>
      </c>
      <c r="B11" s="18" t="inlineStr">
        <is>
          <t>Staff Costs</t>
        </is>
      </c>
      <c r="P11" s="19">
        <f>'P&amp;L (Existing Locations)'!P15</f>
        <v/>
      </c>
      <c r="Q11" s="19">
        <f>'P&amp;L (Existing Locations)'!Q15</f>
        <v/>
      </c>
      <c r="R11" s="19">
        <f>'P&amp;L (Existing Locations)'!R15</f>
        <v/>
      </c>
      <c r="S11" s="19">
        <f>'P&amp;L (Existing Locations)'!S15</f>
        <v/>
      </c>
      <c r="T11" s="31">
        <f>'P&amp;L (Existing Locations)'!T15</f>
        <v/>
      </c>
      <c r="U11" s="31">
        <f>'P&amp;L (Existing Locations)'!U15</f>
        <v/>
      </c>
      <c r="V11" s="31">
        <f>'P&amp;L (Existing Locations)'!V15</f>
        <v/>
      </c>
      <c r="W11" s="31">
        <f>'P&amp;L (Existing Locations)'!W15</f>
        <v/>
      </c>
      <c r="X11" s="31">
        <f>'P&amp;L (Existing Locations)'!X15</f>
        <v/>
      </c>
      <c r="Y11" s="31">
        <f>'P&amp;L (Existing Locations)'!Y15</f>
        <v/>
      </c>
      <c r="Z11" s="31">
        <f>'P&amp;L (Existing Locations)'!Z15</f>
        <v/>
      </c>
      <c r="AA11" s="31">
        <f>'P&amp;L (Existing Locations)'!AA15</f>
        <v/>
      </c>
      <c r="AB11" s="259">
        <f>'P&amp;L (Existing Locations)'!AB15+Prototype!B38</f>
        <v/>
      </c>
      <c r="AC11" s="259">
        <f>'P&amp;L (Existing Locations)'!AC15+Prototype!C38</f>
        <v/>
      </c>
      <c r="AD11" s="259">
        <f>'P&amp;L (Existing Locations)'!AD15+Prototype!D38</f>
        <v/>
      </c>
      <c r="AE11" s="259">
        <f>'P&amp;L (Existing Locations)'!AE15+Prototype!E38</f>
        <v/>
      </c>
      <c r="AF11" s="259">
        <f>'P&amp;L (Existing Locations)'!AF15+Prototype!F38</f>
        <v/>
      </c>
      <c r="AG11" s="259">
        <f>'P&amp;L (Existing Locations)'!AG15+Prototype!G38</f>
        <v/>
      </c>
      <c r="AH11" s="259">
        <f>'P&amp;L (Existing Locations)'!AH15+Prototype!H38</f>
        <v/>
      </c>
      <c r="AI11" s="259">
        <f>'P&amp;L (Existing Locations)'!AI15+Prototype!I38</f>
        <v/>
      </c>
      <c r="AJ11" s="259">
        <f>'P&amp;L (Existing Locations)'!AJ15+Prototype!J38</f>
        <v/>
      </c>
      <c r="AK11" s="259">
        <f>'P&amp;L (Existing Locations)'!AK15+Prototype!K38</f>
        <v/>
      </c>
      <c r="AL11" s="259">
        <f>'P&amp;L (Existing Locations)'!AL15+Prototype!L38</f>
        <v/>
      </c>
      <c r="AM11" s="259">
        <f>'P&amp;L (Existing Locations)'!AM15+Prototype!M38</f>
        <v/>
      </c>
      <c r="AN11" s="259">
        <f>'P&amp;L (Existing Locations)'!AN15+Prototype!N38</f>
        <v/>
      </c>
      <c r="AO11" s="259">
        <f>'P&amp;L (Existing Locations)'!AO15+Prototype!O38</f>
        <v/>
      </c>
      <c r="AP11" s="259">
        <f>'P&amp;L (Existing Locations)'!AP15+Prototype!P38</f>
        <v/>
      </c>
      <c r="AQ11" s="259">
        <f>'P&amp;L (Existing Locations)'!AQ15+Prototype!Q38</f>
        <v/>
      </c>
      <c r="AR11" s="259">
        <f>'P&amp;L (Existing Locations)'!AR15+Prototype!R38</f>
        <v/>
      </c>
      <c r="AS11" s="259">
        <f>'P&amp;L (Existing Locations)'!AS15+Prototype!S38</f>
        <v/>
      </c>
      <c r="AT11" s="259">
        <f>'P&amp;L (Existing Locations)'!AT15+Prototype!T38</f>
        <v/>
      </c>
      <c r="AU11" s="259">
        <f>'P&amp;L (Existing Locations)'!AU15+Prototype!U38</f>
        <v/>
      </c>
      <c r="AV11" s="259">
        <f>'P&amp;L (Existing Locations)'!AV15+Prototype!V38</f>
        <v/>
      </c>
      <c r="AW11" s="259">
        <f>'P&amp;L (Existing Locations)'!AW15+Prototype!W38</f>
        <v/>
      </c>
      <c r="AX11" s="259">
        <f>'P&amp;L (Existing Locations)'!AX15+Prototype!X38</f>
        <v/>
      </c>
      <c r="AY11" s="259">
        <f>'P&amp;L (Existing Locations)'!AY15+Prototype!Y38</f>
        <v/>
      </c>
    </row>
    <row r="12">
      <c r="A12" s="261" t="inlineStr">
        <is>
          <t>Utilities and Equipment, Maintineince, Moter Vehicles even through ZERO</t>
        </is>
      </c>
      <c r="B12" s="18" t="inlineStr">
        <is>
          <t>Utilities</t>
        </is>
      </c>
      <c r="P12" s="19">
        <f>'P&amp;L (Existing Locations)'!P18</f>
        <v/>
      </c>
      <c r="Q12" s="19">
        <f>'P&amp;L (Existing Locations)'!Q18</f>
        <v/>
      </c>
      <c r="R12" s="19">
        <f>'P&amp;L (Existing Locations)'!R18</f>
        <v/>
      </c>
      <c r="S12" s="19">
        <f>'P&amp;L (Existing Locations)'!S18</f>
        <v/>
      </c>
      <c r="T12" s="31">
        <f>'P&amp;L (Existing Locations)'!T18</f>
        <v/>
      </c>
      <c r="U12" s="31">
        <f>'P&amp;L (Existing Locations)'!U18</f>
        <v/>
      </c>
      <c r="V12" s="31">
        <f>'P&amp;L (Existing Locations)'!V18</f>
        <v/>
      </c>
      <c r="W12" s="31">
        <f>'P&amp;L (Existing Locations)'!W18</f>
        <v/>
      </c>
      <c r="X12" s="31">
        <f>'P&amp;L (Existing Locations)'!X18</f>
        <v/>
      </c>
      <c r="Y12" s="31">
        <f>'P&amp;L (Existing Locations)'!Y18</f>
        <v/>
      </c>
      <c r="Z12" s="31">
        <f>'P&amp;L (Existing Locations)'!Z18</f>
        <v/>
      </c>
      <c r="AA12" s="31">
        <f>'P&amp;L (Existing Locations)'!AA18</f>
        <v/>
      </c>
      <c r="AB12" s="259">
        <f>'P&amp;L (Existing Locations)'!AB18+Prototype!B39+Prototype!B40+Prototype!B44</f>
        <v/>
      </c>
      <c r="AC12" s="259">
        <f>'P&amp;L (Existing Locations)'!AC18+Prototype!C39+Prototype!C40+Prototype!C44</f>
        <v/>
      </c>
      <c r="AD12" s="259">
        <f>'P&amp;L (Existing Locations)'!AD18+Prototype!D39+Prototype!D40+Prototype!D44</f>
        <v/>
      </c>
      <c r="AE12" s="259">
        <f>'P&amp;L (Existing Locations)'!AE18+Prototype!E39+Prototype!E40+Prototype!E44</f>
        <v/>
      </c>
      <c r="AF12" s="259">
        <f>'P&amp;L (Existing Locations)'!AF18+Prototype!F39+Prototype!F40+Prototype!F44</f>
        <v/>
      </c>
      <c r="AG12" s="259">
        <f>'P&amp;L (Existing Locations)'!AG18+Prototype!G39+Prototype!G40+Prototype!G44</f>
        <v/>
      </c>
      <c r="AH12" s="259">
        <f>'P&amp;L (Existing Locations)'!AH18+Prototype!H39+Prototype!H40+Prototype!H44</f>
        <v/>
      </c>
      <c r="AI12" s="259">
        <f>'P&amp;L (Existing Locations)'!AI18+Prototype!I39+Prototype!I40+Prototype!I44</f>
        <v/>
      </c>
      <c r="AJ12" s="259">
        <f>'P&amp;L (Existing Locations)'!AJ18+Prototype!J39+Prototype!J40+Prototype!J44</f>
        <v/>
      </c>
      <c r="AK12" s="259">
        <f>'P&amp;L (Existing Locations)'!AK18+Prototype!K39+Prototype!K40+Prototype!K44</f>
        <v/>
      </c>
      <c r="AL12" s="259">
        <f>'P&amp;L (Existing Locations)'!AL18+Prototype!L39+Prototype!L40+Prototype!L44</f>
        <v/>
      </c>
      <c r="AM12" s="259">
        <f>'P&amp;L (Existing Locations)'!AM18+Prototype!M39+Prototype!M40+Prototype!M44</f>
        <v/>
      </c>
      <c r="AN12" s="259">
        <f>'P&amp;L (Existing Locations)'!AN18+Prototype!N39+Prototype!N40+Prototype!N44</f>
        <v/>
      </c>
      <c r="AO12" s="259">
        <f>'P&amp;L (Existing Locations)'!AO18+Prototype!O39+Prototype!O40+Prototype!O44</f>
        <v/>
      </c>
      <c r="AP12" s="259">
        <f>'P&amp;L (Existing Locations)'!AP18+Prototype!P39+Prototype!P40+Prototype!P44</f>
        <v/>
      </c>
      <c r="AQ12" s="259">
        <f>'P&amp;L (Existing Locations)'!AQ18+Prototype!Q39+Prototype!Q40+Prototype!Q44</f>
        <v/>
      </c>
      <c r="AR12" s="259">
        <f>'P&amp;L (Existing Locations)'!AR18+Prototype!R39+Prototype!R40+Prototype!R44</f>
        <v/>
      </c>
      <c r="AS12" s="259">
        <f>'P&amp;L (Existing Locations)'!AS18+Prototype!S39+Prototype!S40+Prototype!S44</f>
        <v/>
      </c>
      <c r="AT12" s="259">
        <f>'P&amp;L (Existing Locations)'!AT18+Prototype!T39+Prototype!T40+Prototype!T44</f>
        <v/>
      </c>
      <c r="AU12" s="259">
        <f>'P&amp;L (Existing Locations)'!AU18+Prototype!U39+Prototype!U40+Prototype!U44</f>
        <v/>
      </c>
      <c r="AV12" s="259">
        <f>'P&amp;L (Existing Locations)'!AV18+Prototype!V39+Prototype!V40+Prototype!V44</f>
        <v/>
      </c>
      <c r="AW12" s="259">
        <f>'P&amp;L (Existing Locations)'!AW18+Prototype!W39+Prototype!W40+Prototype!W44</f>
        <v/>
      </c>
      <c r="AX12" s="259">
        <f>'P&amp;L (Existing Locations)'!AX18+Prototype!X39+Prototype!X40+Prototype!X44</f>
        <v/>
      </c>
      <c r="AY12" s="259">
        <f>'P&amp;L (Existing Locations)'!AY18+Prototype!Y39+Prototype!Y40+Prototype!Y44</f>
        <v/>
      </c>
    </row>
    <row r="13">
      <c r="A13" s="261">
        <f>Prototype!A41</f>
        <v/>
      </c>
      <c r="B13" s="18" t="inlineStr">
        <is>
          <t>Marketing &amp; Promotion</t>
        </is>
      </c>
      <c r="P13" s="19">
        <f>'P&amp;L (Existing Locations)'!P14</f>
        <v/>
      </c>
      <c r="Q13" s="19">
        <f>'P&amp;L (Existing Locations)'!Q14</f>
        <v/>
      </c>
      <c r="R13" s="19">
        <f>'P&amp;L (Existing Locations)'!R14</f>
        <v/>
      </c>
      <c r="S13" s="19">
        <f>'P&amp;L (Existing Locations)'!S14</f>
        <v/>
      </c>
      <c r="T13" s="31">
        <f>'P&amp;L (Existing Locations)'!T14</f>
        <v/>
      </c>
      <c r="U13" s="31">
        <f>'P&amp;L (Existing Locations)'!U14</f>
        <v/>
      </c>
      <c r="V13" s="31">
        <f>'P&amp;L (Existing Locations)'!V14</f>
        <v/>
      </c>
      <c r="W13" s="31">
        <f>'P&amp;L (Existing Locations)'!W14</f>
        <v/>
      </c>
      <c r="X13" s="31">
        <f>'P&amp;L (Existing Locations)'!X14</f>
        <v/>
      </c>
      <c r="Y13" s="31">
        <f>'P&amp;L (Existing Locations)'!Y14</f>
        <v/>
      </c>
      <c r="Z13" s="31">
        <f>'P&amp;L (Existing Locations)'!Z14</f>
        <v/>
      </c>
      <c r="AA13" s="31">
        <f>'P&amp;L (Existing Locations)'!AA14</f>
        <v/>
      </c>
      <c r="AB13" s="259">
        <f>'P&amp;L (Existing Locations)'!AB14+Prototype!B41</f>
        <v/>
      </c>
      <c r="AC13" s="259">
        <f>'P&amp;L (Existing Locations)'!AC14+Prototype!C41</f>
        <v/>
      </c>
      <c r="AD13" s="259">
        <f>'P&amp;L (Existing Locations)'!AD14+Prototype!D41</f>
        <v/>
      </c>
      <c r="AE13" s="259">
        <f>'P&amp;L (Existing Locations)'!AE14+Prototype!E41</f>
        <v/>
      </c>
      <c r="AF13" s="259">
        <f>'P&amp;L (Existing Locations)'!AF14+Prototype!F41</f>
        <v/>
      </c>
      <c r="AG13" s="259">
        <f>'P&amp;L (Existing Locations)'!AG14+Prototype!G41</f>
        <v/>
      </c>
      <c r="AH13" s="259">
        <f>'P&amp;L (Existing Locations)'!AH14+Prototype!H41</f>
        <v/>
      </c>
      <c r="AI13" s="259">
        <f>'P&amp;L (Existing Locations)'!AI14+Prototype!I41</f>
        <v/>
      </c>
      <c r="AJ13" s="259">
        <f>'P&amp;L (Existing Locations)'!AJ14+Prototype!J41</f>
        <v/>
      </c>
      <c r="AK13" s="259">
        <f>'P&amp;L (Existing Locations)'!AK14+Prototype!K41</f>
        <v/>
      </c>
      <c r="AL13" s="259">
        <f>'P&amp;L (Existing Locations)'!AL14+Prototype!L41</f>
        <v/>
      </c>
      <c r="AM13" s="259">
        <f>'P&amp;L (Existing Locations)'!AM14+Prototype!M41</f>
        <v/>
      </c>
      <c r="AN13" s="259">
        <f>'P&amp;L (Existing Locations)'!AN14+Prototype!N41</f>
        <v/>
      </c>
      <c r="AO13" s="259">
        <f>'P&amp;L (Existing Locations)'!AO14+Prototype!O41</f>
        <v/>
      </c>
      <c r="AP13" s="259">
        <f>'P&amp;L (Existing Locations)'!AP14+Prototype!P41</f>
        <v/>
      </c>
      <c r="AQ13" s="259">
        <f>'P&amp;L (Existing Locations)'!AQ14+Prototype!Q41</f>
        <v/>
      </c>
      <c r="AR13" s="259">
        <f>'P&amp;L (Existing Locations)'!AR14+Prototype!R41</f>
        <v/>
      </c>
      <c r="AS13" s="259">
        <f>'P&amp;L (Existing Locations)'!AS14+Prototype!S41</f>
        <v/>
      </c>
      <c r="AT13" s="259">
        <f>'P&amp;L (Existing Locations)'!AT14+Prototype!T41</f>
        <v/>
      </c>
      <c r="AU13" s="259">
        <f>'P&amp;L (Existing Locations)'!AU14+Prototype!U41</f>
        <v/>
      </c>
      <c r="AV13" s="259">
        <f>'P&amp;L (Existing Locations)'!AV14+Prototype!V41</f>
        <v/>
      </c>
      <c r="AW13" s="259">
        <f>'P&amp;L (Existing Locations)'!AW14+Prototype!W41</f>
        <v/>
      </c>
      <c r="AX13" s="259">
        <f>'P&amp;L (Existing Locations)'!AX14+Prototype!X41</f>
        <v/>
      </c>
      <c r="AY13" s="259">
        <f>'P&amp;L (Existing Locations)'!AY14+Prototype!Y41</f>
        <v/>
      </c>
    </row>
    <row r="14">
      <c r="A14" s="261" t="inlineStr">
        <is>
          <t>Admin and Finaince and Policy</t>
        </is>
      </c>
      <c r="B14" s="18" t="inlineStr">
        <is>
          <t>Administrative &amp; G&amp;A</t>
        </is>
      </c>
      <c r="P14" s="19">
        <f>'P&amp;L (Existing Locations)'!P16</f>
        <v/>
      </c>
      <c r="Q14" s="19">
        <f>'P&amp;L (Existing Locations)'!Q16</f>
        <v/>
      </c>
      <c r="R14" s="19">
        <f>'P&amp;L (Existing Locations)'!R16</f>
        <v/>
      </c>
      <c r="S14" s="19">
        <f>'P&amp;L (Existing Locations)'!S16</f>
        <v/>
      </c>
      <c r="T14" s="31">
        <f>'P&amp;L (Existing Locations)'!T16</f>
        <v/>
      </c>
      <c r="U14" s="31">
        <f>'P&amp;L (Existing Locations)'!U16</f>
        <v/>
      </c>
      <c r="V14" s="31">
        <f>'P&amp;L (Existing Locations)'!V16</f>
        <v/>
      </c>
      <c r="W14" s="31">
        <f>'P&amp;L (Existing Locations)'!W16</f>
        <v/>
      </c>
      <c r="X14" s="31">
        <f>'P&amp;L (Existing Locations)'!X16</f>
        <v/>
      </c>
      <c r="Y14" s="31">
        <f>'P&amp;L (Existing Locations)'!Y16</f>
        <v/>
      </c>
      <c r="Z14" s="31">
        <f>'P&amp;L (Existing Locations)'!Z16</f>
        <v/>
      </c>
      <c r="AA14" s="31">
        <f>'P&amp;L (Existing Locations)'!AA16</f>
        <v/>
      </c>
      <c r="AB14" s="259">
        <f>'P&amp;L (Existing Locations)'!AB16+Prototype!B42+Prototype!B46</f>
        <v/>
      </c>
      <c r="AC14" s="259">
        <f>'P&amp;L (Existing Locations)'!AC16+Prototype!C42+Prototype!C46</f>
        <v/>
      </c>
      <c r="AD14" s="259">
        <f>'P&amp;L (Existing Locations)'!AD16+Prototype!D42+Prototype!D46</f>
        <v/>
      </c>
      <c r="AE14" s="259">
        <f>'P&amp;L (Existing Locations)'!AE16+Prototype!E42+Prototype!E46</f>
        <v/>
      </c>
      <c r="AF14" s="259">
        <f>'P&amp;L (Existing Locations)'!AF16+Prototype!F42+Prototype!F46</f>
        <v/>
      </c>
      <c r="AG14" s="259">
        <f>'P&amp;L (Existing Locations)'!AG16+Prototype!G42+Prototype!G46</f>
        <v/>
      </c>
      <c r="AH14" s="259">
        <f>'P&amp;L (Existing Locations)'!AH16+Prototype!H42+Prototype!H46</f>
        <v/>
      </c>
      <c r="AI14" s="259">
        <f>'P&amp;L (Existing Locations)'!AI16+Prototype!I42+Prototype!I46</f>
        <v/>
      </c>
      <c r="AJ14" s="259">
        <f>'P&amp;L (Existing Locations)'!AJ16+Prototype!J42+Prototype!J46</f>
        <v/>
      </c>
      <c r="AK14" s="259">
        <f>'P&amp;L (Existing Locations)'!AK16+Prototype!K42+Prototype!K46</f>
        <v/>
      </c>
      <c r="AL14" s="259">
        <f>'P&amp;L (Existing Locations)'!AL16+Prototype!L42+Prototype!L46</f>
        <v/>
      </c>
      <c r="AM14" s="259">
        <f>'P&amp;L (Existing Locations)'!AM16+Prototype!M42+Prototype!M46</f>
        <v/>
      </c>
      <c r="AN14" s="259">
        <f>'P&amp;L (Existing Locations)'!AN16+Prototype!N42+Prototype!N46</f>
        <v/>
      </c>
      <c r="AO14" s="259">
        <f>'P&amp;L (Existing Locations)'!AO16+Prototype!O42+Prototype!O46</f>
        <v/>
      </c>
      <c r="AP14" s="259">
        <f>'P&amp;L (Existing Locations)'!AP16+Prototype!P42+Prototype!P46</f>
        <v/>
      </c>
      <c r="AQ14" s="259">
        <f>'P&amp;L (Existing Locations)'!AQ16+Prototype!Q42+Prototype!Q46</f>
        <v/>
      </c>
      <c r="AR14" s="259">
        <f>'P&amp;L (Existing Locations)'!AR16+Prototype!R42+Prototype!R46</f>
        <v/>
      </c>
      <c r="AS14" s="259">
        <f>'P&amp;L (Existing Locations)'!AS16+Prototype!S42+Prototype!S46</f>
        <v/>
      </c>
      <c r="AT14" s="259">
        <f>'P&amp;L (Existing Locations)'!AT16+Prototype!T42+Prototype!T46</f>
        <v/>
      </c>
      <c r="AU14" s="259">
        <f>'P&amp;L (Existing Locations)'!AU16+Prototype!U42+Prototype!U46</f>
        <v/>
      </c>
      <c r="AV14" s="259">
        <f>'P&amp;L (Existing Locations)'!AV16+Prototype!V42+Prototype!V46</f>
        <v/>
      </c>
      <c r="AW14" s="259">
        <f>'P&amp;L (Existing Locations)'!AW16+Prototype!W42+Prototype!W46</f>
        <v/>
      </c>
      <c r="AX14" s="259">
        <f>'P&amp;L (Existing Locations)'!AX16+Prototype!X42+Prototype!X46</f>
        <v/>
      </c>
      <c r="AY14" s="259">
        <f>'P&amp;L (Existing Locations)'!AY16+Prototype!Y42+Prototype!Y46</f>
        <v/>
      </c>
    </row>
    <row r="15">
      <c r="A15" s="261">
        <f>Prototype!A45</f>
        <v/>
      </c>
      <c r="B15" s="18" t="inlineStr">
        <is>
          <t>Professional Fees</t>
        </is>
      </c>
      <c r="P15" s="19">
        <f>'P&amp;L (Existing Locations)'!P17</f>
        <v/>
      </c>
      <c r="Q15" s="19">
        <f>'P&amp;L (Existing Locations)'!Q17</f>
        <v/>
      </c>
      <c r="R15" s="19">
        <f>'P&amp;L (Existing Locations)'!R17</f>
        <v/>
      </c>
      <c r="S15" s="19">
        <f>'P&amp;L (Existing Locations)'!S17</f>
        <v/>
      </c>
      <c r="T15" s="31">
        <f>'P&amp;L (Existing Locations)'!T17</f>
        <v/>
      </c>
      <c r="U15" s="31">
        <f>'P&amp;L (Existing Locations)'!U17</f>
        <v/>
      </c>
      <c r="V15" s="31">
        <f>'P&amp;L (Existing Locations)'!V17</f>
        <v/>
      </c>
      <c r="W15" s="31">
        <f>'P&amp;L (Existing Locations)'!W17</f>
        <v/>
      </c>
      <c r="X15" s="31">
        <f>'P&amp;L (Existing Locations)'!X17</f>
        <v/>
      </c>
      <c r="Y15" s="31">
        <f>'P&amp;L (Existing Locations)'!Y17</f>
        <v/>
      </c>
      <c r="Z15" s="31">
        <f>'P&amp;L (Existing Locations)'!Z17</f>
        <v/>
      </c>
      <c r="AA15" s="31">
        <f>'P&amp;L (Existing Locations)'!AA17</f>
        <v/>
      </c>
      <c r="AB15" s="259">
        <f>'P&amp;L (Existing Locations)'!AB17+Prototype!B45</f>
        <v/>
      </c>
      <c r="AC15" s="259">
        <f>'P&amp;L (Existing Locations)'!AC17+Prototype!C45</f>
        <v/>
      </c>
      <c r="AD15" s="259">
        <f>'P&amp;L (Existing Locations)'!AD17+Prototype!D45</f>
        <v/>
      </c>
      <c r="AE15" s="259">
        <f>'P&amp;L (Existing Locations)'!AE17+Prototype!E45</f>
        <v/>
      </c>
      <c r="AF15" s="259">
        <f>'P&amp;L (Existing Locations)'!AF17+Prototype!F45</f>
        <v/>
      </c>
      <c r="AG15" s="259">
        <f>'P&amp;L (Existing Locations)'!AG17+Prototype!G45</f>
        <v/>
      </c>
      <c r="AH15" s="259">
        <f>'P&amp;L (Existing Locations)'!AH17+Prototype!H45</f>
        <v/>
      </c>
      <c r="AI15" s="259">
        <f>'P&amp;L (Existing Locations)'!AI17+Prototype!I45</f>
        <v/>
      </c>
      <c r="AJ15" s="259">
        <f>'P&amp;L (Existing Locations)'!AJ17+Prototype!J45</f>
        <v/>
      </c>
      <c r="AK15" s="259">
        <f>'P&amp;L (Existing Locations)'!AK17+Prototype!K45</f>
        <v/>
      </c>
      <c r="AL15" s="259">
        <f>'P&amp;L (Existing Locations)'!AL17+Prototype!L45</f>
        <v/>
      </c>
      <c r="AM15" s="259">
        <f>'P&amp;L (Existing Locations)'!AM17+Prototype!M45</f>
        <v/>
      </c>
      <c r="AN15" s="259">
        <f>'P&amp;L (Existing Locations)'!AN17+Prototype!N45</f>
        <v/>
      </c>
      <c r="AO15" s="259">
        <f>'P&amp;L (Existing Locations)'!AO17+Prototype!O45</f>
        <v/>
      </c>
      <c r="AP15" s="259">
        <f>'P&amp;L (Existing Locations)'!AP17+Prototype!P45</f>
        <v/>
      </c>
      <c r="AQ15" s="259">
        <f>'P&amp;L (Existing Locations)'!AQ17+Prototype!Q45</f>
        <v/>
      </c>
      <c r="AR15" s="259">
        <f>'P&amp;L (Existing Locations)'!AR17+Prototype!R45</f>
        <v/>
      </c>
      <c r="AS15" s="259">
        <f>'P&amp;L (Existing Locations)'!AS17+Prototype!S45</f>
        <v/>
      </c>
      <c r="AT15" s="259">
        <f>'P&amp;L (Existing Locations)'!AT17+Prototype!T45</f>
        <v/>
      </c>
      <c r="AU15" s="259">
        <f>'P&amp;L (Existing Locations)'!AU17+Prototype!U45</f>
        <v/>
      </c>
      <c r="AV15" s="259">
        <f>'P&amp;L (Existing Locations)'!AV17+Prototype!V45</f>
        <v/>
      </c>
      <c r="AW15" s="259">
        <f>'P&amp;L (Existing Locations)'!AW17+Prototype!W45</f>
        <v/>
      </c>
      <c r="AX15" s="259">
        <f>'P&amp;L (Existing Locations)'!AX17+Prototype!X45</f>
        <v/>
      </c>
      <c r="AY15" s="259">
        <f>'P&amp;L (Existing Locations)'!AY17+Prototype!Y45</f>
        <v/>
      </c>
    </row>
    <row r="16">
      <c r="A16" s="261">
        <f>Prototype!A43</f>
        <v/>
      </c>
      <c r="B16" s="18" t="inlineStr">
        <is>
          <t>Travel &amp; Meals</t>
        </is>
      </c>
      <c r="P16" s="19">
        <f>'BK P&amp;L'!P51+'CC P&amp;L'!P50+'DN P&amp;L'!P50+'LF P&amp;L'!P51+'MR P&amp;L'!P50+'OP P&amp;L'!P50+'PH P&amp;L'!P51+'RH P&amp;L'!P50+'SB P&amp;L'!P50+'SM P&amp;L'!P51+'WP P&amp;L'!P50+'WW P&amp;L'!P51+'HO P&amp;L'!P30</f>
        <v/>
      </c>
      <c r="Q16" s="19">
        <f>'BK P&amp;L'!Q51+'CC P&amp;L'!Q50+'DN P&amp;L'!Q50+'LF P&amp;L'!Q51+'MR P&amp;L'!Q50+'OP P&amp;L'!Q50+'PH P&amp;L'!Q51+'RH P&amp;L'!Q50+'SB P&amp;L'!Q50+'SM P&amp;L'!Q51+'WP P&amp;L'!Q50+'WW P&amp;L'!Q51+'HO P&amp;L'!Q30</f>
        <v/>
      </c>
      <c r="R16" s="19">
        <f>'BK P&amp;L'!R51+'CC P&amp;L'!R50+'DN P&amp;L'!R50+'LF P&amp;L'!R51+'MR P&amp;L'!R50+'OP P&amp;L'!R50+'PH P&amp;L'!R51+'RH P&amp;L'!R50+'SB P&amp;L'!R50+'SM P&amp;L'!R51+'WP P&amp;L'!R50+'WW P&amp;L'!R51+'HO P&amp;L'!R30</f>
        <v/>
      </c>
      <c r="S16" s="19">
        <f>'BK P&amp;L'!S51+'CC P&amp;L'!S50+'DN P&amp;L'!S50+'LF P&amp;L'!S51+'MR P&amp;L'!S50+'OP P&amp;L'!S50+'PH P&amp;L'!S51+'RH P&amp;L'!S50+'SB P&amp;L'!S50+'SM P&amp;L'!S51+'WP P&amp;L'!S50+'WW P&amp;L'!S51+'HO P&amp;L'!S30</f>
        <v/>
      </c>
      <c r="T16" s="31">
        <f>'BK P&amp;L'!T51+'CC P&amp;L'!T50+'DN P&amp;L'!T50+'LF P&amp;L'!T51+'MR P&amp;L'!T50+'OP P&amp;L'!T50+'PH P&amp;L'!T51+'RH P&amp;L'!T50+'SB P&amp;L'!T50+'SM P&amp;L'!T51+'WP P&amp;L'!T50+'WW P&amp;L'!T51+'HO P&amp;L'!T30</f>
        <v/>
      </c>
      <c r="U16" s="31">
        <f>'BK P&amp;L'!U51+'CC P&amp;L'!U50+'DN P&amp;L'!U50+'LF P&amp;L'!U51+'MR P&amp;L'!U50+'OP P&amp;L'!U50+'PH P&amp;L'!U51+'RH P&amp;L'!U50+'SB P&amp;L'!U50+'SM P&amp;L'!U51+'WP P&amp;L'!U50+'WW P&amp;L'!U51+'HO P&amp;L'!U30</f>
        <v/>
      </c>
      <c r="V16" s="31">
        <f>'BK P&amp;L'!V51+'CC P&amp;L'!V50+'DN P&amp;L'!V50+'LF P&amp;L'!V51+'MR P&amp;L'!V50+'OP P&amp;L'!V50+'PH P&amp;L'!V51+'RH P&amp;L'!V50+'SB P&amp;L'!V50+'SM P&amp;L'!V51+'WP P&amp;L'!V50+'WW P&amp;L'!V51+'HO P&amp;L'!V30</f>
        <v/>
      </c>
      <c r="W16" s="31">
        <f>'BK P&amp;L'!W51+'CC P&amp;L'!W50+'DN P&amp;L'!W50+'LF P&amp;L'!W51+'MR P&amp;L'!W50+'OP P&amp;L'!W50+'PH P&amp;L'!W51+'RH P&amp;L'!W50+'SB P&amp;L'!W50+'SM P&amp;L'!W51+'WP P&amp;L'!W50+'WW P&amp;L'!W51+'HO P&amp;L'!W30</f>
        <v/>
      </c>
      <c r="X16" s="31">
        <f>'BK P&amp;L'!X51+'CC P&amp;L'!X50+'DN P&amp;L'!X50+'LF P&amp;L'!X51+'MR P&amp;L'!X50+'OP P&amp;L'!X50+'PH P&amp;L'!X51+'RH P&amp;L'!X50+'SB P&amp;L'!X50+'SM P&amp;L'!X51+'WP P&amp;L'!X50+'WW P&amp;L'!X51+'HO P&amp;L'!X30</f>
        <v/>
      </c>
      <c r="Y16" s="31">
        <f>'BK P&amp;L'!Y51+'CC P&amp;L'!Y50+'DN P&amp;L'!Y50+'LF P&amp;L'!Y51+'MR P&amp;L'!Y50+'OP P&amp;L'!Y50+'PH P&amp;L'!Y51+'RH P&amp;L'!Y50+'SB P&amp;L'!Y50+'SM P&amp;L'!Y51+'WP P&amp;L'!Y50+'WW P&amp;L'!Y51+'HO P&amp;L'!Y30</f>
        <v/>
      </c>
      <c r="Z16" s="31">
        <f>'BK P&amp;L'!Z51+'CC P&amp;L'!Z50+'DN P&amp;L'!Z50+'LF P&amp;L'!Z51+'MR P&amp;L'!Z50+'OP P&amp;L'!Z50+'PH P&amp;L'!Z51+'RH P&amp;L'!Z50+'SB P&amp;L'!Z50+'SM P&amp;L'!Z51+'WP P&amp;L'!Z50+'WW P&amp;L'!Z51+'HO P&amp;L'!Z30</f>
        <v/>
      </c>
      <c r="AA16" s="31">
        <f>'BK P&amp;L'!AA51+'CC P&amp;L'!AA50+'DN P&amp;L'!AA50+'LF P&amp;L'!AA51+'MR P&amp;L'!AA50+'OP P&amp;L'!AA50+'PH P&amp;L'!AA51+'RH P&amp;L'!AA50+'SB P&amp;L'!AA50+'SM P&amp;L'!AA51+'WP P&amp;L'!AA50+'WW P&amp;L'!AA51+'HO P&amp;L'!AA30</f>
        <v/>
      </c>
      <c r="AB16" s="259">
        <f>'BK P&amp;L'!AB51+'CC P&amp;L'!AB50+'DN P&amp;L'!AB50+'LF P&amp;L'!AB51+'MR P&amp;L'!AB50+'OP P&amp;L'!AB50+'PH P&amp;L'!AB51+'RH P&amp;L'!AB50+'SB P&amp;L'!AB50+'SM P&amp;L'!AB51+'WP P&amp;L'!AB50+'WW P&amp;L'!AB51+'HO P&amp;L'!AB30+Prototype!B43</f>
        <v/>
      </c>
      <c r="AC16" s="259">
        <f>'BK P&amp;L'!AC51+'CC P&amp;L'!AC50+'DN P&amp;L'!AC50+'LF P&amp;L'!AC51+'MR P&amp;L'!AC50+'OP P&amp;L'!AC50+'PH P&amp;L'!AC51+'RH P&amp;L'!AC50+'SB P&amp;L'!AC50+'SM P&amp;L'!AC51+'WP P&amp;L'!AC50+'WW P&amp;L'!AC51+'HO P&amp;L'!AC30+Prototype!C43</f>
        <v/>
      </c>
      <c r="AD16" s="259">
        <f>'BK P&amp;L'!AD51+'CC P&amp;L'!AD50+'DN P&amp;L'!AD50+'LF P&amp;L'!AD51+'MR P&amp;L'!AD50+'OP P&amp;L'!AD50+'PH P&amp;L'!AD51+'RH P&amp;L'!AD50+'SB P&amp;L'!AD50+'SM P&amp;L'!AD51+'WP P&amp;L'!AD50+'WW P&amp;L'!AD51+'HO P&amp;L'!AD30+Prototype!D43</f>
        <v/>
      </c>
      <c r="AE16" s="259">
        <f>'BK P&amp;L'!AE51+'CC P&amp;L'!AE50+'DN P&amp;L'!AE50+'LF P&amp;L'!AE51+'MR P&amp;L'!AE50+'OP P&amp;L'!AE50+'PH P&amp;L'!AE51+'RH P&amp;L'!AE50+'SB P&amp;L'!AE50+'SM P&amp;L'!AE51+'WP P&amp;L'!AE50+'WW P&amp;L'!AE51+'HO P&amp;L'!AE30+Prototype!E43</f>
        <v/>
      </c>
      <c r="AF16" s="259">
        <f>'BK P&amp;L'!AF51+'CC P&amp;L'!AF50+'DN P&amp;L'!AF50+'LF P&amp;L'!AF51+'MR P&amp;L'!AF50+'OP P&amp;L'!AF50+'PH P&amp;L'!AF51+'RH P&amp;L'!AF50+'SB P&amp;L'!AF50+'SM P&amp;L'!AF51+'WP P&amp;L'!AF50+'WW P&amp;L'!AF51+'HO P&amp;L'!AF30+Prototype!F43</f>
        <v/>
      </c>
      <c r="AG16" s="259">
        <f>'BK P&amp;L'!AG51+'CC P&amp;L'!AG50+'DN P&amp;L'!AG50+'LF P&amp;L'!AG51+'MR P&amp;L'!AG50+'OP P&amp;L'!AG50+'PH P&amp;L'!AG51+'RH P&amp;L'!AG50+'SB P&amp;L'!AG50+'SM P&amp;L'!AG51+'WP P&amp;L'!AG50+'WW P&amp;L'!AG51+'HO P&amp;L'!AG30+Prototype!G43</f>
        <v/>
      </c>
      <c r="AH16" s="259">
        <f>'BK P&amp;L'!AH51+'CC P&amp;L'!AH50+'DN P&amp;L'!AH50+'LF P&amp;L'!AH51+'MR P&amp;L'!AH50+'OP P&amp;L'!AH50+'PH P&amp;L'!AH51+'RH P&amp;L'!AH50+'SB P&amp;L'!AH50+'SM P&amp;L'!AH51+'WP P&amp;L'!AH50+'WW P&amp;L'!AH51+'HO P&amp;L'!AH30+Prototype!H43</f>
        <v/>
      </c>
      <c r="AI16" s="259">
        <f>'BK P&amp;L'!AI51+'CC P&amp;L'!AI50+'DN P&amp;L'!AI50+'LF P&amp;L'!AI51+'MR P&amp;L'!AI50+'OP P&amp;L'!AI50+'PH P&amp;L'!AI51+'RH P&amp;L'!AI50+'SB P&amp;L'!AI50+'SM P&amp;L'!AI51+'WP P&amp;L'!AI50+'WW P&amp;L'!AI51+'HO P&amp;L'!AI30+Prototype!I43</f>
        <v/>
      </c>
      <c r="AJ16" s="259">
        <f>'BK P&amp;L'!AJ51+'CC P&amp;L'!AJ50+'DN P&amp;L'!AJ50+'LF P&amp;L'!AJ51+'MR P&amp;L'!AJ50+'OP P&amp;L'!AJ50+'PH P&amp;L'!AJ51+'RH P&amp;L'!AJ50+'SB P&amp;L'!AJ50+'SM P&amp;L'!AJ51+'WP P&amp;L'!AJ50+'WW P&amp;L'!AJ51+'HO P&amp;L'!AJ30+Prototype!J43</f>
        <v/>
      </c>
      <c r="AK16" s="259">
        <f>'BK P&amp;L'!AK51+'CC P&amp;L'!AK50+'DN P&amp;L'!AK50+'LF P&amp;L'!AK51+'MR P&amp;L'!AK50+'OP P&amp;L'!AK50+'PH P&amp;L'!AK51+'RH P&amp;L'!AK50+'SB P&amp;L'!AK50+'SM P&amp;L'!AK51+'WP P&amp;L'!AK50+'WW P&amp;L'!AK51+'HO P&amp;L'!AK30+Prototype!K43</f>
        <v/>
      </c>
      <c r="AL16" s="259">
        <f>'BK P&amp;L'!AL51+'CC P&amp;L'!AL50+'DN P&amp;L'!AL50+'LF P&amp;L'!AL51+'MR P&amp;L'!AL50+'OP P&amp;L'!AL50+'PH P&amp;L'!AL51+'RH P&amp;L'!AL50+'SB P&amp;L'!AL50+'SM P&amp;L'!AL51+'WP P&amp;L'!AL50+'WW P&amp;L'!AL51+'HO P&amp;L'!AL30+Prototype!L43</f>
        <v/>
      </c>
      <c r="AM16" s="259">
        <f>'BK P&amp;L'!AM51+'CC P&amp;L'!AM50+'DN P&amp;L'!AM50+'LF P&amp;L'!AM51+'MR P&amp;L'!AM50+'OP P&amp;L'!AM50+'PH P&amp;L'!AM51+'RH P&amp;L'!AM50+'SB P&amp;L'!AM50+'SM P&amp;L'!AM51+'WP P&amp;L'!AM50+'WW P&amp;L'!AM51+'HO P&amp;L'!AM30+Prototype!M43</f>
        <v/>
      </c>
      <c r="AN16" s="259">
        <f>'BK P&amp;L'!AN51+'CC P&amp;L'!AN50+'DN P&amp;L'!AN50+'LF P&amp;L'!AN51+'MR P&amp;L'!AN50+'OP P&amp;L'!AN50+'PH P&amp;L'!AN51+'RH P&amp;L'!AN50+'SB P&amp;L'!AN50+'SM P&amp;L'!AN51+'WP P&amp;L'!AN50+'WW P&amp;L'!AN51+'HO P&amp;L'!AN30+Prototype!N43</f>
        <v/>
      </c>
      <c r="AO16" s="259">
        <f>'BK P&amp;L'!AO51+'CC P&amp;L'!AO50+'DN P&amp;L'!AO50+'LF P&amp;L'!AO51+'MR P&amp;L'!AO50+'OP P&amp;L'!AO50+'PH P&amp;L'!AO51+'RH P&amp;L'!AO50+'SB P&amp;L'!AO50+'SM P&amp;L'!AO51+'WP P&amp;L'!AO50+'WW P&amp;L'!AO51+'HO P&amp;L'!AO30+Prototype!O43</f>
        <v/>
      </c>
      <c r="AP16" s="259">
        <f>'BK P&amp;L'!AP51+'CC P&amp;L'!AP50+'DN P&amp;L'!AP50+'LF P&amp;L'!AP51+'MR P&amp;L'!AP50+'OP P&amp;L'!AP50+'PH P&amp;L'!AP51+'RH P&amp;L'!AP50+'SB P&amp;L'!AP50+'SM P&amp;L'!AP51+'WP P&amp;L'!AP50+'WW P&amp;L'!AP51+'HO P&amp;L'!AP30+Prototype!P43</f>
        <v/>
      </c>
      <c r="AQ16" s="259">
        <f>'BK P&amp;L'!AQ51+'CC P&amp;L'!AQ50+'DN P&amp;L'!AQ50+'LF P&amp;L'!AQ51+'MR P&amp;L'!AQ50+'OP P&amp;L'!AQ50+'PH P&amp;L'!AQ51+'RH P&amp;L'!AQ50+'SB P&amp;L'!AQ50+'SM P&amp;L'!AQ51+'WP P&amp;L'!AQ50+'WW P&amp;L'!AQ51+'HO P&amp;L'!AQ30+Prototype!Q43</f>
        <v/>
      </c>
      <c r="AR16" s="259">
        <f>'BK P&amp;L'!AR51+'CC P&amp;L'!AR50+'DN P&amp;L'!AR50+'LF P&amp;L'!AR51+'MR P&amp;L'!AR50+'OP P&amp;L'!AR50+'PH P&amp;L'!AR51+'RH P&amp;L'!AR50+'SB P&amp;L'!AR50+'SM P&amp;L'!AR51+'WP P&amp;L'!AR50+'WW P&amp;L'!AR51+'HO P&amp;L'!AR30+Prototype!R43</f>
        <v/>
      </c>
      <c r="AS16" s="259">
        <f>'BK P&amp;L'!AS51+'CC P&amp;L'!AS50+'DN P&amp;L'!AS50+'LF P&amp;L'!AS51+'MR P&amp;L'!AS50+'OP P&amp;L'!AS50+'PH P&amp;L'!AS51+'RH P&amp;L'!AS50+'SB P&amp;L'!AS50+'SM P&amp;L'!AS51+'WP P&amp;L'!AS50+'WW P&amp;L'!AS51+'HO P&amp;L'!AS30+Prototype!S43</f>
        <v/>
      </c>
      <c r="AT16" s="259">
        <f>'BK P&amp;L'!AT51+'CC P&amp;L'!AT50+'DN P&amp;L'!AT50+'LF P&amp;L'!AT51+'MR P&amp;L'!AT50+'OP P&amp;L'!AT50+'PH P&amp;L'!AT51+'RH P&amp;L'!AT50+'SB P&amp;L'!AT50+'SM P&amp;L'!AT51+'WP P&amp;L'!AT50+'WW P&amp;L'!AT51+'HO P&amp;L'!AT30+Prototype!T43</f>
        <v/>
      </c>
      <c r="AU16" s="259">
        <f>'BK P&amp;L'!AU51+'CC P&amp;L'!AU50+'DN P&amp;L'!AU50+'LF P&amp;L'!AU51+'MR P&amp;L'!AU50+'OP P&amp;L'!AU50+'PH P&amp;L'!AU51+'RH P&amp;L'!AU50+'SB P&amp;L'!AU50+'SM P&amp;L'!AU51+'WP P&amp;L'!AU50+'WW P&amp;L'!AU51+'HO P&amp;L'!AU30+Prototype!U43</f>
        <v/>
      </c>
      <c r="AV16" s="259">
        <f>'BK P&amp;L'!AV51+'CC P&amp;L'!AV50+'DN P&amp;L'!AV50+'LF P&amp;L'!AV51+'MR P&amp;L'!AV50+'OP P&amp;L'!AV50+'PH P&amp;L'!AV51+'RH P&amp;L'!AV50+'SB P&amp;L'!AV50+'SM P&amp;L'!AV51+'WP P&amp;L'!AV50+'WW P&amp;L'!AV51+'HO P&amp;L'!AV30+Prototype!V43</f>
        <v/>
      </c>
      <c r="AW16" s="259">
        <f>'BK P&amp;L'!AW51+'CC P&amp;L'!AW50+'DN P&amp;L'!AW50+'LF P&amp;L'!AW51+'MR P&amp;L'!AW50+'OP P&amp;L'!AW50+'PH P&amp;L'!AW51+'RH P&amp;L'!AW50+'SB P&amp;L'!AW50+'SM P&amp;L'!AW51+'WP P&amp;L'!AW50+'WW P&amp;L'!AW51+'HO P&amp;L'!AW30+Prototype!W43</f>
        <v/>
      </c>
      <c r="AX16" s="259">
        <f>'BK P&amp;L'!AX51+'CC P&amp;L'!AX50+'DN P&amp;L'!AX50+'LF P&amp;L'!AX51+'MR P&amp;L'!AX50+'OP P&amp;L'!AX50+'PH P&amp;L'!AX51+'RH P&amp;L'!AX50+'SB P&amp;L'!AX50+'SM P&amp;L'!AX51+'WP P&amp;L'!AX50+'WW P&amp;L'!AX51+'HO P&amp;L'!AX30+Prototype!X43</f>
        <v/>
      </c>
      <c r="AY16" s="259">
        <f>'BK P&amp;L'!AY51+'CC P&amp;L'!AY50+'DN P&amp;L'!AY50+'LF P&amp;L'!AY51+'MR P&amp;L'!AY50+'OP P&amp;L'!AY50+'PH P&amp;L'!AY51+'RH P&amp;L'!AY50+'SB P&amp;L'!AY50+'SM P&amp;L'!AY51+'WP P&amp;L'!AY50+'WW P&amp;L'!AY51+'HO P&amp;L'!AY30+Prototype!Y43</f>
        <v/>
      </c>
    </row>
    <row r="17">
      <c r="B17" s="18" t="inlineStr">
        <is>
          <t>Merchant Fees &amp; COGS</t>
        </is>
      </c>
      <c r="P17" s="19">
        <f>'P&amp;L (Existing Locations)'!P12</f>
        <v/>
      </c>
      <c r="Q17" s="19">
        <f>'P&amp;L (Existing Locations)'!Q12</f>
        <v/>
      </c>
      <c r="R17" s="19">
        <f>'P&amp;L (Existing Locations)'!R12</f>
        <v/>
      </c>
      <c r="S17" s="19">
        <f>'P&amp;L (Existing Locations)'!S12</f>
        <v/>
      </c>
      <c r="T17" s="20">
        <f>'P&amp;L (Existing Locations)'!T12</f>
        <v/>
      </c>
      <c r="U17" s="20">
        <f>'P&amp;L (Existing Locations)'!U12</f>
        <v/>
      </c>
      <c r="V17" s="20">
        <f>'P&amp;L (Existing Locations)'!V12</f>
        <v/>
      </c>
      <c r="W17" s="20">
        <f>'P&amp;L (Existing Locations)'!W12</f>
        <v/>
      </c>
      <c r="X17" s="20">
        <f>'P&amp;L (Existing Locations)'!X12</f>
        <v/>
      </c>
      <c r="Y17" s="20">
        <f>'P&amp;L (Existing Locations)'!Y12</f>
        <v/>
      </c>
      <c r="Z17" s="20">
        <f>'P&amp;L (Existing Locations)'!Z12</f>
        <v/>
      </c>
      <c r="AA17" s="20">
        <f>'P&amp;L (Existing Locations)'!AA12</f>
        <v/>
      </c>
      <c r="AB17" s="20">
        <f>'P&amp;L (Existing Locations)'!AB12</f>
        <v/>
      </c>
      <c r="AC17" s="20">
        <f>'P&amp;L (Existing Locations)'!AC12</f>
        <v/>
      </c>
      <c r="AD17" s="20">
        <f>'P&amp;L (Existing Locations)'!AD12</f>
        <v/>
      </c>
      <c r="AE17" s="20">
        <f>'P&amp;L (Existing Locations)'!AE12</f>
        <v/>
      </c>
      <c r="AF17" s="20">
        <f>'P&amp;L (Existing Locations)'!AF12</f>
        <v/>
      </c>
      <c r="AG17" s="20">
        <f>'P&amp;L (Existing Locations)'!AG12</f>
        <v/>
      </c>
      <c r="AH17" s="20">
        <f>'P&amp;L (Existing Locations)'!AH12</f>
        <v/>
      </c>
      <c r="AI17" s="20">
        <f>'P&amp;L (Existing Locations)'!AI12</f>
        <v/>
      </c>
      <c r="AJ17" s="20">
        <f>'P&amp;L (Existing Locations)'!AJ12</f>
        <v/>
      </c>
      <c r="AK17" s="20">
        <f>'P&amp;L (Existing Locations)'!AK12</f>
        <v/>
      </c>
      <c r="AL17" s="20">
        <f>'P&amp;L (Existing Locations)'!AL12</f>
        <v/>
      </c>
      <c r="AM17" s="20">
        <f>'P&amp;L (Existing Locations)'!AM12</f>
        <v/>
      </c>
      <c r="AN17" s="20">
        <f>'P&amp;L (Existing Locations)'!AN12</f>
        <v/>
      </c>
      <c r="AO17" s="20">
        <f>'P&amp;L (Existing Locations)'!AO12</f>
        <v/>
      </c>
      <c r="AP17" s="20">
        <f>'P&amp;L (Existing Locations)'!AP12</f>
        <v/>
      </c>
      <c r="AQ17" s="20">
        <f>'P&amp;L (Existing Locations)'!AQ12</f>
        <v/>
      </c>
      <c r="AR17" s="20">
        <f>'P&amp;L (Existing Locations)'!AR12</f>
        <v/>
      </c>
      <c r="AS17" s="20">
        <f>'P&amp;L (Existing Locations)'!AS12</f>
        <v/>
      </c>
      <c r="AT17" s="20">
        <f>'P&amp;L (Existing Locations)'!AT12</f>
        <v/>
      </c>
      <c r="AU17" s="20">
        <f>'P&amp;L (Existing Locations)'!AU12</f>
        <v/>
      </c>
      <c r="AV17" s="20">
        <f>'P&amp;L (Existing Locations)'!AV12</f>
        <v/>
      </c>
      <c r="AW17" s="20">
        <f>'P&amp;L (Existing Locations)'!AW12</f>
        <v/>
      </c>
      <c r="AX17" s="20">
        <f>'P&amp;L (Existing Locations)'!AX12</f>
        <v/>
      </c>
      <c r="AY17" s="20">
        <f>'P&amp;L (Existing Locations)'!AY12</f>
        <v/>
      </c>
    </row>
    <row r="18">
      <c r="B18" s="18" t="inlineStr">
        <is>
          <t>Studio Start Up Costs</t>
        </is>
      </c>
      <c r="P18" s="19" t="n">
        <v>0</v>
      </c>
      <c r="Q18" s="19" t="n">
        <v>0</v>
      </c>
      <c r="R18" s="19" t="n">
        <v>0</v>
      </c>
      <c r="S18" s="19" t="n">
        <v>0</v>
      </c>
      <c r="T18" s="31" t="n">
        <v>0</v>
      </c>
      <c r="U18" s="31" t="n">
        <v>0</v>
      </c>
      <c r="V18" s="31" t="n">
        <v>0</v>
      </c>
      <c r="W18" s="31" t="n">
        <v>0</v>
      </c>
      <c r="X18" s="31" t="n">
        <v>0</v>
      </c>
      <c r="Y18" s="31" t="n">
        <v>0</v>
      </c>
      <c r="Z18" s="31" t="n">
        <v>0</v>
      </c>
      <c r="AA18" s="31" t="n">
        <v>0</v>
      </c>
      <c r="AB18" s="31" t="n">
        <v>0</v>
      </c>
      <c r="AC18" s="31" t="n">
        <v>0</v>
      </c>
      <c r="AD18" s="31" t="n">
        <v>0</v>
      </c>
      <c r="AE18" s="31" t="n">
        <v>0</v>
      </c>
      <c r="AF18" s="31" t="n">
        <v>0</v>
      </c>
      <c r="AG18" s="31" t="n">
        <v>0</v>
      </c>
      <c r="AH18" s="31" t="n">
        <v>0</v>
      </c>
      <c r="AI18" s="31" t="n">
        <v>0</v>
      </c>
      <c r="AJ18" s="31" t="n">
        <v>0</v>
      </c>
      <c r="AK18" s="31" t="n">
        <v>0</v>
      </c>
      <c r="AL18" s="31" t="n">
        <v>0</v>
      </c>
      <c r="AM18" s="31" t="n">
        <v>0</v>
      </c>
      <c r="AN18" s="31" t="n">
        <v>0</v>
      </c>
      <c r="AO18" s="31" t="n">
        <v>0</v>
      </c>
      <c r="AP18" s="31" t="n">
        <v>0</v>
      </c>
      <c r="AQ18" s="31" t="n">
        <v>0</v>
      </c>
      <c r="AR18" s="31" t="n">
        <v>0</v>
      </c>
      <c r="AS18" s="31" t="n">
        <v>0</v>
      </c>
      <c r="AT18" s="31" t="n">
        <v>0</v>
      </c>
      <c r="AU18" s="31" t="n">
        <v>0</v>
      </c>
      <c r="AV18" s="31" t="n">
        <v>0</v>
      </c>
      <c r="AW18" s="31" t="n">
        <v>0</v>
      </c>
      <c r="AX18" s="31" t="n">
        <v>0</v>
      </c>
      <c r="AY18" s="31" t="n">
        <v>0</v>
      </c>
    </row>
    <row r="19">
      <c r="B19" s="18" t="inlineStr">
        <is>
          <t>Taxes</t>
        </is>
      </c>
      <c r="P19" s="19">
        <f>'P&amp;L (Existing Locations)'!P25+'P&amp;L (Existing Locations)'!P26</f>
        <v/>
      </c>
      <c r="Q19" s="19">
        <f>'P&amp;L (Existing Locations)'!Q25+'P&amp;L (Existing Locations)'!Q26</f>
        <v/>
      </c>
      <c r="R19" s="19">
        <f>'P&amp;L (Existing Locations)'!R25+'P&amp;L (Existing Locations)'!R26</f>
        <v/>
      </c>
      <c r="S19" s="19">
        <f>'P&amp;L (Existing Locations)'!S25+'P&amp;L (Existing Locations)'!S26</f>
        <v/>
      </c>
      <c r="T19" s="31">
        <f>'P&amp;L (Existing Locations)'!T25+'P&amp;L (Existing Locations)'!T26</f>
        <v/>
      </c>
      <c r="U19" s="31">
        <f>'P&amp;L (Existing Locations)'!U25+'P&amp;L (Existing Locations)'!U26</f>
        <v/>
      </c>
      <c r="V19" s="31">
        <f>'P&amp;L (Existing Locations)'!V25+'P&amp;L (Existing Locations)'!V26</f>
        <v/>
      </c>
      <c r="W19" s="31">
        <f>'P&amp;L (Existing Locations)'!W25+'P&amp;L (Existing Locations)'!W26</f>
        <v/>
      </c>
      <c r="X19" s="31">
        <f>'P&amp;L (Existing Locations)'!X25+'P&amp;L (Existing Locations)'!X26</f>
        <v/>
      </c>
      <c r="Y19" s="31">
        <f>'P&amp;L (Existing Locations)'!Y25+'P&amp;L (Existing Locations)'!Y26</f>
        <v/>
      </c>
      <c r="Z19" s="31">
        <f>'P&amp;L (Existing Locations)'!Z25+'P&amp;L (Existing Locations)'!Z26</f>
        <v/>
      </c>
      <c r="AA19" s="31">
        <f>'P&amp;L (Existing Locations)'!AA25+'P&amp;L (Existing Locations)'!AA26</f>
        <v/>
      </c>
      <c r="AB19" s="31">
        <f>'P&amp;L (Existing Locations)'!AB25+'P&amp;L (Existing Locations)'!AB26</f>
        <v/>
      </c>
      <c r="AC19" s="31">
        <f>'P&amp;L (Existing Locations)'!AC25+'P&amp;L (Existing Locations)'!AC26</f>
        <v/>
      </c>
      <c r="AD19" s="31">
        <f>'P&amp;L (Existing Locations)'!AD25+'P&amp;L (Existing Locations)'!AD26</f>
        <v/>
      </c>
      <c r="AE19" s="31">
        <f>'P&amp;L (Existing Locations)'!AE25+'P&amp;L (Existing Locations)'!AE26</f>
        <v/>
      </c>
      <c r="AF19" s="31">
        <f>'P&amp;L (Existing Locations)'!AF25+'P&amp;L (Existing Locations)'!AF26</f>
        <v/>
      </c>
      <c r="AG19" s="31">
        <f>'P&amp;L (Existing Locations)'!AG25+'P&amp;L (Existing Locations)'!AG26</f>
        <v/>
      </c>
      <c r="AH19" s="31">
        <f>'P&amp;L (Existing Locations)'!AH25+'P&amp;L (Existing Locations)'!AH26</f>
        <v/>
      </c>
      <c r="AI19" s="31">
        <f>'P&amp;L (Existing Locations)'!AI25+'P&amp;L (Existing Locations)'!AI26</f>
        <v/>
      </c>
      <c r="AJ19" s="31">
        <f>'P&amp;L (Existing Locations)'!AJ25+'P&amp;L (Existing Locations)'!AJ26</f>
        <v/>
      </c>
      <c r="AK19" s="31">
        <f>'P&amp;L (Existing Locations)'!AK25+'P&amp;L (Existing Locations)'!AK26</f>
        <v/>
      </c>
      <c r="AL19" s="31">
        <f>'P&amp;L (Existing Locations)'!AL25+'P&amp;L (Existing Locations)'!AL26</f>
        <v/>
      </c>
      <c r="AM19" s="31">
        <f>'P&amp;L (Existing Locations)'!AM25+'P&amp;L (Existing Locations)'!AM26</f>
        <v/>
      </c>
      <c r="AN19" s="31">
        <f>'P&amp;L (Existing Locations)'!AN25+'P&amp;L (Existing Locations)'!AN26</f>
        <v/>
      </c>
      <c r="AO19" s="31">
        <f>'P&amp;L (Existing Locations)'!AO25+'P&amp;L (Existing Locations)'!AO26</f>
        <v/>
      </c>
      <c r="AP19" s="31">
        <f>'P&amp;L (Existing Locations)'!AP25+'P&amp;L (Existing Locations)'!AP26</f>
        <v/>
      </c>
      <c r="AQ19" s="31">
        <f>'P&amp;L (Existing Locations)'!AQ25+'P&amp;L (Existing Locations)'!AQ26</f>
        <v/>
      </c>
      <c r="AR19" s="31">
        <f>'P&amp;L (Existing Locations)'!AR25+'P&amp;L (Existing Locations)'!AR26</f>
        <v/>
      </c>
      <c r="AS19" s="31">
        <f>'P&amp;L (Existing Locations)'!AS25+'P&amp;L (Existing Locations)'!AS26</f>
        <v/>
      </c>
      <c r="AT19" s="31">
        <f>'P&amp;L (Existing Locations)'!AT25+'P&amp;L (Existing Locations)'!AT26</f>
        <v/>
      </c>
      <c r="AU19" s="31">
        <f>'P&amp;L (Existing Locations)'!AU25+'P&amp;L (Existing Locations)'!AU26</f>
        <v/>
      </c>
      <c r="AV19" s="31">
        <f>'P&amp;L (Existing Locations)'!AV25+'P&amp;L (Existing Locations)'!AV26</f>
        <v/>
      </c>
      <c r="AW19" s="31">
        <f>'P&amp;L (Existing Locations)'!AW25+'P&amp;L (Existing Locations)'!AW26</f>
        <v/>
      </c>
      <c r="AX19" s="31">
        <f>'P&amp;L (Existing Locations)'!AX25+'P&amp;L (Existing Locations)'!AX26</f>
        <v/>
      </c>
      <c r="AY19" s="31">
        <f>'P&amp;L (Existing Locations)'!AY25+'P&amp;L (Existing Locations)'!AY26</f>
        <v/>
      </c>
    </row>
    <row r="20">
      <c r="B20" s="116" t="inlineStr">
        <is>
          <t>PF Interest Expense</t>
        </is>
      </c>
      <c r="P20" s="114" t="n"/>
      <c r="Q20" s="114" t="n"/>
      <c r="R20" s="114" t="n"/>
      <c r="S20" s="114" t="n"/>
      <c r="T20" s="115" t="n"/>
      <c r="U20" s="115" t="n"/>
      <c r="V20" s="122" t="n"/>
      <c r="W20" s="122">
        <f>W49</f>
        <v/>
      </c>
      <c r="X20" s="122">
        <f>X49</f>
        <v/>
      </c>
      <c r="Y20" s="122">
        <f>Y49</f>
        <v/>
      </c>
      <c r="Z20" s="122">
        <f>Z49</f>
        <v/>
      </c>
      <c r="AA20" s="122">
        <f>AA49</f>
        <v/>
      </c>
      <c r="AB20" s="122">
        <f>AB49</f>
        <v/>
      </c>
      <c r="AC20" s="122">
        <f>AC49</f>
        <v/>
      </c>
      <c r="AD20" s="122">
        <f>AD49</f>
        <v/>
      </c>
      <c r="AE20" s="122">
        <f>AE49</f>
        <v/>
      </c>
      <c r="AF20" s="122">
        <f>AF49</f>
        <v/>
      </c>
      <c r="AG20" s="122">
        <f>AG49</f>
        <v/>
      </c>
      <c r="AH20" s="122">
        <f>AH49</f>
        <v/>
      </c>
      <c r="AI20" s="122">
        <f>AI49</f>
        <v/>
      </c>
      <c r="AJ20" s="122">
        <f>AJ49</f>
        <v/>
      </c>
      <c r="AK20" s="122">
        <f>AK49</f>
        <v/>
      </c>
      <c r="AL20" s="122">
        <f>AL49</f>
        <v/>
      </c>
      <c r="AM20" s="122">
        <f>AM49</f>
        <v/>
      </c>
      <c r="AN20" s="122">
        <f>AN49</f>
        <v/>
      </c>
      <c r="AO20" s="122">
        <f>AO49</f>
        <v/>
      </c>
      <c r="AP20" s="122">
        <f>AP49</f>
        <v/>
      </c>
      <c r="AQ20" s="122">
        <f>AQ49</f>
        <v/>
      </c>
      <c r="AR20" s="122">
        <f>AR49</f>
        <v/>
      </c>
      <c r="AS20" s="122">
        <f>AS49</f>
        <v/>
      </c>
      <c r="AT20" s="122">
        <f>AT49</f>
        <v/>
      </c>
      <c r="AU20" s="122">
        <f>AU49</f>
        <v/>
      </c>
      <c r="AV20" s="122">
        <f>AV49</f>
        <v/>
      </c>
      <c r="AW20" s="122">
        <f>AW49</f>
        <v/>
      </c>
      <c r="AX20" s="122">
        <f>AX49</f>
        <v/>
      </c>
      <c r="AY20" s="122">
        <f>AY49</f>
        <v/>
      </c>
    </row>
    <row r="21">
      <c r="B21" s="116" t="inlineStr">
        <is>
          <t>PF Fees (Debt Fees and Legal)</t>
        </is>
      </c>
      <c r="P21" s="114" t="n"/>
      <c r="Q21" s="114" t="n"/>
      <c r="R21" s="114" t="n"/>
      <c r="S21" s="114" t="n"/>
      <c r="T21" s="115" t="n"/>
      <c r="U21" s="115" t="n"/>
      <c r="V21" s="115" t="n"/>
      <c r="W21" s="134">
        <f>'Sources and Uses'!C16+'Sources and Uses'!C17</f>
        <v/>
      </c>
      <c r="X21" s="134" t="n"/>
      <c r="Y21" s="115" t="n"/>
      <c r="Z21" s="115" t="n"/>
      <c r="AA21" s="115" t="n"/>
      <c r="AB21" s="134" t="n"/>
      <c r="AC21" s="122" t="n"/>
      <c r="AD21" s="122" t="n"/>
      <c r="AE21" s="122" t="n"/>
      <c r="AF21" s="122" t="n"/>
      <c r="AG21" s="122" t="n"/>
      <c r="AH21" s="122" t="n"/>
      <c r="AI21" s="122" t="n"/>
      <c r="AJ21" s="122" t="n"/>
      <c r="AK21" s="122" t="n"/>
      <c r="AL21" s="122" t="n"/>
      <c r="AM21" s="122" t="n"/>
      <c r="AN21" s="122" t="n"/>
      <c r="AO21" s="122" t="n"/>
      <c r="AP21" s="122" t="n"/>
      <c r="AQ21" s="122" t="n"/>
      <c r="AR21" s="122" t="n"/>
      <c r="AS21" s="122" t="n"/>
      <c r="AT21" s="122" t="n"/>
      <c r="AU21" s="122" t="n"/>
      <c r="AV21" s="122" t="n"/>
      <c r="AW21" s="122" t="n"/>
      <c r="AX21" s="122" t="n"/>
      <c r="AY21" s="122" t="n"/>
    </row>
    <row r="22">
      <c r="B22" s="15" t="inlineStr">
        <is>
          <t>Total Operating Cash Outflows</t>
        </is>
      </c>
      <c r="P22" s="17">
        <f>SUM(P10:P21)</f>
        <v/>
      </c>
      <c r="Q22" s="17">
        <f>SUM(Q10:Q21)</f>
        <v/>
      </c>
      <c r="R22" s="17">
        <f>SUM(R10:R21)</f>
        <v/>
      </c>
      <c r="S22" s="17">
        <f>SUM(S10:S21)</f>
        <v/>
      </c>
      <c r="T22" s="17">
        <f>SUM(T10:T21)</f>
        <v/>
      </c>
      <c r="U22" s="17">
        <f>SUM(U10:U21)</f>
        <v/>
      </c>
      <c r="V22" s="17">
        <f>SUM(V10:V21)</f>
        <v/>
      </c>
      <c r="W22" s="17">
        <f>SUM(W10:W21)</f>
        <v/>
      </c>
      <c r="X22" s="17">
        <f>SUM(X10:X21)</f>
        <v/>
      </c>
      <c r="Y22" s="17">
        <f>SUM(Y10:Y21)</f>
        <v/>
      </c>
      <c r="Z22" s="17">
        <f>SUM(Z10:Z21)</f>
        <v/>
      </c>
      <c r="AA22" s="17">
        <f>SUM(AA10:AA21)</f>
        <v/>
      </c>
      <c r="AB22" s="17">
        <f>SUM(AB10:AB21)</f>
        <v/>
      </c>
      <c r="AC22" s="17">
        <f>SUM(AC10:AC21)</f>
        <v/>
      </c>
      <c r="AD22" s="17">
        <f>SUM(AD10:AD21)</f>
        <v/>
      </c>
      <c r="AE22" s="17">
        <f>SUM(AE10:AE21)</f>
        <v/>
      </c>
      <c r="AF22" s="17">
        <f>SUM(AF10:AF21)</f>
        <v/>
      </c>
      <c r="AG22" s="17">
        <f>SUM(AG10:AG21)</f>
        <v/>
      </c>
      <c r="AH22" s="17">
        <f>SUM(AH10:AH21)</f>
        <v/>
      </c>
      <c r="AI22" s="17">
        <f>SUM(AI10:AI21)</f>
        <v/>
      </c>
      <c r="AJ22" s="17">
        <f>SUM(AJ10:AJ21)</f>
        <v/>
      </c>
      <c r="AK22" s="17">
        <f>SUM(AK10:AK21)</f>
        <v/>
      </c>
      <c r="AL22" s="17">
        <f>SUM(AL10:AL21)</f>
        <v/>
      </c>
      <c r="AM22" s="17">
        <f>SUM(AM10:AM21)</f>
        <v/>
      </c>
      <c r="AN22" s="17">
        <f>SUM(AN10:AN21)</f>
        <v/>
      </c>
      <c r="AO22" s="17">
        <f>SUM(AO10:AO21)</f>
        <v/>
      </c>
      <c r="AP22" s="17">
        <f>SUM(AP10:AP21)</f>
        <v/>
      </c>
      <c r="AQ22" s="17">
        <f>SUM(AQ10:AQ21)</f>
        <v/>
      </c>
      <c r="AR22" s="17">
        <f>SUM(AR10:AR21)</f>
        <v/>
      </c>
      <c r="AS22" s="17">
        <f>SUM(AS10:AS21)</f>
        <v/>
      </c>
      <c r="AT22" s="17">
        <f>SUM(AT10:AT21)</f>
        <v/>
      </c>
      <c r="AU22" s="17">
        <f>SUM(AU10:AU21)</f>
        <v/>
      </c>
      <c r="AV22" s="17">
        <f>SUM(AV10:AV21)</f>
        <v/>
      </c>
      <c r="AW22" s="17">
        <f>SUM(AW10:AW21)</f>
        <v/>
      </c>
      <c r="AX22" s="17">
        <f>SUM(AX10:AX21)</f>
        <v/>
      </c>
      <c r="AY22" s="17">
        <f>SUM(AY10:AY21)</f>
        <v/>
      </c>
    </row>
    <row r="23">
      <c r="B23" s="15" t="inlineStr">
        <is>
          <t>Net Cash from Operations</t>
        </is>
      </c>
      <c r="P23" s="36">
        <f>P7-P22</f>
        <v/>
      </c>
      <c r="Q23" s="36">
        <f>Q7-Q22</f>
        <v/>
      </c>
      <c r="R23" s="36">
        <f>R7-R22</f>
        <v/>
      </c>
      <c r="S23" s="36">
        <f>S7-S22</f>
        <v/>
      </c>
      <c r="T23" s="36">
        <f>T7-T22</f>
        <v/>
      </c>
      <c r="U23" s="36">
        <f>U7-U22</f>
        <v/>
      </c>
      <c r="V23" s="36">
        <f>V7-V22</f>
        <v/>
      </c>
      <c r="W23" s="36">
        <f>W7-W22</f>
        <v/>
      </c>
      <c r="X23" s="36">
        <f>X7-X22</f>
        <v/>
      </c>
      <c r="Y23" s="36">
        <f>Y7-Y22</f>
        <v/>
      </c>
      <c r="Z23" s="36">
        <f>Z7-Z22</f>
        <v/>
      </c>
      <c r="AA23" s="36">
        <f>AA7-AA22</f>
        <v/>
      </c>
      <c r="AB23" s="36">
        <f>AB7-AB22</f>
        <v/>
      </c>
      <c r="AC23" s="36">
        <f>AC7-AC22</f>
        <v/>
      </c>
      <c r="AD23" s="36">
        <f>AD7-AD22</f>
        <v/>
      </c>
      <c r="AE23" s="36">
        <f>AE7-AE22</f>
        <v/>
      </c>
      <c r="AF23" s="36">
        <f>AF7-AF22</f>
        <v/>
      </c>
      <c r="AG23" s="36">
        <f>AG7-AG22</f>
        <v/>
      </c>
      <c r="AH23" s="36">
        <f>AH7-AH22</f>
        <v/>
      </c>
      <c r="AI23" s="36">
        <f>AI7-AI22</f>
        <v/>
      </c>
      <c r="AJ23" s="36">
        <f>AJ7-AJ22</f>
        <v/>
      </c>
      <c r="AK23" s="36">
        <f>AK7-AK22</f>
        <v/>
      </c>
      <c r="AL23" s="36">
        <f>AL7-AL22</f>
        <v/>
      </c>
      <c r="AM23" s="36">
        <f>AM7-AM22</f>
        <v/>
      </c>
      <c r="AN23" s="36">
        <f>AN7-AN22</f>
        <v/>
      </c>
      <c r="AO23" s="36">
        <f>AO7-AO22</f>
        <v/>
      </c>
      <c r="AP23" s="36">
        <f>AP7-AP22</f>
        <v/>
      </c>
      <c r="AQ23" s="36">
        <f>AQ7-AQ22</f>
        <v/>
      </c>
      <c r="AR23" s="36">
        <f>AR7-AR22</f>
        <v/>
      </c>
      <c r="AS23" s="36">
        <f>AS7-AS22</f>
        <v/>
      </c>
      <c r="AT23" s="36">
        <f>AT7-AT22</f>
        <v/>
      </c>
      <c r="AU23" s="36">
        <f>AU7-AU22</f>
        <v/>
      </c>
      <c r="AV23" s="36">
        <f>AV7-AV22</f>
        <v/>
      </c>
      <c r="AW23" s="36">
        <f>AW7-AW22</f>
        <v/>
      </c>
      <c r="AX23" s="36">
        <f>AX7-AX22</f>
        <v/>
      </c>
      <c r="AY23" s="36">
        <f>AY7-AY22</f>
        <v/>
      </c>
    </row>
    <row r="25" ht="16" customHeight="1" s="282">
      <c r="B25" s="10" t="inlineStr">
        <is>
          <t>INVESTING ACTIVITIES</t>
        </is>
      </c>
      <c r="C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</row>
    <row r="26">
      <c r="B26" s="18" t="inlineStr">
        <is>
          <t>Equipment &amp; Furniture</t>
        </is>
      </c>
      <c r="P26" s="19" t="n">
        <v>0</v>
      </c>
      <c r="Q26" s="19" t="n">
        <v>2497.4</v>
      </c>
      <c r="R26" s="19" t="n">
        <v>0</v>
      </c>
      <c r="S26" s="19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260">
        <f>-Prototype!E30</f>
        <v/>
      </c>
      <c r="AC26" s="31" t="n">
        <v>0</v>
      </c>
      <c r="AD26" s="31" t="n">
        <v>0</v>
      </c>
      <c r="AE26" s="31" t="n">
        <v>0</v>
      </c>
      <c r="AF26" s="31" t="n">
        <v>0</v>
      </c>
      <c r="AG26" s="31" t="n">
        <v>0</v>
      </c>
      <c r="AH26" s="31" t="n">
        <v>0</v>
      </c>
      <c r="AI26" s="31" t="n">
        <v>0</v>
      </c>
      <c r="AJ26" s="31" t="n">
        <v>0</v>
      </c>
      <c r="AK26" s="31" t="n">
        <v>0</v>
      </c>
      <c r="AL26" s="31" t="n">
        <v>0</v>
      </c>
      <c r="AM26" s="31" t="n">
        <v>0</v>
      </c>
      <c r="AN26" s="31" t="n">
        <v>0</v>
      </c>
      <c r="AO26" s="31" t="n">
        <v>0</v>
      </c>
      <c r="AP26" s="31" t="n">
        <v>0</v>
      </c>
      <c r="AQ26" s="31" t="n">
        <v>0</v>
      </c>
      <c r="AR26" s="31" t="n">
        <v>0</v>
      </c>
      <c r="AS26" s="31" t="n">
        <v>0</v>
      </c>
      <c r="AT26" s="31" t="n">
        <v>0</v>
      </c>
      <c r="AU26" s="31" t="n">
        <v>0</v>
      </c>
      <c r="AV26" s="31" t="n">
        <v>0</v>
      </c>
      <c r="AW26" s="31" t="n">
        <v>0</v>
      </c>
      <c r="AX26" s="31" t="n">
        <v>0</v>
      </c>
      <c r="AY26" s="31" t="n">
        <v>0</v>
      </c>
    </row>
    <row r="27">
      <c r="B27" s="18" t="inlineStr">
        <is>
          <t>Leasehold Improvements</t>
        </is>
      </c>
      <c r="P27" s="19" t="n">
        <v>-17810.67</v>
      </c>
      <c r="Q27" s="19" t="n">
        <v>-7094.5</v>
      </c>
      <c r="R27" s="19" t="n">
        <v>-24075</v>
      </c>
      <c r="S27" s="19" t="n">
        <v>-1035.5</v>
      </c>
      <c r="T27" s="31" t="n">
        <v>0</v>
      </c>
      <c r="U27" s="31" t="n">
        <v>0</v>
      </c>
      <c r="V27" s="31" t="n">
        <v>-275000</v>
      </c>
      <c r="W27" s="31" t="n">
        <v>-160000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  <c r="AF27" s="31" t="n">
        <v>0</v>
      </c>
      <c r="AG27" s="31" t="n">
        <v>0</v>
      </c>
      <c r="AH27" s="31" t="n">
        <v>0</v>
      </c>
      <c r="AI27" s="31" t="n">
        <v>0</v>
      </c>
      <c r="AJ27" s="31" t="n">
        <v>0</v>
      </c>
      <c r="AK27" s="31" t="n">
        <v>0</v>
      </c>
      <c r="AL27" s="31" t="n">
        <v>0</v>
      </c>
      <c r="AM27" s="31" t="n">
        <v>0</v>
      </c>
      <c r="AN27" s="31" t="n">
        <v>0</v>
      </c>
      <c r="AO27" s="31" t="n">
        <v>0</v>
      </c>
      <c r="AP27" s="31" t="n">
        <v>0</v>
      </c>
      <c r="AQ27" s="31" t="n">
        <v>0</v>
      </c>
      <c r="AR27" s="31" t="n">
        <v>0</v>
      </c>
      <c r="AS27" s="31" t="n">
        <v>0</v>
      </c>
      <c r="AT27" s="31" t="n">
        <v>0</v>
      </c>
      <c r="AU27" s="31" t="n">
        <v>0</v>
      </c>
      <c r="AV27" s="31" t="n">
        <v>0</v>
      </c>
      <c r="AW27" s="31" t="n">
        <v>0</v>
      </c>
      <c r="AX27" s="31" t="n">
        <v>0</v>
      </c>
      <c r="AY27" s="31" t="n">
        <v>0</v>
      </c>
    </row>
    <row r="28">
      <c r="B28" s="18" t="inlineStr">
        <is>
          <t>Deposits</t>
        </is>
      </c>
      <c r="P28" s="19" t="n">
        <v>0</v>
      </c>
      <c r="Q28" s="19" t="n">
        <v>0</v>
      </c>
      <c r="R28" s="19" t="n">
        <v>0</v>
      </c>
      <c r="S28" s="19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  <c r="AF28" s="31" t="n">
        <v>0</v>
      </c>
      <c r="AG28" s="31" t="n">
        <v>0</v>
      </c>
      <c r="AH28" s="31" t="n">
        <v>0</v>
      </c>
      <c r="AI28" s="31" t="n">
        <v>0</v>
      </c>
      <c r="AJ28" s="31" t="n">
        <v>0</v>
      </c>
      <c r="AK28" s="31" t="n">
        <v>0</v>
      </c>
      <c r="AL28" s="31" t="n">
        <v>0</v>
      </c>
      <c r="AM28" s="31" t="n">
        <v>0</v>
      </c>
      <c r="AN28" s="31" t="n">
        <v>0</v>
      </c>
      <c r="AO28" s="31" t="n">
        <v>0</v>
      </c>
      <c r="AP28" s="31" t="n">
        <v>0</v>
      </c>
      <c r="AQ28" s="31" t="n">
        <v>0</v>
      </c>
      <c r="AR28" s="31" t="n">
        <v>0</v>
      </c>
      <c r="AS28" s="31" t="n">
        <v>0</v>
      </c>
      <c r="AT28" s="31" t="n">
        <v>0</v>
      </c>
      <c r="AU28" s="31" t="n">
        <v>0</v>
      </c>
      <c r="AV28" s="31" t="n">
        <v>0</v>
      </c>
      <c r="AW28" s="31" t="n">
        <v>0</v>
      </c>
      <c r="AX28" s="31" t="n">
        <v>0</v>
      </c>
      <c r="AY28" s="31" t="n">
        <v>0</v>
      </c>
    </row>
    <row r="29">
      <c r="B29" s="15" t="inlineStr">
        <is>
          <t>Net Investing</t>
        </is>
      </c>
      <c r="P29" s="17">
        <f>SUM(P26:P28)</f>
        <v/>
      </c>
      <c r="Q29" s="17">
        <f>SUM(Q26:Q28)</f>
        <v/>
      </c>
      <c r="R29" s="17">
        <f>SUM(R26:R28)</f>
        <v/>
      </c>
      <c r="S29" s="17">
        <f>SUM(S26:S28)</f>
        <v/>
      </c>
      <c r="T29" s="17">
        <f>SUM(T26:T28)</f>
        <v/>
      </c>
      <c r="U29" s="17">
        <f>SUM(U26:U28)</f>
        <v/>
      </c>
      <c r="V29" s="17">
        <f>SUM(V26:V28)</f>
        <v/>
      </c>
      <c r="W29" s="17">
        <f>SUM(W26:W28)</f>
        <v/>
      </c>
      <c r="X29" s="17">
        <f>SUM(X26:X28)</f>
        <v/>
      </c>
      <c r="Y29" s="17">
        <f>SUM(Y26:Y28)</f>
        <v/>
      </c>
      <c r="Z29" s="17">
        <f>SUM(Z26:Z28)</f>
        <v/>
      </c>
      <c r="AA29" s="17">
        <f>SUM(AA26:AA28)</f>
        <v/>
      </c>
      <c r="AB29" s="17">
        <f>SUM(AB26:AB28)</f>
        <v/>
      </c>
      <c r="AC29" s="17">
        <f>SUM(AC26:AC28)</f>
        <v/>
      </c>
      <c r="AD29" s="17">
        <f>SUM(AD26:AD28)</f>
        <v/>
      </c>
      <c r="AE29" s="17">
        <f>SUM(AE26:AE28)</f>
        <v/>
      </c>
      <c r="AF29" s="17">
        <f>SUM(AF26:AF28)</f>
        <v/>
      </c>
      <c r="AG29" s="17">
        <f>SUM(AG26:AG28)</f>
        <v/>
      </c>
      <c r="AH29" s="17">
        <f>SUM(AH26:AH28)</f>
        <v/>
      </c>
      <c r="AI29" s="17">
        <f>SUM(AI26:AI28)</f>
        <v/>
      </c>
      <c r="AJ29" s="17">
        <f>SUM(AJ26:AJ28)</f>
        <v/>
      </c>
      <c r="AK29" s="17">
        <f>SUM(AK26:AK28)</f>
        <v/>
      </c>
      <c r="AL29" s="17">
        <f>SUM(AL26:AL28)</f>
        <v/>
      </c>
      <c r="AM29" s="17">
        <f>SUM(AM26:AM28)</f>
        <v/>
      </c>
      <c r="AN29" s="17">
        <f>SUM(AN26:AN28)</f>
        <v/>
      </c>
      <c r="AO29" s="17">
        <f>SUM(AO26:AO28)</f>
        <v/>
      </c>
      <c r="AP29" s="17">
        <f>SUM(AP26:AP28)</f>
        <v/>
      </c>
      <c r="AQ29" s="17">
        <f>SUM(AQ26:AQ28)</f>
        <v/>
      </c>
      <c r="AR29" s="17">
        <f>SUM(AR26:AR28)</f>
        <v/>
      </c>
      <c r="AS29" s="17">
        <f>SUM(AS26:AS28)</f>
        <v/>
      </c>
      <c r="AT29" s="17">
        <f>SUM(AT26:AT28)</f>
        <v/>
      </c>
      <c r="AU29" s="17">
        <f>SUM(AU26:AU28)</f>
        <v/>
      </c>
      <c r="AV29" s="17">
        <f>SUM(AV26:AV28)</f>
        <v/>
      </c>
      <c r="AW29" s="17">
        <f>SUM(AW26:AW28)</f>
        <v/>
      </c>
      <c r="AX29" s="17">
        <f>SUM(AX26:AX28)</f>
        <v/>
      </c>
      <c r="AY29" s="17">
        <f>SUM(AY26:AY28)</f>
        <v/>
      </c>
    </row>
    <row r="31" ht="16" customHeight="1" s="282">
      <c r="B31" s="10" t="inlineStr">
        <is>
          <t>FINANCING ACTIVITIES</t>
        </is>
      </c>
      <c r="C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</row>
    <row r="32">
      <c r="B32" s="18" t="inlineStr">
        <is>
          <t>Loan Proceeds</t>
        </is>
      </c>
      <c r="P32" s="19" t="n">
        <v>9059.380000000001</v>
      </c>
      <c r="Q32" s="19" t="n">
        <v>9059.380000000001</v>
      </c>
      <c r="R32" s="19" t="n">
        <v>9059.380000000001</v>
      </c>
      <c r="S32" s="19" t="n">
        <v>12507.09</v>
      </c>
      <c r="T32" s="31" t="n">
        <v>0</v>
      </c>
      <c r="U32" s="31" t="n">
        <v>0</v>
      </c>
      <c r="V32" s="31" t="n">
        <v>0</v>
      </c>
      <c r="W32" s="133">
        <f>W45</f>
        <v/>
      </c>
      <c r="X32" s="133">
        <f>X45</f>
        <v/>
      </c>
      <c r="Y32" s="31" t="n">
        <v>0</v>
      </c>
      <c r="Z32" s="31" t="n">
        <v>0</v>
      </c>
      <c r="AA32" s="113" t="n"/>
      <c r="AB32" s="31" t="n">
        <v>0</v>
      </c>
      <c r="AC32" s="31" t="n">
        <v>0</v>
      </c>
      <c r="AD32" s="31" t="n">
        <v>0</v>
      </c>
      <c r="AE32" s="31" t="n">
        <v>0</v>
      </c>
      <c r="AF32" s="31" t="n">
        <v>0</v>
      </c>
      <c r="AG32" s="31" t="n">
        <v>0</v>
      </c>
      <c r="AH32" s="31" t="n">
        <v>0</v>
      </c>
      <c r="AI32" s="31" t="n">
        <v>0</v>
      </c>
      <c r="AJ32" s="31" t="n">
        <v>0</v>
      </c>
      <c r="AK32" s="31" t="n">
        <v>0</v>
      </c>
      <c r="AL32" s="31" t="n">
        <v>0</v>
      </c>
      <c r="AM32" s="31" t="n">
        <v>0</v>
      </c>
      <c r="AN32" s="31" t="n">
        <v>0</v>
      </c>
      <c r="AO32" s="31" t="n">
        <v>0</v>
      </c>
      <c r="AP32" s="31" t="n">
        <v>0</v>
      </c>
      <c r="AQ32" s="31" t="n">
        <v>0</v>
      </c>
      <c r="AR32" s="31" t="n">
        <v>0</v>
      </c>
      <c r="AS32" s="31" t="n">
        <v>0</v>
      </c>
      <c r="AT32" s="31" t="n">
        <v>0</v>
      </c>
      <c r="AU32" s="31" t="n">
        <v>0</v>
      </c>
      <c r="AV32" s="31" t="n">
        <v>0</v>
      </c>
      <c r="AW32" s="31" t="n">
        <v>0</v>
      </c>
      <c r="AX32" s="31" t="n">
        <v>0</v>
      </c>
      <c r="AY32" s="31" t="n">
        <v>0</v>
      </c>
    </row>
    <row r="33">
      <c r="B33" s="18" t="inlineStr">
        <is>
          <t>Loan Repayments</t>
        </is>
      </c>
      <c r="P33" s="19" t="n">
        <v>-132128.24</v>
      </c>
      <c r="Q33" s="19" t="n">
        <v>-122128.76</v>
      </c>
      <c r="R33" s="19" t="n">
        <v>-132834.5</v>
      </c>
      <c r="S33" s="19" t="n">
        <v>-114793.66</v>
      </c>
      <c r="T33" s="20">
        <f>-'Cash, Debt &amp; Equity'!T26</f>
        <v/>
      </c>
      <c r="U33" s="20">
        <f>-'Cash, Debt &amp; Equity'!U26</f>
        <v/>
      </c>
      <c r="V33" s="20">
        <f>-'Cash, Debt &amp; Equity'!V26</f>
        <v/>
      </c>
      <c r="W33" s="265">
        <f>'Cash, Debt &amp; Equity'!X16*-1</f>
        <v/>
      </c>
      <c r="X33" s="20" t="n">
        <v>0</v>
      </c>
      <c r="Y33" s="20" t="n">
        <v>0</v>
      </c>
      <c r="Z33" s="20" t="n">
        <v>0</v>
      </c>
      <c r="AA33" s="20" t="n">
        <v>0</v>
      </c>
      <c r="AB33" s="20" t="n">
        <v>0</v>
      </c>
      <c r="AC33" s="20" t="n">
        <v>0</v>
      </c>
      <c r="AD33" s="20" t="n">
        <v>0</v>
      </c>
      <c r="AE33" s="20" t="n">
        <v>0</v>
      </c>
      <c r="AF33" s="20" t="n">
        <v>0</v>
      </c>
      <c r="AG33" s="20" t="n">
        <v>0</v>
      </c>
      <c r="AH33" s="20" t="n">
        <v>0</v>
      </c>
      <c r="AI33" s="20" t="n">
        <v>0</v>
      </c>
      <c r="AJ33" s="20" t="n">
        <v>0</v>
      </c>
      <c r="AK33" s="20" t="n">
        <v>0</v>
      </c>
      <c r="AL33" s="20" t="n">
        <v>0</v>
      </c>
      <c r="AM33" s="20" t="n">
        <v>0</v>
      </c>
      <c r="AN33" s="20" t="n">
        <v>0</v>
      </c>
      <c r="AO33" s="20" t="n">
        <v>0</v>
      </c>
      <c r="AP33" s="20" t="n">
        <v>0</v>
      </c>
      <c r="AQ33" s="20" t="n">
        <v>0</v>
      </c>
      <c r="AR33" s="20" t="n">
        <v>0</v>
      </c>
      <c r="AS33" s="20" t="n">
        <v>0</v>
      </c>
      <c r="AT33" s="20" t="n">
        <v>0</v>
      </c>
      <c r="AU33" s="20" t="n">
        <v>0</v>
      </c>
      <c r="AV33" s="20" t="n">
        <v>0</v>
      </c>
      <c r="AW33" s="20" t="n">
        <v>0</v>
      </c>
      <c r="AX33" s="20" t="n">
        <v>0</v>
      </c>
      <c r="AY33" s="20" t="n">
        <v>0</v>
      </c>
    </row>
    <row r="34">
      <c r="B34" s="18" t="inlineStr">
        <is>
          <t>Intercompany / Owner Contributions</t>
        </is>
      </c>
      <c r="P34" s="19" t="n">
        <v>0</v>
      </c>
      <c r="Q34" s="19" t="n">
        <v>0</v>
      </c>
      <c r="R34" s="19" t="n">
        <v>133333.33</v>
      </c>
      <c r="S34" s="19" t="n">
        <v>78333.33</v>
      </c>
      <c r="T34" s="31" t="n">
        <v>0</v>
      </c>
      <c r="U34" s="31" t="n">
        <v>0</v>
      </c>
      <c r="V34" s="31" t="n">
        <v>0</v>
      </c>
      <c r="W34" s="31" t="n">
        <v>0</v>
      </c>
      <c r="X34" s="31" t="n">
        <v>0</v>
      </c>
      <c r="Y34" s="31" t="n">
        <v>0</v>
      </c>
      <c r="Z34" s="31" t="n">
        <v>-100000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  <c r="AF34" s="31" t="n">
        <v>0</v>
      </c>
      <c r="AG34" s="31" t="n">
        <v>0</v>
      </c>
      <c r="AH34" s="31" t="n">
        <v>0</v>
      </c>
      <c r="AI34" s="31" t="n">
        <v>0</v>
      </c>
      <c r="AJ34" s="31" t="n">
        <v>0</v>
      </c>
      <c r="AK34" s="31" t="n">
        <v>0</v>
      </c>
      <c r="AL34" s="31" t="n">
        <v>0</v>
      </c>
      <c r="AM34" s="31" t="n">
        <v>0</v>
      </c>
      <c r="AN34" s="31" t="n">
        <v>0</v>
      </c>
      <c r="AO34" s="31" t="n">
        <v>0</v>
      </c>
      <c r="AP34" s="31" t="n">
        <v>0</v>
      </c>
      <c r="AQ34" s="31" t="n">
        <v>0</v>
      </c>
      <c r="AR34" s="31" t="n">
        <v>0</v>
      </c>
      <c r="AS34" s="31" t="n">
        <v>0</v>
      </c>
      <c r="AT34" s="31" t="n">
        <v>0</v>
      </c>
      <c r="AU34" s="31" t="n">
        <v>0</v>
      </c>
      <c r="AV34" s="31" t="n">
        <v>0</v>
      </c>
      <c r="AW34" s="31" t="n">
        <v>0</v>
      </c>
      <c r="AX34" s="31" t="n">
        <v>0</v>
      </c>
      <c r="AY34" s="31" t="n">
        <v>0</v>
      </c>
    </row>
    <row r="35">
      <c r="B35" s="15" t="inlineStr">
        <is>
          <t>Net Financing</t>
        </is>
      </c>
      <c r="P35" s="17">
        <f>SUM(P32:P34)</f>
        <v/>
      </c>
      <c r="Q35" s="17">
        <f>SUM(Q32:Q34)</f>
        <v/>
      </c>
      <c r="R35" s="17">
        <f>SUM(R32:R34)</f>
        <v/>
      </c>
      <c r="S35" s="17">
        <f>SUM(S32:S34)</f>
        <v/>
      </c>
      <c r="T35" s="17">
        <f>SUM(T32:T34)</f>
        <v/>
      </c>
      <c r="U35" s="17">
        <f>SUM(U32:U34)</f>
        <v/>
      </c>
      <c r="V35" s="17">
        <f>SUM(V32:V34)</f>
        <v/>
      </c>
      <c r="W35" s="17">
        <f>SUM(W32:W34)</f>
        <v/>
      </c>
      <c r="X35" s="17">
        <f>SUM(X32:X34)</f>
        <v/>
      </c>
      <c r="Y35" s="17">
        <f>SUM(Y32:Y34)</f>
        <v/>
      </c>
      <c r="Z35" s="17">
        <f>SUM(Z32:Z34)</f>
        <v/>
      </c>
      <c r="AA35" s="17">
        <f>SUM(AA32:AA34)</f>
        <v/>
      </c>
      <c r="AB35" s="17">
        <f>SUM(AB32:AB34)</f>
        <v/>
      </c>
      <c r="AC35" s="17">
        <f>SUM(AC32:AC34)</f>
        <v/>
      </c>
      <c r="AD35" s="17">
        <f>SUM(AD32:AD34)</f>
        <v/>
      </c>
      <c r="AE35" s="17">
        <f>SUM(AE32:AE34)</f>
        <v/>
      </c>
      <c r="AF35" s="17">
        <f>SUM(AF32:AF34)</f>
        <v/>
      </c>
      <c r="AG35" s="17">
        <f>SUM(AG32:AG34)</f>
        <v/>
      </c>
      <c r="AH35" s="17">
        <f>SUM(AH32:AH34)</f>
        <v/>
      </c>
      <c r="AI35" s="17">
        <f>SUM(AI32:AI34)</f>
        <v/>
      </c>
      <c r="AJ35" s="17">
        <f>SUM(AJ32:AJ34)</f>
        <v/>
      </c>
      <c r="AK35" s="17">
        <f>SUM(AK32:AK34)</f>
        <v/>
      </c>
      <c r="AL35" s="17">
        <f>SUM(AL32:AL34)</f>
        <v/>
      </c>
      <c r="AM35" s="17">
        <f>SUM(AM32:AM34)</f>
        <v/>
      </c>
      <c r="AN35" s="17">
        <f>SUM(AN32:AN34)</f>
        <v/>
      </c>
      <c r="AO35" s="17">
        <f>SUM(AO32:AO34)</f>
        <v/>
      </c>
      <c r="AP35" s="17">
        <f>SUM(AP32:AP34)</f>
        <v/>
      </c>
      <c r="AQ35" s="17">
        <f>SUM(AQ32:AQ34)</f>
        <v/>
      </c>
      <c r="AR35" s="17">
        <f>SUM(AR32:AR34)</f>
        <v/>
      </c>
      <c r="AS35" s="17">
        <f>SUM(AS32:AS34)</f>
        <v/>
      </c>
      <c r="AT35" s="17">
        <f>SUM(AT32:AT34)</f>
        <v/>
      </c>
      <c r="AU35" s="17">
        <f>SUM(AU32:AU34)</f>
        <v/>
      </c>
      <c r="AV35" s="17">
        <f>SUM(AV32:AV34)</f>
        <v/>
      </c>
      <c r="AW35" s="17">
        <f>SUM(AW32:AW34)</f>
        <v/>
      </c>
      <c r="AX35" s="17">
        <f>SUM(AX32:AX34)</f>
        <v/>
      </c>
      <c r="AY35" s="17">
        <f>SUM(AY32:AY34)</f>
        <v/>
      </c>
    </row>
    <row r="37" ht="16" customHeight="1" s="282">
      <c r="B37" s="10" t="inlineStr">
        <is>
          <t>NET CHANGE IN CASH</t>
        </is>
      </c>
      <c r="C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  <c r="AP37" s="11" t="n"/>
      <c r="AQ37" s="11" t="n"/>
      <c r="AR37" s="11" t="n"/>
      <c r="AS37" s="11" t="n"/>
      <c r="AT37" s="11" t="n"/>
      <c r="AU37" s="11" t="n"/>
      <c r="AV37" s="11" t="n"/>
      <c r="AW37" s="11" t="n"/>
      <c r="AX37" s="11" t="n"/>
      <c r="AY37" s="11" t="n"/>
    </row>
    <row r="38">
      <c r="B38" s="15" t="inlineStr">
        <is>
          <t>Net Change in Cash</t>
        </is>
      </c>
      <c r="P38" s="36">
        <f>P23+P29+P35</f>
        <v/>
      </c>
      <c r="Q38" s="36">
        <f>Q23+Q29+Q35</f>
        <v/>
      </c>
      <c r="R38" s="36">
        <f>R23+R29+R35</f>
        <v/>
      </c>
      <c r="S38" s="36">
        <f>S23+S29+S35</f>
        <v/>
      </c>
      <c r="T38" s="36">
        <f>T23+T29+T35</f>
        <v/>
      </c>
      <c r="U38" s="36">
        <f>U23+U29+U35</f>
        <v/>
      </c>
      <c r="V38" s="36">
        <f>V23+V29+V35</f>
        <v/>
      </c>
      <c r="W38" s="36">
        <f>W23+W29+W35</f>
        <v/>
      </c>
      <c r="X38" s="36">
        <f>X23+X29+X35</f>
        <v/>
      </c>
      <c r="Y38" s="36">
        <f>Y23+Y29+Y35</f>
        <v/>
      </c>
      <c r="Z38" s="36">
        <f>Z23+Z29+Z35</f>
        <v/>
      </c>
      <c r="AA38" s="36">
        <f>AA23+AA29+AA35</f>
        <v/>
      </c>
      <c r="AB38" s="36">
        <f>AB23+AB29+AB35</f>
        <v/>
      </c>
      <c r="AC38" s="36">
        <f>AC23+AC29+AC35</f>
        <v/>
      </c>
      <c r="AD38" s="36">
        <f>AD23+AD29+AD35</f>
        <v/>
      </c>
      <c r="AE38" s="36">
        <f>AE23+AE29+AE35</f>
        <v/>
      </c>
      <c r="AF38" s="36">
        <f>AF23+AF29+AF35</f>
        <v/>
      </c>
      <c r="AG38" s="36">
        <f>AG23+AG29+AG35</f>
        <v/>
      </c>
      <c r="AH38" s="36">
        <f>AH23+AH29+AH35</f>
        <v/>
      </c>
      <c r="AI38" s="36">
        <f>AI23+AI29+AI35</f>
        <v/>
      </c>
      <c r="AJ38" s="36">
        <f>AJ23+AJ29+AJ35</f>
        <v/>
      </c>
      <c r="AK38" s="36">
        <f>AK23+AK29+AK35</f>
        <v/>
      </c>
      <c r="AL38" s="36">
        <f>AL23+AL29+AL35</f>
        <v/>
      </c>
      <c r="AM38" s="36">
        <f>AM23+AM29+AM35</f>
        <v/>
      </c>
      <c r="AN38" s="36">
        <f>AN23+AN29+AN35</f>
        <v/>
      </c>
      <c r="AO38" s="36">
        <f>AO23+AO29+AO35</f>
        <v/>
      </c>
      <c r="AP38" s="36">
        <f>AP23+AP29+AP35</f>
        <v/>
      </c>
      <c r="AQ38" s="36">
        <f>AQ23+AQ29+AQ35</f>
        <v/>
      </c>
      <c r="AR38" s="36">
        <f>AR23+AR29+AR35</f>
        <v/>
      </c>
      <c r="AS38" s="36">
        <f>AS23+AS29+AS35</f>
        <v/>
      </c>
      <c r="AT38" s="36">
        <f>AT23+AT29+AT35</f>
        <v/>
      </c>
      <c r="AU38" s="36">
        <f>AU23+AU29+AU35</f>
        <v/>
      </c>
      <c r="AV38" s="36">
        <f>AV23+AV29+AV35</f>
        <v/>
      </c>
      <c r="AW38" s="36">
        <f>AW23+AW29+AW35</f>
        <v/>
      </c>
      <c r="AX38" s="36">
        <f>AX23+AX29+AX35</f>
        <v/>
      </c>
      <c r="AY38" s="36">
        <f>AY23+AY29+AY35</f>
        <v/>
      </c>
    </row>
    <row r="39">
      <c r="B39" s="18" t="inlineStr">
        <is>
          <t>Beginning Cash Balance</t>
        </is>
      </c>
      <c r="P39" s="19">
        <f>P40-P38</f>
        <v/>
      </c>
      <c r="Q39" s="19">
        <f>P40</f>
        <v/>
      </c>
      <c r="R39" s="19">
        <f>Q40</f>
        <v/>
      </c>
      <c r="S39" s="19">
        <f>R40</f>
        <v/>
      </c>
      <c r="T39" s="20">
        <f>S40</f>
        <v/>
      </c>
      <c r="U39" s="20">
        <f>T40</f>
        <v/>
      </c>
      <c r="V39" s="20">
        <f>U40</f>
        <v/>
      </c>
      <c r="W39" s="20">
        <f>V40</f>
        <v/>
      </c>
      <c r="X39" s="20">
        <f>W40</f>
        <v/>
      </c>
      <c r="Y39" s="20">
        <f>X40</f>
        <v/>
      </c>
      <c r="Z39" s="20">
        <f>Y40</f>
        <v/>
      </c>
      <c r="AA39" s="20">
        <f>Z40</f>
        <v/>
      </c>
      <c r="AB39" s="20">
        <f>AA40</f>
        <v/>
      </c>
      <c r="AC39" s="20">
        <f>AB40</f>
        <v/>
      </c>
      <c r="AD39" s="20">
        <f>AC40</f>
        <v/>
      </c>
      <c r="AE39" s="20">
        <f>AD40</f>
        <v/>
      </c>
      <c r="AF39" s="20">
        <f>AE40</f>
        <v/>
      </c>
      <c r="AG39" s="20">
        <f>AF40</f>
        <v/>
      </c>
      <c r="AH39" s="20">
        <f>AG40</f>
        <v/>
      </c>
      <c r="AI39" s="20">
        <f>AH40</f>
        <v/>
      </c>
      <c r="AJ39" s="20">
        <f>AI40</f>
        <v/>
      </c>
      <c r="AK39" s="20">
        <f>AJ40</f>
        <v/>
      </c>
      <c r="AL39" s="20">
        <f>AK40</f>
        <v/>
      </c>
      <c r="AM39" s="20">
        <f>AL40</f>
        <v/>
      </c>
      <c r="AN39" s="20">
        <f>AM40</f>
        <v/>
      </c>
      <c r="AO39" s="20">
        <f>AN40</f>
        <v/>
      </c>
      <c r="AP39" s="20">
        <f>AO40</f>
        <v/>
      </c>
      <c r="AQ39" s="20">
        <f>AP40</f>
        <v/>
      </c>
      <c r="AR39" s="20">
        <f>AQ40</f>
        <v/>
      </c>
      <c r="AS39" s="20">
        <f>AR40</f>
        <v/>
      </c>
      <c r="AT39" s="20">
        <f>AS40</f>
        <v/>
      </c>
      <c r="AU39" s="20">
        <f>AT40</f>
        <v/>
      </c>
      <c r="AV39" s="20">
        <f>AU40</f>
        <v/>
      </c>
      <c r="AW39" s="20">
        <f>AV40</f>
        <v/>
      </c>
      <c r="AX39" s="20">
        <f>AW40</f>
        <v/>
      </c>
      <c r="AY39" s="20">
        <f>AX40</f>
        <v/>
      </c>
    </row>
    <row r="40">
      <c r="B40" s="15" t="inlineStr">
        <is>
          <t>Ending Cash Balance</t>
        </is>
      </c>
      <c r="P40" s="64">
        <f>'QBO Actuals'!C104</f>
        <v/>
      </c>
      <c r="Q40" s="64">
        <f>'QBO Actuals'!D104</f>
        <v/>
      </c>
      <c r="R40" s="64">
        <f>'QBO Actuals'!E104</f>
        <v/>
      </c>
      <c r="S40" s="64">
        <f>'QBO Actuals'!F104</f>
        <v/>
      </c>
      <c r="T40" s="36">
        <f>'QBO Actuals'!G104</f>
        <v/>
      </c>
      <c r="U40" s="36">
        <f>'QBO Actuals'!H104</f>
        <v/>
      </c>
      <c r="V40" s="36">
        <f>V39+V38</f>
        <v/>
      </c>
      <c r="W40" s="36">
        <f>W39+W38</f>
        <v/>
      </c>
      <c r="X40" s="36">
        <f>X39+X38</f>
        <v/>
      </c>
      <c r="Y40" s="36">
        <f>Y39+Y38</f>
        <v/>
      </c>
      <c r="Z40" s="36">
        <f>Z39+Z38</f>
        <v/>
      </c>
      <c r="AA40" s="36">
        <f>AA39+AA38</f>
        <v/>
      </c>
      <c r="AB40" s="36">
        <f>AB39+AB38</f>
        <v/>
      </c>
      <c r="AC40" s="36">
        <f>AC39+AC38</f>
        <v/>
      </c>
      <c r="AD40" s="36">
        <f>AD39+AD38</f>
        <v/>
      </c>
      <c r="AE40" s="36">
        <f>AE39+AE38</f>
        <v/>
      </c>
      <c r="AF40" s="36">
        <f>AF39+AF38</f>
        <v/>
      </c>
      <c r="AG40" s="36">
        <f>AG39+AG38</f>
        <v/>
      </c>
      <c r="AH40" s="36">
        <f>AH39+AH38</f>
        <v/>
      </c>
      <c r="AI40" s="36">
        <f>AI39+AI38</f>
        <v/>
      </c>
      <c r="AJ40" s="36">
        <f>AJ39+AJ38</f>
        <v/>
      </c>
      <c r="AK40" s="36">
        <f>AK39+AK38</f>
        <v/>
      </c>
      <c r="AL40" s="36">
        <f>AL39+AL38</f>
        <v/>
      </c>
      <c r="AM40" s="36">
        <f>AM39+AM38</f>
        <v/>
      </c>
      <c r="AN40" s="36">
        <f>AN39+AN38</f>
        <v/>
      </c>
      <c r="AO40" s="36">
        <f>AO39+AO38</f>
        <v/>
      </c>
      <c r="AP40" s="36">
        <f>AP39+AP38</f>
        <v/>
      </c>
      <c r="AQ40" s="36">
        <f>AQ39+AQ38</f>
        <v/>
      </c>
      <c r="AR40" s="36">
        <f>AR39+AR38</f>
        <v/>
      </c>
      <c r="AS40" s="36">
        <f>AS39+AS38</f>
        <v/>
      </c>
      <c r="AT40" s="36">
        <f>AT39+AT38</f>
        <v/>
      </c>
      <c r="AU40" s="36">
        <f>AU39+AU38</f>
        <v/>
      </c>
      <c r="AV40" s="36">
        <f>AV39+AV38</f>
        <v/>
      </c>
      <c r="AW40" s="36">
        <f>AW39+AW38</f>
        <v/>
      </c>
      <c r="AX40" s="36">
        <f>AX39+AX38</f>
        <v/>
      </c>
      <c r="AY40" s="36">
        <f>AY39+AY38</f>
        <v/>
      </c>
    </row>
    <row r="42" ht="16" customHeight="1" s="282">
      <c r="B42" s="117" t="inlineStr">
        <is>
          <t>PF Debt At Close</t>
        </is>
      </c>
      <c r="C42" s="118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  <c r="AR42" s="11" t="n"/>
      <c r="AS42" s="11" t="n"/>
      <c r="AT42" s="11" t="n"/>
      <c r="AU42" s="11" t="n"/>
      <c r="AV42" s="11" t="n"/>
      <c r="AW42" s="11" t="n"/>
      <c r="AX42" s="11" t="n"/>
      <c r="AY42" s="11" t="n"/>
    </row>
    <row r="44">
      <c r="B44" s="99" t="inlineStr">
        <is>
          <t>New Debt, Beg of Period</t>
        </is>
      </c>
      <c r="W44" s="302" t="n">
        <v>0</v>
      </c>
      <c r="X44" s="303">
        <f>W47</f>
        <v/>
      </c>
      <c r="Y44" s="303">
        <f>X47</f>
        <v/>
      </c>
      <c r="Z44" s="303">
        <f>Y47</f>
        <v/>
      </c>
      <c r="AA44" s="303">
        <f>Z47</f>
        <v/>
      </c>
      <c r="AB44" s="303">
        <f>AA47</f>
        <v/>
      </c>
      <c r="AC44" s="303">
        <f>AB47</f>
        <v/>
      </c>
      <c r="AD44" s="303">
        <f>AC47</f>
        <v/>
      </c>
      <c r="AE44" s="303">
        <f>AD47</f>
        <v/>
      </c>
      <c r="AF44" s="303">
        <f>AE47</f>
        <v/>
      </c>
      <c r="AG44" s="303">
        <f>AF47</f>
        <v/>
      </c>
      <c r="AH44" s="303">
        <f>AG47</f>
        <v/>
      </c>
      <c r="AI44" s="303">
        <f>AH47</f>
        <v/>
      </c>
      <c r="AJ44" s="303">
        <f>AI47</f>
        <v/>
      </c>
      <c r="AK44" s="303">
        <f>AJ47</f>
        <v/>
      </c>
      <c r="AL44" s="303">
        <f>AK47</f>
        <v/>
      </c>
      <c r="AM44" s="303">
        <f>AL47</f>
        <v/>
      </c>
      <c r="AN44" s="303">
        <f>AM47</f>
        <v/>
      </c>
      <c r="AO44" s="303">
        <f>AN47</f>
        <v/>
      </c>
      <c r="AP44" s="303">
        <f>AO47</f>
        <v/>
      </c>
      <c r="AQ44" s="303">
        <f>AP47</f>
        <v/>
      </c>
      <c r="AR44" s="303">
        <f>AQ47</f>
        <v/>
      </c>
      <c r="AS44" s="303">
        <f>AR47</f>
        <v/>
      </c>
      <c r="AT44" s="303">
        <f>AS47</f>
        <v/>
      </c>
      <c r="AU44" s="303">
        <f>AT47</f>
        <v/>
      </c>
      <c r="AV44" s="303">
        <f>AU47</f>
        <v/>
      </c>
      <c r="AW44" s="303">
        <f>AV47</f>
        <v/>
      </c>
      <c r="AX44" s="303">
        <f>AW47</f>
        <v/>
      </c>
      <c r="AY44" s="303">
        <f>AX47</f>
        <v/>
      </c>
    </row>
    <row r="45">
      <c r="B45" t="inlineStr">
        <is>
          <t>Increase (+)</t>
        </is>
      </c>
      <c r="W45" s="289">
        <f>'Sources and Uses'!C21</f>
        <v/>
      </c>
      <c r="X45" s="289" t="n"/>
    </row>
    <row r="46">
      <c r="B46" t="inlineStr">
        <is>
          <t>Paydown (-)</t>
        </is>
      </c>
      <c r="W46" s="304" t="n">
        <v>0</v>
      </c>
      <c r="X46" s="304" t="n">
        <v>0</v>
      </c>
      <c r="Y46" s="304" t="n">
        <v>0</v>
      </c>
      <c r="Z46" s="304" t="n">
        <v>0</v>
      </c>
      <c r="AA46" s="304" t="n">
        <v>0</v>
      </c>
      <c r="AB46" s="304" t="n">
        <v>0</v>
      </c>
      <c r="AC46" s="304" t="n">
        <v>0</v>
      </c>
      <c r="AD46" s="304" t="n">
        <v>0</v>
      </c>
      <c r="AE46" s="304" t="n">
        <v>0</v>
      </c>
      <c r="AF46" s="304" t="n">
        <v>0</v>
      </c>
      <c r="AG46" s="304" t="n">
        <v>0</v>
      </c>
      <c r="AH46" s="304" t="n">
        <v>0</v>
      </c>
      <c r="AI46" s="304" t="n">
        <v>0</v>
      </c>
      <c r="AJ46" s="304" t="n">
        <v>0</v>
      </c>
      <c r="AK46" s="304" t="n">
        <v>0</v>
      </c>
      <c r="AL46" s="304" t="n">
        <v>0</v>
      </c>
      <c r="AM46" s="304" t="n">
        <v>0</v>
      </c>
      <c r="AN46" s="304" t="n">
        <v>0</v>
      </c>
      <c r="AO46" s="304" t="n">
        <v>0</v>
      </c>
      <c r="AP46" s="304" t="n">
        <v>0</v>
      </c>
      <c r="AQ46" s="304" t="n">
        <v>0</v>
      </c>
      <c r="AR46" s="304" t="n">
        <v>0</v>
      </c>
      <c r="AS46" s="304" t="n">
        <v>0</v>
      </c>
      <c r="AT46" s="304" t="n">
        <v>0</v>
      </c>
      <c r="AU46" s="304" t="n">
        <v>0</v>
      </c>
      <c r="AV46" s="304" t="n">
        <v>0</v>
      </c>
      <c r="AW46" s="304" t="n">
        <v>0</v>
      </c>
      <c r="AX46" s="304" t="n">
        <v>0</v>
      </c>
      <c r="AY46" s="304" t="n">
        <v>0</v>
      </c>
    </row>
    <row r="47">
      <c r="B47" s="99" t="inlineStr">
        <is>
          <t>New Debt, End of Period</t>
        </is>
      </c>
      <c r="W47" s="305">
        <f>SUM(W44:W46)</f>
        <v/>
      </c>
      <c r="X47" s="305">
        <f>SUM(X44:X46)</f>
        <v/>
      </c>
      <c r="Y47" s="305">
        <f>SUM(Y44:Y46)</f>
        <v/>
      </c>
      <c r="Z47" s="305">
        <f>SUM(Z44:Z46)</f>
        <v/>
      </c>
      <c r="AA47" s="305">
        <f>SUM(AA44:AA46)</f>
        <v/>
      </c>
      <c r="AB47" s="305">
        <f>SUM(AB44:AB46)</f>
        <v/>
      </c>
      <c r="AC47" s="305">
        <f>SUM(AC44:AC46)</f>
        <v/>
      </c>
      <c r="AD47" s="305">
        <f>SUM(AD44:AD46)</f>
        <v/>
      </c>
      <c r="AE47" s="305">
        <f>SUM(AE44:AE46)</f>
        <v/>
      </c>
      <c r="AF47" s="305">
        <f>SUM(AF44:AF46)</f>
        <v/>
      </c>
      <c r="AG47" s="305">
        <f>SUM(AG44:AG46)</f>
        <v/>
      </c>
      <c r="AH47" s="305">
        <f>SUM(AH44:AH46)</f>
        <v/>
      </c>
      <c r="AI47" s="305">
        <f>SUM(AI44:AI46)</f>
        <v/>
      </c>
      <c r="AJ47" s="305">
        <f>SUM(AJ44:AJ46)</f>
        <v/>
      </c>
      <c r="AK47" s="305">
        <f>SUM(AK44:AK46)</f>
        <v/>
      </c>
      <c r="AL47" s="305">
        <f>SUM(AL44:AL46)</f>
        <v/>
      </c>
      <c r="AM47" s="305">
        <f>SUM(AM44:AM46)</f>
        <v/>
      </c>
      <c r="AN47" s="305">
        <f>SUM(AN44:AN46)</f>
        <v/>
      </c>
      <c r="AO47" s="305">
        <f>SUM(AO44:AO46)</f>
        <v/>
      </c>
      <c r="AP47" s="305">
        <f>SUM(AP44:AP46)</f>
        <v/>
      </c>
      <c r="AQ47" s="305">
        <f>SUM(AQ44:AQ46)</f>
        <v/>
      </c>
      <c r="AR47" s="305">
        <f>SUM(AR44:AR46)</f>
        <v/>
      </c>
      <c r="AS47" s="305">
        <f>SUM(AS44:AS46)</f>
        <v/>
      </c>
      <c r="AT47" s="305">
        <f>SUM(AT44:AT46)</f>
        <v/>
      </c>
      <c r="AU47" s="305">
        <f>SUM(AU44:AU46)</f>
        <v/>
      </c>
      <c r="AV47" s="305">
        <f>SUM(AV44:AV46)</f>
        <v/>
      </c>
      <c r="AW47" s="305">
        <f>SUM(AW44:AW46)</f>
        <v/>
      </c>
      <c r="AX47" s="305">
        <f>SUM(AX44:AX46)</f>
        <v/>
      </c>
      <c r="AY47" s="305">
        <f>SUM(AY44:AY46)</f>
        <v/>
      </c>
      <c r="BB47" s="305">
        <f>AA47</f>
        <v/>
      </c>
      <c r="BC47" s="305">
        <f>AM47</f>
        <v/>
      </c>
      <c r="BD47" s="305">
        <f>AY47</f>
        <v/>
      </c>
      <c r="BF47" s="306">
        <f>BB47</f>
        <v/>
      </c>
    </row>
    <row r="49">
      <c r="B49" t="inlineStr">
        <is>
          <t xml:space="preserve">Cash Interest </t>
        </is>
      </c>
      <c r="C49" s="121">
        <f>'Sources and Uses'!D21</f>
        <v/>
      </c>
      <c r="W49" s="303">
        <f>$C$49*AVERAGE(W44,W47)/12</f>
        <v/>
      </c>
      <c r="X49" s="303">
        <f>$C$49*AVERAGE(X44,X47)/12</f>
        <v/>
      </c>
      <c r="Y49" s="303">
        <f>$C$49*AVERAGE(Y44,Y47)/12</f>
        <v/>
      </c>
      <c r="Z49" s="303">
        <f>$C$49*AVERAGE(Z44,Z47)/12</f>
        <v/>
      </c>
      <c r="AA49" s="303">
        <f>$C$49*AVERAGE(AA44,AA47)/12</f>
        <v/>
      </c>
      <c r="AB49" s="303">
        <f>$C$49*AVERAGE(AB44,AB47)/12</f>
        <v/>
      </c>
      <c r="AC49" s="303">
        <f>$C$49*AVERAGE(AC44,AC47)/12</f>
        <v/>
      </c>
      <c r="AD49" s="303">
        <f>$C$49*AVERAGE(AD44,AD47)/12</f>
        <v/>
      </c>
      <c r="AE49" s="303">
        <f>$C$49*AVERAGE(AE44,AE47)/12</f>
        <v/>
      </c>
      <c r="AF49" s="303">
        <f>$C$49*AVERAGE(AF44,AF47)/12</f>
        <v/>
      </c>
      <c r="AG49" s="303">
        <f>$C$49*AVERAGE(AG44,AG47)/12</f>
        <v/>
      </c>
      <c r="AH49" s="303">
        <f>$C$49*AVERAGE(AH44,AH47)/12</f>
        <v/>
      </c>
      <c r="AI49" s="303">
        <f>$C$49*AVERAGE(AI44,AI47)/12</f>
        <v/>
      </c>
      <c r="AJ49" s="303">
        <f>$C$49*AVERAGE(AJ44,AJ47)/12</f>
        <v/>
      </c>
      <c r="AK49" s="303">
        <f>$C$49*AVERAGE(AK44,AK47)/12</f>
        <v/>
      </c>
      <c r="AL49" s="303">
        <f>$C$49*AVERAGE(AL44,AL47)/12</f>
        <v/>
      </c>
      <c r="AM49" s="303">
        <f>$C$49*AVERAGE(AM44,AM47)/12</f>
        <v/>
      </c>
      <c r="AN49" s="303">
        <f>$C$49*AVERAGE(AN44,AN47)/12</f>
        <v/>
      </c>
      <c r="AO49" s="303">
        <f>$C$49*AVERAGE(AO44,AO47)/12</f>
        <v/>
      </c>
      <c r="AP49" s="303">
        <f>$C$49*AVERAGE(AP44,AP47)/12</f>
        <v/>
      </c>
      <c r="AQ49" s="303">
        <f>$C$49*AVERAGE(AQ44,AQ47)/12</f>
        <v/>
      </c>
      <c r="AR49" s="303">
        <f>$C$49*AVERAGE(AR44,AR47)/12</f>
        <v/>
      </c>
      <c r="AS49" s="303">
        <f>$C$49*AVERAGE(AS44,AS47)/12</f>
        <v/>
      </c>
      <c r="AT49" s="303">
        <f>$C$49*AVERAGE(AT44,AT47)/12</f>
        <v/>
      </c>
      <c r="AU49" s="303">
        <f>$C$49*AVERAGE(AU44,AU47)/12</f>
        <v/>
      </c>
      <c r="AV49" s="303">
        <f>$C$49*AVERAGE(AV44,AV47)/12</f>
        <v/>
      </c>
      <c r="AW49" s="303">
        <f>$C$49*AVERAGE(AW44,AW47)/12</f>
        <v/>
      </c>
      <c r="AX49" s="303">
        <f>$C$49*AVERAGE(AX44,AX47)/12</f>
        <v/>
      </c>
      <c r="AY49" s="303">
        <f>$C$49*AVERAGE(AY44,AY47)/12</f>
        <v/>
      </c>
      <c r="BB49" s="288">
        <f>SUM(P49:AA49)</f>
        <v/>
      </c>
      <c r="BC49" s="288">
        <f>SUM(AB49:AM49)</f>
        <v/>
      </c>
      <c r="BD49" s="288">
        <f>SUM(AN49:AY49)</f>
        <v/>
      </c>
    </row>
    <row r="50">
      <c r="BB50" s="288" t="n"/>
      <c r="BC50" s="288" t="n"/>
      <c r="BD50" s="288" t="n"/>
    </row>
    <row r="51">
      <c r="B51" t="inlineStr">
        <is>
          <t>Studio Level EBITDA</t>
        </is>
      </c>
      <c r="D51" s="289">
        <f>Summary!D39</f>
        <v/>
      </c>
      <c r="E51" s="289">
        <f>Summary!E39</f>
        <v/>
      </c>
      <c r="F51" s="289">
        <f>Summary!F39</f>
        <v/>
      </c>
      <c r="G51" s="289">
        <f>Summary!G39</f>
        <v/>
      </c>
      <c r="H51" s="289">
        <f>Summary!H39</f>
        <v/>
      </c>
      <c r="I51" s="289">
        <f>Summary!I39</f>
        <v/>
      </c>
      <c r="J51" s="289">
        <f>Summary!J39</f>
        <v/>
      </c>
      <c r="K51" s="289">
        <f>Summary!K39</f>
        <v/>
      </c>
      <c r="L51" s="289">
        <f>Summary!L39</f>
        <v/>
      </c>
      <c r="M51" s="289">
        <f>Summary!M39</f>
        <v/>
      </c>
      <c r="N51" s="289">
        <f>Summary!N39</f>
        <v/>
      </c>
      <c r="O51" s="289">
        <f>Summary!O39</f>
        <v/>
      </c>
      <c r="P51" s="289">
        <f>Summary!P39</f>
        <v/>
      </c>
      <c r="Q51" s="289">
        <f>Summary!Q39</f>
        <v/>
      </c>
      <c r="R51" s="289">
        <f>Summary!R39</f>
        <v/>
      </c>
      <c r="S51" s="289">
        <f>Summary!S39</f>
        <v/>
      </c>
      <c r="T51" s="289">
        <f>Summary!T39</f>
        <v/>
      </c>
      <c r="U51" s="289">
        <f>Summary!U39</f>
        <v/>
      </c>
      <c r="V51" s="289">
        <f>Summary!V39</f>
        <v/>
      </c>
      <c r="W51" s="289">
        <f>Summary!W39</f>
        <v/>
      </c>
      <c r="X51" s="289">
        <f>Summary!X39</f>
        <v/>
      </c>
      <c r="Y51" s="289">
        <f>Summary!Y39</f>
        <v/>
      </c>
      <c r="Z51" s="289">
        <f>Summary!Z39</f>
        <v/>
      </c>
      <c r="AA51" s="289">
        <f>Summary!AA39</f>
        <v/>
      </c>
      <c r="AB51" s="289">
        <f>Summary!AB39</f>
        <v/>
      </c>
      <c r="AC51" s="289">
        <f>Summary!AC39</f>
        <v/>
      </c>
      <c r="AD51" s="289">
        <f>Summary!AD39</f>
        <v/>
      </c>
      <c r="AE51" s="289">
        <f>Summary!AE39</f>
        <v/>
      </c>
      <c r="AF51" s="289">
        <f>Summary!AF39</f>
        <v/>
      </c>
      <c r="AG51" s="289">
        <f>Summary!AG39</f>
        <v/>
      </c>
      <c r="AH51" s="289">
        <f>Summary!AH39</f>
        <v/>
      </c>
      <c r="AI51" s="289">
        <f>Summary!AI39</f>
        <v/>
      </c>
      <c r="AJ51" s="289">
        <f>Summary!AJ39</f>
        <v/>
      </c>
      <c r="AK51" s="289">
        <f>Summary!AK39</f>
        <v/>
      </c>
      <c r="AL51" s="289">
        <f>Summary!AL39</f>
        <v/>
      </c>
      <c r="AM51" s="289">
        <f>Summary!AM39</f>
        <v/>
      </c>
      <c r="AN51" s="289">
        <f>Summary!AN39</f>
        <v/>
      </c>
      <c r="AO51" s="289">
        <f>Summary!AO39</f>
        <v/>
      </c>
      <c r="AP51" s="289">
        <f>Summary!AP39</f>
        <v/>
      </c>
      <c r="AQ51" s="289">
        <f>Summary!AQ39</f>
        <v/>
      </c>
      <c r="AR51" s="289">
        <f>Summary!AR39</f>
        <v/>
      </c>
      <c r="AS51" s="289">
        <f>Summary!AS39</f>
        <v/>
      </c>
      <c r="AT51" s="289">
        <f>Summary!AT39</f>
        <v/>
      </c>
      <c r="AU51" s="289">
        <f>Summary!AU39</f>
        <v/>
      </c>
      <c r="AV51" s="289">
        <f>Summary!AV39</f>
        <v/>
      </c>
      <c r="AW51" s="289">
        <f>Summary!AW39</f>
        <v/>
      </c>
      <c r="AX51" s="289">
        <f>Summary!AX39</f>
        <v/>
      </c>
      <c r="AY51" s="289">
        <f>Summary!AY39</f>
        <v/>
      </c>
      <c r="BB51" s="288">
        <f>SUM(P51:AA51)</f>
        <v/>
      </c>
      <c r="BC51" s="288">
        <f>SUM(AB51:AM51)</f>
        <v/>
      </c>
      <c r="BD51" s="288">
        <f>SUM(AN51:AY51)</f>
        <v/>
      </c>
      <c r="BF51" s="288">
        <f>SUM(I51:T51)</f>
        <v/>
      </c>
    </row>
    <row r="52">
      <c r="B52" t="inlineStr">
        <is>
          <t>Corporate Level EBITDA</t>
        </is>
      </c>
      <c r="D52" s="289">
        <f>Summary!D23</f>
        <v/>
      </c>
      <c r="E52" s="289">
        <f>Summary!E23</f>
        <v/>
      </c>
      <c r="F52" s="289">
        <f>Summary!F23</f>
        <v/>
      </c>
      <c r="G52" s="289">
        <f>Summary!G23</f>
        <v/>
      </c>
      <c r="H52" s="289">
        <f>Summary!H23</f>
        <v/>
      </c>
      <c r="I52" s="289">
        <f>Summary!I23</f>
        <v/>
      </c>
      <c r="J52" s="289">
        <f>Summary!J23</f>
        <v/>
      </c>
      <c r="K52" s="289">
        <f>Summary!K23</f>
        <v/>
      </c>
      <c r="L52" s="289">
        <f>Summary!L23</f>
        <v/>
      </c>
      <c r="M52" s="289">
        <f>Summary!M23</f>
        <v/>
      </c>
      <c r="N52" s="289">
        <f>Summary!N23</f>
        <v/>
      </c>
      <c r="O52" s="289">
        <f>Summary!O23</f>
        <v/>
      </c>
      <c r="P52" s="289">
        <f>Summary!P23</f>
        <v/>
      </c>
      <c r="Q52" s="289">
        <f>Summary!Q23</f>
        <v/>
      </c>
      <c r="R52" s="289">
        <f>Summary!R23</f>
        <v/>
      </c>
      <c r="S52" s="289">
        <f>Summary!S23</f>
        <v/>
      </c>
      <c r="T52" s="289">
        <f>Summary!T23</f>
        <v/>
      </c>
      <c r="U52" s="289">
        <f>Summary!U23</f>
        <v/>
      </c>
      <c r="V52" s="289">
        <f>Summary!V23</f>
        <v/>
      </c>
      <c r="W52" s="289">
        <f>Summary!W23</f>
        <v/>
      </c>
      <c r="X52" s="289">
        <f>Summary!X23</f>
        <v/>
      </c>
      <c r="Y52" s="289">
        <f>Summary!Y23</f>
        <v/>
      </c>
      <c r="Z52" s="289">
        <f>Summary!Z23</f>
        <v/>
      </c>
      <c r="AA52" s="289">
        <f>Summary!AA23</f>
        <v/>
      </c>
      <c r="AB52" s="289">
        <f>Summary!AB23</f>
        <v/>
      </c>
      <c r="AC52" s="289">
        <f>Summary!AC23</f>
        <v/>
      </c>
      <c r="AD52" s="289">
        <f>Summary!AD23</f>
        <v/>
      </c>
      <c r="AE52" s="289">
        <f>Summary!AE23</f>
        <v/>
      </c>
      <c r="AF52" s="289">
        <f>Summary!AF23</f>
        <v/>
      </c>
      <c r="AG52" s="289">
        <f>Summary!AG23</f>
        <v/>
      </c>
      <c r="AH52" s="289">
        <f>Summary!AH23</f>
        <v/>
      </c>
      <c r="AI52" s="289">
        <f>Summary!AI23</f>
        <v/>
      </c>
      <c r="AJ52" s="289">
        <f>Summary!AJ23</f>
        <v/>
      </c>
      <c r="AK52" s="289">
        <f>Summary!AK23</f>
        <v/>
      </c>
      <c r="AL52" s="289">
        <f>Summary!AL23</f>
        <v/>
      </c>
      <c r="AM52" s="289">
        <f>Summary!AM23</f>
        <v/>
      </c>
      <c r="AN52" s="289">
        <f>Summary!AN23</f>
        <v/>
      </c>
      <c r="AO52" s="289">
        <f>Summary!AO23</f>
        <v/>
      </c>
      <c r="AP52" s="289">
        <f>Summary!AP23</f>
        <v/>
      </c>
      <c r="AQ52" s="289">
        <f>Summary!AQ23</f>
        <v/>
      </c>
      <c r="AR52" s="289">
        <f>Summary!AR23</f>
        <v/>
      </c>
      <c r="AS52" s="289">
        <f>Summary!AS23</f>
        <v/>
      </c>
      <c r="AT52" s="289">
        <f>Summary!AT23</f>
        <v/>
      </c>
      <c r="AU52" s="289">
        <f>Summary!AU23</f>
        <v/>
      </c>
      <c r="AV52" s="289">
        <f>Summary!AV23</f>
        <v/>
      </c>
      <c r="AW52" s="289">
        <f>Summary!AW23</f>
        <v/>
      </c>
      <c r="AX52" s="289">
        <f>Summary!AX23</f>
        <v/>
      </c>
      <c r="AY52" s="289">
        <f>Summary!AY23</f>
        <v/>
      </c>
      <c r="BB52" s="288">
        <f>SUM(P52:AA52)</f>
        <v/>
      </c>
      <c r="BC52" s="288">
        <f>SUM(AB52:AM52)</f>
        <v/>
      </c>
      <c r="BD52" s="288">
        <f>SUM(AN52:AY52)</f>
        <v/>
      </c>
      <c r="BF52" s="288">
        <f>SUM(I52:T52)</f>
        <v/>
      </c>
    </row>
    <row r="53">
      <c r="B53" t="inlineStr">
        <is>
          <t>Adjusted Corporate Level EBITDA</t>
        </is>
      </c>
      <c r="D53" s="289">
        <f>Summary!D59</f>
        <v/>
      </c>
      <c r="E53" s="289">
        <f>Summary!E59</f>
        <v/>
      </c>
      <c r="F53" s="289">
        <f>Summary!F59</f>
        <v/>
      </c>
      <c r="G53" s="289">
        <f>Summary!G59</f>
        <v/>
      </c>
      <c r="H53" s="289">
        <f>Summary!H59</f>
        <v/>
      </c>
      <c r="I53" s="289">
        <f>Summary!I59</f>
        <v/>
      </c>
      <c r="J53" s="289">
        <f>Summary!J59</f>
        <v/>
      </c>
      <c r="K53" s="289">
        <f>Summary!K59</f>
        <v/>
      </c>
      <c r="L53" s="289">
        <f>Summary!L59</f>
        <v/>
      </c>
      <c r="M53" s="289">
        <f>Summary!M59</f>
        <v/>
      </c>
      <c r="N53" s="289">
        <f>Summary!N59</f>
        <v/>
      </c>
      <c r="O53" s="289">
        <f>Summary!O59</f>
        <v/>
      </c>
      <c r="P53" s="289">
        <f>Summary!P59</f>
        <v/>
      </c>
      <c r="Q53" s="289">
        <f>Summary!Q59</f>
        <v/>
      </c>
      <c r="R53" s="289">
        <f>Summary!R59</f>
        <v/>
      </c>
      <c r="S53" s="289">
        <f>Summary!S59</f>
        <v/>
      </c>
      <c r="T53" s="289">
        <f>Summary!T59</f>
        <v/>
      </c>
      <c r="U53" s="289">
        <f>Summary!U59</f>
        <v/>
      </c>
      <c r="V53" s="289">
        <f>Summary!V59</f>
        <v/>
      </c>
      <c r="W53" s="289">
        <f>Summary!W59</f>
        <v/>
      </c>
      <c r="X53" s="289">
        <f>Summary!X59</f>
        <v/>
      </c>
      <c r="Y53" s="289">
        <f>Summary!Y59</f>
        <v/>
      </c>
      <c r="Z53" s="289">
        <f>Summary!Z59</f>
        <v/>
      </c>
      <c r="AA53" s="289">
        <f>Summary!AA59</f>
        <v/>
      </c>
      <c r="AB53" s="289">
        <f>Summary!AB59</f>
        <v/>
      </c>
      <c r="AC53" s="289">
        <f>Summary!AC59</f>
        <v/>
      </c>
      <c r="AD53" s="289">
        <f>Summary!AD59</f>
        <v/>
      </c>
      <c r="AE53" s="289">
        <f>Summary!AE59</f>
        <v/>
      </c>
      <c r="AF53" s="289">
        <f>Summary!AF59</f>
        <v/>
      </c>
      <c r="AG53" s="289">
        <f>Summary!AG59</f>
        <v/>
      </c>
      <c r="AH53" s="289">
        <f>Summary!AH59</f>
        <v/>
      </c>
      <c r="AI53" s="289">
        <f>Summary!AI59</f>
        <v/>
      </c>
      <c r="AJ53" s="289">
        <f>Summary!AJ59</f>
        <v/>
      </c>
      <c r="AK53" s="289">
        <f>Summary!AK59</f>
        <v/>
      </c>
      <c r="AL53" s="289">
        <f>Summary!AL59</f>
        <v/>
      </c>
      <c r="AM53" s="289">
        <f>Summary!AM59</f>
        <v/>
      </c>
      <c r="AN53" s="289">
        <f>Summary!AN59</f>
        <v/>
      </c>
      <c r="AO53" s="289">
        <f>Summary!AO59</f>
        <v/>
      </c>
      <c r="AP53" s="289">
        <f>Summary!AP59</f>
        <v/>
      </c>
      <c r="AQ53" s="289">
        <f>Summary!AQ59</f>
        <v/>
      </c>
      <c r="AR53" s="289">
        <f>Summary!AR59</f>
        <v/>
      </c>
      <c r="AS53" s="289">
        <f>Summary!AS59</f>
        <v/>
      </c>
      <c r="AT53" s="289">
        <f>Summary!AT59</f>
        <v/>
      </c>
      <c r="AU53" s="289">
        <f>Summary!AU59</f>
        <v/>
      </c>
      <c r="AV53" s="289">
        <f>Summary!AV59</f>
        <v/>
      </c>
      <c r="AW53" s="289">
        <f>Summary!AW59</f>
        <v/>
      </c>
      <c r="AX53" s="289">
        <f>Summary!AX59</f>
        <v/>
      </c>
      <c r="AY53" s="289">
        <f>Summary!AY59</f>
        <v/>
      </c>
      <c r="BB53" s="288">
        <f>SUM(P53:AA53)</f>
        <v/>
      </c>
      <c r="BC53" s="288">
        <f>SUM(AB53:AM53)</f>
        <v/>
      </c>
      <c r="BD53" s="288">
        <f>SUM(AN53:AY53)</f>
        <v/>
      </c>
      <c r="BF53" s="288">
        <f>SUM(I53:T53)</f>
        <v/>
      </c>
    </row>
    <row r="55">
      <c r="B55" t="inlineStr">
        <is>
          <t>Debt / LTM Studio Level EBITDA</t>
        </is>
      </c>
      <c r="W55" s="127">
        <f>W47/SUM(L51:W51)</f>
        <v/>
      </c>
      <c r="X55" s="127">
        <f>X47/SUM(M51:X51)</f>
        <v/>
      </c>
      <c r="Y55" s="127">
        <f>Y47/SUM(N51:Y51)</f>
        <v/>
      </c>
      <c r="Z55" s="127">
        <f>Z47/SUM(O51:Z51)</f>
        <v/>
      </c>
      <c r="AA55" s="127">
        <f>AA47/SUM(P51:AA51)</f>
        <v/>
      </c>
      <c r="AB55" s="127">
        <f>AB47/SUM(Q51:AB51)</f>
        <v/>
      </c>
      <c r="AC55" s="127">
        <f>AC47/SUM(R51:AC51)</f>
        <v/>
      </c>
      <c r="AD55" s="127">
        <f>AD47/SUM(S51:AD51)</f>
        <v/>
      </c>
      <c r="AE55" s="127">
        <f>AE47/SUM(T51:AE51)</f>
        <v/>
      </c>
      <c r="AF55" s="127">
        <f>AF47/SUM(U51:AF51)</f>
        <v/>
      </c>
      <c r="AG55" s="127">
        <f>AG47/SUM(V51:AG51)</f>
        <v/>
      </c>
      <c r="AH55" s="127">
        <f>AH47/SUM(W51:AH51)</f>
        <v/>
      </c>
      <c r="AI55" s="127">
        <f>AI47/SUM(X51:AI51)</f>
        <v/>
      </c>
      <c r="AJ55" s="127">
        <f>AJ47/SUM(Y51:AJ51)</f>
        <v/>
      </c>
      <c r="AK55" s="127">
        <f>AK47/SUM(Z51:AK51)</f>
        <v/>
      </c>
      <c r="AL55" s="127">
        <f>AL47/SUM(AA51:AL51)</f>
        <v/>
      </c>
      <c r="AM55" s="127">
        <f>AM47/SUM(AB51:AM51)</f>
        <v/>
      </c>
      <c r="AN55" s="127">
        <f>AN47/SUM(AC51:AN51)</f>
        <v/>
      </c>
      <c r="AO55" s="127">
        <f>AO47/SUM(AD51:AO51)</f>
        <v/>
      </c>
      <c r="AP55" s="127">
        <f>AP47/SUM(AE51:AP51)</f>
        <v/>
      </c>
      <c r="AQ55" s="127">
        <f>AQ47/SUM(AF51:AQ51)</f>
        <v/>
      </c>
      <c r="AR55" s="127">
        <f>AR47/SUM(AG51:AR51)</f>
        <v/>
      </c>
      <c r="AS55" s="127">
        <f>AS47/SUM(AH51:AS51)</f>
        <v/>
      </c>
      <c r="AT55" s="127">
        <f>AT47/SUM(AI51:AT51)</f>
        <v/>
      </c>
      <c r="AU55" s="127">
        <f>AU47/SUM(AJ51:AU51)</f>
        <v/>
      </c>
      <c r="AV55" s="127">
        <f>AV47/SUM(AK51:AV51)</f>
        <v/>
      </c>
      <c r="AW55" s="127">
        <f>AW47/SUM(AL51:AW51)</f>
        <v/>
      </c>
      <c r="AX55" s="127">
        <f>AX47/SUM(AM51:AX51)</f>
        <v/>
      </c>
      <c r="AY55" s="127">
        <f>AY47/SUM(AN51:AY51)</f>
        <v/>
      </c>
      <c r="BB55" s="132">
        <f>BB47/BB51</f>
        <v/>
      </c>
      <c r="BC55" s="132">
        <f>BC47/BC51</f>
        <v/>
      </c>
      <c r="BD55" s="132">
        <f>BD47/BD51</f>
        <v/>
      </c>
      <c r="BF55" s="132">
        <f>BF47/BF51</f>
        <v/>
      </c>
    </row>
    <row r="56">
      <c r="B56" t="inlineStr">
        <is>
          <t>Debt / Corporate Level EBITDA</t>
        </is>
      </c>
      <c r="W56" s="127">
        <f>W47/SUM(L52:W52)</f>
        <v/>
      </c>
      <c r="X56" s="127">
        <f>X47/SUM(M52:X52)</f>
        <v/>
      </c>
      <c r="Y56" s="127">
        <f>Y47/SUM(N52:Y52)</f>
        <v/>
      </c>
      <c r="Z56" s="127">
        <f>Z47/SUM(O52:Z52)</f>
        <v/>
      </c>
      <c r="AA56" s="127">
        <f>AA47/SUM(P52:AA52)</f>
        <v/>
      </c>
      <c r="AB56" s="127">
        <f>AB47/SUM(Q52:AB52)</f>
        <v/>
      </c>
      <c r="AC56" s="127">
        <f>AC47/SUM(R52:AC52)</f>
        <v/>
      </c>
      <c r="AD56" s="127">
        <f>AD47/SUM(S52:AD52)</f>
        <v/>
      </c>
      <c r="AE56" s="127">
        <f>AE47/SUM(T52:AE52)</f>
        <v/>
      </c>
      <c r="AF56" s="127">
        <f>AF47/SUM(U52:AF52)</f>
        <v/>
      </c>
      <c r="AG56" s="127">
        <f>AG47/SUM(V52:AG52)</f>
        <v/>
      </c>
      <c r="AH56" s="127">
        <f>AH47/SUM(W52:AH52)</f>
        <v/>
      </c>
      <c r="AI56" s="127">
        <f>AI47/SUM(X52:AI52)</f>
        <v/>
      </c>
      <c r="AJ56" s="127">
        <f>AJ47/SUM(Y52:AJ52)</f>
        <v/>
      </c>
      <c r="AK56" s="127">
        <f>AK47/SUM(Z52:AK52)</f>
        <v/>
      </c>
      <c r="AL56" s="127">
        <f>AL47/SUM(AA52:AL52)</f>
        <v/>
      </c>
      <c r="AM56" s="127">
        <f>AM47/SUM(AB52:AM52)</f>
        <v/>
      </c>
      <c r="AN56" s="127">
        <f>AN47/SUM(AC52:AN52)</f>
        <v/>
      </c>
      <c r="AO56" s="127">
        <f>AO47/SUM(AD52:AO52)</f>
        <v/>
      </c>
      <c r="AP56" s="127">
        <f>AP47/SUM(AE52:AP52)</f>
        <v/>
      </c>
      <c r="AQ56" s="127">
        <f>AQ47/SUM(AF52:AQ52)</f>
        <v/>
      </c>
      <c r="AR56" s="127">
        <f>AR47/SUM(AG52:AR52)</f>
        <v/>
      </c>
      <c r="AS56" s="127">
        <f>AS47/SUM(AH52:AS52)</f>
        <v/>
      </c>
      <c r="AT56" s="127">
        <f>AT47/SUM(AI52:AT52)</f>
        <v/>
      </c>
      <c r="AU56" s="127">
        <f>AU47/SUM(AJ52:AU52)</f>
        <v/>
      </c>
      <c r="AV56" s="127">
        <f>AV47/SUM(AK52:AV52)</f>
        <v/>
      </c>
      <c r="AW56" s="127">
        <f>AW47/SUM(AL52:AW52)</f>
        <v/>
      </c>
      <c r="AX56" s="127">
        <f>AX47/SUM(AM52:AX52)</f>
        <v/>
      </c>
      <c r="AY56" s="127">
        <f>AY47/SUM(AN52:AY52)</f>
        <v/>
      </c>
      <c r="BB56" s="132">
        <f>BB47/BB52</f>
        <v/>
      </c>
      <c r="BC56" s="132">
        <f>BC47/BC52</f>
        <v/>
      </c>
      <c r="BD56" s="132">
        <f>BD47/BD52</f>
        <v/>
      </c>
      <c r="BF56" s="132">
        <f>BF47/BF52</f>
        <v/>
      </c>
    </row>
    <row r="57">
      <c r="B57" t="inlineStr">
        <is>
          <t>Debt / Adjusted Corporate Level EBITDA</t>
        </is>
      </c>
      <c r="W57" s="127">
        <f>W47/SUM(L53:W53)</f>
        <v/>
      </c>
      <c r="X57" s="127">
        <f>X47/SUM(M53:X53)</f>
        <v/>
      </c>
      <c r="Y57" s="127">
        <f>Y47/SUM(N53:Y53)</f>
        <v/>
      </c>
      <c r="Z57" s="127">
        <f>Z47/SUM(O53:Z53)</f>
        <v/>
      </c>
      <c r="AA57" s="127">
        <f>AA47/SUM(P53:AA53)</f>
        <v/>
      </c>
      <c r="AB57" s="127">
        <f>AB47/SUM(Q53:AB53)</f>
        <v/>
      </c>
      <c r="AC57" s="127">
        <f>AC47/SUM(R53:AC53)</f>
        <v/>
      </c>
      <c r="AD57" s="127">
        <f>AD47/SUM(S53:AD53)</f>
        <v/>
      </c>
      <c r="AE57" s="127">
        <f>AE47/SUM(T53:AE53)</f>
        <v/>
      </c>
      <c r="AF57" s="127">
        <f>AF47/SUM(U53:AF53)</f>
        <v/>
      </c>
      <c r="AG57" s="127">
        <f>AG47/SUM(V53:AG53)</f>
        <v/>
      </c>
      <c r="AH57" s="127">
        <f>AH47/SUM(W53:AH53)</f>
        <v/>
      </c>
      <c r="AI57" s="127">
        <f>AI47/SUM(X53:AI53)</f>
        <v/>
      </c>
      <c r="AJ57" s="127">
        <f>AJ47/SUM(Y53:AJ53)</f>
        <v/>
      </c>
      <c r="AK57" s="127">
        <f>AK47/SUM(Z53:AK53)</f>
        <v/>
      </c>
      <c r="AL57" s="127">
        <f>AL47/SUM(AA53:AL53)</f>
        <v/>
      </c>
      <c r="AM57" s="127">
        <f>AM47/SUM(AB53:AM53)</f>
        <v/>
      </c>
      <c r="AN57" s="127">
        <f>AN47/SUM(AC53:AN53)</f>
        <v/>
      </c>
      <c r="AO57" s="127">
        <f>AO47/SUM(AD53:AO53)</f>
        <v/>
      </c>
      <c r="AP57" s="127">
        <f>AP47/SUM(AE53:AP53)</f>
        <v/>
      </c>
      <c r="AQ57" s="127">
        <f>AQ47/SUM(AF53:AQ53)</f>
        <v/>
      </c>
      <c r="AR57" s="127">
        <f>AR47/SUM(AG53:AR53)</f>
        <v/>
      </c>
      <c r="AS57" s="127">
        <f>AS47/SUM(AH53:AS53)</f>
        <v/>
      </c>
      <c r="AT57" s="127">
        <f>AT47/SUM(AI53:AT53)</f>
        <v/>
      </c>
      <c r="AU57" s="127">
        <f>AU47/SUM(AJ53:AU53)</f>
        <v/>
      </c>
      <c r="AV57" s="127">
        <f>AV47/SUM(AK53:AV53)</f>
        <v/>
      </c>
      <c r="AW57" s="127">
        <f>AW47/SUM(AL53:AW53)</f>
        <v/>
      </c>
      <c r="AX57" s="127">
        <f>AX47/SUM(AM53:AX53)</f>
        <v/>
      </c>
      <c r="AY57" s="127">
        <f>AY47/SUM(AN53:AY53)</f>
        <v/>
      </c>
      <c r="BB57" s="132">
        <f>BB47/BB53</f>
        <v/>
      </c>
      <c r="BC57" s="132">
        <f>BC47/BC53</f>
        <v/>
      </c>
      <c r="BD57" s="132">
        <f>BD47/BD53</f>
        <v/>
      </c>
      <c r="BF57" s="132">
        <f>BF47/BF53</f>
        <v/>
      </c>
    </row>
    <row r="58">
      <c r="B58" t="inlineStr">
        <is>
          <t>Corporate Level EBITDA / Cash Interest</t>
        </is>
      </c>
      <c r="W58" s="127">
        <f>W52/W49</f>
        <v/>
      </c>
      <c r="X58" s="127">
        <f>X52/X49</f>
        <v/>
      </c>
      <c r="Y58" s="127">
        <f>Y52/Y49</f>
        <v/>
      </c>
      <c r="Z58" s="127">
        <f>Z52/Z49</f>
        <v/>
      </c>
      <c r="AA58" s="127">
        <f>AA52/AA49</f>
        <v/>
      </c>
      <c r="AB58" s="127">
        <f>AB52/AB49</f>
        <v/>
      </c>
      <c r="AC58" s="127">
        <f>AC52/AC49</f>
        <v/>
      </c>
      <c r="AD58" s="127">
        <f>AD52/AD49</f>
        <v/>
      </c>
      <c r="AE58" s="127">
        <f>AE52/AE49</f>
        <v/>
      </c>
      <c r="AF58" s="127">
        <f>AF52/AF49</f>
        <v/>
      </c>
      <c r="AG58" s="127">
        <f>AG52/AG49</f>
        <v/>
      </c>
      <c r="AH58" s="127">
        <f>AH52/AH49</f>
        <v/>
      </c>
      <c r="AI58" s="127">
        <f>AI52/AI49</f>
        <v/>
      </c>
      <c r="AJ58" s="127">
        <f>AJ52/AJ49</f>
        <v/>
      </c>
      <c r="AK58" s="127">
        <f>AK52/AK49</f>
        <v/>
      </c>
      <c r="AL58" s="127">
        <f>AL52/AL49</f>
        <v/>
      </c>
      <c r="AM58" s="127">
        <f>AM52/AM49</f>
        <v/>
      </c>
      <c r="AN58" s="127">
        <f>AN52/AN49</f>
        <v/>
      </c>
      <c r="AO58" s="127">
        <f>AO52/AO49</f>
        <v/>
      </c>
      <c r="AP58" s="127">
        <f>AP52/AP49</f>
        <v/>
      </c>
      <c r="AQ58" s="127">
        <f>AQ52/AQ49</f>
        <v/>
      </c>
      <c r="AR58" s="127">
        <f>AR52/AR49</f>
        <v/>
      </c>
      <c r="AS58" s="127">
        <f>AS52/AS49</f>
        <v/>
      </c>
      <c r="AT58" s="127">
        <f>AT52/AT49</f>
        <v/>
      </c>
      <c r="AU58" s="127">
        <f>AU52/AU49</f>
        <v/>
      </c>
      <c r="AV58" s="127">
        <f>AV52/AV49</f>
        <v/>
      </c>
      <c r="AW58" s="127">
        <f>AW52/AW49</f>
        <v/>
      </c>
      <c r="AX58" s="127">
        <f>AX52/AX49</f>
        <v/>
      </c>
      <c r="AY58" s="127">
        <f>AY52/AY49</f>
        <v/>
      </c>
      <c r="BB58" s="132">
        <f>IFERROR(BB52/BB49,"NA")</f>
        <v/>
      </c>
      <c r="BC58" s="132">
        <f>IFERROR(BC52/BC49,"NA")</f>
        <v/>
      </c>
      <c r="BD58" s="132">
        <f>IFERROR(BD52/BD49,"NA")</f>
        <v/>
      </c>
      <c r="BF58" s="132">
        <f>IFERROR(BF52/BF49,"NA")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B2:AY48"/>
  <sheetViews>
    <sheetView showGridLines="0" workbookViewId="0">
      <pane xSplit="3" ySplit="5" topLeftCell="J6" activePane="bottomRight" state="frozen"/>
      <selection pane="topRight" activeCell="A1" sqref="A1"/>
      <selection pane="bottomLeft" activeCell="A1" sqref="A1"/>
      <selection pane="bottomRight" activeCell="U33" sqref="U33"/>
    </sheetView>
  </sheetViews>
  <sheetFormatPr baseColWidth="10" defaultColWidth="8.83203125" defaultRowHeight="15"/>
  <cols>
    <col hidden="1" width="2" customWidth="1" style="282" min="1" max="1"/>
    <col width="30" customWidth="1" style="282" min="2" max="2"/>
    <col width="10" customWidth="1" style="282" min="3" max="3"/>
    <col width="12" customWidth="1" style="282" min="4" max="39"/>
  </cols>
  <sheetData>
    <row r="2" ht="21" customHeight="1" s="282">
      <c r="B2" s="9" t="inlineStr">
        <is>
          <t>Profit &amp; Loss (Consolidated)</t>
        </is>
      </c>
    </row>
    <row r="3">
      <c r="B3" s="3" t="inlineStr">
        <is>
          <t>Actuals Jan-Jul 2026. Forecast Aug 2026+ uses formulas from Sales Forecast and Assumptions.</t>
        </is>
      </c>
    </row>
    <row r="4" ht="16" customHeight="1" s="282">
      <c r="B4" s="10" t="inlineStr">
        <is>
          <t>Monthly P&amp;L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>
      <c r="B6" s="18" t="inlineStr">
        <is>
          <t>Session Revenue</t>
        </is>
      </c>
      <c r="D6" s="19" t="n">
        <v>624194.1800000001</v>
      </c>
      <c r="E6" s="19" t="n">
        <v>640401.1299999999</v>
      </c>
      <c r="F6" s="19" t="n">
        <v>771305.4099999999</v>
      </c>
      <c r="G6" s="19" t="n">
        <v>721737.3200000001</v>
      </c>
      <c r="H6" s="19" t="n">
        <v>765537.0200000001</v>
      </c>
      <c r="I6" s="19" t="n">
        <v>745441.08</v>
      </c>
      <c r="J6" s="19" t="n">
        <v>736428.0900000001</v>
      </c>
      <c r="K6" s="19" t="n">
        <v>724732.0300000003</v>
      </c>
      <c r="L6" s="19" t="n">
        <v>722621.96</v>
      </c>
      <c r="M6" s="19" t="n">
        <v>738386.5200000001</v>
      </c>
      <c r="N6" s="19" t="n">
        <v>707731.7899999999</v>
      </c>
      <c r="O6" s="19" t="n">
        <v>691997.3200000001</v>
      </c>
      <c r="P6" s="19">
        <f>'QBO Actuals'!C80</f>
        <v/>
      </c>
      <c r="Q6" s="19">
        <f>'QBO Actuals'!D80</f>
        <v/>
      </c>
      <c r="R6" s="19">
        <f>'QBO Actuals'!E80</f>
        <v/>
      </c>
      <c r="S6" s="19">
        <f>'QBO Actuals'!F80</f>
        <v/>
      </c>
      <c r="T6" s="19">
        <f>'QBO Actuals'!G80</f>
        <v/>
      </c>
      <c r="U6" s="19">
        <f>'QBO Actuals'!H80</f>
        <v/>
      </c>
      <c r="V6" s="20">
        <f>'QBO Actuals'!I80</f>
        <v/>
      </c>
      <c r="W6" s="20">
        <f>'Sales Forecast'!W18*Assumptions!$C$12+'Sales Forecast'!V18*Assumptions!$D$12+'Sales Forecast'!U18*Assumptions!$E$12+'Sales Forecast'!T18*Assumptions!$F$12+'Sales Forecast'!S18*Assumptions!$G$12+'Sales Forecast'!R18*Assumptions!$H$12+'Sales Forecast'!Q18*Assumptions!$I$12</f>
        <v/>
      </c>
      <c r="X6" s="20">
        <f>'Sales Forecast'!X18*Assumptions!$C$12+'Sales Forecast'!W18*Assumptions!$D$12+'Sales Forecast'!V18*Assumptions!$E$12+'Sales Forecast'!U18*Assumptions!$F$12+'Sales Forecast'!T18*Assumptions!$G$12+'Sales Forecast'!S18*Assumptions!$H$12+'Sales Forecast'!R18*Assumptions!$I$12</f>
        <v/>
      </c>
      <c r="Y6" s="20">
        <f>'Sales Forecast'!Y18*Assumptions!$C$12+'Sales Forecast'!X18*Assumptions!$D$12+'Sales Forecast'!W18*Assumptions!$E$12+'Sales Forecast'!V18*Assumptions!$F$12+'Sales Forecast'!U18*Assumptions!$G$12+'Sales Forecast'!T18*Assumptions!$H$12+'Sales Forecast'!S18*Assumptions!$I$12</f>
        <v/>
      </c>
      <c r="Z6" s="20">
        <f>'Sales Forecast'!Z18*Assumptions!$C$12+'Sales Forecast'!Y18*Assumptions!$D$12+'Sales Forecast'!X18*Assumptions!$E$12+'Sales Forecast'!W18*Assumptions!$F$12+'Sales Forecast'!V18*Assumptions!$G$12+'Sales Forecast'!U18*Assumptions!$H$12+'Sales Forecast'!T18*Assumptions!$I$12</f>
        <v/>
      </c>
      <c r="AA6" s="20">
        <f>'Sales Forecast'!AA18*Assumptions!$C$12+'Sales Forecast'!Z18*Assumptions!$D$12+'Sales Forecast'!Y18*Assumptions!$E$12+'Sales Forecast'!X18*Assumptions!$F$12+'Sales Forecast'!W18*Assumptions!$G$12+'Sales Forecast'!V18*Assumptions!$H$12+'Sales Forecast'!U18*Assumptions!$I$12</f>
        <v/>
      </c>
      <c r="AB6" s="20">
        <f>'Sales Forecast'!AB18*Assumptions!$C$12+'Sales Forecast'!AA18*Assumptions!$D$12+'Sales Forecast'!Z18*Assumptions!$E$12+'Sales Forecast'!Y18*Assumptions!$F$12+'Sales Forecast'!X18*Assumptions!$G$12+'Sales Forecast'!W18*Assumptions!$H$12+'Sales Forecast'!V18*Assumptions!$I$12</f>
        <v/>
      </c>
      <c r="AC6" s="20">
        <f>'Sales Forecast'!AC18*Assumptions!$C$12+'Sales Forecast'!AB18*Assumptions!$D$12+'Sales Forecast'!AA18*Assumptions!$E$12+'Sales Forecast'!Z18*Assumptions!$F$12+'Sales Forecast'!Y18*Assumptions!$G$12+'Sales Forecast'!X18*Assumptions!$H$12+'Sales Forecast'!W18*Assumptions!$I$12</f>
        <v/>
      </c>
      <c r="AD6" s="20">
        <f>'Sales Forecast'!AD18*Assumptions!$C$12+'Sales Forecast'!AC18*Assumptions!$D$12+'Sales Forecast'!AB18*Assumptions!$E$12+'Sales Forecast'!AA18*Assumptions!$F$12+'Sales Forecast'!Z18*Assumptions!$G$12+'Sales Forecast'!Y18*Assumptions!$H$12+'Sales Forecast'!X18*Assumptions!$I$12</f>
        <v/>
      </c>
      <c r="AE6" s="20">
        <f>'Sales Forecast'!AE18*Assumptions!$C$12+'Sales Forecast'!AD18*Assumptions!$D$12+'Sales Forecast'!AC18*Assumptions!$E$12+'Sales Forecast'!AB18*Assumptions!$F$12+'Sales Forecast'!AA18*Assumptions!$G$12+'Sales Forecast'!Z18*Assumptions!$H$12+'Sales Forecast'!Y18*Assumptions!$I$12</f>
        <v/>
      </c>
      <c r="AF6" s="20">
        <f>'Sales Forecast'!AF18*Assumptions!$C$12+'Sales Forecast'!AE18*Assumptions!$D$12+'Sales Forecast'!AD18*Assumptions!$E$12+'Sales Forecast'!AC18*Assumptions!$F$12+'Sales Forecast'!AB18*Assumptions!$G$12+'Sales Forecast'!AA18*Assumptions!$H$12+'Sales Forecast'!Z18*Assumptions!$I$12</f>
        <v/>
      </c>
      <c r="AG6" s="20">
        <f>'Sales Forecast'!AG18*Assumptions!$C$12+'Sales Forecast'!AF18*Assumptions!$D$12+'Sales Forecast'!AE18*Assumptions!$E$12+'Sales Forecast'!AD18*Assumptions!$F$12+'Sales Forecast'!AC18*Assumptions!$G$12+'Sales Forecast'!AB18*Assumptions!$H$12+'Sales Forecast'!AA18*Assumptions!$I$12</f>
        <v/>
      </c>
      <c r="AH6" s="20">
        <f>'Sales Forecast'!AH18*Assumptions!$C$12+'Sales Forecast'!AG18*Assumptions!$D$12+'Sales Forecast'!AF18*Assumptions!$E$12+'Sales Forecast'!AE18*Assumptions!$F$12+'Sales Forecast'!AD18*Assumptions!$G$12+'Sales Forecast'!AC18*Assumptions!$H$12+'Sales Forecast'!AB18*Assumptions!$I$12</f>
        <v/>
      </c>
      <c r="AI6" s="20">
        <f>'Sales Forecast'!AI18*Assumptions!$C$12+'Sales Forecast'!AH18*Assumptions!$D$12+'Sales Forecast'!AG18*Assumptions!$E$12+'Sales Forecast'!AF18*Assumptions!$F$12+'Sales Forecast'!AE18*Assumptions!$G$12+'Sales Forecast'!AD18*Assumptions!$H$12+'Sales Forecast'!AC18*Assumptions!$I$12</f>
        <v/>
      </c>
      <c r="AJ6" s="20">
        <f>'Sales Forecast'!AJ18*Assumptions!$C$12+'Sales Forecast'!AI18*Assumptions!$D$12+'Sales Forecast'!AH18*Assumptions!$E$12+'Sales Forecast'!AG18*Assumptions!$F$12+'Sales Forecast'!AF18*Assumptions!$G$12+'Sales Forecast'!AE18*Assumptions!$H$12+'Sales Forecast'!AD18*Assumptions!$I$12</f>
        <v/>
      </c>
      <c r="AK6" s="20">
        <f>'Sales Forecast'!AK18*Assumptions!$C$12+'Sales Forecast'!AJ18*Assumptions!$D$12+'Sales Forecast'!AI18*Assumptions!$E$12+'Sales Forecast'!AH18*Assumptions!$F$12+'Sales Forecast'!AG18*Assumptions!$G$12+'Sales Forecast'!AF18*Assumptions!$H$12+'Sales Forecast'!AE18*Assumptions!$I$12</f>
        <v/>
      </c>
      <c r="AL6" s="20">
        <f>'Sales Forecast'!AL18*Assumptions!$C$12+'Sales Forecast'!AK18*Assumptions!$D$12+'Sales Forecast'!AJ18*Assumptions!$E$12+'Sales Forecast'!AI18*Assumptions!$F$12+'Sales Forecast'!AH18*Assumptions!$G$12+'Sales Forecast'!AG18*Assumptions!$H$12+'Sales Forecast'!AF18*Assumptions!$I$12</f>
        <v/>
      </c>
      <c r="AM6" s="20">
        <f>'Sales Forecast'!AM18*Assumptions!$C$12+'Sales Forecast'!AL18*Assumptions!$D$12+'Sales Forecast'!AK18*Assumptions!$E$12+'Sales Forecast'!AJ18*Assumptions!$F$12+'Sales Forecast'!AI18*Assumptions!$G$12+'Sales Forecast'!AH18*Assumptions!$H$12+'Sales Forecast'!AG18*Assumptions!$I$12</f>
        <v/>
      </c>
      <c r="AN6" s="20">
        <f>'Sales Forecast'!AN18*Assumptions!$C$12+'Sales Forecast'!AM18*Assumptions!$D$12+'Sales Forecast'!AL18*Assumptions!$E$12+'Sales Forecast'!AK18*Assumptions!$F$12+'Sales Forecast'!AJ18*Assumptions!$G$12+'Sales Forecast'!AI18*Assumptions!$H$12+'Sales Forecast'!AH18*Assumptions!$I$12</f>
        <v/>
      </c>
      <c r="AO6" s="20">
        <f>'Sales Forecast'!AO18*Assumptions!$C$12+'Sales Forecast'!AN18*Assumptions!$D$12+'Sales Forecast'!AM18*Assumptions!$E$12+'Sales Forecast'!AL18*Assumptions!$F$12+'Sales Forecast'!AK18*Assumptions!$G$12+'Sales Forecast'!AJ18*Assumptions!$H$12+'Sales Forecast'!AI18*Assumptions!$I$12</f>
        <v/>
      </c>
      <c r="AP6" s="20">
        <f>'Sales Forecast'!AP18*Assumptions!$C$12+'Sales Forecast'!AO18*Assumptions!$D$12+'Sales Forecast'!AN18*Assumptions!$E$12+'Sales Forecast'!AM18*Assumptions!$F$12+'Sales Forecast'!AL18*Assumptions!$G$12+'Sales Forecast'!AK18*Assumptions!$H$12+'Sales Forecast'!AJ18*Assumptions!$I$12</f>
        <v/>
      </c>
      <c r="AQ6" s="20">
        <f>'Sales Forecast'!AQ18*Assumptions!$C$12+'Sales Forecast'!AP18*Assumptions!$D$12+'Sales Forecast'!AO18*Assumptions!$E$12+'Sales Forecast'!AN18*Assumptions!$F$12+'Sales Forecast'!AM18*Assumptions!$G$12+'Sales Forecast'!AL18*Assumptions!$H$12+'Sales Forecast'!AK18*Assumptions!$I$12</f>
        <v/>
      </c>
      <c r="AR6" s="20">
        <f>'Sales Forecast'!AR18*Assumptions!$C$12+'Sales Forecast'!AQ18*Assumptions!$D$12+'Sales Forecast'!AP18*Assumptions!$E$12+'Sales Forecast'!AO18*Assumptions!$F$12+'Sales Forecast'!AN18*Assumptions!$G$12+'Sales Forecast'!AM18*Assumptions!$H$12+'Sales Forecast'!AL18*Assumptions!$I$12</f>
        <v/>
      </c>
      <c r="AS6" s="20">
        <f>'Sales Forecast'!AS18*Assumptions!$C$12+'Sales Forecast'!AR18*Assumptions!$D$12+'Sales Forecast'!AQ18*Assumptions!$E$12+'Sales Forecast'!AP18*Assumptions!$F$12+'Sales Forecast'!AO18*Assumptions!$G$12+'Sales Forecast'!AN18*Assumptions!$H$12+'Sales Forecast'!AM18*Assumptions!$I$12</f>
        <v/>
      </c>
      <c r="AT6" s="20">
        <f>'Sales Forecast'!AT18*Assumptions!$C$12+'Sales Forecast'!AS18*Assumptions!$D$12+'Sales Forecast'!AR18*Assumptions!$E$12+'Sales Forecast'!AQ18*Assumptions!$F$12+'Sales Forecast'!AP18*Assumptions!$G$12+'Sales Forecast'!AO18*Assumptions!$H$12+'Sales Forecast'!AN18*Assumptions!$I$12</f>
        <v/>
      </c>
      <c r="AU6" s="20">
        <f>'Sales Forecast'!AU18*Assumptions!$C$12+'Sales Forecast'!AT18*Assumptions!$D$12+'Sales Forecast'!AS18*Assumptions!$E$12+'Sales Forecast'!AR18*Assumptions!$F$12+'Sales Forecast'!AQ18*Assumptions!$G$12+'Sales Forecast'!AP18*Assumptions!$H$12+'Sales Forecast'!AO18*Assumptions!$I$12</f>
        <v/>
      </c>
      <c r="AV6" s="20">
        <f>'Sales Forecast'!AV18*Assumptions!$C$12+'Sales Forecast'!AU18*Assumptions!$D$12+'Sales Forecast'!AT18*Assumptions!$E$12+'Sales Forecast'!AS18*Assumptions!$F$12+'Sales Forecast'!AR18*Assumptions!$G$12+'Sales Forecast'!AQ18*Assumptions!$H$12+'Sales Forecast'!AP18*Assumptions!$I$12</f>
        <v/>
      </c>
      <c r="AW6" s="20">
        <f>'Sales Forecast'!AW18*Assumptions!$C$12+'Sales Forecast'!AV18*Assumptions!$D$12+'Sales Forecast'!AU18*Assumptions!$E$12+'Sales Forecast'!AT18*Assumptions!$F$12+'Sales Forecast'!AS18*Assumptions!$G$12+'Sales Forecast'!AR18*Assumptions!$H$12+'Sales Forecast'!AQ18*Assumptions!$I$12</f>
        <v/>
      </c>
      <c r="AX6" s="20">
        <f>'Sales Forecast'!AX18*Assumptions!$C$12+'Sales Forecast'!AW18*Assumptions!$D$12+'Sales Forecast'!AV18*Assumptions!$E$12+'Sales Forecast'!AU18*Assumptions!$F$12+'Sales Forecast'!AT18*Assumptions!$G$12+'Sales Forecast'!AS18*Assumptions!$H$12+'Sales Forecast'!AR18*Assumptions!$I$12</f>
        <v/>
      </c>
      <c r="AY6" s="20">
        <f>'Sales Forecast'!AY18*Assumptions!$C$12+'Sales Forecast'!AX18*Assumptions!$D$12+'Sales Forecast'!AW18*Assumptions!$E$12+'Sales Forecast'!AV18*Assumptions!$F$12+'Sales Forecast'!AU18*Assumptions!$G$12+'Sales Forecast'!AT18*Assumptions!$H$12+'Sales Forecast'!AS18*Assumptions!$I$12</f>
        <v/>
      </c>
    </row>
    <row r="7">
      <c r="B7" s="18" t="inlineStr">
        <is>
          <t>Breakage Revenue</t>
        </is>
      </c>
      <c r="D7" s="19" t="n">
        <v>75237.94</v>
      </c>
      <c r="E7" s="19" t="n">
        <v>109399.17</v>
      </c>
      <c r="F7" s="19" t="n">
        <v>140651.46</v>
      </c>
      <c r="G7" s="19" t="n">
        <v>149516.51</v>
      </c>
      <c r="H7" s="19" t="n">
        <v>181344.3</v>
      </c>
      <c r="I7" s="19" t="n">
        <v>149213.5</v>
      </c>
      <c r="J7" s="19" t="n">
        <v>157965.23</v>
      </c>
      <c r="K7" s="19" t="n">
        <v>206864.97</v>
      </c>
      <c r="L7" s="19" t="n">
        <v>213185.16</v>
      </c>
      <c r="M7" s="19" t="n">
        <v>179766.24</v>
      </c>
      <c r="N7" s="19" t="n">
        <v>238121.51</v>
      </c>
      <c r="O7" s="19" t="n">
        <v>304457.14</v>
      </c>
      <c r="P7" s="19">
        <f>'QBO Actuals'!C81</f>
        <v/>
      </c>
      <c r="Q7" s="19">
        <f>'QBO Actuals'!D81</f>
        <v/>
      </c>
      <c r="R7" s="19">
        <f>'QBO Actuals'!E81</f>
        <v/>
      </c>
      <c r="S7" s="19">
        <f>'QBO Actuals'!F81</f>
        <v/>
      </c>
      <c r="T7" s="19">
        <f>'QBO Actuals'!G81</f>
        <v/>
      </c>
      <c r="U7" s="19">
        <f>'QBO Actuals'!H81</f>
        <v/>
      </c>
      <c r="V7" s="20">
        <f>'QBO Actuals'!I81</f>
        <v/>
      </c>
      <c r="W7" s="20">
        <f>'Sales Forecast'!W18*Assumptions!$C$13+'Sales Forecast'!V18*Assumptions!$D$13+'Sales Forecast'!U18*Assumptions!$E$13+'Sales Forecast'!T18*Assumptions!$F$13+'Sales Forecast'!S18*Assumptions!$G$13+'Sales Forecast'!R18*Assumptions!$H$13+'Sales Forecast'!Q18*Assumptions!$I$13</f>
        <v/>
      </c>
      <c r="X7" s="20">
        <f>'Sales Forecast'!X18*Assumptions!$C$13+'Sales Forecast'!W18*Assumptions!$D$13+'Sales Forecast'!V18*Assumptions!$E$13+'Sales Forecast'!U18*Assumptions!$F$13+'Sales Forecast'!T18*Assumptions!$G$13+'Sales Forecast'!S18*Assumptions!$H$13+'Sales Forecast'!R18*Assumptions!$I$13</f>
        <v/>
      </c>
      <c r="Y7" s="20">
        <f>'Sales Forecast'!Y18*Assumptions!$C$13+'Sales Forecast'!X18*Assumptions!$D$13+'Sales Forecast'!W18*Assumptions!$E$13+'Sales Forecast'!V18*Assumptions!$F$13+'Sales Forecast'!U18*Assumptions!$G$13+'Sales Forecast'!T18*Assumptions!$H$13+'Sales Forecast'!S18*Assumptions!$I$13</f>
        <v/>
      </c>
      <c r="Z7" s="20">
        <f>'Sales Forecast'!Z18*Assumptions!$C$13+'Sales Forecast'!Y18*Assumptions!$D$13+'Sales Forecast'!X18*Assumptions!$E$13+'Sales Forecast'!W18*Assumptions!$F$13+'Sales Forecast'!V18*Assumptions!$G$13+'Sales Forecast'!U18*Assumptions!$H$13+'Sales Forecast'!T18*Assumptions!$I$13</f>
        <v/>
      </c>
      <c r="AA7" s="20">
        <f>'Sales Forecast'!AA18*Assumptions!$C$13+'Sales Forecast'!Z18*Assumptions!$D$13+'Sales Forecast'!Y18*Assumptions!$E$13+'Sales Forecast'!X18*Assumptions!$F$13+'Sales Forecast'!W18*Assumptions!$G$13+'Sales Forecast'!V18*Assumptions!$H$13+'Sales Forecast'!U18*Assumptions!$I$13</f>
        <v/>
      </c>
      <c r="AB7" s="20">
        <f>'Sales Forecast'!AB18*Assumptions!$C$13+'Sales Forecast'!AA18*Assumptions!$D$13+'Sales Forecast'!Z18*Assumptions!$E$13+'Sales Forecast'!Y18*Assumptions!$F$13+'Sales Forecast'!X18*Assumptions!$G$13+'Sales Forecast'!W18*Assumptions!$H$13+'Sales Forecast'!V18*Assumptions!$I$13</f>
        <v/>
      </c>
      <c r="AC7" s="20">
        <f>'Sales Forecast'!AC18*Assumptions!$C$13+'Sales Forecast'!AB18*Assumptions!$D$13+'Sales Forecast'!AA18*Assumptions!$E$13+'Sales Forecast'!Z18*Assumptions!$F$13+'Sales Forecast'!Y18*Assumptions!$G$13+'Sales Forecast'!X18*Assumptions!$H$13+'Sales Forecast'!W18*Assumptions!$I$13</f>
        <v/>
      </c>
      <c r="AD7" s="20">
        <f>'Sales Forecast'!AD18*Assumptions!$C$13+'Sales Forecast'!AC18*Assumptions!$D$13+'Sales Forecast'!AB18*Assumptions!$E$13+'Sales Forecast'!AA18*Assumptions!$F$13+'Sales Forecast'!Z18*Assumptions!$G$13+'Sales Forecast'!Y18*Assumptions!$H$13+'Sales Forecast'!X18*Assumptions!$I$13</f>
        <v/>
      </c>
      <c r="AE7" s="20">
        <f>'Sales Forecast'!AE18*Assumptions!$C$13+'Sales Forecast'!AD18*Assumptions!$D$13+'Sales Forecast'!AC18*Assumptions!$E$13+'Sales Forecast'!AB18*Assumptions!$F$13+'Sales Forecast'!AA18*Assumptions!$G$13+'Sales Forecast'!Z18*Assumptions!$H$13+'Sales Forecast'!Y18*Assumptions!$I$13</f>
        <v/>
      </c>
      <c r="AF7" s="20">
        <f>'Sales Forecast'!AF18*Assumptions!$C$13+'Sales Forecast'!AE18*Assumptions!$D$13+'Sales Forecast'!AD18*Assumptions!$E$13+'Sales Forecast'!AC18*Assumptions!$F$13+'Sales Forecast'!AB18*Assumptions!$G$13+'Sales Forecast'!AA18*Assumptions!$H$13+'Sales Forecast'!Z18*Assumptions!$I$13</f>
        <v/>
      </c>
      <c r="AG7" s="20">
        <f>'Sales Forecast'!AG18*Assumptions!$C$13+'Sales Forecast'!AF18*Assumptions!$D$13+'Sales Forecast'!AE18*Assumptions!$E$13+'Sales Forecast'!AD18*Assumptions!$F$13+'Sales Forecast'!AC18*Assumptions!$G$13+'Sales Forecast'!AB18*Assumptions!$H$13+'Sales Forecast'!AA18*Assumptions!$I$13</f>
        <v/>
      </c>
      <c r="AH7" s="20">
        <f>'Sales Forecast'!AH18*Assumptions!$C$13+'Sales Forecast'!AG18*Assumptions!$D$13+'Sales Forecast'!AF18*Assumptions!$E$13+'Sales Forecast'!AE18*Assumptions!$F$13+'Sales Forecast'!AD18*Assumptions!$G$13+'Sales Forecast'!AC18*Assumptions!$H$13+'Sales Forecast'!AB18*Assumptions!$I$13</f>
        <v/>
      </c>
      <c r="AI7" s="20">
        <f>'Sales Forecast'!AI18*Assumptions!$C$13+'Sales Forecast'!AH18*Assumptions!$D$13+'Sales Forecast'!AG18*Assumptions!$E$13+'Sales Forecast'!AF18*Assumptions!$F$13+'Sales Forecast'!AE18*Assumptions!$G$13+'Sales Forecast'!AD18*Assumptions!$H$13+'Sales Forecast'!AC18*Assumptions!$I$13</f>
        <v/>
      </c>
      <c r="AJ7" s="20">
        <f>'Sales Forecast'!AJ18*Assumptions!$C$13+'Sales Forecast'!AI18*Assumptions!$D$13+'Sales Forecast'!AH18*Assumptions!$E$13+'Sales Forecast'!AG18*Assumptions!$F$13+'Sales Forecast'!AF18*Assumptions!$G$13+'Sales Forecast'!AE18*Assumptions!$H$13+'Sales Forecast'!AD18*Assumptions!$I$13</f>
        <v/>
      </c>
      <c r="AK7" s="20">
        <f>'Sales Forecast'!AK18*Assumptions!$C$13+'Sales Forecast'!AJ18*Assumptions!$D$13+'Sales Forecast'!AI18*Assumptions!$E$13+'Sales Forecast'!AH18*Assumptions!$F$13+'Sales Forecast'!AG18*Assumptions!$G$13+'Sales Forecast'!AF18*Assumptions!$H$13+'Sales Forecast'!AE18*Assumptions!$I$13</f>
        <v/>
      </c>
      <c r="AL7" s="20">
        <f>'Sales Forecast'!AL18*Assumptions!$C$13+'Sales Forecast'!AK18*Assumptions!$D$13+'Sales Forecast'!AJ18*Assumptions!$E$13+'Sales Forecast'!AI18*Assumptions!$F$13+'Sales Forecast'!AH18*Assumptions!$G$13+'Sales Forecast'!AG18*Assumptions!$H$13+'Sales Forecast'!AF18*Assumptions!$I$13</f>
        <v/>
      </c>
      <c r="AM7" s="20">
        <f>'Sales Forecast'!AM18*Assumptions!$C$13+'Sales Forecast'!AL18*Assumptions!$D$13+'Sales Forecast'!AK18*Assumptions!$E$13+'Sales Forecast'!AJ18*Assumptions!$F$13+'Sales Forecast'!AI18*Assumptions!$G$13+'Sales Forecast'!AH18*Assumptions!$H$13+'Sales Forecast'!AG18*Assumptions!$I$13</f>
        <v/>
      </c>
      <c r="AN7" s="20">
        <f>'Sales Forecast'!AN18*Assumptions!$C$13+'Sales Forecast'!AM18*Assumptions!$D$13+'Sales Forecast'!AL18*Assumptions!$E$13+'Sales Forecast'!AK18*Assumptions!$F$13+'Sales Forecast'!AJ18*Assumptions!$G$13+'Sales Forecast'!AI18*Assumptions!$H$13+'Sales Forecast'!AH18*Assumptions!$I$13</f>
        <v/>
      </c>
      <c r="AO7" s="20">
        <f>'Sales Forecast'!AO18*Assumptions!$C$13+'Sales Forecast'!AN18*Assumptions!$D$13+'Sales Forecast'!AM18*Assumptions!$E$13+'Sales Forecast'!AL18*Assumptions!$F$13+'Sales Forecast'!AK18*Assumptions!$G$13+'Sales Forecast'!AJ18*Assumptions!$H$13+'Sales Forecast'!AI18*Assumptions!$I$13</f>
        <v/>
      </c>
      <c r="AP7" s="20">
        <f>'Sales Forecast'!AP18*Assumptions!$C$13+'Sales Forecast'!AO18*Assumptions!$D$13+'Sales Forecast'!AN18*Assumptions!$E$13+'Sales Forecast'!AM18*Assumptions!$F$13+'Sales Forecast'!AL18*Assumptions!$G$13+'Sales Forecast'!AK18*Assumptions!$H$13+'Sales Forecast'!AJ18*Assumptions!$I$13</f>
        <v/>
      </c>
      <c r="AQ7" s="20">
        <f>'Sales Forecast'!AQ18*Assumptions!$C$13+'Sales Forecast'!AP18*Assumptions!$D$13+'Sales Forecast'!AO18*Assumptions!$E$13+'Sales Forecast'!AN18*Assumptions!$F$13+'Sales Forecast'!AM18*Assumptions!$G$13+'Sales Forecast'!AL18*Assumptions!$H$13+'Sales Forecast'!AK18*Assumptions!$I$13</f>
        <v/>
      </c>
      <c r="AR7" s="20">
        <f>'Sales Forecast'!AR18*Assumptions!$C$13+'Sales Forecast'!AQ18*Assumptions!$D$13+'Sales Forecast'!AP18*Assumptions!$E$13+'Sales Forecast'!AO18*Assumptions!$F$13+'Sales Forecast'!AN18*Assumptions!$G$13+'Sales Forecast'!AM18*Assumptions!$H$13+'Sales Forecast'!AL18*Assumptions!$I$13</f>
        <v/>
      </c>
      <c r="AS7" s="20">
        <f>'Sales Forecast'!AS18*Assumptions!$C$13+'Sales Forecast'!AR18*Assumptions!$D$13+'Sales Forecast'!AQ18*Assumptions!$E$13+'Sales Forecast'!AP18*Assumptions!$F$13+'Sales Forecast'!AO18*Assumptions!$G$13+'Sales Forecast'!AN18*Assumptions!$H$13+'Sales Forecast'!AM18*Assumptions!$I$13</f>
        <v/>
      </c>
      <c r="AT7" s="20">
        <f>'Sales Forecast'!AT18*Assumptions!$C$13+'Sales Forecast'!AS18*Assumptions!$D$13+'Sales Forecast'!AR18*Assumptions!$E$13+'Sales Forecast'!AQ18*Assumptions!$F$13+'Sales Forecast'!AP18*Assumptions!$G$13+'Sales Forecast'!AO18*Assumptions!$H$13+'Sales Forecast'!AN18*Assumptions!$I$13</f>
        <v/>
      </c>
      <c r="AU7" s="20">
        <f>'Sales Forecast'!AU18*Assumptions!$C$13+'Sales Forecast'!AT18*Assumptions!$D$13+'Sales Forecast'!AS18*Assumptions!$E$13+'Sales Forecast'!AR18*Assumptions!$F$13+'Sales Forecast'!AQ18*Assumptions!$G$13+'Sales Forecast'!AP18*Assumptions!$H$13+'Sales Forecast'!AO18*Assumptions!$I$13</f>
        <v/>
      </c>
      <c r="AV7" s="20">
        <f>'Sales Forecast'!AV18*Assumptions!$C$13+'Sales Forecast'!AU18*Assumptions!$D$13+'Sales Forecast'!AT18*Assumptions!$E$13+'Sales Forecast'!AS18*Assumptions!$F$13+'Sales Forecast'!AR18*Assumptions!$G$13+'Sales Forecast'!AQ18*Assumptions!$H$13+'Sales Forecast'!AP18*Assumptions!$I$13</f>
        <v/>
      </c>
      <c r="AW7" s="20">
        <f>'Sales Forecast'!AW18*Assumptions!$C$13+'Sales Forecast'!AV18*Assumptions!$D$13+'Sales Forecast'!AU18*Assumptions!$E$13+'Sales Forecast'!AT18*Assumptions!$F$13+'Sales Forecast'!AS18*Assumptions!$G$13+'Sales Forecast'!AR18*Assumptions!$H$13+'Sales Forecast'!AQ18*Assumptions!$I$13</f>
        <v/>
      </c>
      <c r="AX7" s="20">
        <f>'Sales Forecast'!AX18*Assumptions!$C$13+'Sales Forecast'!AW18*Assumptions!$D$13+'Sales Forecast'!AV18*Assumptions!$E$13+'Sales Forecast'!AU18*Assumptions!$F$13+'Sales Forecast'!AT18*Assumptions!$G$13+'Sales Forecast'!AS18*Assumptions!$H$13+'Sales Forecast'!AR18*Assumptions!$I$13</f>
        <v/>
      </c>
      <c r="AY7" s="20">
        <f>'Sales Forecast'!AY18*Assumptions!$C$13+'Sales Forecast'!AX18*Assumptions!$D$13+'Sales Forecast'!AW18*Assumptions!$E$13+'Sales Forecast'!AV18*Assumptions!$F$13+'Sales Forecast'!AU18*Assumptions!$G$13+'Sales Forecast'!AT18*Assumptions!$H$13+'Sales Forecast'!AS18*Assumptions!$I$13</f>
        <v/>
      </c>
    </row>
    <row r="8">
      <c r="B8" s="18" t="inlineStr">
        <is>
          <t>Retail Sales</t>
        </is>
      </c>
      <c r="D8" s="19" t="n">
        <v>20273</v>
      </c>
      <c r="E8" s="19" t="n">
        <v>19453.92</v>
      </c>
      <c r="F8" s="19" t="n">
        <v>17164.03</v>
      </c>
      <c r="G8" s="19" t="n">
        <v>18478</v>
      </c>
      <c r="H8" s="19" t="n">
        <v>19384</v>
      </c>
      <c r="I8" s="19" t="n">
        <v>28826</v>
      </c>
      <c r="J8" s="19" t="n">
        <v>20010</v>
      </c>
      <c r="K8" s="19" t="n">
        <v>19175</v>
      </c>
      <c r="L8" s="19" t="n">
        <v>19247.98</v>
      </c>
      <c r="M8" s="19" t="n">
        <v>19640</v>
      </c>
      <c r="N8" s="19" t="n">
        <v>21643.2</v>
      </c>
      <c r="O8" s="19" t="n">
        <v>20189</v>
      </c>
      <c r="P8" s="19">
        <f>'QBO Actuals'!C19</f>
        <v/>
      </c>
      <c r="Q8" s="19">
        <f>'QBO Actuals'!D19</f>
        <v/>
      </c>
      <c r="R8" s="19">
        <f>'QBO Actuals'!E19</f>
        <v/>
      </c>
      <c r="S8" s="19">
        <f>'QBO Actuals'!F19</f>
        <v/>
      </c>
      <c r="T8" s="19">
        <f>'QBO Actuals'!G19</f>
        <v/>
      </c>
      <c r="U8" s="19">
        <f>'QBO Actuals'!H19</f>
        <v/>
      </c>
      <c r="V8" s="20">
        <f>'QBO Actuals'!I19</f>
        <v/>
      </c>
      <c r="W8" s="20">
        <f>'BK P&amp;L'!W19+'CC P&amp;L'!W18+'DN P&amp;L'!W18+'LF P&amp;L'!W19+'MR P&amp;L'!W18+'OP P&amp;L'!W18+'PH P&amp;L'!W19+'RH P&amp;L'!W18+'SB P&amp;L'!W18+'SM P&amp;L'!W19+'WP P&amp;L'!W18+'WW P&amp;L'!W19</f>
        <v/>
      </c>
      <c r="X8" s="20">
        <f>'BK P&amp;L'!X19+'CC P&amp;L'!X18+'DN P&amp;L'!X18+'LF P&amp;L'!X19+'MR P&amp;L'!X18+'OP P&amp;L'!X18+'PH P&amp;L'!X19+'RH P&amp;L'!X18+'SB P&amp;L'!X18+'SM P&amp;L'!X19+'WP P&amp;L'!X18+'WW P&amp;L'!X19</f>
        <v/>
      </c>
      <c r="Y8" s="20">
        <f>'BK P&amp;L'!Y19+'CC P&amp;L'!Y18+'DN P&amp;L'!Y18+'LF P&amp;L'!Y19+'MR P&amp;L'!Y18+'OP P&amp;L'!Y18+'PH P&amp;L'!Y19+'RH P&amp;L'!Y18+'SB P&amp;L'!Y18+'SM P&amp;L'!Y19+'WP P&amp;L'!Y18+'WW P&amp;L'!Y19</f>
        <v/>
      </c>
      <c r="Z8" s="20">
        <f>'BK P&amp;L'!Z19+'CC P&amp;L'!Z18+'DN P&amp;L'!Z18+'LF P&amp;L'!Z19+'MR P&amp;L'!Z18+'OP P&amp;L'!Z18+'PH P&amp;L'!Z19+'RH P&amp;L'!Z18+'SB P&amp;L'!Z18+'SM P&amp;L'!Z19+'WP P&amp;L'!Z18+'WW P&amp;L'!Z19</f>
        <v/>
      </c>
      <c r="AA8" s="20">
        <f>'BK P&amp;L'!AA19+'CC P&amp;L'!AA18+'DN P&amp;L'!AA18+'LF P&amp;L'!AA19+'MR P&amp;L'!AA18+'OP P&amp;L'!AA18+'PH P&amp;L'!AA19+'RH P&amp;L'!AA18+'SB P&amp;L'!AA18+'SM P&amp;L'!AA19+'WP P&amp;L'!AA18+'WW P&amp;L'!AA19</f>
        <v/>
      </c>
      <c r="AB8" s="20">
        <f>'BK P&amp;L'!AB19+'CC P&amp;L'!AB18+'DN P&amp;L'!AB18+'LF P&amp;L'!AB19+'MR P&amp;L'!AB18+'OP P&amp;L'!AB18+'PH P&amp;L'!AB19+'RH P&amp;L'!AB18+'SB P&amp;L'!AB18+'SM P&amp;L'!AB19+'WP P&amp;L'!AB18+'WW P&amp;L'!AB19</f>
        <v/>
      </c>
      <c r="AC8" s="20">
        <f>'BK P&amp;L'!AC19+'CC P&amp;L'!AC18+'DN P&amp;L'!AC18+'LF P&amp;L'!AC19+'MR P&amp;L'!AC18+'OP P&amp;L'!AC18+'PH P&amp;L'!AC19+'RH P&amp;L'!AC18+'SB P&amp;L'!AC18+'SM P&amp;L'!AC19+'WP P&amp;L'!AC18+'WW P&amp;L'!AC19</f>
        <v/>
      </c>
      <c r="AD8" s="20">
        <f>'BK P&amp;L'!AD19+'CC P&amp;L'!AD18+'DN P&amp;L'!AD18+'LF P&amp;L'!AD19+'MR P&amp;L'!AD18+'OP P&amp;L'!AD18+'PH P&amp;L'!AD19+'RH P&amp;L'!AD18+'SB P&amp;L'!AD18+'SM P&amp;L'!AD19+'WP P&amp;L'!AD18+'WW P&amp;L'!AD19</f>
        <v/>
      </c>
      <c r="AE8" s="20">
        <f>'BK P&amp;L'!AE19+'CC P&amp;L'!AE18+'DN P&amp;L'!AE18+'LF P&amp;L'!AE19+'MR P&amp;L'!AE18+'OP P&amp;L'!AE18+'PH P&amp;L'!AE19+'RH P&amp;L'!AE18+'SB P&amp;L'!AE18+'SM P&amp;L'!AE19+'WP P&amp;L'!AE18+'WW P&amp;L'!AE19</f>
        <v/>
      </c>
      <c r="AF8" s="20">
        <f>'BK P&amp;L'!AF19+'CC P&amp;L'!AF18+'DN P&amp;L'!AF18+'LF P&amp;L'!AF19+'MR P&amp;L'!AF18+'OP P&amp;L'!AF18+'PH P&amp;L'!AF19+'RH P&amp;L'!AF18+'SB P&amp;L'!AF18+'SM P&amp;L'!AF19+'WP P&amp;L'!AF18+'WW P&amp;L'!AF19</f>
        <v/>
      </c>
      <c r="AG8" s="20">
        <f>'BK P&amp;L'!AG19+'CC P&amp;L'!AG18+'DN P&amp;L'!AG18+'LF P&amp;L'!AG19+'MR P&amp;L'!AG18+'OP P&amp;L'!AG18+'PH P&amp;L'!AG19+'RH P&amp;L'!AG18+'SB P&amp;L'!AG18+'SM P&amp;L'!AG19+'WP P&amp;L'!AG18+'WW P&amp;L'!AG19</f>
        <v/>
      </c>
      <c r="AH8" s="20">
        <f>'BK P&amp;L'!AH19+'CC P&amp;L'!AH18+'DN P&amp;L'!AH18+'LF P&amp;L'!AH19+'MR P&amp;L'!AH18+'OP P&amp;L'!AH18+'PH P&amp;L'!AH19+'RH P&amp;L'!AH18+'SB P&amp;L'!AH18+'SM P&amp;L'!AH19+'WP P&amp;L'!AH18+'WW P&amp;L'!AH19</f>
        <v/>
      </c>
      <c r="AI8" s="20">
        <f>'BK P&amp;L'!AI19+'CC P&amp;L'!AI18+'DN P&amp;L'!AI18+'LF P&amp;L'!AI19+'MR P&amp;L'!AI18+'OP P&amp;L'!AI18+'PH P&amp;L'!AI19+'RH P&amp;L'!AI18+'SB P&amp;L'!AI18+'SM P&amp;L'!AI19+'WP P&amp;L'!AI18+'WW P&amp;L'!AI19</f>
        <v/>
      </c>
      <c r="AJ8" s="20">
        <f>'BK P&amp;L'!AJ19+'CC P&amp;L'!AJ18+'DN P&amp;L'!AJ18+'LF P&amp;L'!AJ19+'MR P&amp;L'!AJ18+'OP P&amp;L'!AJ18+'PH P&amp;L'!AJ19+'RH P&amp;L'!AJ18+'SB P&amp;L'!AJ18+'SM P&amp;L'!AJ19+'WP P&amp;L'!AJ18+'WW P&amp;L'!AJ19</f>
        <v/>
      </c>
      <c r="AK8" s="20">
        <f>'BK P&amp;L'!AK19+'CC P&amp;L'!AK18+'DN P&amp;L'!AK18+'LF P&amp;L'!AK19+'MR P&amp;L'!AK18+'OP P&amp;L'!AK18+'PH P&amp;L'!AK19+'RH P&amp;L'!AK18+'SB P&amp;L'!AK18+'SM P&amp;L'!AK19+'WP P&amp;L'!AK18+'WW P&amp;L'!AK19</f>
        <v/>
      </c>
      <c r="AL8" s="20">
        <f>'BK P&amp;L'!AL19+'CC P&amp;L'!AL18+'DN P&amp;L'!AL18+'LF P&amp;L'!AL19+'MR P&amp;L'!AL18+'OP P&amp;L'!AL18+'PH P&amp;L'!AL19+'RH P&amp;L'!AL18+'SB P&amp;L'!AL18+'SM P&amp;L'!AL19+'WP P&amp;L'!AL18+'WW P&amp;L'!AL19</f>
        <v/>
      </c>
      <c r="AM8" s="20">
        <f>'BK P&amp;L'!AM19+'CC P&amp;L'!AM18+'DN P&amp;L'!AM18+'LF P&amp;L'!AM19+'MR P&amp;L'!AM18+'OP P&amp;L'!AM18+'PH P&amp;L'!AM19+'RH P&amp;L'!AM18+'SB P&amp;L'!AM18+'SM P&amp;L'!AM19+'WP P&amp;L'!AM18+'WW P&amp;L'!AM19</f>
        <v/>
      </c>
      <c r="AN8" s="20">
        <f>'BK P&amp;L'!AN19+'CC P&amp;L'!AN18+'DN P&amp;L'!AN18+'LF P&amp;L'!AN19+'MR P&amp;L'!AN18+'OP P&amp;L'!AN18+'PH P&amp;L'!AN19+'RH P&amp;L'!AN18+'SB P&amp;L'!AN18+'SM P&amp;L'!AN19+'WP P&amp;L'!AN18+'WW P&amp;L'!AN19</f>
        <v/>
      </c>
      <c r="AO8" s="20">
        <f>'BK P&amp;L'!AO19+'CC P&amp;L'!AO18+'DN P&amp;L'!AO18+'LF P&amp;L'!AO19+'MR P&amp;L'!AO18+'OP P&amp;L'!AO18+'PH P&amp;L'!AO19+'RH P&amp;L'!AO18+'SB P&amp;L'!AO18+'SM P&amp;L'!AO19+'WP P&amp;L'!AO18+'WW P&amp;L'!AO19</f>
        <v/>
      </c>
      <c r="AP8" s="20">
        <f>'BK P&amp;L'!AP19+'CC P&amp;L'!AP18+'DN P&amp;L'!AP18+'LF P&amp;L'!AP19+'MR P&amp;L'!AP18+'OP P&amp;L'!AP18+'PH P&amp;L'!AP19+'RH P&amp;L'!AP18+'SB P&amp;L'!AP18+'SM P&amp;L'!AP19+'WP P&amp;L'!AP18+'WW P&amp;L'!AP19</f>
        <v/>
      </c>
      <c r="AQ8" s="20">
        <f>'BK P&amp;L'!AQ19+'CC P&amp;L'!AQ18+'DN P&amp;L'!AQ18+'LF P&amp;L'!AQ19+'MR P&amp;L'!AQ18+'OP P&amp;L'!AQ18+'PH P&amp;L'!AQ19+'RH P&amp;L'!AQ18+'SB P&amp;L'!AQ18+'SM P&amp;L'!AQ19+'WP P&amp;L'!AQ18+'WW P&amp;L'!AQ19</f>
        <v/>
      </c>
      <c r="AR8" s="20">
        <f>'BK P&amp;L'!AR19+'CC P&amp;L'!AR18+'DN P&amp;L'!AR18+'LF P&amp;L'!AR19+'MR P&amp;L'!AR18+'OP P&amp;L'!AR18+'PH P&amp;L'!AR19+'RH P&amp;L'!AR18+'SB P&amp;L'!AR18+'SM P&amp;L'!AR19+'WP P&amp;L'!AR18+'WW P&amp;L'!AR19</f>
        <v/>
      </c>
      <c r="AS8" s="20">
        <f>'BK P&amp;L'!AS19+'CC P&amp;L'!AS18+'DN P&amp;L'!AS18+'LF P&amp;L'!AS19+'MR P&amp;L'!AS18+'OP P&amp;L'!AS18+'PH P&amp;L'!AS19+'RH P&amp;L'!AS18+'SB P&amp;L'!AS18+'SM P&amp;L'!AS19+'WP P&amp;L'!AS18+'WW P&amp;L'!AS19</f>
        <v/>
      </c>
      <c r="AT8" s="20">
        <f>'BK P&amp;L'!AT19+'CC P&amp;L'!AT18+'DN P&amp;L'!AT18+'LF P&amp;L'!AT19+'MR P&amp;L'!AT18+'OP P&amp;L'!AT18+'PH P&amp;L'!AT19+'RH P&amp;L'!AT18+'SB P&amp;L'!AT18+'SM P&amp;L'!AT19+'WP P&amp;L'!AT18+'WW P&amp;L'!AT19</f>
        <v/>
      </c>
      <c r="AU8" s="20">
        <f>'BK P&amp;L'!AU19+'CC P&amp;L'!AU18+'DN P&amp;L'!AU18+'LF P&amp;L'!AU19+'MR P&amp;L'!AU18+'OP P&amp;L'!AU18+'PH P&amp;L'!AU19+'RH P&amp;L'!AU18+'SB P&amp;L'!AU18+'SM P&amp;L'!AU19+'WP P&amp;L'!AU18+'WW P&amp;L'!AU19</f>
        <v/>
      </c>
      <c r="AV8" s="20">
        <f>'BK P&amp;L'!AV19+'CC P&amp;L'!AV18+'DN P&amp;L'!AV18+'LF P&amp;L'!AV19+'MR P&amp;L'!AV18+'OP P&amp;L'!AV18+'PH P&amp;L'!AV19+'RH P&amp;L'!AV18+'SB P&amp;L'!AV18+'SM P&amp;L'!AV19+'WP P&amp;L'!AV18+'WW P&amp;L'!AV19</f>
        <v/>
      </c>
      <c r="AW8" s="20">
        <f>'BK P&amp;L'!AW19+'CC P&amp;L'!AW18+'DN P&amp;L'!AW18+'LF P&amp;L'!AW19+'MR P&amp;L'!AW18+'OP P&amp;L'!AW18+'PH P&amp;L'!AW19+'RH P&amp;L'!AW18+'SB P&amp;L'!AW18+'SM P&amp;L'!AW19+'WP P&amp;L'!AW18+'WW P&amp;L'!AW19</f>
        <v/>
      </c>
      <c r="AX8" s="20">
        <f>'BK P&amp;L'!AX19+'CC P&amp;L'!AX18+'DN P&amp;L'!AX18+'LF P&amp;L'!AX19+'MR P&amp;L'!AX18+'OP P&amp;L'!AX18+'PH P&amp;L'!AX19+'RH P&amp;L'!AX18+'SB P&amp;L'!AX18+'SM P&amp;L'!AX19+'WP P&amp;L'!AX18+'WW P&amp;L'!AX19</f>
        <v/>
      </c>
      <c r="AY8" s="20">
        <f>'BK P&amp;L'!AY19+'CC P&amp;L'!AY18+'DN P&amp;L'!AY18+'LF P&amp;L'!AY19+'MR P&amp;L'!AY18+'OP P&amp;L'!AY18+'PH P&amp;L'!AY19+'RH P&amp;L'!AY18+'SB P&amp;L'!AY18+'SM P&amp;L'!AY19+'WP P&amp;L'!AY18+'WW P&amp;L'!AY19</f>
        <v/>
      </c>
    </row>
    <row r="9">
      <c r="B9" s="18" t="inlineStr">
        <is>
          <t>Refunds</t>
        </is>
      </c>
      <c r="D9" s="19" t="n">
        <v>-16377.01</v>
      </c>
      <c r="E9" s="19" t="n">
        <v>-10335.55</v>
      </c>
      <c r="F9" s="19" t="n">
        <v>-14180.05</v>
      </c>
      <c r="G9" s="19" t="n">
        <v>-17645.51</v>
      </c>
      <c r="H9" s="19" t="n">
        <v>-12735.29</v>
      </c>
      <c r="I9" s="19" t="n">
        <v>-10897.91</v>
      </c>
      <c r="J9" s="19" t="n">
        <v>-13385.21</v>
      </c>
      <c r="K9" s="19" t="n">
        <v>-12377.04</v>
      </c>
      <c r="L9" s="19" t="n">
        <v>-18282.51</v>
      </c>
      <c r="M9" s="19" t="n">
        <v>-22049.66</v>
      </c>
      <c r="N9" s="19" t="n">
        <v>-15320.98</v>
      </c>
      <c r="O9" s="19" t="n">
        <v>-18935.02</v>
      </c>
      <c r="P9" s="19">
        <f>'QBO Actuals'!C20</f>
        <v/>
      </c>
      <c r="Q9" s="19">
        <f>'QBO Actuals'!D20</f>
        <v/>
      </c>
      <c r="R9" s="19">
        <f>'QBO Actuals'!E20</f>
        <v/>
      </c>
      <c r="S9" s="19">
        <f>'QBO Actuals'!F20</f>
        <v/>
      </c>
      <c r="T9" s="19">
        <f>'QBO Actuals'!G20</f>
        <v/>
      </c>
      <c r="U9" s="19">
        <f>'QBO Actuals'!H20</f>
        <v/>
      </c>
      <c r="V9" s="20">
        <f>'QBO Actuals'!I20</f>
        <v/>
      </c>
      <c r="W9" s="20">
        <f>(W6+W7)*Assumptions!$C$17</f>
        <v/>
      </c>
      <c r="X9" s="20">
        <f>(X6+X7)*Assumptions!$C$17</f>
        <v/>
      </c>
      <c r="Y9" s="20">
        <f>(Y6+Y7)*Assumptions!$C$17</f>
        <v/>
      </c>
      <c r="Z9" s="20">
        <f>(Z6+Z7)*Assumptions!$C$17</f>
        <v/>
      </c>
      <c r="AA9" s="20">
        <f>(AA6+AA7)*Assumptions!$C$17</f>
        <v/>
      </c>
      <c r="AB9" s="20">
        <f>(AB6+AB7)*Assumptions!$C$17</f>
        <v/>
      </c>
      <c r="AC9" s="20">
        <f>(AC6+AC7)*Assumptions!$C$17</f>
        <v/>
      </c>
      <c r="AD9" s="20">
        <f>(AD6+AD7)*Assumptions!$C$17</f>
        <v/>
      </c>
      <c r="AE9" s="20">
        <f>(AE6+AE7)*Assumptions!$C$17</f>
        <v/>
      </c>
      <c r="AF9" s="20">
        <f>(AF6+AF7)*Assumptions!$C$17</f>
        <v/>
      </c>
      <c r="AG9" s="20">
        <f>(AG6+AG7)*Assumptions!$C$17</f>
        <v/>
      </c>
      <c r="AH9" s="20">
        <f>(AH6+AH7)*Assumptions!$C$17</f>
        <v/>
      </c>
      <c r="AI9" s="20">
        <f>(AI6+AI7)*Assumptions!$C$17</f>
        <v/>
      </c>
      <c r="AJ9" s="20">
        <f>(AJ6+AJ7)*Assumptions!$C$17</f>
        <v/>
      </c>
      <c r="AK9" s="20">
        <f>(AK6+AK7)*Assumptions!$C$17</f>
        <v/>
      </c>
      <c r="AL9" s="20">
        <f>(AL6+AL7)*Assumptions!$C$17</f>
        <v/>
      </c>
      <c r="AM9" s="20">
        <f>(AM6+AM7)*Assumptions!$C$17</f>
        <v/>
      </c>
      <c r="AN9" s="20">
        <f>(AN6+AN7)*Assumptions!$C$17</f>
        <v/>
      </c>
      <c r="AO9" s="20">
        <f>(AO6+AO7)*Assumptions!$C$17</f>
        <v/>
      </c>
      <c r="AP9" s="20">
        <f>(AP6+AP7)*Assumptions!$C$17</f>
        <v/>
      </c>
      <c r="AQ9" s="20">
        <f>(AQ6+AQ7)*Assumptions!$C$17</f>
        <v/>
      </c>
      <c r="AR9" s="20">
        <f>(AR6+AR7)*Assumptions!$C$17</f>
        <v/>
      </c>
      <c r="AS9" s="20">
        <f>(AS6+AS7)*Assumptions!$C$17</f>
        <v/>
      </c>
      <c r="AT9" s="20">
        <f>(AT6+AT7)*Assumptions!$C$17</f>
        <v/>
      </c>
      <c r="AU9" s="20">
        <f>(AU6+AU7)*Assumptions!$C$17</f>
        <v/>
      </c>
      <c r="AV9" s="20">
        <f>(AV6+AV7)*Assumptions!$C$17</f>
        <v/>
      </c>
      <c r="AW9" s="20">
        <f>(AW6+AW7)*Assumptions!$C$17</f>
        <v/>
      </c>
      <c r="AX9" s="20">
        <f>(AX6+AX7)*Assumptions!$C$17</f>
        <v/>
      </c>
      <c r="AY9" s="20">
        <f>(AY6+AY7)*Assumptions!$C$17</f>
        <v/>
      </c>
    </row>
    <row r="10">
      <c r="B10" s="18" t="inlineStr">
        <is>
          <t>Discounts</t>
        </is>
      </c>
      <c r="D10" s="19" t="n">
        <v>-73972.55</v>
      </c>
      <c r="E10" s="19" t="n">
        <v>-63470.28</v>
      </c>
      <c r="F10" s="19" t="n">
        <v>-69852.24000000001</v>
      </c>
      <c r="G10" s="19" t="n">
        <v>-68577.95</v>
      </c>
      <c r="H10" s="19" t="n">
        <v>-75810.5</v>
      </c>
      <c r="I10" s="19" t="n">
        <v>-59569.88</v>
      </c>
      <c r="J10" s="19" t="n">
        <v>-56128.38</v>
      </c>
      <c r="K10" s="19" t="n">
        <v>-56204.78</v>
      </c>
      <c r="L10" s="19" t="n">
        <v>-59582.4</v>
      </c>
      <c r="M10" s="19" t="n">
        <v>-54374.17</v>
      </c>
      <c r="N10" s="19" t="n">
        <v>-48649.06</v>
      </c>
      <c r="O10" s="19" t="n">
        <v>-54144.13</v>
      </c>
      <c r="P10" s="19">
        <f>'QBO Actuals'!C21</f>
        <v/>
      </c>
      <c r="Q10" s="19">
        <f>'QBO Actuals'!D21</f>
        <v/>
      </c>
      <c r="R10" s="19">
        <f>'QBO Actuals'!E21</f>
        <v/>
      </c>
      <c r="S10" s="19">
        <f>'QBO Actuals'!F21</f>
        <v/>
      </c>
      <c r="T10" s="19">
        <f>'QBO Actuals'!G21</f>
        <v/>
      </c>
      <c r="U10" s="19">
        <f>'QBO Actuals'!H21</f>
        <v/>
      </c>
      <c r="V10" s="20">
        <f>'QBO Actuals'!I21</f>
        <v/>
      </c>
      <c r="W10" s="20">
        <f>(W6+W7)*Assumptions!$C$18</f>
        <v/>
      </c>
      <c r="X10" s="20">
        <f>(X6+X7)*Assumptions!$C$18</f>
        <v/>
      </c>
      <c r="Y10" s="20">
        <f>(Y6+Y7)*Assumptions!$C$18</f>
        <v/>
      </c>
      <c r="Z10" s="20">
        <f>(Z6+Z7)*Assumptions!$C$18</f>
        <v/>
      </c>
      <c r="AA10" s="20">
        <f>(AA6+AA7)*Assumptions!$C$18</f>
        <v/>
      </c>
      <c r="AB10" s="20">
        <f>(AB6+AB7)*Assumptions!$C$18</f>
        <v/>
      </c>
      <c r="AC10" s="20">
        <f>(AC6+AC7)*Assumptions!$C$18</f>
        <v/>
      </c>
      <c r="AD10" s="20">
        <f>(AD6+AD7)*Assumptions!$C$18</f>
        <v/>
      </c>
      <c r="AE10" s="20">
        <f>(AE6+AE7)*Assumptions!$C$18</f>
        <v/>
      </c>
      <c r="AF10" s="20">
        <f>(AF6+AF7)*Assumptions!$C$18</f>
        <v/>
      </c>
      <c r="AG10" s="20">
        <f>(AG6+AG7)*Assumptions!$C$18</f>
        <v/>
      </c>
      <c r="AH10" s="20">
        <f>(AH6+AH7)*Assumptions!$C$18</f>
        <v/>
      </c>
      <c r="AI10" s="20">
        <f>(AI6+AI7)*Assumptions!$C$18</f>
        <v/>
      </c>
      <c r="AJ10" s="20">
        <f>(AJ6+AJ7)*Assumptions!$C$18</f>
        <v/>
      </c>
      <c r="AK10" s="20">
        <f>(AK6+AK7)*Assumptions!$C$18</f>
        <v/>
      </c>
      <c r="AL10" s="20">
        <f>(AL6+AL7)*Assumptions!$C$18</f>
        <v/>
      </c>
      <c r="AM10" s="20">
        <f>(AM6+AM7)*Assumptions!$C$18</f>
        <v/>
      </c>
      <c r="AN10" s="20">
        <f>(AN6+AN7)*Assumptions!$C$18</f>
        <v/>
      </c>
      <c r="AO10" s="20">
        <f>(AO6+AO7)*Assumptions!$C$18</f>
        <v/>
      </c>
      <c r="AP10" s="20">
        <f>(AP6+AP7)*Assumptions!$C$18</f>
        <v/>
      </c>
      <c r="AQ10" s="20">
        <f>(AQ6+AQ7)*Assumptions!$C$18</f>
        <v/>
      </c>
      <c r="AR10" s="20">
        <f>(AR6+AR7)*Assumptions!$C$18</f>
        <v/>
      </c>
      <c r="AS10" s="20">
        <f>(AS6+AS7)*Assumptions!$C$18</f>
        <v/>
      </c>
      <c r="AT10" s="20">
        <f>(AT6+AT7)*Assumptions!$C$18</f>
        <v/>
      </c>
      <c r="AU10" s="20">
        <f>(AU6+AU7)*Assumptions!$C$18</f>
        <v/>
      </c>
      <c r="AV10" s="20">
        <f>(AV6+AV7)*Assumptions!$C$18</f>
        <v/>
      </c>
      <c r="AW10" s="20">
        <f>(AW6+AW7)*Assumptions!$C$18</f>
        <v/>
      </c>
      <c r="AX10" s="20">
        <f>(AX6+AX7)*Assumptions!$C$18</f>
        <v/>
      </c>
      <c r="AY10" s="20">
        <f>(AY6+AY7)*Assumptions!$C$18</f>
        <v/>
      </c>
    </row>
    <row r="11">
      <c r="B11" s="32" t="inlineStr">
        <is>
          <t>Total Revenue</t>
        </is>
      </c>
      <c r="C11" s="34" t="n"/>
      <c r="D11" s="35">
        <f>SUM(D6:D10)</f>
        <v/>
      </c>
      <c r="E11" s="35">
        <f>SUM(E6:E10)</f>
        <v/>
      </c>
      <c r="F11" s="35">
        <f>SUM(F6:F10)</f>
        <v/>
      </c>
      <c r="G11" s="35">
        <f>SUM(G6:G10)</f>
        <v/>
      </c>
      <c r="H11" s="35">
        <f>SUM(H6:H10)</f>
        <v/>
      </c>
      <c r="I11" s="35">
        <f>SUM(I6:I10)</f>
        <v/>
      </c>
      <c r="J11" s="35">
        <f>SUM(J6:J10)</f>
        <v/>
      </c>
      <c r="K11" s="35">
        <f>SUM(K6:K10)</f>
        <v/>
      </c>
      <c r="L11" s="35">
        <f>SUM(L6:L10)</f>
        <v/>
      </c>
      <c r="M11" s="35">
        <f>SUM(M6:M10)</f>
        <v/>
      </c>
      <c r="N11" s="35">
        <f>SUM(N6:N10)</f>
        <v/>
      </c>
      <c r="O11" s="35">
        <f>SUM(O6:O10)</f>
        <v/>
      </c>
      <c r="P11" s="35">
        <f>SUM(P6:P10)</f>
        <v/>
      </c>
      <c r="Q11" s="35">
        <f>SUM(Q6:Q10)</f>
        <v/>
      </c>
      <c r="R11" s="35">
        <f>SUM(R6:R10)</f>
        <v/>
      </c>
      <c r="S11" s="35">
        <f>SUM(S6:S10)</f>
        <v/>
      </c>
      <c r="T11" s="35">
        <f>SUM(T6:T10)</f>
        <v/>
      </c>
      <c r="U11" s="35">
        <f>SUM(U6:U10)</f>
        <v/>
      </c>
      <c r="V11" s="17">
        <f>SUM(V6:V10)</f>
        <v/>
      </c>
      <c r="W11" s="17">
        <f>SUM(W6:W10)</f>
        <v/>
      </c>
      <c r="X11" s="17">
        <f>SUM(X6:X10)</f>
        <v/>
      </c>
      <c r="Y11" s="17">
        <f>SUM(Y6:Y10)</f>
        <v/>
      </c>
      <c r="Z11" s="17">
        <f>SUM(Z6:Z10)</f>
        <v/>
      </c>
      <c r="AA11" s="17">
        <f>SUM(AA6:AA10)</f>
        <v/>
      </c>
      <c r="AB11" s="17">
        <f>SUM(AB6:AB10)</f>
        <v/>
      </c>
      <c r="AC11" s="17">
        <f>SUM(AC6:AC10)</f>
        <v/>
      </c>
      <c r="AD11" s="17">
        <f>SUM(AD6:AD10)</f>
        <v/>
      </c>
      <c r="AE11" s="17">
        <f>SUM(AE6:AE10)</f>
        <v/>
      </c>
      <c r="AF11" s="17">
        <f>SUM(AF6:AF10)</f>
        <v/>
      </c>
      <c r="AG11" s="17">
        <f>SUM(AG6:AG10)</f>
        <v/>
      </c>
      <c r="AH11" s="17">
        <f>SUM(AH6:AH10)</f>
        <v/>
      </c>
      <c r="AI11" s="17">
        <f>SUM(AI6:AI10)</f>
        <v/>
      </c>
      <c r="AJ11" s="17">
        <f>SUM(AJ6:AJ10)</f>
        <v/>
      </c>
      <c r="AK11" s="17">
        <f>SUM(AK6:AK10)</f>
        <v/>
      </c>
      <c r="AL11" s="17">
        <f>SUM(AL6:AL10)</f>
        <v/>
      </c>
      <c r="AM11" s="17">
        <f>SUM(AM6:AM10)</f>
        <v/>
      </c>
      <c r="AN11" s="17">
        <f>AN6+AN7+AN8+AN9+AN10</f>
        <v/>
      </c>
      <c r="AO11" s="17">
        <f>AO6+AO7+AO8+AO9+AO10</f>
        <v/>
      </c>
      <c r="AP11" s="17">
        <f>AP6+AP7+AP8+AP9+AP10</f>
        <v/>
      </c>
      <c r="AQ11" s="17">
        <f>AQ6+AQ7+AQ8+AQ9+AQ10</f>
        <v/>
      </c>
      <c r="AR11" s="17">
        <f>AR6+AR7+AR8+AR9+AR10</f>
        <v/>
      </c>
      <c r="AS11" s="17">
        <f>AS6+AS7+AS8+AS9+AS10</f>
        <v/>
      </c>
      <c r="AT11" s="17">
        <f>AT6+AT7+AT8+AT9+AT10</f>
        <v/>
      </c>
      <c r="AU11" s="17">
        <f>AU6+AU7+AU8+AU9+AU10</f>
        <v/>
      </c>
      <c r="AV11" s="17">
        <f>AV6+AV7+AV8+AV9+AV10</f>
        <v/>
      </c>
      <c r="AW11" s="17">
        <f>AW6+AW7+AW8+AW9+AW10</f>
        <v/>
      </c>
      <c r="AX11" s="17">
        <f>AX6+AX7+AX8+AX9+AX10</f>
        <v/>
      </c>
      <c r="AY11" s="17">
        <f>AY6+AY7+AY8+AY9+AY10</f>
        <v/>
      </c>
    </row>
    <row r="12">
      <c r="B12" s="18" t="inlineStr">
        <is>
          <t>COGS &amp; Merchant Fees</t>
        </is>
      </c>
      <c r="D12" s="19" t="n">
        <v>41641.16</v>
      </c>
      <c r="E12" s="19" t="n">
        <v>30846.42</v>
      </c>
      <c r="F12" s="19" t="n">
        <v>34854.82</v>
      </c>
      <c r="G12" s="19" t="n">
        <v>37107.82</v>
      </c>
      <c r="H12" s="19" t="n">
        <v>31160.63</v>
      </c>
      <c r="I12" s="19" t="n">
        <v>35143.50999999999</v>
      </c>
      <c r="J12" s="19" t="n">
        <v>33198.03</v>
      </c>
      <c r="K12" s="19" t="n">
        <v>34927.63</v>
      </c>
      <c r="L12" s="19" t="n">
        <v>32453.66</v>
      </c>
      <c r="M12" s="19" t="n">
        <v>32055.74</v>
      </c>
      <c r="N12" s="19" t="n">
        <v>33975.06</v>
      </c>
      <c r="O12" s="19" t="n">
        <v>54721.69</v>
      </c>
      <c r="P12" s="19">
        <f>'QBO Actuals'!C87</f>
        <v/>
      </c>
      <c r="Q12" s="19">
        <f>'QBO Actuals'!D87</f>
        <v/>
      </c>
      <c r="R12" s="19">
        <f>'QBO Actuals'!E87</f>
        <v/>
      </c>
      <c r="S12" s="19">
        <f>'QBO Actuals'!F87</f>
        <v/>
      </c>
      <c r="T12" s="19">
        <f>'QBO Actuals'!G87</f>
        <v/>
      </c>
      <c r="U12" s="19">
        <f>'QBO Actuals'!H87</f>
        <v/>
      </c>
      <c r="V12" s="20">
        <f>'QBO Actuals'!I87</f>
        <v/>
      </c>
      <c r="W12" s="20">
        <f>W11*(Assumptions!$C$19+Assumptions!$C$20)</f>
        <v/>
      </c>
      <c r="X12" s="20">
        <f>X11*(Assumptions!$C$19+Assumptions!$C$20)</f>
        <v/>
      </c>
      <c r="Y12" s="20">
        <f>Y11*(Assumptions!$C$19+Assumptions!$C$20)</f>
        <v/>
      </c>
      <c r="Z12" s="20">
        <f>Z11*(Assumptions!$C$19+Assumptions!$C$20)</f>
        <v/>
      </c>
      <c r="AA12" s="20">
        <f>AA11*(Assumptions!$C$19+Assumptions!$C$20)</f>
        <v/>
      </c>
      <c r="AB12" s="20">
        <f>AB11*(Assumptions!$C$19+Assumptions!$C$20)</f>
        <v/>
      </c>
      <c r="AC12" s="20">
        <f>AC11*(Assumptions!$C$19+Assumptions!$C$20)</f>
        <v/>
      </c>
      <c r="AD12" s="20">
        <f>AD11*(Assumptions!$C$19+Assumptions!$C$20)</f>
        <v/>
      </c>
      <c r="AE12" s="20">
        <f>AE11*(Assumptions!$C$19+Assumptions!$C$20)</f>
        <v/>
      </c>
      <c r="AF12" s="20">
        <f>AF11*(Assumptions!$C$19+Assumptions!$C$20)</f>
        <v/>
      </c>
      <c r="AG12" s="20">
        <f>AG11*(Assumptions!$C$19+Assumptions!$C$20)</f>
        <v/>
      </c>
      <c r="AH12" s="20">
        <f>AH11*(Assumptions!$C$19+Assumptions!$C$20)</f>
        <v/>
      </c>
      <c r="AI12" s="20">
        <f>AI11*(Assumptions!$C$19+Assumptions!$C$20)</f>
        <v/>
      </c>
      <c r="AJ12" s="20">
        <f>AJ11*(Assumptions!$C$19+Assumptions!$C$20)</f>
        <v/>
      </c>
      <c r="AK12" s="20">
        <f>AK11*(Assumptions!$C$19+Assumptions!$C$20)</f>
        <v/>
      </c>
      <c r="AL12" s="20">
        <f>AL11*(Assumptions!$C$19+Assumptions!$C$20)</f>
        <v/>
      </c>
      <c r="AM12" s="20">
        <f>AM11*(Assumptions!$C$19+Assumptions!$C$20)</f>
        <v/>
      </c>
      <c r="AN12" s="20">
        <f>AN11*(Assumptions!$C$19+Assumptions!$C$20)</f>
        <v/>
      </c>
      <c r="AO12" s="20">
        <f>AO11*(Assumptions!$C$19+Assumptions!$C$20)</f>
        <v/>
      </c>
      <c r="AP12" s="20">
        <f>AP11*(Assumptions!$C$19+Assumptions!$C$20)</f>
        <v/>
      </c>
      <c r="AQ12" s="20">
        <f>AQ11*(Assumptions!$C$19+Assumptions!$C$20)</f>
        <v/>
      </c>
      <c r="AR12" s="20">
        <f>AR11*(Assumptions!$C$19+Assumptions!$C$20)</f>
        <v/>
      </c>
      <c r="AS12" s="20">
        <f>AS11*(Assumptions!$C$19+Assumptions!$C$20)</f>
        <v/>
      </c>
      <c r="AT12" s="20">
        <f>AT11*(Assumptions!$C$19+Assumptions!$C$20)</f>
        <v/>
      </c>
      <c r="AU12" s="20">
        <f>AU11*(Assumptions!$C$19+Assumptions!$C$20)</f>
        <v/>
      </c>
      <c r="AV12" s="20">
        <f>AV11*(Assumptions!$C$19+Assumptions!$C$20)</f>
        <v/>
      </c>
      <c r="AW12" s="20">
        <f>AW11*(Assumptions!$C$19+Assumptions!$C$20)</f>
        <v/>
      </c>
      <c r="AX12" s="20">
        <f>AX11*(Assumptions!$C$19+Assumptions!$C$20)</f>
        <v/>
      </c>
      <c r="AY12" s="20">
        <f>AY11*(Assumptions!$C$19+Assumptions!$C$20)</f>
        <v/>
      </c>
    </row>
    <row r="13">
      <c r="B13" s="32" t="inlineStr">
        <is>
          <t>Gross Profit</t>
        </is>
      </c>
      <c r="C13" s="34" t="n"/>
      <c r="D13" s="35">
        <f>D11-D12</f>
        <v/>
      </c>
      <c r="E13" s="35">
        <f>E11-E12</f>
        <v/>
      </c>
      <c r="F13" s="35">
        <f>F11-F12</f>
        <v/>
      </c>
      <c r="G13" s="35">
        <f>G11-G12</f>
        <v/>
      </c>
      <c r="H13" s="35">
        <f>H11-H12</f>
        <v/>
      </c>
      <c r="I13" s="35">
        <f>I11-I12</f>
        <v/>
      </c>
      <c r="J13" s="35">
        <f>J11-J12</f>
        <v/>
      </c>
      <c r="K13" s="35">
        <f>K11-K12</f>
        <v/>
      </c>
      <c r="L13" s="35">
        <f>L11-L12</f>
        <v/>
      </c>
      <c r="M13" s="35">
        <f>M11-M12</f>
        <v/>
      </c>
      <c r="N13" s="35">
        <f>N11-N12</f>
        <v/>
      </c>
      <c r="O13" s="35">
        <f>O11-O12</f>
        <v/>
      </c>
      <c r="P13" s="35">
        <f>P11-P12</f>
        <v/>
      </c>
      <c r="Q13" s="35">
        <f>Q11-Q12</f>
        <v/>
      </c>
      <c r="R13" s="35">
        <f>R11-R12</f>
        <v/>
      </c>
      <c r="S13" s="35">
        <f>S11-S12</f>
        <v/>
      </c>
      <c r="T13" s="35">
        <f>T11-T12</f>
        <v/>
      </c>
      <c r="U13" s="35">
        <f>U11-U12</f>
        <v/>
      </c>
      <c r="V13" s="17">
        <f>V11-V12</f>
        <v/>
      </c>
      <c r="W13" s="17">
        <f>W11-W12</f>
        <v/>
      </c>
      <c r="X13" s="17">
        <f>X11-X12</f>
        <v/>
      </c>
      <c r="Y13" s="17">
        <f>Y11-Y12</f>
        <v/>
      </c>
      <c r="Z13" s="17">
        <f>Z11-Z12</f>
        <v/>
      </c>
      <c r="AA13" s="17">
        <f>AA11-AA12</f>
        <v/>
      </c>
      <c r="AB13" s="17">
        <f>AB11-AB12</f>
        <v/>
      </c>
      <c r="AC13" s="17">
        <f>AC11-AC12</f>
        <v/>
      </c>
      <c r="AD13" s="17">
        <f>AD11-AD12</f>
        <v/>
      </c>
      <c r="AE13" s="17">
        <f>AE11-AE12</f>
        <v/>
      </c>
      <c r="AF13" s="17">
        <f>AF11-AF12</f>
        <v/>
      </c>
      <c r="AG13" s="17">
        <f>AG11-AG12</f>
        <v/>
      </c>
      <c r="AH13" s="17">
        <f>AH11-AH12</f>
        <v/>
      </c>
      <c r="AI13" s="17">
        <f>AI11-AI12</f>
        <v/>
      </c>
      <c r="AJ13" s="17">
        <f>AJ11-AJ12</f>
        <v/>
      </c>
      <c r="AK13" s="17">
        <f>AK11-AK12</f>
        <v/>
      </c>
      <c r="AL13" s="17">
        <f>AL11-AL12</f>
        <v/>
      </c>
      <c r="AM13" s="17">
        <f>AM11-AM12</f>
        <v/>
      </c>
      <c r="AN13" s="17">
        <f>AN11-AN12</f>
        <v/>
      </c>
      <c r="AO13" s="17">
        <f>AO11-AO12</f>
        <v/>
      </c>
      <c r="AP13" s="17">
        <f>AP11-AP12</f>
        <v/>
      </c>
      <c r="AQ13" s="17">
        <f>AQ11-AQ12</f>
        <v/>
      </c>
      <c r="AR13" s="17">
        <f>AR11-AR12</f>
        <v/>
      </c>
      <c r="AS13" s="17">
        <f>AS11-AS12</f>
        <v/>
      </c>
      <c r="AT13" s="17">
        <f>AT11-AT12</f>
        <v/>
      </c>
      <c r="AU13" s="17">
        <f>AU11-AU12</f>
        <v/>
      </c>
      <c r="AV13" s="17">
        <f>AV11-AV12</f>
        <v/>
      </c>
      <c r="AW13" s="17">
        <f>AW11-AW12</f>
        <v/>
      </c>
      <c r="AX13" s="17">
        <f>AX11-AX12</f>
        <v/>
      </c>
      <c r="AY13" s="17">
        <f>AY11-AY12</f>
        <v/>
      </c>
    </row>
    <row r="14">
      <c r="B14" s="18" t="inlineStr">
        <is>
          <t>Marketing</t>
        </is>
      </c>
      <c r="D14" s="19" t="n">
        <v>19034.32</v>
      </c>
      <c r="E14" s="19" t="n">
        <v>17063.4</v>
      </c>
      <c r="F14" s="19" t="n">
        <v>25178.17</v>
      </c>
      <c r="G14" s="19" t="n">
        <v>17943.65</v>
      </c>
      <c r="H14" s="19" t="n">
        <v>25913.01</v>
      </c>
      <c r="I14" s="19" t="n">
        <v>34869.84</v>
      </c>
      <c r="J14" s="19" t="n">
        <v>23544.8</v>
      </c>
      <c r="K14" s="19" t="n">
        <v>25878.64</v>
      </c>
      <c r="L14" s="19" t="n">
        <v>30151.1</v>
      </c>
      <c r="M14" s="19" t="n">
        <v>31586.11</v>
      </c>
      <c r="N14" s="19" t="n">
        <v>40588.79</v>
      </c>
      <c r="O14" s="19" t="n">
        <v>31249.9</v>
      </c>
      <c r="P14" s="19">
        <f>'QBO Actuals'!C82</f>
        <v/>
      </c>
      <c r="Q14" s="19">
        <f>'QBO Actuals'!D82</f>
        <v/>
      </c>
      <c r="R14" s="19">
        <f>'QBO Actuals'!E82</f>
        <v/>
      </c>
      <c r="S14" s="19">
        <f>'QBO Actuals'!F82</f>
        <v/>
      </c>
      <c r="T14" s="19">
        <f>'QBO Actuals'!G82</f>
        <v/>
      </c>
      <c r="U14" s="19">
        <f>'QBO Actuals'!H82</f>
        <v/>
      </c>
      <c r="V14" s="20">
        <f>'QBO Actuals'!I82</f>
        <v/>
      </c>
      <c r="W14" s="20">
        <f>'BK P&amp;L'!W34+'CC P&amp;L'!W33+'DN P&amp;L'!W33+'LF P&amp;L'!W34+'MR P&amp;L'!W33+'OP P&amp;L'!W33+'PH P&amp;L'!W34+'RH P&amp;L'!W33+'SB P&amp;L'!W33+'SM P&amp;L'!W34+'WP P&amp;L'!W33+'WW P&amp;L'!W34+'HO P&amp;L'!W12</f>
        <v/>
      </c>
      <c r="X14" s="20">
        <f>'BK P&amp;L'!X34+'CC P&amp;L'!X33+'DN P&amp;L'!X33+'LF P&amp;L'!X34+'MR P&amp;L'!X33+'OP P&amp;L'!X33+'PH P&amp;L'!X34+'RH P&amp;L'!X33+'SB P&amp;L'!X33+'SM P&amp;L'!X34+'WP P&amp;L'!X33+'WW P&amp;L'!X34+'HO P&amp;L'!X12</f>
        <v/>
      </c>
      <c r="Y14" s="20">
        <f>'BK P&amp;L'!Y34+'CC P&amp;L'!Y33+'DN P&amp;L'!Y33+'LF P&amp;L'!Y34+'MR P&amp;L'!Y33+'OP P&amp;L'!Y33+'PH P&amp;L'!Y34+'RH P&amp;L'!Y33+'SB P&amp;L'!Y33+'SM P&amp;L'!Y34+'WP P&amp;L'!Y33+'WW P&amp;L'!Y34+'HO P&amp;L'!Y12</f>
        <v/>
      </c>
      <c r="Z14" s="20">
        <f>'BK P&amp;L'!Z34+'CC P&amp;L'!Z33+'DN P&amp;L'!Z33+'LF P&amp;L'!Z34+'MR P&amp;L'!Z33+'OP P&amp;L'!Z33+'PH P&amp;L'!Z34+'RH P&amp;L'!Z33+'SB P&amp;L'!Z33+'SM P&amp;L'!Z34+'WP P&amp;L'!Z33+'WW P&amp;L'!Z34+'HO P&amp;L'!Z12</f>
        <v/>
      </c>
      <c r="AA14" s="20">
        <f>'BK P&amp;L'!AA34+'CC P&amp;L'!AA33+'DN P&amp;L'!AA33+'LF P&amp;L'!AA34+'MR P&amp;L'!AA33+'OP P&amp;L'!AA33+'PH P&amp;L'!AA34+'RH P&amp;L'!AA33+'SB P&amp;L'!AA33+'SM P&amp;L'!AA34+'WP P&amp;L'!AA33+'WW P&amp;L'!AA34+'HO P&amp;L'!AA12</f>
        <v/>
      </c>
      <c r="AB14" s="20">
        <f>'BK P&amp;L'!AB34+'CC P&amp;L'!AB33+'DN P&amp;L'!AB33+'LF P&amp;L'!AB34+'MR P&amp;L'!AB33+'OP P&amp;L'!AB33+'PH P&amp;L'!AB34+'RH P&amp;L'!AB33+'SB P&amp;L'!AB33+'SM P&amp;L'!AB34+'WP P&amp;L'!AB33+'WW P&amp;L'!AB34+'HO P&amp;L'!AB12</f>
        <v/>
      </c>
      <c r="AC14" s="20">
        <f>'BK P&amp;L'!AC34+'CC P&amp;L'!AC33+'DN P&amp;L'!AC33+'LF P&amp;L'!AC34+'MR P&amp;L'!AC33+'OP P&amp;L'!AC33+'PH P&amp;L'!AC34+'RH P&amp;L'!AC33+'SB P&amp;L'!AC33+'SM P&amp;L'!AC34+'WP P&amp;L'!AC33+'WW P&amp;L'!AC34+'HO P&amp;L'!AC12</f>
        <v/>
      </c>
      <c r="AD14" s="20">
        <f>'BK P&amp;L'!AD34+'CC P&amp;L'!AD33+'DN P&amp;L'!AD33+'LF P&amp;L'!AD34+'MR P&amp;L'!AD33+'OP P&amp;L'!AD33+'PH P&amp;L'!AD34+'RH P&amp;L'!AD33+'SB P&amp;L'!AD33+'SM P&amp;L'!AD34+'WP P&amp;L'!AD33+'WW P&amp;L'!AD34+'HO P&amp;L'!AD12</f>
        <v/>
      </c>
      <c r="AE14" s="20">
        <f>'BK P&amp;L'!AE34+'CC P&amp;L'!AE33+'DN P&amp;L'!AE33+'LF P&amp;L'!AE34+'MR P&amp;L'!AE33+'OP P&amp;L'!AE33+'PH P&amp;L'!AE34+'RH P&amp;L'!AE33+'SB P&amp;L'!AE33+'SM P&amp;L'!AE34+'WP P&amp;L'!AE33+'WW P&amp;L'!AE34+'HO P&amp;L'!AE12</f>
        <v/>
      </c>
      <c r="AF14" s="20">
        <f>'BK P&amp;L'!AF34+'CC P&amp;L'!AF33+'DN P&amp;L'!AF33+'LF P&amp;L'!AF34+'MR P&amp;L'!AF33+'OP P&amp;L'!AF33+'PH P&amp;L'!AF34+'RH P&amp;L'!AF33+'SB P&amp;L'!AF33+'SM P&amp;L'!AF34+'WP P&amp;L'!AF33+'WW P&amp;L'!AF34+'HO P&amp;L'!AF12</f>
        <v/>
      </c>
      <c r="AG14" s="20">
        <f>'BK P&amp;L'!AG34+'CC P&amp;L'!AG33+'DN P&amp;L'!AG33+'LF P&amp;L'!AG34+'MR P&amp;L'!AG33+'OP P&amp;L'!AG33+'PH P&amp;L'!AG34+'RH P&amp;L'!AG33+'SB P&amp;L'!AG33+'SM P&amp;L'!AG34+'WP P&amp;L'!AG33+'WW P&amp;L'!AG34+'HO P&amp;L'!AG12</f>
        <v/>
      </c>
      <c r="AH14" s="20">
        <f>'BK P&amp;L'!AH34+'CC P&amp;L'!AH33+'DN P&amp;L'!AH33+'LF P&amp;L'!AH34+'MR P&amp;L'!AH33+'OP P&amp;L'!AH33+'PH P&amp;L'!AH34+'RH P&amp;L'!AH33+'SB P&amp;L'!AH33+'SM P&amp;L'!AH34+'WP P&amp;L'!AH33+'WW P&amp;L'!AH34+'HO P&amp;L'!AH12</f>
        <v/>
      </c>
      <c r="AI14" s="20">
        <f>'BK P&amp;L'!AI34+'CC P&amp;L'!AI33+'DN P&amp;L'!AI33+'LF P&amp;L'!AI34+'MR P&amp;L'!AI33+'OP P&amp;L'!AI33+'PH P&amp;L'!AI34+'RH P&amp;L'!AI33+'SB P&amp;L'!AI33+'SM P&amp;L'!AI34+'WP P&amp;L'!AI33+'WW P&amp;L'!AI34+'HO P&amp;L'!AI12</f>
        <v/>
      </c>
      <c r="AJ14" s="20">
        <f>'BK P&amp;L'!AJ34+'CC P&amp;L'!AJ33+'DN P&amp;L'!AJ33+'LF P&amp;L'!AJ34+'MR P&amp;L'!AJ33+'OP P&amp;L'!AJ33+'PH P&amp;L'!AJ34+'RH P&amp;L'!AJ33+'SB P&amp;L'!AJ33+'SM P&amp;L'!AJ34+'WP P&amp;L'!AJ33+'WW P&amp;L'!AJ34+'HO P&amp;L'!AJ12</f>
        <v/>
      </c>
      <c r="AK14" s="20">
        <f>'BK P&amp;L'!AK34+'CC P&amp;L'!AK33+'DN P&amp;L'!AK33+'LF P&amp;L'!AK34+'MR P&amp;L'!AK33+'OP P&amp;L'!AK33+'PH P&amp;L'!AK34+'RH P&amp;L'!AK33+'SB P&amp;L'!AK33+'SM P&amp;L'!AK34+'WP P&amp;L'!AK33+'WW P&amp;L'!AK34+'HO P&amp;L'!AK12</f>
        <v/>
      </c>
      <c r="AL14" s="20">
        <f>'BK P&amp;L'!AL34+'CC P&amp;L'!AL33+'DN P&amp;L'!AL33+'LF P&amp;L'!AL34+'MR P&amp;L'!AL33+'OP P&amp;L'!AL33+'PH P&amp;L'!AL34+'RH P&amp;L'!AL33+'SB P&amp;L'!AL33+'SM P&amp;L'!AL34+'WP P&amp;L'!AL33+'WW P&amp;L'!AL34+'HO P&amp;L'!AL12</f>
        <v/>
      </c>
      <c r="AM14" s="20">
        <f>'BK P&amp;L'!AM34+'CC P&amp;L'!AM33+'DN P&amp;L'!AM33+'LF P&amp;L'!AM34+'MR P&amp;L'!AM33+'OP P&amp;L'!AM33+'PH P&amp;L'!AM34+'RH P&amp;L'!AM33+'SB P&amp;L'!AM33+'SM P&amp;L'!AM34+'WP P&amp;L'!AM33+'WW P&amp;L'!AM34+'HO P&amp;L'!AM12</f>
        <v/>
      </c>
      <c r="AN14" s="20">
        <f>'BK P&amp;L'!AN34+'CC P&amp;L'!AN33+'DN P&amp;L'!AN33+'LF P&amp;L'!AN34+'MR P&amp;L'!AN33+'OP P&amp;L'!AN33+'PH P&amp;L'!AN34+'RH P&amp;L'!AN33+'SB P&amp;L'!AN33+'SM P&amp;L'!AN34+'WP P&amp;L'!AN33+'WW P&amp;L'!AN34+'HO P&amp;L'!AN12</f>
        <v/>
      </c>
      <c r="AO14" s="20">
        <f>'BK P&amp;L'!AO34+'CC P&amp;L'!AO33+'DN P&amp;L'!AO33+'LF P&amp;L'!AO34+'MR P&amp;L'!AO33+'OP P&amp;L'!AO33+'PH P&amp;L'!AO34+'RH P&amp;L'!AO33+'SB P&amp;L'!AO33+'SM P&amp;L'!AO34+'WP P&amp;L'!AO33+'WW P&amp;L'!AO34+'HO P&amp;L'!AO12</f>
        <v/>
      </c>
      <c r="AP14" s="20">
        <f>'BK P&amp;L'!AP34+'CC P&amp;L'!AP33+'DN P&amp;L'!AP33+'LF P&amp;L'!AP34+'MR P&amp;L'!AP33+'OP P&amp;L'!AP33+'PH P&amp;L'!AP34+'RH P&amp;L'!AP33+'SB P&amp;L'!AP33+'SM P&amp;L'!AP34+'WP P&amp;L'!AP33+'WW P&amp;L'!AP34+'HO P&amp;L'!AP12</f>
        <v/>
      </c>
      <c r="AQ14" s="20">
        <f>'BK P&amp;L'!AQ34+'CC P&amp;L'!AQ33+'DN P&amp;L'!AQ33+'LF P&amp;L'!AQ34+'MR P&amp;L'!AQ33+'OP P&amp;L'!AQ33+'PH P&amp;L'!AQ34+'RH P&amp;L'!AQ33+'SB P&amp;L'!AQ33+'SM P&amp;L'!AQ34+'WP P&amp;L'!AQ33+'WW P&amp;L'!AQ34+'HO P&amp;L'!AQ12</f>
        <v/>
      </c>
      <c r="AR14" s="20">
        <f>'BK P&amp;L'!AR34+'CC P&amp;L'!AR33+'DN P&amp;L'!AR33+'LF P&amp;L'!AR34+'MR P&amp;L'!AR33+'OP P&amp;L'!AR33+'PH P&amp;L'!AR34+'RH P&amp;L'!AR33+'SB P&amp;L'!AR33+'SM P&amp;L'!AR34+'WP P&amp;L'!AR33+'WW P&amp;L'!AR34+'HO P&amp;L'!AR12</f>
        <v/>
      </c>
      <c r="AS14" s="20">
        <f>'BK P&amp;L'!AS34+'CC P&amp;L'!AS33+'DN P&amp;L'!AS33+'LF P&amp;L'!AS34+'MR P&amp;L'!AS33+'OP P&amp;L'!AS33+'PH P&amp;L'!AS34+'RH P&amp;L'!AS33+'SB P&amp;L'!AS33+'SM P&amp;L'!AS34+'WP P&amp;L'!AS33+'WW P&amp;L'!AS34+'HO P&amp;L'!AS12</f>
        <v/>
      </c>
      <c r="AT14" s="20">
        <f>'BK P&amp;L'!AT34+'CC P&amp;L'!AT33+'DN P&amp;L'!AT33+'LF P&amp;L'!AT34+'MR P&amp;L'!AT33+'OP P&amp;L'!AT33+'PH P&amp;L'!AT34+'RH P&amp;L'!AT33+'SB P&amp;L'!AT33+'SM P&amp;L'!AT34+'WP P&amp;L'!AT33+'WW P&amp;L'!AT34+'HO P&amp;L'!AT12</f>
        <v/>
      </c>
      <c r="AU14" s="20">
        <f>'BK P&amp;L'!AU34+'CC P&amp;L'!AU33+'DN P&amp;L'!AU33+'LF P&amp;L'!AU34+'MR P&amp;L'!AU33+'OP P&amp;L'!AU33+'PH P&amp;L'!AU34+'RH P&amp;L'!AU33+'SB P&amp;L'!AU33+'SM P&amp;L'!AU34+'WP P&amp;L'!AU33+'WW P&amp;L'!AU34+'HO P&amp;L'!AU12</f>
        <v/>
      </c>
      <c r="AV14" s="20">
        <f>'BK P&amp;L'!AV34+'CC P&amp;L'!AV33+'DN P&amp;L'!AV33+'LF P&amp;L'!AV34+'MR P&amp;L'!AV33+'OP P&amp;L'!AV33+'PH P&amp;L'!AV34+'RH P&amp;L'!AV33+'SB P&amp;L'!AV33+'SM P&amp;L'!AV34+'WP P&amp;L'!AV33+'WW P&amp;L'!AV34+'HO P&amp;L'!AV12</f>
        <v/>
      </c>
      <c r="AW14" s="20">
        <f>'BK P&amp;L'!AW34+'CC P&amp;L'!AW33+'DN P&amp;L'!AW33+'LF P&amp;L'!AW34+'MR P&amp;L'!AW33+'OP P&amp;L'!AW33+'PH P&amp;L'!AW34+'RH P&amp;L'!AW33+'SB P&amp;L'!AW33+'SM P&amp;L'!AW34+'WP P&amp;L'!AW33+'WW P&amp;L'!AW34+'HO P&amp;L'!AW12</f>
        <v/>
      </c>
      <c r="AX14" s="20">
        <f>'BK P&amp;L'!AX34+'CC P&amp;L'!AX33+'DN P&amp;L'!AX33+'LF P&amp;L'!AX34+'MR P&amp;L'!AX33+'OP P&amp;L'!AX33+'PH P&amp;L'!AX34+'RH P&amp;L'!AX33+'SB P&amp;L'!AX33+'SM P&amp;L'!AX34+'WP P&amp;L'!AX33+'WW P&amp;L'!AX34+'HO P&amp;L'!AX12</f>
        <v/>
      </c>
      <c r="AY14" s="20">
        <f>'BK P&amp;L'!AY34+'CC P&amp;L'!AY33+'DN P&amp;L'!AY33+'LF P&amp;L'!AY34+'MR P&amp;L'!AY33+'OP P&amp;L'!AY33+'PH P&amp;L'!AY34+'RH P&amp;L'!AY33+'SB P&amp;L'!AY33+'SM P&amp;L'!AY34+'WP P&amp;L'!AY33+'WW P&amp;L'!AY34+'HO P&amp;L'!AY12</f>
        <v/>
      </c>
    </row>
    <row r="15">
      <c r="B15" s="18" t="inlineStr">
        <is>
          <t>Payroll</t>
        </is>
      </c>
      <c r="D15" s="19" t="n">
        <v>419319.36</v>
      </c>
      <c r="E15" s="19" t="n">
        <v>423621.65</v>
      </c>
      <c r="F15" s="19" t="n">
        <v>479539.11</v>
      </c>
      <c r="G15" s="19" t="n">
        <v>456441.26</v>
      </c>
      <c r="H15" s="19" t="n">
        <v>558270.3199999999</v>
      </c>
      <c r="I15" s="19" t="n">
        <v>533362.29</v>
      </c>
      <c r="J15" s="19" t="n">
        <v>551786.76</v>
      </c>
      <c r="K15" s="19" t="n">
        <v>563606.75</v>
      </c>
      <c r="L15" s="19" t="n">
        <v>576144.9400000001</v>
      </c>
      <c r="M15" s="19" t="n">
        <v>597447.0900000001</v>
      </c>
      <c r="N15" s="19" t="n">
        <v>566914.0099999999</v>
      </c>
      <c r="O15" s="19" t="n">
        <v>601056.9199999999</v>
      </c>
      <c r="P15" s="19">
        <f>'QBO Actuals'!C83</f>
        <v/>
      </c>
      <c r="Q15" s="19">
        <f>'QBO Actuals'!D83</f>
        <v/>
      </c>
      <c r="R15" s="19">
        <f>'QBO Actuals'!E83</f>
        <v/>
      </c>
      <c r="S15" s="19">
        <f>'QBO Actuals'!F83</f>
        <v/>
      </c>
      <c r="T15" s="19">
        <f>'QBO Actuals'!G83</f>
        <v/>
      </c>
      <c r="U15" s="19">
        <f>'QBO Actuals'!H83</f>
        <v/>
      </c>
      <c r="V15" s="20">
        <f>'QBO Actuals'!I83</f>
        <v/>
      </c>
      <c r="W15" s="20">
        <f>'BK P&amp;L'!W39+'CC P&amp;L'!W38+'DN P&amp;L'!W38+'LF P&amp;L'!W39+'MR P&amp;L'!W38+'OP P&amp;L'!W38+'PH P&amp;L'!W39+'RH P&amp;L'!W38+'SB P&amp;L'!W38+'SM P&amp;L'!W39+'WP P&amp;L'!W38+'WW P&amp;L'!W39+'HO P&amp;L'!W17</f>
        <v/>
      </c>
      <c r="X15" s="20">
        <f>'BK P&amp;L'!X39+'CC P&amp;L'!X38+'DN P&amp;L'!X38+'LF P&amp;L'!X39+'MR P&amp;L'!X38+'OP P&amp;L'!X38+'PH P&amp;L'!X39+'RH P&amp;L'!X38+'SB P&amp;L'!X38+'SM P&amp;L'!X39+'WP P&amp;L'!X38+'WW P&amp;L'!X39+'HO P&amp;L'!X17</f>
        <v/>
      </c>
      <c r="Y15" s="20">
        <f>'BK P&amp;L'!Y39+'CC P&amp;L'!Y38+'DN P&amp;L'!Y38+'LF P&amp;L'!Y39+'MR P&amp;L'!Y38+'OP P&amp;L'!Y38+'PH P&amp;L'!Y39+'RH P&amp;L'!Y38+'SB P&amp;L'!Y38+'SM P&amp;L'!Y39+'WP P&amp;L'!Y38+'WW P&amp;L'!Y39+'HO P&amp;L'!Y17</f>
        <v/>
      </c>
      <c r="Z15" s="20">
        <f>'BK P&amp;L'!Z39+'CC P&amp;L'!Z38+'DN P&amp;L'!Z38+'LF P&amp;L'!Z39+'MR P&amp;L'!Z38+'OP P&amp;L'!Z38+'PH P&amp;L'!Z39+'RH P&amp;L'!Z38+'SB P&amp;L'!Z38+'SM P&amp;L'!Z39+'WP P&amp;L'!Z38+'WW P&amp;L'!Z39+'HO P&amp;L'!Z17</f>
        <v/>
      </c>
      <c r="AA15" s="20">
        <f>'BK P&amp;L'!AA39+'CC P&amp;L'!AA38+'DN P&amp;L'!AA38+'LF P&amp;L'!AA39+'MR P&amp;L'!AA38+'OP P&amp;L'!AA38+'PH P&amp;L'!AA39+'RH P&amp;L'!AA38+'SB P&amp;L'!AA38+'SM P&amp;L'!AA39+'WP P&amp;L'!AA38+'WW P&amp;L'!AA39+'HO P&amp;L'!AA17</f>
        <v/>
      </c>
      <c r="AB15" s="20">
        <f>'BK P&amp;L'!AB39+'CC P&amp;L'!AB38+'DN P&amp;L'!AB38+'LF P&amp;L'!AB39+'MR P&amp;L'!AB38+'OP P&amp;L'!AB38+'PH P&amp;L'!AB39+'RH P&amp;L'!AB38+'SB P&amp;L'!AB38+'SM P&amp;L'!AB39+'WP P&amp;L'!AB38+'WW P&amp;L'!AB39+'HO P&amp;L'!AB17</f>
        <v/>
      </c>
      <c r="AC15" s="20">
        <f>'BK P&amp;L'!AC39+'CC P&amp;L'!AC38+'DN P&amp;L'!AC38+'LF P&amp;L'!AC39+'MR P&amp;L'!AC38+'OP P&amp;L'!AC38+'PH P&amp;L'!AC39+'RH P&amp;L'!AC38+'SB P&amp;L'!AC38+'SM P&amp;L'!AC39+'WP P&amp;L'!AC38+'WW P&amp;L'!AC39+'HO P&amp;L'!AC17</f>
        <v/>
      </c>
      <c r="AD15" s="20">
        <f>'BK P&amp;L'!AD39+'CC P&amp;L'!AD38+'DN P&amp;L'!AD38+'LF P&amp;L'!AD39+'MR P&amp;L'!AD38+'OP P&amp;L'!AD38+'PH P&amp;L'!AD39+'RH P&amp;L'!AD38+'SB P&amp;L'!AD38+'SM P&amp;L'!AD39+'WP P&amp;L'!AD38+'WW P&amp;L'!AD39+'HO P&amp;L'!AD17</f>
        <v/>
      </c>
      <c r="AE15" s="20">
        <f>'BK P&amp;L'!AE39+'CC P&amp;L'!AE38+'DN P&amp;L'!AE38+'LF P&amp;L'!AE39+'MR P&amp;L'!AE38+'OP P&amp;L'!AE38+'PH P&amp;L'!AE39+'RH P&amp;L'!AE38+'SB P&amp;L'!AE38+'SM P&amp;L'!AE39+'WP P&amp;L'!AE38+'WW P&amp;L'!AE39+'HO P&amp;L'!AE17</f>
        <v/>
      </c>
      <c r="AF15" s="20">
        <f>'BK P&amp;L'!AF39+'CC P&amp;L'!AF38+'DN P&amp;L'!AF38+'LF P&amp;L'!AF39+'MR P&amp;L'!AF38+'OP P&amp;L'!AF38+'PH P&amp;L'!AF39+'RH P&amp;L'!AF38+'SB P&amp;L'!AF38+'SM P&amp;L'!AF39+'WP P&amp;L'!AF38+'WW P&amp;L'!AF39+'HO P&amp;L'!AF17</f>
        <v/>
      </c>
      <c r="AG15" s="20">
        <f>'BK P&amp;L'!AG39+'CC P&amp;L'!AG38+'DN P&amp;L'!AG38+'LF P&amp;L'!AG39+'MR P&amp;L'!AG38+'OP P&amp;L'!AG38+'PH P&amp;L'!AG39+'RH P&amp;L'!AG38+'SB P&amp;L'!AG38+'SM P&amp;L'!AG39+'WP P&amp;L'!AG38+'WW P&amp;L'!AG39+'HO P&amp;L'!AG17</f>
        <v/>
      </c>
      <c r="AH15" s="20">
        <f>'BK P&amp;L'!AH39+'CC P&amp;L'!AH38+'DN P&amp;L'!AH38+'LF P&amp;L'!AH39+'MR P&amp;L'!AH38+'OP P&amp;L'!AH38+'PH P&amp;L'!AH39+'RH P&amp;L'!AH38+'SB P&amp;L'!AH38+'SM P&amp;L'!AH39+'WP P&amp;L'!AH38+'WW P&amp;L'!AH39+'HO P&amp;L'!AH17</f>
        <v/>
      </c>
      <c r="AI15" s="20">
        <f>'BK P&amp;L'!AI39+'CC P&amp;L'!AI38+'DN P&amp;L'!AI38+'LF P&amp;L'!AI39+'MR P&amp;L'!AI38+'OP P&amp;L'!AI38+'PH P&amp;L'!AI39+'RH P&amp;L'!AI38+'SB P&amp;L'!AI38+'SM P&amp;L'!AI39+'WP P&amp;L'!AI38+'WW P&amp;L'!AI39+'HO P&amp;L'!AI17</f>
        <v/>
      </c>
      <c r="AJ15" s="20">
        <f>'BK P&amp;L'!AJ39+'CC P&amp;L'!AJ38+'DN P&amp;L'!AJ38+'LF P&amp;L'!AJ39+'MR P&amp;L'!AJ38+'OP P&amp;L'!AJ38+'PH P&amp;L'!AJ39+'RH P&amp;L'!AJ38+'SB P&amp;L'!AJ38+'SM P&amp;L'!AJ39+'WP P&amp;L'!AJ38+'WW P&amp;L'!AJ39+'HO P&amp;L'!AJ17</f>
        <v/>
      </c>
      <c r="AK15" s="20">
        <f>'BK P&amp;L'!AK39+'CC P&amp;L'!AK38+'DN P&amp;L'!AK38+'LF P&amp;L'!AK39+'MR P&amp;L'!AK38+'OP P&amp;L'!AK38+'PH P&amp;L'!AK39+'RH P&amp;L'!AK38+'SB P&amp;L'!AK38+'SM P&amp;L'!AK39+'WP P&amp;L'!AK38+'WW P&amp;L'!AK39+'HO P&amp;L'!AK17</f>
        <v/>
      </c>
      <c r="AL15" s="20">
        <f>'BK P&amp;L'!AL39+'CC P&amp;L'!AL38+'DN P&amp;L'!AL38+'LF P&amp;L'!AL39+'MR P&amp;L'!AL38+'OP P&amp;L'!AL38+'PH P&amp;L'!AL39+'RH P&amp;L'!AL38+'SB P&amp;L'!AL38+'SM P&amp;L'!AL39+'WP P&amp;L'!AL38+'WW P&amp;L'!AL39+'HO P&amp;L'!AL17</f>
        <v/>
      </c>
      <c r="AM15" s="20">
        <f>'BK P&amp;L'!AM39+'CC P&amp;L'!AM38+'DN P&amp;L'!AM38+'LF P&amp;L'!AM39+'MR P&amp;L'!AM38+'OP P&amp;L'!AM38+'PH P&amp;L'!AM39+'RH P&amp;L'!AM38+'SB P&amp;L'!AM38+'SM P&amp;L'!AM39+'WP P&amp;L'!AM38+'WW P&amp;L'!AM39+'HO P&amp;L'!AM17</f>
        <v/>
      </c>
      <c r="AN15" s="20">
        <f>'BK P&amp;L'!AN39+'CC P&amp;L'!AN38+'DN P&amp;L'!AN38+'LF P&amp;L'!AN39+'MR P&amp;L'!AN38+'OP P&amp;L'!AN38+'PH P&amp;L'!AN39+'RH P&amp;L'!AN38+'SB P&amp;L'!AN38+'SM P&amp;L'!AN39+'WP P&amp;L'!AN38+'WW P&amp;L'!AN39+'HO P&amp;L'!AN17</f>
        <v/>
      </c>
      <c r="AO15" s="20">
        <f>'BK P&amp;L'!AO39+'CC P&amp;L'!AO38+'DN P&amp;L'!AO38+'LF P&amp;L'!AO39+'MR P&amp;L'!AO38+'OP P&amp;L'!AO38+'PH P&amp;L'!AO39+'RH P&amp;L'!AO38+'SB P&amp;L'!AO38+'SM P&amp;L'!AO39+'WP P&amp;L'!AO38+'WW P&amp;L'!AO39+'HO P&amp;L'!AO17</f>
        <v/>
      </c>
      <c r="AP15" s="20">
        <f>'BK P&amp;L'!AP39+'CC P&amp;L'!AP38+'DN P&amp;L'!AP38+'LF P&amp;L'!AP39+'MR P&amp;L'!AP38+'OP P&amp;L'!AP38+'PH P&amp;L'!AP39+'RH P&amp;L'!AP38+'SB P&amp;L'!AP38+'SM P&amp;L'!AP39+'WP P&amp;L'!AP38+'WW P&amp;L'!AP39+'HO P&amp;L'!AP17</f>
        <v/>
      </c>
      <c r="AQ15" s="20">
        <f>'BK P&amp;L'!AQ39+'CC P&amp;L'!AQ38+'DN P&amp;L'!AQ38+'LF P&amp;L'!AQ39+'MR P&amp;L'!AQ38+'OP P&amp;L'!AQ38+'PH P&amp;L'!AQ39+'RH P&amp;L'!AQ38+'SB P&amp;L'!AQ38+'SM P&amp;L'!AQ39+'WP P&amp;L'!AQ38+'WW P&amp;L'!AQ39+'HO P&amp;L'!AQ17</f>
        <v/>
      </c>
      <c r="AR15" s="20">
        <f>'BK P&amp;L'!AR39+'CC P&amp;L'!AR38+'DN P&amp;L'!AR38+'LF P&amp;L'!AR39+'MR P&amp;L'!AR38+'OP P&amp;L'!AR38+'PH P&amp;L'!AR39+'RH P&amp;L'!AR38+'SB P&amp;L'!AR38+'SM P&amp;L'!AR39+'WP P&amp;L'!AR38+'WW P&amp;L'!AR39+'HO P&amp;L'!AR17</f>
        <v/>
      </c>
      <c r="AS15" s="20">
        <f>'BK P&amp;L'!AS39+'CC P&amp;L'!AS38+'DN P&amp;L'!AS38+'LF P&amp;L'!AS39+'MR P&amp;L'!AS38+'OP P&amp;L'!AS38+'PH P&amp;L'!AS39+'RH P&amp;L'!AS38+'SB P&amp;L'!AS38+'SM P&amp;L'!AS39+'WP P&amp;L'!AS38+'WW P&amp;L'!AS39+'HO P&amp;L'!AS17</f>
        <v/>
      </c>
      <c r="AT15" s="20">
        <f>'BK P&amp;L'!AT39+'CC P&amp;L'!AT38+'DN P&amp;L'!AT38+'LF P&amp;L'!AT39+'MR P&amp;L'!AT38+'OP P&amp;L'!AT38+'PH P&amp;L'!AT39+'RH P&amp;L'!AT38+'SB P&amp;L'!AT38+'SM P&amp;L'!AT39+'WP P&amp;L'!AT38+'WW P&amp;L'!AT39+'HO P&amp;L'!AT17</f>
        <v/>
      </c>
      <c r="AU15" s="20">
        <f>'BK P&amp;L'!AU39+'CC P&amp;L'!AU38+'DN P&amp;L'!AU38+'LF P&amp;L'!AU39+'MR P&amp;L'!AU38+'OP P&amp;L'!AU38+'PH P&amp;L'!AU39+'RH P&amp;L'!AU38+'SB P&amp;L'!AU38+'SM P&amp;L'!AU39+'WP P&amp;L'!AU38+'WW P&amp;L'!AU39+'HO P&amp;L'!AU17</f>
        <v/>
      </c>
      <c r="AV15" s="20">
        <f>'BK P&amp;L'!AV39+'CC P&amp;L'!AV38+'DN P&amp;L'!AV38+'LF P&amp;L'!AV39+'MR P&amp;L'!AV38+'OP P&amp;L'!AV38+'PH P&amp;L'!AV39+'RH P&amp;L'!AV38+'SB P&amp;L'!AV38+'SM P&amp;L'!AV39+'WP P&amp;L'!AV38+'WW P&amp;L'!AV39+'HO P&amp;L'!AV17</f>
        <v/>
      </c>
      <c r="AW15" s="20">
        <f>'BK P&amp;L'!AW39+'CC P&amp;L'!AW38+'DN P&amp;L'!AW38+'LF P&amp;L'!AW39+'MR P&amp;L'!AW38+'OP P&amp;L'!AW38+'PH P&amp;L'!AW39+'RH P&amp;L'!AW38+'SB P&amp;L'!AW38+'SM P&amp;L'!AW39+'WP P&amp;L'!AW38+'WW P&amp;L'!AW39+'HO P&amp;L'!AW17</f>
        <v/>
      </c>
      <c r="AX15" s="20">
        <f>'BK P&amp;L'!AX39+'CC P&amp;L'!AX38+'DN P&amp;L'!AX38+'LF P&amp;L'!AX39+'MR P&amp;L'!AX38+'OP P&amp;L'!AX38+'PH P&amp;L'!AX39+'RH P&amp;L'!AX38+'SB P&amp;L'!AX38+'SM P&amp;L'!AX39+'WP P&amp;L'!AX38+'WW P&amp;L'!AX39+'HO P&amp;L'!AX17</f>
        <v/>
      </c>
      <c r="AY15" s="20">
        <f>'BK P&amp;L'!AY39+'CC P&amp;L'!AY38+'DN P&amp;L'!AY38+'LF P&amp;L'!AY39+'MR P&amp;L'!AY38+'OP P&amp;L'!AY38+'PH P&amp;L'!AY39+'RH P&amp;L'!AY38+'SB P&amp;L'!AY38+'SM P&amp;L'!AY39+'WP P&amp;L'!AY38+'WW P&amp;L'!AY39+'HO P&amp;L'!AY17</f>
        <v/>
      </c>
    </row>
    <row r="16">
      <c r="B16" s="18" t="inlineStr">
        <is>
          <t>Software</t>
        </is>
      </c>
      <c r="D16" s="19" t="n">
        <v>26665.07</v>
      </c>
      <c r="E16" s="19" t="n">
        <v>27275.25</v>
      </c>
      <c r="F16" s="19" t="n">
        <v>26973.42</v>
      </c>
      <c r="G16" s="19" t="n">
        <v>28105.36</v>
      </c>
      <c r="H16" s="19" t="n">
        <v>27900.43</v>
      </c>
      <c r="I16" s="19" t="n">
        <v>28473.7</v>
      </c>
      <c r="J16" s="19" t="n">
        <v>21660.15</v>
      </c>
      <c r="K16" s="19" t="n">
        <v>28481.27</v>
      </c>
      <c r="L16" s="19" t="n">
        <v>36334.95</v>
      </c>
      <c r="M16" s="19" t="n">
        <v>49834.78999999999</v>
      </c>
      <c r="N16" s="19" t="n">
        <v>38787.02000000001</v>
      </c>
      <c r="O16" s="19" t="n">
        <v>32961.91</v>
      </c>
      <c r="P16" s="19">
        <f>'QBO Actuals'!C38+'QBO Actuals'!C47+'QBO Actuals'!C49</f>
        <v/>
      </c>
      <c r="Q16" s="19">
        <f>'QBO Actuals'!D38+'QBO Actuals'!D47+'QBO Actuals'!D49</f>
        <v/>
      </c>
      <c r="R16" s="19">
        <f>'QBO Actuals'!E38+'QBO Actuals'!E47+'QBO Actuals'!E49</f>
        <v/>
      </c>
      <c r="S16" s="19">
        <f>'QBO Actuals'!F38+'QBO Actuals'!F47+'QBO Actuals'!F49</f>
        <v/>
      </c>
      <c r="T16" s="19">
        <f>'QBO Actuals'!G38+'QBO Actuals'!G47+'QBO Actuals'!G49</f>
        <v/>
      </c>
      <c r="U16" s="19">
        <f>'QBO Actuals'!H38+'QBO Actuals'!H47+'QBO Actuals'!H49</f>
        <v/>
      </c>
      <c r="V16" s="20">
        <f>'QBO Actuals'!I38+'QBO Actuals'!I47+'QBO Actuals'!I49</f>
        <v/>
      </c>
      <c r="W16" s="20">
        <f>'BK P&amp;L'!W43+'CC P&amp;L'!W42+'DN P&amp;L'!W42+'LF P&amp;L'!W43+'MR P&amp;L'!W42+'OP P&amp;L'!W42+'PH P&amp;L'!W43+'RH P&amp;L'!W42+'SB P&amp;L'!W42+'SM P&amp;L'!W43+'WP P&amp;L'!W42+'WW P&amp;L'!W43+'HO P&amp;L'!W22</f>
        <v/>
      </c>
      <c r="X16" s="20">
        <f>'BK P&amp;L'!X43+'CC P&amp;L'!X42+'DN P&amp;L'!X42+'LF P&amp;L'!X43+'MR P&amp;L'!X42+'OP P&amp;L'!X42+'PH P&amp;L'!X43+'RH P&amp;L'!X42+'SB P&amp;L'!X42+'SM P&amp;L'!X43+'WP P&amp;L'!X42+'WW P&amp;L'!X43+'HO P&amp;L'!X22</f>
        <v/>
      </c>
      <c r="Y16" s="20">
        <f>'BK P&amp;L'!Y43+'CC P&amp;L'!Y42+'DN P&amp;L'!Y42+'LF P&amp;L'!Y43+'MR P&amp;L'!Y42+'OP P&amp;L'!Y42+'PH P&amp;L'!Y43+'RH P&amp;L'!Y42+'SB P&amp;L'!Y42+'SM P&amp;L'!Y43+'WP P&amp;L'!Y42+'WW P&amp;L'!Y43+'HO P&amp;L'!Y22</f>
        <v/>
      </c>
      <c r="Z16" s="20">
        <f>'BK P&amp;L'!Z43+'CC P&amp;L'!Z42+'DN P&amp;L'!Z42+'LF P&amp;L'!Z43+'MR P&amp;L'!Z42+'OP P&amp;L'!Z42+'PH P&amp;L'!Z43+'RH P&amp;L'!Z42+'SB P&amp;L'!Z42+'SM P&amp;L'!Z43+'WP P&amp;L'!Z42+'WW P&amp;L'!Z43+'HO P&amp;L'!Z22</f>
        <v/>
      </c>
      <c r="AA16" s="20">
        <f>'BK P&amp;L'!AA43+'CC P&amp;L'!AA42+'DN P&amp;L'!AA42+'LF P&amp;L'!AA43+'MR P&amp;L'!AA42+'OP P&amp;L'!AA42+'PH P&amp;L'!AA43+'RH P&amp;L'!AA42+'SB P&amp;L'!AA42+'SM P&amp;L'!AA43+'WP P&amp;L'!AA42+'WW P&amp;L'!AA43+'HO P&amp;L'!AA22</f>
        <v/>
      </c>
      <c r="AB16" s="20">
        <f>'BK P&amp;L'!AB43+'CC P&amp;L'!AB42+'DN P&amp;L'!AB42+'LF P&amp;L'!AB43+'MR P&amp;L'!AB42+'OP P&amp;L'!AB42+'PH P&amp;L'!AB43+'RH P&amp;L'!AB42+'SB P&amp;L'!AB42+'SM P&amp;L'!AB43+'WP P&amp;L'!AB42+'WW P&amp;L'!AB43+'HO P&amp;L'!AB22</f>
        <v/>
      </c>
      <c r="AC16" s="20">
        <f>'BK P&amp;L'!AC43+'CC P&amp;L'!AC42+'DN P&amp;L'!AC42+'LF P&amp;L'!AC43+'MR P&amp;L'!AC42+'OP P&amp;L'!AC42+'PH P&amp;L'!AC43+'RH P&amp;L'!AC42+'SB P&amp;L'!AC42+'SM P&amp;L'!AC43+'WP P&amp;L'!AC42+'WW P&amp;L'!AC43+'HO P&amp;L'!AC22</f>
        <v/>
      </c>
      <c r="AD16" s="20">
        <f>'BK P&amp;L'!AD43+'CC P&amp;L'!AD42+'DN P&amp;L'!AD42+'LF P&amp;L'!AD43+'MR P&amp;L'!AD42+'OP P&amp;L'!AD42+'PH P&amp;L'!AD43+'RH P&amp;L'!AD42+'SB P&amp;L'!AD42+'SM P&amp;L'!AD43+'WP P&amp;L'!AD42+'WW P&amp;L'!AD43+'HO P&amp;L'!AD22</f>
        <v/>
      </c>
      <c r="AE16" s="20">
        <f>'BK P&amp;L'!AE43+'CC P&amp;L'!AE42+'DN P&amp;L'!AE42+'LF P&amp;L'!AE43+'MR P&amp;L'!AE42+'OP P&amp;L'!AE42+'PH P&amp;L'!AE43+'RH P&amp;L'!AE42+'SB P&amp;L'!AE42+'SM P&amp;L'!AE43+'WP P&amp;L'!AE42+'WW P&amp;L'!AE43+'HO P&amp;L'!AE22</f>
        <v/>
      </c>
      <c r="AF16" s="20">
        <f>'BK P&amp;L'!AF43+'CC P&amp;L'!AF42+'DN P&amp;L'!AF42+'LF P&amp;L'!AF43+'MR P&amp;L'!AF42+'OP P&amp;L'!AF42+'PH P&amp;L'!AF43+'RH P&amp;L'!AF42+'SB P&amp;L'!AF42+'SM P&amp;L'!AF43+'WP P&amp;L'!AF42+'WW P&amp;L'!AF43+'HO P&amp;L'!AF22</f>
        <v/>
      </c>
      <c r="AG16" s="20">
        <f>'BK P&amp;L'!AG43+'CC P&amp;L'!AG42+'DN P&amp;L'!AG42+'LF P&amp;L'!AG43+'MR P&amp;L'!AG42+'OP P&amp;L'!AG42+'PH P&amp;L'!AG43+'RH P&amp;L'!AG42+'SB P&amp;L'!AG42+'SM P&amp;L'!AG43+'WP P&amp;L'!AG42+'WW P&amp;L'!AG43+'HO P&amp;L'!AG22</f>
        <v/>
      </c>
      <c r="AH16" s="20">
        <f>'BK P&amp;L'!AH43+'CC P&amp;L'!AH42+'DN P&amp;L'!AH42+'LF P&amp;L'!AH43+'MR P&amp;L'!AH42+'OP P&amp;L'!AH42+'PH P&amp;L'!AH43+'RH P&amp;L'!AH42+'SB P&amp;L'!AH42+'SM P&amp;L'!AH43+'WP P&amp;L'!AH42+'WW P&amp;L'!AH43+'HO P&amp;L'!AH22</f>
        <v/>
      </c>
      <c r="AI16" s="20">
        <f>'BK P&amp;L'!AI43+'CC P&amp;L'!AI42+'DN P&amp;L'!AI42+'LF P&amp;L'!AI43+'MR P&amp;L'!AI42+'OP P&amp;L'!AI42+'PH P&amp;L'!AI43+'RH P&amp;L'!AI42+'SB P&amp;L'!AI42+'SM P&amp;L'!AI43+'WP P&amp;L'!AI42+'WW P&amp;L'!AI43+'HO P&amp;L'!AI22</f>
        <v/>
      </c>
      <c r="AJ16" s="20">
        <f>'BK P&amp;L'!AJ43+'CC P&amp;L'!AJ42+'DN P&amp;L'!AJ42+'LF P&amp;L'!AJ43+'MR P&amp;L'!AJ42+'OP P&amp;L'!AJ42+'PH P&amp;L'!AJ43+'RH P&amp;L'!AJ42+'SB P&amp;L'!AJ42+'SM P&amp;L'!AJ43+'WP P&amp;L'!AJ42+'WW P&amp;L'!AJ43+'HO P&amp;L'!AJ22</f>
        <v/>
      </c>
      <c r="AK16" s="20">
        <f>'BK P&amp;L'!AK43+'CC P&amp;L'!AK42+'DN P&amp;L'!AK42+'LF P&amp;L'!AK43+'MR P&amp;L'!AK42+'OP P&amp;L'!AK42+'PH P&amp;L'!AK43+'RH P&amp;L'!AK42+'SB P&amp;L'!AK42+'SM P&amp;L'!AK43+'WP P&amp;L'!AK42+'WW P&amp;L'!AK43+'HO P&amp;L'!AK22</f>
        <v/>
      </c>
      <c r="AL16" s="20">
        <f>'BK P&amp;L'!AL43+'CC P&amp;L'!AL42+'DN P&amp;L'!AL42+'LF P&amp;L'!AL43+'MR P&amp;L'!AL42+'OP P&amp;L'!AL42+'PH P&amp;L'!AL43+'RH P&amp;L'!AL42+'SB P&amp;L'!AL42+'SM P&amp;L'!AL43+'WP P&amp;L'!AL42+'WW P&amp;L'!AL43+'HO P&amp;L'!AL22</f>
        <v/>
      </c>
      <c r="AM16" s="20">
        <f>'BK P&amp;L'!AM43+'CC P&amp;L'!AM42+'DN P&amp;L'!AM42+'LF P&amp;L'!AM43+'MR P&amp;L'!AM42+'OP P&amp;L'!AM42+'PH P&amp;L'!AM43+'RH P&amp;L'!AM42+'SB P&amp;L'!AM42+'SM P&amp;L'!AM43+'WP P&amp;L'!AM42+'WW P&amp;L'!AM43+'HO P&amp;L'!AM22</f>
        <v/>
      </c>
      <c r="AN16" s="20">
        <f>'BK P&amp;L'!AN43+'CC P&amp;L'!AN42+'DN P&amp;L'!AN42+'LF P&amp;L'!AN43+'MR P&amp;L'!AN42+'OP P&amp;L'!AN42+'PH P&amp;L'!AN43+'RH P&amp;L'!AN42+'SB P&amp;L'!AN42+'SM P&amp;L'!AN43+'WP P&amp;L'!AN42+'WW P&amp;L'!AN43+'HO P&amp;L'!AN22</f>
        <v/>
      </c>
      <c r="AO16" s="20">
        <f>'BK P&amp;L'!AO43+'CC P&amp;L'!AO42+'DN P&amp;L'!AO42+'LF P&amp;L'!AO43+'MR P&amp;L'!AO42+'OP P&amp;L'!AO42+'PH P&amp;L'!AO43+'RH P&amp;L'!AO42+'SB P&amp;L'!AO42+'SM P&amp;L'!AO43+'WP P&amp;L'!AO42+'WW P&amp;L'!AO43+'HO P&amp;L'!AO22</f>
        <v/>
      </c>
      <c r="AP16" s="20">
        <f>'BK P&amp;L'!AP43+'CC P&amp;L'!AP42+'DN P&amp;L'!AP42+'LF P&amp;L'!AP43+'MR P&amp;L'!AP42+'OP P&amp;L'!AP42+'PH P&amp;L'!AP43+'RH P&amp;L'!AP42+'SB P&amp;L'!AP42+'SM P&amp;L'!AP43+'WP P&amp;L'!AP42+'WW P&amp;L'!AP43+'HO P&amp;L'!AP22</f>
        <v/>
      </c>
      <c r="AQ16" s="20">
        <f>'BK P&amp;L'!AQ43+'CC P&amp;L'!AQ42+'DN P&amp;L'!AQ42+'LF P&amp;L'!AQ43+'MR P&amp;L'!AQ42+'OP P&amp;L'!AQ42+'PH P&amp;L'!AQ43+'RH P&amp;L'!AQ42+'SB P&amp;L'!AQ42+'SM P&amp;L'!AQ43+'WP P&amp;L'!AQ42+'WW P&amp;L'!AQ43+'HO P&amp;L'!AQ22</f>
        <v/>
      </c>
      <c r="AR16" s="20">
        <f>'BK P&amp;L'!AR43+'CC P&amp;L'!AR42+'DN P&amp;L'!AR42+'LF P&amp;L'!AR43+'MR P&amp;L'!AR42+'OP P&amp;L'!AR42+'PH P&amp;L'!AR43+'RH P&amp;L'!AR42+'SB P&amp;L'!AR42+'SM P&amp;L'!AR43+'WP P&amp;L'!AR42+'WW P&amp;L'!AR43+'HO P&amp;L'!AR22</f>
        <v/>
      </c>
      <c r="AS16" s="20">
        <f>'BK P&amp;L'!AS43+'CC P&amp;L'!AS42+'DN P&amp;L'!AS42+'LF P&amp;L'!AS43+'MR P&amp;L'!AS42+'OP P&amp;L'!AS42+'PH P&amp;L'!AS43+'RH P&amp;L'!AS42+'SB P&amp;L'!AS42+'SM P&amp;L'!AS43+'WP P&amp;L'!AS42+'WW P&amp;L'!AS43+'HO P&amp;L'!AS22</f>
        <v/>
      </c>
      <c r="AT16" s="20">
        <f>'BK P&amp;L'!AT43+'CC P&amp;L'!AT42+'DN P&amp;L'!AT42+'LF P&amp;L'!AT43+'MR P&amp;L'!AT42+'OP P&amp;L'!AT42+'PH P&amp;L'!AT43+'RH P&amp;L'!AT42+'SB P&amp;L'!AT42+'SM P&amp;L'!AT43+'WP P&amp;L'!AT42+'WW P&amp;L'!AT43+'HO P&amp;L'!AT22</f>
        <v/>
      </c>
      <c r="AU16" s="20">
        <f>'BK P&amp;L'!AU43+'CC P&amp;L'!AU42+'DN P&amp;L'!AU42+'LF P&amp;L'!AU43+'MR P&amp;L'!AU42+'OP P&amp;L'!AU42+'PH P&amp;L'!AU43+'RH P&amp;L'!AU42+'SB P&amp;L'!AU42+'SM P&amp;L'!AU43+'WP P&amp;L'!AU42+'WW P&amp;L'!AU43+'HO P&amp;L'!AU22</f>
        <v/>
      </c>
      <c r="AV16" s="20">
        <f>'BK P&amp;L'!AV43+'CC P&amp;L'!AV42+'DN P&amp;L'!AV42+'LF P&amp;L'!AV43+'MR P&amp;L'!AV42+'OP P&amp;L'!AV42+'PH P&amp;L'!AV43+'RH P&amp;L'!AV42+'SB P&amp;L'!AV42+'SM P&amp;L'!AV43+'WP P&amp;L'!AV42+'WW P&amp;L'!AV43+'HO P&amp;L'!AV22</f>
        <v/>
      </c>
      <c r="AW16" s="20">
        <f>'BK P&amp;L'!AW43+'CC P&amp;L'!AW42+'DN P&amp;L'!AW42+'LF P&amp;L'!AW43+'MR P&amp;L'!AW42+'OP P&amp;L'!AW42+'PH P&amp;L'!AW43+'RH P&amp;L'!AW42+'SB P&amp;L'!AW42+'SM P&amp;L'!AW43+'WP P&amp;L'!AW42+'WW P&amp;L'!AW43+'HO P&amp;L'!AW22</f>
        <v/>
      </c>
      <c r="AX16" s="20">
        <f>'BK P&amp;L'!AX43+'CC P&amp;L'!AX42+'DN P&amp;L'!AX42+'LF P&amp;L'!AX43+'MR P&amp;L'!AX42+'OP P&amp;L'!AX42+'PH P&amp;L'!AX43+'RH P&amp;L'!AX42+'SB P&amp;L'!AX42+'SM P&amp;L'!AX43+'WP P&amp;L'!AX42+'WW P&amp;L'!AX43+'HO P&amp;L'!AX22</f>
        <v/>
      </c>
      <c r="AY16" s="20">
        <f>'BK P&amp;L'!AY43+'CC P&amp;L'!AY42+'DN P&amp;L'!AY42+'LF P&amp;L'!AY43+'MR P&amp;L'!AY42+'OP P&amp;L'!AY42+'PH P&amp;L'!AY43+'RH P&amp;L'!AY42+'SB P&amp;L'!AY42+'SM P&amp;L'!AY43+'WP P&amp;L'!AY42+'WW P&amp;L'!AY43+'HO P&amp;L'!AY22</f>
        <v/>
      </c>
    </row>
    <row r="17">
      <c r="B17" s="18" t="inlineStr">
        <is>
          <t>Professional Fees</t>
        </is>
      </c>
      <c r="D17" s="19" t="n">
        <v>12762.86</v>
      </c>
      <c r="E17" s="19" t="n">
        <v>6986.62</v>
      </c>
      <c r="F17" s="19" t="n">
        <v>6754.780000000001</v>
      </c>
      <c r="G17" s="19" t="n">
        <v>2824.89</v>
      </c>
      <c r="H17" s="19" t="n">
        <v>14193.46</v>
      </c>
      <c r="I17" s="19" t="n">
        <v>28217.6</v>
      </c>
      <c r="J17" s="19" t="n">
        <v>16267.87</v>
      </c>
      <c r="K17" s="19" t="n">
        <v>22546.69</v>
      </c>
      <c r="L17" s="19" t="n">
        <v>25022.6</v>
      </c>
      <c r="M17" s="19" t="n">
        <v>59823.54</v>
      </c>
      <c r="N17" s="19" t="n">
        <v>47681.74</v>
      </c>
      <c r="O17" s="19" t="n">
        <v>59459.49</v>
      </c>
      <c r="P17" s="19">
        <f>'QBO Actuals'!C84</f>
        <v/>
      </c>
      <c r="Q17" s="19">
        <f>'QBO Actuals'!D84</f>
        <v/>
      </c>
      <c r="R17" s="19">
        <f>'QBO Actuals'!E84</f>
        <v/>
      </c>
      <c r="S17" s="19">
        <f>'QBO Actuals'!F84</f>
        <v/>
      </c>
      <c r="T17" s="19">
        <f>'QBO Actuals'!G84</f>
        <v/>
      </c>
      <c r="U17" s="19">
        <f>'QBO Actuals'!H84</f>
        <v/>
      </c>
      <c r="V17" s="20">
        <f>'QBO Actuals'!I84</f>
        <v/>
      </c>
      <c r="W17" s="20">
        <f>'BK P&amp;L'!W48+'CC P&amp;L'!W47+'DN P&amp;L'!W47+'LF P&amp;L'!W48+'MR P&amp;L'!W47+'OP P&amp;L'!W47+'PH P&amp;L'!W48+'RH P&amp;L'!W47+'SB P&amp;L'!W47+'SM P&amp;L'!W48+'WP P&amp;L'!W47+'WW P&amp;L'!W48+'HO P&amp;L'!W27</f>
        <v/>
      </c>
      <c r="X17" s="20">
        <f>'BK P&amp;L'!X48+'CC P&amp;L'!X47+'DN P&amp;L'!X47+'LF P&amp;L'!X48+'MR P&amp;L'!X47+'OP P&amp;L'!X47+'PH P&amp;L'!X48+'RH P&amp;L'!X47+'SB P&amp;L'!X47+'SM P&amp;L'!X48+'WP P&amp;L'!X47+'WW P&amp;L'!X48+'HO P&amp;L'!X27</f>
        <v/>
      </c>
      <c r="Y17" s="20">
        <f>'BK P&amp;L'!Y48+'CC P&amp;L'!Y47+'DN P&amp;L'!Y47+'LF P&amp;L'!Y48+'MR P&amp;L'!Y47+'OP P&amp;L'!Y47+'PH P&amp;L'!Y48+'RH P&amp;L'!Y47+'SB P&amp;L'!Y47+'SM P&amp;L'!Y48+'WP P&amp;L'!Y47+'WW P&amp;L'!Y48+'HO P&amp;L'!Y27</f>
        <v/>
      </c>
      <c r="Z17" s="20">
        <f>'BK P&amp;L'!Z48+'CC P&amp;L'!Z47+'DN P&amp;L'!Z47+'LF P&amp;L'!Z48+'MR P&amp;L'!Z47+'OP P&amp;L'!Z47+'PH P&amp;L'!Z48+'RH P&amp;L'!Z47+'SB P&amp;L'!Z47+'SM P&amp;L'!Z48+'WP P&amp;L'!Z47+'WW P&amp;L'!Z48+'HO P&amp;L'!Z27</f>
        <v/>
      </c>
      <c r="AA17" s="20">
        <f>'BK P&amp;L'!AA48+'CC P&amp;L'!AA47+'DN P&amp;L'!AA47+'LF P&amp;L'!AA48+'MR P&amp;L'!AA47+'OP P&amp;L'!AA47+'PH P&amp;L'!AA48+'RH P&amp;L'!AA47+'SB P&amp;L'!AA47+'SM P&amp;L'!AA48+'WP P&amp;L'!AA47+'WW P&amp;L'!AA48+'HO P&amp;L'!AA27</f>
        <v/>
      </c>
      <c r="AB17" s="20">
        <f>'BK P&amp;L'!AB48+'CC P&amp;L'!AB47+'DN P&amp;L'!AB47+'LF P&amp;L'!AB48+'MR P&amp;L'!AB47+'OP P&amp;L'!AB47+'PH P&amp;L'!AB48+'RH P&amp;L'!AB47+'SB P&amp;L'!AB47+'SM P&amp;L'!AB48+'WP P&amp;L'!AB47+'WW P&amp;L'!AB48+'HO P&amp;L'!AB27</f>
        <v/>
      </c>
      <c r="AC17" s="20">
        <f>'BK P&amp;L'!AC48+'CC P&amp;L'!AC47+'DN P&amp;L'!AC47+'LF P&amp;L'!AC48+'MR P&amp;L'!AC47+'OP P&amp;L'!AC47+'PH P&amp;L'!AC48+'RH P&amp;L'!AC47+'SB P&amp;L'!AC47+'SM P&amp;L'!AC48+'WP P&amp;L'!AC47+'WW P&amp;L'!AC48+'HO P&amp;L'!AC27</f>
        <v/>
      </c>
      <c r="AD17" s="20">
        <f>'BK P&amp;L'!AD48+'CC P&amp;L'!AD47+'DN P&amp;L'!AD47+'LF P&amp;L'!AD48+'MR P&amp;L'!AD47+'OP P&amp;L'!AD47+'PH P&amp;L'!AD48+'RH P&amp;L'!AD47+'SB P&amp;L'!AD47+'SM P&amp;L'!AD48+'WP P&amp;L'!AD47+'WW P&amp;L'!AD48+'HO P&amp;L'!AD27</f>
        <v/>
      </c>
      <c r="AE17" s="20">
        <f>'BK P&amp;L'!AE48+'CC P&amp;L'!AE47+'DN P&amp;L'!AE47+'LF P&amp;L'!AE48+'MR P&amp;L'!AE47+'OP P&amp;L'!AE47+'PH P&amp;L'!AE48+'RH P&amp;L'!AE47+'SB P&amp;L'!AE47+'SM P&amp;L'!AE48+'WP P&amp;L'!AE47+'WW P&amp;L'!AE48+'HO P&amp;L'!AE27</f>
        <v/>
      </c>
      <c r="AF17" s="20">
        <f>'BK P&amp;L'!AF48+'CC P&amp;L'!AF47+'DN P&amp;L'!AF47+'LF P&amp;L'!AF48+'MR P&amp;L'!AF47+'OP P&amp;L'!AF47+'PH P&amp;L'!AF48+'RH P&amp;L'!AF47+'SB P&amp;L'!AF47+'SM P&amp;L'!AF48+'WP P&amp;L'!AF47+'WW P&amp;L'!AF48+'HO P&amp;L'!AF27</f>
        <v/>
      </c>
      <c r="AG17" s="20">
        <f>'BK P&amp;L'!AG48+'CC P&amp;L'!AG47+'DN P&amp;L'!AG47+'LF P&amp;L'!AG48+'MR P&amp;L'!AG47+'OP P&amp;L'!AG47+'PH P&amp;L'!AG48+'RH P&amp;L'!AG47+'SB P&amp;L'!AG47+'SM P&amp;L'!AG48+'WP P&amp;L'!AG47+'WW P&amp;L'!AG48+'HO P&amp;L'!AG27</f>
        <v/>
      </c>
      <c r="AH17" s="20">
        <f>'BK P&amp;L'!AH48+'CC P&amp;L'!AH47+'DN P&amp;L'!AH47+'LF P&amp;L'!AH48+'MR P&amp;L'!AH47+'OP P&amp;L'!AH47+'PH P&amp;L'!AH48+'RH P&amp;L'!AH47+'SB P&amp;L'!AH47+'SM P&amp;L'!AH48+'WP P&amp;L'!AH47+'WW P&amp;L'!AH48+'HO P&amp;L'!AH27</f>
        <v/>
      </c>
      <c r="AI17" s="20">
        <f>'BK P&amp;L'!AI48+'CC P&amp;L'!AI47+'DN P&amp;L'!AI47+'LF P&amp;L'!AI48+'MR P&amp;L'!AI47+'OP P&amp;L'!AI47+'PH P&amp;L'!AI48+'RH P&amp;L'!AI47+'SB P&amp;L'!AI47+'SM P&amp;L'!AI48+'WP P&amp;L'!AI47+'WW P&amp;L'!AI48+'HO P&amp;L'!AI27</f>
        <v/>
      </c>
      <c r="AJ17" s="20">
        <f>'BK P&amp;L'!AJ48+'CC P&amp;L'!AJ47+'DN P&amp;L'!AJ47+'LF P&amp;L'!AJ48+'MR P&amp;L'!AJ47+'OP P&amp;L'!AJ47+'PH P&amp;L'!AJ48+'RH P&amp;L'!AJ47+'SB P&amp;L'!AJ47+'SM P&amp;L'!AJ48+'WP P&amp;L'!AJ47+'WW P&amp;L'!AJ48+'HO P&amp;L'!AJ27</f>
        <v/>
      </c>
      <c r="AK17" s="20">
        <f>'BK P&amp;L'!AK48+'CC P&amp;L'!AK47+'DN P&amp;L'!AK47+'LF P&amp;L'!AK48+'MR P&amp;L'!AK47+'OP P&amp;L'!AK47+'PH P&amp;L'!AK48+'RH P&amp;L'!AK47+'SB P&amp;L'!AK47+'SM P&amp;L'!AK48+'WP P&amp;L'!AK47+'WW P&amp;L'!AK48+'HO P&amp;L'!AK27</f>
        <v/>
      </c>
      <c r="AL17" s="20">
        <f>'BK P&amp;L'!AL48+'CC P&amp;L'!AL47+'DN P&amp;L'!AL47+'LF P&amp;L'!AL48+'MR P&amp;L'!AL47+'OP P&amp;L'!AL47+'PH P&amp;L'!AL48+'RH P&amp;L'!AL47+'SB P&amp;L'!AL47+'SM P&amp;L'!AL48+'WP P&amp;L'!AL47+'WW P&amp;L'!AL48+'HO P&amp;L'!AL27</f>
        <v/>
      </c>
      <c r="AM17" s="20">
        <f>'BK P&amp;L'!AM48+'CC P&amp;L'!AM47+'DN P&amp;L'!AM47+'LF P&amp;L'!AM48+'MR P&amp;L'!AM47+'OP P&amp;L'!AM47+'PH P&amp;L'!AM48+'RH P&amp;L'!AM47+'SB P&amp;L'!AM47+'SM P&amp;L'!AM48+'WP P&amp;L'!AM47+'WW P&amp;L'!AM48+'HO P&amp;L'!AM27</f>
        <v/>
      </c>
      <c r="AN17" s="20">
        <f>'BK P&amp;L'!AN48+'CC P&amp;L'!AN47+'DN P&amp;L'!AN47+'LF P&amp;L'!AN48+'MR P&amp;L'!AN47+'OP P&amp;L'!AN47+'PH P&amp;L'!AN48+'RH P&amp;L'!AN47+'SB P&amp;L'!AN47+'SM P&amp;L'!AN48+'WP P&amp;L'!AN47+'WW P&amp;L'!AN48+'HO P&amp;L'!AN27</f>
        <v/>
      </c>
      <c r="AO17" s="20">
        <f>'BK P&amp;L'!AO48+'CC P&amp;L'!AO47+'DN P&amp;L'!AO47+'LF P&amp;L'!AO48+'MR P&amp;L'!AO47+'OP P&amp;L'!AO47+'PH P&amp;L'!AO48+'RH P&amp;L'!AO47+'SB P&amp;L'!AO47+'SM P&amp;L'!AO48+'WP P&amp;L'!AO47+'WW P&amp;L'!AO48+'HO P&amp;L'!AO27</f>
        <v/>
      </c>
      <c r="AP17" s="20">
        <f>'BK P&amp;L'!AP48+'CC P&amp;L'!AP47+'DN P&amp;L'!AP47+'LF P&amp;L'!AP48+'MR P&amp;L'!AP47+'OP P&amp;L'!AP47+'PH P&amp;L'!AP48+'RH P&amp;L'!AP47+'SB P&amp;L'!AP47+'SM P&amp;L'!AP48+'WP P&amp;L'!AP47+'WW P&amp;L'!AP48+'HO P&amp;L'!AP27</f>
        <v/>
      </c>
      <c r="AQ17" s="20">
        <f>'BK P&amp;L'!AQ48+'CC P&amp;L'!AQ47+'DN P&amp;L'!AQ47+'LF P&amp;L'!AQ48+'MR P&amp;L'!AQ47+'OP P&amp;L'!AQ47+'PH P&amp;L'!AQ48+'RH P&amp;L'!AQ47+'SB P&amp;L'!AQ47+'SM P&amp;L'!AQ48+'WP P&amp;L'!AQ47+'WW P&amp;L'!AQ48+'HO P&amp;L'!AQ27</f>
        <v/>
      </c>
      <c r="AR17" s="20">
        <f>'BK P&amp;L'!AR48+'CC P&amp;L'!AR47+'DN P&amp;L'!AR47+'LF P&amp;L'!AR48+'MR P&amp;L'!AR47+'OP P&amp;L'!AR47+'PH P&amp;L'!AR48+'RH P&amp;L'!AR47+'SB P&amp;L'!AR47+'SM P&amp;L'!AR48+'WP P&amp;L'!AR47+'WW P&amp;L'!AR48+'HO P&amp;L'!AR27</f>
        <v/>
      </c>
      <c r="AS17" s="20">
        <f>'BK P&amp;L'!AS48+'CC P&amp;L'!AS47+'DN P&amp;L'!AS47+'LF P&amp;L'!AS48+'MR P&amp;L'!AS47+'OP P&amp;L'!AS47+'PH P&amp;L'!AS48+'RH P&amp;L'!AS47+'SB P&amp;L'!AS47+'SM P&amp;L'!AS48+'WP P&amp;L'!AS47+'WW P&amp;L'!AS48+'HO P&amp;L'!AS27</f>
        <v/>
      </c>
      <c r="AT17" s="20">
        <f>'BK P&amp;L'!AT48+'CC P&amp;L'!AT47+'DN P&amp;L'!AT47+'LF P&amp;L'!AT48+'MR P&amp;L'!AT47+'OP P&amp;L'!AT47+'PH P&amp;L'!AT48+'RH P&amp;L'!AT47+'SB P&amp;L'!AT47+'SM P&amp;L'!AT48+'WP P&amp;L'!AT47+'WW P&amp;L'!AT48+'HO P&amp;L'!AT27</f>
        <v/>
      </c>
      <c r="AU17" s="20">
        <f>'BK P&amp;L'!AU48+'CC P&amp;L'!AU47+'DN P&amp;L'!AU47+'LF P&amp;L'!AU48+'MR P&amp;L'!AU47+'OP P&amp;L'!AU47+'PH P&amp;L'!AU48+'RH P&amp;L'!AU47+'SB P&amp;L'!AU47+'SM P&amp;L'!AU48+'WP P&amp;L'!AU47+'WW P&amp;L'!AU48+'HO P&amp;L'!AU27</f>
        <v/>
      </c>
      <c r="AV17" s="20">
        <f>'BK P&amp;L'!AV48+'CC P&amp;L'!AV47+'DN P&amp;L'!AV47+'LF P&amp;L'!AV48+'MR P&amp;L'!AV47+'OP P&amp;L'!AV47+'PH P&amp;L'!AV48+'RH P&amp;L'!AV47+'SB P&amp;L'!AV47+'SM P&amp;L'!AV48+'WP P&amp;L'!AV47+'WW P&amp;L'!AV48+'HO P&amp;L'!AV27</f>
        <v/>
      </c>
      <c r="AW17" s="20">
        <f>'BK P&amp;L'!AW48+'CC P&amp;L'!AW47+'DN P&amp;L'!AW47+'LF P&amp;L'!AW48+'MR P&amp;L'!AW47+'OP P&amp;L'!AW47+'PH P&amp;L'!AW48+'RH P&amp;L'!AW47+'SB P&amp;L'!AW47+'SM P&amp;L'!AW48+'WP P&amp;L'!AW47+'WW P&amp;L'!AW48+'HO P&amp;L'!AW27</f>
        <v/>
      </c>
      <c r="AX17" s="20">
        <f>'BK P&amp;L'!AX48+'CC P&amp;L'!AX47+'DN P&amp;L'!AX47+'LF P&amp;L'!AX48+'MR P&amp;L'!AX47+'OP P&amp;L'!AX47+'PH P&amp;L'!AX48+'RH P&amp;L'!AX47+'SB P&amp;L'!AX47+'SM P&amp;L'!AX48+'WP P&amp;L'!AX47+'WW P&amp;L'!AX48+'HO P&amp;L'!AX27</f>
        <v/>
      </c>
      <c r="AY17" s="20">
        <f>'BK P&amp;L'!AY48+'CC P&amp;L'!AY47+'DN P&amp;L'!AY47+'LF P&amp;L'!AY48+'MR P&amp;L'!AY47+'OP P&amp;L'!AY47+'PH P&amp;L'!AY48+'RH P&amp;L'!AY47+'SB P&amp;L'!AY47+'SM P&amp;L'!AY48+'WP P&amp;L'!AY47+'WW P&amp;L'!AY48+'HO P&amp;L'!AY27</f>
        <v/>
      </c>
    </row>
    <row r="18">
      <c r="B18" s="18" t="inlineStr">
        <is>
          <t>Utilities</t>
        </is>
      </c>
      <c r="D18" s="19" t="n">
        <v>3290.78</v>
      </c>
      <c r="E18" s="19" t="n">
        <v>5292.9</v>
      </c>
      <c r="F18" s="19" t="n">
        <v>4950.780000000001</v>
      </c>
      <c r="G18" s="19" t="n">
        <v>5342.61</v>
      </c>
      <c r="H18" s="19" t="n">
        <v>5724.639999999999</v>
      </c>
      <c r="I18" s="19" t="n">
        <v>5320.05</v>
      </c>
      <c r="J18" s="19" t="n">
        <v>5193.56</v>
      </c>
      <c r="K18" s="19" t="n">
        <v>7807.630000000001</v>
      </c>
      <c r="L18" s="19" t="n">
        <v>8276.280000000001</v>
      </c>
      <c r="M18" s="19" t="n">
        <v>8293.940000000001</v>
      </c>
      <c r="N18" s="19" t="n">
        <v>9023.459999999999</v>
      </c>
      <c r="O18" s="19" t="n">
        <v>7849.860000000001</v>
      </c>
      <c r="P18" s="19">
        <f>'QBO Actuals'!C85</f>
        <v/>
      </c>
      <c r="Q18" s="19">
        <f>'QBO Actuals'!D85</f>
        <v/>
      </c>
      <c r="R18" s="19">
        <f>'QBO Actuals'!E85</f>
        <v/>
      </c>
      <c r="S18" s="19">
        <f>'QBO Actuals'!F85</f>
        <v/>
      </c>
      <c r="T18" s="19">
        <f>'QBO Actuals'!G85</f>
        <v/>
      </c>
      <c r="U18" s="19">
        <f>'QBO Actuals'!H85</f>
        <v/>
      </c>
      <c r="V18" s="20">
        <f>'QBO Actuals'!I85</f>
        <v/>
      </c>
      <c r="W18" s="20">
        <f>'BK P&amp;L'!W57+'CC P&amp;L'!W56+'DN P&amp;L'!W56+'LF P&amp;L'!W57+'MR P&amp;L'!W56+'OP P&amp;L'!W56+'PH P&amp;L'!W57+'RH P&amp;L'!W56+'SB P&amp;L'!W56+'SM P&amp;L'!W57+'WP P&amp;L'!W56+'WW P&amp;L'!W57</f>
        <v/>
      </c>
      <c r="X18" s="20">
        <f>'BK P&amp;L'!X57+'CC P&amp;L'!X56+'DN P&amp;L'!X56+'LF P&amp;L'!X57+'MR P&amp;L'!X56+'OP P&amp;L'!X56+'PH P&amp;L'!X57+'RH P&amp;L'!X56+'SB P&amp;L'!X56+'SM P&amp;L'!X57+'WP P&amp;L'!X56+'WW P&amp;L'!X57</f>
        <v/>
      </c>
      <c r="Y18" s="20">
        <f>'BK P&amp;L'!Y57+'CC P&amp;L'!Y56+'DN P&amp;L'!Y56+'LF P&amp;L'!Y57+'MR P&amp;L'!Y56+'OP P&amp;L'!Y56+'PH P&amp;L'!Y57+'RH P&amp;L'!Y56+'SB P&amp;L'!Y56+'SM P&amp;L'!Y57+'WP P&amp;L'!Y56+'WW P&amp;L'!Y57</f>
        <v/>
      </c>
      <c r="Z18" s="20">
        <f>'BK P&amp;L'!Z57+'CC P&amp;L'!Z56+'DN P&amp;L'!Z56+'LF P&amp;L'!Z57+'MR P&amp;L'!Z56+'OP P&amp;L'!Z56+'PH P&amp;L'!Z57+'RH P&amp;L'!Z56+'SB P&amp;L'!Z56+'SM P&amp;L'!Z57+'WP P&amp;L'!Z56+'WW P&amp;L'!Z57</f>
        <v/>
      </c>
      <c r="AA18" s="20">
        <f>'BK P&amp;L'!AA57+'CC P&amp;L'!AA56+'DN P&amp;L'!AA56+'LF P&amp;L'!AA57+'MR P&amp;L'!AA56+'OP P&amp;L'!AA56+'PH P&amp;L'!AA57+'RH P&amp;L'!AA56+'SB P&amp;L'!AA56+'SM P&amp;L'!AA57+'WP P&amp;L'!AA56+'WW P&amp;L'!AA57</f>
        <v/>
      </c>
      <c r="AB18" s="20">
        <f>'BK P&amp;L'!AB57+'CC P&amp;L'!AB56+'DN P&amp;L'!AB56+'LF P&amp;L'!AB57+'MR P&amp;L'!AB56+'OP P&amp;L'!AB56+'PH P&amp;L'!AB57+'RH P&amp;L'!AB56+'SB P&amp;L'!AB56+'SM P&amp;L'!AB57+'WP P&amp;L'!AB56+'WW P&amp;L'!AB57</f>
        <v/>
      </c>
      <c r="AC18" s="20">
        <f>'BK P&amp;L'!AC57+'CC P&amp;L'!AC56+'DN P&amp;L'!AC56+'LF P&amp;L'!AC57+'MR P&amp;L'!AC56+'OP P&amp;L'!AC56+'PH P&amp;L'!AC57+'RH P&amp;L'!AC56+'SB P&amp;L'!AC56+'SM P&amp;L'!AC57+'WP P&amp;L'!AC56+'WW P&amp;L'!AC57</f>
        <v/>
      </c>
      <c r="AD18" s="20">
        <f>'BK P&amp;L'!AD57+'CC P&amp;L'!AD56+'DN P&amp;L'!AD56+'LF P&amp;L'!AD57+'MR P&amp;L'!AD56+'OP P&amp;L'!AD56+'PH P&amp;L'!AD57+'RH P&amp;L'!AD56+'SB P&amp;L'!AD56+'SM P&amp;L'!AD57+'WP P&amp;L'!AD56+'WW P&amp;L'!AD57</f>
        <v/>
      </c>
      <c r="AE18" s="20">
        <f>'BK P&amp;L'!AE57+'CC P&amp;L'!AE56+'DN P&amp;L'!AE56+'LF P&amp;L'!AE57+'MR P&amp;L'!AE56+'OP P&amp;L'!AE56+'PH P&amp;L'!AE57+'RH P&amp;L'!AE56+'SB P&amp;L'!AE56+'SM P&amp;L'!AE57+'WP P&amp;L'!AE56+'WW P&amp;L'!AE57</f>
        <v/>
      </c>
      <c r="AF18" s="20">
        <f>'BK P&amp;L'!AF57+'CC P&amp;L'!AF56+'DN P&amp;L'!AF56+'LF P&amp;L'!AF57+'MR P&amp;L'!AF56+'OP P&amp;L'!AF56+'PH P&amp;L'!AF57+'RH P&amp;L'!AF56+'SB P&amp;L'!AF56+'SM P&amp;L'!AF57+'WP P&amp;L'!AF56+'WW P&amp;L'!AF57</f>
        <v/>
      </c>
      <c r="AG18" s="20">
        <f>'BK P&amp;L'!AG57+'CC P&amp;L'!AG56+'DN P&amp;L'!AG56+'LF P&amp;L'!AG57+'MR P&amp;L'!AG56+'OP P&amp;L'!AG56+'PH P&amp;L'!AG57+'RH P&amp;L'!AG56+'SB P&amp;L'!AG56+'SM P&amp;L'!AG57+'WP P&amp;L'!AG56+'WW P&amp;L'!AG57</f>
        <v/>
      </c>
      <c r="AH18" s="20">
        <f>'BK P&amp;L'!AH57+'CC P&amp;L'!AH56+'DN P&amp;L'!AH56+'LF P&amp;L'!AH57+'MR P&amp;L'!AH56+'OP P&amp;L'!AH56+'PH P&amp;L'!AH57+'RH P&amp;L'!AH56+'SB P&amp;L'!AH56+'SM P&amp;L'!AH57+'WP P&amp;L'!AH56+'WW P&amp;L'!AH57</f>
        <v/>
      </c>
      <c r="AI18" s="20">
        <f>'BK P&amp;L'!AI57+'CC P&amp;L'!AI56+'DN P&amp;L'!AI56+'LF P&amp;L'!AI57+'MR P&amp;L'!AI56+'OP P&amp;L'!AI56+'PH P&amp;L'!AI57+'RH P&amp;L'!AI56+'SB P&amp;L'!AI56+'SM P&amp;L'!AI57+'WP P&amp;L'!AI56+'WW P&amp;L'!AI57</f>
        <v/>
      </c>
      <c r="AJ18" s="20">
        <f>'BK P&amp;L'!AJ57+'CC P&amp;L'!AJ56+'DN P&amp;L'!AJ56+'LF P&amp;L'!AJ57+'MR P&amp;L'!AJ56+'OP P&amp;L'!AJ56+'PH P&amp;L'!AJ57+'RH P&amp;L'!AJ56+'SB P&amp;L'!AJ56+'SM P&amp;L'!AJ57+'WP P&amp;L'!AJ56+'WW P&amp;L'!AJ57</f>
        <v/>
      </c>
      <c r="AK18" s="20">
        <f>'BK P&amp;L'!AK57+'CC P&amp;L'!AK56+'DN P&amp;L'!AK56+'LF P&amp;L'!AK57+'MR P&amp;L'!AK56+'OP P&amp;L'!AK56+'PH P&amp;L'!AK57+'RH P&amp;L'!AK56+'SB P&amp;L'!AK56+'SM P&amp;L'!AK57+'WP P&amp;L'!AK56+'WW P&amp;L'!AK57</f>
        <v/>
      </c>
      <c r="AL18" s="20">
        <f>'BK P&amp;L'!AL57+'CC P&amp;L'!AL56+'DN P&amp;L'!AL56+'LF P&amp;L'!AL57+'MR P&amp;L'!AL56+'OP P&amp;L'!AL56+'PH P&amp;L'!AL57+'RH P&amp;L'!AL56+'SB P&amp;L'!AL56+'SM P&amp;L'!AL57+'WP P&amp;L'!AL56+'WW P&amp;L'!AL57</f>
        <v/>
      </c>
      <c r="AM18" s="20">
        <f>'BK P&amp;L'!AM57+'CC P&amp;L'!AM56+'DN P&amp;L'!AM56+'LF P&amp;L'!AM57+'MR P&amp;L'!AM56+'OP P&amp;L'!AM56+'PH P&amp;L'!AM57+'RH P&amp;L'!AM56+'SB P&amp;L'!AM56+'SM P&amp;L'!AM57+'WP P&amp;L'!AM56+'WW P&amp;L'!AM57</f>
        <v/>
      </c>
      <c r="AN18" s="20">
        <f>'BK P&amp;L'!AN57+'CC P&amp;L'!AN56+'DN P&amp;L'!AN56+'LF P&amp;L'!AN57+'MR P&amp;L'!AN56+'OP P&amp;L'!AN56+'PH P&amp;L'!AN57+'RH P&amp;L'!AN56+'SB P&amp;L'!AN56+'SM P&amp;L'!AN57+'WP P&amp;L'!AN56+'WW P&amp;L'!AN57</f>
        <v/>
      </c>
      <c r="AO18" s="20">
        <f>'BK P&amp;L'!AO57+'CC P&amp;L'!AO56+'DN P&amp;L'!AO56+'LF P&amp;L'!AO57+'MR P&amp;L'!AO56+'OP P&amp;L'!AO56+'PH P&amp;L'!AO57+'RH P&amp;L'!AO56+'SB P&amp;L'!AO56+'SM P&amp;L'!AO57+'WP P&amp;L'!AO56+'WW P&amp;L'!AO57</f>
        <v/>
      </c>
      <c r="AP18" s="20">
        <f>'BK P&amp;L'!AP57+'CC P&amp;L'!AP56+'DN P&amp;L'!AP56+'LF P&amp;L'!AP57+'MR P&amp;L'!AP56+'OP P&amp;L'!AP56+'PH P&amp;L'!AP57+'RH P&amp;L'!AP56+'SB P&amp;L'!AP56+'SM P&amp;L'!AP57+'WP P&amp;L'!AP56+'WW P&amp;L'!AP57</f>
        <v/>
      </c>
      <c r="AQ18" s="20">
        <f>'BK P&amp;L'!AQ57+'CC P&amp;L'!AQ56+'DN P&amp;L'!AQ56+'LF P&amp;L'!AQ57+'MR P&amp;L'!AQ56+'OP P&amp;L'!AQ56+'PH P&amp;L'!AQ57+'RH P&amp;L'!AQ56+'SB P&amp;L'!AQ56+'SM P&amp;L'!AQ57+'WP P&amp;L'!AQ56+'WW P&amp;L'!AQ57</f>
        <v/>
      </c>
      <c r="AR18" s="20">
        <f>'BK P&amp;L'!AR57+'CC P&amp;L'!AR56+'DN P&amp;L'!AR56+'LF P&amp;L'!AR57+'MR P&amp;L'!AR56+'OP P&amp;L'!AR56+'PH P&amp;L'!AR57+'RH P&amp;L'!AR56+'SB P&amp;L'!AR56+'SM P&amp;L'!AR57+'WP P&amp;L'!AR56+'WW P&amp;L'!AR57</f>
        <v/>
      </c>
      <c r="AS18" s="20">
        <f>'BK P&amp;L'!AS57+'CC P&amp;L'!AS56+'DN P&amp;L'!AS56+'LF P&amp;L'!AS57+'MR P&amp;L'!AS56+'OP P&amp;L'!AS56+'PH P&amp;L'!AS57+'RH P&amp;L'!AS56+'SB P&amp;L'!AS56+'SM P&amp;L'!AS57+'WP P&amp;L'!AS56+'WW P&amp;L'!AS57</f>
        <v/>
      </c>
      <c r="AT18" s="20">
        <f>'BK P&amp;L'!AT57+'CC P&amp;L'!AT56+'DN P&amp;L'!AT56+'LF P&amp;L'!AT57+'MR P&amp;L'!AT56+'OP P&amp;L'!AT56+'PH P&amp;L'!AT57+'RH P&amp;L'!AT56+'SB P&amp;L'!AT56+'SM P&amp;L'!AT57+'WP P&amp;L'!AT56+'WW P&amp;L'!AT57</f>
        <v/>
      </c>
      <c r="AU18" s="20">
        <f>'BK P&amp;L'!AU57+'CC P&amp;L'!AU56+'DN P&amp;L'!AU56+'LF P&amp;L'!AU57+'MR P&amp;L'!AU56+'OP P&amp;L'!AU56+'PH P&amp;L'!AU57+'RH P&amp;L'!AU56+'SB P&amp;L'!AU56+'SM P&amp;L'!AU57+'WP P&amp;L'!AU56+'WW P&amp;L'!AU57</f>
        <v/>
      </c>
      <c r="AV18" s="20">
        <f>'BK P&amp;L'!AV57+'CC P&amp;L'!AV56+'DN P&amp;L'!AV56+'LF P&amp;L'!AV57+'MR P&amp;L'!AV56+'OP P&amp;L'!AV56+'PH P&amp;L'!AV57+'RH P&amp;L'!AV56+'SB P&amp;L'!AV56+'SM P&amp;L'!AV57+'WP P&amp;L'!AV56+'WW P&amp;L'!AV57</f>
        <v/>
      </c>
      <c r="AW18" s="20">
        <f>'BK P&amp;L'!AW57+'CC P&amp;L'!AW56+'DN P&amp;L'!AW56+'LF P&amp;L'!AW57+'MR P&amp;L'!AW56+'OP P&amp;L'!AW56+'PH P&amp;L'!AW57+'RH P&amp;L'!AW56+'SB P&amp;L'!AW56+'SM P&amp;L'!AW57+'WP P&amp;L'!AW56+'WW P&amp;L'!AW57</f>
        <v/>
      </c>
      <c r="AX18" s="20">
        <f>'BK P&amp;L'!AX57+'CC P&amp;L'!AX56+'DN P&amp;L'!AX56+'LF P&amp;L'!AX57+'MR P&amp;L'!AX56+'OP P&amp;L'!AX56+'PH P&amp;L'!AX57+'RH P&amp;L'!AX56+'SB P&amp;L'!AX56+'SM P&amp;L'!AX57+'WP P&amp;L'!AX56+'WW P&amp;L'!AX57</f>
        <v/>
      </c>
      <c r="AY18" s="20">
        <f>'BK P&amp;L'!AY57+'CC P&amp;L'!AY56+'DN P&amp;L'!AY56+'LF P&amp;L'!AY57+'MR P&amp;L'!AY56+'OP P&amp;L'!AY56+'PH P&amp;L'!AY57+'RH P&amp;L'!AY56+'SB P&amp;L'!AY56+'SM P&amp;L'!AY57+'WP P&amp;L'!AY56+'WW P&amp;L'!AY57</f>
        <v/>
      </c>
    </row>
    <row r="19">
      <c r="B19" s="18" t="inlineStr">
        <is>
          <t>Property Costs</t>
        </is>
      </c>
      <c r="D19" s="19" t="n">
        <v>109746.49</v>
      </c>
      <c r="E19" s="19" t="n">
        <v>96893.54000000002</v>
      </c>
      <c r="F19" s="19" t="n">
        <v>108142.11</v>
      </c>
      <c r="G19" s="19" t="n">
        <v>115917.92</v>
      </c>
      <c r="H19" s="19" t="n">
        <v>114881.56</v>
      </c>
      <c r="I19" s="19" t="n">
        <v>116880.2</v>
      </c>
      <c r="J19" s="19" t="n">
        <v>119885.67</v>
      </c>
      <c r="K19" s="19" t="n">
        <v>130853.31</v>
      </c>
      <c r="L19" s="19" t="n">
        <v>139047</v>
      </c>
      <c r="M19" s="19" t="n">
        <v>145628.28</v>
      </c>
      <c r="N19" s="19" t="n">
        <v>161382.55</v>
      </c>
      <c r="O19" s="19" t="n">
        <v>146607.13</v>
      </c>
      <c r="P19" s="19">
        <f>'QBO Actuals'!C86</f>
        <v/>
      </c>
      <c r="Q19" s="19">
        <f>'QBO Actuals'!D86</f>
        <v/>
      </c>
      <c r="R19" s="19">
        <f>'QBO Actuals'!E86</f>
        <v/>
      </c>
      <c r="S19" s="19">
        <f>'QBO Actuals'!F86</f>
        <v/>
      </c>
      <c r="T19" s="19">
        <f>'QBO Actuals'!G86</f>
        <v/>
      </c>
      <c r="U19" s="19">
        <f>'QBO Actuals'!H86</f>
        <v/>
      </c>
      <c r="V19" s="20">
        <f>'QBO Actuals'!I86</f>
        <v/>
      </c>
      <c r="W19" s="20">
        <f>'BK P&amp;L'!W62+'CC P&amp;L'!W61+'DN P&amp;L'!W61+'LF P&amp;L'!W62+'MR P&amp;L'!W61+'OP P&amp;L'!W61+'PH P&amp;L'!W62+'RH P&amp;L'!W61+'SB P&amp;L'!W61+'SM P&amp;L'!W62+'WP P&amp;L'!W61+'WW P&amp;L'!W62+'HO P&amp;L'!W32</f>
        <v/>
      </c>
      <c r="X19" s="20">
        <f>'BK P&amp;L'!X62+'CC P&amp;L'!X61+'DN P&amp;L'!X61+'LF P&amp;L'!X62+'MR P&amp;L'!X61+'OP P&amp;L'!X61+'PH P&amp;L'!X62+'RH P&amp;L'!X61+'SB P&amp;L'!X61+'SM P&amp;L'!X62+'WP P&amp;L'!X61+'WW P&amp;L'!X62+'HO P&amp;L'!X32</f>
        <v/>
      </c>
      <c r="Y19" s="20">
        <f>'BK P&amp;L'!Y62+'CC P&amp;L'!Y61+'DN P&amp;L'!Y61+'LF P&amp;L'!Y62+'MR P&amp;L'!Y61+'OP P&amp;L'!Y61+'PH P&amp;L'!Y62+'RH P&amp;L'!Y61+'SB P&amp;L'!Y61+'SM P&amp;L'!Y62+'WP P&amp;L'!Y61+'WW P&amp;L'!Y62+'HO P&amp;L'!Y32</f>
        <v/>
      </c>
      <c r="Z19" s="20">
        <f>'BK P&amp;L'!Z62+'CC P&amp;L'!Z61+'DN P&amp;L'!Z61+'LF P&amp;L'!Z62+'MR P&amp;L'!Z61+'OP P&amp;L'!Z61+'PH P&amp;L'!Z62+'RH P&amp;L'!Z61+'SB P&amp;L'!Z61+'SM P&amp;L'!Z62+'WP P&amp;L'!Z61+'WW P&amp;L'!Z62+'HO P&amp;L'!Z32</f>
        <v/>
      </c>
      <c r="AA19" s="20">
        <f>'BK P&amp;L'!AA62+'CC P&amp;L'!AA61+'DN P&amp;L'!AA61+'LF P&amp;L'!AA62+'MR P&amp;L'!AA61+'OP P&amp;L'!AA61+'PH P&amp;L'!AA62+'RH P&amp;L'!AA61+'SB P&amp;L'!AA61+'SM P&amp;L'!AA62+'WP P&amp;L'!AA61+'WW P&amp;L'!AA62+'HO P&amp;L'!AA32</f>
        <v/>
      </c>
      <c r="AB19" s="20">
        <f>'BK P&amp;L'!AB62+'CC P&amp;L'!AB61+'DN P&amp;L'!AB61+'LF P&amp;L'!AB62+'MR P&amp;L'!AB61+'OP P&amp;L'!AB61+'PH P&amp;L'!AB62+'RH P&amp;L'!AB61+'SB P&amp;L'!AB61+'SM P&amp;L'!AB62+'WP P&amp;L'!AB61+'WW P&amp;L'!AB62+'HO P&amp;L'!AB32</f>
        <v/>
      </c>
      <c r="AC19" s="20">
        <f>'BK P&amp;L'!AC62+'CC P&amp;L'!AC61+'DN P&amp;L'!AC61+'LF P&amp;L'!AC62+'MR P&amp;L'!AC61+'OP P&amp;L'!AC61+'PH P&amp;L'!AC62+'RH P&amp;L'!AC61+'SB P&amp;L'!AC61+'SM P&amp;L'!AC62+'WP P&amp;L'!AC61+'WW P&amp;L'!AC62+'HO P&amp;L'!AC32</f>
        <v/>
      </c>
      <c r="AD19" s="20">
        <f>'BK P&amp;L'!AD62+'CC P&amp;L'!AD61+'DN P&amp;L'!AD61+'LF P&amp;L'!AD62+'MR P&amp;L'!AD61+'OP P&amp;L'!AD61+'PH P&amp;L'!AD62+'RH P&amp;L'!AD61+'SB P&amp;L'!AD61+'SM P&amp;L'!AD62+'WP P&amp;L'!AD61+'WW P&amp;L'!AD62+'HO P&amp;L'!AD32</f>
        <v/>
      </c>
      <c r="AE19" s="20">
        <f>'BK P&amp;L'!AE62+'CC P&amp;L'!AE61+'DN P&amp;L'!AE61+'LF P&amp;L'!AE62+'MR P&amp;L'!AE61+'OP P&amp;L'!AE61+'PH P&amp;L'!AE62+'RH P&amp;L'!AE61+'SB P&amp;L'!AE61+'SM P&amp;L'!AE62+'WP P&amp;L'!AE61+'WW P&amp;L'!AE62+'HO P&amp;L'!AE32</f>
        <v/>
      </c>
      <c r="AF19" s="20">
        <f>'BK P&amp;L'!AF62+'CC P&amp;L'!AF61+'DN P&amp;L'!AF61+'LF P&amp;L'!AF62+'MR P&amp;L'!AF61+'OP P&amp;L'!AF61+'PH P&amp;L'!AF62+'RH P&amp;L'!AF61+'SB P&amp;L'!AF61+'SM P&amp;L'!AF62+'WP P&amp;L'!AF61+'WW P&amp;L'!AF62+'HO P&amp;L'!AF32</f>
        <v/>
      </c>
      <c r="AG19" s="20">
        <f>'BK P&amp;L'!AG62+'CC P&amp;L'!AG61+'DN P&amp;L'!AG61+'LF P&amp;L'!AG62+'MR P&amp;L'!AG61+'OP P&amp;L'!AG61+'PH P&amp;L'!AG62+'RH P&amp;L'!AG61+'SB P&amp;L'!AG61+'SM P&amp;L'!AG62+'WP P&amp;L'!AG61+'WW P&amp;L'!AG62+'HO P&amp;L'!AG32</f>
        <v/>
      </c>
      <c r="AH19" s="20">
        <f>'BK P&amp;L'!AH62+'CC P&amp;L'!AH61+'DN P&amp;L'!AH61+'LF P&amp;L'!AH62+'MR P&amp;L'!AH61+'OP P&amp;L'!AH61+'PH P&amp;L'!AH62+'RH P&amp;L'!AH61+'SB P&amp;L'!AH61+'SM P&amp;L'!AH62+'WP P&amp;L'!AH61+'WW P&amp;L'!AH62+'HO P&amp;L'!AH32</f>
        <v/>
      </c>
      <c r="AI19" s="20">
        <f>'BK P&amp;L'!AI62+'CC P&amp;L'!AI61+'DN P&amp;L'!AI61+'LF P&amp;L'!AI62+'MR P&amp;L'!AI61+'OP P&amp;L'!AI61+'PH P&amp;L'!AI62+'RH P&amp;L'!AI61+'SB P&amp;L'!AI61+'SM P&amp;L'!AI62+'WP P&amp;L'!AI61+'WW P&amp;L'!AI62+'HO P&amp;L'!AI32</f>
        <v/>
      </c>
      <c r="AJ19" s="20">
        <f>'BK P&amp;L'!AJ62+'CC P&amp;L'!AJ61+'DN P&amp;L'!AJ61+'LF P&amp;L'!AJ62+'MR P&amp;L'!AJ61+'OP P&amp;L'!AJ61+'PH P&amp;L'!AJ62+'RH P&amp;L'!AJ61+'SB P&amp;L'!AJ61+'SM P&amp;L'!AJ62+'WP P&amp;L'!AJ61+'WW P&amp;L'!AJ62+'HO P&amp;L'!AJ32</f>
        <v/>
      </c>
      <c r="AK19" s="20">
        <f>'BK P&amp;L'!AK62+'CC P&amp;L'!AK61+'DN P&amp;L'!AK61+'LF P&amp;L'!AK62+'MR P&amp;L'!AK61+'OP P&amp;L'!AK61+'PH P&amp;L'!AK62+'RH P&amp;L'!AK61+'SB P&amp;L'!AK61+'SM P&amp;L'!AK62+'WP P&amp;L'!AK61+'WW P&amp;L'!AK62+'HO P&amp;L'!AK32</f>
        <v/>
      </c>
      <c r="AL19" s="20">
        <f>'BK P&amp;L'!AL62+'CC P&amp;L'!AL61+'DN P&amp;L'!AL61+'LF P&amp;L'!AL62+'MR P&amp;L'!AL61+'OP P&amp;L'!AL61+'PH P&amp;L'!AL62+'RH P&amp;L'!AL61+'SB P&amp;L'!AL61+'SM P&amp;L'!AL62+'WP P&amp;L'!AL61+'WW P&amp;L'!AL62+'HO P&amp;L'!AL32</f>
        <v/>
      </c>
      <c r="AM19" s="20">
        <f>'BK P&amp;L'!AM62+'CC P&amp;L'!AM61+'DN P&amp;L'!AM61+'LF P&amp;L'!AM62+'MR P&amp;L'!AM61+'OP P&amp;L'!AM61+'PH P&amp;L'!AM62+'RH P&amp;L'!AM61+'SB P&amp;L'!AM61+'SM P&amp;L'!AM62+'WP P&amp;L'!AM61+'WW P&amp;L'!AM62+'HO P&amp;L'!AM32</f>
        <v/>
      </c>
      <c r="AN19" s="20">
        <f>'BK P&amp;L'!AN62+'CC P&amp;L'!AN61+'DN P&amp;L'!AN61+'LF P&amp;L'!AN62+'MR P&amp;L'!AN61+'OP P&amp;L'!AN61+'PH P&amp;L'!AN62+'RH P&amp;L'!AN61+'SB P&amp;L'!AN61+'SM P&amp;L'!AN62+'WP P&amp;L'!AN61+'WW P&amp;L'!AN62+'HO P&amp;L'!AN32</f>
        <v/>
      </c>
      <c r="AO19" s="20">
        <f>'BK P&amp;L'!AO62+'CC P&amp;L'!AO61+'DN P&amp;L'!AO61+'LF P&amp;L'!AO62+'MR P&amp;L'!AO61+'OP P&amp;L'!AO61+'PH P&amp;L'!AO62+'RH P&amp;L'!AO61+'SB P&amp;L'!AO61+'SM P&amp;L'!AO62+'WP P&amp;L'!AO61+'WW P&amp;L'!AO62+'HO P&amp;L'!AO32</f>
        <v/>
      </c>
      <c r="AP19" s="20">
        <f>'BK P&amp;L'!AP62+'CC P&amp;L'!AP61+'DN P&amp;L'!AP61+'LF P&amp;L'!AP62+'MR P&amp;L'!AP61+'OP P&amp;L'!AP61+'PH P&amp;L'!AP62+'RH P&amp;L'!AP61+'SB P&amp;L'!AP61+'SM P&amp;L'!AP62+'WP P&amp;L'!AP61+'WW P&amp;L'!AP62+'HO P&amp;L'!AP32</f>
        <v/>
      </c>
      <c r="AQ19" s="20">
        <f>'BK P&amp;L'!AQ62+'CC P&amp;L'!AQ61+'DN P&amp;L'!AQ61+'LF P&amp;L'!AQ62+'MR P&amp;L'!AQ61+'OP P&amp;L'!AQ61+'PH P&amp;L'!AQ62+'RH P&amp;L'!AQ61+'SB P&amp;L'!AQ61+'SM P&amp;L'!AQ62+'WP P&amp;L'!AQ61+'WW P&amp;L'!AQ62+'HO P&amp;L'!AQ32</f>
        <v/>
      </c>
      <c r="AR19" s="20">
        <f>'BK P&amp;L'!AR62+'CC P&amp;L'!AR61+'DN P&amp;L'!AR61+'LF P&amp;L'!AR62+'MR P&amp;L'!AR61+'OP P&amp;L'!AR61+'PH P&amp;L'!AR62+'RH P&amp;L'!AR61+'SB P&amp;L'!AR61+'SM P&amp;L'!AR62+'WP P&amp;L'!AR61+'WW P&amp;L'!AR62+'HO P&amp;L'!AR32</f>
        <v/>
      </c>
      <c r="AS19" s="20">
        <f>'BK P&amp;L'!AS62+'CC P&amp;L'!AS61+'DN P&amp;L'!AS61+'LF P&amp;L'!AS62+'MR P&amp;L'!AS61+'OP P&amp;L'!AS61+'PH P&amp;L'!AS62+'RH P&amp;L'!AS61+'SB P&amp;L'!AS61+'SM P&amp;L'!AS62+'WP P&amp;L'!AS61+'WW P&amp;L'!AS62+'HO P&amp;L'!AS32</f>
        <v/>
      </c>
      <c r="AT19" s="20">
        <f>'BK P&amp;L'!AT62+'CC P&amp;L'!AT61+'DN P&amp;L'!AT61+'LF P&amp;L'!AT62+'MR P&amp;L'!AT61+'OP P&amp;L'!AT61+'PH P&amp;L'!AT62+'RH P&amp;L'!AT61+'SB P&amp;L'!AT61+'SM P&amp;L'!AT62+'WP P&amp;L'!AT61+'WW P&amp;L'!AT62+'HO P&amp;L'!AT32</f>
        <v/>
      </c>
      <c r="AU19" s="20">
        <f>'BK P&amp;L'!AU62+'CC P&amp;L'!AU61+'DN P&amp;L'!AU61+'LF P&amp;L'!AU62+'MR P&amp;L'!AU61+'OP P&amp;L'!AU61+'PH P&amp;L'!AU62+'RH P&amp;L'!AU61+'SB P&amp;L'!AU61+'SM P&amp;L'!AU62+'WP P&amp;L'!AU61+'WW P&amp;L'!AU62+'HO P&amp;L'!AU32</f>
        <v/>
      </c>
      <c r="AV19" s="20">
        <f>'BK P&amp;L'!AV62+'CC P&amp;L'!AV61+'DN P&amp;L'!AV61+'LF P&amp;L'!AV62+'MR P&amp;L'!AV61+'OP P&amp;L'!AV61+'PH P&amp;L'!AV62+'RH P&amp;L'!AV61+'SB P&amp;L'!AV61+'SM P&amp;L'!AV62+'WP P&amp;L'!AV61+'WW P&amp;L'!AV62+'HO P&amp;L'!AV32</f>
        <v/>
      </c>
      <c r="AW19" s="20">
        <f>'BK P&amp;L'!AW62+'CC P&amp;L'!AW61+'DN P&amp;L'!AW61+'LF P&amp;L'!AW62+'MR P&amp;L'!AW61+'OP P&amp;L'!AW61+'PH P&amp;L'!AW62+'RH P&amp;L'!AW61+'SB P&amp;L'!AW61+'SM P&amp;L'!AW62+'WP P&amp;L'!AW61+'WW P&amp;L'!AW62+'HO P&amp;L'!AW32</f>
        <v/>
      </c>
      <c r="AX19" s="20">
        <f>'BK P&amp;L'!AX62+'CC P&amp;L'!AX61+'DN P&amp;L'!AX61+'LF P&amp;L'!AX62+'MR P&amp;L'!AX61+'OP P&amp;L'!AX61+'PH P&amp;L'!AX62+'RH P&amp;L'!AX61+'SB P&amp;L'!AX61+'SM P&amp;L'!AX62+'WP P&amp;L'!AX61+'WW P&amp;L'!AX62+'HO P&amp;L'!AX32</f>
        <v/>
      </c>
      <c r="AY19" s="20">
        <f>'BK P&amp;L'!AY62+'CC P&amp;L'!AY61+'DN P&amp;L'!AY61+'LF P&amp;L'!AY62+'MR P&amp;L'!AY61+'OP P&amp;L'!AY61+'PH P&amp;L'!AY62+'RH P&amp;L'!AY61+'SB P&amp;L'!AY61+'SM P&amp;L'!AY62+'WP P&amp;L'!AY61+'WW P&amp;L'!AY62+'HO P&amp;L'!AY32</f>
        <v/>
      </c>
    </row>
    <row r="20">
      <c r="B20" s="138" t="inlineStr">
        <is>
          <t>Other Operating Expenses</t>
        </is>
      </c>
      <c r="D20" s="19" t="n">
        <v>8034.139999999999</v>
      </c>
      <c r="E20" s="19" t="n">
        <v>14148.41</v>
      </c>
      <c r="F20" s="19" t="n">
        <v>9953.23</v>
      </c>
      <c r="G20" s="19" t="n">
        <v>17478.67</v>
      </c>
      <c r="H20" s="19" t="n">
        <v>13403.16</v>
      </c>
      <c r="I20" s="19" t="n">
        <v>38520.63</v>
      </c>
      <c r="J20" s="19" t="n">
        <v>21395.57</v>
      </c>
      <c r="K20" s="19" t="n">
        <v>22835.22</v>
      </c>
      <c r="L20" s="19" t="n">
        <v>19114.82</v>
      </c>
      <c r="M20" s="19" t="n">
        <v>18241.93</v>
      </c>
      <c r="N20" s="19" t="n">
        <v>20910.16</v>
      </c>
      <c r="O20" s="19" t="n">
        <v>14368.51</v>
      </c>
      <c r="P20" s="19">
        <f>'QBO Actuals'!C89-(P14+P15+P16+P17+P18+P19)</f>
        <v/>
      </c>
      <c r="Q20" s="19">
        <f>'QBO Actuals'!D89-(Q14+Q15+Q16+Q17+Q18+Q19)</f>
        <v/>
      </c>
      <c r="R20" s="19">
        <f>'QBO Actuals'!E89-(R14+R15+R16+R17+R18+R19)</f>
        <v/>
      </c>
      <c r="S20" s="19">
        <f>'QBO Actuals'!F89-(S14+S15+S16+S17+S18+S19)</f>
        <v/>
      </c>
      <c r="T20" s="19">
        <f>'QBO Actuals'!G89-(T14+T15+T16+T17+T18+T19)</f>
        <v/>
      </c>
      <c r="U20" s="19">
        <f>'QBO Actuals'!H89-(U14+U15+U16+U17+U18+U19)</f>
        <v/>
      </c>
      <c r="V20" s="62">
        <f>'QBO Actuals'!I89-(V14+V15+V16+V17+V18+V19)</f>
        <v/>
      </c>
      <c r="W20" s="62">
        <f>'BK P&amp;L'!W51+'CC P&amp;L'!W50+'DN P&amp;L'!W50+'LF P&amp;L'!W51+'MR P&amp;L'!W50+'OP P&amp;L'!W50+'PH P&amp;L'!W51+'RH P&amp;L'!W50+'SB P&amp;L'!W50+'SM P&amp;L'!W51+'WP P&amp;L'!W50+'WW P&amp;L'!W51+'HO P&amp;L'!W30</f>
        <v/>
      </c>
      <c r="X20" s="62">
        <f>'BK P&amp;L'!X51+'CC P&amp;L'!X50+'DN P&amp;L'!X50+'LF P&amp;L'!X51+'MR P&amp;L'!X50+'OP P&amp;L'!X50+'PH P&amp;L'!X51+'RH P&amp;L'!X50+'SB P&amp;L'!X50+'SM P&amp;L'!X51+'WP P&amp;L'!X50+'WW P&amp;L'!X51+'HO P&amp;L'!X30</f>
        <v/>
      </c>
      <c r="Y20" s="62">
        <f>'BK P&amp;L'!Y51+'CC P&amp;L'!Y50+'DN P&amp;L'!Y50+'LF P&amp;L'!Y51+'MR P&amp;L'!Y50+'OP P&amp;L'!Y50+'PH P&amp;L'!Y51+'RH P&amp;L'!Y50+'SB P&amp;L'!Y50+'SM P&amp;L'!Y51+'WP P&amp;L'!Y50+'WW P&amp;L'!Y51+'HO P&amp;L'!Y30</f>
        <v/>
      </c>
      <c r="Z20" s="62">
        <f>'BK P&amp;L'!Z51+'CC P&amp;L'!Z50+'DN P&amp;L'!Z50+'LF P&amp;L'!Z51+'MR P&amp;L'!Z50+'OP P&amp;L'!Z50+'PH P&amp;L'!Z51+'RH P&amp;L'!Z50+'SB P&amp;L'!Z50+'SM P&amp;L'!Z51+'WP P&amp;L'!Z50+'WW P&amp;L'!Z51+'HO P&amp;L'!Z30</f>
        <v/>
      </c>
      <c r="AA20" s="62">
        <f>'BK P&amp;L'!AA51+'CC P&amp;L'!AA50+'DN P&amp;L'!AA50+'LF P&amp;L'!AA51+'MR P&amp;L'!AA50+'OP P&amp;L'!AA50+'PH P&amp;L'!AA51+'RH P&amp;L'!AA50+'SB P&amp;L'!AA50+'SM P&amp;L'!AA51+'WP P&amp;L'!AA50+'WW P&amp;L'!AA51+'HO P&amp;L'!AA30</f>
        <v/>
      </c>
      <c r="AB20" s="62">
        <f>'BK P&amp;L'!AB51+'CC P&amp;L'!AB50+'DN P&amp;L'!AB50+'LF P&amp;L'!AB51+'MR P&amp;L'!AB50+'OP P&amp;L'!AB50+'PH P&amp;L'!AB51+'RH P&amp;L'!AB50+'SB P&amp;L'!AB50+'SM P&amp;L'!AB51+'WP P&amp;L'!AB50+'WW P&amp;L'!AB51+'HO P&amp;L'!AB30</f>
        <v/>
      </c>
      <c r="AC20" s="62">
        <f>'BK P&amp;L'!AC51+'CC P&amp;L'!AC50+'DN P&amp;L'!AC50+'LF P&amp;L'!AC51+'MR P&amp;L'!AC50+'OP P&amp;L'!AC50+'PH P&amp;L'!AC51+'RH P&amp;L'!AC50+'SB P&amp;L'!AC50+'SM P&amp;L'!AC51+'WP P&amp;L'!AC50+'WW P&amp;L'!AC51+'HO P&amp;L'!AC30</f>
        <v/>
      </c>
      <c r="AD20" s="62">
        <f>'BK P&amp;L'!AD51+'CC P&amp;L'!AD50+'DN P&amp;L'!AD50+'LF P&amp;L'!AD51+'MR P&amp;L'!AD50+'OP P&amp;L'!AD50+'PH P&amp;L'!AD51+'RH P&amp;L'!AD50+'SB P&amp;L'!AD50+'SM P&amp;L'!AD51+'WP P&amp;L'!AD50+'WW P&amp;L'!AD51+'HO P&amp;L'!AD30</f>
        <v/>
      </c>
      <c r="AE20" s="62">
        <f>'BK P&amp;L'!AE51+'CC P&amp;L'!AE50+'DN P&amp;L'!AE50+'LF P&amp;L'!AE51+'MR P&amp;L'!AE50+'OP P&amp;L'!AE50+'PH P&amp;L'!AE51+'RH P&amp;L'!AE50+'SB P&amp;L'!AE50+'SM P&amp;L'!AE51+'WP P&amp;L'!AE50+'WW P&amp;L'!AE51+'HO P&amp;L'!AE30</f>
        <v/>
      </c>
      <c r="AF20" s="62">
        <f>'BK P&amp;L'!AF51+'CC P&amp;L'!AF50+'DN P&amp;L'!AF50+'LF P&amp;L'!AF51+'MR P&amp;L'!AF50+'OP P&amp;L'!AF50+'PH P&amp;L'!AF51+'RH P&amp;L'!AF50+'SB P&amp;L'!AF50+'SM P&amp;L'!AF51+'WP P&amp;L'!AF50+'WW P&amp;L'!AF51+'HO P&amp;L'!AF30</f>
        <v/>
      </c>
      <c r="AG20" s="62">
        <f>'BK P&amp;L'!AG51+'CC P&amp;L'!AG50+'DN P&amp;L'!AG50+'LF P&amp;L'!AG51+'MR P&amp;L'!AG50+'OP P&amp;L'!AG50+'PH P&amp;L'!AG51+'RH P&amp;L'!AG50+'SB P&amp;L'!AG50+'SM P&amp;L'!AG51+'WP P&amp;L'!AG50+'WW P&amp;L'!AG51+'HO P&amp;L'!AG30</f>
        <v/>
      </c>
      <c r="AH20" s="62">
        <f>'BK P&amp;L'!AH51+'CC P&amp;L'!AH50+'DN P&amp;L'!AH50+'LF P&amp;L'!AH51+'MR P&amp;L'!AH50+'OP P&amp;L'!AH50+'PH P&amp;L'!AH51+'RH P&amp;L'!AH50+'SB P&amp;L'!AH50+'SM P&amp;L'!AH51+'WP P&amp;L'!AH50+'WW P&amp;L'!AH51+'HO P&amp;L'!AH30</f>
        <v/>
      </c>
      <c r="AI20" s="62">
        <f>'BK P&amp;L'!AI51+'CC P&amp;L'!AI50+'DN P&amp;L'!AI50+'LF P&amp;L'!AI51+'MR P&amp;L'!AI50+'OP P&amp;L'!AI50+'PH P&amp;L'!AI51+'RH P&amp;L'!AI50+'SB P&amp;L'!AI50+'SM P&amp;L'!AI51+'WP P&amp;L'!AI50+'WW P&amp;L'!AI51+'HO P&amp;L'!AI30</f>
        <v/>
      </c>
      <c r="AJ20" s="62">
        <f>'BK P&amp;L'!AJ51+'CC P&amp;L'!AJ50+'DN P&amp;L'!AJ50+'LF P&amp;L'!AJ51+'MR P&amp;L'!AJ50+'OP P&amp;L'!AJ50+'PH P&amp;L'!AJ51+'RH P&amp;L'!AJ50+'SB P&amp;L'!AJ50+'SM P&amp;L'!AJ51+'WP P&amp;L'!AJ50+'WW P&amp;L'!AJ51+'HO P&amp;L'!AJ30</f>
        <v/>
      </c>
      <c r="AK20" s="62">
        <f>'BK P&amp;L'!AK51+'CC P&amp;L'!AK50+'DN P&amp;L'!AK50+'LF P&amp;L'!AK51+'MR P&amp;L'!AK50+'OP P&amp;L'!AK50+'PH P&amp;L'!AK51+'RH P&amp;L'!AK50+'SB P&amp;L'!AK50+'SM P&amp;L'!AK51+'WP P&amp;L'!AK50+'WW P&amp;L'!AK51+'HO P&amp;L'!AK30</f>
        <v/>
      </c>
      <c r="AL20" s="62">
        <f>'BK P&amp;L'!AL51+'CC P&amp;L'!AL50+'DN P&amp;L'!AL50+'LF P&amp;L'!AL51+'MR P&amp;L'!AL50+'OP P&amp;L'!AL50+'PH P&amp;L'!AL51+'RH P&amp;L'!AL50+'SB P&amp;L'!AL50+'SM P&amp;L'!AL51+'WP P&amp;L'!AL50+'WW P&amp;L'!AL51+'HO P&amp;L'!AL30</f>
        <v/>
      </c>
      <c r="AM20" s="62">
        <f>'BK P&amp;L'!AM51+'CC P&amp;L'!AM50+'DN P&amp;L'!AM50+'LF P&amp;L'!AM51+'MR P&amp;L'!AM50+'OP P&amp;L'!AM50+'PH P&amp;L'!AM51+'RH P&amp;L'!AM50+'SB P&amp;L'!AM50+'SM P&amp;L'!AM51+'WP P&amp;L'!AM50+'WW P&amp;L'!AM51+'HO P&amp;L'!AM30</f>
        <v/>
      </c>
      <c r="AN20" s="62">
        <f>'BK P&amp;L'!AN51+'CC P&amp;L'!AN50+'DN P&amp;L'!AN50+'LF P&amp;L'!AN51+'MR P&amp;L'!AN50+'OP P&amp;L'!AN50+'PH P&amp;L'!AN51+'RH P&amp;L'!AN50+'SB P&amp;L'!AN50+'SM P&amp;L'!AN51+'WP P&amp;L'!AN50+'WW P&amp;L'!AN51+'HO P&amp;L'!AN30</f>
        <v/>
      </c>
      <c r="AO20" s="62">
        <f>'BK P&amp;L'!AO51+'CC P&amp;L'!AO50+'DN P&amp;L'!AO50+'LF P&amp;L'!AO51+'MR P&amp;L'!AO50+'OP P&amp;L'!AO50+'PH P&amp;L'!AO51+'RH P&amp;L'!AO50+'SB P&amp;L'!AO50+'SM P&amp;L'!AO51+'WP P&amp;L'!AO50+'WW P&amp;L'!AO51+'HO P&amp;L'!AO30</f>
        <v/>
      </c>
      <c r="AP20" s="62">
        <f>'BK P&amp;L'!AP51+'CC P&amp;L'!AP50+'DN P&amp;L'!AP50+'LF P&amp;L'!AP51+'MR P&amp;L'!AP50+'OP P&amp;L'!AP50+'PH P&amp;L'!AP51+'RH P&amp;L'!AP50+'SB P&amp;L'!AP50+'SM P&amp;L'!AP51+'WP P&amp;L'!AP50+'WW P&amp;L'!AP51+'HO P&amp;L'!AP30</f>
        <v/>
      </c>
      <c r="AQ20" s="62">
        <f>'BK P&amp;L'!AQ51+'CC P&amp;L'!AQ50+'DN P&amp;L'!AQ50+'LF P&amp;L'!AQ51+'MR P&amp;L'!AQ50+'OP P&amp;L'!AQ50+'PH P&amp;L'!AQ51+'RH P&amp;L'!AQ50+'SB P&amp;L'!AQ50+'SM P&amp;L'!AQ51+'WP P&amp;L'!AQ50+'WW P&amp;L'!AQ51+'HO P&amp;L'!AQ30</f>
        <v/>
      </c>
      <c r="AR20" s="62">
        <f>'BK P&amp;L'!AR51+'CC P&amp;L'!AR50+'DN P&amp;L'!AR50+'LF P&amp;L'!AR51+'MR P&amp;L'!AR50+'OP P&amp;L'!AR50+'PH P&amp;L'!AR51+'RH P&amp;L'!AR50+'SB P&amp;L'!AR50+'SM P&amp;L'!AR51+'WP P&amp;L'!AR50+'WW P&amp;L'!AR51+'HO P&amp;L'!AR30</f>
        <v/>
      </c>
      <c r="AS20" s="62">
        <f>'BK P&amp;L'!AS51+'CC P&amp;L'!AS50+'DN P&amp;L'!AS50+'LF P&amp;L'!AS51+'MR P&amp;L'!AS50+'OP P&amp;L'!AS50+'PH P&amp;L'!AS51+'RH P&amp;L'!AS50+'SB P&amp;L'!AS50+'SM P&amp;L'!AS51+'WP P&amp;L'!AS50+'WW P&amp;L'!AS51+'HO P&amp;L'!AS30</f>
        <v/>
      </c>
      <c r="AT20" s="62">
        <f>'BK P&amp;L'!AT51+'CC P&amp;L'!AT50+'DN P&amp;L'!AT50+'LF P&amp;L'!AT51+'MR P&amp;L'!AT50+'OP P&amp;L'!AT50+'PH P&amp;L'!AT51+'RH P&amp;L'!AT50+'SB P&amp;L'!AT50+'SM P&amp;L'!AT51+'WP P&amp;L'!AT50+'WW P&amp;L'!AT51+'HO P&amp;L'!AT30</f>
        <v/>
      </c>
      <c r="AU20" s="62">
        <f>'BK P&amp;L'!AU51+'CC P&amp;L'!AU50+'DN P&amp;L'!AU50+'LF P&amp;L'!AU51+'MR P&amp;L'!AU50+'OP P&amp;L'!AU50+'PH P&amp;L'!AU51+'RH P&amp;L'!AU50+'SB P&amp;L'!AU50+'SM P&amp;L'!AU51+'WP P&amp;L'!AU50+'WW P&amp;L'!AU51+'HO P&amp;L'!AU30</f>
        <v/>
      </c>
      <c r="AV20" s="62">
        <f>'BK P&amp;L'!AV51+'CC P&amp;L'!AV50+'DN P&amp;L'!AV50+'LF P&amp;L'!AV51+'MR P&amp;L'!AV50+'OP P&amp;L'!AV50+'PH P&amp;L'!AV51+'RH P&amp;L'!AV50+'SB P&amp;L'!AV50+'SM P&amp;L'!AV51+'WP P&amp;L'!AV50+'WW P&amp;L'!AV51+'HO P&amp;L'!AV30</f>
        <v/>
      </c>
      <c r="AW20" s="62">
        <f>'BK P&amp;L'!AW51+'CC P&amp;L'!AW50+'DN P&amp;L'!AW50+'LF P&amp;L'!AW51+'MR P&amp;L'!AW50+'OP P&amp;L'!AW50+'PH P&amp;L'!AW51+'RH P&amp;L'!AW50+'SB P&amp;L'!AW50+'SM P&amp;L'!AW51+'WP P&amp;L'!AW50+'WW P&amp;L'!AW51+'HO P&amp;L'!AW30</f>
        <v/>
      </c>
      <c r="AX20" s="62">
        <f>'BK P&amp;L'!AX51+'CC P&amp;L'!AX50+'DN P&amp;L'!AX50+'LF P&amp;L'!AX51+'MR P&amp;L'!AX50+'OP P&amp;L'!AX50+'PH P&amp;L'!AX51+'RH P&amp;L'!AX50+'SB P&amp;L'!AX50+'SM P&amp;L'!AX51+'WP P&amp;L'!AX50+'WW P&amp;L'!AX51+'HO P&amp;L'!AX30</f>
        <v/>
      </c>
      <c r="AY20" s="62">
        <f>'BK P&amp;L'!AY51+'CC P&amp;L'!AY50+'DN P&amp;L'!AY50+'LF P&amp;L'!AY51+'MR P&amp;L'!AY50+'OP P&amp;L'!AY50+'PH P&amp;L'!AY51+'RH P&amp;L'!AY50+'SB P&amp;L'!AY50+'SM P&amp;L'!AY51+'WP P&amp;L'!AY50+'WW P&amp;L'!AY51+'HO P&amp;L'!AY30</f>
        <v/>
      </c>
    </row>
    <row r="21">
      <c r="B21" s="32" t="inlineStr">
        <is>
          <t>Total Operating Expenses</t>
        </is>
      </c>
      <c r="C21" s="34" t="n"/>
      <c r="D21" s="35">
        <f>SUM(D14:D20)</f>
        <v/>
      </c>
      <c r="E21" s="35">
        <f>SUM(E14:E20)</f>
        <v/>
      </c>
      <c r="F21" s="35">
        <f>SUM(F14:F20)</f>
        <v/>
      </c>
      <c r="G21" s="35">
        <f>SUM(G14:G20)</f>
        <v/>
      </c>
      <c r="H21" s="35">
        <f>SUM(H14:H20)</f>
        <v/>
      </c>
      <c r="I21" s="35">
        <f>SUM(I14:I20)</f>
        <v/>
      </c>
      <c r="J21" s="35">
        <f>SUM(J14:J20)</f>
        <v/>
      </c>
      <c r="K21" s="35">
        <f>SUM(K14:K20)</f>
        <v/>
      </c>
      <c r="L21" s="35">
        <f>SUM(L14:L20)</f>
        <v/>
      </c>
      <c r="M21" s="35">
        <f>SUM(M14:M20)</f>
        <v/>
      </c>
      <c r="N21" s="35">
        <f>SUM(N14:N20)</f>
        <v/>
      </c>
      <c r="O21" s="35">
        <f>SUM(O14:O20)</f>
        <v/>
      </c>
      <c r="P21" s="35">
        <f>SUM(P14:P20)</f>
        <v/>
      </c>
      <c r="Q21" s="35">
        <f>SUM(Q14:Q20)</f>
        <v/>
      </c>
      <c r="R21" s="35">
        <f>SUM(R14:R20)</f>
        <v/>
      </c>
      <c r="S21" s="35">
        <f>SUM(S14:S20)</f>
        <v/>
      </c>
      <c r="T21" s="35">
        <f>SUM(T14:T20)</f>
        <v/>
      </c>
      <c r="U21" s="35">
        <f>SUM(U14:U20)</f>
        <v/>
      </c>
      <c r="V21" s="17">
        <f>SUM(V14:V20)</f>
        <v/>
      </c>
      <c r="W21" s="17">
        <f>SUM(W14:W20)</f>
        <v/>
      </c>
      <c r="X21" s="17">
        <f>SUM(X14:X20)</f>
        <v/>
      </c>
      <c r="Y21" s="17">
        <f>SUM(Y14:Y20)</f>
        <v/>
      </c>
      <c r="Z21" s="17">
        <f>SUM(Z14:Z20)</f>
        <v/>
      </c>
      <c r="AA21" s="17">
        <f>SUM(AA14:AA20)</f>
        <v/>
      </c>
      <c r="AB21" s="17">
        <f>SUM(AB14:AB20)</f>
        <v/>
      </c>
      <c r="AC21" s="17">
        <f>SUM(AC14:AC20)</f>
        <v/>
      </c>
      <c r="AD21" s="17">
        <f>SUM(AD14:AD20)</f>
        <v/>
      </c>
      <c r="AE21" s="17">
        <f>SUM(AE14:AE20)</f>
        <v/>
      </c>
      <c r="AF21" s="17">
        <f>SUM(AF14:AF20)</f>
        <v/>
      </c>
      <c r="AG21" s="17">
        <f>SUM(AG14:AG20)</f>
        <v/>
      </c>
      <c r="AH21" s="17">
        <f>SUM(AH14:AH20)</f>
        <v/>
      </c>
      <c r="AI21" s="17">
        <f>SUM(AI14:AI20)</f>
        <v/>
      </c>
      <c r="AJ21" s="17">
        <f>SUM(AJ14:AJ20)</f>
        <v/>
      </c>
      <c r="AK21" s="17">
        <f>SUM(AK14:AK20)</f>
        <v/>
      </c>
      <c r="AL21" s="17">
        <f>SUM(AL14:AL20)</f>
        <v/>
      </c>
      <c r="AM21" s="17">
        <f>SUM(AM14:AM20)</f>
        <v/>
      </c>
      <c r="AN21" s="17">
        <f>AN14+AN15+AN16+AN17+AN18+AN19+AN20</f>
        <v/>
      </c>
      <c r="AO21" s="17">
        <f>AO14+AO15+AO16+AO17+AO18+AO19+AO20</f>
        <v/>
      </c>
      <c r="AP21" s="17">
        <f>AP14+AP15+AP16+AP17+AP18+AP19+AP20</f>
        <v/>
      </c>
      <c r="AQ21" s="17">
        <f>AQ14+AQ15+AQ16+AQ17+AQ18+AQ19+AQ20</f>
        <v/>
      </c>
      <c r="AR21" s="17">
        <f>AR14+AR15+AR16+AR17+AR18+AR19+AR20</f>
        <v/>
      </c>
      <c r="AS21" s="17">
        <f>AS14+AS15+AS16+AS17+AS18+AS19+AS20</f>
        <v/>
      </c>
      <c r="AT21" s="17">
        <f>AT14+AT15+AT16+AT17+AT18+AT19+AT20</f>
        <v/>
      </c>
      <c r="AU21" s="17">
        <f>AU14+AU15+AU16+AU17+AU18+AU19+AU20</f>
        <v/>
      </c>
      <c r="AV21" s="17">
        <f>AV14+AV15+AV16+AV17+AV18+AV19+AV20</f>
        <v/>
      </c>
      <c r="AW21" s="17">
        <f>AW14+AW15+AW16+AW17+AW18+AW19+AW20</f>
        <v/>
      </c>
      <c r="AX21" s="17">
        <f>AX14+AX15+AX16+AX17+AX18+AX19+AX20</f>
        <v/>
      </c>
      <c r="AY21" s="17">
        <f>AY14+AY15+AY16+AY17+AY18+AY19+AY20</f>
        <v/>
      </c>
    </row>
    <row r="22">
      <c r="B22" s="32" t="inlineStr">
        <is>
          <t>Net Operating Income</t>
        </is>
      </c>
      <c r="C22" s="34" t="n"/>
      <c r="D22" s="35">
        <f>D13-D21</f>
        <v/>
      </c>
      <c r="E22" s="35">
        <f>E13-E21</f>
        <v/>
      </c>
      <c r="F22" s="35">
        <f>F13-F21</f>
        <v/>
      </c>
      <c r="G22" s="35">
        <f>G13-G21</f>
        <v/>
      </c>
      <c r="H22" s="35">
        <f>H13-H21</f>
        <v/>
      </c>
      <c r="I22" s="35">
        <f>I13-I21</f>
        <v/>
      </c>
      <c r="J22" s="35">
        <f>J13-J21</f>
        <v/>
      </c>
      <c r="K22" s="35">
        <f>K13-K21</f>
        <v/>
      </c>
      <c r="L22" s="35">
        <f>L13-L21</f>
        <v/>
      </c>
      <c r="M22" s="35">
        <f>M13-M21</f>
        <v/>
      </c>
      <c r="N22" s="35">
        <f>N13-N21</f>
        <v/>
      </c>
      <c r="O22" s="35">
        <f>O13-O21</f>
        <v/>
      </c>
      <c r="P22" s="35">
        <f>P13-P21</f>
        <v/>
      </c>
      <c r="Q22" s="35">
        <f>Q13-Q21</f>
        <v/>
      </c>
      <c r="R22" s="35">
        <f>R13-R21</f>
        <v/>
      </c>
      <c r="S22" s="35">
        <f>S13-S21</f>
        <v/>
      </c>
      <c r="T22" s="35">
        <f>T13-T21</f>
        <v/>
      </c>
      <c r="U22" s="35">
        <f>U13-U21</f>
        <v/>
      </c>
      <c r="V22" s="17">
        <f>V13-V21</f>
        <v/>
      </c>
      <c r="W22" s="17">
        <f>W13-W21</f>
        <v/>
      </c>
      <c r="X22" s="17">
        <f>X13-X21</f>
        <v/>
      </c>
      <c r="Y22" s="17">
        <f>Y13-Y21</f>
        <v/>
      </c>
      <c r="Z22" s="17">
        <f>Z13-Z21</f>
        <v/>
      </c>
      <c r="AA22" s="17">
        <f>AA13-AA21</f>
        <v/>
      </c>
      <c r="AB22" s="17">
        <f>AB13-AB21</f>
        <v/>
      </c>
      <c r="AC22" s="17">
        <f>AC13-AC21</f>
        <v/>
      </c>
      <c r="AD22" s="17">
        <f>AD13-AD21</f>
        <v/>
      </c>
      <c r="AE22" s="17">
        <f>AE13-AE21</f>
        <v/>
      </c>
      <c r="AF22" s="17">
        <f>AF13-AF21</f>
        <v/>
      </c>
      <c r="AG22" s="17">
        <f>AG13-AG21</f>
        <v/>
      </c>
      <c r="AH22" s="17">
        <f>AH13-AH21</f>
        <v/>
      </c>
      <c r="AI22" s="17">
        <f>AI13-AI21</f>
        <v/>
      </c>
      <c r="AJ22" s="17">
        <f>AJ13-AJ21</f>
        <v/>
      </c>
      <c r="AK22" s="17">
        <f>AK13-AK21</f>
        <v/>
      </c>
      <c r="AL22" s="17">
        <f>AL13-AL21</f>
        <v/>
      </c>
      <c r="AM22" s="17">
        <f>AM13-AM21</f>
        <v/>
      </c>
      <c r="AN22" s="17">
        <f>AN13-AN21</f>
        <v/>
      </c>
      <c r="AO22" s="17">
        <f>AO13-AO21</f>
        <v/>
      </c>
      <c r="AP22" s="17">
        <f>AP13-AP21</f>
        <v/>
      </c>
      <c r="AQ22" s="17">
        <f>AQ13-AQ21</f>
        <v/>
      </c>
      <c r="AR22" s="17">
        <f>AR13-AR21</f>
        <v/>
      </c>
      <c r="AS22" s="17">
        <f>AS13-AS21</f>
        <v/>
      </c>
      <c r="AT22" s="17">
        <f>AT13-AT21</f>
        <v/>
      </c>
      <c r="AU22" s="17">
        <f>AU13-AU21</f>
        <v/>
      </c>
      <c r="AV22" s="17">
        <f>AV13-AV21</f>
        <v/>
      </c>
      <c r="AW22" s="17">
        <f>AW13-AW21</f>
        <v/>
      </c>
      <c r="AX22" s="17">
        <f>AX13-AX21</f>
        <v/>
      </c>
      <c r="AY22" s="17">
        <f>AY13-AY21</f>
        <v/>
      </c>
    </row>
    <row r="23">
      <c r="B23" s="18" t="inlineStr">
        <is>
          <t>Depreciation</t>
        </is>
      </c>
      <c r="D23" s="19" t="n">
        <v>15294.91</v>
      </c>
      <c r="E23" s="19" t="n">
        <v>17544.5</v>
      </c>
      <c r="F23" s="19" t="n">
        <v>17656.42</v>
      </c>
      <c r="G23" s="19" t="n">
        <v>19776.91</v>
      </c>
      <c r="H23" s="19" t="n">
        <v>19918.2</v>
      </c>
      <c r="I23" s="19" t="n">
        <v>23461.73</v>
      </c>
      <c r="J23" s="19" t="n">
        <v>23564.06</v>
      </c>
      <c r="K23" s="19" t="n">
        <v>24731.79</v>
      </c>
      <c r="L23" s="19" t="n">
        <v>28257.89</v>
      </c>
      <c r="M23" s="19" t="n">
        <v>30554.12</v>
      </c>
      <c r="N23" s="19" t="n">
        <v>31457.54</v>
      </c>
      <c r="O23" s="19" t="n">
        <v>18346.69</v>
      </c>
      <c r="P23" s="19">
        <f>'QBO Actuals'!C66</f>
        <v/>
      </c>
      <c r="Q23" s="19">
        <f>'QBO Actuals'!D66</f>
        <v/>
      </c>
      <c r="R23" s="19">
        <f>'QBO Actuals'!E66</f>
        <v/>
      </c>
      <c r="S23" s="19">
        <f>'QBO Actuals'!F66</f>
        <v/>
      </c>
      <c r="T23" s="19">
        <f>'QBO Actuals'!G66</f>
        <v/>
      </c>
      <c r="U23" s="19">
        <f>'QBO Actuals'!H66</f>
        <v/>
      </c>
      <c r="V23" s="20">
        <f>'QBO Actuals'!I66</f>
        <v/>
      </c>
      <c r="W23" s="20">
        <f>'BK P&amp;L'!W66+'CC P&amp;L'!W65+'DN P&amp;L'!W65+'LF P&amp;L'!W66+'MR P&amp;L'!W65+'OP P&amp;L'!W65+'PH P&amp;L'!W66+'RH P&amp;L'!W65+'SB P&amp;L'!W65+'SM P&amp;L'!W66+'WP P&amp;L'!W65+'WW P&amp;L'!W66+'HO P&amp;L'!W38</f>
        <v/>
      </c>
      <c r="X23" s="20">
        <f>'BK P&amp;L'!X66+'CC P&amp;L'!X65+'DN P&amp;L'!X65+'LF P&amp;L'!X66+'MR P&amp;L'!X65+'OP P&amp;L'!X65+'PH P&amp;L'!X66+'RH P&amp;L'!X65+'SB P&amp;L'!X65+'SM P&amp;L'!X66+'WP P&amp;L'!X65+'WW P&amp;L'!X66+'HO P&amp;L'!X38</f>
        <v/>
      </c>
      <c r="Y23" s="20">
        <f>'BK P&amp;L'!Y66+'CC P&amp;L'!Y65+'DN P&amp;L'!Y65+'LF P&amp;L'!Y66+'MR P&amp;L'!Y65+'OP P&amp;L'!Y65+'PH P&amp;L'!Y66+'RH P&amp;L'!Y65+'SB P&amp;L'!Y65+'SM P&amp;L'!Y66+'WP P&amp;L'!Y65+'WW P&amp;L'!Y66+'HO P&amp;L'!Y38</f>
        <v/>
      </c>
      <c r="Z23" s="20">
        <f>'BK P&amp;L'!Z66+'CC P&amp;L'!Z65+'DN P&amp;L'!Z65+'LF P&amp;L'!Z66+'MR P&amp;L'!Z65+'OP P&amp;L'!Z65+'PH P&amp;L'!Z66+'RH P&amp;L'!Z65+'SB P&amp;L'!Z65+'SM P&amp;L'!Z66+'WP P&amp;L'!Z65+'WW P&amp;L'!Z66+'HO P&amp;L'!Z38</f>
        <v/>
      </c>
      <c r="AA23" s="20">
        <f>'BK P&amp;L'!AA66+'CC P&amp;L'!AA65+'DN P&amp;L'!AA65+'LF P&amp;L'!AA66+'MR P&amp;L'!AA65+'OP P&amp;L'!AA65+'PH P&amp;L'!AA66+'RH P&amp;L'!AA65+'SB P&amp;L'!AA65+'SM P&amp;L'!AA66+'WP P&amp;L'!AA65+'WW P&amp;L'!AA66+'HO P&amp;L'!AA38</f>
        <v/>
      </c>
      <c r="AB23" s="20">
        <f>'BK P&amp;L'!AB66+'CC P&amp;L'!AB65+'DN P&amp;L'!AB65+'LF P&amp;L'!AB66+'MR P&amp;L'!AB65+'OP P&amp;L'!AB65+'PH P&amp;L'!AB66+'RH P&amp;L'!AB65+'SB P&amp;L'!AB65+'SM P&amp;L'!AB66+'WP P&amp;L'!AB65+'WW P&amp;L'!AB66+'HO P&amp;L'!AB38</f>
        <v/>
      </c>
      <c r="AC23" s="20">
        <f>'BK P&amp;L'!AC66+'CC P&amp;L'!AC65+'DN P&amp;L'!AC65+'LF P&amp;L'!AC66+'MR P&amp;L'!AC65+'OP P&amp;L'!AC65+'PH P&amp;L'!AC66+'RH P&amp;L'!AC65+'SB P&amp;L'!AC65+'SM P&amp;L'!AC66+'WP P&amp;L'!AC65+'WW P&amp;L'!AC66+'HO P&amp;L'!AC38</f>
        <v/>
      </c>
      <c r="AD23" s="20">
        <f>'BK P&amp;L'!AD66+'CC P&amp;L'!AD65+'DN P&amp;L'!AD65+'LF P&amp;L'!AD66+'MR P&amp;L'!AD65+'OP P&amp;L'!AD65+'PH P&amp;L'!AD66+'RH P&amp;L'!AD65+'SB P&amp;L'!AD65+'SM P&amp;L'!AD66+'WP P&amp;L'!AD65+'WW P&amp;L'!AD66+'HO P&amp;L'!AD38</f>
        <v/>
      </c>
      <c r="AE23" s="20">
        <f>'BK P&amp;L'!AE66+'CC P&amp;L'!AE65+'DN P&amp;L'!AE65+'LF P&amp;L'!AE66+'MR P&amp;L'!AE65+'OP P&amp;L'!AE65+'PH P&amp;L'!AE66+'RH P&amp;L'!AE65+'SB P&amp;L'!AE65+'SM P&amp;L'!AE66+'WP P&amp;L'!AE65+'WW P&amp;L'!AE66+'HO P&amp;L'!AE38</f>
        <v/>
      </c>
      <c r="AF23" s="20">
        <f>'BK P&amp;L'!AF66+'CC P&amp;L'!AF65+'DN P&amp;L'!AF65+'LF P&amp;L'!AF66+'MR P&amp;L'!AF65+'OP P&amp;L'!AF65+'PH P&amp;L'!AF66+'RH P&amp;L'!AF65+'SB P&amp;L'!AF65+'SM P&amp;L'!AF66+'WP P&amp;L'!AF65+'WW P&amp;L'!AF66+'HO P&amp;L'!AF38</f>
        <v/>
      </c>
      <c r="AG23" s="20">
        <f>'BK P&amp;L'!AG66+'CC P&amp;L'!AG65+'DN P&amp;L'!AG65+'LF P&amp;L'!AG66+'MR P&amp;L'!AG65+'OP P&amp;L'!AG65+'PH P&amp;L'!AG66+'RH P&amp;L'!AG65+'SB P&amp;L'!AG65+'SM P&amp;L'!AG66+'WP P&amp;L'!AG65+'WW P&amp;L'!AG66+'HO P&amp;L'!AG38</f>
        <v/>
      </c>
      <c r="AH23" s="20">
        <f>'BK P&amp;L'!AH66+'CC P&amp;L'!AH65+'DN P&amp;L'!AH65+'LF P&amp;L'!AH66+'MR P&amp;L'!AH65+'OP P&amp;L'!AH65+'PH P&amp;L'!AH66+'RH P&amp;L'!AH65+'SB P&amp;L'!AH65+'SM P&amp;L'!AH66+'WP P&amp;L'!AH65+'WW P&amp;L'!AH66+'HO P&amp;L'!AH38</f>
        <v/>
      </c>
      <c r="AI23" s="20">
        <f>'BK P&amp;L'!AI66+'CC P&amp;L'!AI65+'DN P&amp;L'!AI65+'LF P&amp;L'!AI66+'MR P&amp;L'!AI65+'OP P&amp;L'!AI65+'PH P&amp;L'!AI66+'RH P&amp;L'!AI65+'SB P&amp;L'!AI65+'SM P&amp;L'!AI66+'WP P&amp;L'!AI65+'WW P&amp;L'!AI66+'HO P&amp;L'!AI38</f>
        <v/>
      </c>
      <c r="AJ23" s="20">
        <f>'BK P&amp;L'!AJ66+'CC P&amp;L'!AJ65+'DN P&amp;L'!AJ65+'LF P&amp;L'!AJ66+'MR P&amp;L'!AJ65+'OP P&amp;L'!AJ65+'PH P&amp;L'!AJ66+'RH P&amp;L'!AJ65+'SB P&amp;L'!AJ65+'SM P&amp;L'!AJ66+'WP P&amp;L'!AJ65+'WW P&amp;L'!AJ66+'HO P&amp;L'!AJ38</f>
        <v/>
      </c>
      <c r="AK23" s="20">
        <f>'BK P&amp;L'!AK66+'CC P&amp;L'!AK65+'DN P&amp;L'!AK65+'LF P&amp;L'!AK66+'MR P&amp;L'!AK65+'OP P&amp;L'!AK65+'PH P&amp;L'!AK66+'RH P&amp;L'!AK65+'SB P&amp;L'!AK65+'SM P&amp;L'!AK66+'WP P&amp;L'!AK65+'WW P&amp;L'!AK66+'HO P&amp;L'!AK38</f>
        <v/>
      </c>
      <c r="AL23" s="20">
        <f>'BK P&amp;L'!AL66+'CC P&amp;L'!AL65+'DN P&amp;L'!AL65+'LF P&amp;L'!AL66+'MR P&amp;L'!AL65+'OP P&amp;L'!AL65+'PH P&amp;L'!AL66+'RH P&amp;L'!AL65+'SB P&amp;L'!AL65+'SM P&amp;L'!AL66+'WP P&amp;L'!AL65+'WW P&amp;L'!AL66+'HO P&amp;L'!AL38</f>
        <v/>
      </c>
      <c r="AM23" s="20">
        <f>'BK P&amp;L'!AM66+'CC P&amp;L'!AM65+'DN P&amp;L'!AM65+'LF P&amp;L'!AM66+'MR P&amp;L'!AM65+'OP P&amp;L'!AM65+'PH P&amp;L'!AM66+'RH P&amp;L'!AM65+'SB P&amp;L'!AM65+'SM P&amp;L'!AM66+'WP P&amp;L'!AM65+'WW P&amp;L'!AM66+'HO P&amp;L'!AM38</f>
        <v/>
      </c>
      <c r="AN23" s="20">
        <f>'BK P&amp;L'!AN66+'CC P&amp;L'!AN65+'DN P&amp;L'!AN65+'LF P&amp;L'!AN66+'MR P&amp;L'!AN65+'OP P&amp;L'!AN65+'PH P&amp;L'!AN66+'RH P&amp;L'!AN65+'SB P&amp;L'!AN65+'SM P&amp;L'!AN66+'WP P&amp;L'!AN65+'WW P&amp;L'!AN66+'HO P&amp;L'!AN38</f>
        <v/>
      </c>
      <c r="AO23" s="20">
        <f>'BK P&amp;L'!AO66+'CC P&amp;L'!AO65+'DN P&amp;L'!AO65+'LF P&amp;L'!AO66+'MR P&amp;L'!AO65+'OP P&amp;L'!AO65+'PH P&amp;L'!AO66+'RH P&amp;L'!AO65+'SB P&amp;L'!AO65+'SM P&amp;L'!AO66+'WP P&amp;L'!AO65+'WW P&amp;L'!AO66+'HO P&amp;L'!AO38</f>
        <v/>
      </c>
      <c r="AP23" s="20">
        <f>'BK P&amp;L'!AP66+'CC P&amp;L'!AP65+'DN P&amp;L'!AP65+'LF P&amp;L'!AP66+'MR P&amp;L'!AP65+'OP P&amp;L'!AP65+'PH P&amp;L'!AP66+'RH P&amp;L'!AP65+'SB P&amp;L'!AP65+'SM P&amp;L'!AP66+'WP P&amp;L'!AP65+'WW P&amp;L'!AP66+'HO P&amp;L'!AP38</f>
        <v/>
      </c>
      <c r="AQ23" s="20">
        <f>'BK P&amp;L'!AQ66+'CC P&amp;L'!AQ65+'DN P&amp;L'!AQ65+'LF P&amp;L'!AQ66+'MR P&amp;L'!AQ65+'OP P&amp;L'!AQ65+'PH P&amp;L'!AQ66+'RH P&amp;L'!AQ65+'SB P&amp;L'!AQ65+'SM P&amp;L'!AQ66+'WP P&amp;L'!AQ65+'WW P&amp;L'!AQ66+'HO P&amp;L'!AQ38</f>
        <v/>
      </c>
      <c r="AR23" s="20">
        <f>'BK P&amp;L'!AR66+'CC P&amp;L'!AR65+'DN P&amp;L'!AR65+'LF P&amp;L'!AR66+'MR P&amp;L'!AR65+'OP P&amp;L'!AR65+'PH P&amp;L'!AR66+'RH P&amp;L'!AR65+'SB P&amp;L'!AR65+'SM P&amp;L'!AR66+'WP P&amp;L'!AR65+'WW P&amp;L'!AR66+'HO P&amp;L'!AR38</f>
        <v/>
      </c>
      <c r="AS23" s="20">
        <f>'BK P&amp;L'!AS66+'CC P&amp;L'!AS65+'DN P&amp;L'!AS65+'LF P&amp;L'!AS66+'MR P&amp;L'!AS65+'OP P&amp;L'!AS65+'PH P&amp;L'!AS66+'RH P&amp;L'!AS65+'SB P&amp;L'!AS65+'SM P&amp;L'!AS66+'WP P&amp;L'!AS65+'WW P&amp;L'!AS66+'HO P&amp;L'!AS38</f>
        <v/>
      </c>
      <c r="AT23" s="20">
        <f>'BK P&amp;L'!AT66+'CC P&amp;L'!AT65+'DN P&amp;L'!AT65+'LF P&amp;L'!AT66+'MR P&amp;L'!AT65+'OP P&amp;L'!AT65+'PH P&amp;L'!AT66+'RH P&amp;L'!AT65+'SB P&amp;L'!AT65+'SM P&amp;L'!AT66+'WP P&amp;L'!AT65+'WW P&amp;L'!AT66+'HO P&amp;L'!AT38</f>
        <v/>
      </c>
      <c r="AU23" s="20">
        <f>'BK P&amp;L'!AU66+'CC P&amp;L'!AU65+'DN P&amp;L'!AU65+'LF P&amp;L'!AU66+'MR P&amp;L'!AU65+'OP P&amp;L'!AU65+'PH P&amp;L'!AU66+'RH P&amp;L'!AU65+'SB P&amp;L'!AU65+'SM P&amp;L'!AU66+'WP P&amp;L'!AU65+'WW P&amp;L'!AU66+'HO P&amp;L'!AU38</f>
        <v/>
      </c>
      <c r="AV23" s="20">
        <f>'BK P&amp;L'!AV66+'CC P&amp;L'!AV65+'DN P&amp;L'!AV65+'LF P&amp;L'!AV66+'MR P&amp;L'!AV65+'OP P&amp;L'!AV65+'PH P&amp;L'!AV66+'RH P&amp;L'!AV65+'SB P&amp;L'!AV65+'SM P&amp;L'!AV66+'WP P&amp;L'!AV65+'WW P&amp;L'!AV66+'HO P&amp;L'!AV38</f>
        <v/>
      </c>
      <c r="AW23" s="20">
        <f>'BK P&amp;L'!AW66+'CC P&amp;L'!AW65+'DN P&amp;L'!AW65+'LF P&amp;L'!AW66+'MR P&amp;L'!AW65+'OP P&amp;L'!AW65+'PH P&amp;L'!AW66+'RH P&amp;L'!AW65+'SB P&amp;L'!AW65+'SM P&amp;L'!AW66+'WP P&amp;L'!AW65+'WW P&amp;L'!AW66+'HO P&amp;L'!AW38</f>
        <v/>
      </c>
      <c r="AX23" s="20">
        <f>'BK P&amp;L'!AX66+'CC P&amp;L'!AX65+'DN P&amp;L'!AX65+'LF P&amp;L'!AX66+'MR P&amp;L'!AX65+'OP P&amp;L'!AX65+'PH P&amp;L'!AX66+'RH P&amp;L'!AX65+'SB P&amp;L'!AX65+'SM P&amp;L'!AX66+'WP P&amp;L'!AX65+'WW P&amp;L'!AX66+'HO P&amp;L'!AX38</f>
        <v/>
      </c>
      <c r="AY23" s="20">
        <f>'BK P&amp;L'!AY66+'CC P&amp;L'!AY65+'DN P&amp;L'!AY65+'LF P&amp;L'!AY66+'MR P&amp;L'!AY65+'OP P&amp;L'!AY65+'PH P&amp;L'!AY66+'RH P&amp;L'!AY65+'SB P&amp;L'!AY65+'SM P&amp;L'!AY66+'WP P&amp;L'!AY65+'WW P&amp;L'!AY66+'HO P&amp;L'!AY38</f>
        <v/>
      </c>
    </row>
    <row r="24">
      <c r="B24" s="18" t="inlineStr">
        <is>
          <t>Interest Expense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14445</v>
      </c>
      <c r="M24" s="19" t="n">
        <v>8376.01</v>
      </c>
      <c r="N24" s="19" t="n">
        <v>18871.88</v>
      </c>
      <c r="O24" s="19" t="n">
        <v>19871.88</v>
      </c>
      <c r="P24" s="19">
        <f>'QBO Actuals'!C68+'QBO Actuals'!C67</f>
        <v/>
      </c>
      <c r="Q24" s="19">
        <f>'QBO Actuals'!D68+'QBO Actuals'!D67</f>
        <v/>
      </c>
      <c r="R24" s="19">
        <f>'QBO Actuals'!E68+'QBO Actuals'!E67</f>
        <v/>
      </c>
      <c r="S24" s="19">
        <f>'QBO Actuals'!F68+'QBO Actuals'!F67</f>
        <v/>
      </c>
      <c r="T24" s="19">
        <f>'QBO Actuals'!G68+'QBO Actuals'!G67</f>
        <v/>
      </c>
      <c r="U24" s="19">
        <f>'QBO Actuals'!H68+'QBO Actuals'!H67</f>
        <v/>
      </c>
      <c r="V24" s="20">
        <f>'QBO Actuals'!I68+'QBO Actuals'!I67</f>
        <v/>
      </c>
      <c r="W24" s="20">
        <f>'BK P&amp;L'!W67+'CC P&amp;L'!W66+'DN P&amp;L'!W66+'LF P&amp;L'!W67+'MR P&amp;L'!W66+'OP P&amp;L'!W66+'PH P&amp;L'!W67+'RH P&amp;L'!W66+'SB P&amp;L'!W66+'SM P&amp;L'!W67+'WP P&amp;L'!W66+'WW P&amp;L'!W67+'HO P&amp;L'!W40</f>
        <v/>
      </c>
      <c r="X24" s="20">
        <f>'BK P&amp;L'!X67+'CC P&amp;L'!X66+'DN P&amp;L'!X66+'LF P&amp;L'!X67+'MR P&amp;L'!X66+'OP P&amp;L'!X66+'PH P&amp;L'!X67+'RH P&amp;L'!X66+'SB P&amp;L'!X66+'SM P&amp;L'!X67+'WP P&amp;L'!X66+'WW P&amp;L'!X67+'HO P&amp;L'!X40</f>
        <v/>
      </c>
      <c r="Y24" s="20">
        <f>'BK P&amp;L'!Y67+'CC P&amp;L'!Y66+'DN P&amp;L'!Y66+'LF P&amp;L'!Y67+'MR P&amp;L'!Y66+'OP P&amp;L'!Y66+'PH P&amp;L'!Y67+'RH P&amp;L'!Y66+'SB P&amp;L'!Y66+'SM P&amp;L'!Y67+'WP P&amp;L'!Y66+'WW P&amp;L'!Y67+'HO P&amp;L'!Y40</f>
        <v/>
      </c>
      <c r="Z24" s="20">
        <f>'BK P&amp;L'!Z67+'CC P&amp;L'!Z66+'DN P&amp;L'!Z66+'LF P&amp;L'!Z67+'MR P&amp;L'!Z66+'OP P&amp;L'!Z66+'PH P&amp;L'!Z67+'RH P&amp;L'!Z66+'SB P&amp;L'!Z66+'SM P&amp;L'!Z67+'WP P&amp;L'!Z66+'WW P&amp;L'!Z67+'HO P&amp;L'!Z40</f>
        <v/>
      </c>
      <c r="AA24" s="20">
        <f>'BK P&amp;L'!AA67+'CC P&amp;L'!AA66+'DN P&amp;L'!AA66+'LF P&amp;L'!AA67+'MR P&amp;L'!AA66+'OP P&amp;L'!AA66+'PH P&amp;L'!AA67+'RH P&amp;L'!AA66+'SB P&amp;L'!AA66+'SM P&amp;L'!AA67+'WP P&amp;L'!AA66+'WW P&amp;L'!AA67+'HO P&amp;L'!AA40</f>
        <v/>
      </c>
      <c r="AB24" s="20">
        <f>'BK P&amp;L'!AB67+'CC P&amp;L'!AB66+'DN P&amp;L'!AB66+'LF P&amp;L'!AB67+'MR P&amp;L'!AB66+'OP P&amp;L'!AB66+'PH P&amp;L'!AB67+'RH P&amp;L'!AB66+'SB P&amp;L'!AB66+'SM P&amp;L'!AB67+'WP P&amp;L'!AB66+'WW P&amp;L'!AB67+'HO P&amp;L'!AB40</f>
        <v/>
      </c>
      <c r="AC24" s="20">
        <f>'BK P&amp;L'!AC67+'CC P&amp;L'!AC66+'DN P&amp;L'!AC66+'LF P&amp;L'!AC67+'MR P&amp;L'!AC66+'OP P&amp;L'!AC66+'PH P&amp;L'!AC67+'RH P&amp;L'!AC66+'SB P&amp;L'!AC66+'SM P&amp;L'!AC67+'WP P&amp;L'!AC66+'WW P&amp;L'!AC67+'HO P&amp;L'!AC40</f>
        <v/>
      </c>
      <c r="AD24" s="20">
        <f>'BK P&amp;L'!AD67+'CC P&amp;L'!AD66+'DN P&amp;L'!AD66+'LF P&amp;L'!AD67+'MR P&amp;L'!AD66+'OP P&amp;L'!AD66+'PH P&amp;L'!AD67+'RH P&amp;L'!AD66+'SB P&amp;L'!AD66+'SM P&amp;L'!AD67+'WP P&amp;L'!AD66+'WW P&amp;L'!AD67+'HO P&amp;L'!AD40</f>
        <v/>
      </c>
      <c r="AE24" s="20">
        <f>'BK P&amp;L'!AE67+'CC P&amp;L'!AE66+'DN P&amp;L'!AE66+'LF P&amp;L'!AE67+'MR P&amp;L'!AE66+'OP P&amp;L'!AE66+'PH P&amp;L'!AE67+'RH P&amp;L'!AE66+'SB P&amp;L'!AE66+'SM P&amp;L'!AE67+'WP P&amp;L'!AE66+'WW P&amp;L'!AE67+'HO P&amp;L'!AE40</f>
        <v/>
      </c>
      <c r="AF24" s="20">
        <f>'BK P&amp;L'!AF67+'CC P&amp;L'!AF66+'DN P&amp;L'!AF66+'LF P&amp;L'!AF67+'MR P&amp;L'!AF66+'OP P&amp;L'!AF66+'PH P&amp;L'!AF67+'RH P&amp;L'!AF66+'SB P&amp;L'!AF66+'SM P&amp;L'!AF67+'WP P&amp;L'!AF66+'WW P&amp;L'!AF67+'HO P&amp;L'!AF40</f>
        <v/>
      </c>
      <c r="AG24" s="20">
        <f>'BK P&amp;L'!AG67+'CC P&amp;L'!AG66+'DN P&amp;L'!AG66+'LF P&amp;L'!AG67+'MR P&amp;L'!AG66+'OP P&amp;L'!AG66+'PH P&amp;L'!AG67+'RH P&amp;L'!AG66+'SB P&amp;L'!AG66+'SM P&amp;L'!AG67+'WP P&amp;L'!AG66+'WW P&amp;L'!AG67+'HO P&amp;L'!AG40</f>
        <v/>
      </c>
      <c r="AH24" s="20">
        <f>'BK P&amp;L'!AH67+'CC P&amp;L'!AH66+'DN P&amp;L'!AH66+'LF P&amp;L'!AH67+'MR P&amp;L'!AH66+'OP P&amp;L'!AH66+'PH P&amp;L'!AH67+'RH P&amp;L'!AH66+'SB P&amp;L'!AH66+'SM P&amp;L'!AH67+'WP P&amp;L'!AH66+'WW P&amp;L'!AH67+'HO P&amp;L'!AH40</f>
        <v/>
      </c>
      <c r="AI24" s="20">
        <f>'BK P&amp;L'!AI67+'CC P&amp;L'!AI66+'DN P&amp;L'!AI66+'LF P&amp;L'!AI67+'MR P&amp;L'!AI66+'OP P&amp;L'!AI66+'PH P&amp;L'!AI67+'RH P&amp;L'!AI66+'SB P&amp;L'!AI66+'SM P&amp;L'!AI67+'WP P&amp;L'!AI66+'WW P&amp;L'!AI67+'HO P&amp;L'!AI40</f>
        <v/>
      </c>
      <c r="AJ24" s="20">
        <f>'BK P&amp;L'!AJ67+'CC P&amp;L'!AJ66+'DN P&amp;L'!AJ66+'LF P&amp;L'!AJ67+'MR P&amp;L'!AJ66+'OP P&amp;L'!AJ66+'PH P&amp;L'!AJ67+'RH P&amp;L'!AJ66+'SB P&amp;L'!AJ66+'SM P&amp;L'!AJ67+'WP P&amp;L'!AJ66+'WW P&amp;L'!AJ67+'HO P&amp;L'!AJ40</f>
        <v/>
      </c>
      <c r="AK24" s="20">
        <f>'BK P&amp;L'!AK67+'CC P&amp;L'!AK66+'DN P&amp;L'!AK66+'LF P&amp;L'!AK67+'MR P&amp;L'!AK66+'OP P&amp;L'!AK66+'PH P&amp;L'!AK67+'RH P&amp;L'!AK66+'SB P&amp;L'!AK66+'SM P&amp;L'!AK67+'WP P&amp;L'!AK66+'WW P&amp;L'!AK67+'HO P&amp;L'!AK40</f>
        <v/>
      </c>
      <c r="AL24" s="20">
        <f>'BK P&amp;L'!AL67+'CC P&amp;L'!AL66+'DN P&amp;L'!AL66+'LF P&amp;L'!AL67+'MR P&amp;L'!AL66+'OP P&amp;L'!AL66+'PH P&amp;L'!AL67+'RH P&amp;L'!AL66+'SB P&amp;L'!AL66+'SM P&amp;L'!AL67+'WP P&amp;L'!AL66+'WW P&amp;L'!AL67+'HO P&amp;L'!AL40</f>
        <v/>
      </c>
      <c r="AM24" s="20">
        <f>'BK P&amp;L'!AM67+'CC P&amp;L'!AM66+'DN P&amp;L'!AM66+'LF P&amp;L'!AM67+'MR P&amp;L'!AM66+'OP P&amp;L'!AM66+'PH P&amp;L'!AM67+'RH P&amp;L'!AM66+'SB P&amp;L'!AM66+'SM P&amp;L'!AM67+'WP P&amp;L'!AM66+'WW P&amp;L'!AM67+'HO P&amp;L'!AM40</f>
        <v/>
      </c>
      <c r="AN24" s="20">
        <f>'BK P&amp;L'!AN67+'CC P&amp;L'!AN66+'DN P&amp;L'!AN66+'LF P&amp;L'!AN67+'MR P&amp;L'!AN66+'OP P&amp;L'!AN66+'PH P&amp;L'!AN67+'RH P&amp;L'!AN66+'SB P&amp;L'!AN66+'SM P&amp;L'!AN67+'WP P&amp;L'!AN66+'WW P&amp;L'!AN67+'HO P&amp;L'!AN40</f>
        <v/>
      </c>
      <c r="AO24" s="20">
        <f>'BK P&amp;L'!AO67+'CC P&amp;L'!AO66+'DN P&amp;L'!AO66+'LF P&amp;L'!AO67+'MR P&amp;L'!AO66+'OP P&amp;L'!AO66+'PH P&amp;L'!AO67+'RH P&amp;L'!AO66+'SB P&amp;L'!AO66+'SM P&amp;L'!AO67+'WP P&amp;L'!AO66+'WW P&amp;L'!AO67+'HO P&amp;L'!AO40</f>
        <v/>
      </c>
      <c r="AP24" s="20">
        <f>'BK P&amp;L'!AP67+'CC P&amp;L'!AP66+'DN P&amp;L'!AP66+'LF P&amp;L'!AP67+'MR P&amp;L'!AP66+'OP P&amp;L'!AP66+'PH P&amp;L'!AP67+'RH P&amp;L'!AP66+'SB P&amp;L'!AP66+'SM P&amp;L'!AP67+'WP P&amp;L'!AP66+'WW P&amp;L'!AP67+'HO P&amp;L'!AP40</f>
        <v/>
      </c>
      <c r="AQ24" s="20">
        <f>'BK P&amp;L'!AQ67+'CC P&amp;L'!AQ66+'DN P&amp;L'!AQ66+'LF P&amp;L'!AQ67+'MR P&amp;L'!AQ66+'OP P&amp;L'!AQ66+'PH P&amp;L'!AQ67+'RH P&amp;L'!AQ66+'SB P&amp;L'!AQ66+'SM P&amp;L'!AQ67+'WP P&amp;L'!AQ66+'WW P&amp;L'!AQ67+'HO P&amp;L'!AQ40</f>
        <v/>
      </c>
      <c r="AR24" s="20">
        <f>'BK P&amp;L'!AR67+'CC P&amp;L'!AR66+'DN P&amp;L'!AR66+'LF P&amp;L'!AR67+'MR P&amp;L'!AR66+'OP P&amp;L'!AR66+'PH P&amp;L'!AR67+'RH P&amp;L'!AR66+'SB P&amp;L'!AR66+'SM P&amp;L'!AR67+'WP P&amp;L'!AR66+'WW P&amp;L'!AR67+'HO P&amp;L'!AR40</f>
        <v/>
      </c>
      <c r="AS24" s="20">
        <f>'BK P&amp;L'!AS67+'CC P&amp;L'!AS66+'DN P&amp;L'!AS66+'LF P&amp;L'!AS67+'MR P&amp;L'!AS66+'OP P&amp;L'!AS66+'PH P&amp;L'!AS67+'RH P&amp;L'!AS66+'SB P&amp;L'!AS66+'SM P&amp;L'!AS67+'WP P&amp;L'!AS66+'WW P&amp;L'!AS67+'HO P&amp;L'!AS40</f>
        <v/>
      </c>
      <c r="AT24" s="20">
        <f>'BK P&amp;L'!AT67+'CC P&amp;L'!AT66+'DN P&amp;L'!AT66+'LF P&amp;L'!AT67+'MR P&amp;L'!AT66+'OP P&amp;L'!AT66+'PH P&amp;L'!AT67+'RH P&amp;L'!AT66+'SB P&amp;L'!AT66+'SM P&amp;L'!AT67+'WP P&amp;L'!AT66+'WW P&amp;L'!AT67+'HO P&amp;L'!AT40</f>
        <v/>
      </c>
      <c r="AU24" s="20">
        <f>'BK P&amp;L'!AU67+'CC P&amp;L'!AU66+'DN P&amp;L'!AU66+'LF P&amp;L'!AU67+'MR P&amp;L'!AU66+'OP P&amp;L'!AU66+'PH P&amp;L'!AU67+'RH P&amp;L'!AU66+'SB P&amp;L'!AU66+'SM P&amp;L'!AU67+'WP P&amp;L'!AU66+'WW P&amp;L'!AU67+'HO P&amp;L'!AU40</f>
        <v/>
      </c>
      <c r="AV24" s="20">
        <f>'BK P&amp;L'!AV67+'CC P&amp;L'!AV66+'DN P&amp;L'!AV66+'LF P&amp;L'!AV67+'MR P&amp;L'!AV66+'OP P&amp;L'!AV66+'PH P&amp;L'!AV67+'RH P&amp;L'!AV66+'SB P&amp;L'!AV66+'SM P&amp;L'!AV67+'WP P&amp;L'!AV66+'WW P&amp;L'!AV67+'HO P&amp;L'!AV40</f>
        <v/>
      </c>
      <c r="AW24" s="20">
        <f>'BK P&amp;L'!AW67+'CC P&amp;L'!AW66+'DN P&amp;L'!AW66+'LF P&amp;L'!AW67+'MR P&amp;L'!AW66+'OP P&amp;L'!AW66+'PH P&amp;L'!AW67+'RH P&amp;L'!AW66+'SB P&amp;L'!AW66+'SM P&amp;L'!AW67+'WP P&amp;L'!AW66+'WW P&amp;L'!AW67+'HO P&amp;L'!AW40</f>
        <v/>
      </c>
      <c r="AX24" s="20">
        <f>'BK P&amp;L'!AX67+'CC P&amp;L'!AX66+'DN P&amp;L'!AX66+'LF P&amp;L'!AX67+'MR P&amp;L'!AX66+'OP P&amp;L'!AX66+'PH P&amp;L'!AX67+'RH P&amp;L'!AX66+'SB P&amp;L'!AX66+'SM P&amp;L'!AX67+'WP P&amp;L'!AX66+'WW P&amp;L'!AX67+'HO P&amp;L'!AX40</f>
        <v/>
      </c>
      <c r="AY24" s="20">
        <f>'BK P&amp;L'!AY67+'CC P&amp;L'!AY66+'DN P&amp;L'!AY66+'LF P&amp;L'!AY67+'MR P&amp;L'!AY66+'OP P&amp;L'!AY66+'PH P&amp;L'!AY67+'RH P&amp;L'!AY66+'SB P&amp;L'!AY66+'SM P&amp;L'!AY67+'WP P&amp;L'!AY66+'WW P&amp;L'!AY67+'HO P&amp;L'!AY40</f>
        <v/>
      </c>
    </row>
    <row r="25">
      <c r="B25" s="18" t="inlineStr">
        <is>
          <t>Taxes Paid</t>
        </is>
      </c>
      <c r="D25" s="19" t="n">
        <v>0</v>
      </c>
      <c r="E25" s="19" t="n">
        <v>9041.24</v>
      </c>
      <c r="F25" s="19" t="n">
        <v>1700</v>
      </c>
      <c r="G25" s="19" t="n">
        <v>800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11790</v>
      </c>
      <c r="N25" s="19" t="n">
        <v>0</v>
      </c>
      <c r="O25" s="19" t="n">
        <v>0</v>
      </c>
      <c r="P25" s="19">
        <f>'QBO Actuals'!C69</f>
        <v/>
      </c>
      <c r="Q25" s="19">
        <f>'QBO Actuals'!D69</f>
        <v/>
      </c>
      <c r="R25" s="19">
        <f>'QBO Actuals'!E69</f>
        <v/>
      </c>
      <c r="S25" s="19">
        <f>'QBO Actuals'!F69</f>
        <v/>
      </c>
      <c r="T25" s="19">
        <f>'QBO Actuals'!G69</f>
        <v/>
      </c>
      <c r="U25" s="19">
        <f>'QBO Actuals'!H69</f>
        <v/>
      </c>
      <c r="V25" s="20">
        <f>'QBO Actuals'!I69</f>
        <v/>
      </c>
      <c r="W25" s="20">
        <f>'BK P&amp;L'!W68+'CC P&amp;L'!W67+'DN P&amp;L'!W67+'LF P&amp;L'!W68+'MR P&amp;L'!W67+'OP P&amp;L'!W67+'PH P&amp;L'!W68+'RH P&amp;L'!W67+'SB P&amp;L'!W67+'SM P&amp;L'!W68+'WP P&amp;L'!W67+'WW P&amp;L'!W68+'HO P&amp;L'!W33</f>
        <v/>
      </c>
      <c r="X25" s="20">
        <f>'BK P&amp;L'!X68+'CC P&amp;L'!X67+'DN P&amp;L'!X67+'LF P&amp;L'!X68+'MR P&amp;L'!X67+'OP P&amp;L'!X67+'PH P&amp;L'!X68+'RH P&amp;L'!X67+'SB P&amp;L'!X67+'SM P&amp;L'!X68+'WP P&amp;L'!X67+'WW P&amp;L'!X68+'HO P&amp;L'!X33</f>
        <v/>
      </c>
      <c r="Y25" s="20">
        <f>'BK P&amp;L'!Y68+'CC P&amp;L'!Y67+'DN P&amp;L'!Y67+'LF P&amp;L'!Y68+'MR P&amp;L'!Y67+'OP P&amp;L'!Y67+'PH P&amp;L'!Y68+'RH P&amp;L'!Y67+'SB P&amp;L'!Y67+'SM P&amp;L'!Y68+'WP P&amp;L'!Y67+'WW P&amp;L'!Y68+'HO P&amp;L'!Y33</f>
        <v/>
      </c>
      <c r="Z25" s="20">
        <f>'BK P&amp;L'!Z68+'CC P&amp;L'!Z67+'DN P&amp;L'!Z67+'LF P&amp;L'!Z68+'MR P&amp;L'!Z67+'OP P&amp;L'!Z67+'PH P&amp;L'!Z68+'RH P&amp;L'!Z67+'SB P&amp;L'!Z67+'SM P&amp;L'!Z68+'WP P&amp;L'!Z67+'WW P&amp;L'!Z68+'HO P&amp;L'!Z33</f>
        <v/>
      </c>
      <c r="AA25" s="20">
        <f>'BK P&amp;L'!AA68+'CC P&amp;L'!AA67+'DN P&amp;L'!AA67+'LF P&amp;L'!AA68+'MR P&amp;L'!AA67+'OP P&amp;L'!AA67+'PH P&amp;L'!AA68+'RH P&amp;L'!AA67+'SB P&amp;L'!AA67+'SM P&amp;L'!AA68+'WP P&amp;L'!AA67+'WW P&amp;L'!AA68+'HO P&amp;L'!AA33</f>
        <v/>
      </c>
      <c r="AB25" s="20">
        <f>'BK P&amp;L'!AB68+'CC P&amp;L'!AB67+'DN P&amp;L'!AB67+'LF P&amp;L'!AB68+'MR P&amp;L'!AB67+'OP P&amp;L'!AB67+'PH P&amp;L'!AB68+'RH P&amp;L'!AB67+'SB P&amp;L'!AB67+'SM P&amp;L'!AB68+'WP P&amp;L'!AB67+'WW P&amp;L'!AB68+'HO P&amp;L'!AB33</f>
        <v/>
      </c>
      <c r="AC25" s="20">
        <f>'BK P&amp;L'!AC68+'CC P&amp;L'!AC67+'DN P&amp;L'!AC67+'LF P&amp;L'!AC68+'MR P&amp;L'!AC67+'OP P&amp;L'!AC67+'PH P&amp;L'!AC68+'RH P&amp;L'!AC67+'SB P&amp;L'!AC67+'SM P&amp;L'!AC68+'WP P&amp;L'!AC67+'WW P&amp;L'!AC68+'HO P&amp;L'!AC33</f>
        <v/>
      </c>
      <c r="AD25" s="20">
        <f>'BK P&amp;L'!AD68+'CC P&amp;L'!AD67+'DN P&amp;L'!AD67+'LF P&amp;L'!AD68+'MR P&amp;L'!AD67+'OP P&amp;L'!AD67+'PH P&amp;L'!AD68+'RH P&amp;L'!AD67+'SB P&amp;L'!AD67+'SM P&amp;L'!AD68+'WP P&amp;L'!AD67+'WW P&amp;L'!AD68+'HO P&amp;L'!AD33</f>
        <v/>
      </c>
      <c r="AE25" s="20">
        <f>'BK P&amp;L'!AE68+'CC P&amp;L'!AE67+'DN P&amp;L'!AE67+'LF P&amp;L'!AE68+'MR P&amp;L'!AE67+'OP P&amp;L'!AE67+'PH P&amp;L'!AE68+'RH P&amp;L'!AE67+'SB P&amp;L'!AE67+'SM P&amp;L'!AE68+'WP P&amp;L'!AE67+'WW P&amp;L'!AE68+'HO P&amp;L'!AE33</f>
        <v/>
      </c>
      <c r="AF25" s="20">
        <f>'BK P&amp;L'!AF68+'CC P&amp;L'!AF67+'DN P&amp;L'!AF67+'LF P&amp;L'!AF68+'MR P&amp;L'!AF67+'OP P&amp;L'!AF67+'PH P&amp;L'!AF68+'RH P&amp;L'!AF67+'SB P&amp;L'!AF67+'SM P&amp;L'!AF68+'WP P&amp;L'!AF67+'WW P&amp;L'!AF68+'HO P&amp;L'!AF33</f>
        <v/>
      </c>
      <c r="AG25" s="20">
        <f>'BK P&amp;L'!AG68+'CC P&amp;L'!AG67+'DN P&amp;L'!AG67+'LF P&amp;L'!AG68+'MR P&amp;L'!AG67+'OP P&amp;L'!AG67+'PH P&amp;L'!AG68+'RH P&amp;L'!AG67+'SB P&amp;L'!AG67+'SM P&amp;L'!AG68+'WP P&amp;L'!AG67+'WW P&amp;L'!AG68+'HO P&amp;L'!AG33</f>
        <v/>
      </c>
      <c r="AH25" s="20">
        <f>'BK P&amp;L'!AH68+'CC P&amp;L'!AH67+'DN P&amp;L'!AH67+'LF P&amp;L'!AH68+'MR P&amp;L'!AH67+'OP P&amp;L'!AH67+'PH P&amp;L'!AH68+'RH P&amp;L'!AH67+'SB P&amp;L'!AH67+'SM P&amp;L'!AH68+'WP P&amp;L'!AH67+'WW P&amp;L'!AH68+'HO P&amp;L'!AH33</f>
        <v/>
      </c>
      <c r="AI25" s="20">
        <f>'BK P&amp;L'!AI68+'CC P&amp;L'!AI67+'DN P&amp;L'!AI67+'LF P&amp;L'!AI68+'MR P&amp;L'!AI67+'OP P&amp;L'!AI67+'PH P&amp;L'!AI68+'RH P&amp;L'!AI67+'SB P&amp;L'!AI67+'SM P&amp;L'!AI68+'WP P&amp;L'!AI67+'WW P&amp;L'!AI68+'HO P&amp;L'!AI33</f>
        <v/>
      </c>
      <c r="AJ25" s="20">
        <f>'BK P&amp;L'!AJ68+'CC P&amp;L'!AJ67+'DN P&amp;L'!AJ67+'LF P&amp;L'!AJ68+'MR P&amp;L'!AJ67+'OP P&amp;L'!AJ67+'PH P&amp;L'!AJ68+'RH P&amp;L'!AJ67+'SB P&amp;L'!AJ67+'SM P&amp;L'!AJ68+'WP P&amp;L'!AJ67+'WW P&amp;L'!AJ68+'HO P&amp;L'!AJ33</f>
        <v/>
      </c>
      <c r="AK25" s="20">
        <f>'BK P&amp;L'!AK68+'CC P&amp;L'!AK67+'DN P&amp;L'!AK67+'LF P&amp;L'!AK68+'MR P&amp;L'!AK67+'OP P&amp;L'!AK67+'PH P&amp;L'!AK68+'RH P&amp;L'!AK67+'SB P&amp;L'!AK67+'SM P&amp;L'!AK68+'WP P&amp;L'!AK67+'WW P&amp;L'!AK68+'HO P&amp;L'!AK33</f>
        <v/>
      </c>
      <c r="AL25" s="20">
        <f>'BK P&amp;L'!AL68+'CC P&amp;L'!AL67+'DN P&amp;L'!AL67+'LF P&amp;L'!AL68+'MR P&amp;L'!AL67+'OP P&amp;L'!AL67+'PH P&amp;L'!AL68+'RH P&amp;L'!AL67+'SB P&amp;L'!AL67+'SM P&amp;L'!AL68+'WP P&amp;L'!AL67+'WW P&amp;L'!AL68+'HO P&amp;L'!AL33</f>
        <v/>
      </c>
      <c r="AM25" s="20">
        <f>'BK P&amp;L'!AM68+'CC P&amp;L'!AM67+'DN P&amp;L'!AM67+'LF P&amp;L'!AM68+'MR P&amp;L'!AM67+'OP P&amp;L'!AM67+'PH P&amp;L'!AM68+'RH P&amp;L'!AM67+'SB P&amp;L'!AM67+'SM P&amp;L'!AM68+'WP P&amp;L'!AM67+'WW P&amp;L'!AM68+'HO P&amp;L'!AM33</f>
        <v/>
      </c>
      <c r="AN25" s="20">
        <f>'BK P&amp;L'!AN68+'CC P&amp;L'!AN67+'DN P&amp;L'!AN67+'LF P&amp;L'!AN68+'MR P&amp;L'!AN67+'OP P&amp;L'!AN67+'PH P&amp;L'!AN68+'RH P&amp;L'!AN67+'SB P&amp;L'!AN67+'SM P&amp;L'!AN68+'WP P&amp;L'!AN67+'WW P&amp;L'!AN68+'HO P&amp;L'!AN33</f>
        <v/>
      </c>
      <c r="AO25" s="20">
        <f>'BK P&amp;L'!AO68+'CC P&amp;L'!AO67+'DN P&amp;L'!AO67+'LF P&amp;L'!AO68+'MR P&amp;L'!AO67+'OP P&amp;L'!AO67+'PH P&amp;L'!AO68+'RH P&amp;L'!AO67+'SB P&amp;L'!AO67+'SM P&amp;L'!AO68+'WP P&amp;L'!AO67+'WW P&amp;L'!AO68+'HO P&amp;L'!AO33</f>
        <v/>
      </c>
      <c r="AP25" s="20">
        <f>'BK P&amp;L'!AP68+'CC P&amp;L'!AP67+'DN P&amp;L'!AP67+'LF P&amp;L'!AP68+'MR P&amp;L'!AP67+'OP P&amp;L'!AP67+'PH P&amp;L'!AP68+'RH P&amp;L'!AP67+'SB P&amp;L'!AP67+'SM P&amp;L'!AP68+'WP P&amp;L'!AP67+'WW P&amp;L'!AP68+'HO P&amp;L'!AP33</f>
        <v/>
      </c>
      <c r="AQ25" s="20">
        <f>'BK P&amp;L'!AQ68+'CC P&amp;L'!AQ67+'DN P&amp;L'!AQ67+'LF P&amp;L'!AQ68+'MR P&amp;L'!AQ67+'OP P&amp;L'!AQ67+'PH P&amp;L'!AQ68+'RH P&amp;L'!AQ67+'SB P&amp;L'!AQ67+'SM P&amp;L'!AQ68+'WP P&amp;L'!AQ67+'WW P&amp;L'!AQ68+'HO P&amp;L'!AQ33</f>
        <v/>
      </c>
      <c r="AR25" s="20">
        <f>'BK P&amp;L'!AR68+'CC P&amp;L'!AR67+'DN P&amp;L'!AR67+'LF P&amp;L'!AR68+'MR P&amp;L'!AR67+'OP P&amp;L'!AR67+'PH P&amp;L'!AR68+'RH P&amp;L'!AR67+'SB P&amp;L'!AR67+'SM P&amp;L'!AR68+'WP P&amp;L'!AR67+'WW P&amp;L'!AR68+'HO P&amp;L'!AR33</f>
        <v/>
      </c>
      <c r="AS25" s="20">
        <f>'BK P&amp;L'!AS68+'CC P&amp;L'!AS67+'DN P&amp;L'!AS67+'LF P&amp;L'!AS68+'MR P&amp;L'!AS67+'OP P&amp;L'!AS67+'PH P&amp;L'!AS68+'RH P&amp;L'!AS67+'SB P&amp;L'!AS67+'SM P&amp;L'!AS68+'WP P&amp;L'!AS67+'WW P&amp;L'!AS68+'HO P&amp;L'!AS33</f>
        <v/>
      </c>
      <c r="AT25" s="20">
        <f>'BK P&amp;L'!AT68+'CC P&amp;L'!AT67+'DN P&amp;L'!AT67+'LF P&amp;L'!AT68+'MR P&amp;L'!AT67+'OP P&amp;L'!AT67+'PH P&amp;L'!AT68+'RH P&amp;L'!AT67+'SB P&amp;L'!AT67+'SM P&amp;L'!AT68+'WP P&amp;L'!AT67+'WW P&amp;L'!AT68+'HO P&amp;L'!AT33</f>
        <v/>
      </c>
      <c r="AU25" s="20">
        <f>'BK P&amp;L'!AU68+'CC P&amp;L'!AU67+'DN P&amp;L'!AU67+'LF P&amp;L'!AU68+'MR P&amp;L'!AU67+'OP P&amp;L'!AU67+'PH P&amp;L'!AU68+'RH P&amp;L'!AU67+'SB P&amp;L'!AU67+'SM P&amp;L'!AU68+'WP P&amp;L'!AU67+'WW P&amp;L'!AU68+'HO P&amp;L'!AU33</f>
        <v/>
      </c>
      <c r="AV25" s="20">
        <f>'BK P&amp;L'!AV68+'CC P&amp;L'!AV67+'DN P&amp;L'!AV67+'LF P&amp;L'!AV68+'MR P&amp;L'!AV67+'OP P&amp;L'!AV67+'PH P&amp;L'!AV68+'RH P&amp;L'!AV67+'SB P&amp;L'!AV67+'SM P&amp;L'!AV68+'WP P&amp;L'!AV67+'WW P&amp;L'!AV68+'HO P&amp;L'!AV33</f>
        <v/>
      </c>
      <c r="AW25" s="20">
        <f>'BK P&amp;L'!AW68+'CC P&amp;L'!AW67+'DN P&amp;L'!AW67+'LF P&amp;L'!AW68+'MR P&amp;L'!AW67+'OP P&amp;L'!AW67+'PH P&amp;L'!AW68+'RH P&amp;L'!AW67+'SB P&amp;L'!AW67+'SM P&amp;L'!AW68+'WP P&amp;L'!AW67+'WW P&amp;L'!AW68+'HO P&amp;L'!AW33</f>
        <v/>
      </c>
      <c r="AX25" s="20">
        <f>'BK P&amp;L'!AX68+'CC P&amp;L'!AX67+'DN P&amp;L'!AX67+'LF P&amp;L'!AX68+'MR P&amp;L'!AX67+'OP P&amp;L'!AX67+'PH P&amp;L'!AX68+'RH P&amp;L'!AX67+'SB P&amp;L'!AX67+'SM P&amp;L'!AX68+'WP P&amp;L'!AX67+'WW P&amp;L'!AX68+'HO P&amp;L'!AX33</f>
        <v/>
      </c>
      <c r="AY25" s="20">
        <f>'BK P&amp;L'!AY68+'CC P&amp;L'!AY67+'DN P&amp;L'!AY67+'LF P&amp;L'!AY68+'MR P&amp;L'!AY67+'OP P&amp;L'!AY67+'PH P&amp;L'!AY68+'RH P&amp;L'!AY67+'SB P&amp;L'!AY67+'SM P&amp;L'!AY68+'WP P&amp;L'!AY67+'WW P&amp;L'!AY68+'HO P&amp;L'!AY33</f>
        <v/>
      </c>
    </row>
    <row r="26">
      <c r="B26" s="18" t="inlineStr">
        <is>
          <t>Property Taxes (not allocated on studio by studio level)</t>
        </is>
      </c>
      <c r="D26" s="19" t="n">
        <v>3356.51</v>
      </c>
      <c r="E26" s="19" t="n">
        <v>3526.51</v>
      </c>
      <c r="F26" s="19" t="n">
        <v>3441.51</v>
      </c>
      <c r="G26" s="19" t="n">
        <v>3807.51</v>
      </c>
      <c r="H26" s="19" t="n">
        <v>3441.51</v>
      </c>
      <c r="I26" s="19" t="n">
        <v>4369.71</v>
      </c>
      <c r="J26" s="19" t="n">
        <v>8502.450000000001</v>
      </c>
      <c r="K26" s="19" t="n">
        <v>3441.51</v>
      </c>
      <c r="L26" s="19" t="n">
        <v>3441.51</v>
      </c>
      <c r="M26" s="19" t="n">
        <v>5926.47</v>
      </c>
      <c r="N26" s="19" t="n">
        <v>3441.51</v>
      </c>
      <c r="O26" s="19" t="n">
        <v>3441.52</v>
      </c>
      <c r="P26" s="19">
        <f>'QBO Actuals'!C70</f>
        <v/>
      </c>
      <c r="Q26" s="19">
        <f>'QBO Actuals'!D70</f>
        <v/>
      </c>
      <c r="R26" s="19">
        <f>'QBO Actuals'!E70</f>
        <v/>
      </c>
      <c r="S26" s="19">
        <f>'QBO Actuals'!F70</f>
        <v/>
      </c>
      <c r="T26" s="19">
        <f>'QBO Actuals'!G70</f>
        <v/>
      </c>
      <c r="U26" s="19">
        <f>'QBO Actuals'!H70</f>
        <v/>
      </c>
      <c r="V26" s="20">
        <f>'QBO Actuals'!I70</f>
        <v/>
      </c>
      <c r="W26" s="20" t="n">
        <v>4178.19</v>
      </c>
      <c r="X26" s="20" t="n">
        <v>4178.19</v>
      </c>
      <c r="Y26" s="20" t="n">
        <v>4178.19</v>
      </c>
      <c r="Z26" s="20" t="n">
        <v>4178.19</v>
      </c>
      <c r="AA26" s="20" t="n">
        <v>4178.19</v>
      </c>
      <c r="AB26" s="20" t="n">
        <v>4178.19</v>
      </c>
      <c r="AC26" s="20" t="n">
        <v>4178.19</v>
      </c>
      <c r="AD26" s="20" t="n">
        <v>4178.19</v>
      </c>
      <c r="AE26" s="20" t="n">
        <v>4178.19</v>
      </c>
      <c r="AF26" s="20" t="n">
        <v>4178.19</v>
      </c>
      <c r="AG26" s="20" t="n">
        <v>4178.19</v>
      </c>
      <c r="AH26" s="20" t="n">
        <v>4178.19</v>
      </c>
      <c r="AI26" s="20" t="n">
        <v>4178.19</v>
      </c>
      <c r="AJ26" s="20" t="n">
        <v>4178.19</v>
      </c>
      <c r="AK26" s="20" t="n">
        <v>4178.19</v>
      </c>
      <c r="AL26" s="20" t="n">
        <v>4178.19</v>
      </c>
      <c r="AM26" s="20" t="n">
        <v>4178.19</v>
      </c>
      <c r="AN26" s="20" t="n">
        <v>4178.19</v>
      </c>
      <c r="AO26" s="20" t="n">
        <v>4178.19</v>
      </c>
      <c r="AP26" s="20" t="n">
        <v>4178.19</v>
      </c>
      <c r="AQ26" s="20" t="n">
        <v>4178.19</v>
      </c>
      <c r="AR26" s="20" t="n">
        <v>4178.19</v>
      </c>
      <c r="AS26" s="20" t="n">
        <v>4178.19</v>
      </c>
      <c r="AT26" s="20" t="n">
        <v>4178.19</v>
      </c>
      <c r="AU26" s="20" t="n">
        <v>4178.19</v>
      </c>
      <c r="AV26" s="20" t="n">
        <v>4178.19</v>
      </c>
      <c r="AW26" s="20" t="n">
        <v>4178.19</v>
      </c>
      <c r="AX26" s="20" t="n">
        <v>4178.19</v>
      </c>
      <c r="AY26" s="20" t="n">
        <v>4178.19</v>
      </c>
    </row>
    <row r="27">
      <c r="B27" s="32" t="inlineStr">
        <is>
          <t>Total Other Expenses</t>
        </is>
      </c>
      <c r="C27" s="34" t="n"/>
      <c r="D27" s="35">
        <f>SUM(D23:D26)</f>
        <v/>
      </c>
      <c r="E27" s="35">
        <f>SUM(E23:E26)</f>
        <v/>
      </c>
      <c r="F27" s="35">
        <f>SUM(F23:F26)</f>
        <v/>
      </c>
      <c r="G27" s="35">
        <f>SUM(G23:G26)</f>
        <v/>
      </c>
      <c r="H27" s="35">
        <f>SUM(H23:H26)</f>
        <v/>
      </c>
      <c r="I27" s="35">
        <f>SUM(I23:I26)</f>
        <v/>
      </c>
      <c r="J27" s="35">
        <f>SUM(J23:J26)</f>
        <v/>
      </c>
      <c r="K27" s="35">
        <f>SUM(K23:K26)</f>
        <v/>
      </c>
      <c r="L27" s="35">
        <f>SUM(L23:L26)</f>
        <v/>
      </c>
      <c r="M27" s="35">
        <f>SUM(M23:M26)</f>
        <v/>
      </c>
      <c r="N27" s="35">
        <f>SUM(N23:N26)</f>
        <v/>
      </c>
      <c r="O27" s="35">
        <f>SUM(O23:O26)</f>
        <v/>
      </c>
      <c r="P27" s="35">
        <f>SUM(P23:P26)</f>
        <v/>
      </c>
      <c r="Q27" s="35">
        <f>SUM(Q23:Q26)</f>
        <v/>
      </c>
      <c r="R27" s="35">
        <f>SUM(R23:R26)</f>
        <v/>
      </c>
      <c r="S27" s="35">
        <f>SUM(S23:S26)</f>
        <v/>
      </c>
      <c r="T27" s="35">
        <f>SUM(T23:T26)</f>
        <v/>
      </c>
      <c r="U27" s="35">
        <f>SUM(U23:U26)</f>
        <v/>
      </c>
      <c r="V27" s="17">
        <f>SUM(V23:V26)</f>
        <v/>
      </c>
      <c r="W27" s="17">
        <f>SUM(W23:W26)</f>
        <v/>
      </c>
      <c r="X27" s="17">
        <f>SUM(X23:X26)</f>
        <v/>
      </c>
      <c r="Y27" s="17">
        <f>SUM(Y23:Y26)</f>
        <v/>
      </c>
      <c r="Z27" s="17">
        <f>SUM(Z23:Z26)</f>
        <v/>
      </c>
      <c r="AA27" s="17">
        <f>SUM(AA23:AA26)</f>
        <v/>
      </c>
      <c r="AB27" s="17">
        <f>SUM(AB23:AB26)</f>
        <v/>
      </c>
      <c r="AC27" s="17">
        <f>SUM(AC23:AC26)</f>
        <v/>
      </c>
      <c r="AD27" s="17">
        <f>SUM(AD23:AD26)</f>
        <v/>
      </c>
      <c r="AE27" s="17">
        <f>SUM(AE23:AE26)</f>
        <v/>
      </c>
      <c r="AF27" s="17">
        <f>SUM(AF23:AF26)</f>
        <v/>
      </c>
      <c r="AG27" s="17">
        <f>SUM(AG23:AG26)</f>
        <v/>
      </c>
      <c r="AH27" s="17">
        <f>SUM(AH23:AH26)</f>
        <v/>
      </c>
      <c r="AI27" s="17">
        <f>SUM(AI23:AI26)</f>
        <v/>
      </c>
      <c r="AJ27" s="17">
        <f>SUM(AJ23:AJ26)</f>
        <v/>
      </c>
      <c r="AK27" s="17">
        <f>SUM(AK23:AK26)</f>
        <v/>
      </c>
      <c r="AL27" s="17">
        <f>SUM(AL23:AL26)</f>
        <v/>
      </c>
      <c r="AM27" s="17">
        <f>SUM(AM23:AM26)</f>
        <v/>
      </c>
      <c r="AN27" s="17">
        <f>AN23+AN24+AN25+AN26</f>
        <v/>
      </c>
      <c r="AO27" s="17">
        <f>AO23+AO24+AO25+AO26</f>
        <v/>
      </c>
      <c r="AP27" s="17">
        <f>AP23+AP24+AP25+AP26</f>
        <v/>
      </c>
      <c r="AQ27" s="17">
        <f>AQ23+AQ24+AQ25+AQ26</f>
        <v/>
      </c>
      <c r="AR27" s="17">
        <f>AR23+AR24+AR25+AR26</f>
        <v/>
      </c>
      <c r="AS27" s="17">
        <f>AS23+AS24+AS25+AS26</f>
        <v/>
      </c>
      <c r="AT27" s="17">
        <f>AT23+AT24+AT25+AT26</f>
        <v/>
      </c>
      <c r="AU27" s="17">
        <f>AU23+AU24+AU25+AU26</f>
        <v/>
      </c>
      <c r="AV27" s="17">
        <f>AV23+AV24+AV25+AV26</f>
        <v/>
      </c>
      <c r="AW27" s="17">
        <f>AW23+AW24+AW25+AW26</f>
        <v/>
      </c>
      <c r="AX27" s="17">
        <f>AX23+AX24+AX25+AX26</f>
        <v/>
      </c>
      <c r="AY27" s="17">
        <f>AY23+AY24+AY25+AY26</f>
        <v/>
      </c>
    </row>
    <row r="28">
      <c r="B28" s="32" t="inlineStr">
        <is>
          <t>Net Income</t>
        </is>
      </c>
      <c r="C28" s="34" t="n"/>
      <c r="D28" s="35">
        <f>D22-D27</f>
        <v/>
      </c>
      <c r="E28" s="35">
        <f>E22-E27</f>
        <v/>
      </c>
      <c r="F28" s="35">
        <f>F22-F27</f>
        <v/>
      </c>
      <c r="G28" s="35">
        <f>G22-G27</f>
        <v/>
      </c>
      <c r="H28" s="35">
        <f>H22-H27</f>
        <v/>
      </c>
      <c r="I28" s="35">
        <f>I22-I27</f>
        <v/>
      </c>
      <c r="J28" s="35">
        <f>J22-J27</f>
        <v/>
      </c>
      <c r="K28" s="35">
        <f>K22-K27</f>
        <v/>
      </c>
      <c r="L28" s="35">
        <f>L22-L27</f>
        <v/>
      </c>
      <c r="M28" s="35">
        <f>M22-M27</f>
        <v/>
      </c>
      <c r="N28" s="35">
        <f>N22-N27</f>
        <v/>
      </c>
      <c r="O28" s="35">
        <f>O22-O27</f>
        <v/>
      </c>
      <c r="P28" s="35">
        <f>P22-P27</f>
        <v/>
      </c>
      <c r="Q28" s="35">
        <f>Q22-Q27</f>
        <v/>
      </c>
      <c r="R28" s="35">
        <f>R22-R27</f>
        <v/>
      </c>
      <c r="S28" s="35">
        <f>S22-S27</f>
        <v/>
      </c>
      <c r="T28" s="35">
        <f>T22-T27</f>
        <v/>
      </c>
      <c r="U28" s="35">
        <f>U22-U27</f>
        <v/>
      </c>
      <c r="V28" s="17">
        <f>V22-V27</f>
        <v/>
      </c>
      <c r="W28" s="17">
        <f>W22-W27</f>
        <v/>
      </c>
      <c r="X28" s="17">
        <f>X22-X27</f>
        <v/>
      </c>
      <c r="Y28" s="17">
        <f>Y22-Y27</f>
        <v/>
      </c>
      <c r="Z28" s="17">
        <f>Z22-Z27</f>
        <v/>
      </c>
      <c r="AA28" s="17">
        <f>AA22-AA27</f>
        <v/>
      </c>
      <c r="AB28" s="17">
        <f>AB22-AB27</f>
        <v/>
      </c>
      <c r="AC28" s="17">
        <f>AC22-AC27</f>
        <v/>
      </c>
      <c r="AD28" s="17">
        <f>AD22-AD27</f>
        <v/>
      </c>
      <c r="AE28" s="17">
        <f>AE22-AE27</f>
        <v/>
      </c>
      <c r="AF28" s="17">
        <f>AF22-AF27</f>
        <v/>
      </c>
      <c r="AG28" s="17">
        <f>AG22-AG27</f>
        <v/>
      </c>
      <c r="AH28" s="17">
        <f>AH22-AH27</f>
        <v/>
      </c>
      <c r="AI28" s="17">
        <f>AI22-AI27</f>
        <v/>
      </c>
      <c r="AJ28" s="17">
        <f>AJ22-AJ27</f>
        <v/>
      </c>
      <c r="AK28" s="17">
        <f>AK22-AK27</f>
        <v/>
      </c>
      <c r="AL28" s="17">
        <f>AL22-AL27</f>
        <v/>
      </c>
      <c r="AM28" s="17">
        <f>AM22-AM27</f>
        <v/>
      </c>
      <c r="AN28" s="17">
        <f>AN22-AN27</f>
        <v/>
      </c>
      <c r="AO28" s="17">
        <f>AO22-AO27</f>
        <v/>
      </c>
      <c r="AP28" s="17">
        <f>AP22-AP27</f>
        <v/>
      </c>
      <c r="AQ28" s="17">
        <f>AQ22-AQ27</f>
        <v/>
      </c>
      <c r="AR28" s="17">
        <f>AR22-AR27</f>
        <v/>
      </c>
      <c r="AS28" s="17">
        <f>AS22-AS27</f>
        <v/>
      </c>
      <c r="AT28" s="17">
        <f>AT22-AT27</f>
        <v/>
      </c>
      <c r="AU28" s="17">
        <f>AU22-AU27</f>
        <v/>
      </c>
      <c r="AV28" s="17">
        <f>AV22-AV27</f>
        <v/>
      </c>
      <c r="AW28" s="17">
        <f>AW22-AW27</f>
        <v/>
      </c>
      <c r="AX28" s="17">
        <f>AX22-AX27</f>
        <v/>
      </c>
      <c r="AY28" s="17">
        <f>AY22-AY27</f>
        <v/>
      </c>
    </row>
    <row r="29"/>
    <row r="30" ht="16" customHeight="1" s="282">
      <c r="B30" s="65" t="inlineStr">
        <is>
          <t>ADJUSTED EBITDA RECONCILIATION</t>
        </is>
      </c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</row>
    <row r="31">
      <c r="B31" s="67" t="inlineStr">
        <is>
          <t>Net Operating Income (from above)</t>
        </is>
      </c>
      <c r="D31" s="24">
        <f>D22</f>
        <v/>
      </c>
      <c r="E31" s="24">
        <f>E22</f>
        <v/>
      </c>
      <c r="F31" s="24">
        <f>F22</f>
        <v/>
      </c>
      <c r="G31" s="24">
        <f>G22</f>
        <v/>
      </c>
      <c r="H31" s="24">
        <f>H22</f>
        <v/>
      </c>
      <c r="I31" s="24">
        <f>I22</f>
        <v/>
      </c>
      <c r="J31" s="24">
        <f>J22</f>
        <v/>
      </c>
      <c r="K31" s="24">
        <f>K22</f>
        <v/>
      </c>
      <c r="L31" s="24">
        <f>L22</f>
        <v/>
      </c>
      <c r="M31" s="24">
        <f>M22</f>
        <v/>
      </c>
      <c r="N31" s="24">
        <f>N22</f>
        <v/>
      </c>
      <c r="O31" s="24">
        <f>O22</f>
        <v/>
      </c>
      <c r="P31" s="24">
        <f>P22</f>
        <v/>
      </c>
      <c r="Q31" s="24">
        <f>Q22</f>
        <v/>
      </c>
      <c r="R31" s="24">
        <f>R22</f>
        <v/>
      </c>
      <c r="S31" s="24">
        <f>S22</f>
        <v/>
      </c>
      <c r="T31" s="24">
        <f>T22</f>
        <v/>
      </c>
      <c r="U31" s="24">
        <f>U22</f>
        <v/>
      </c>
      <c r="V31" s="24">
        <f>V22</f>
        <v/>
      </c>
      <c r="W31" s="24">
        <f>W22</f>
        <v/>
      </c>
      <c r="X31" s="24">
        <f>X22</f>
        <v/>
      </c>
      <c r="Y31" s="24">
        <f>Y22</f>
        <v/>
      </c>
      <c r="Z31" s="24">
        <f>Z22</f>
        <v/>
      </c>
      <c r="AA31" s="24">
        <f>AA22</f>
        <v/>
      </c>
      <c r="AB31" s="24">
        <f>AB22</f>
        <v/>
      </c>
      <c r="AC31" s="24">
        <f>AC22</f>
        <v/>
      </c>
      <c r="AD31" s="24">
        <f>AD22</f>
        <v/>
      </c>
      <c r="AE31" s="24">
        <f>AE22</f>
        <v/>
      </c>
      <c r="AF31" s="24">
        <f>AF22</f>
        <v/>
      </c>
      <c r="AG31" s="24">
        <f>AG22</f>
        <v/>
      </c>
      <c r="AH31" s="24">
        <f>AH22</f>
        <v/>
      </c>
      <c r="AI31" s="24">
        <f>AI22</f>
        <v/>
      </c>
      <c r="AJ31" s="24">
        <f>AJ22</f>
        <v/>
      </c>
      <c r="AK31" s="24">
        <f>AK22</f>
        <v/>
      </c>
      <c r="AL31" s="24">
        <f>AL22</f>
        <v/>
      </c>
      <c r="AM31" s="24">
        <f>AM22</f>
        <v/>
      </c>
      <c r="AN31" s="24">
        <f>AN22</f>
        <v/>
      </c>
      <c r="AO31" s="24">
        <f>AO22</f>
        <v/>
      </c>
      <c r="AP31" s="24">
        <f>AP22</f>
        <v/>
      </c>
      <c r="AQ31" s="24">
        <f>AQ22</f>
        <v/>
      </c>
      <c r="AR31" s="24">
        <f>AR22</f>
        <v/>
      </c>
      <c r="AS31" s="24">
        <f>AS22</f>
        <v/>
      </c>
      <c r="AT31" s="24">
        <f>AT22</f>
        <v/>
      </c>
      <c r="AU31" s="24">
        <f>AU22</f>
        <v/>
      </c>
      <c r="AV31" s="24">
        <f>AV22</f>
        <v/>
      </c>
      <c r="AW31" s="24">
        <f>AW22</f>
        <v/>
      </c>
      <c r="AX31" s="24">
        <f>AX22</f>
        <v/>
      </c>
      <c r="AY31" s="24">
        <f>AY22</f>
        <v/>
      </c>
    </row>
    <row r="32">
      <c r="B32" s="68" t="inlineStr">
        <is>
          <t>Add Backs:</t>
        </is>
      </c>
    </row>
    <row r="33">
      <c r="B33" s="68" t="inlineStr">
        <is>
          <t xml:space="preserve">  West Portal Start-Up Costs</t>
        </is>
      </c>
      <c r="D33" s="69" t="n"/>
      <c r="E33" s="69" t="n"/>
      <c r="F33" s="69" t="n"/>
      <c r="G33" s="69" t="n"/>
      <c r="H33" s="69" t="n"/>
      <c r="I33" s="69" t="n"/>
      <c r="J33" s="69" t="n"/>
      <c r="K33" s="69" t="n"/>
      <c r="L33" s="69" t="n"/>
      <c r="M33" s="69" t="n"/>
      <c r="N33" s="69" t="n"/>
      <c r="O33" s="69" t="n"/>
      <c r="P33" s="69" t="n">
        <v>16222.39</v>
      </c>
      <c r="Q33" s="69" t="n">
        <v>17111.26</v>
      </c>
      <c r="R33" s="69" t="n">
        <v>14310.31</v>
      </c>
      <c r="S33" s="69" t="n">
        <v>19092.69</v>
      </c>
      <c r="T33" s="69" t="n">
        <v>16815</v>
      </c>
      <c r="U33" s="69" t="n">
        <v>11669.37</v>
      </c>
      <c r="V33" s="24" t="n">
        <v>0</v>
      </c>
      <c r="W33" s="24" t="n">
        <v>0</v>
      </c>
      <c r="X33" s="24" t="n">
        <v>0</v>
      </c>
      <c r="Y33" s="24" t="n">
        <v>0</v>
      </c>
      <c r="Z33" s="24" t="n">
        <v>0</v>
      </c>
      <c r="AA33" s="24" t="n">
        <v>0</v>
      </c>
      <c r="AB33" s="24" t="n">
        <v>0</v>
      </c>
      <c r="AC33" s="24" t="n">
        <v>0</v>
      </c>
      <c r="AD33" s="24" t="n">
        <v>0</v>
      </c>
      <c r="AE33" s="24" t="n">
        <v>0</v>
      </c>
      <c r="AF33" s="24" t="n">
        <v>0</v>
      </c>
      <c r="AG33" s="24" t="n">
        <v>0</v>
      </c>
      <c r="AH33" s="24" t="n">
        <v>0</v>
      </c>
      <c r="AI33" s="24" t="n">
        <v>0</v>
      </c>
      <c r="AJ33" s="24" t="n">
        <v>0</v>
      </c>
      <c r="AK33" s="24" t="n">
        <v>0</v>
      </c>
      <c r="AL33" s="24" t="n">
        <v>0</v>
      </c>
      <c r="AM33" s="24" t="n">
        <v>0</v>
      </c>
      <c r="AN33" s="24" t="n">
        <v>0</v>
      </c>
      <c r="AO33" s="24" t="n">
        <v>0</v>
      </c>
      <c r="AP33" s="24" t="n">
        <v>0</v>
      </c>
      <c r="AQ33" s="24" t="n">
        <v>0</v>
      </c>
      <c r="AR33" s="24" t="n">
        <v>0</v>
      </c>
      <c r="AS33" s="24" t="n">
        <v>0</v>
      </c>
      <c r="AT33" s="24" t="n">
        <v>0</v>
      </c>
      <c r="AU33" s="24" t="n">
        <v>0</v>
      </c>
      <c r="AV33" s="24" t="n">
        <v>0</v>
      </c>
      <c r="AW33" s="24" t="n">
        <v>0</v>
      </c>
      <c r="AX33" s="24" t="n">
        <v>0</v>
      </c>
      <c r="AY33" s="24" t="n">
        <v>0</v>
      </c>
    </row>
    <row r="34">
      <c r="B34" s="68" t="inlineStr">
        <is>
          <t xml:space="preserve">  ADP Error</t>
        </is>
      </c>
      <c r="D34" s="69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>
        <v>0</v>
      </c>
      <c r="Q34" s="69" t="n">
        <v>0</v>
      </c>
      <c r="R34" s="69" t="n">
        <v>45000</v>
      </c>
      <c r="S34" s="69" t="n">
        <v>0</v>
      </c>
      <c r="T34" s="69" t="n">
        <v>0</v>
      </c>
      <c r="U34" s="69" t="n">
        <v>0</v>
      </c>
      <c r="V34" s="24" t="n">
        <v>0</v>
      </c>
      <c r="W34" s="24" t="n">
        <v>0</v>
      </c>
      <c r="X34" s="24" t="n">
        <v>0</v>
      </c>
      <c r="Y34" s="24" t="n">
        <v>0</v>
      </c>
      <c r="Z34" s="24" t="n">
        <v>0</v>
      </c>
      <c r="AA34" s="24" t="n">
        <v>0</v>
      </c>
      <c r="AB34" s="24" t="n">
        <v>0</v>
      </c>
      <c r="AC34" s="24" t="n">
        <v>0</v>
      </c>
      <c r="AD34" s="24" t="n">
        <v>0</v>
      </c>
      <c r="AE34" s="24" t="n">
        <v>0</v>
      </c>
      <c r="AF34" s="24" t="n">
        <v>0</v>
      </c>
      <c r="AG34" s="24" t="n">
        <v>0</v>
      </c>
      <c r="AH34" s="24" t="n">
        <v>0</v>
      </c>
      <c r="AI34" s="24" t="n">
        <v>0</v>
      </c>
      <c r="AJ34" s="24" t="n">
        <v>0</v>
      </c>
      <c r="AK34" s="24" t="n">
        <v>0</v>
      </c>
      <c r="AL34" s="24" t="n">
        <v>0</v>
      </c>
      <c r="AM34" s="24" t="n">
        <v>0</v>
      </c>
      <c r="AN34" s="24" t="n">
        <v>0</v>
      </c>
      <c r="AO34" s="24" t="n">
        <v>0</v>
      </c>
      <c r="AP34" s="24" t="n">
        <v>0</v>
      </c>
      <c r="AQ34" s="24" t="n">
        <v>0</v>
      </c>
      <c r="AR34" s="24" t="n">
        <v>0</v>
      </c>
      <c r="AS34" s="24" t="n">
        <v>0</v>
      </c>
      <c r="AT34" s="24" t="n">
        <v>0</v>
      </c>
      <c r="AU34" s="24" t="n">
        <v>0</v>
      </c>
      <c r="AV34" s="24" t="n">
        <v>0</v>
      </c>
      <c r="AW34" s="24" t="n">
        <v>0</v>
      </c>
      <c r="AX34" s="24" t="n">
        <v>0</v>
      </c>
      <c r="AY34" s="24" t="n">
        <v>0</v>
      </c>
    </row>
    <row r="35">
      <c r="B35" s="68" t="inlineStr">
        <is>
          <t xml:space="preserve">  One-Time Legal Fees</t>
        </is>
      </c>
      <c r="D35" s="69" t="n"/>
      <c r="E35" s="69" t="n"/>
      <c r="F35" s="69" t="n"/>
      <c r="G35" s="69" t="n"/>
      <c r="H35" s="69" t="n"/>
      <c r="I35" s="69" t="n"/>
      <c r="J35" s="69" t="n"/>
      <c r="K35" s="69" t="n"/>
      <c r="L35" s="69" t="n"/>
      <c r="M35" s="69" t="n"/>
      <c r="N35" s="69" t="n"/>
      <c r="O35" s="69" t="n"/>
      <c r="P35" s="69" t="n">
        <v>2957</v>
      </c>
      <c r="Q35" s="69" t="n">
        <v>0</v>
      </c>
      <c r="R35" s="69">
        <f>3995.5</f>
        <v/>
      </c>
      <c r="S35" s="69" t="n">
        <v>0</v>
      </c>
      <c r="T35" s="69" t="n">
        <v>0</v>
      </c>
      <c r="U35" s="69" t="n">
        <v>770</v>
      </c>
      <c r="V35" s="24" t="n">
        <v>0</v>
      </c>
      <c r="W35" s="24" t="n">
        <v>0</v>
      </c>
      <c r="X35" s="24" t="n">
        <v>0</v>
      </c>
      <c r="Y35" s="24" t="n">
        <v>0</v>
      </c>
      <c r="Z35" s="24" t="n">
        <v>0</v>
      </c>
      <c r="AA35" s="24" t="n">
        <v>0</v>
      </c>
      <c r="AB35" s="24" t="n">
        <v>0</v>
      </c>
      <c r="AC35" s="24" t="n">
        <v>0</v>
      </c>
      <c r="AD35" s="24" t="n">
        <v>0</v>
      </c>
      <c r="AE35" s="24" t="n">
        <v>0</v>
      </c>
      <c r="AF35" s="24" t="n">
        <v>0</v>
      </c>
      <c r="AG35" s="24" t="n">
        <v>0</v>
      </c>
      <c r="AH35" s="24" t="n">
        <v>0</v>
      </c>
      <c r="AI35" s="24" t="n">
        <v>0</v>
      </c>
      <c r="AJ35" s="24" t="n">
        <v>0</v>
      </c>
      <c r="AK35" s="24" t="n">
        <v>0</v>
      </c>
      <c r="AL35" s="24" t="n">
        <v>0</v>
      </c>
      <c r="AM35" s="24" t="n">
        <v>0</v>
      </c>
      <c r="AN35" s="24" t="n">
        <v>0</v>
      </c>
      <c r="AO35" s="24" t="n">
        <v>0</v>
      </c>
      <c r="AP35" s="24" t="n">
        <v>0</v>
      </c>
      <c r="AQ35" s="24" t="n">
        <v>0</v>
      </c>
      <c r="AR35" s="24" t="n">
        <v>0</v>
      </c>
      <c r="AS35" s="24" t="n">
        <v>0</v>
      </c>
      <c r="AT35" s="24" t="n">
        <v>0</v>
      </c>
      <c r="AU35" s="24" t="n">
        <v>0</v>
      </c>
      <c r="AV35" s="24" t="n">
        <v>0</v>
      </c>
      <c r="AW35" s="24" t="n">
        <v>0</v>
      </c>
      <c r="AX35" s="24" t="n">
        <v>0</v>
      </c>
      <c r="AY35" s="24" t="n">
        <v>0</v>
      </c>
    </row>
    <row r="36">
      <c r="B36" s="68" t="inlineStr">
        <is>
          <t xml:space="preserve">  Santa Barbara Start Up</t>
        </is>
      </c>
      <c r="D36" s="69" t="n"/>
      <c r="E36" s="69" t="n"/>
      <c r="F36" s="69" t="n"/>
      <c r="G36" s="69" t="n"/>
      <c r="H36" s="69" t="n"/>
      <c r="I36" s="69" t="n"/>
      <c r="J36" s="69" t="n"/>
      <c r="K36" s="69" t="n"/>
      <c r="L36" s="69" t="n"/>
      <c r="M36" s="69" t="n"/>
      <c r="N36" s="69" t="n"/>
      <c r="O36" s="69" t="n"/>
      <c r="P36" s="69" t="n">
        <v>3481</v>
      </c>
      <c r="Q36" s="69" t="n">
        <v>0</v>
      </c>
      <c r="R36" s="69" t="n">
        <v>0</v>
      </c>
      <c r="S36" s="69" t="n">
        <v>0</v>
      </c>
      <c r="T36" s="69" t="n">
        <v>0</v>
      </c>
      <c r="U36" s="69" t="n">
        <v>0</v>
      </c>
      <c r="V36" s="24" t="n">
        <v>0</v>
      </c>
      <c r="W36" s="24" t="n">
        <v>0</v>
      </c>
      <c r="X36" s="24" t="n">
        <v>0</v>
      </c>
      <c r="Y36" s="24" t="n">
        <v>0</v>
      </c>
      <c r="Z36" s="24" t="n">
        <v>0</v>
      </c>
      <c r="AA36" s="24" t="n">
        <v>0</v>
      </c>
      <c r="AB36" s="24" t="n">
        <v>0</v>
      </c>
      <c r="AC36" s="24" t="n">
        <v>0</v>
      </c>
      <c r="AD36" s="24" t="n">
        <v>0</v>
      </c>
      <c r="AE36" s="24" t="n">
        <v>0</v>
      </c>
      <c r="AF36" s="24" t="n">
        <v>0</v>
      </c>
      <c r="AG36" s="24" t="n">
        <v>0</v>
      </c>
      <c r="AH36" s="24" t="n">
        <v>0</v>
      </c>
      <c r="AI36" s="24" t="n">
        <v>0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</row>
    <row r="37">
      <c r="B37" s="68" t="inlineStr">
        <is>
          <t xml:space="preserve">  One-Time Accounting Fees</t>
        </is>
      </c>
      <c r="D37" s="69" t="n"/>
      <c r="E37" s="69" t="n"/>
      <c r="F37" s="69" t="n"/>
      <c r="G37" s="69" t="n"/>
      <c r="H37" s="69" t="n"/>
      <c r="I37" s="69" t="n"/>
      <c r="J37" s="69" t="n"/>
      <c r="K37" s="69" t="n"/>
      <c r="L37" s="69" t="n"/>
      <c r="M37" s="69" t="n"/>
      <c r="N37" s="69" t="n"/>
      <c r="O37" s="69" t="n"/>
      <c r="P37" s="69" t="n">
        <v>19887.5</v>
      </c>
      <c r="Q37" s="69" t="n">
        <v>0</v>
      </c>
      <c r="R37" s="69" t="n">
        <v>0</v>
      </c>
      <c r="S37" s="69" t="n">
        <v>0</v>
      </c>
      <c r="T37" s="69" t="n">
        <v>0</v>
      </c>
      <c r="U37" s="69" t="n">
        <v>0</v>
      </c>
      <c r="V37" s="24" t="n">
        <v>0</v>
      </c>
      <c r="W37" s="24" t="n">
        <v>0</v>
      </c>
      <c r="X37" s="24" t="n">
        <v>0</v>
      </c>
      <c r="Y37" s="24" t="n">
        <v>0</v>
      </c>
      <c r="Z37" s="24" t="n">
        <v>0</v>
      </c>
      <c r="AA37" s="24" t="n">
        <v>0</v>
      </c>
      <c r="AB37" s="24" t="n">
        <v>0</v>
      </c>
      <c r="AC37" s="24" t="n">
        <v>0</v>
      </c>
      <c r="AD37" s="24" t="n">
        <v>0</v>
      </c>
      <c r="AE37" s="24" t="n">
        <v>0</v>
      </c>
      <c r="AF37" s="24" t="n">
        <v>0</v>
      </c>
      <c r="AG37" s="24" t="n">
        <v>0</v>
      </c>
      <c r="AH37" s="24" t="n">
        <v>0</v>
      </c>
      <c r="AI37" s="24" t="n">
        <v>0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</row>
    <row r="38">
      <c r="B38" s="67" t="inlineStr">
        <is>
          <t>Total Add Backs</t>
        </is>
      </c>
      <c r="D38" s="70">
        <f>SUM(D33:D37)</f>
        <v/>
      </c>
      <c r="E38" s="70">
        <f>SUM(E33:E37)</f>
        <v/>
      </c>
      <c r="F38" s="70">
        <f>SUM(F33:F37)</f>
        <v/>
      </c>
      <c r="G38" s="70">
        <f>SUM(G33:G37)</f>
        <v/>
      </c>
      <c r="H38" s="70">
        <f>SUM(H33:H37)</f>
        <v/>
      </c>
      <c r="I38" s="70">
        <f>SUM(I33:I37)</f>
        <v/>
      </c>
      <c r="J38" s="70">
        <f>SUM(J33:J37)</f>
        <v/>
      </c>
      <c r="K38" s="70">
        <f>SUM(K33:K37)</f>
        <v/>
      </c>
      <c r="L38" s="70">
        <f>SUM(L33:L37)</f>
        <v/>
      </c>
      <c r="M38" s="70">
        <f>SUM(M33:M37)</f>
        <v/>
      </c>
      <c r="N38" s="70">
        <f>SUM(N33:N37)</f>
        <v/>
      </c>
      <c r="O38" s="70">
        <f>SUM(O33:O37)</f>
        <v/>
      </c>
      <c r="P38" s="70">
        <f>SUM(P33:P37)</f>
        <v/>
      </c>
      <c r="Q38" s="70">
        <f>SUM(Q33:Q37)</f>
        <v/>
      </c>
      <c r="R38" s="70">
        <f>SUM(R33:R37)</f>
        <v/>
      </c>
      <c r="S38" s="70">
        <f>SUM(S33:S37)</f>
        <v/>
      </c>
      <c r="T38" s="70">
        <f>SUM(T33:T37)</f>
        <v/>
      </c>
      <c r="U38" s="70">
        <f>SUM(U33:U37)</f>
        <v/>
      </c>
      <c r="V38" s="70">
        <f>SUM(V33:V37)</f>
        <v/>
      </c>
      <c r="W38" s="70">
        <f>SUM(W33:W37)</f>
        <v/>
      </c>
      <c r="X38" s="70">
        <f>SUM(X33:X37)</f>
        <v/>
      </c>
      <c r="Y38" s="70">
        <f>SUM(Y33:Y37)</f>
        <v/>
      </c>
      <c r="Z38" s="70">
        <f>SUM(Z33:Z37)</f>
        <v/>
      </c>
      <c r="AA38" s="70">
        <f>SUM(AA33:AA37)</f>
        <v/>
      </c>
      <c r="AB38" s="70">
        <f>SUM(AB33:AB37)</f>
        <v/>
      </c>
      <c r="AC38" s="70">
        <f>SUM(AC33:AC37)</f>
        <v/>
      </c>
      <c r="AD38" s="70">
        <f>SUM(AD33:AD37)</f>
        <v/>
      </c>
      <c r="AE38" s="70">
        <f>SUM(AE33:AE37)</f>
        <v/>
      </c>
      <c r="AF38" s="70">
        <f>SUM(AF33:AF37)</f>
        <v/>
      </c>
      <c r="AG38" s="70">
        <f>SUM(AG33:AG37)</f>
        <v/>
      </c>
      <c r="AH38" s="70">
        <f>SUM(AH33:AH37)</f>
        <v/>
      </c>
      <c r="AI38" s="70">
        <f>SUM(AI33:AI37)</f>
        <v/>
      </c>
      <c r="AJ38" s="70">
        <f>SUM(AJ33:AJ37)</f>
        <v/>
      </c>
      <c r="AK38" s="70">
        <f>SUM(AK33:AK37)</f>
        <v/>
      </c>
      <c r="AL38" s="70">
        <f>SUM(AL33:AL37)</f>
        <v/>
      </c>
      <c r="AM38" s="70">
        <f>SUM(AM33:AM37)</f>
        <v/>
      </c>
      <c r="AN38" s="70">
        <f>SUM(AN33:AN37)</f>
        <v/>
      </c>
      <c r="AO38" s="70">
        <f>SUM(AO33:AO37)</f>
        <v/>
      </c>
      <c r="AP38" s="70">
        <f>SUM(AP33:AP37)</f>
        <v/>
      </c>
      <c r="AQ38" s="70">
        <f>SUM(AQ33:AQ37)</f>
        <v/>
      </c>
      <c r="AR38" s="70">
        <f>SUM(AR33:AR37)</f>
        <v/>
      </c>
      <c r="AS38" s="70">
        <f>SUM(AS33:AS37)</f>
        <v/>
      </c>
      <c r="AT38" s="70">
        <f>SUM(AT33:AT37)</f>
        <v/>
      </c>
      <c r="AU38" s="70">
        <f>SUM(AU33:AU37)</f>
        <v/>
      </c>
      <c r="AV38" s="70">
        <f>SUM(AV33:AV37)</f>
        <v/>
      </c>
      <c r="AW38" s="70">
        <f>SUM(AW33:AW37)</f>
        <v/>
      </c>
      <c r="AX38" s="70">
        <f>SUM(AX33:AX37)</f>
        <v/>
      </c>
      <c r="AY38" s="70">
        <f>SUM(AY33:AY37)</f>
        <v/>
      </c>
    </row>
    <row r="39">
      <c r="B39" s="67" t="inlineStr">
        <is>
          <t>Adjusted EBITDA</t>
        </is>
      </c>
      <c r="D39" s="71">
        <f>D31+D38</f>
        <v/>
      </c>
      <c r="E39" s="71">
        <f>E31+E38</f>
        <v/>
      </c>
      <c r="F39" s="71">
        <f>F31+F38</f>
        <v/>
      </c>
      <c r="G39" s="71">
        <f>G31+G38</f>
        <v/>
      </c>
      <c r="H39" s="71">
        <f>H31+H38</f>
        <v/>
      </c>
      <c r="I39" s="71">
        <f>I31+I38</f>
        <v/>
      </c>
      <c r="J39" s="71">
        <f>J31+J38</f>
        <v/>
      </c>
      <c r="K39" s="71">
        <f>K31+K38</f>
        <v/>
      </c>
      <c r="L39" s="71">
        <f>L31+L38</f>
        <v/>
      </c>
      <c r="M39" s="71">
        <f>M31+M38</f>
        <v/>
      </c>
      <c r="N39" s="71">
        <f>N31+N38</f>
        <v/>
      </c>
      <c r="O39" s="71">
        <f>O31+O38</f>
        <v/>
      </c>
      <c r="P39" s="71">
        <f>P31+P38</f>
        <v/>
      </c>
      <c r="Q39" s="71">
        <f>Q31+Q38</f>
        <v/>
      </c>
      <c r="R39" s="71">
        <f>R31+R38</f>
        <v/>
      </c>
      <c r="S39" s="71">
        <f>S31+S38</f>
        <v/>
      </c>
      <c r="T39" s="71">
        <f>T31+T38</f>
        <v/>
      </c>
      <c r="U39" s="71">
        <f>U31+U38</f>
        <v/>
      </c>
      <c r="V39" s="71">
        <f>V31+V38</f>
        <v/>
      </c>
      <c r="W39" s="71">
        <f>W31+W38</f>
        <v/>
      </c>
      <c r="X39" s="71">
        <f>X31+X38</f>
        <v/>
      </c>
      <c r="Y39" s="71">
        <f>Y31+Y38</f>
        <v/>
      </c>
      <c r="Z39" s="71">
        <f>Z31+Z38</f>
        <v/>
      </c>
      <c r="AA39" s="71">
        <f>AA31+AA38</f>
        <v/>
      </c>
      <c r="AB39" s="71">
        <f>AB31+AB38</f>
        <v/>
      </c>
      <c r="AC39" s="71">
        <f>AC31+AC38</f>
        <v/>
      </c>
      <c r="AD39" s="71">
        <f>AD31+AD38</f>
        <v/>
      </c>
      <c r="AE39" s="71">
        <f>AE31+AE38</f>
        <v/>
      </c>
      <c r="AF39" s="71">
        <f>AF31+AF38</f>
        <v/>
      </c>
      <c r="AG39" s="71">
        <f>AG31+AG38</f>
        <v/>
      </c>
      <c r="AH39" s="71">
        <f>AH31+AH38</f>
        <v/>
      </c>
      <c r="AI39" s="71">
        <f>AI31+AI38</f>
        <v/>
      </c>
      <c r="AJ39" s="71">
        <f>AJ31+AJ38</f>
        <v/>
      </c>
      <c r="AK39" s="71">
        <f>AK31+AK38</f>
        <v/>
      </c>
      <c r="AL39" s="71">
        <f>AL31+AL38</f>
        <v/>
      </c>
      <c r="AM39" s="71">
        <f>AM31+AM38</f>
        <v/>
      </c>
      <c r="AN39" s="71">
        <f>AN31+AN38</f>
        <v/>
      </c>
      <c r="AO39" s="71">
        <f>AO31+AO38</f>
        <v/>
      </c>
      <c r="AP39" s="71">
        <f>AP31+AP38</f>
        <v/>
      </c>
      <c r="AQ39" s="71">
        <f>AQ31+AQ38</f>
        <v/>
      </c>
      <c r="AR39" s="71">
        <f>AR31+AR38</f>
        <v/>
      </c>
      <c r="AS39" s="71">
        <f>AS31+AS38</f>
        <v/>
      </c>
      <c r="AT39" s="71">
        <f>AT31+AT38</f>
        <v/>
      </c>
      <c r="AU39" s="71">
        <f>AU31+AU38</f>
        <v/>
      </c>
      <c r="AV39" s="71">
        <f>AV31+AV38</f>
        <v/>
      </c>
      <c r="AW39" s="71">
        <f>AW31+AW38</f>
        <v/>
      </c>
      <c r="AX39" s="71">
        <f>AX31+AX38</f>
        <v/>
      </c>
      <c r="AY39" s="71">
        <f>AY31+AY38</f>
        <v/>
      </c>
    </row>
    <row r="40"/>
    <row r="41"/>
    <row r="42"/>
    <row r="43"/>
    <row r="44">
      <c r="P44" s="24" t="n"/>
      <c r="Q44" s="24" t="n"/>
      <c r="R44" s="24" t="n"/>
      <c r="S44" s="24" t="n"/>
      <c r="T44" s="24" t="n"/>
      <c r="U44" s="24" t="n"/>
    </row>
    <row r="45"/>
    <row r="46"/>
    <row r="47"/>
    <row r="48">
      <c r="P48" s="2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70AD47"/>
    <outlinePr summaryBelow="1" summaryRight="1"/>
    <pageSetUpPr/>
  </sheetPr>
  <dimension ref="B2:AY75"/>
  <sheetViews>
    <sheetView showGridLines="0" workbookViewId="0">
      <pane xSplit="3" ySplit="4" topLeftCell="D19" activePane="bottomRight" state="frozen"/>
      <selection pane="topRight" activeCell="A1" sqref="A1"/>
      <selection pane="bottomLeft" activeCell="A1" sqref="A1"/>
      <selection pane="bottomRight" activeCell="I9" sqref="I9"/>
    </sheetView>
  </sheetViews>
  <sheetFormatPr baseColWidth="10" defaultColWidth="8.83203125" defaultRowHeight="15"/>
  <cols>
    <col hidden="1" width="2" customWidth="1" style="282" min="1" max="1"/>
    <col width="22" customWidth="1" style="282" min="2" max="2"/>
    <col width="14" customWidth="1" style="282" min="3" max="3"/>
    <col width="12" customWidth="1" style="282" min="4" max="39"/>
  </cols>
  <sheetData>
    <row r="2" ht="21" customHeight="1" s="282">
      <c r="B2" s="9" t="inlineStr">
        <is>
          <t>All Studios — Summary</t>
        </is>
      </c>
    </row>
    <row r="4">
      <c r="B4" s="12" t="inlineStr">
        <is>
          <t>Studio / Metric</t>
        </is>
      </c>
      <c r="C4" s="12" t="n"/>
      <c r="D4" s="14" t="inlineStr">
        <is>
          <t>Jan 2025</t>
        </is>
      </c>
      <c r="E4" s="14" t="inlineStr">
        <is>
          <t>Feb 2025</t>
        </is>
      </c>
      <c r="F4" s="14" t="inlineStr">
        <is>
          <t>Mar 2025</t>
        </is>
      </c>
      <c r="G4" s="14" t="inlineStr">
        <is>
          <t>Apr 2025</t>
        </is>
      </c>
      <c r="H4" s="14" t="inlineStr">
        <is>
          <t>May 2025</t>
        </is>
      </c>
      <c r="I4" s="14" t="inlineStr">
        <is>
          <t>Jun 2025</t>
        </is>
      </c>
      <c r="J4" s="14" t="inlineStr">
        <is>
          <t>Jul 2025</t>
        </is>
      </c>
      <c r="K4" s="14" t="inlineStr">
        <is>
          <t>Aug 2025</t>
        </is>
      </c>
      <c r="L4" s="14" t="inlineStr">
        <is>
          <t>Sep 2025</t>
        </is>
      </c>
      <c r="M4" s="14" t="inlineStr">
        <is>
          <t>Oct 2025</t>
        </is>
      </c>
      <c r="N4" s="14" t="inlineStr">
        <is>
          <t>Nov 2025</t>
        </is>
      </c>
      <c r="O4" s="14" t="inlineStr">
        <is>
          <t>Dec 2025</t>
        </is>
      </c>
      <c r="P4" s="14" t="inlineStr">
        <is>
          <t>Jan 2026</t>
        </is>
      </c>
      <c r="Q4" s="14" t="inlineStr">
        <is>
          <t>Feb 2026</t>
        </is>
      </c>
      <c r="R4" s="14" t="inlineStr">
        <is>
          <t>Mar 2026</t>
        </is>
      </c>
      <c r="S4" s="14" t="inlineStr">
        <is>
          <t>Apr 2026</t>
        </is>
      </c>
      <c r="T4" s="14" t="inlineStr">
        <is>
          <t>May 2026</t>
        </is>
      </c>
      <c r="U4" s="14" t="inlineStr">
        <is>
          <t>Jun 2026</t>
        </is>
      </c>
      <c r="V4" s="14" t="inlineStr">
        <is>
          <t>Jul 2026</t>
        </is>
      </c>
      <c r="W4" s="14" t="inlineStr">
        <is>
          <t>Aug 2026</t>
        </is>
      </c>
      <c r="X4" s="14" t="inlineStr">
        <is>
          <t>Sep 2026</t>
        </is>
      </c>
      <c r="Y4" s="14" t="inlineStr">
        <is>
          <t>Oct 2026</t>
        </is>
      </c>
      <c r="Z4" s="14" t="inlineStr">
        <is>
          <t>Nov 2026</t>
        </is>
      </c>
      <c r="AA4" s="14" t="inlineStr">
        <is>
          <t>Dec 2026</t>
        </is>
      </c>
      <c r="AB4" s="14" t="inlineStr">
        <is>
          <t>Jan 2027</t>
        </is>
      </c>
      <c r="AC4" s="14" t="inlineStr">
        <is>
          <t>Feb 2027</t>
        </is>
      </c>
      <c r="AD4" s="14" t="inlineStr">
        <is>
          <t>Mar 2027</t>
        </is>
      </c>
      <c r="AE4" s="14" t="inlineStr">
        <is>
          <t>Apr 2027</t>
        </is>
      </c>
      <c r="AF4" s="14" t="inlineStr">
        <is>
          <t>May 2027</t>
        </is>
      </c>
      <c r="AG4" s="14" t="inlineStr">
        <is>
          <t>Jun 2027</t>
        </is>
      </c>
      <c r="AH4" s="14" t="inlineStr">
        <is>
          <t>Jul 2027</t>
        </is>
      </c>
      <c r="AI4" s="14" t="inlineStr">
        <is>
          <t>Aug 2027</t>
        </is>
      </c>
      <c r="AJ4" s="14" t="inlineStr">
        <is>
          <t>Sep 2027</t>
        </is>
      </c>
      <c r="AK4" s="14" t="inlineStr">
        <is>
          <t>Oct 2027</t>
        </is>
      </c>
      <c r="AL4" s="14" t="inlineStr">
        <is>
          <t>Nov 2027</t>
        </is>
      </c>
      <c r="AM4" s="14" t="inlineStr">
        <is>
          <t>Dec 2027</t>
        </is>
      </c>
      <c r="AN4" s="14" t="inlineStr">
        <is>
          <t>Jan 2028</t>
        </is>
      </c>
      <c r="AO4" s="14" t="inlineStr">
        <is>
          <t>Feb 2028</t>
        </is>
      </c>
      <c r="AP4" s="14" t="inlineStr">
        <is>
          <t>Mar 2028</t>
        </is>
      </c>
      <c r="AQ4" s="14" t="inlineStr">
        <is>
          <t>Apr 2028</t>
        </is>
      </c>
      <c r="AR4" s="14" t="inlineStr">
        <is>
          <t>May 2028</t>
        </is>
      </c>
      <c r="AS4" s="14" t="inlineStr">
        <is>
          <t>Jun 2028</t>
        </is>
      </c>
      <c r="AT4" s="14" t="inlineStr">
        <is>
          <t>Jul 2028</t>
        </is>
      </c>
      <c r="AU4" s="14" t="inlineStr">
        <is>
          <t>Aug 2028</t>
        </is>
      </c>
      <c r="AV4" s="14" t="inlineStr">
        <is>
          <t>Sep 2028</t>
        </is>
      </c>
      <c r="AW4" s="14" t="inlineStr">
        <is>
          <t>Oct 2028</t>
        </is>
      </c>
      <c r="AX4" s="14" t="inlineStr">
        <is>
          <t>Nov 2028</t>
        </is>
      </c>
      <c r="AY4" s="14" t="inlineStr">
        <is>
          <t>Dec 2028</t>
        </is>
      </c>
    </row>
    <row r="5" ht="16" customHeight="1" s="282">
      <c r="B5" s="10" t="inlineStr">
        <is>
          <t>Berkeley (BK)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</row>
    <row r="6">
      <c r="B6" s="18" t="inlineStr">
        <is>
          <t>Total Revenue</t>
        </is>
      </c>
      <c r="D6" s="20">
        <f>'BK P&amp;L'!D22</f>
        <v/>
      </c>
      <c r="E6" s="20">
        <f>'BK P&amp;L'!E22</f>
        <v/>
      </c>
      <c r="F6" s="20">
        <f>'BK P&amp;L'!F22</f>
        <v/>
      </c>
      <c r="G6" s="20">
        <f>'BK P&amp;L'!G22</f>
        <v/>
      </c>
      <c r="H6" s="20">
        <f>'BK P&amp;L'!H22</f>
        <v/>
      </c>
      <c r="I6" s="20">
        <f>'BK P&amp;L'!I22</f>
        <v/>
      </c>
      <c r="J6" s="20">
        <f>'BK P&amp;L'!J22</f>
        <v/>
      </c>
      <c r="K6" s="20">
        <f>'BK P&amp;L'!K22</f>
        <v/>
      </c>
      <c r="L6" s="20">
        <f>'BK P&amp;L'!L22</f>
        <v/>
      </c>
      <c r="M6" s="20">
        <f>'BK P&amp;L'!M22</f>
        <v/>
      </c>
      <c r="N6" s="20">
        <f>'BK P&amp;L'!N22</f>
        <v/>
      </c>
      <c r="O6" s="20">
        <f>'BK P&amp;L'!O22</f>
        <v/>
      </c>
      <c r="P6" s="20">
        <f>'BK P&amp;L'!P22</f>
        <v/>
      </c>
      <c r="Q6" s="20">
        <f>'BK P&amp;L'!Q22</f>
        <v/>
      </c>
      <c r="R6" s="20">
        <f>'BK P&amp;L'!R22</f>
        <v/>
      </c>
      <c r="S6" s="20">
        <f>'BK P&amp;L'!S22</f>
        <v/>
      </c>
      <c r="T6" s="20">
        <f>'BK P&amp;L'!T22</f>
        <v/>
      </c>
      <c r="U6" s="20">
        <f>'BK P&amp;L'!U22</f>
        <v/>
      </c>
      <c r="V6" s="20">
        <f>'BK P&amp;L'!V22</f>
        <v/>
      </c>
      <c r="W6" s="20">
        <f>'BK P&amp;L'!W22</f>
        <v/>
      </c>
      <c r="X6" s="20">
        <f>'BK P&amp;L'!X22</f>
        <v/>
      </c>
      <c r="Y6" s="20">
        <f>'BK P&amp;L'!Y22</f>
        <v/>
      </c>
      <c r="Z6" s="20">
        <f>'BK P&amp;L'!Z22</f>
        <v/>
      </c>
      <c r="AA6" s="20">
        <f>'BK P&amp;L'!AA22</f>
        <v/>
      </c>
      <c r="AB6" s="20">
        <f>'BK P&amp;L'!AB22</f>
        <v/>
      </c>
      <c r="AC6" s="20">
        <f>'BK P&amp;L'!AC22</f>
        <v/>
      </c>
      <c r="AD6" s="20">
        <f>'BK P&amp;L'!AD22</f>
        <v/>
      </c>
      <c r="AE6" s="20">
        <f>'BK P&amp;L'!AE22</f>
        <v/>
      </c>
      <c r="AF6" s="20">
        <f>'BK P&amp;L'!AF22</f>
        <v/>
      </c>
      <c r="AG6" s="20">
        <f>'BK P&amp;L'!AG22</f>
        <v/>
      </c>
      <c r="AH6" s="20">
        <f>'BK P&amp;L'!AH22</f>
        <v/>
      </c>
      <c r="AI6" s="20">
        <f>'BK P&amp;L'!AI22</f>
        <v/>
      </c>
      <c r="AJ6" s="20">
        <f>'BK P&amp;L'!AJ22</f>
        <v/>
      </c>
      <c r="AK6" s="20">
        <f>'BK P&amp;L'!AK22</f>
        <v/>
      </c>
      <c r="AL6" s="20">
        <f>'BK P&amp;L'!AL22</f>
        <v/>
      </c>
      <c r="AM6" s="20">
        <f>'BK P&amp;L'!AM22</f>
        <v/>
      </c>
      <c r="AN6" s="20">
        <f>'BK P&amp;L'!AN22</f>
        <v/>
      </c>
      <c r="AO6" s="20">
        <f>'BK P&amp;L'!AO22</f>
        <v/>
      </c>
      <c r="AP6" s="20">
        <f>'BK P&amp;L'!AP22</f>
        <v/>
      </c>
      <c r="AQ6" s="20">
        <f>'BK P&amp;L'!AQ22</f>
        <v/>
      </c>
      <c r="AR6" s="20">
        <f>'BK P&amp;L'!AR22</f>
        <v/>
      </c>
      <c r="AS6" s="20">
        <f>'BK P&amp;L'!AS22</f>
        <v/>
      </c>
      <c r="AT6" s="20">
        <f>'BK P&amp;L'!AT22</f>
        <v/>
      </c>
      <c r="AU6" s="20">
        <f>'BK P&amp;L'!AU22</f>
        <v/>
      </c>
      <c r="AV6" s="20">
        <f>'BK P&amp;L'!AV22</f>
        <v/>
      </c>
      <c r="AW6" s="20">
        <f>'BK P&amp;L'!AW22</f>
        <v/>
      </c>
      <c r="AX6" s="20">
        <f>'BK P&amp;L'!AX22</f>
        <v/>
      </c>
      <c r="AY6" s="20">
        <f>'BK P&amp;L'!AY22</f>
        <v/>
      </c>
    </row>
    <row r="7">
      <c r="B7" s="18" t="inlineStr">
        <is>
          <t>Gross Profit</t>
        </is>
      </c>
      <c r="D7" s="20">
        <f>'BK P&amp;L'!D27</f>
        <v/>
      </c>
      <c r="E7" s="20">
        <f>'BK P&amp;L'!E27</f>
        <v/>
      </c>
      <c r="F7" s="20">
        <f>'BK P&amp;L'!F27</f>
        <v/>
      </c>
      <c r="G7" s="20">
        <f>'BK P&amp;L'!G27</f>
        <v/>
      </c>
      <c r="H7" s="20">
        <f>'BK P&amp;L'!H27</f>
        <v/>
      </c>
      <c r="I7" s="20">
        <f>'BK P&amp;L'!I27</f>
        <v/>
      </c>
      <c r="J7" s="20">
        <f>'BK P&amp;L'!J27</f>
        <v/>
      </c>
      <c r="K7" s="20">
        <f>'BK P&amp;L'!K27</f>
        <v/>
      </c>
      <c r="L7" s="20">
        <f>'BK P&amp;L'!L27</f>
        <v/>
      </c>
      <c r="M7" s="20">
        <f>'BK P&amp;L'!M27</f>
        <v/>
      </c>
      <c r="N7" s="20">
        <f>'BK P&amp;L'!N27</f>
        <v/>
      </c>
      <c r="O7" s="20">
        <f>'BK P&amp;L'!O27</f>
        <v/>
      </c>
      <c r="P7" s="20">
        <f>'BK P&amp;L'!P27</f>
        <v/>
      </c>
      <c r="Q7" s="20">
        <f>'BK P&amp;L'!Q27</f>
        <v/>
      </c>
      <c r="R7" s="20">
        <f>'BK P&amp;L'!R27</f>
        <v/>
      </c>
      <c r="S7" s="20">
        <f>'BK P&amp;L'!S27</f>
        <v/>
      </c>
      <c r="T7" s="20">
        <f>'BK P&amp;L'!T27</f>
        <v/>
      </c>
      <c r="U7" s="20">
        <f>'BK P&amp;L'!U27</f>
        <v/>
      </c>
      <c r="V7" s="20">
        <f>'BK P&amp;L'!V27</f>
        <v/>
      </c>
      <c r="W7" s="20">
        <f>'BK P&amp;L'!W27</f>
        <v/>
      </c>
      <c r="X7" s="20">
        <f>'BK P&amp;L'!X27</f>
        <v/>
      </c>
      <c r="Y7" s="20">
        <f>'BK P&amp;L'!Y27</f>
        <v/>
      </c>
      <c r="Z7" s="20">
        <f>'BK P&amp;L'!Z27</f>
        <v/>
      </c>
      <c r="AA7" s="20">
        <f>'BK P&amp;L'!AA27</f>
        <v/>
      </c>
      <c r="AB7" s="20">
        <f>'BK P&amp;L'!AB27</f>
        <v/>
      </c>
      <c r="AC7" s="20">
        <f>'BK P&amp;L'!AC27</f>
        <v/>
      </c>
      <c r="AD7" s="20">
        <f>'BK P&amp;L'!AD27</f>
        <v/>
      </c>
      <c r="AE7" s="20">
        <f>'BK P&amp;L'!AE27</f>
        <v/>
      </c>
      <c r="AF7" s="20">
        <f>'BK P&amp;L'!AF27</f>
        <v/>
      </c>
      <c r="AG7" s="20">
        <f>'BK P&amp;L'!AG27</f>
        <v/>
      </c>
      <c r="AH7" s="20">
        <f>'BK P&amp;L'!AH27</f>
        <v/>
      </c>
      <c r="AI7" s="20">
        <f>'BK P&amp;L'!AI27</f>
        <v/>
      </c>
      <c r="AJ7" s="20">
        <f>'BK P&amp;L'!AJ27</f>
        <v/>
      </c>
      <c r="AK7" s="20">
        <f>'BK P&amp;L'!AK27</f>
        <v/>
      </c>
      <c r="AL7" s="20">
        <f>'BK P&amp;L'!AL27</f>
        <v/>
      </c>
      <c r="AM7" s="20">
        <f>'BK P&amp;L'!AM27</f>
        <v/>
      </c>
      <c r="AN7" s="20">
        <f>'BK P&amp;L'!AN27</f>
        <v/>
      </c>
      <c r="AO7" s="20">
        <f>'BK P&amp;L'!AO27</f>
        <v/>
      </c>
      <c r="AP7" s="20">
        <f>'BK P&amp;L'!AP27</f>
        <v/>
      </c>
      <c r="AQ7" s="20">
        <f>'BK P&amp;L'!AQ27</f>
        <v/>
      </c>
      <c r="AR7" s="20">
        <f>'BK P&amp;L'!AR27</f>
        <v/>
      </c>
      <c r="AS7" s="20">
        <f>'BK P&amp;L'!AS27</f>
        <v/>
      </c>
      <c r="AT7" s="20">
        <f>'BK P&amp;L'!AT27</f>
        <v/>
      </c>
      <c r="AU7" s="20">
        <f>'BK P&amp;L'!AU27</f>
        <v/>
      </c>
      <c r="AV7" s="20">
        <f>'BK P&amp;L'!AV27</f>
        <v/>
      </c>
      <c r="AW7" s="20">
        <f>'BK P&amp;L'!AW27</f>
        <v/>
      </c>
      <c r="AX7" s="20">
        <f>'BK P&amp;L'!AX27</f>
        <v/>
      </c>
      <c r="AY7" s="20">
        <f>'BK P&amp;L'!AY27</f>
        <v/>
      </c>
    </row>
    <row r="8">
      <c r="B8" s="18" t="inlineStr">
        <is>
          <t>Total Operating Expenses</t>
        </is>
      </c>
      <c r="D8" s="20">
        <f>'BK P&amp;L'!D63</f>
        <v/>
      </c>
      <c r="E8" s="20">
        <f>'BK P&amp;L'!E63</f>
        <v/>
      </c>
      <c r="F8" s="20">
        <f>'BK P&amp;L'!F63</f>
        <v/>
      </c>
      <c r="G8" s="20">
        <f>'BK P&amp;L'!G63</f>
        <v/>
      </c>
      <c r="H8" s="20">
        <f>'BK P&amp;L'!H63</f>
        <v/>
      </c>
      <c r="I8" s="20">
        <f>'BK P&amp;L'!I63</f>
        <v/>
      </c>
      <c r="J8" s="20">
        <f>'BK P&amp;L'!J63</f>
        <v/>
      </c>
      <c r="K8" s="20">
        <f>'BK P&amp;L'!K63</f>
        <v/>
      </c>
      <c r="L8" s="20">
        <f>'BK P&amp;L'!L63</f>
        <v/>
      </c>
      <c r="M8" s="20">
        <f>'BK P&amp;L'!M63</f>
        <v/>
      </c>
      <c r="N8" s="20">
        <f>'BK P&amp;L'!N63</f>
        <v/>
      </c>
      <c r="O8" s="20">
        <f>'BK P&amp;L'!O63</f>
        <v/>
      </c>
      <c r="P8" s="20">
        <f>'BK P&amp;L'!P63</f>
        <v/>
      </c>
      <c r="Q8" s="20">
        <f>'BK P&amp;L'!Q63</f>
        <v/>
      </c>
      <c r="R8" s="20">
        <f>'BK P&amp;L'!R63</f>
        <v/>
      </c>
      <c r="S8" s="20">
        <f>'BK P&amp;L'!S63</f>
        <v/>
      </c>
      <c r="T8" s="20">
        <f>'BK P&amp;L'!T63</f>
        <v/>
      </c>
      <c r="U8" s="20">
        <f>'BK P&amp;L'!U63</f>
        <v/>
      </c>
      <c r="V8" s="20">
        <f>'BK P&amp;L'!V63</f>
        <v/>
      </c>
      <c r="W8" s="20">
        <f>'BK P&amp;L'!W63</f>
        <v/>
      </c>
      <c r="X8" s="20">
        <f>'BK P&amp;L'!X63</f>
        <v/>
      </c>
      <c r="Y8" s="20">
        <f>'BK P&amp;L'!Y63</f>
        <v/>
      </c>
      <c r="Z8" s="20">
        <f>'BK P&amp;L'!Z63</f>
        <v/>
      </c>
      <c r="AA8" s="20">
        <f>'BK P&amp;L'!AA63</f>
        <v/>
      </c>
      <c r="AB8" s="20">
        <f>'BK P&amp;L'!AB63</f>
        <v/>
      </c>
      <c r="AC8" s="20">
        <f>'BK P&amp;L'!AC63</f>
        <v/>
      </c>
      <c r="AD8" s="20">
        <f>'BK P&amp;L'!AD63</f>
        <v/>
      </c>
      <c r="AE8" s="20">
        <f>'BK P&amp;L'!AE63</f>
        <v/>
      </c>
      <c r="AF8" s="20">
        <f>'BK P&amp;L'!AF63</f>
        <v/>
      </c>
      <c r="AG8" s="20">
        <f>'BK P&amp;L'!AG63</f>
        <v/>
      </c>
      <c r="AH8" s="20">
        <f>'BK P&amp;L'!AH63</f>
        <v/>
      </c>
      <c r="AI8" s="20">
        <f>'BK P&amp;L'!AI63</f>
        <v/>
      </c>
      <c r="AJ8" s="20">
        <f>'BK P&amp;L'!AJ63</f>
        <v/>
      </c>
      <c r="AK8" s="20">
        <f>'BK P&amp;L'!AK63</f>
        <v/>
      </c>
      <c r="AL8" s="20">
        <f>'BK P&amp;L'!AL63</f>
        <v/>
      </c>
      <c r="AM8" s="20">
        <f>'BK P&amp;L'!AM63</f>
        <v/>
      </c>
      <c r="AN8" s="20">
        <f>'BK P&amp;L'!AN63</f>
        <v/>
      </c>
      <c r="AO8" s="20">
        <f>'BK P&amp;L'!AO63</f>
        <v/>
      </c>
      <c r="AP8" s="20">
        <f>'BK P&amp;L'!AP63</f>
        <v/>
      </c>
      <c r="AQ8" s="20">
        <f>'BK P&amp;L'!AQ63</f>
        <v/>
      </c>
      <c r="AR8" s="20">
        <f>'BK P&amp;L'!AR63</f>
        <v/>
      </c>
      <c r="AS8" s="20">
        <f>'BK P&amp;L'!AS63</f>
        <v/>
      </c>
      <c r="AT8" s="20">
        <f>'BK P&amp;L'!AT63</f>
        <v/>
      </c>
      <c r="AU8" s="20">
        <f>'BK P&amp;L'!AU63</f>
        <v/>
      </c>
      <c r="AV8" s="20">
        <f>'BK P&amp;L'!AV63</f>
        <v/>
      </c>
      <c r="AW8" s="20">
        <f>'BK P&amp;L'!AW63</f>
        <v/>
      </c>
      <c r="AX8" s="20">
        <f>'BK P&amp;L'!AX63</f>
        <v/>
      </c>
      <c r="AY8" s="20">
        <f>'BK P&amp;L'!AY63</f>
        <v/>
      </c>
    </row>
    <row r="9">
      <c r="B9" s="15" t="inlineStr">
        <is>
          <t>Net Operating Income</t>
        </is>
      </c>
      <c r="D9" s="37">
        <f>'BK P&amp;L'!D64</f>
        <v/>
      </c>
      <c r="E9" s="37">
        <f>'BK P&amp;L'!E64</f>
        <v/>
      </c>
      <c r="F9" s="37">
        <f>'BK P&amp;L'!F64</f>
        <v/>
      </c>
      <c r="G9" s="37">
        <f>'BK P&amp;L'!G64</f>
        <v/>
      </c>
      <c r="H9" s="37">
        <f>'BK P&amp;L'!H64</f>
        <v/>
      </c>
      <c r="I9" s="37">
        <f>'BK P&amp;L'!I64</f>
        <v/>
      </c>
      <c r="J9" s="37">
        <f>'BK P&amp;L'!J64</f>
        <v/>
      </c>
      <c r="K9" s="37">
        <f>'BK P&amp;L'!K64</f>
        <v/>
      </c>
      <c r="L9" s="37">
        <f>'BK P&amp;L'!L64</f>
        <v/>
      </c>
      <c r="M9" s="37">
        <f>'BK P&amp;L'!M64</f>
        <v/>
      </c>
      <c r="N9" s="37">
        <f>'BK P&amp;L'!N64</f>
        <v/>
      </c>
      <c r="O9" s="37">
        <f>'BK P&amp;L'!O64</f>
        <v/>
      </c>
      <c r="P9" s="37">
        <f>'BK P&amp;L'!P64</f>
        <v/>
      </c>
      <c r="Q9" s="37">
        <f>'BK P&amp;L'!Q64</f>
        <v/>
      </c>
      <c r="R9" s="37">
        <f>'BK P&amp;L'!R64</f>
        <v/>
      </c>
      <c r="S9" s="37">
        <f>'BK P&amp;L'!S64</f>
        <v/>
      </c>
      <c r="T9" s="37">
        <f>'BK P&amp;L'!T64</f>
        <v/>
      </c>
      <c r="U9" s="37">
        <f>'BK P&amp;L'!U64</f>
        <v/>
      </c>
      <c r="V9" s="37">
        <f>'BK P&amp;L'!V64</f>
        <v/>
      </c>
      <c r="W9" s="37">
        <f>'BK P&amp;L'!W64</f>
        <v/>
      </c>
      <c r="X9" s="37">
        <f>'BK P&amp;L'!X64</f>
        <v/>
      </c>
      <c r="Y9" s="37">
        <f>'BK P&amp;L'!Y64</f>
        <v/>
      </c>
      <c r="Z9" s="37">
        <f>'BK P&amp;L'!Z64</f>
        <v/>
      </c>
      <c r="AA9" s="37">
        <f>'BK P&amp;L'!AA64</f>
        <v/>
      </c>
      <c r="AB9" s="37">
        <f>'BK P&amp;L'!AB64</f>
        <v/>
      </c>
      <c r="AC9" s="37">
        <f>'BK P&amp;L'!AC64</f>
        <v/>
      </c>
      <c r="AD9" s="37">
        <f>'BK P&amp;L'!AD64</f>
        <v/>
      </c>
      <c r="AE9" s="37">
        <f>'BK P&amp;L'!AE64</f>
        <v/>
      </c>
      <c r="AF9" s="37">
        <f>'BK P&amp;L'!AF64</f>
        <v/>
      </c>
      <c r="AG9" s="37">
        <f>'BK P&amp;L'!AG64</f>
        <v/>
      </c>
      <c r="AH9" s="37">
        <f>'BK P&amp;L'!AH64</f>
        <v/>
      </c>
      <c r="AI9" s="37">
        <f>'BK P&amp;L'!AI64</f>
        <v/>
      </c>
      <c r="AJ9" s="37">
        <f>'BK P&amp;L'!AJ64</f>
        <v/>
      </c>
      <c r="AK9" s="37">
        <f>'BK P&amp;L'!AK64</f>
        <v/>
      </c>
      <c r="AL9" s="37">
        <f>'BK P&amp;L'!AL64</f>
        <v/>
      </c>
      <c r="AM9" s="37">
        <f>'BK P&amp;L'!AM64</f>
        <v/>
      </c>
      <c r="AN9" s="37">
        <f>'BK P&amp;L'!AN64</f>
        <v/>
      </c>
      <c r="AO9" s="37">
        <f>'BK P&amp;L'!AO64</f>
        <v/>
      </c>
      <c r="AP9" s="37">
        <f>'BK P&amp;L'!AP64</f>
        <v/>
      </c>
      <c r="AQ9" s="37">
        <f>'BK P&amp;L'!AQ64</f>
        <v/>
      </c>
      <c r="AR9" s="37">
        <f>'BK P&amp;L'!AR64</f>
        <v/>
      </c>
      <c r="AS9" s="37">
        <f>'BK P&amp;L'!AS64</f>
        <v/>
      </c>
      <c r="AT9" s="37">
        <f>'BK P&amp;L'!AT64</f>
        <v/>
      </c>
      <c r="AU9" s="37">
        <f>'BK P&amp;L'!AU64</f>
        <v/>
      </c>
      <c r="AV9" s="37">
        <f>'BK P&amp;L'!AV64</f>
        <v/>
      </c>
      <c r="AW9" s="37">
        <f>'BK P&amp;L'!AW64</f>
        <v/>
      </c>
      <c r="AX9" s="37">
        <f>'BK P&amp;L'!AX64</f>
        <v/>
      </c>
      <c r="AY9" s="37">
        <f>'BK P&amp;L'!AY64</f>
        <v/>
      </c>
    </row>
    <row r="11" ht="16" customHeight="1" s="282">
      <c r="B11" s="10" t="inlineStr">
        <is>
          <t>Culver City (CC)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1" t="n"/>
    </row>
    <row r="12">
      <c r="B12" s="18" t="inlineStr">
        <is>
          <t>Total Revenue</t>
        </is>
      </c>
      <c r="D12" s="20">
        <f>'CC P&amp;L'!D21</f>
        <v/>
      </c>
      <c r="E12" s="20">
        <f>'CC P&amp;L'!E21</f>
        <v/>
      </c>
      <c r="F12" s="20">
        <f>'CC P&amp;L'!F21</f>
        <v/>
      </c>
      <c r="G12" s="20">
        <f>'CC P&amp;L'!G21</f>
        <v/>
      </c>
      <c r="H12" s="20">
        <f>'CC P&amp;L'!H21</f>
        <v/>
      </c>
      <c r="I12" s="20">
        <f>'CC P&amp;L'!I21</f>
        <v/>
      </c>
      <c r="J12" s="20">
        <f>'CC P&amp;L'!J21</f>
        <v/>
      </c>
      <c r="K12" s="20">
        <f>'CC P&amp;L'!K21</f>
        <v/>
      </c>
      <c r="L12" s="20">
        <f>'CC P&amp;L'!L21</f>
        <v/>
      </c>
      <c r="M12" s="20">
        <f>'CC P&amp;L'!M21</f>
        <v/>
      </c>
      <c r="N12" s="20">
        <f>'CC P&amp;L'!N21</f>
        <v/>
      </c>
      <c r="O12" s="20">
        <f>'CC P&amp;L'!O21</f>
        <v/>
      </c>
      <c r="P12" s="20">
        <f>'CC P&amp;L'!P21</f>
        <v/>
      </c>
      <c r="Q12" s="20">
        <f>'CC P&amp;L'!Q21</f>
        <v/>
      </c>
      <c r="R12" s="20">
        <f>'CC P&amp;L'!R21</f>
        <v/>
      </c>
      <c r="S12" s="20">
        <f>'CC P&amp;L'!S21</f>
        <v/>
      </c>
      <c r="T12" s="20">
        <f>'CC P&amp;L'!T21</f>
        <v/>
      </c>
      <c r="U12" s="20">
        <f>'CC P&amp;L'!U21</f>
        <v/>
      </c>
      <c r="V12" s="20">
        <f>'CC P&amp;L'!V21</f>
        <v/>
      </c>
      <c r="W12" s="20">
        <f>'CC P&amp;L'!W21</f>
        <v/>
      </c>
      <c r="X12" s="20">
        <f>'CC P&amp;L'!X21</f>
        <v/>
      </c>
      <c r="Y12" s="20">
        <f>'CC P&amp;L'!Y21</f>
        <v/>
      </c>
      <c r="Z12" s="20">
        <f>'CC P&amp;L'!Z21</f>
        <v/>
      </c>
      <c r="AA12" s="20">
        <f>'CC P&amp;L'!AA21</f>
        <v/>
      </c>
      <c r="AB12" s="20">
        <f>'CC P&amp;L'!AB21</f>
        <v/>
      </c>
      <c r="AC12" s="20">
        <f>'CC P&amp;L'!AC21</f>
        <v/>
      </c>
      <c r="AD12" s="20">
        <f>'CC P&amp;L'!AD21</f>
        <v/>
      </c>
      <c r="AE12" s="20">
        <f>'CC P&amp;L'!AE21</f>
        <v/>
      </c>
      <c r="AF12" s="20">
        <f>'CC P&amp;L'!AF21</f>
        <v/>
      </c>
      <c r="AG12" s="20">
        <f>'CC P&amp;L'!AG21</f>
        <v/>
      </c>
      <c r="AH12" s="20">
        <f>'CC P&amp;L'!AH21</f>
        <v/>
      </c>
      <c r="AI12" s="20">
        <f>'CC P&amp;L'!AI21</f>
        <v/>
      </c>
      <c r="AJ12" s="20">
        <f>'CC P&amp;L'!AJ21</f>
        <v/>
      </c>
      <c r="AK12" s="20">
        <f>'CC P&amp;L'!AK21</f>
        <v/>
      </c>
      <c r="AL12" s="20">
        <f>'CC P&amp;L'!AL21</f>
        <v/>
      </c>
      <c r="AM12" s="20">
        <f>'CC P&amp;L'!AM21</f>
        <v/>
      </c>
      <c r="AN12" s="20">
        <f>'CC P&amp;L'!AN21</f>
        <v/>
      </c>
      <c r="AO12" s="20">
        <f>'CC P&amp;L'!AO21</f>
        <v/>
      </c>
      <c r="AP12" s="20">
        <f>'CC P&amp;L'!AP21</f>
        <v/>
      </c>
      <c r="AQ12" s="20">
        <f>'CC P&amp;L'!AQ21</f>
        <v/>
      </c>
      <c r="AR12" s="20">
        <f>'CC P&amp;L'!AR21</f>
        <v/>
      </c>
      <c r="AS12" s="20">
        <f>'CC P&amp;L'!AS21</f>
        <v/>
      </c>
      <c r="AT12" s="20">
        <f>'CC P&amp;L'!AT21</f>
        <v/>
      </c>
      <c r="AU12" s="20">
        <f>'CC P&amp;L'!AU21</f>
        <v/>
      </c>
      <c r="AV12" s="20">
        <f>'CC P&amp;L'!AV21</f>
        <v/>
      </c>
      <c r="AW12" s="20">
        <f>'CC P&amp;L'!AW21</f>
        <v/>
      </c>
      <c r="AX12" s="20">
        <f>'CC P&amp;L'!AX21</f>
        <v/>
      </c>
      <c r="AY12" s="20">
        <f>'CC P&amp;L'!AY21</f>
        <v/>
      </c>
    </row>
    <row r="13">
      <c r="B13" s="18" t="inlineStr">
        <is>
          <t>Gross Profit</t>
        </is>
      </c>
      <c r="D13" s="20">
        <f>'CC P&amp;L'!D26</f>
        <v/>
      </c>
      <c r="E13" s="20">
        <f>'CC P&amp;L'!E26</f>
        <v/>
      </c>
      <c r="F13" s="20">
        <f>'CC P&amp;L'!F26</f>
        <v/>
      </c>
      <c r="G13" s="20">
        <f>'CC P&amp;L'!G26</f>
        <v/>
      </c>
      <c r="H13" s="20">
        <f>'CC P&amp;L'!H26</f>
        <v/>
      </c>
      <c r="I13" s="20">
        <f>'CC P&amp;L'!I26</f>
        <v/>
      </c>
      <c r="J13" s="20">
        <f>'CC P&amp;L'!J26</f>
        <v/>
      </c>
      <c r="K13" s="20">
        <f>'CC P&amp;L'!K26</f>
        <v/>
      </c>
      <c r="L13" s="20">
        <f>'CC P&amp;L'!L26</f>
        <v/>
      </c>
      <c r="M13" s="20">
        <f>'CC P&amp;L'!M26</f>
        <v/>
      </c>
      <c r="N13" s="20">
        <f>'CC P&amp;L'!N26</f>
        <v/>
      </c>
      <c r="O13" s="20">
        <f>'CC P&amp;L'!O26</f>
        <v/>
      </c>
      <c r="P13" s="20">
        <f>'CC P&amp;L'!P26</f>
        <v/>
      </c>
      <c r="Q13" s="20">
        <f>'CC P&amp;L'!Q26</f>
        <v/>
      </c>
      <c r="R13" s="20">
        <f>'CC P&amp;L'!R26</f>
        <v/>
      </c>
      <c r="S13" s="20">
        <f>'CC P&amp;L'!S26</f>
        <v/>
      </c>
      <c r="T13" s="20">
        <f>'CC P&amp;L'!T26</f>
        <v/>
      </c>
      <c r="U13" s="20">
        <f>'CC P&amp;L'!U26</f>
        <v/>
      </c>
      <c r="V13" s="20">
        <f>'CC P&amp;L'!V26</f>
        <v/>
      </c>
      <c r="W13" s="20">
        <f>'CC P&amp;L'!W26</f>
        <v/>
      </c>
      <c r="X13" s="20">
        <f>'CC P&amp;L'!X26</f>
        <v/>
      </c>
      <c r="Y13" s="20">
        <f>'CC P&amp;L'!Y26</f>
        <v/>
      </c>
      <c r="Z13" s="20">
        <f>'CC P&amp;L'!Z26</f>
        <v/>
      </c>
      <c r="AA13" s="20">
        <f>'CC P&amp;L'!AA26</f>
        <v/>
      </c>
      <c r="AB13" s="20">
        <f>'CC P&amp;L'!AB26</f>
        <v/>
      </c>
      <c r="AC13" s="20">
        <f>'CC P&amp;L'!AC26</f>
        <v/>
      </c>
      <c r="AD13" s="20">
        <f>'CC P&amp;L'!AD26</f>
        <v/>
      </c>
      <c r="AE13" s="20">
        <f>'CC P&amp;L'!AE26</f>
        <v/>
      </c>
      <c r="AF13" s="20">
        <f>'CC P&amp;L'!AF26</f>
        <v/>
      </c>
      <c r="AG13" s="20">
        <f>'CC P&amp;L'!AG26</f>
        <v/>
      </c>
      <c r="AH13" s="20">
        <f>'CC P&amp;L'!AH26</f>
        <v/>
      </c>
      <c r="AI13" s="20">
        <f>'CC P&amp;L'!AI26</f>
        <v/>
      </c>
      <c r="AJ13" s="20">
        <f>'CC P&amp;L'!AJ26</f>
        <v/>
      </c>
      <c r="AK13" s="20">
        <f>'CC P&amp;L'!AK26</f>
        <v/>
      </c>
      <c r="AL13" s="20">
        <f>'CC P&amp;L'!AL26</f>
        <v/>
      </c>
      <c r="AM13" s="20">
        <f>'CC P&amp;L'!AM26</f>
        <v/>
      </c>
      <c r="AN13" s="20">
        <f>'CC P&amp;L'!AN26</f>
        <v/>
      </c>
      <c r="AO13" s="20">
        <f>'CC P&amp;L'!AO26</f>
        <v/>
      </c>
      <c r="AP13" s="20">
        <f>'CC P&amp;L'!AP26</f>
        <v/>
      </c>
      <c r="AQ13" s="20">
        <f>'CC P&amp;L'!AQ26</f>
        <v/>
      </c>
      <c r="AR13" s="20">
        <f>'CC P&amp;L'!AR26</f>
        <v/>
      </c>
      <c r="AS13" s="20">
        <f>'CC P&amp;L'!AS26</f>
        <v/>
      </c>
      <c r="AT13" s="20">
        <f>'CC P&amp;L'!AT26</f>
        <v/>
      </c>
      <c r="AU13" s="20">
        <f>'CC P&amp;L'!AU26</f>
        <v/>
      </c>
      <c r="AV13" s="20">
        <f>'CC P&amp;L'!AV26</f>
        <v/>
      </c>
      <c r="AW13" s="20">
        <f>'CC P&amp;L'!AW26</f>
        <v/>
      </c>
      <c r="AX13" s="20">
        <f>'CC P&amp;L'!AX26</f>
        <v/>
      </c>
      <c r="AY13" s="20">
        <f>'CC P&amp;L'!AY26</f>
        <v/>
      </c>
    </row>
    <row r="14">
      <c r="B14" s="18" t="inlineStr">
        <is>
          <t>Total Operating Expenses</t>
        </is>
      </c>
      <c r="D14" s="20">
        <f>'CC P&amp;L'!D62</f>
        <v/>
      </c>
      <c r="E14" s="20">
        <f>'CC P&amp;L'!E62</f>
        <v/>
      </c>
      <c r="F14" s="20">
        <f>'CC P&amp;L'!F62</f>
        <v/>
      </c>
      <c r="G14" s="20">
        <f>'CC P&amp;L'!G62</f>
        <v/>
      </c>
      <c r="H14" s="20">
        <f>'CC P&amp;L'!H62</f>
        <v/>
      </c>
      <c r="I14" s="20">
        <f>'CC P&amp;L'!I62</f>
        <v/>
      </c>
      <c r="J14" s="20">
        <f>'CC P&amp;L'!J62</f>
        <v/>
      </c>
      <c r="K14" s="20">
        <f>'CC P&amp;L'!K62</f>
        <v/>
      </c>
      <c r="L14" s="20">
        <f>'CC P&amp;L'!L62</f>
        <v/>
      </c>
      <c r="M14" s="20">
        <f>'CC P&amp;L'!M62</f>
        <v/>
      </c>
      <c r="N14" s="20">
        <f>'CC P&amp;L'!N62</f>
        <v/>
      </c>
      <c r="O14" s="20">
        <f>'CC P&amp;L'!O62</f>
        <v/>
      </c>
      <c r="P14" s="20">
        <f>'CC P&amp;L'!P62</f>
        <v/>
      </c>
      <c r="Q14" s="20">
        <f>'CC P&amp;L'!Q62</f>
        <v/>
      </c>
      <c r="R14" s="20">
        <f>'CC P&amp;L'!R62</f>
        <v/>
      </c>
      <c r="S14" s="20">
        <f>'CC P&amp;L'!S62</f>
        <v/>
      </c>
      <c r="T14" s="20">
        <f>'CC P&amp;L'!T62</f>
        <v/>
      </c>
      <c r="U14" s="20">
        <f>'CC P&amp;L'!U62</f>
        <v/>
      </c>
      <c r="V14" s="20">
        <f>'CC P&amp;L'!V62</f>
        <v/>
      </c>
      <c r="W14" s="20">
        <f>'CC P&amp;L'!W62</f>
        <v/>
      </c>
      <c r="X14" s="20">
        <f>'CC P&amp;L'!X62</f>
        <v/>
      </c>
      <c r="Y14" s="20">
        <f>'CC P&amp;L'!Y62</f>
        <v/>
      </c>
      <c r="Z14" s="20">
        <f>'CC P&amp;L'!Z62</f>
        <v/>
      </c>
      <c r="AA14" s="20">
        <f>'CC P&amp;L'!AA62</f>
        <v/>
      </c>
      <c r="AB14" s="20">
        <f>'CC P&amp;L'!AB62</f>
        <v/>
      </c>
      <c r="AC14" s="20">
        <f>'CC P&amp;L'!AC62</f>
        <v/>
      </c>
      <c r="AD14" s="20">
        <f>'CC P&amp;L'!AD62</f>
        <v/>
      </c>
      <c r="AE14" s="20">
        <f>'CC P&amp;L'!AE62</f>
        <v/>
      </c>
      <c r="AF14" s="20">
        <f>'CC P&amp;L'!AF62</f>
        <v/>
      </c>
      <c r="AG14" s="20">
        <f>'CC P&amp;L'!AG62</f>
        <v/>
      </c>
      <c r="AH14" s="20">
        <f>'CC P&amp;L'!AH62</f>
        <v/>
      </c>
      <c r="AI14" s="20">
        <f>'CC P&amp;L'!AI62</f>
        <v/>
      </c>
      <c r="AJ14" s="20">
        <f>'CC P&amp;L'!AJ62</f>
        <v/>
      </c>
      <c r="AK14" s="20">
        <f>'CC P&amp;L'!AK62</f>
        <v/>
      </c>
      <c r="AL14" s="20">
        <f>'CC P&amp;L'!AL62</f>
        <v/>
      </c>
      <c r="AM14" s="20">
        <f>'CC P&amp;L'!AM62</f>
        <v/>
      </c>
      <c r="AN14" s="20">
        <f>'CC P&amp;L'!AN62</f>
        <v/>
      </c>
      <c r="AO14" s="20">
        <f>'CC P&amp;L'!AO62</f>
        <v/>
      </c>
      <c r="AP14" s="20">
        <f>'CC P&amp;L'!AP62</f>
        <v/>
      </c>
      <c r="AQ14" s="20">
        <f>'CC P&amp;L'!AQ62</f>
        <v/>
      </c>
      <c r="AR14" s="20">
        <f>'CC P&amp;L'!AR62</f>
        <v/>
      </c>
      <c r="AS14" s="20">
        <f>'CC P&amp;L'!AS62</f>
        <v/>
      </c>
      <c r="AT14" s="20">
        <f>'CC P&amp;L'!AT62</f>
        <v/>
      </c>
      <c r="AU14" s="20">
        <f>'CC P&amp;L'!AU62</f>
        <v/>
      </c>
      <c r="AV14" s="20">
        <f>'CC P&amp;L'!AV62</f>
        <v/>
      </c>
      <c r="AW14" s="20">
        <f>'CC P&amp;L'!AW62</f>
        <v/>
      </c>
      <c r="AX14" s="20">
        <f>'CC P&amp;L'!AX62</f>
        <v/>
      </c>
      <c r="AY14" s="20">
        <f>'CC P&amp;L'!AY62</f>
        <v/>
      </c>
    </row>
    <row r="15">
      <c r="B15" s="15" t="inlineStr">
        <is>
          <t>Net Operating Income</t>
        </is>
      </c>
      <c r="D15" s="37">
        <f>'CC P&amp;L'!D63</f>
        <v/>
      </c>
      <c r="E15" s="37">
        <f>'CC P&amp;L'!E63</f>
        <v/>
      </c>
      <c r="F15" s="37">
        <f>'CC P&amp;L'!F63</f>
        <v/>
      </c>
      <c r="G15" s="37">
        <f>'CC P&amp;L'!G63</f>
        <v/>
      </c>
      <c r="H15" s="37">
        <f>'CC P&amp;L'!H63</f>
        <v/>
      </c>
      <c r="I15" s="37">
        <f>'CC P&amp;L'!I63</f>
        <v/>
      </c>
      <c r="J15" s="37">
        <f>'CC P&amp;L'!J63</f>
        <v/>
      </c>
      <c r="K15" s="37">
        <f>'CC P&amp;L'!K63</f>
        <v/>
      </c>
      <c r="L15" s="37">
        <f>'CC P&amp;L'!L63</f>
        <v/>
      </c>
      <c r="M15" s="37">
        <f>'CC P&amp;L'!M63</f>
        <v/>
      </c>
      <c r="N15" s="37">
        <f>'CC P&amp;L'!N63</f>
        <v/>
      </c>
      <c r="O15" s="37">
        <f>'CC P&amp;L'!O63</f>
        <v/>
      </c>
      <c r="P15" s="37">
        <f>'CC P&amp;L'!P63</f>
        <v/>
      </c>
      <c r="Q15" s="37">
        <f>'CC P&amp;L'!Q63</f>
        <v/>
      </c>
      <c r="R15" s="37">
        <f>'CC P&amp;L'!R63</f>
        <v/>
      </c>
      <c r="S15" s="37">
        <f>'CC P&amp;L'!S63</f>
        <v/>
      </c>
      <c r="T15" s="37">
        <f>'CC P&amp;L'!T63</f>
        <v/>
      </c>
      <c r="U15" s="37">
        <f>'CC P&amp;L'!U63</f>
        <v/>
      </c>
      <c r="V15" s="37">
        <f>'CC P&amp;L'!V63</f>
        <v/>
      </c>
      <c r="W15" s="37">
        <f>'CC P&amp;L'!W63</f>
        <v/>
      </c>
      <c r="X15" s="37">
        <f>'CC P&amp;L'!X63</f>
        <v/>
      </c>
      <c r="Y15" s="37">
        <f>'CC P&amp;L'!Y63</f>
        <v/>
      </c>
      <c r="Z15" s="37">
        <f>'CC P&amp;L'!Z63</f>
        <v/>
      </c>
      <c r="AA15" s="37">
        <f>'CC P&amp;L'!AA63</f>
        <v/>
      </c>
      <c r="AB15" s="37">
        <f>'CC P&amp;L'!AB63</f>
        <v/>
      </c>
      <c r="AC15" s="37">
        <f>'CC P&amp;L'!AC63</f>
        <v/>
      </c>
      <c r="AD15" s="37">
        <f>'CC P&amp;L'!AD63</f>
        <v/>
      </c>
      <c r="AE15" s="37">
        <f>'CC P&amp;L'!AE63</f>
        <v/>
      </c>
      <c r="AF15" s="37">
        <f>'CC P&amp;L'!AF63</f>
        <v/>
      </c>
      <c r="AG15" s="37">
        <f>'CC P&amp;L'!AG63</f>
        <v/>
      </c>
      <c r="AH15" s="37">
        <f>'CC P&amp;L'!AH63</f>
        <v/>
      </c>
      <c r="AI15" s="37">
        <f>'CC P&amp;L'!AI63</f>
        <v/>
      </c>
      <c r="AJ15" s="37">
        <f>'CC P&amp;L'!AJ63</f>
        <v/>
      </c>
      <c r="AK15" s="37">
        <f>'CC P&amp;L'!AK63</f>
        <v/>
      </c>
      <c r="AL15" s="37">
        <f>'CC P&amp;L'!AL63</f>
        <v/>
      </c>
      <c r="AM15" s="37">
        <f>'CC P&amp;L'!AM63</f>
        <v/>
      </c>
      <c r="AN15" s="37">
        <f>'CC P&amp;L'!AN63</f>
        <v/>
      </c>
      <c r="AO15" s="37">
        <f>'CC P&amp;L'!AO63</f>
        <v/>
      </c>
      <c r="AP15" s="37">
        <f>'CC P&amp;L'!AP63</f>
        <v/>
      </c>
      <c r="AQ15" s="37">
        <f>'CC P&amp;L'!AQ63</f>
        <v/>
      </c>
      <c r="AR15" s="37">
        <f>'CC P&amp;L'!AR63</f>
        <v/>
      </c>
      <c r="AS15" s="37">
        <f>'CC P&amp;L'!AS63</f>
        <v/>
      </c>
      <c r="AT15" s="37">
        <f>'CC P&amp;L'!AT63</f>
        <v/>
      </c>
      <c r="AU15" s="37">
        <f>'CC P&amp;L'!AU63</f>
        <v/>
      </c>
      <c r="AV15" s="37">
        <f>'CC P&amp;L'!AV63</f>
        <v/>
      </c>
      <c r="AW15" s="37">
        <f>'CC P&amp;L'!AW63</f>
        <v/>
      </c>
      <c r="AX15" s="37">
        <f>'CC P&amp;L'!AX63</f>
        <v/>
      </c>
      <c r="AY15" s="37">
        <f>'CC P&amp;L'!AY63</f>
        <v/>
      </c>
    </row>
    <row r="17" ht="16" customHeight="1" s="282">
      <c r="B17" s="10" t="inlineStr">
        <is>
          <t>Danville (DN)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</row>
    <row r="18">
      <c r="B18" s="18" t="inlineStr">
        <is>
          <t>Total Revenue</t>
        </is>
      </c>
      <c r="D18" s="20">
        <f>'DN P&amp;L'!D21</f>
        <v/>
      </c>
      <c r="E18" s="20">
        <f>'DN P&amp;L'!E21</f>
        <v/>
      </c>
      <c r="F18" s="20">
        <f>'DN P&amp;L'!F21</f>
        <v/>
      </c>
      <c r="G18" s="20">
        <f>'DN P&amp;L'!G21</f>
        <v/>
      </c>
      <c r="H18" s="20">
        <f>'DN P&amp;L'!H21</f>
        <v/>
      </c>
      <c r="I18" s="20">
        <f>'DN P&amp;L'!I21</f>
        <v/>
      </c>
      <c r="J18" s="20">
        <f>'DN P&amp;L'!J21</f>
        <v/>
      </c>
      <c r="K18" s="20">
        <f>'DN P&amp;L'!K21</f>
        <v/>
      </c>
      <c r="L18" s="20">
        <f>'DN P&amp;L'!L21</f>
        <v/>
      </c>
      <c r="M18" s="20">
        <f>'DN P&amp;L'!M21</f>
        <v/>
      </c>
      <c r="N18" s="20">
        <f>'DN P&amp;L'!N21</f>
        <v/>
      </c>
      <c r="O18" s="20">
        <f>'DN P&amp;L'!O21</f>
        <v/>
      </c>
      <c r="P18" s="20">
        <f>'DN P&amp;L'!P21</f>
        <v/>
      </c>
      <c r="Q18" s="20">
        <f>'DN P&amp;L'!Q21</f>
        <v/>
      </c>
      <c r="R18" s="20">
        <f>'DN P&amp;L'!R21</f>
        <v/>
      </c>
      <c r="S18" s="20">
        <f>'DN P&amp;L'!S21</f>
        <v/>
      </c>
      <c r="T18" s="20">
        <f>'DN P&amp;L'!T21</f>
        <v/>
      </c>
      <c r="U18" s="20">
        <f>'DN P&amp;L'!U21</f>
        <v/>
      </c>
      <c r="V18" s="20">
        <f>'DN P&amp;L'!V21</f>
        <v/>
      </c>
      <c r="W18" s="20">
        <f>'DN P&amp;L'!W21</f>
        <v/>
      </c>
      <c r="X18" s="20">
        <f>'DN P&amp;L'!X21</f>
        <v/>
      </c>
      <c r="Y18" s="20">
        <f>'DN P&amp;L'!Y21</f>
        <v/>
      </c>
      <c r="Z18" s="20">
        <f>'DN P&amp;L'!Z21</f>
        <v/>
      </c>
      <c r="AA18" s="20">
        <f>'DN P&amp;L'!AA21</f>
        <v/>
      </c>
      <c r="AB18" s="20">
        <f>'DN P&amp;L'!AB21</f>
        <v/>
      </c>
      <c r="AC18" s="20">
        <f>'DN P&amp;L'!AC21</f>
        <v/>
      </c>
      <c r="AD18" s="20">
        <f>'DN P&amp;L'!AD21</f>
        <v/>
      </c>
      <c r="AE18" s="20">
        <f>'DN P&amp;L'!AE21</f>
        <v/>
      </c>
      <c r="AF18" s="20">
        <f>'DN P&amp;L'!AF21</f>
        <v/>
      </c>
      <c r="AG18" s="20">
        <f>'DN P&amp;L'!AG21</f>
        <v/>
      </c>
      <c r="AH18" s="20">
        <f>'DN P&amp;L'!AH21</f>
        <v/>
      </c>
      <c r="AI18" s="20">
        <f>'DN P&amp;L'!AI21</f>
        <v/>
      </c>
      <c r="AJ18" s="20">
        <f>'DN P&amp;L'!AJ21</f>
        <v/>
      </c>
      <c r="AK18" s="20">
        <f>'DN P&amp;L'!AK21</f>
        <v/>
      </c>
      <c r="AL18" s="20">
        <f>'DN P&amp;L'!AL21</f>
        <v/>
      </c>
      <c r="AM18" s="20">
        <f>'DN P&amp;L'!AM21</f>
        <v/>
      </c>
      <c r="AN18" s="20">
        <f>'DN P&amp;L'!AN21</f>
        <v/>
      </c>
      <c r="AO18" s="20">
        <f>'DN P&amp;L'!AO21</f>
        <v/>
      </c>
      <c r="AP18" s="20">
        <f>'DN P&amp;L'!AP21</f>
        <v/>
      </c>
      <c r="AQ18" s="20">
        <f>'DN P&amp;L'!AQ21</f>
        <v/>
      </c>
      <c r="AR18" s="20">
        <f>'DN P&amp;L'!AR21</f>
        <v/>
      </c>
      <c r="AS18" s="20">
        <f>'DN P&amp;L'!AS21</f>
        <v/>
      </c>
      <c r="AT18" s="20">
        <f>'DN P&amp;L'!AT21</f>
        <v/>
      </c>
      <c r="AU18" s="20">
        <f>'DN P&amp;L'!AU21</f>
        <v/>
      </c>
      <c r="AV18" s="20">
        <f>'DN P&amp;L'!AV21</f>
        <v/>
      </c>
      <c r="AW18" s="20">
        <f>'DN P&amp;L'!AW21</f>
        <v/>
      </c>
      <c r="AX18" s="20">
        <f>'DN P&amp;L'!AX21</f>
        <v/>
      </c>
      <c r="AY18" s="20">
        <f>'DN P&amp;L'!AY21</f>
        <v/>
      </c>
    </row>
    <row r="19">
      <c r="B19" s="18" t="inlineStr">
        <is>
          <t>Gross Profit</t>
        </is>
      </c>
      <c r="D19" s="20">
        <f>'DN P&amp;L'!D26</f>
        <v/>
      </c>
      <c r="E19" s="20">
        <f>'DN P&amp;L'!E26</f>
        <v/>
      </c>
      <c r="F19" s="20">
        <f>'DN P&amp;L'!F26</f>
        <v/>
      </c>
      <c r="G19" s="20">
        <f>'DN P&amp;L'!G26</f>
        <v/>
      </c>
      <c r="H19" s="20">
        <f>'DN P&amp;L'!H26</f>
        <v/>
      </c>
      <c r="I19" s="20">
        <f>'DN P&amp;L'!I26</f>
        <v/>
      </c>
      <c r="J19" s="20">
        <f>'DN P&amp;L'!J26</f>
        <v/>
      </c>
      <c r="K19" s="20">
        <f>'DN P&amp;L'!K26</f>
        <v/>
      </c>
      <c r="L19" s="20">
        <f>'DN P&amp;L'!L26</f>
        <v/>
      </c>
      <c r="M19" s="20">
        <f>'DN P&amp;L'!M26</f>
        <v/>
      </c>
      <c r="N19" s="20">
        <f>'DN P&amp;L'!N26</f>
        <v/>
      </c>
      <c r="O19" s="20">
        <f>'DN P&amp;L'!O26</f>
        <v/>
      </c>
      <c r="P19" s="20">
        <f>'DN P&amp;L'!P26</f>
        <v/>
      </c>
      <c r="Q19" s="20">
        <f>'DN P&amp;L'!Q26</f>
        <v/>
      </c>
      <c r="R19" s="20">
        <f>'DN P&amp;L'!R26</f>
        <v/>
      </c>
      <c r="S19" s="20">
        <f>'DN P&amp;L'!S26</f>
        <v/>
      </c>
      <c r="T19" s="20">
        <f>'DN P&amp;L'!T26</f>
        <v/>
      </c>
      <c r="U19" s="20">
        <f>'DN P&amp;L'!U26</f>
        <v/>
      </c>
      <c r="V19" s="20">
        <f>'DN P&amp;L'!V26</f>
        <v/>
      </c>
      <c r="W19" s="20">
        <f>'DN P&amp;L'!W26</f>
        <v/>
      </c>
      <c r="X19" s="20">
        <f>'DN P&amp;L'!X26</f>
        <v/>
      </c>
      <c r="Y19" s="20">
        <f>'DN P&amp;L'!Y26</f>
        <v/>
      </c>
      <c r="Z19" s="20">
        <f>'DN P&amp;L'!Z26</f>
        <v/>
      </c>
      <c r="AA19" s="20">
        <f>'DN P&amp;L'!AA26</f>
        <v/>
      </c>
      <c r="AB19" s="20">
        <f>'DN P&amp;L'!AB26</f>
        <v/>
      </c>
      <c r="AC19" s="20">
        <f>'DN P&amp;L'!AC26</f>
        <v/>
      </c>
      <c r="AD19" s="20">
        <f>'DN P&amp;L'!AD26</f>
        <v/>
      </c>
      <c r="AE19" s="20">
        <f>'DN P&amp;L'!AE26</f>
        <v/>
      </c>
      <c r="AF19" s="20">
        <f>'DN P&amp;L'!AF26</f>
        <v/>
      </c>
      <c r="AG19" s="20">
        <f>'DN P&amp;L'!AG26</f>
        <v/>
      </c>
      <c r="AH19" s="20">
        <f>'DN P&amp;L'!AH26</f>
        <v/>
      </c>
      <c r="AI19" s="20">
        <f>'DN P&amp;L'!AI26</f>
        <v/>
      </c>
      <c r="AJ19" s="20">
        <f>'DN P&amp;L'!AJ26</f>
        <v/>
      </c>
      <c r="AK19" s="20">
        <f>'DN P&amp;L'!AK26</f>
        <v/>
      </c>
      <c r="AL19" s="20">
        <f>'DN P&amp;L'!AL26</f>
        <v/>
      </c>
      <c r="AM19" s="20">
        <f>'DN P&amp;L'!AM26</f>
        <v/>
      </c>
      <c r="AN19" s="20">
        <f>'DN P&amp;L'!AN26</f>
        <v/>
      </c>
      <c r="AO19" s="20">
        <f>'DN P&amp;L'!AO26</f>
        <v/>
      </c>
      <c r="AP19" s="20">
        <f>'DN P&amp;L'!AP26</f>
        <v/>
      </c>
      <c r="AQ19" s="20">
        <f>'DN P&amp;L'!AQ26</f>
        <v/>
      </c>
      <c r="AR19" s="20">
        <f>'DN P&amp;L'!AR26</f>
        <v/>
      </c>
      <c r="AS19" s="20">
        <f>'DN P&amp;L'!AS26</f>
        <v/>
      </c>
      <c r="AT19" s="20">
        <f>'DN P&amp;L'!AT26</f>
        <v/>
      </c>
      <c r="AU19" s="20">
        <f>'DN P&amp;L'!AU26</f>
        <v/>
      </c>
      <c r="AV19" s="20">
        <f>'DN P&amp;L'!AV26</f>
        <v/>
      </c>
      <c r="AW19" s="20">
        <f>'DN P&amp;L'!AW26</f>
        <v/>
      </c>
      <c r="AX19" s="20">
        <f>'DN P&amp;L'!AX26</f>
        <v/>
      </c>
      <c r="AY19" s="20">
        <f>'DN P&amp;L'!AY26</f>
        <v/>
      </c>
    </row>
    <row r="20">
      <c r="B20" s="18" t="inlineStr">
        <is>
          <t>Total Operating Expenses</t>
        </is>
      </c>
      <c r="D20" s="20">
        <f>'DN P&amp;L'!D62</f>
        <v/>
      </c>
      <c r="E20" s="20">
        <f>'DN P&amp;L'!E62</f>
        <v/>
      </c>
      <c r="F20" s="20">
        <f>'DN P&amp;L'!F62</f>
        <v/>
      </c>
      <c r="G20" s="20">
        <f>'DN P&amp;L'!G62</f>
        <v/>
      </c>
      <c r="H20" s="20">
        <f>'DN P&amp;L'!H62</f>
        <v/>
      </c>
      <c r="I20" s="20">
        <f>'DN P&amp;L'!I62</f>
        <v/>
      </c>
      <c r="J20" s="20">
        <f>'DN P&amp;L'!J62</f>
        <v/>
      </c>
      <c r="K20" s="20">
        <f>'DN P&amp;L'!K62</f>
        <v/>
      </c>
      <c r="L20" s="20">
        <f>'DN P&amp;L'!L62</f>
        <v/>
      </c>
      <c r="M20" s="20">
        <f>'DN P&amp;L'!M62</f>
        <v/>
      </c>
      <c r="N20" s="20">
        <f>'DN P&amp;L'!N62</f>
        <v/>
      </c>
      <c r="O20" s="20">
        <f>'DN P&amp;L'!O62</f>
        <v/>
      </c>
      <c r="P20" s="20">
        <f>'DN P&amp;L'!P62</f>
        <v/>
      </c>
      <c r="Q20" s="20">
        <f>'DN P&amp;L'!Q62</f>
        <v/>
      </c>
      <c r="R20" s="20">
        <f>'DN P&amp;L'!R62</f>
        <v/>
      </c>
      <c r="S20" s="20">
        <f>'DN P&amp;L'!S62</f>
        <v/>
      </c>
      <c r="T20" s="20">
        <f>'DN P&amp;L'!T62</f>
        <v/>
      </c>
      <c r="U20" s="20">
        <f>'DN P&amp;L'!U62</f>
        <v/>
      </c>
      <c r="V20" s="20">
        <f>'DN P&amp;L'!V62</f>
        <v/>
      </c>
      <c r="W20" s="20">
        <f>'DN P&amp;L'!W62</f>
        <v/>
      </c>
      <c r="X20" s="20">
        <f>'DN P&amp;L'!X62</f>
        <v/>
      </c>
      <c r="Y20" s="20">
        <f>'DN P&amp;L'!Y62</f>
        <v/>
      </c>
      <c r="Z20" s="20">
        <f>'DN P&amp;L'!Z62</f>
        <v/>
      </c>
      <c r="AA20" s="20">
        <f>'DN P&amp;L'!AA62</f>
        <v/>
      </c>
      <c r="AB20" s="20">
        <f>'DN P&amp;L'!AB62</f>
        <v/>
      </c>
      <c r="AC20" s="20">
        <f>'DN P&amp;L'!AC62</f>
        <v/>
      </c>
      <c r="AD20" s="20">
        <f>'DN P&amp;L'!AD62</f>
        <v/>
      </c>
      <c r="AE20" s="20">
        <f>'DN P&amp;L'!AE62</f>
        <v/>
      </c>
      <c r="AF20" s="20">
        <f>'DN P&amp;L'!AF62</f>
        <v/>
      </c>
      <c r="AG20" s="20">
        <f>'DN P&amp;L'!AG62</f>
        <v/>
      </c>
      <c r="AH20" s="20">
        <f>'DN P&amp;L'!AH62</f>
        <v/>
      </c>
      <c r="AI20" s="20">
        <f>'DN P&amp;L'!AI62</f>
        <v/>
      </c>
      <c r="AJ20" s="20">
        <f>'DN P&amp;L'!AJ62</f>
        <v/>
      </c>
      <c r="AK20" s="20">
        <f>'DN P&amp;L'!AK62</f>
        <v/>
      </c>
      <c r="AL20" s="20">
        <f>'DN P&amp;L'!AL62</f>
        <v/>
      </c>
      <c r="AM20" s="20">
        <f>'DN P&amp;L'!AM62</f>
        <v/>
      </c>
      <c r="AN20" s="20">
        <f>'DN P&amp;L'!AN62</f>
        <v/>
      </c>
      <c r="AO20" s="20">
        <f>'DN P&amp;L'!AO62</f>
        <v/>
      </c>
      <c r="AP20" s="20">
        <f>'DN P&amp;L'!AP62</f>
        <v/>
      </c>
      <c r="AQ20" s="20">
        <f>'DN P&amp;L'!AQ62</f>
        <v/>
      </c>
      <c r="AR20" s="20">
        <f>'DN P&amp;L'!AR62</f>
        <v/>
      </c>
      <c r="AS20" s="20">
        <f>'DN P&amp;L'!AS62</f>
        <v/>
      </c>
      <c r="AT20" s="20">
        <f>'DN P&amp;L'!AT62</f>
        <v/>
      </c>
      <c r="AU20" s="20">
        <f>'DN P&amp;L'!AU62</f>
        <v/>
      </c>
      <c r="AV20" s="20">
        <f>'DN P&amp;L'!AV62</f>
        <v/>
      </c>
      <c r="AW20" s="20">
        <f>'DN P&amp;L'!AW62</f>
        <v/>
      </c>
      <c r="AX20" s="20">
        <f>'DN P&amp;L'!AX62</f>
        <v/>
      </c>
      <c r="AY20" s="20">
        <f>'DN P&amp;L'!AY62</f>
        <v/>
      </c>
    </row>
    <row r="21">
      <c r="B21" s="15" t="inlineStr">
        <is>
          <t>Net Operating Income</t>
        </is>
      </c>
      <c r="D21" s="37">
        <f>'DN P&amp;L'!D63</f>
        <v/>
      </c>
      <c r="E21" s="37">
        <f>'DN P&amp;L'!E63</f>
        <v/>
      </c>
      <c r="F21" s="37">
        <f>'DN P&amp;L'!F63</f>
        <v/>
      </c>
      <c r="G21" s="37">
        <f>'DN P&amp;L'!G63</f>
        <v/>
      </c>
      <c r="H21" s="37">
        <f>'DN P&amp;L'!H63</f>
        <v/>
      </c>
      <c r="I21" s="37">
        <f>'DN P&amp;L'!I63</f>
        <v/>
      </c>
      <c r="J21" s="37">
        <f>'DN P&amp;L'!J63</f>
        <v/>
      </c>
      <c r="K21" s="37">
        <f>'DN P&amp;L'!K63</f>
        <v/>
      </c>
      <c r="L21" s="37">
        <f>'DN P&amp;L'!L63</f>
        <v/>
      </c>
      <c r="M21" s="37">
        <f>'DN P&amp;L'!M63</f>
        <v/>
      </c>
      <c r="N21" s="37">
        <f>'DN P&amp;L'!N63</f>
        <v/>
      </c>
      <c r="O21" s="37">
        <f>'DN P&amp;L'!O63</f>
        <v/>
      </c>
      <c r="P21" s="37">
        <f>'DN P&amp;L'!P63</f>
        <v/>
      </c>
      <c r="Q21" s="37">
        <f>'DN P&amp;L'!Q63</f>
        <v/>
      </c>
      <c r="R21" s="37">
        <f>'DN P&amp;L'!R63</f>
        <v/>
      </c>
      <c r="S21" s="37">
        <f>'DN P&amp;L'!S63</f>
        <v/>
      </c>
      <c r="T21" s="37">
        <f>'DN P&amp;L'!T63</f>
        <v/>
      </c>
      <c r="U21" s="37">
        <f>'DN P&amp;L'!U63</f>
        <v/>
      </c>
      <c r="V21" s="37">
        <f>'DN P&amp;L'!V63</f>
        <v/>
      </c>
      <c r="W21" s="37">
        <f>'DN P&amp;L'!W63</f>
        <v/>
      </c>
      <c r="X21" s="37">
        <f>'DN P&amp;L'!X63</f>
        <v/>
      </c>
      <c r="Y21" s="37">
        <f>'DN P&amp;L'!Y63</f>
        <v/>
      </c>
      <c r="Z21" s="37">
        <f>'DN P&amp;L'!Z63</f>
        <v/>
      </c>
      <c r="AA21" s="37">
        <f>'DN P&amp;L'!AA63</f>
        <v/>
      </c>
      <c r="AB21" s="37">
        <f>'DN P&amp;L'!AB63</f>
        <v/>
      </c>
      <c r="AC21" s="37">
        <f>'DN P&amp;L'!AC63</f>
        <v/>
      </c>
      <c r="AD21" s="37">
        <f>'DN P&amp;L'!AD63</f>
        <v/>
      </c>
      <c r="AE21" s="37">
        <f>'DN P&amp;L'!AE63</f>
        <v/>
      </c>
      <c r="AF21" s="37">
        <f>'DN P&amp;L'!AF63</f>
        <v/>
      </c>
      <c r="AG21" s="37">
        <f>'DN P&amp;L'!AG63</f>
        <v/>
      </c>
      <c r="AH21" s="37">
        <f>'DN P&amp;L'!AH63</f>
        <v/>
      </c>
      <c r="AI21" s="37">
        <f>'DN P&amp;L'!AI63</f>
        <v/>
      </c>
      <c r="AJ21" s="37">
        <f>'DN P&amp;L'!AJ63</f>
        <v/>
      </c>
      <c r="AK21" s="37">
        <f>'DN P&amp;L'!AK63</f>
        <v/>
      </c>
      <c r="AL21" s="37">
        <f>'DN P&amp;L'!AL63</f>
        <v/>
      </c>
      <c r="AM21" s="37">
        <f>'DN P&amp;L'!AM63</f>
        <v/>
      </c>
      <c r="AN21" s="37">
        <f>'DN P&amp;L'!AN63</f>
        <v/>
      </c>
      <c r="AO21" s="37">
        <f>'DN P&amp;L'!AO63</f>
        <v/>
      </c>
      <c r="AP21" s="37">
        <f>'DN P&amp;L'!AP63</f>
        <v/>
      </c>
      <c r="AQ21" s="37">
        <f>'DN P&amp;L'!AQ63</f>
        <v/>
      </c>
      <c r="AR21" s="37">
        <f>'DN P&amp;L'!AR63</f>
        <v/>
      </c>
      <c r="AS21" s="37">
        <f>'DN P&amp;L'!AS63</f>
        <v/>
      </c>
      <c r="AT21" s="37">
        <f>'DN P&amp;L'!AT63</f>
        <v/>
      </c>
      <c r="AU21" s="37">
        <f>'DN P&amp;L'!AU63</f>
        <v/>
      </c>
      <c r="AV21" s="37">
        <f>'DN P&amp;L'!AV63</f>
        <v/>
      </c>
      <c r="AW21" s="37">
        <f>'DN P&amp;L'!AW63</f>
        <v/>
      </c>
      <c r="AX21" s="37">
        <f>'DN P&amp;L'!AX63</f>
        <v/>
      </c>
      <c r="AY21" s="37">
        <f>'DN P&amp;L'!AY63</f>
        <v/>
      </c>
    </row>
    <row r="23" ht="16" customHeight="1" s="282">
      <c r="B23" s="10" t="inlineStr">
        <is>
          <t>Lafayette (LF)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</row>
    <row r="24">
      <c r="B24" s="18" t="inlineStr">
        <is>
          <t>Total Revenue</t>
        </is>
      </c>
      <c r="D24" s="20">
        <f>'LF P&amp;L'!D22</f>
        <v/>
      </c>
      <c r="E24" s="20">
        <f>'LF P&amp;L'!E22</f>
        <v/>
      </c>
      <c r="F24" s="20">
        <f>'LF P&amp;L'!F22</f>
        <v/>
      </c>
      <c r="G24" s="20">
        <f>'LF P&amp;L'!G22</f>
        <v/>
      </c>
      <c r="H24" s="20">
        <f>'LF P&amp;L'!H22</f>
        <v/>
      </c>
      <c r="I24" s="20">
        <f>'LF P&amp;L'!I22</f>
        <v/>
      </c>
      <c r="J24" s="20">
        <f>'LF P&amp;L'!J22</f>
        <v/>
      </c>
      <c r="K24" s="20">
        <f>'LF P&amp;L'!K22</f>
        <v/>
      </c>
      <c r="L24" s="20">
        <f>'LF P&amp;L'!L22</f>
        <v/>
      </c>
      <c r="M24" s="20">
        <f>'LF P&amp;L'!M22</f>
        <v/>
      </c>
      <c r="N24" s="20">
        <f>'LF P&amp;L'!N22</f>
        <v/>
      </c>
      <c r="O24" s="20">
        <f>'LF P&amp;L'!O22</f>
        <v/>
      </c>
      <c r="P24" s="20">
        <f>'LF P&amp;L'!P22</f>
        <v/>
      </c>
      <c r="Q24" s="20">
        <f>'LF P&amp;L'!Q22</f>
        <v/>
      </c>
      <c r="R24" s="20">
        <f>'LF P&amp;L'!R22</f>
        <v/>
      </c>
      <c r="S24" s="20">
        <f>'LF P&amp;L'!S22</f>
        <v/>
      </c>
      <c r="T24" s="20">
        <f>'LF P&amp;L'!T22</f>
        <v/>
      </c>
      <c r="U24" s="20">
        <f>'LF P&amp;L'!U22</f>
        <v/>
      </c>
      <c r="V24" s="20">
        <f>'LF P&amp;L'!V22</f>
        <v/>
      </c>
      <c r="W24" s="20">
        <f>'LF P&amp;L'!W22</f>
        <v/>
      </c>
      <c r="X24" s="20">
        <f>'LF P&amp;L'!X22</f>
        <v/>
      </c>
      <c r="Y24" s="20">
        <f>'LF P&amp;L'!Y22</f>
        <v/>
      </c>
      <c r="Z24" s="20">
        <f>'LF P&amp;L'!Z22</f>
        <v/>
      </c>
      <c r="AA24" s="20">
        <f>'LF P&amp;L'!AA22</f>
        <v/>
      </c>
      <c r="AB24" s="20">
        <f>'LF P&amp;L'!AB22</f>
        <v/>
      </c>
      <c r="AC24" s="20">
        <f>'LF P&amp;L'!AC22</f>
        <v/>
      </c>
      <c r="AD24" s="20">
        <f>'LF P&amp;L'!AD22</f>
        <v/>
      </c>
      <c r="AE24" s="20">
        <f>'LF P&amp;L'!AE22</f>
        <v/>
      </c>
      <c r="AF24" s="20">
        <f>'LF P&amp;L'!AF22</f>
        <v/>
      </c>
      <c r="AG24" s="20">
        <f>'LF P&amp;L'!AG22</f>
        <v/>
      </c>
      <c r="AH24" s="20">
        <f>'LF P&amp;L'!AH22</f>
        <v/>
      </c>
      <c r="AI24" s="20">
        <f>'LF P&amp;L'!AI22</f>
        <v/>
      </c>
      <c r="AJ24" s="20">
        <f>'LF P&amp;L'!AJ22</f>
        <v/>
      </c>
      <c r="AK24" s="20">
        <f>'LF P&amp;L'!AK22</f>
        <v/>
      </c>
      <c r="AL24" s="20">
        <f>'LF P&amp;L'!AL22</f>
        <v/>
      </c>
      <c r="AM24" s="20">
        <f>'LF P&amp;L'!AM22</f>
        <v/>
      </c>
      <c r="AN24" s="20">
        <f>'LF P&amp;L'!AN22</f>
        <v/>
      </c>
      <c r="AO24" s="20">
        <f>'LF P&amp;L'!AO22</f>
        <v/>
      </c>
      <c r="AP24" s="20">
        <f>'LF P&amp;L'!AP22</f>
        <v/>
      </c>
      <c r="AQ24" s="20">
        <f>'LF P&amp;L'!AQ22</f>
        <v/>
      </c>
      <c r="AR24" s="20">
        <f>'LF P&amp;L'!AR22</f>
        <v/>
      </c>
      <c r="AS24" s="20">
        <f>'LF P&amp;L'!AS22</f>
        <v/>
      </c>
      <c r="AT24" s="20">
        <f>'LF P&amp;L'!AT22</f>
        <v/>
      </c>
      <c r="AU24" s="20">
        <f>'LF P&amp;L'!AU22</f>
        <v/>
      </c>
      <c r="AV24" s="20">
        <f>'LF P&amp;L'!AV22</f>
        <v/>
      </c>
      <c r="AW24" s="20">
        <f>'LF P&amp;L'!AW22</f>
        <v/>
      </c>
      <c r="AX24" s="20">
        <f>'LF P&amp;L'!AX22</f>
        <v/>
      </c>
      <c r="AY24" s="20">
        <f>'LF P&amp;L'!AY22</f>
        <v/>
      </c>
    </row>
    <row r="25">
      <c r="B25" s="18" t="inlineStr">
        <is>
          <t>Gross Profit</t>
        </is>
      </c>
      <c r="D25" s="20">
        <f>'LF P&amp;L'!D27</f>
        <v/>
      </c>
      <c r="E25" s="20">
        <f>'LF P&amp;L'!E27</f>
        <v/>
      </c>
      <c r="F25" s="20">
        <f>'LF P&amp;L'!F27</f>
        <v/>
      </c>
      <c r="G25" s="20">
        <f>'LF P&amp;L'!G27</f>
        <v/>
      </c>
      <c r="H25" s="20">
        <f>'LF P&amp;L'!H27</f>
        <v/>
      </c>
      <c r="I25" s="20">
        <f>'LF P&amp;L'!I27</f>
        <v/>
      </c>
      <c r="J25" s="20">
        <f>'LF P&amp;L'!J27</f>
        <v/>
      </c>
      <c r="K25" s="20">
        <f>'LF P&amp;L'!K27</f>
        <v/>
      </c>
      <c r="L25" s="20">
        <f>'LF P&amp;L'!L27</f>
        <v/>
      </c>
      <c r="M25" s="20">
        <f>'LF P&amp;L'!M27</f>
        <v/>
      </c>
      <c r="N25" s="20">
        <f>'LF P&amp;L'!N27</f>
        <v/>
      </c>
      <c r="O25" s="20">
        <f>'LF P&amp;L'!O27</f>
        <v/>
      </c>
      <c r="P25" s="20">
        <f>'LF P&amp;L'!P27</f>
        <v/>
      </c>
      <c r="Q25" s="20">
        <f>'LF P&amp;L'!Q27</f>
        <v/>
      </c>
      <c r="R25" s="20">
        <f>'LF P&amp;L'!R27</f>
        <v/>
      </c>
      <c r="S25" s="20">
        <f>'LF P&amp;L'!S27</f>
        <v/>
      </c>
      <c r="T25" s="20">
        <f>'LF P&amp;L'!T27</f>
        <v/>
      </c>
      <c r="U25" s="20">
        <f>'LF P&amp;L'!U27</f>
        <v/>
      </c>
      <c r="V25" s="20">
        <f>'LF P&amp;L'!V27</f>
        <v/>
      </c>
      <c r="W25" s="20">
        <f>'LF P&amp;L'!W27</f>
        <v/>
      </c>
      <c r="X25" s="20">
        <f>'LF P&amp;L'!X27</f>
        <v/>
      </c>
      <c r="Y25" s="20">
        <f>'LF P&amp;L'!Y27</f>
        <v/>
      </c>
      <c r="Z25" s="20">
        <f>'LF P&amp;L'!Z27</f>
        <v/>
      </c>
      <c r="AA25" s="20">
        <f>'LF P&amp;L'!AA27</f>
        <v/>
      </c>
      <c r="AB25" s="20">
        <f>'LF P&amp;L'!AB27</f>
        <v/>
      </c>
      <c r="AC25" s="20">
        <f>'LF P&amp;L'!AC27</f>
        <v/>
      </c>
      <c r="AD25" s="20">
        <f>'LF P&amp;L'!AD27</f>
        <v/>
      </c>
      <c r="AE25" s="20">
        <f>'LF P&amp;L'!AE27</f>
        <v/>
      </c>
      <c r="AF25" s="20">
        <f>'LF P&amp;L'!AF27</f>
        <v/>
      </c>
      <c r="AG25" s="20">
        <f>'LF P&amp;L'!AG27</f>
        <v/>
      </c>
      <c r="AH25" s="20">
        <f>'LF P&amp;L'!AH27</f>
        <v/>
      </c>
      <c r="AI25" s="20">
        <f>'LF P&amp;L'!AI27</f>
        <v/>
      </c>
      <c r="AJ25" s="20">
        <f>'LF P&amp;L'!AJ27</f>
        <v/>
      </c>
      <c r="AK25" s="20">
        <f>'LF P&amp;L'!AK27</f>
        <v/>
      </c>
      <c r="AL25" s="20">
        <f>'LF P&amp;L'!AL27</f>
        <v/>
      </c>
      <c r="AM25" s="20">
        <f>'LF P&amp;L'!AM27</f>
        <v/>
      </c>
      <c r="AN25" s="20">
        <f>'LF P&amp;L'!AN27</f>
        <v/>
      </c>
      <c r="AO25" s="20">
        <f>'LF P&amp;L'!AO27</f>
        <v/>
      </c>
      <c r="AP25" s="20">
        <f>'LF P&amp;L'!AP27</f>
        <v/>
      </c>
      <c r="AQ25" s="20">
        <f>'LF P&amp;L'!AQ27</f>
        <v/>
      </c>
      <c r="AR25" s="20">
        <f>'LF P&amp;L'!AR27</f>
        <v/>
      </c>
      <c r="AS25" s="20">
        <f>'LF P&amp;L'!AS27</f>
        <v/>
      </c>
      <c r="AT25" s="20">
        <f>'LF P&amp;L'!AT27</f>
        <v/>
      </c>
      <c r="AU25" s="20">
        <f>'LF P&amp;L'!AU27</f>
        <v/>
      </c>
      <c r="AV25" s="20">
        <f>'LF P&amp;L'!AV27</f>
        <v/>
      </c>
      <c r="AW25" s="20">
        <f>'LF P&amp;L'!AW27</f>
        <v/>
      </c>
      <c r="AX25" s="20">
        <f>'LF P&amp;L'!AX27</f>
        <v/>
      </c>
      <c r="AY25" s="20">
        <f>'LF P&amp;L'!AY27</f>
        <v/>
      </c>
    </row>
    <row r="26">
      <c r="B26" s="18" t="inlineStr">
        <is>
          <t>Total Operating Expenses</t>
        </is>
      </c>
      <c r="D26" s="20">
        <f>'LF P&amp;L'!D63</f>
        <v/>
      </c>
      <c r="E26" s="20">
        <f>'LF P&amp;L'!E63</f>
        <v/>
      </c>
      <c r="F26" s="20">
        <f>'LF P&amp;L'!F63</f>
        <v/>
      </c>
      <c r="G26" s="20">
        <f>'LF P&amp;L'!G63</f>
        <v/>
      </c>
      <c r="H26" s="20">
        <f>'LF P&amp;L'!H63</f>
        <v/>
      </c>
      <c r="I26" s="20">
        <f>'LF P&amp;L'!I63</f>
        <v/>
      </c>
      <c r="J26" s="20">
        <f>'LF P&amp;L'!J63</f>
        <v/>
      </c>
      <c r="K26" s="20">
        <f>'LF P&amp;L'!K63</f>
        <v/>
      </c>
      <c r="L26" s="20">
        <f>'LF P&amp;L'!L63</f>
        <v/>
      </c>
      <c r="M26" s="20">
        <f>'LF P&amp;L'!M63</f>
        <v/>
      </c>
      <c r="N26" s="20">
        <f>'LF P&amp;L'!N63</f>
        <v/>
      </c>
      <c r="O26" s="20">
        <f>'LF P&amp;L'!O63</f>
        <v/>
      </c>
      <c r="P26" s="20">
        <f>'LF P&amp;L'!P63</f>
        <v/>
      </c>
      <c r="Q26" s="20">
        <f>'LF P&amp;L'!Q63</f>
        <v/>
      </c>
      <c r="R26" s="20">
        <f>'LF P&amp;L'!R63</f>
        <v/>
      </c>
      <c r="S26" s="20">
        <f>'LF P&amp;L'!S63</f>
        <v/>
      </c>
      <c r="T26" s="20">
        <f>'LF P&amp;L'!T63</f>
        <v/>
      </c>
      <c r="U26" s="20">
        <f>'LF P&amp;L'!U63</f>
        <v/>
      </c>
      <c r="V26" s="20">
        <f>'LF P&amp;L'!V63</f>
        <v/>
      </c>
      <c r="W26" s="20">
        <f>'LF P&amp;L'!W63</f>
        <v/>
      </c>
      <c r="X26" s="20">
        <f>'LF P&amp;L'!X63</f>
        <v/>
      </c>
      <c r="Y26" s="20">
        <f>'LF P&amp;L'!Y63</f>
        <v/>
      </c>
      <c r="Z26" s="20">
        <f>'LF P&amp;L'!Z63</f>
        <v/>
      </c>
      <c r="AA26" s="20">
        <f>'LF P&amp;L'!AA63</f>
        <v/>
      </c>
      <c r="AB26" s="20">
        <f>'LF P&amp;L'!AB63</f>
        <v/>
      </c>
      <c r="AC26" s="20">
        <f>'LF P&amp;L'!AC63</f>
        <v/>
      </c>
      <c r="AD26" s="20">
        <f>'LF P&amp;L'!AD63</f>
        <v/>
      </c>
      <c r="AE26" s="20">
        <f>'LF P&amp;L'!AE63</f>
        <v/>
      </c>
      <c r="AF26" s="20">
        <f>'LF P&amp;L'!AF63</f>
        <v/>
      </c>
      <c r="AG26" s="20">
        <f>'LF P&amp;L'!AG63</f>
        <v/>
      </c>
      <c r="AH26" s="20">
        <f>'LF P&amp;L'!AH63</f>
        <v/>
      </c>
      <c r="AI26" s="20">
        <f>'LF P&amp;L'!AI63</f>
        <v/>
      </c>
      <c r="AJ26" s="20">
        <f>'LF P&amp;L'!AJ63</f>
        <v/>
      </c>
      <c r="AK26" s="20">
        <f>'LF P&amp;L'!AK63</f>
        <v/>
      </c>
      <c r="AL26" s="20">
        <f>'LF P&amp;L'!AL63</f>
        <v/>
      </c>
      <c r="AM26" s="20">
        <f>'LF P&amp;L'!AM63</f>
        <v/>
      </c>
      <c r="AN26" s="20">
        <f>'LF P&amp;L'!AN63</f>
        <v/>
      </c>
      <c r="AO26" s="20">
        <f>'LF P&amp;L'!AO63</f>
        <v/>
      </c>
      <c r="AP26" s="20">
        <f>'LF P&amp;L'!AP63</f>
        <v/>
      </c>
      <c r="AQ26" s="20">
        <f>'LF P&amp;L'!AQ63</f>
        <v/>
      </c>
      <c r="AR26" s="20">
        <f>'LF P&amp;L'!AR63</f>
        <v/>
      </c>
      <c r="AS26" s="20">
        <f>'LF P&amp;L'!AS63</f>
        <v/>
      </c>
      <c r="AT26" s="20">
        <f>'LF P&amp;L'!AT63</f>
        <v/>
      </c>
      <c r="AU26" s="20">
        <f>'LF P&amp;L'!AU63</f>
        <v/>
      </c>
      <c r="AV26" s="20">
        <f>'LF P&amp;L'!AV63</f>
        <v/>
      </c>
      <c r="AW26" s="20">
        <f>'LF P&amp;L'!AW63</f>
        <v/>
      </c>
      <c r="AX26" s="20">
        <f>'LF P&amp;L'!AX63</f>
        <v/>
      </c>
      <c r="AY26" s="20">
        <f>'LF P&amp;L'!AY63</f>
        <v/>
      </c>
    </row>
    <row r="27">
      <c r="B27" s="15" t="inlineStr">
        <is>
          <t>Net Operating Income</t>
        </is>
      </c>
      <c r="D27" s="37">
        <f>'LF P&amp;L'!D64</f>
        <v/>
      </c>
      <c r="E27" s="37">
        <f>'LF P&amp;L'!E64</f>
        <v/>
      </c>
      <c r="F27" s="37">
        <f>'LF P&amp;L'!F64</f>
        <v/>
      </c>
      <c r="G27" s="37">
        <f>'LF P&amp;L'!G64</f>
        <v/>
      </c>
      <c r="H27" s="37">
        <f>'LF P&amp;L'!H64</f>
        <v/>
      </c>
      <c r="I27" s="37">
        <f>'LF P&amp;L'!I64</f>
        <v/>
      </c>
      <c r="J27" s="37">
        <f>'LF P&amp;L'!J64</f>
        <v/>
      </c>
      <c r="K27" s="37">
        <f>'LF P&amp;L'!K64</f>
        <v/>
      </c>
      <c r="L27" s="37">
        <f>'LF P&amp;L'!L64</f>
        <v/>
      </c>
      <c r="M27" s="37">
        <f>'LF P&amp;L'!M64</f>
        <v/>
      </c>
      <c r="N27" s="37">
        <f>'LF P&amp;L'!N64</f>
        <v/>
      </c>
      <c r="O27" s="37">
        <f>'LF P&amp;L'!O64</f>
        <v/>
      </c>
      <c r="P27" s="37">
        <f>'LF P&amp;L'!P64</f>
        <v/>
      </c>
      <c r="Q27" s="37">
        <f>'LF P&amp;L'!Q64</f>
        <v/>
      </c>
      <c r="R27" s="37">
        <f>'LF P&amp;L'!R64</f>
        <v/>
      </c>
      <c r="S27" s="37">
        <f>'LF P&amp;L'!S64</f>
        <v/>
      </c>
      <c r="T27" s="37">
        <f>'LF P&amp;L'!T64</f>
        <v/>
      </c>
      <c r="U27" s="37">
        <f>'LF P&amp;L'!U64</f>
        <v/>
      </c>
      <c r="V27" s="37">
        <f>'LF P&amp;L'!V64</f>
        <v/>
      </c>
      <c r="W27" s="37">
        <f>'LF P&amp;L'!W64</f>
        <v/>
      </c>
      <c r="X27" s="37">
        <f>'LF P&amp;L'!X64</f>
        <v/>
      </c>
      <c r="Y27" s="37">
        <f>'LF P&amp;L'!Y64</f>
        <v/>
      </c>
      <c r="Z27" s="37">
        <f>'LF P&amp;L'!Z64</f>
        <v/>
      </c>
      <c r="AA27" s="37">
        <f>'LF P&amp;L'!AA64</f>
        <v/>
      </c>
      <c r="AB27" s="37">
        <f>'LF P&amp;L'!AB64</f>
        <v/>
      </c>
      <c r="AC27" s="37">
        <f>'LF P&amp;L'!AC64</f>
        <v/>
      </c>
      <c r="AD27" s="37">
        <f>'LF P&amp;L'!AD64</f>
        <v/>
      </c>
      <c r="AE27" s="37">
        <f>'LF P&amp;L'!AE64</f>
        <v/>
      </c>
      <c r="AF27" s="37">
        <f>'LF P&amp;L'!AF64</f>
        <v/>
      </c>
      <c r="AG27" s="37">
        <f>'LF P&amp;L'!AG64</f>
        <v/>
      </c>
      <c r="AH27" s="37">
        <f>'LF P&amp;L'!AH64</f>
        <v/>
      </c>
      <c r="AI27" s="37">
        <f>'LF P&amp;L'!AI64</f>
        <v/>
      </c>
      <c r="AJ27" s="37">
        <f>'LF P&amp;L'!AJ64</f>
        <v/>
      </c>
      <c r="AK27" s="37">
        <f>'LF P&amp;L'!AK64</f>
        <v/>
      </c>
      <c r="AL27" s="37">
        <f>'LF P&amp;L'!AL64</f>
        <v/>
      </c>
      <c r="AM27" s="37">
        <f>'LF P&amp;L'!AM64</f>
        <v/>
      </c>
      <c r="AN27" s="37">
        <f>'LF P&amp;L'!AN64</f>
        <v/>
      </c>
      <c r="AO27" s="37">
        <f>'LF P&amp;L'!AO64</f>
        <v/>
      </c>
      <c r="AP27" s="37">
        <f>'LF P&amp;L'!AP64</f>
        <v/>
      </c>
      <c r="AQ27" s="37">
        <f>'LF P&amp;L'!AQ64</f>
        <v/>
      </c>
      <c r="AR27" s="37">
        <f>'LF P&amp;L'!AR64</f>
        <v/>
      </c>
      <c r="AS27" s="37">
        <f>'LF P&amp;L'!AS64</f>
        <v/>
      </c>
      <c r="AT27" s="37">
        <f>'LF P&amp;L'!AT64</f>
        <v/>
      </c>
      <c r="AU27" s="37">
        <f>'LF P&amp;L'!AU64</f>
        <v/>
      </c>
      <c r="AV27" s="37">
        <f>'LF P&amp;L'!AV64</f>
        <v/>
      </c>
      <c r="AW27" s="37">
        <f>'LF P&amp;L'!AW64</f>
        <v/>
      </c>
      <c r="AX27" s="37">
        <f>'LF P&amp;L'!AX64</f>
        <v/>
      </c>
      <c r="AY27" s="37">
        <f>'LF P&amp;L'!AY64</f>
        <v/>
      </c>
    </row>
    <row r="29" ht="16" customHeight="1" s="282">
      <c r="B29" s="10" t="inlineStr">
        <is>
          <t>Marin (MR)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</row>
    <row r="30">
      <c r="B30" s="18" t="inlineStr">
        <is>
          <t>Total Revenue</t>
        </is>
      </c>
      <c r="D30" s="20">
        <f>'MR P&amp;L'!D21</f>
        <v/>
      </c>
      <c r="E30" s="20">
        <f>'MR P&amp;L'!E21</f>
        <v/>
      </c>
      <c r="F30" s="20">
        <f>'MR P&amp;L'!F21</f>
        <v/>
      </c>
      <c r="G30" s="20">
        <f>'MR P&amp;L'!G21</f>
        <v/>
      </c>
      <c r="H30" s="20">
        <f>'MR P&amp;L'!H21</f>
        <v/>
      </c>
      <c r="I30" s="20">
        <f>'MR P&amp;L'!I21</f>
        <v/>
      </c>
      <c r="J30" s="20">
        <f>'MR P&amp;L'!J21</f>
        <v/>
      </c>
      <c r="K30" s="20">
        <f>'MR P&amp;L'!K21</f>
        <v/>
      </c>
      <c r="L30" s="20">
        <f>'MR P&amp;L'!L21</f>
        <v/>
      </c>
      <c r="M30" s="20">
        <f>'MR P&amp;L'!M21</f>
        <v/>
      </c>
      <c r="N30" s="20">
        <f>'MR P&amp;L'!N21</f>
        <v/>
      </c>
      <c r="O30" s="20">
        <f>'MR P&amp;L'!O21</f>
        <v/>
      </c>
      <c r="P30" s="20">
        <f>'MR P&amp;L'!P21</f>
        <v/>
      </c>
      <c r="Q30" s="20">
        <f>'MR P&amp;L'!Q21</f>
        <v/>
      </c>
      <c r="R30" s="20">
        <f>'MR P&amp;L'!R21</f>
        <v/>
      </c>
      <c r="S30" s="20">
        <f>'MR P&amp;L'!S21</f>
        <v/>
      </c>
      <c r="T30" s="20">
        <f>'MR P&amp;L'!T21</f>
        <v/>
      </c>
      <c r="U30" s="20">
        <f>'MR P&amp;L'!U21</f>
        <v/>
      </c>
      <c r="V30" s="20">
        <f>'MR P&amp;L'!V21</f>
        <v/>
      </c>
      <c r="W30" s="20">
        <f>'MR P&amp;L'!W21</f>
        <v/>
      </c>
      <c r="X30" s="20">
        <f>'MR P&amp;L'!X21</f>
        <v/>
      </c>
      <c r="Y30" s="20">
        <f>'MR P&amp;L'!Y21</f>
        <v/>
      </c>
      <c r="Z30" s="20">
        <f>'MR P&amp;L'!Z21</f>
        <v/>
      </c>
      <c r="AA30" s="20">
        <f>'MR P&amp;L'!AA21</f>
        <v/>
      </c>
      <c r="AB30" s="20">
        <f>'MR P&amp;L'!AB21</f>
        <v/>
      </c>
      <c r="AC30" s="20">
        <f>'MR P&amp;L'!AC21</f>
        <v/>
      </c>
      <c r="AD30" s="20">
        <f>'MR P&amp;L'!AD21</f>
        <v/>
      </c>
      <c r="AE30" s="20">
        <f>'MR P&amp;L'!AE21</f>
        <v/>
      </c>
      <c r="AF30" s="20">
        <f>'MR P&amp;L'!AF21</f>
        <v/>
      </c>
      <c r="AG30" s="20">
        <f>'MR P&amp;L'!AG21</f>
        <v/>
      </c>
      <c r="AH30" s="20">
        <f>'MR P&amp;L'!AH21</f>
        <v/>
      </c>
      <c r="AI30" s="20">
        <f>'MR P&amp;L'!AI21</f>
        <v/>
      </c>
      <c r="AJ30" s="20">
        <f>'MR P&amp;L'!AJ21</f>
        <v/>
      </c>
      <c r="AK30" s="20">
        <f>'MR P&amp;L'!AK21</f>
        <v/>
      </c>
      <c r="AL30" s="20">
        <f>'MR P&amp;L'!AL21</f>
        <v/>
      </c>
      <c r="AM30" s="20">
        <f>'MR P&amp;L'!AM21</f>
        <v/>
      </c>
      <c r="AN30" s="20">
        <f>'MR P&amp;L'!AN21</f>
        <v/>
      </c>
      <c r="AO30" s="20">
        <f>'MR P&amp;L'!AO21</f>
        <v/>
      </c>
      <c r="AP30" s="20">
        <f>'MR P&amp;L'!AP21</f>
        <v/>
      </c>
      <c r="AQ30" s="20">
        <f>'MR P&amp;L'!AQ21</f>
        <v/>
      </c>
      <c r="AR30" s="20">
        <f>'MR P&amp;L'!AR21</f>
        <v/>
      </c>
      <c r="AS30" s="20">
        <f>'MR P&amp;L'!AS21</f>
        <v/>
      </c>
      <c r="AT30" s="20">
        <f>'MR P&amp;L'!AT21</f>
        <v/>
      </c>
      <c r="AU30" s="20">
        <f>'MR P&amp;L'!AU21</f>
        <v/>
      </c>
      <c r="AV30" s="20">
        <f>'MR P&amp;L'!AV21</f>
        <v/>
      </c>
      <c r="AW30" s="20">
        <f>'MR P&amp;L'!AW21</f>
        <v/>
      </c>
      <c r="AX30" s="20">
        <f>'MR P&amp;L'!AX21</f>
        <v/>
      </c>
      <c r="AY30" s="20">
        <f>'MR P&amp;L'!AY21</f>
        <v/>
      </c>
    </row>
    <row r="31">
      <c r="B31" s="18" t="inlineStr">
        <is>
          <t>Gross Profit</t>
        </is>
      </c>
      <c r="D31" s="20">
        <f>'MR P&amp;L'!D26</f>
        <v/>
      </c>
      <c r="E31" s="20">
        <f>'MR P&amp;L'!E26</f>
        <v/>
      </c>
      <c r="F31" s="20">
        <f>'MR P&amp;L'!F26</f>
        <v/>
      </c>
      <c r="G31" s="20">
        <f>'MR P&amp;L'!G26</f>
        <v/>
      </c>
      <c r="H31" s="20">
        <f>'MR P&amp;L'!H26</f>
        <v/>
      </c>
      <c r="I31" s="20">
        <f>'MR P&amp;L'!I26</f>
        <v/>
      </c>
      <c r="J31" s="20">
        <f>'MR P&amp;L'!J26</f>
        <v/>
      </c>
      <c r="K31" s="20">
        <f>'MR P&amp;L'!K26</f>
        <v/>
      </c>
      <c r="L31" s="20">
        <f>'MR P&amp;L'!L26</f>
        <v/>
      </c>
      <c r="M31" s="20">
        <f>'MR P&amp;L'!M26</f>
        <v/>
      </c>
      <c r="N31" s="20">
        <f>'MR P&amp;L'!N26</f>
        <v/>
      </c>
      <c r="O31" s="20">
        <f>'MR P&amp;L'!O26</f>
        <v/>
      </c>
      <c r="P31" s="20">
        <f>'MR P&amp;L'!P26</f>
        <v/>
      </c>
      <c r="Q31" s="20">
        <f>'MR P&amp;L'!Q26</f>
        <v/>
      </c>
      <c r="R31" s="20">
        <f>'MR P&amp;L'!R26</f>
        <v/>
      </c>
      <c r="S31" s="20">
        <f>'MR P&amp;L'!S26</f>
        <v/>
      </c>
      <c r="T31" s="20">
        <f>'MR P&amp;L'!T26</f>
        <v/>
      </c>
      <c r="U31" s="20">
        <f>'MR P&amp;L'!U26</f>
        <v/>
      </c>
      <c r="V31" s="20">
        <f>'MR P&amp;L'!V26</f>
        <v/>
      </c>
      <c r="W31" s="20">
        <f>'MR P&amp;L'!W26</f>
        <v/>
      </c>
      <c r="X31" s="20">
        <f>'MR P&amp;L'!X26</f>
        <v/>
      </c>
      <c r="Y31" s="20">
        <f>'MR P&amp;L'!Y26</f>
        <v/>
      </c>
      <c r="Z31" s="20">
        <f>'MR P&amp;L'!Z26</f>
        <v/>
      </c>
      <c r="AA31" s="20">
        <f>'MR P&amp;L'!AA26</f>
        <v/>
      </c>
      <c r="AB31" s="20">
        <f>'MR P&amp;L'!AB26</f>
        <v/>
      </c>
      <c r="AC31" s="20">
        <f>'MR P&amp;L'!AC26</f>
        <v/>
      </c>
      <c r="AD31" s="20">
        <f>'MR P&amp;L'!AD26</f>
        <v/>
      </c>
      <c r="AE31" s="20">
        <f>'MR P&amp;L'!AE26</f>
        <v/>
      </c>
      <c r="AF31" s="20">
        <f>'MR P&amp;L'!AF26</f>
        <v/>
      </c>
      <c r="AG31" s="20">
        <f>'MR P&amp;L'!AG26</f>
        <v/>
      </c>
      <c r="AH31" s="20">
        <f>'MR P&amp;L'!AH26</f>
        <v/>
      </c>
      <c r="AI31" s="20">
        <f>'MR P&amp;L'!AI26</f>
        <v/>
      </c>
      <c r="AJ31" s="20">
        <f>'MR P&amp;L'!AJ26</f>
        <v/>
      </c>
      <c r="AK31" s="20">
        <f>'MR P&amp;L'!AK26</f>
        <v/>
      </c>
      <c r="AL31" s="20">
        <f>'MR P&amp;L'!AL26</f>
        <v/>
      </c>
      <c r="AM31" s="20">
        <f>'MR P&amp;L'!AM26</f>
        <v/>
      </c>
      <c r="AN31" s="20">
        <f>'MR P&amp;L'!AN26</f>
        <v/>
      </c>
      <c r="AO31" s="20">
        <f>'MR P&amp;L'!AO26</f>
        <v/>
      </c>
      <c r="AP31" s="20">
        <f>'MR P&amp;L'!AP26</f>
        <v/>
      </c>
      <c r="AQ31" s="20">
        <f>'MR P&amp;L'!AQ26</f>
        <v/>
      </c>
      <c r="AR31" s="20">
        <f>'MR P&amp;L'!AR26</f>
        <v/>
      </c>
      <c r="AS31" s="20">
        <f>'MR P&amp;L'!AS26</f>
        <v/>
      </c>
      <c r="AT31" s="20">
        <f>'MR P&amp;L'!AT26</f>
        <v/>
      </c>
      <c r="AU31" s="20">
        <f>'MR P&amp;L'!AU26</f>
        <v/>
      </c>
      <c r="AV31" s="20">
        <f>'MR P&amp;L'!AV26</f>
        <v/>
      </c>
      <c r="AW31" s="20">
        <f>'MR P&amp;L'!AW26</f>
        <v/>
      </c>
      <c r="AX31" s="20">
        <f>'MR P&amp;L'!AX26</f>
        <v/>
      </c>
      <c r="AY31" s="20">
        <f>'MR P&amp;L'!AY26</f>
        <v/>
      </c>
    </row>
    <row r="32">
      <c r="B32" s="18" t="inlineStr">
        <is>
          <t>Total Operating Expenses</t>
        </is>
      </c>
      <c r="D32" s="20">
        <f>'MR P&amp;L'!D62</f>
        <v/>
      </c>
      <c r="E32" s="20">
        <f>'MR P&amp;L'!E62</f>
        <v/>
      </c>
      <c r="F32" s="20">
        <f>'MR P&amp;L'!F62</f>
        <v/>
      </c>
      <c r="G32" s="20">
        <f>'MR P&amp;L'!G62</f>
        <v/>
      </c>
      <c r="H32" s="20">
        <f>'MR P&amp;L'!H62</f>
        <v/>
      </c>
      <c r="I32" s="20">
        <f>'MR P&amp;L'!I62</f>
        <v/>
      </c>
      <c r="J32" s="20">
        <f>'MR P&amp;L'!J62</f>
        <v/>
      </c>
      <c r="K32" s="20">
        <f>'MR P&amp;L'!K62</f>
        <v/>
      </c>
      <c r="L32" s="20">
        <f>'MR P&amp;L'!L62</f>
        <v/>
      </c>
      <c r="M32" s="20">
        <f>'MR P&amp;L'!M62</f>
        <v/>
      </c>
      <c r="N32" s="20">
        <f>'MR P&amp;L'!N62</f>
        <v/>
      </c>
      <c r="O32" s="20">
        <f>'MR P&amp;L'!O62</f>
        <v/>
      </c>
      <c r="P32" s="20">
        <f>'MR P&amp;L'!P62</f>
        <v/>
      </c>
      <c r="Q32" s="20">
        <f>'MR P&amp;L'!Q62</f>
        <v/>
      </c>
      <c r="R32" s="20">
        <f>'MR P&amp;L'!R62</f>
        <v/>
      </c>
      <c r="S32" s="20">
        <f>'MR P&amp;L'!S62</f>
        <v/>
      </c>
      <c r="T32" s="20">
        <f>'MR P&amp;L'!T62</f>
        <v/>
      </c>
      <c r="U32" s="20">
        <f>'MR P&amp;L'!U62</f>
        <v/>
      </c>
      <c r="V32" s="20">
        <f>'MR P&amp;L'!V62</f>
        <v/>
      </c>
      <c r="W32" s="20">
        <f>'MR P&amp;L'!W62</f>
        <v/>
      </c>
      <c r="X32" s="20">
        <f>'MR P&amp;L'!X62</f>
        <v/>
      </c>
      <c r="Y32" s="20">
        <f>'MR P&amp;L'!Y62</f>
        <v/>
      </c>
      <c r="Z32" s="20">
        <f>'MR P&amp;L'!Z62</f>
        <v/>
      </c>
      <c r="AA32" s="20">
        <f>'MR P&amp;L'!AA62</f>
        <v/>
      </c>
      <c r="AB32" s="20">
        <f>'MR P&amp;L'!AB62</f>
        <v/>
      </c>
      <c r="AC32" s="20">
        <f>'MR P&amp;L'!AC62</f>
        <v/>
      </c>
      <c r="AD32" s="20">
        <f>'MR P&amp;L'!AD62</f>
        <v/>
      </c>
      <c r="AE32" s="20">
        <f>'MR P&amp;L'!AE62</f>
        <v/>
      </c>
      <c r="AF32" s="20">
        <f>'MR P&amp;L'!AF62</f>
        <v/>
      </c>
      <c r="AG32" s="20">
        <f>'MR P&amp;L'!AG62</f>
        <v/>
      </c>
      <c r="AH32" s="20">
        <f>'MR P&amp;L'!AH62</f>
        <v/>
      </c>
      <c r="AI32" s="20">
        <f>'MR P&amp;L'!AI62</f>
        <v/>
      </c>
      <c r="AJ32" s="20">
        <f>'MR P&amp;L'!AJ62</f>
        <v/>
      </c>
      <c r="AK32" s="20">
        <f>'MR P&amp;L'!AK62</f>
        <v/>
      </c>
      <c r="AL32" s="20">
        <f>'MR P&amp;L'!AL62</f>
        <v/>
      </c>
      <c r="AM32" s="20">
        <f>'MR P&amp;L'!AM62</f>
        <v/>
      </c>
      <c r="AN32" s="20">
        <f>'MR P&amp;L'!AN62</f>
        <v/>
      </c>
      <c r="AO32" s="20">
        <f>'MR P&amp;L'!AO62</f>
        <v/>
      </c>
      <c r="AP32" s="20">
        <f>'MR P&amp;L'!AP62</f>
        <v/>
      </c>
      <c r="AQ32" s="20">
        <f>'MR P&amp;L'!AQ62</f>
        <v/>
      </c>
      <c r="AR32" s="20">
        <f>'MR P&amp;L'!AR62</f>
        <v/>
      </c>
      <c r="AS32" s="20">
        <f>'MR P&amp;L'!AS62</f>
        <v/>
      </c>
      <c r="AT32" s="20">
        <f>'MR P&amp;L'!AT62</f>
        <v/>
      </c>
      <c r="AU32" s="20">
        <f>'MR P&amp;L'!AU62</f>
        <v/>
      </c>
      <c r="AV32" s="20">
        <f>'MR P&amp;L'!AV62</f>
        <v/>
      </c>
      <c r="AW32" s="20">
        <f>'MR P&amp;L'!AW62</f>
        <v/>
      </c>
      <c r="AX32" s="20">
        <f>'MR P&amp;L'!AX62</f>
        <v/>
      </c>
      <c r="AY32" s="20">
        <f>'MR P&amp;L'!AY62</f>
        <v/>
      </c>
    </row>
    <row r="33">
      <c r="B33" s="15" t="inlineStr">
        <is>
          <t>Net Operating Income</t>
        </is>
      </c>
      <c r="D33" s="37">
        <f>'MR P&amp;L'!D63</f>
        <v/>
      </c>
      <c r="E33" s="37">
        <f>'MR P&amp;L'!E63</f>
        <v/>
      </c>
      <c r="F33" s="37">
        <f>'MR P&amp;L'!F63</f>
        <v/>
      </c>
      <c r="G33" s="37">
        <f>'MR P&amp;L'!G63</f>
        <v/>
      </c>
      <c r="H33" s="37">
        <f>'MR P&amp;L'!H63</f>
        <v/>
      </c>
      <c r="I33" s="37">
        <f>'MR P&amp;L'!I63</f>
        <v/>
      </c>
      <c r="J33" s="37">
        <f>'MR P&amp;L'!J63</f>
        <v/>
      </c>
      <c r="K33" s="37">
        <f>'MR P&amp;L'!K63</f>
        <v/>
      </c>
      <c r="L33" s="37">
        <f>'MR P&amp;L'!L63</f>
        <v/>
      </c>
      <c r="M33" s="37">
        <f>'MR P&amp;L'!M63</f>
        <v/>
      </c>
      <c r="N33" s="37">
        <f>'MR P&amp;L'!N63</f>
        <v/>
      </c>
      <c r="O33" s="37">
        <f>'MR P&amp;L'!O63</f>
        <v/>
      </c>
      <c r="P33" s="37">
        <f>'MR P&amp;L'!P63</f>
        <v/>
      </c>
      <c r="Q33" s="37">
        <f>'MR P&amp;L'!Q63</f>
        <v/>
      </c>
      <c r="R33" s="37">
        <f>'MR P&amp;L'!R63</f>
        <v/>
      </c>
      <c r="S33" s="37">
        <f>'MR P&amp;L'!S63</f>
        <v/>
      </c>
      <c r="T33" s="37">
        <f>'MR P&amp;L'!T63</f>
        <v/>
      </c>
      <c r="U33" s="37">
        <f>'MR P&amp;L'!U63</f>
        <v/>
      </c>
      <c r="V33" s="37">
        <f>'MR P&amp;L'!V63</f>
        <v/>
      </c>
      <c r="W33" s="37">
        <f>'MR P&amp;L'!W63</f>
        <v/>
      </c>
      <c r="X33" s="37">
        <f>'MR P&amp;L'!X63</f>
        <v/>
      </c>
      <c r="Y33" s="37">
        <f>'MR P&amp;L'!Y63</f>
        <v/>
      </c>
      <c r="Z33" s="37">
        <f>'MR P&amp;L'!Z63</f>
        <v/>
      </c>
      <c r="AA33" s="37">
        <f>'MR P&amp;L'!AA63</f>
        <v/>
      </c>
      <c r="AB33" s="37">
        <f>'MR P&amp;L'!AB63</f>
        <v/>
      </c>
      <c r="AC33" s="37">
        <f>'MR P&amp;L'!AC63</f>
        <v/>
      </c>
      <c r="AD33" s="37">
        <f>'MR P&amp;L'!AD63</f>
        <v/>
      </c>
      <c r="AE33" s="37">
        <f>'MR P&amp;L'!AE63</f>
        <v/>
      </c>
      <c r="AF33" s="37">
        <f>'MR P&amp;L'!AF63</f>
        <v/>
      </c>
      <c r="AG33" s="37">
        <f>'MR P&amp;L'!AG63</f>
        <v/>
      </c>
      <c r="AH33" s="37">
        <f>'MR P&amp;L'!AH63</f>
        <v/>
      </c>
      <c r="AI33" s="37">
        <f>'MR P&amp;L'!AI63</f>
        <v/>
      </c>
      <c r="AJ33" s="37">
        <f>'MR P&amp;L'!AJ63</f>
        <v/>
      </c>
      <c r="AK33" s="37">
        <f>'MR P&amp;L'!AK63</f>
        <v/>
      </c>
      <c r="AL33" s="37">
        <f>'MR P&amp;L'!AL63</f>
        <v/>
      </c>
      <c r="AM33" s="37">
        <f>'MR P&amp;L'!AM63</f>
        <v/>
      </c>
      <c r="AN33" s="37">
        <f>'MR P&amp;L'!AN63</f>
        <v/>
      </c>
      <c r="AO33" s="37">
        <f>'MR P&amp;L'!AO63</f>
        <v/>
      </c>
      <c r="AP33" s="37">
        <f>'MR P&amp;L'!AP63</f>
        <v/>
      </c>
      <c r="AQ33" s="37">
        <f>'MR P&amp;L'!AQ63</f>
        <v/>
      </c>
      <c r="AR33" s="37">
        <f>'MR P&amp;L'!AR63</f>
        <v/>
      </c>
      <c r="AS33" s="37">
        <f>'MR P&amp;L'!AS63</f>
        <v/>
      </c>
      <c r="AT33" s="37">
        <f>'MR P&amp;L'!AT63</f>
        <v/>
      </c>
      <c r="AU33" s="37">
        <f>'MR P&amp;L'!AU63</f>
        <v/>
      </c>
      <c r="AV33" s="37">
        <f>'MR P&amp;L'!AV63</f>
        <v/>
      </c>
      <c r="AW33" s="37">
        <f>'MR P&amp;L'!AW63</f>
        <v/>
      </c>
      <c r="AX33" s="37">
        <f>'MR P&amp;L'!AX63</f>
        <v/>
      </c>
      <c r="AY33" s="37">
        <f>'MR P&amp;L'!AY63</f>
        <v/>
      </c>
    </row>
    <row r="35" ht="16" customHeight="1" s="282">
      <c r="B35" s="10" t="inlineStr">
        <is>
          <t>Ocean Park (OP)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</row>
    <row r="36">
      <c r="B36" s="18" t="inlineStr">
        <is>
          <t>Total Revenue</t>
        </is>
      </c>
      <c r="D36" s="20">
        <f>'OP P&amp;L'!D21</f>
        <v/>
      </c>
      <c r="E36" s="20">
        <f>'OP P&amp;L'!E21</f>
        <v/>
      </c>
      <c r="F36" s="20">
        <f>'OP P&amp;L'!F21</f>
        <v/>
      </c>
      <c r="G36" s="20">
        <f>'OP P&amp;L'!G21</f>
        <v/>
      </c>
      <c r="H36" s="20">
        <f>'OP P&amp;L'!H21</f>
        <v/>
      </c>
      <c r="I36" s="20">
        <f>'OP P&amp;L'!I21</f>
        <v/>
      </c>
      <c r="J36" s="20">
        <f>'OP P&amp;L'!J21</f>
        <v/>
      </c>
      <c r="K36" s="20">
        <f>'OP P&amp;L'!K21</f>
        <v/>
      </c>
      <c r="L36" s="20">
        <f>'OP P&amp;L'!L21</f>
        <v/>
      </c>
      <c r="M36" s="20">
        <f>'OP P&amp;L'!M21</f>
        <v/>
      </c>
      <c r="N36" s="20">
        <f>'OP P&amp;L'!N21</f>
        <v/>
      </c>
      <c r="O36" s="20">
        <f>'OP P&amp;L'!O21</f>
        <v/>
      </c>
      <c r="P36" s="20">
        <f>'OP P&amp;L'!P21</f>
        <v/>
      </c>
      <c r="Q36" s="20">
        <f>'OP P&amp;L'!Q21</f>
        <v/>
      </c>
      <c r="R36" s="20">
        <f>'OP P&amp;L'!R21</f>
        <v/>
      </c>
      <c r="S36" s="20">
        <f>'OP P&amp;L'!S21</f>
        <v/>
      </c>
      <c r="T36" s="20">
        <f>'OP P&amp;L'!T21</f>
        <v/>
      </c>
      <c r="U36" s="20">
        <f>'OP P&amp;L'!U21</f>
        <v/>
      </c>
      <c r="V36" s="20">
        <f>'OP P&amp;L'!V21</f>
        <v/>
      </c>
      <c r="W36" s="20">
        <f>'OP P&amp;L'!W21</f>
        <v/>
      </c>
      <c r="X36" s="20">
        <f>'OP P&amp;L'!X21</f>
        <v/>
      </c>
      <c r="Y36" s="20">
        <f>'OP P&amp;L'!Y21</f>
        <v/>
      </c>
      <c r="Z36" s="20">
        <f>'OP P&amp;L'!Z21</f>
        <v/>
      </c>
      <c r="AA36" s="20">
        <f>'OP P&amp;L'!AA21</f>
        <v/>
      </c>
      <c r="AB36" s="20">
        <f>'OP P&amp;L'!AB21</f>
        <v/>
      </c>
      <c r="AC36" s="20">
        <f>'OP P&amp;L'!AC21</f>
        <v/>
      </c>
      <c r="AD36" s="20">
        <f>'OP P&amp;L'!AD21</f>
        <v/>
      </c>
      <c r="AE36" s="20">
        <f>'OP P&amp;L'!AE21</f>
        <v/>
      </c>
      <c r="AF36" s="20">
        <f>'OP P&amp;L'!AF21</f>
        <v/>
      </c>
      <c r="AG36" s="20">
        <f>'OP P&amp;L'!AG21</f>
        <v/>
      </c>
      <c r="AH36" s="20">
        <f>'OP P&amp;L'!AH21</f>
        <v/>
      </c>
      <c r="AI36" s="20">
        <f>'OP P&amp;L'!AI21</f>
        <v/>
      </c>
      <c r="AJ36" s="20">
        <f>'OP P&amp;L'!AJ21</f>
        <v/>
      </c>
      <c r="AK36" s="20">
        <f>'OP P&amp;L'!AK21</f>
        <v/>
      </c>
      <c r="AL36" s="20">
        <f>'OP P&amp;L'!AL21</f>
        <v/>
      </c>
      <c r="AM36" s="20">
        <f>'OP P&amp;L'!AM21</f>
        <v/>
      </c>
      <c r="AN36" s="20">
        <f>'OP P&amp;L'!AN21</f>
        <v/>
      </c>
      <c r="AO36" s="20">
        <f>'OP P&amp;L'!AO21</f>
        <v/>
      </c>
      <c r="AP36" s="20">
        <f>'OP P&amp;L'!AP21</f>
        <v/>
      </c>
      <c r="AQ36" s="20">
        <f>'OP P&amp;L'!AQ21</f>
        <v/>
      </c>
      <c r="AR36" s="20">
        <f>'OP P&amp;L'!AR21</f>
        <v/>
      </c>
      <c r="AS36" s="20">
        <f>'OP P&amp;L'!AS21</f>
        <v/>
      </c>
      <c r="AT36" s="20">
        <f>'OP P&amp;L'!AT21</f>
        <v/>
      </c>
      <c r="AU36" s="20">
        <f>'OP P&amp;L'!AU21</f>
        <v/>
      </c>
      <c r="AV36" s="20">
        <f>'OP P&amp;L'!AV21</f>
        <v/>
      </c>
      <c r="AW36" s="20">
        <f>'OP P&amp;L'!AW21</f>
        <v/>
      </c>
      <c r="AX36" s="20">
        <f>'OP P&amp;L'!AX21</f>
        <v/>
      </c>
      <c r="AY36" s="20">
        <f>'OP P&amp;L'!AY21</f>
        <v/>
      </c>
    </row>
    <row r="37">
      <c r="B37" s="18" t="inlineStr">
        <is>
          <t>Gross Profit</t>
        </is>
      </c>
      <c r="D37" s="20">
        <f>'OP P&amp;L'!D26</f>
        <v/>
      </c>
      <c r="E37" s="20">
        <f>'OP P&amp;L'!E26</f>
        <v/>
      </c>
      <c r="F37" s="20">
        <f>'OP P&amp;L'!F26</f>
        <v/>
      </c>
      <c r="G37" s="20">
        <f>'OP P&amp;L'!G26</f>
        <v/>
      </c>
      <c r="H37" s="20">
        <f>'OP P&amp;L'!H26</f>
        <v/>
      </c>
      <c r="I37" s="20">
        <f>'OP P&amp;L'!I26</f>
        <v/>
      </c>
      <c r="J37" s="20">
        <f>'OP P&amp;L'!J26</f>
        <v/>
      </c>
      <c r="K37" s="20">
        <f>'OP P&amp;L'!K26</f>
        <v/>
      </c>
      <c r="L37" s="20">
        <f>'OP P&amp;L'!L26</f>
        <v/>
      </c>
      <c r="M37" s="20">
        <f>'OP P&amp;L'!M26</f>
        <v/>
      </c>
      <c r="N37" s="20">
        <f>'OP P&amp;L'!N26</f>
        <v/>
      </c>
      <c r="O37" s="20">
        <f>'OP P&amp;L'!O26</f>
        <v/>
      </c>
      <c r="P37" s="20">
        <f>'OP P&amp;L'!P26</f>
        <v/>
      </c>
      <c r="Q37" s="20">
        <f>'OP P&amp;L'!Q26</f>
        <v/>
      </c>
      <c r="R37" s="20">
        <f>'OP P&amp;L'!R26</f>
        <v/>
      </c>
      <c r="S37" s="20">
        <f>'OP P&amp;L'!S26</f>
        <v/>
      </c>
      <c r="T37" s="20">
        <f>'OP P&amp;L'!T26</f>
        <v/>
      </c>
      <c r="U37" s="20">
        <f>'OP P&amp;L'!U26</f>
        <v/>
      </c>
      <c r="V37" s="20">
        <f>'OP P&amp;L'!V26</f>
        <v/>
      </c>
      <c r="W37" s="20">
        <f>'OP P&amp;L'!W26</f>
        <v/>
      </c>
      <c r="X37" s="20">
        <f>'OP P&amp;L'!X26</f>
        <v/>
      </c>
      <c r="Y37" s="20">
        <f>'OP P&amp;L'!Y26</f>
        <v/>
      </c>
      <c r="Z37" s="20">
        <f>'OP P&amp;L'!Z26</f>
        <v/>
      </c>
      <c r="AA37" s="20">
        <f>'OP P&amp;L'!AA26</f>
        <v/>
      </c>
      <c r="AB37" s="20">
        <f>'OP P&amp;L'!AB26</f>
        <v/>
      </c>
      <c r="AC37" s="20">
        <f>'OP P&amp;L'!AC26</f>
        <v/>
      </c>
      <c r="AD37" s="20">
        <f>'OP P&amp;L'!AD26</f>
        <v/>
      </c>
      <c r="AE37" s="20">
        <f>'OP P&amp;L'!AE26</f>
        <v/>
      </c>
      <c r="AF37" s="20">
        <f>'OP P&amp;L'!AF26</f>
        <v/>
      </c>
      <c r="AG37" s="20">
        <f>'OP P&amp;L'!AG26</f>
        <v/>
      </c>
      <c r="AH37" s="20">
        <f>'OP P&amp;L'!AH26</f>
        <v/>
      </c>
      <c r="AI37" s="20">
        <f>'OP P&amp;L'!AI26</f>
        <v/>
      </c>
      <c r="AJ37" s="20">
        <f>'OP P&amp;L'!AJ26</f>
        <v/>
      </c>
      <c r="AK37" s="20">
        <f>'OP P&amp;L'!AK26</f>
        <v/>
      </c>
      <c r="AL37" s="20">
        <f>'OP P&amp;L'!AL26</f>
        <v/>
      </c>
      <c r="AM37" s="20">
        <f>'OP P&amp;L'!AM26</f>
        <v/>
      </c>
      <c r="AN37" s="20">
        <f>'OP P&amp;L'!AN26</f>
        <v/>
      </c>
      <c r="AO37" s="20">
        <f>'OP P&amp;L'!AO26</f>
        <v/>
      </c>
      <c r="AP37" s="20">
        <f>'OP P&amp;L'!AP26</f>
        <v/>
      </c>
      <c r="AQ37" s="20">
        <f>'OP P&amp;L'!AQ26</f>
        <v/>
      </c>
      <c r="AR37" s="20">
        <f>'OP P&amp;L'!AR26</f>
        <v/>
      </c>
      <c r="AS37" s="20">
        <f>'OP P&amp;L'!AS26</f>
        <v/>
      </c>
      <c r="AT37" s="20">
        <f>'OP P&amp;L'!AT26</f>
        <v/>
      </c>
      <c r="AU37" s="20">
        <f>'OP P&amp;L'!AU26</f>
        <v/>
      </c>
      <c r="AV37" s="20">
        <f>'OP P&amp;L'!AV26</f>
        <v/>
      </c>
      <c r="AW37" s="20">
        <f>'OP P&amp;L'!AW26</f>
        <v/>
      </c>
      <c r="AX37" s="20">
        <f>'OP P&amp;L'!AX26</f>
        <v/>
      </c>
      <c r="AY37" s="20">
        <f>'OP P&amp;L'!AY26</f>
        <v/>
      </c>
    </row>
    <row r="38">
      <c r="B38" s="18" t="inlineStr">
        <is>
          <t>Total Operating Expenses</t>
        </is>
      </c>
      <c r="D38" s="20">
        <f>'OP P&amp;L'!D62</f>
        <v/>
      </c>
      <c r="E38" s="20">
        <f>'OP P&amp;L'!E62</f>
        <v/>
      </c>
      <c r="F38" s="20">
        <f>'OP P&amp;L'!F62</f>
        <v/>
      </c>
      <c r="G38" s="20">
        <f>'OP P&amp;L'!G62</f>
        <v/>
      </c>
      <c r="H38" s="20">
        <f>'OP P&amp;L'!H62</f>
        <v/>
      </c>
      <c r="I38" s="20">
        <f>'OP P&amp;L'!I62</f>
        <v/>
      </c>
      <c r="J38" s="20">
        <f>'OP P&amp;L'!J62</f>
        <v/>
      </c>
      <c r="K38" s="20">
        <f>'OP P&amp;L'!K62</f>
        <v/>
      </c>
      <c r="L38" s="20">
        <f>'OP P&amp;L'!L62</f>
        <v/>
      </c>
      <c r="M38" s="20">
        <f>'OP P&amp;L'!M62</f>
        <v/>
      </c>
      <c r="N38" s="20">
        <f>'OP P&amp;L'!N62</f>
        <v/>
      </c>
      <c r="O38" s="20">
        <f>'OP P&amp;L'!O62</f>
        <v/>
      </c>
      <c r="P38" s="20">
        <f>'OP P&amp;L'!P62</f>
        <v/>
      </c>
      <c r="Q38" s="20">
        <f>'OP P&amp;L'!Q62</f>
        <v/>
      </c>
      <c r="R38" s="20">
        <f>'OP P&amp;L'!R62</f>
        <v/>
      </c>
      <c r="S38" s="20">
        <f>'OP P&amp;L'!S62</f>
        <v/>
      </c>
      <c r="T38" s="20">
        <f>'OP P&amp;L'!T62</f>
        <v/>
      </c>
      <c r="U38" s="20">
        <f>'OP P&amp;L'!U62</f>
        <v/>
      </c>
      <c r="V38" s="20">
        <f>'OP P&amp;L'!V62</f>
        <v/>
      </c>
      <c r="W38" s="20">
        <f>'OP P&amp;L'!W62</f>
        <v/>
      </c>
      <c r="X38" s="20">
        <f>'OP P&amp;L'!X62</f>
        <v/>
      </c>
      <c r="Y38" s="20">
        <f>'OP P&amp;L'!Y62</f>
        <v/>
      </c>
      <c r="Z38" s="20">
        <f>'OP P&amp;L'!Z62</f>
        <v/>
      </c>
      <c r="AA38" s="20">
        <f>'OP P&amp;L'!AA62</f>
        <v/>
      </c>
      <c r="AB38" s="20">
        <f>'OP P&amp;L'!AB62</f>
        <v/>
      </c>
      <c r="AC38" s="20">
        <f>'OP P&amp;L'!AC62</f>
        <v/>
      </c>
      <c r="AD38" s="20">
        <f>'OP P&amp;L'!AD62</f>
        <v/>
      </c>
      <c r="AE38" s="20">
        <f>'OP P&amp;L'!AE62</f>
        <v/>
      </c>
      <c r="AF38" s="20">
        <f>'OP P&amp;L'!AF62</f>
        <v/>
      </c>
      <c r="AG38" s="20">
        <f>'OP P&amp;L'!AG62</f>
        <v/>
      </c>
      <c r="AH38" s="20">
        <f>'OP P&amp;L'!AH62</f>
        <v/>
      </c>
      <c r="AI38" s="20">
        <f>'OP P&amp;L'!AI62</f>
        <v/>
      </c>
      <c r="AJ38" s="20">
        <f>'OP P&amp;L'!AJ62</f>
        <v/>
      </c>
      <c r="AK38" s="20">
        <f>'OP P&amp;L'!AK62</f>
        <v/>
      </c>
      <c r="AL38" s="20">
        <f>'OP P&amp;L'!AL62</f>
        <v/>
      </c>
      <c r="AM38" s="20">
        <f>'OP P&amp;L'!AM62</f>
        <v/>
      </c>
      <c r="AN38" s="20">
        <f>'OP P&amp;L'!AN62</f>
        <v/>
      </c>
      <c r="AO38" s="20">
        <f>'OP P&amp;L'!AO62</f>
        <v/>
      </c>
      <c r="AP38" s="20">
        <f>'OP P&amp;L'!AP62</f>
        <v/>
      </c>
      <c r="AQ38" s="20">
        <f>'OP P&amp;L'!AQ62</f>
        <v/>
      </c>
      <c r="AR38" s="20">
        <f>'OP P&amp;L'!AR62</f>
        <v/>
      </c>
      <c r="AS38" s="20">
        <f>'OP P&amp;L'!AS62</f>
        <v/>
      </c>
      <c r="AT38" s="20">
        <f>'OP P&amp;L'!AT62</f>
        <v/>
      </c>
      <c r="AU38" s="20">
        <f>'OP P&amp;L'!AU62</f>
        <v/>
      </c>
      <c r="AV38" s="20">
        <f>'OP P&amp;L'!AV62</f>
        <v/>
      </c>
      <c r="AW38" s="20">
        <f>'OP P&amp;L'!AW62</f>
        <v/>
      </c>
      <c r="AX38" s="20">
        <f>'OP P&amp;L'!AX62</f>
        <v/>
      </c>
      <c r="AY38" s="20">
        <f>'OP P&amp;L'!AY62</f>
        <v/>
      </c>
    </row>
    <row r="39">
      <c r="B39" s="15" t="inlineStr">
        <is>
          <t>Net Operating Income</t>
        </is>
      </c>
      <c r="D39" s="37">
        <f>'OP P&amp;L'!D63</f>
        <v/>
      </c>
      <c r="E39" s="37">
        <f>'OP P&amp;L'!E63</f>
        <v/>
      </c>
      <c r="F39" s="37">
        <f>'OP P&amp;L'!F63</f>
        <v/>
      </c>
      <c r="G39" s="37">
        <f>'OP P&amp;L'!G63</f>
        <v/>
      </c>
      <c r="H39" s="37">
        <f>'OP P&amp;L'!H63</f>
        <v/>
      </c>
      <c r="I39" s="37">
        <f>'OP P&amp;L'!I63</f>
        <v/>
      </c>
      <c r="J39" s="37">
        <f>'OP P&amp;L'!J63</f>
        <v/>
      </c>
      <c r="K39" s="37">
        <f>'OP P&amp;L'!K63</f>
        <v/>
      </c>
      <c r="L39" s="37">
        <f>'OP P&amp;L'!L63</f>
        <v/>
      </c>
      <c r="M39" s="37">
        <f>'OP P&amp;L'!M63</f>
        <v/>
      </c>
      <c r="N39" s="37">
        <f>'OP P&amp;L'!N63</f>
        <v/>
      </c>
      <c r="O39" s="37">
        <f>'OP P&amp;L'!O63</f>
        <v/>
      </c>
      <c r="P39" s="37">
        <f>'OP P&amp;L'!P63</f>
        <v/>
      </c>
      <c r="Q39" s="37">
        <f>'OP P&amp;L'!Q63</f>
        <v/>
      </c>
      <c r="R39" s="37">
        <f>'OP P&amp;L'!R63</f>
        <v/>
      </c>
      <c r="S39" s="37">
        <f>'OP P&amp;L'!S63</f>
        <v/>
      </c>
      <c r="T39" s="37">
        <f>'OP P&amp;L'!T63</f>
        <v/>
      </c>
      <c r="U39" s="37">
        <f>'OP P&amp;L'!U63</f>
        <v/>
      </c>
      <c r="V39" s="37">
        <f>'OP P&amp;L'!V63</f>
        <v/>
      </c>
      <c r="W39" s="37">
        <f>'OP P&amp;L'!W63</f>
        <v/>
      </c>
      <c r="X39" s="37">
        <f>'OP P&amp;L'!X63</f>
        <v/>
      </c>
      <c r="Y39" s="37">
        <f>'OP P&amp;L'!Y63</f>
        <v/>
      </c>
      <c r="Z39" s="37">
        <f>'OP P&amp;L'!Z63</f>
        <v/>
      </c>
      <c r="AA39" s="37">
        <f>'OP P&amp;L'!AA63</f>
        <v/>
      </c>
      <c r="AB39" s="37">
        <f>'OP P&amp;L'!AB63</f>
        <v/>
      </c>
      <c r="AC39" s="37">
        <f>'OP P&amp;L'!AC63</f>
        <v/>
      </c>
      <c r="AD39" s="37">
        <f>'OP P&amp;L'!AD63</f>
        <v/>
      </c>
      <c r="AE39" s="37">
        <f>'OP P&amp;L'!AE63</f>
        <v/>
      </c>
      <c r="AF39" s="37">
        <f>'OP P&amp;L'!AF63</f>
        <v/>
      </c>
      <c r="AG39" s="37">
        <f>'OP P&amp;L'!AG63</f>
        <v/>
      </c>
      <c r="AH39" s="37">
        <f>'OP P&amp;L'!AH63</f>
        <v/>
      </c>
      <c r="AI39" s="37">
        <f>'OP P&amp;L'!AI63</f>
        <v/>
      </c>
      <c r="AJ39" s="37">
        <f>'OP P&amp;L'!AJ63</f>
        <v/>
      </c>
      <c r="AK39" s="37">
        <f>'OP P&amp;L'!AK63</f>
        <v/>
      </c>
      <c r="AL39" s="37">
        <f>'OP P&amp;L'!AL63</f>
        <v/>
      </c>
      <c r="AM39" s="37">
        <f>'OP P&amp;L'!AM63</f>
        <v/>
      </c>
      <c r="AN39" s="37">
        <f>'OP P&amp;L'!AN63</f>
        <v/>
      </c>
      <c r="AO39" s="37">
        <f>'OP P&amp;L'!AO63</f>
        <v/>
      </c>
      <c r="AP39" s="37">
        <f>'OP P&amp;L'!AP63</f>
        <v/>
      </c>
      <c r="AQ39" s="37">
        <f>'OP P&amp;L'!AQ63</f>
        <v/>
      </c>
      <c r="AR39" s="37">
        <f>'OP P&amp;L'!AR63</f>
        <v/>
      </c>
      <c r="AS39" s="37">
        <f>'OP P&amp;L'!AS63</f>
        <v/>
      </c>
      <c r="AT39" s="37">
        <f>'OP P&amp;L'!AT63</f>
        <v/>
      </c>
      <c r="AU39" s="37">
        <f>'OP P&amp;L'!AU63</f>
        <v/>
      </c>
      <c r="AV39" s="37">
        <f>'OP P&amp;L'!AV63</f>
        <v/>
      </c>
      <c r="AW39" s="37">
        <f>'OP P&amp;L'!AW63</f>
        <v/>
      </c>
      <c r="AX39" s="37">
        <f>'OP P&amp;L'!AX63</f>
        <v/>
      </c>
      <c r="AY39" s="37">
        <f>'OP P&amp;L'!AY63</f>
        <v/>
      </c>
    </row>
    <row r="41" ht="16" customHeight="1" s="282">
      <c r="B41" s="10" t="inlineStr">
        <is>
          <t>Presidio Heights (PH)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1" t="n"/>
    </row>
    <row r="42">
      <c r="B42" s="18" t="inlineStr">
        <is>
          <t>Total Revenue</t>
        </is>
      </c>
      <c r="D42" s="20">
        <f>'PH P&amp;L'!D22</f>
        <v/>
      </c>
      <c r="E42" s="20">
        <f>'PH P&amp;L'!E22</f>
        <v/>
      </c>
      <c r="F42" s="20">
        <f>'PH P&amp;L'!F22</f>
        <v/>
      </c>
      <c r="G42" s="20">
        <f>'PH P&amp;L'!G22</f>
        <v/>
      </c>
      <c r="H42" s="20">
        <f>'PH P&amp;L'!H22</f>
        <v/>
      </c>
      <c r="I42" s="20">
        <f>'PH P&amp;L'!I22</f>
        <v/>
      </c>
      <c r="J42" s="20">
        <f>'PH P&amp;L'!J22</f>
        <v/>
      </c>
      <c r="K42" s="20">
        <f>'PH P&amp;L'!K22</f>
        <v/>
      </c>
      <c r="L42" s="20">
        <f>'PH P&amp;L'!L22</f>
        <v/>
      </c>
      <c r="M42" s="20">
        <f>'PH P&amp;L'!M22</f>
        <v/>
      </c>
      <c r="N42" s="20">
        <f>'PH P&amp;L'!N22</f>
        <v/>
      </c>
      <c r="O42" s="20">
        <f>'PH P&amp;L'!O22</f>
        <v/>
      </c>
      <c r="P42" s="20">
        <f>'PH P&amp;L'!P22</f>
        <v/>
      </c>
      <c r="Q42" s="20">
        <f>'PH P&amp;L'!Q22</f>
        <v/>
      </c>
      <c r="R42" s="20">
        <f>'PH P&amp;L'!R22</f>
        <v/>
      </c>
      <c r="S42" s="20">
        <f>'PH P&amp;L'!S22</f>
        <v/>
      </c>
      <c r="T42" s="20">
        <f>'PH P&amp;L'!T22</f>
        <v/>
      </c>
      <c r="U42" s="20">
        <f>'PH P&amp;L'!U22</f>
        <v/>
      </c>
      <c r="V42" s="20">
        <f>'PH P&amp;L'!V22</f>
        <v/>
      </c>
      <c r="W42" s="20">
        <f>'PH P&amp;L'!W22</f>
        <v/>
      </c>
      <c r="X42" s="20">
        <f>'PH P&amp;L'!X22</f>
        <v/>
      </c>
      <c r="Y42" s="20">
        <f>'PH P&amp;L'!Y22</f>
        <v/>
      </c>
      <c r="Z42" s="20">
        <f>'PH P&amp;L'!Z22</f>
        <v/>
      </c>
      <c r="AA42" s="20">
        <f>'PH P&amp;L'!AA22</f>
        <v/>
      </c>
      <c r="AB42" s="20">
        <f>'PH P&amp;L'!AB22</f>
        <v/>
      </c>
      <c r="AC42" s="20">
        <f>'PH P&amp;L'!AC22</f>
        <v/>
      </c>
      <c r="AD42" s="20">
        <f>'PH P&amp;L'!AD22</f>
        <v/>
      </c>
      <c r="AE42" s="20">
        <f>'PH P&amp;L'!AE22</f>
        <v/>
      </c>
      <c r="AF42" s="20">
        <f>'PH P&amp;L'!AF22</f>
        <v/>
      </c>
      <c r="AG42" s="20">
        <f>'PH P&amp;L'!AG22</f>
        <v/>
      </c>
      <c r="AH42" s="20">
        <f>'PH P&amp;L'!AH22</f>
        <v/>
      </c>
      <c r="AI42" s="20">
        <f>'PH P&amp;L'!AI22</f>
        <v/>
      </c>
      <c r="AJ42" s="20">
        <f>'PH P&amp;L'!AJ22</f>
        <v/>
      </c>
      <c r="AK42" s="20">
        <f>'PH P&amp;L'!AK22</f>
        <v/>
      </c>
      <c r="AL42" s="20">
        <f>'PH P&amp;L'!AL22</f>
        <v/>
      </c>
      <c r="AM42" s="20">
        <f>'PH P&amp;L'!AM22</f>
        <v/>
      </c>
      <c r="AN42" s="20">
        <f>'PH P&amp;L'!AN22</f>
        <v/>
      </c>
      <c r="AO42" s="20">
        <f>'PH P&amp;L'!AO22</f>
        <v/>
      </c>
      <c r="AP42" s="20">
        <f>'PH P&amp;L'!AP22</f>
        <v/>
      </c>
      <c r="AQ42" s="20">
        <f>'PH P&amp;L'!AQ22</f>
        <v/>
      </c>
      <c r="AR42" s="20">
        <f>'PH P&amp;L'!AR22</f>
        <v/>
      </c>
      <c r="AS42" s="20">
        <f>'PH P&amp;L'!AS22</f>
        <v/>
      </c>
      <c r="AT42" s="20">
        <f>'PH P&amp;L'!AT22</f>
        <v/>
      </c>
      <c r="AU42" s="20">
        <f>'PH P&amp;L'!AU22</f>
        <v/>
      </c>
      <c r="AV42" s="20">
        <f>'PH P&amp;L'!AV22</f>
        <v/>
      </c>
      <c r="AW42" s="20">
        <f>'PH P&amp;L'!AW22</f>
        <v/>
      </c>
      <c r="AX42" s="20">
        <f>'PH P&amp;L'!AX22</f>
        <v/>
      </c>
      <c r="AY42" s="20">
        <f>'PH P&amp;L'!AY22</f>
        <v/>
      </c>
    </row>
    <row r="43">
      <c r="B43" s="18" t="inlineStr">
        <is>
          <t>Gross Profit</t>
        </is>
      </c>
      <c r="D43" s="20">
        <f>'PH P&amp;L'!D27</f>
        <v/>
      </c>
      <c r="E43" s="20">
        <f>'PH P&amp;L'!E27</f>
        <v/>
      </c>
      <c r="F43" s="20">
        <f>'PH P&amp;L'!F27</f>
        <v/>
      </c>
      <c r="G43" s="20">
        <f>'PH P&amp;L'!G27</f>
        <v/>
      </c>
      <c r="H43" s="20">
        <f>'PH P&amp;L'!H27</f>
        <v/>
      </c>
      <c r="I43" s="20">
        <f>'PH P&amp;L'!I27</f>
        <v/>
      </c>
      <c r="J43" s="20">
        <f>'PH P&amp;L'!J27</f>
        <v/>
      </c>
      <c r="K43" s="20">
        <f>'PH P&amp;L'!K27</f>
        <v/>
      </c>
      <c r="L43" s="20">
        <f>'PH P&amp;L'!L27</f>
        <v/>
      </c>
      <c r="M43" s="20">
        <f>'PH P&amp;L'!M27</f>
        <v/>
      </c>
      <c r="N43" s="20">
        <f>'PH P&amp;L'!N27</f>
        <v/>
      </c>
      <c r="O43" s="20">
        <f>'PH P&amp;L'!O27</f>
        <v/>
      </c>
      <c r="P43" s="20">
        <f>'PH P&amp;L'!P27</f>
        <v/>
      </c>
      <c r="Q43" s="20">
        <f>'PH P&amp;L'!Q27</f>
        <v/>
      </c>
      <c r="R43" s="20">
        <f>'PH P&amp;L'!R27</f>
        <v/>
      </c>
      <c r="S43" s="20">
        <f>'PH P&amp;L'!S27</f>
        <v/>
      </c>
      <c r="T43" s="20">
        <f>'PH P&amp;L'!T27</f>
        <v/>
      </c>
      <c r="U43" s="20">
        <f>'PH P&amp;L'!U27</f>
        <v/>
      </c>
      <c r="V43" s="20">
        <f>'PH P&amp;L'!V27</f>
        <v/>
      </c>
      <c r="W43" s="20">
        <f>'PH P&amp;L'!W27</f>
        <v/>
      </c>
      <c r="X43" s="20">
        <f>'PH P&amp;L'!X27</f>
        <v/>
      </c>
      <c r="Y43" s="20">
        <f>'PH P&amp;L'!Y27</f>
        <v/>
      </c>
      <c r="Z43" s="20">
        <f>'PH P&amp;L'!Z27</f>
        <v/>
      </c>
      <c r="AA43" s="20">
        <f>'PH P&amp;L'!AA27</f>
        <v/>
      </c>
      <c r="AB43" s="20">
        <f>'PH P&amp;L'!AB27</f>
        <v/>
      </c>
      <c r="AC43" s="20">
        <f>'PH P&amp;L'!AC27</f>
        <v/>
      </c>
      <c r="AD43" s="20">
        <f>'PH P&amp;L'!AD27</f>
        <v/>
      </c>
      <c r="AE43" s="20">
        <f>'PH P&amp;L'!AE27</f>
        <v/>
      </c>
      <c r="AF43" s="20">
        <f>'PH P&amp;L'!AF27</f>
        <v/>
      </c>
      <c r="AG43" s="20">
        <f>'PH P&amp;L'!AG27</f>
        <v/>
      </c>
      <c r="AH43" s="20">
        <f>'PH P&amp;L'!AH27</f>
        <v/>
      </c>
      <c r="AI43" s="20">
        <f>'PH P&amp;L'!AI27</f>
        <v/>
      </c>
      <c r="AJ43" s="20">
        <f>'PH P&amp;L'!AJ27</f>
        <v/>
      </c>
      <c r="AK43" s="20">
        <f>'PH P&amp;L'!AK27</f>
        <v/>
      </c>
      <c r="AL43" s="20">
        <f>'PH P&amp;L'!AL27</f>
        <v/>
      </c>
      <c r="AM43" s="20">
        <f>'PH P&amp;L'!AM27</f>
        <v/>
      </c>
      <c r="AN43" s="20">
        <f>'PH P&amp;L'!AN27</f>
        <v/>
      </c>
      <c r="AO43" s="20">
        <f>'PH P&amp;L'!AO27</f>
        <v/>
      </c>
      <c r="AP43" s="20">
        <f>'PH P&amp;L'!AP27</f>
        <v/>
      </c>
      <c r="AQ43" s="20">
        <f>'PH P&amp;L'!AQ27</f>
        <v/>
      </c>
      <c r="AR43" s="20">
        <f>'PH P&amp;L'!AR27</f>
        <v/>
      </c>
      <c r="AS43" s="20">
        <f>'PH P&amp;L'!AS27</f>
        <v/>
      </c>
      <c r="AT43" s="20">
        <f>'PH P&amp;L'!AT27</f>
        <v/>
      </c>
      <c r="AU43" s="20">
        <f>'PH P&amp;L'!AU27</f>
        <v/>
      </c>
      <c r="AV43" s="20">
        <f>'PH P&amp;L'!AV27</f>
        <v/>
      </c>
      <c r="AW43" s="20">
        <f>'PH P&amp;L'!AW27</f>
        <v/>
      </c>
      <c r="AX43" s="20">
        <f>'PH P&amp;L'!AX27</f>
        <v/>
      </c>
      <c r="AY43" s="20">
        <f>'PH P&amp;L'!AY27</f>
        <v/>
      </c>
    </row>
    <row r="44">
      <c r="B44" s="18" t="inlineStr">
        <is>
          <t>Total Operating Expenses</t>
        </is>
      </c>
      <c r="D44" s="20">
        <f>'PH P&amp;L'!D63</f>
        <v/>
      </c>
      <c r="E44" s="20">
        <f>'PH P&amp;L'!E63</f>
        <v/>
      </c>
      <c r="F44" s="20">
        <f>'PH P&amp;L'!F63</f>
        <v/>
      </c>
      <c r="G44" s="20">
        <f>'PH P&amp;L'!G63</f>
        <v/>
      </c>
      <c r="H44" s="20">
        <f>'PH P&amp;L'!H63</f>
        <v/>
      </c>
      <c r="I44" s="20">
        <f>'PH P&amp;L'!I63</f>
        <v/>
      </c>
      <c r="J44" s="20">
        <f>'PH P&amp;L'!J63</f>
        <v/>
      </c>
      <c r="K44" s="20">
        <f>'PH P&amp;L'!K63</f>
        <v/>
      </c>
      <c r="L44" s="20">
        <f>'PH P&amp;L'!L63</f>
        <v/>
      </c>
      <c r="M44" s="20">
        <f>'PH P&amp;L'!M63</f>
        <v/>
      </c>
      <c r="N44" s="20">
        <f>'PH P&amp;L'!N63</f>
        <v/>
      </c>
      <c r="O44" s="20">
        <f>'PH P&amp;L'!O63</f>
        <v/>
      </c>
      <c r="P44" s="20">
        <f>'PH P&amp;L'!P63</f>
        <v/>
      </c>
      <c r="Q44" s="20">
        <f>'PH P&amp;L'!Q63</f>
        <v/>
      </c>
      <c r="R44" s="20">
        <f>'PH P&amp;L'!R63</f>
        <v/>
      </c>
      <c r="S44" s="20">
        <f>'PH P&amp;L'!S63</f>
        <v/>
      </c>
      <c r="T44" s="20">
        <f>'PH P&amp;L'!T63</f>
        <v/>
      </c>
      <c r="U44" s="20">
        <f>'PH P&amp;L'!U63</f>
        <v/>
      </c>
      <c r="V44" s="20">
        <f>'PH P&amp;L'!V63</f>
        <v/>
      </c>
      <c r="W44" s="20">
        <f>'PH P&amp;L'!W63</f>
        <v/>
      </c>
      <c r="X44" s="20">
        <f>'PH P&amp;L'!X63</f>
        <v/>
      </c>
      <c r="Y44" s="20">
        <f>'PH P&amp;L'!Y63</f>
        <v/>
      </c>
      <c r="Z44" s="20">
        <f>'PH P&amp;L'!Z63</f>
        <v/>
      </c>
      <c r="AA44" s="20">
        <f>'PH P&amp;L'!AA63</f>
        <v/>
      </c>
      <c r="AB44" s="20">
        <f>'PH P&amp;L'!AB63</f>
        <v/>
      </c>
      <c r="AC44" s="20">
        <f>'PH P&amp;L'!AC63</f>
        <v/>
      </c>
      <c r="AD44" s="20">
        <f>'PH P&amp;L'!AD63</f>
        <v/>
      </c>
      <c r="AE44" s="20">
        <f>'PH P&amp;L'!AE63</f>
        <v/>
      </c>
      <c r="AF44" s="20">
        <f>'PH P&amp;L'!AF63</f>
        <v/>
      </c>
      <c r="AG44" s="20">
        <f>'PH P&amp;L'!AG63</f>
        <v/>
      </c>
      <c r="AH44" s="20">
        <f>'PH P&amp;L'!AH63</f>
        <v/>
      </c>
      <c r="AI44" s="20">
        <f>'PH P&amp;L'!AI63</f>
        <v/>
      </c>
      <c r="AJ44" s="20">
        <f>'PH P&amp;L'!AJ63</f>
        <v/>
      </c>
      <c r="AK44" s="20">
        <f>'PH P&amp;L'!AK63</f>
        <v/>
      </c>
      <c r="AL44" s="20">
        <f>'PH P&amp;L'!AL63</f>
        <v/>
      </c>
      <c r="AM44" s="20">
        <f>'PH P&amp;L'!AM63</f>
        <v/>
      </c>
      <c r="AN44" s="20">
        <f>'PH P&amp;L'!AN63</f>
        <v/>
      </c>
      <c r="AO44" s="20">
        <f>'PH P&amp;L'!AO63</f>
        <v/>
      </c>
      <c r="AP44" s="20">
        <f>'PH P&amp;L'!AP63</f>
        <v/>
      </c>
      <c r="AQ44" s="20">
        <f>'PH P&amp;L'!AQ63</f>
        <v/>
      </c>
      <c r="AR44" s="20">
        <f>'PH P&amp;L'!AR63</f>
        <v/>
      </c>
      <c r="AS44" s="20">
        <f>'PH P&amp;L'!AS63</f>
        <v/>
      </c>
      <c r="AT44" s="20">
        <f>'PH P&amp;L'!AT63</f>
        <v/>
      </c>
      <c r="AU44" s="20">
        <f>'PH P&amp;L'!AU63</f>
        <v/>
      </c>
      <c r="AV44" s="20">
        <f>'PH P&amp;L'!AV63</f>
        <v/>
      </c>
      <c r="AW44" s="20">
        <f>'PH P&amp;L'!AW63</f>
        <v/>
      </c>
      <c r="AX44" s="20">
        <f>'PH P&amp;L'!AX63</f>
        <v/>
      </c>
      <c r="AY44" s="20">
        <f>'PH P&amp;L'!AY63</f>
        <v/>
      </c>
    </row>
    <row r="45">
      <c r="B45" s="15" t="inlineStr">
        <is>
          <t>Net Operating Income</t>
        </is>
      </c>
      <c r="D45" s="37">
        <f>'PH P&amp;L'!D64</f>
        <v/>
      </c>
      <c r="E45" s="37">
        <f>'PH P&amp;L'!E64</f>
        <v/>
      </c>
      <c r="F45" s="37">
        <f>'PH P&amp;L'!F64</f>
        <v/>
      </c>
      <c r="G45" s="37">
        <f>'PH P&amp;L'!G64</f>
        <v/>
      </c>
      <c r="H45" s="37">
        <f>'PH P&amp;L'!H64</f>
        <v/>
      </c>
      <c r="I45" s="37">
        <f>'PH P&amp;L'!I64</f>
        <v/>
      </c>
      <c r="J45" s="37">
        <f>'PH P&amp;L'!J64</f>
        <v/>
      </c>
      <c r="K45" s="37">
        <f>'PH P&amp;L'!K64</f>
        <v/>
      </c>
      <c r="L45" s="37">
        <f>'PH P&amp;L'!L64</f>
        <v/>
      </c>
      <c r="M45" s="37">
        <f>'PH P&amp;L'!M64</f>
        <v/>
      </c>
      <c r="N45" s="37">
        <f>'PH P&amp;L'!N64</f>
        <v/>
      </c>
      <c r="O45" s="37">
        <f>'PH P&amp;L'!O64</f>
        <v/>
      </c>
      <c r="P45" s="37">
        <f>'PH P&amp;L'!P64</f>
        <v/>
      </c>
      <c r="Q45" s="37">
        <f>'PH P&amp;L'!Q64</f>
        <v/>
      </c>
      <c r="R45" s="37">
        <f>'PH P&amp;L'!R64</f>
        <v/>
      </c>
      <c r="S45" s="37">
        <f>'PH P&amp;L'!S64</f>
        <v/>
      </c>
      <c r="T45" s="37">
        <f>'PH P&amp;L'!T64</f>
        <v/>
      </c>
      <c r="U45" s="37">
        <f>'PH P&amp;L'!U64</f>
        <v/>
      </c>
      <c r="V45" s="37">
        <f>'PH P&amp;L'!V64</f>
        <v/>
      </c>
      <c r="W45" s="37">
        <f>'PH P&amp;L'!W64</f>
        <v/>
      </c>
      <c r="X45" s="37">
        <f>'PH P&amp;L'!X64</f>
        <v/>
      </c>
      <c r="Y45" s="37">
        <f>'PH P&amp;L'!Y64</f>
        <v/>
      </c>
      <c r="Z45" s="37">
        <f>'PH P&amp;L'!Z64</f>
        <v/>
      </c>
      <c r="AA45" s="37">
        <f>'PH P&amp;L'!AA64</f>
        <v/>
      </c>
      <c r="AB45" s="37">
        <f>'PH P&amp;L'!AB64</f>
        <v/>
      </c>
      <c r="AC45" s="37">
        <f>'PH P&amp;L'!AC64</f>
        <v/>
      </c>
      <c r="AD45" s="37">
        <f>'PH P&amp;L'!AD64</f>
        <v/>
      </c>
      <c r="AE45" s="37">
        <f>'PH P&amp;L'!AE64</f>
        <v/>
      </c>
      <c r="AF45" s="37">
        <f>'PH P&amp;L'!AF64</f>
        <v/>
      </c>
      <c r="AG45" s="37">
        <f>'PH P&amp;L'!AG64</f>
        <v/>
      </c>
      <c r="AH45" s="37">
        <f>'PH P&amp;L'!AH64</f>
        <v/>
      </c>
      <c r="AI45" s="37">
        <f>'PH P&amp;L'!AI64</f>
        <v/>
      </c>
      <c r="AJ45" s="37">
        <f>'PH P&amp;L'!AJ64</f>
        <v/>
      </c>
      <c r="AK45" s="37">
        <f>'PH P&amp;L'!AK64</f>
        <v/>
      </c>
      <c r="AL45" s="37">
        <f>'PH P&amp;L'!AL64</f>
        <v/>
      </c>
      <c r="AM45" s="37">
        <f>'PH P&amp;L'!AM64</f>
        <v/>
      </c>
      <c r="AN45" s="37">
        <f>'PH P&amp;L'!AN64</f>
        <v/>
      </c>
      <c r="AO45" s="37">
        <f>'PH P&amp;L'!AO64</f>
        <v/>
      </c>
      <c r="AP45" s="37">
        <f>'PH P&amp;L'!AP64</f>
        <v/>
      </c>
      <c r="AQ45" s="37">
        <f>'PH P&amp;L'!AQ64</f>
        <v/>
      </c>
      <c r="AR45" s="37">
        <f>'PH P&amp;L'!AR64</f>
        <v/>
      </c>
      <c r="AS45" s="37">
        <f>'PH P&amp;L'!AS64</f>
        <v/>
      </c>
      <c r="AT45" s="37">
        <f>'PH P&amp;L'!AT64</f>
        <v/>
      </c>
      <c r="AU45" s="37">
        <f>'PH P&amp;L'!AU64</f>
        <v/>
      </c>
      <c r="AV45" s="37">
        <f>'PH P&amp;L'!AV64</f>
        <v/>
      </c>
      <c r="AW45" s="37">
        <f>'PH P&amp;L'!AW64</f>
        <v/>
      </c>
      <c r="AX45" s="37">
        <f>'PH P&amp;L'!AX64</f>
        <v/>
      </c>
      <c r="AY45" s="37">
        <f>'PH P&amp;L'!AY64</f>
        <v/>
      </c>
    </row>
    <row r="47" ht="16" customHeight="1" s="282">
      <c r="B47" s="10" t="inlineStr">
        <is>
          <t>Russian Hill (RH)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</row>
    <row r="48">
      <c r="B48" s="18" t="inlineStr">
        <is>
          <t>Total Revenue</t>
        </is>
      </c>
      <c r="D48" s="20">
        <f>'RH P&amp;L'!D21</f>
        <v/>
      </c>
      <c r="E48" s="20">
        <f>'RH P&amp;L'!E21</f>
        <v/>
      </c>
      <c r="F48" s="20">
        <f>'RH P&amp;L'!F21</f>
        <v/>
      </c>
      <c r="G48" s="20">
        <f>'RH P&amp;L'!G21</f>
        <v/>
      </c>
      <c r="H48" s="20">
        <f>'RH P&amp;L'!H21</f>
        <v/>
      </c>
      <c r="I48" s="20">
        <f>'RH P&amp;L'!I21</f>
        <v/>
      </c>
      <c r="J48" s="20">
        <f>'RH P&amp;L'!J21</f>
        <v/>
      </c>
      <c r="K48" s="20">
        <f>'RH P&amp;L'!K21</f>
        <v/>
      </c>
      <c r="L48" s="20">
        <f>'RH P&amp;L'!L21</f>
        <v/>
      </c>
      <c r="M48" s="20">
        <f>'RH P&amp;L'!M21</f>
        <v/>
      </c>
      <c r="N48" s="20">
        <f>'RH P&amp;L'!N21</f>
        <v/>
      </c>
      <c r="O48" s="20">
        <f>'RH P&amp;L'!O21</f>
        <v/>
      </c>
      <c r="P48" s="20">
        <f>'RH P&amp;L'!P21</f>
        <v/>
      </c>
      <c r="Q48" s="20">
        <f>'RH P&amp;L'!Q21</f>
        <v/>
      </c>
      <c r="R48" s="20">
        <f>'RH P&amp;L'!R21</f>
        <v/>
      </c>
      <c r="S48" s="20">
        <f>'RH P&amp;L'!S21</f>
        <v/>
      </c>
      <c r="T48" s="20">
        <f>'RH P&amp;L'!T21</f>
        <v/>
      </c>
      <c r="U48" s="20">
        <f>'RH P&amp;L'!U21</f>
        <v/>
      </c>
      <c r="V48" s="20">
        <f>'RH P&amp;L'!V21</f>
        <v/>
      </c>
      <c r="W48" s="20">
        <f>'RH P&amp;L'!W21</f>
        <v/>
      </c>
      <c r="X48" s="20">
        <f>'RH P&amp;L'!X21</f>
        <v/>
      </c>
      <c r="Y48" s="20">
        <f>'RH P&amp;L'!Y21</f>
        <v/>
      </c>
      <c r="Z48" s="20">
        <f>'RH P&amp;L'!Z21</f>
        <v/>
      </c>
      <c r="AA48" s="20">
        <f>'RH P&amp;L'!AA21</f>
        <v/>
      </c>
      <c r="AB48" s="20">
        <f>'RH P&amp;L'!AB21</f>
        <v/>
      </c>
      <c r="AC48" s="20">
        <f>'RH P&amp;L'!AC21</f>
        <v/>
      </c>
      <c r="AD48" s="20">
        <f>'RH P&amp;L'!AD21</f>
        <v/>
      </c>
      <c r="AE48" s="20">
        <f>'RH P&amp;L'!AE21</f>
        <v/>
      </c>
      <c r="AF48" s="20">
        <f>'RH P&amp;L'!AF21</f>
        <v/>
      </c>
      <c r="AG48" s="20">
        <f>'RH P&amp;L'!AG21</f>
        <v/>
      </c>
      <c r="AH48" s="20">
        <f>'RH P&amp;L'!AH21</f>
        <v/>
      </c>
      <c r="AI48" s="20">
        <f>'RH P&amp;L'!AI21</f>
        <v/>
      </c>
      <c r="AJ48" s="20">
        <f>'RH P&amp;L'!AJ21</f>
        <v/>
      </c>
      <c r="AK48" s="20">
        <f>'RH P&amp;L'!AK21</f>
        <v/>
      </c>
      <c r="AL48" s="20">
        <f>'RH P&amp;L'!AL21</f>
        <v/>
      </c>
      <c r="AM48" s="20">
        <f>'RH P&amp;L'!AM21</f>
        <v/>
      </c>
      <c r="AN48" s="20">
        <f>'RH P&amp;L'!AN21</f>
        <v/>
      </c>
      <c r="AO48" s="20">
        <f>'RH P&amp;L'!AO21</f>
        <v/>
      </c>
      <c r="AP48" s="20">
        <f>'RH P&amp;L'!AP21</f>
        <v/>
      </c>
      <c r="AQ48" s="20">
        <f>'RH P&amp;L'!AQ21</f>
        <v/>
      </c>
      <c r="AR48" s="20">
        <f>'RH P&amp;L'!AR21</f>
        <v/>
      </c>
      <c r="AS48" s="20">
        <f>'RH P&amp;L'!AS21</f>
        <v/>
      </c>
      <c r="AT48" s="20">
        <f>'RH P&amp;L'!AT21</f>
        <v/>
      </c>
      <c r="AU48" s="20">
        <f>'RH P&amp;L'!AU21</f>
        <v/>
      </c>
      <c r="AV48" s="20">
        <f>'RH P&amp;L'!AV21</f>
        <v/>
      </c>
      <c r="AW48" s="20">
        <f>'RH P&amp;L'!AW21</f>
        <v/>
      </c>
      <c r="AX48" s="20">
        <f>'RH P&amp;L'!AX21</f>
        <v/>
      </c>
      <c r="AY48" s="20">
        <f>'RH P&amp;L'!AY21</f>
        <v/>
      </c>
    </row>
    <row r="49">
      <c r="B49" s="18" t="inlineStr">
        <is>
          <t>Gross Profit</t>
        </is>
      </c>
      <c r="D49" s="20">
        <f>'RH P&amp;L'!D26</f>
        <v/>
      </c>
      <c r="E49" s="20">
        <f>'RH P&amp;L'!E26</f>
        <v/>
      </c>
      <c r="F49" s="20">
        <f>'RH P&amp;L'!F26</f>
        <v/>
      </c>
      <c r="G49" s="20">
        <f>'RH P&amp;L'!G26</f>
        <v/>
      </c>
      <c r="H49" s="20">
        <f>'RH P&amp;L'!H26</f>
        <v/>
      </c>
      <c r="I49" s="20">
        <f>'RH P&amp;L'!I26</f>
        <v/>
      </c>
      <c r="J49" s="20">
        <f>'RH P&amp;L'!J26</f>
        <v/>
      </c>
      <c r="K49" s="20">
        <f>'RH P&amp;L'!K26</f>
        <v/>
      </c>
      <c r="L49" s="20">
        <f>'RH P&amp;L'!L26</f>
        <v/>
      </c>
      <c r="M49" s="20">
        <f>'RH P&amp;L'!M26</f>
        <v/>
      </c>
      <c r="N49" s="20">
        <f>'RH P&amp;L'!N26</f>
        <v/>
      </c>
      <c r="O49" s="20">
        <f>'RH P&amp;L'!O26</f>
        <v/>
      </c>
      <c r="P49" s="20">
        <f>'RH P&amp;L'!P26</f>
        <v/>
      </c>
      <c r="Q49" s="20">
        <f>'RH P&amp;L'!Q26</f>
        <v/>
      </c>
      <c r="R49" s="20">
        <f>'RH P&amp;L'!R26</f>
        <v/>
      </c>
      <c r="S49" s="20">
        <f>'RH P&amp;L'!S26</f>
        <v/>
      </c>
      <c r="T49" s="20">
        <f>'RH P&amp;L'!T26</f>
        <v/>
      </c>
      <c r="U49" s="20">
        <f>'RH P&amp;L'!U26</f>
        <v/>
      </c>
      <c r="V49" s="20">
        <f>'RH P&amp;L'!V26</f>
        <v/>
      </c>
      <c r="W49" s="20">
        <f>'RH P&amp;L'!W26</f>
        <v/>
      </c>
      <c r="X49" s="20">
        <f>'RH P&amp;L'!X26</f>
        <v/>
      </c>
      <c r="Y49" s="20">
        <f>'RH P&amp;L'!Y26</f>
        <v/>
      </c>
      <c r="Z49" s="20">
        <f>'RH P&amp;L'!Z26</f>
        <v/>
      </c>
      <c r="AA49" s="20">
        <f>'RH P&amp;L'!AA26</f>
        <v/>
      </c>
      <c r="AB49" s="20">
        <f>'RH P&amp;L'!AB26</f>
        <v/>
      </c>
      <c r="AC49" s="20">
        <f>'RH P&amp;L'!AC26</f>
        <v/>
      </c>
      <c r="AD49" s="20">
        <f>'RH P&amp;L'!AD26</f>
        <v/>
      </c>
      <c r="AE49" s="20">
        <f>'RH P&amp;L'!AE26</f>
        <v/>
      </c>
      <c r="AF49" s="20">
        <f>'RH P&amp;L'!AF26</f>
        <v/>
      </c>
      <c r="AG49" s="20">
        <f>'RH P&amp;L'!AG26</f>
        <v/>
      </c>
      <c r="AH49" s="20">
        <f>'RH P&amp;L'!AH26</f>
        <v/>
      </c>
      <c r="AI49" s="20">
        <f>'RH P&amp;L'!AI26</f>
        <v/>
      </c>
      <c r="AJ49" s="20">
        <f>'RH P&amp;L'!AJ26</f>
        <v/>
      </c>
      <c r="AK49" s="20">
        <f>'RH P&amp;L'!AK26</f>
        <v/>
      </c>
      <c r="AL49" s="20">
        <f>'RH P&amp;L'!AL26</f>
        <v/>
      </c>
      <c r="AM49" s="20">
        <f>'RH P&amp;L'!AM26</f>
        <v/>
      </c>
      <c r="AN49" s="20">
        <f>'RH P&amp;L'!AN26</f>
        <v/>
      </c>
      <c r="AO49" s="20">
        <f>'RH P&amp;L'!AO26</f>
        <v/>
      </c>
      <c r="AP49" s="20">
        <f>'RH P&amp;L'!AP26</f>
        <v/>
      </c>
      <c r="AQ49" s="20">
        <f>'RH P&amp;L'!AQ26</f>
        <v/>
      </c>
      <c r="AR49" s="20">
        <f>'RH P&amp;L'!AR26</f>
        <v/>
      </c>
      <c r="AS49" s="20">
        <f>'RH P&amp;L'!AS26</f>
        <v/>
      </c>
      <c r="AT49" s="20">
        <f>'RH P&amp;L'!AT26</f>
        <v/>
      </c>
      <c r="AU49" s="20">
        <f>'RH P&amp;L'!AU26</f>
        <v/>
      </c>
      <c r="AV49" s="20">
        <f>'RH P&amp;L'!AV26</f>
        <v/>
      </c>
      <c r="AW49" s="20">
        <f>'RH P&amp;L'!AW26</f>
        <v/>
      </c>
      <c r="AX49" s="20">
        <f>'RH P&amp;L'!AX26</f>
        <v/>
      </c>
      <c r="AY49" s="20">
        <f>'RH P&amp;L'!AY26</f>
        <v/>
      </c>
    </row>
    <row r="50">
      <c r="B50" s="18" t="inlineStr">
        <is>
          <t>Total Operating Expenses</t>
        </is>
      </c>
      <c r="D50" s="20">
        <f>'RH P&amp;L'!D62</f>
        <v/>
      </c>
      <c r="E50" s="20">
        <f>'RH P&amp;L'!E62</f>
        <v/>
      </c>
      <c r="F50" s="20">
        <f>'RH P&amp;L'!F62</f>
        <v/>
      </c>
      <c r="G50" s="20">
        <f>'RH P&amp;L'!G62</f>
        <v/>
      </c>
      <c r="H50" s="20">
        <f>'RH P&amp;L'!H62</f>
        <v/>
      </c>
      <c r="I50" s="20">
        <f>'RH P&amp;L'!I62</f>
        <v/>
      </c>
      <c r="J50" s="20">
        <f>'RH P&amp;L'!J62</f>
        <v/>
      </c>
      <c r="K50" s="20">
        <f>'RH P&amp;L'!K62</f>
        <v/>
      </c>
      <c r="L50" s="20">
        <f>'RH P&amp;L'!L62</f>
        <v/>
      </c>
      <c r="M50" s="20">
        <f>'RH P&amp;L'!M62</f>
        <v/>
      </c>
      <c r="N50" s="20">
        <f>'RH P&amp;L'!N62</f>
        <v/>
      </c>
      <c r="O50" s="20">
        <f>'RH P&amp;L'!O62</f>
        <v/>
      </c>
      <c r="P50" s="20">
        <f>'RH P&amp;L'!P62</f>
        <v/>
      </c>
      <c r="Q50" s="20">
        <f>'RH P&amp;L'!Q62</f>
        <v/>
      </c>
      <c r="R50" s="20">
        <f>'RH P&amp;L'!R62</f>
        <v/>
      </c>
      <c r="S50" s="20">
        <f>'RH P&amp;L'!S62</f>
        <v/>
      </c>
      <c r="T50" s="20">
        <f>'RH P&amp;L'!T62</f>
        <v/>
      </c>
      <c r="U50" s="20">
        <f>'RH P&amp;L'!U62</f>
        <v/>
      </c>
      <c r="V50" s="20">
        <f>'RH P&amp;L'!V62</f>
        <v/>
      </c>
      <c r="W50" s="20">
        <f>'RH P&amp;L'!W62</f>
        <v/>
      </c>
      <c r="X50" s="20">
        <f>'RH P&amp;L'!X62</f>
        <v/>
      </c>
      <c r="Y50" s="20">
        <f>'RH P&amp;L'!Y62</f>
        <v/>
      </c>
      <c r="Z50" s="20">
        <f>'RH P&amp;L'!Z62</f>
        <v/>
      </c>
      <c r="AA50" s="20">
        <f>'RH P&amp;L'!AA62</f>
        <v/>
      </c>
      <c r="AB50" s="20">
        <f>'RH P&amp;L'!AB62</f>
        <v/>
      </c>
      <c r="AC50" s="20">
        <f>'RH P&amp;L'!AC62</f>
        <v/>
      </c>
      <c r="AD50" s="20">
        <f>'RH P&amp;L'!AD62</f>
        <v/>
      </c>
      <c r="AE50" s="20">
        <f>'RH P&amp;L'!AE62</f>
        <v/>
      </c>
      <c r="AF50" s="20">
        <f>'RH P&amp;L'!AF62</f>
        <v/>
      </c>
      <c r="AG50" s="20">
        <f>'RH P&amp;L'!AG62</f>
        <v/>
      </c>
      <c r="AH50" s="20">
        <f>'RH P&amp;L'!AH62</f>
        <v/>
      </c>
      <c r="AI50" s="20">
        <f>'RH P&amp;L'!AI62</f>
        <v/>
      </c>
      <c r="AJ50" s="20">
        <f>'RH P&amp;L'!AJ62</f>
        <v/>
      </c>
      <c r="AK50" s="20">
        <f>'RH P&amp;L'!AK62</f>
        <v/>
      </c>
      <c r="AL50" s="20">
        <f>'RH P&amp;L'!AL62</f>
        <v/>
      </c>
      <c r="AM50" s="20">
        <f>'RH P&amp;L'!AM62</f>
        <v/>
      </c>
      <c r="AN50" s="20">
        <f>'RH P&amp;L'!AN62</f>
        <v/>
      </c>
      <c r="AO50" s="20">
        <f>'RH P&amp;L'!AO62</f>
        <v/>
      </c>
      <c r="AP50" s="20">
        <f>'RH P&amp;L'!AP62</f>
        <v/>
      </c>
      <c r="AQ50" s="20">
        <f>'RH P&amp;L'!AQ62</f>
        <v/>
      </c>
      <c r="AR50" s="20">
        <f>'RH P&amp;L'!AR62</f>
        <v/>
      </c>
      <c r="AS50" s="20">
        <f>'RH P&amp;L'!AS62</f>
        <v/>
      </c>
      <c r="AT50" s="20">
        <f>'RH P&amp;L'!AT62</f>
        <v/>
      </c>
      <c r="AU50" s="20">
        <f>'RH P&amp;L'!AU62</f>
        <v/>
      </c>
      <c r="AV50" s="20">
        <f>'RH P&amp;L'!AV62</f>
        <v/>
      </c>
      <c r="AW50" s="20">
        <f>'RH P&amp;L'!AW62</f>
        <v/>
      </c>
      <c r="AX50" s="20">
        <f>'RH P&amp;L'!AX62</f>
        <v/>
      </c>
      <c r="AY50" s="20">
        <f>'RH P&amp;L'!AY62</f>
        <v/>
      </c>
    </row>
    <row r="51">
      <c r="B51" s="15" t="inlineStr">
        <is>
          <t>Net Operating Income</t>
        </is>
      </c>
      <c r="D51" s="37">
        <f>'RH P&amp;L'!D63</f>
        <v/>
      </c>
      <c r="E51" s="37">
        <f>'RH P&amp;L'!E63</f>
        <v/>
      </c>
      <c r="F51" s="37">
        <f>'RH P&amp;L'!F63</f>
        <v/>
      </c>
      <c r="G51" s="37">
        <f>'RH P&amp;L'!G63</f>
        <v/>
      </c>
      <c r="H51" s="37">
        <f>'RH P&amp;L'!H63</f>
        <v/>
      </c>
      <c r="I51" s="37">
        <f>'RH P&amp;L'!I63</f>
        <v/>
      </c>
      <c r="J51" s="37">
        <f>'RH P&amp;L'!J63</f>
        <v/>
      </c>
      <c r="K51" s="37">
        <f>'RH P&amp;L'!K63</f>
        <v/>
      </c>
      <c r="L51" s="37">
        <f>'RH P&amp;L'!L63</f>
        <v/>
      </c>
      <c r="M51" s="37">
        <f>'RH P&amp;L'!M63</f>
        <v/>
      </c>
      <c r="N51" s="37">
        <f>'RH P&amp;L'!N63</f>
        <v/>
      </c>
      <c r="O51" s="37">
        <f>'RH P&amp;L'!O63</f>
        <v/>
      </c>
      <c r="P51" s="37">
        <f>'RH P&amp;L'!P63</f>
        <v/>
      </c>
      <c r="Q51" s="37">
        <f>'RH P&amp;L'!Q63</f>
        <v/>
      </c>
      <c r="R51" s="37">
        <f>'RH P&amp;L'!R63</f>
        <v/>
      </c>
      <c r="S51" s="37">
        <f>'RH P&amp;L'!S63</f>
        <v/>
      </c>
      <c r="T51" s="37">
        <f>'RH P&amp;L'!T63</f>
        <v/>
      </c>
      <c r="U51" s="37">
        <f>'RH P&amp;L'!U63</f>
        <v/>
      </c>
      <c r="V51" s="37">
        <f>'RH P&amp;L'!V63</f>
        <v/>
      </c>
      <c r="W51" s="37">
        <f>'RH P&amp;L'!W63</f>
        <v/>
      </c>
      <c r="X51" s="37">
        <f>'RH P&amp;L'!X63</f>
        <v/>
      </c>
      <c r="Y51" s="37">
        <f>'RH P&amp;L'!Y63</f>
        <v/>
      </c>
      <c r="Z51" s="37">
        <f>'RH P&amp;L'!Z63</f>
        <v/>
      </c>
      <c r="AA51" s="37">
        <f>'RH P&amp;L'!AA63</f>
        <v/>
      </c>
      <c r="AB51" s="37">
        <f>'RH P&amp;L'!AB63</f>
        <v/>
      </c>
      <c r="AC51" s="37">
        <f>'RH P&amp;L'!AC63</f>
        <v/>
      </c>
      <c r="AD51" s="37">
        <f>'RH P&amp;L'!AD63</f>
        <v/>
      </c>
      <c r="AE51" s="37">
        <f>'RH P&amp;L'!AE63</f>
        <v/>
      </c>
      <c r="AF51" s="37">
        <f>'RH P&amp;L'!AF63</f>
        <v/>
      </c>
      <c r="AG51" s="37">
        <f>'RH P&amp;L'!AG63</f>
        <v/>
      </c>
      <c r="AH51" s="37">
        <f>'RH P&amp;L'!AH63</f>
        <v/>
      </c>
      <c r="AI51" s="37">
        <f>'RH P&amp;L'!AI63</f>
        <v/>
      </c>
      <c r="AJ51" s="37">
        <f>'RH P&amp;L'!AJ63</f>
        <v/>
      </c>
      <c r="AK51" s="37">
        <f>'RH P&amp;L'!AK63</f>
        <v/>
      </c>
      <c r="AL51" s="37">
        <f>'RH P&amp;L'!AL63</f>
        <v/>
      </c>
      <c r="AM51" s="37">
        <f>'RH P&amp;L'!AM63</f>
        <v/>
      </c>
      <c r="AN51" s="37">
        <f>'RH P&amp;L'!AN63</f>
        <v/>
      </c>
      <c r="AO51" s="37">
        <f>'RH P&amp;L'!AO63</f>
        <v/>
      </c>
      <c r="AP51" s="37">
        <f>'RH P&amp;L'!AP63</f>
        <v/>
      </c>
      <c r="AQ51" s="37">
        <f>'RH P&amp;L'!AQ63</f>
        <v/>
      </c>
      <c r="AR51" s="37">
        <f>'RH P&amp;L'!AR63</f>
        <v/>
      </c>
      <c r="AS51" s="37">
        <f>'RH P&amp;L'!AS63</f>
        <v/>
      </c>
      <c r="AT51" s="37">
        <f>'RH P&amp;L'!AT63</f>
        <v/>
      </c>
      <c r="AU51" s="37">
        <f>'RH P&amp;L'!AU63</f>
        <v/>
      </c>
      <c r="AV51" s="37">
        <f>'RH P&amp;L'!AV63</f>
        <v/>
      </c>
      <c r="AW51" s="37">
        <f>'RH P&amp;L'!AW63</f>
        <v/>
      </c>
      <c r="AX51" s="37">
        <f>'RH P&amp;L'!AX63</f>
        <v/>
      </c>
      <c r="AY51" s="37">
        <f>'RH P&amp;L'!AY63</f>
        <v/>
      </c>
    </row>
    <row r="53" ht="16" customHeight="1" s="282">
      <c r="B53" s="10" t="inlineStr">
        <is>
          <t>Santa Barbara (SB)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1" t="n"/>
    </row>
    <row r="54">
      <c r="B54" s="18" t="inlineStr">
        <is>
          <t>Total Revenue</t>
        </is>
      </c>
      <c r="D54" s="20">
        <f>'SB P&amp;L'!D21</f>
        <v/>
      </c>
      <c r="E54" s="20">
        <f>'SB P&amp;L'!E21</f>
        <v/>
      </c>
      <c r="F54" s="20">
        <f>'SB P&amp;L'!F21</f>
        <v/>
      </c>
      <c r="G54" s="20">
        <f>'SB P&amp;L'!G21</f>
        <v/>
      </c>
      <c r="H54" s="20">
        <f>'SB P&amp;L'!H21</f>
        <v/>
      </c>
      <c r="I54" s="20">
        <f>'SB P&amp;L'!I21</f>
        <v/>
      </c>
      <c r="J54" s="20">
        <f>'SB P&amp;L'!J21</f>
        <v/>
      </c>
      <c r="K54" s="20">
        <f>'SB P&amp;L'!K21</f>
        <v/>
      </c>
      <c r="L54" s="20">
        <f>'SB P&amp;L'!L21</f>
        <v/>
      </c>
      <c r="M54" s="20">
        <f>'SB P&amp;L'!M21</f>
        <v/>
      </c>
      <c r="N54" s="20">
        <f>'SB P&amp;L'!N21</f>
        <v/>
      </c>
      <c r="O54" s="20">
        <f>'SB P&amp;L'!O21</f>
        <v/>
      </c>
      <c r="P54" s="20">
        <f>'SB P&amp;L'!P21</f>
        <v/>
      </c>
      <c r="Q54" s="20">
        <f>'SB P&amp;L'!Q21</f>
        <v/>
      </c>
      <c r="R54" s="20">
        <f>'SB P&amp;L'!R21</f>
        <v/>
      </c>
      <c r="S54" s="20">
        <f>'SB P&amp;L'!S21</f>
        <v/>
      </c>
      <c r="T54" s="20">
        <f>'SB P&amp;L'!T21</f>
        <v/>
      </c>
      <c r="U54" s="20">
        <f>'SB P&amp;L'!U21</f>
        <v/>
      </c>
      <c r="V54" s="20">
        <f>'SB P&amp;L'!V21</f>
        <v/>
      </c>
      <c r="W54" s="20">
        <f>'SB P&amp;L'!W21</f>
        <v/>
      </c>
      <c r="X54" s="20">
        <f>'SB P&amp;L'!X21</f>
        <v/>
      </c>
      <c r="Y54" s="20">
        <f>'SB P&amp;L'!Y21</f>
        <v/>
      </c>
      <c r="Z54" s="20">
        <f>'SB P&amp;L'!Z21</f>
        <v/>
      </c>
      <c r="AA54" s="20">
        <f>'SB P&amp;L'!AA21</f>
        <v/>
      </c>
      <c r="AB54" s="20">
        <f>'SB P&amp;L'!AB21</f>
        <v/>
      </c>
      <c r="AC54" s="20">
        <f>'SB P&amp;L'!AC21</f>
        <v/>
      </c>
      <c r="AD54" s="20">
        <f>'SB P&amp;L'!AD21</f>
        <v/>
      </c>
      <c r="AE54" s="20">
        <f>'SB P&amp;L'!AE21</f>
        <v/>
      </c>
      <c r="AF54" s="20">
        <f>'SB P&amp;L'!AF21</f>
        <v/>
      </c>
      <c r="AG54" s="20">
        <f>'SB P&amp;L'!AG21</f>
        <v/>
      </c>
      <c r="AH54" s="20">
        <f>'SB P&amp;L'!AH21</f>
        <v/>
      </c>
      <c r="AI54" s="20">
        <f>'SB P&amp;L'!AI21</f>
        <v/>
      </c>
      <c r="AJ54" s="20">
        <f>'SB P&amp;L'!AJ21</f>
        <v/>
      </c>
      <c r="AK54" s="20">
        <f>'SB P&amp;L'!AK21</f>
        <v/>
      </c>
      <c r="AL54" s="20">
        <f>'SB P&amp;L'!AL21</f>
        <v/>
      </c>
      <c r="AM54" s="20">
        <f>'SB P&amp;L'!AM21</f>
        <v/>
      </c>
      <c r="AN54" s="20">
        <f>'SB P&amp;L'!AN21</f>
        <v/>
      </c>
      <c r="AO54" s="20">
        <f>'SB P&amp;L'!AO21</f>
        <v/>
      </c>
      <c r="AP54" s="20">
        <f>'SB P&amp;L'!AP21</f>
        <v/>
      </c>
      <c r="AQ54" s="20">
        <f>'SB P&amp;L'!AQ21</f>
        <v/>
      </c>
      <c r="AR54" s="20">
        <f>'SB P&amp;L'!AR21</f>
        <v/>
      </c>
      <c r="AS54" s="20">
        <f>'SB P&amp;L'!AS21</f>
        <v/>
      </c>
      <c r="AT54" s="20">
        <f>'SB P&amp;L'!AT21</f>
        <v/>
      </c>
      <c r="AU54" s="20">
        <f>'SB P&amp;L'!AU21</f>
        <v/>
      </c>
      <c r="AV54" s="20">
        <f>'SB P&amp;L'!AV21</f>
        <v/>
      </c>
      <c r="AW54" s="20">
        <f>'SB P&amp;L'!AW21</f>
        <v/>
      </c>
      <c r="AX54" s="20">
        <f>'SB P&amp;L'!AX21</f>
        <v/>
      </c>
      <c r="AY54" s="20">
        <f>'SB P&amp;L'!AY21</f>
        <v/>
      </c>
    </row>
    <row r="55">
      <c r="B55" s="18" t="inlineStr">
        <is>
          <t>Gross Profit</t>
        </is>
      </c>
      <c r="D55" s="20">
        <f>'SB P&amp;L'!D26</f>
        <v/>
      </c>
      <c r="E55" s="20">
        <f>'SB P&amp;L'!E26</f>
        <v/>
      </c>
      <c r="F55" s="20">
        <f>'SB P&amp;L'!F26</f>
        <v/>
      </c>
      <c r="G55" s="20">
        <f>'SB P&amp;L'!G26</f>
        <v/>
      </c>
      <c r="H55" s="20">
        <f>'SB P&amp;L'!H26</f>
        <v/>
      </c>
      <c r="I55" s="20">
        <f>'SB P&amp;L'!I26</f>
        <v/>
      </c>
      <c r="J55" s="20">
        <f>'SB P&amp;L'!J26</f>
        <v/>
      </c>
      <c r="K55" s="20">
        <f>'SB P&amp;L'!K26</f>
        <v/>
      </c>
      <c r="L55" s="20">
        <f>'SB P&amp;L'!L26</f>
        <v/>
      </c>
      <c r="M55" s="20">
        <f>'SB P&amp;L'!M26</f>
        <v/>
      </c>
      <c r="N55" s="20">
        <f>'SB P&amp;L'!N26</f>
        <v/>
      </c>
      <c r="O55" s="20">
        <f>'SB P&amp;L'!O26</f>
        <v/>
      </c>
      <c r="P55" s="20">
        <f>'SB P&amp;L'!P26</f>
        <v/>
      </c>
      <c r="Q55" s="20">
        <f>'SB P&amp;L'!Q26</f>
        <v/>
      </c>
      <c r="R55" s="20">
        <f>'SB P&amp;L'!R26</f>
        <v/>
      </c>
      <c r="S55" s="20">
        <f>'SB P&amp;L'!S26</f>
        <v/>
      </c>
      <c r="T55" s="20">
        <f>'SB P&amp;L'!T26</f>
        <v/>
      </c>
      <c r="U55" s="20">
        <f>'SB P&amp;L'!U26</f>
        <v/>
      </c>
      <c r="V55" s="20">
        <f>'SB P&amp;L'!V26</f>
        <v/>
      </c>
      <c r="W55" s="20">
        <f>'SB P&amp;L'!W26</f>
        <v/>
      </c>
      <c r="X55" s="20">
        <f>'SB P&amp;L'!X26</f>
        <v/>
      </c>
      <c r="Y55" s="20">
        <f>'SB P&amp;L'!Y26</f>
        <v/>
      </c>
      <c r="Z55" s="20">
        <f>'SB P&amp;L'!Z26</f>
        <v/>
      </c>
      <c r="AA55" s="20">
        <f>'SB P&amp;L'!AA26</f>
        <v/>
      </c>
      <c r="AB55" s="20">
        <f>'SB P&amp;L'!AB26</f>
        <v/>
      </c>
      <c r="AC55" s="20">
        <f>'SB P&amp;L'!AC26</f>
        <v/>
      </c>
      <c r="AD55" s="20">
        <f>'SB P&amp;L'!AD26</f>
        <v/>
      </c>
      <c r="AE55" s="20">
        <f>'SB P&amp;L'!AE26</f>
        <v/>
      </c>
      <c r="AF55" s="20">
        <f>'SB P&amp;L'!AF26</f>
        <v/>
      </c>
      <c r="AG55" s="20">
        <f>'SB P&amp;L'!AG26</f>
        <v/>
      </c>
      <c r="AH55" s="20">
        <f>'SB P&amp;L'!AH26</f>
        <v/>
      </c>
      <c r="AI55" s="20">
        <f>'SB P&amp;L'!AI26</f>
        <v/>
      </c>
      <c r="AJ55" s="20">
        <f>'SB P&amp;L'!AJ26</f>
        <v/>
      </c>
      <c r="AK55" s="20">
        <f>'SB P&amp;L'!AK26</f>
        <v/>
      </c>
      <c r="AL55" s="20">
        <f>'SB P&amp;L'!AL26</f>
        <v/>
      </c>
      <c r="AM55" s="20">
        <f>'SB P&amp;L'!AM26</f>
        <v/>
      </c>
      <c r="AN55" s="20">
        <f>'SB P&amp;L'!AN26</f>
        <v/>
      </c>
      <c r="AO55" s="20">
        <f>'SB P&amp;L'!AO26</f>
        <v/>
      </c>
      <c r="AP55" s="20">
        <f>'SB P&amp;L'!AP26</f>
        <v/>
      </c>
      <c r="AQ55" s="20">
        <f>'SB P&amp;L'!AQ26</f>
        <v/>
      </c>
      <c r="AR55" s="20">
        <f>'SB P&amp;L'!AR26</f>
        <v/>
      </c>
      <c r="AS55" s="20">
        <f>'SB P&amp;L'!AS26</f>
        <v/>
      </c>
      <c r="AT55" s="20">
        <f>'SB P&amp;L'!AT26</f>
        <v/>
      </c>
      <c r="AU55" s="20">
        <f>'SB P&amp;L'!AU26</f>
        <v/>
      </c>
      <c r="AV55" s="20">
        <f>'SB P&amp;L'!AV26</f>
        <v/>
      </c>
      <c r="AW55" s="20">
        <f>'SB P&amp;L'!AW26</f>
        <v/>
      </c>
      <c r="AX55" s="20">
        <f>'SB P&amp;L'!AX26</f>
        <v/>
      </c>
      <c r="AY55" s="20">
        <f>'SB P&amp;L'!AY26</f>
        <v/>
      </c>
    </row>
    <row r="56">
      <c r="B56" s="18" t="inlineStr">
        <is>
          <t>Total Operating Expenses</t>
        </is>
      </c>
      <c r="D56" s="20">
        <f>'SB P&amp;L'!D62</f>
        <v/>
      </c>
      <c r="E56" s="20">
        <f>'SB P&amp;L'!E62</f>
        <v/>
      </c>
      <c r="F56" s="20">
        <f>'SB P&amp;L'!F62</f>
        <v/>
      </c>
      <c r="G56" s="20">
        <f>'SB P&amp;L'!G62</f>
        <v/>
      </c>
      <c r="H56" s="20">
        <f>'SB P&amp;L'!H62</f>
        <v/>
      </c>
      <c r="I56" s="20">
        <f>'SB P&amp;L'!I62</f>
        <v/>
      </c>
      <c r="J56" s="20">
        <f>'SB P&amp;L'!J62</f>
        <v/>
      </c>
      <c r="K56" s="20">
        <f>'SB P&amp;L'!K62</f>
        <v/>
      </c>
      <c r="L56" s="20">
        <f>'SB P&amp;L'!L62</f>
        <v/>
      </c>
      <c r="M56" s="20">
        <f>'SB P&amp;L'!M62</f>
        <v/>
      </c>
      <c r="N56" s="20">
        <f>'SB P&amp;L'!N62</f>
        <v/>
      </c>
      <c r="O56" s="20">
        <f>'SB P&amp;L'!O62</f>
        <v/>
      </c>
      <c r="P56" s="20">
        <f>'SB P&amp;L'!P62</f>
        <v/>
      </c>
      <c r="Q56" s="20">
        <f>'SB P&amp;L'!Q62</f>
        <v/>
      </c>
      <c r="R56" s="20">
        <f>'SB P&amp;L'!R62</f>
        <v/>
      </c>
      <c r="S56" s="20">
        <f>'SB P&amp;L'!S62</f>
        <v/>
      </c>
      <c r="T56" s="20">
        <f>'SB P&amp;L'!T62</f>
        <v/>
      </c>
      <c r="U56" s="20">
        <f>'SB P&amp;L'!U62</f>
        <v/>
      </c>
      <c r="V56" s="20">
        <f>'SB P&amp;L'!V62</f>
        <v/>
      </c>
      <c r="W56" s="20">
        <f>'SB P&amp;L'!W62</f>
        <v/>
      </c>
      <c r="X56" s="20">
        <f>'SB P&amp;L'!X62</f>
        <v/>
      </c>
      <c r="Y56" s="20">
        <f>'SB P&amp;L'!Y62</f>
        <v/>
      </c>
      <c r="Z56" s="20">
        <f>'SB P&amp;L'!Z62</f>
        <v/>
      </c>
      <c r="AA56" s="20">
        <f>'SB P&amp;L'!AA62</f>
        <v/>
      </c>
      <c r="AB56" s="20">
        <f>'SB P&amp;L'!AB62</f>
        <v/>
      </c>
      <c r="AC56" s="20">
        <f>'SB P&amp;L'!AC62</f>
        <v/>
      </c>
      <c r="AD56" s="20">
        <f>'SB P&amp;L'!AD62</f>
        <v/>
      </c>
      <c r="AE56" s="20">
        <f>'SB P&amp;L'!AE62</f>
        <v/>
      </c>
      <c r="AF56" s="20">
        <f>'SB P&amp;L'!AF62</f>
        <v/>
      </c>
      <c r="AG56" s="20">
        <f>'SB P&amp;L'!AG62</f>
        <v/>
      </c>
      <c r="AH56" s="20">
        <f>'SB P&amp;L'!AH62</f>
        <v/>
      </c>
      <c r="AI56" s="20">
        <f>'SB P&amp;L'!AI62</f>
        <v/>
      </c>
      <c r="AJ56" s="20">
        <f>'SB P&amp;L'!AJ62</f>
        <v/>
      </c>
      <c r="AK56" s="20">
        <f>'SB P&amp;L'!AK62</f>
        <v/>
      </c>
      <c r="AL56" s="20">
        <f>'SB P&amp;L'!AL62</f>
        <v/>
      </c>
      <c r="AM56" s="20">
        <f>'SB P&amp;L'!AM62</f>
        <v/>
      </c>
      <c r="AN56" s="20">
        <f>'SB P&amp;L'!AN62</f>
        <v/>
      </c>
      <c r="AO56" s="20">
        <f>'SB P&amp;L'!AO62</f>
        <v/>
      </c>
      <c r="AP56" s="20">
        <f>'SB P&amp;L'!AP62</f>
        <v/>
      </c>
      <c r="AQ56" s="20">
        <f>'SB P&amp;L'!AQ62</f>
        <v/>
      </c>
      <c r="AR56" s="20">
        <f>'SB P&amp;L'!AR62</f>
        <v/>
      </c>
      <c r="AS56" s="20">
        <f>'SB P&amp;L'!AS62</f>
        <v/>
      </c>
      <c r="AT56" s="20">
        <f>'SB P&amp;L'!AT62</f>
        <v/>
      </c>
      <c r="AU56" s="20">
        <f>'SB P&amp;L'!AU62</f>
        <v/>
      </c>
      <c r="AV56" s="20">
        <f>'SB P&amp;L'!AV62</f>
        <v/>
      </c>
      <c r="AW56" s="20">
        <f>'SB P&amp;L'!AW62</f>
        <v/>
      </c>
      <c r="AX56" s="20">
        <f>'SB P&amp;L'!AX62</f>
        <v/>
      </c>
      <c r="AY56" s="20">
        <f>'SB P&amp;L'!AY62</f>
        <v/>
      </c>
    </row>
    <row r="57">
      <c r="B57" s="15" t="inlineStr">
        <is>
          <t>Net Operating Income</t>
        </is>
      </c>
      <c r="D57" s="37">
        <f>'SB P&amp;L'!D63</f>
        <v/>
      </c>
      <c r="E57" s="37">
        <f>'SB P&amp;L'!E63</f>
        <v/>
      </c>
      <c r="F57" s="37">
        <f>'SB P&amp;L'!F63</f>
        <v/>
      </c>
      <c r="G57" s="37">
        <f>'SB P&amp;L'!G63</f>
        <v/>
      </c>
      <c r="H57" s="37">
        <f>'SB P&amp;L'!H63</f>
        <v/>
      </c>
      <c r="I57" s="37">
        <f>'SB P&amp;L'!I63</f>
        <v/>
      </c>
      <c r="J57" s="37">
        <f>'SB P&amp;L'!J63</f>
        <v/>
      </c>
      <c r="K57" s="37">
        <f>'SB P&amp;L'!K63</f>
        <v/>
      </c>
      <c r="L57" s="37">
        <f>'SB P&amp;L'!L63</f>
        <v/>
      </c>
      <c r="M57" s="37">
        <f>'SB P&amp;L'!M63</f>
        <v/>
      </c>
      <c r="N57" s="37">
        <f>'SB P&amp;L'!N63</f>
        <v/>
      </c>
      <c r="O57" s="37">
        <f>'SB P&amp;L'!O63</f>
        <v/>
      </c>
      <c r="P57" s="37">
        <f>'SB P&amp;L'!P63</f>
        <v/>
      </c>
      <c r="Q57" s="37">
        <f>'SB P&amp;L'!Q63</f>
        <v/>
      </c>
      <c r="R57" s="37">
        <f>'SB P&amp;L'!R63</f>
        <v/>
      </c>
      <c r="S57" s="37">
        <f>'SB P&amp;L'!S63</f>
        <v/>
      </c>
      <c r="T57" s="37">
        <f>'SB P&amp;L'!T63</f>
        <v/>
      </c>
      <c r="U57" s="37">
        <f>'SB P&amp;L'!U63</f>
        <v/>
      </c>
      <c r="V57" s="37">
        <f>'SB P&amp;L'!V63</f>
        <v/>
      </c>
      <c r="W57" s="37">
        <f>'SB P&amp;L'!W63</f>
        <v/>
      </c>
      <c r="X57" s="37">
        <f>'SB P&amp;L'!X63</f>
        <v/>
      </c>
      <c r="Y57" s="37">
        <f>'SB P&amp;L'!Y63</f>
        <v/>
      </c>
      <c r="Z57" s="37">
        <f>'SB P&amp;L'!Z63</f>
        <v/>
      </c>
      <c r="AA57" s="37">
        <f>'SB P&amp;L'!AA63</f>
        <v/>
      </c>
      <c r="AB57" s="37">
        <f>'SB P&amp;L'!AB63</f>
        <v/>
      </c>
      <c r="AC57" s="37">
        <f>'SB P&amp;L'!AC63</f>
        <v/>
      </c>
      <c r="AD57" s="37">
        <f>'SB P&amp;L'!AD63</f>
        <v/>
      </c>
      <c r="AE57" s="37">
        <f>'SB P&amp;L'!AE63</f>
        <v/>
      </c>
      <c r="AF57" s="37">
        <f>'SB P&amp;L'!AF63</f>
        <v/>
      </c>
      <c r="AG57" s="37">
        <f>'SB P&amp;L'!AG63</f>
        <v/>
      </c>
      <c r="AH57" s="37">
        <f>'SB P&amp;L'!AH63</f>
        <v/>
      </c>
      <c r="AI57" s="37">
        <f>'SB P&amp;L'!AI63</f>
        <v/>
      </c>
      <c r="AJ57" s="37">
        <f>'SB P&amp;L'!AJ63</f>
        <v/>
      </c>
      <c r="AK57" s="37">
        <f>'SB P&amp;L'!AK63</f>
        <v/>
      </c>
      <c r="AL57" s="37">
        <f>'SB P&amp;L'!AL63</f>
        <v/>
      </c>
      <c r="AM57" s="37">
        <f>'SB P&amp;L'!AM63</f>
        <v/>
      </c>
      <c r="AN57" s="37">
        <f>'SB P&amp;L'!AN63</f>
        <v/>
      </c>
      <c r="AO57" s="37">
        <f>'SB P&amp;L'!AO63</f>
        <v/>
      </c>
      <c r="AP57" s="37">
        <f>'SB P&amp;L'!AP63</f>
        <v/>
      </c>
      <c r="AQ57" s="37">
        <f>'SB P&amp;L'!AQ63</f>
        <v/>
      </c>
      <c r="AR57" s="37">
        <f>'SB P&amp;L'!AR63</f>
        <v/>
      </c>
      <c r="AS57" s="37">
        <f>'SB P&amp;L'!AS63</f>
        <v/>
      </c>
      <c r="AT57" s="37">
        <f>'SB P&amp;L'!AT63</f>
        <v/>
      </c>
      <c r="AU57" s="37">
        <f>'SB P&amp;L'!AU63</f>
        <v/>
      </c>
      <c r="AV57" s="37">
        <f>'SB P&amp;L'!AV63</f>
        <v/>
      </c>
      <c r="AW57" s="37">
        <f>'SB P&amp;L'!AW63</f>
        <v/>
      </c>
      <c r="AX57" s="37">
        <f>'SB P&amp;L'!AX63</f>
        <v/>
      </c>
      <c r="AY57" s="37">
        <f>'SB P&amp;L'!AY63</f>
        <v/>
      </c>
    </row>
    <row r="59" ht="16" customHeight="1" s="282">
      <c r="B59" s="10" t="inlineStr">
        <is>
          <t>Santa Monica (SM)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</row>
    <row r="60">
      <c r="B60" s="18" t="inlineStr">
        <is>
          <t>Total Revenue</t>
        </is>
      </c>
      <c r="D60" s="20">
        <f>'SM P&amp;L'!D22</f>
        <v/>
      </c>
      <c r="E60" s="20">
        <f>'SM P&amp;L'!E22</f>
        <v/>
      </c>
      <c r="F60" s="20">
        <f>'SM P&amp;L'!F22</f>
        <v/>
      </c>
      <c r="G60" s="20">
        <f>'SM P&amp;L'!G22</f>
        <v/>
      </c>
      <c r="H60" s="20">
        <f>'SM P&amp;L'!H22</f>
        <v/>
      </c>
      <c r="I60" s="20">
        <f>'SM P&amp;L'!I22</f>
        <v/>
      </c>
      <c r="J60" s="20">
        <f>'SM P&amp;L'!J22</f>
        <v/>
      </c>
      <c r="K60" s="20">
        <f>'SM P&amp;L'!K22</f>
        <v/>
      </c>
      <c r="L60" s="20">
        <f>'SM P&amp;L'!L22</f>
        <v/>
      </c>
      <c r="M60" s="20">
        <f>'SM P&amp;L'!M22</f>
        <v/>
      </c>
      <c r="N60" s="20">
        <f>'SM P&amp;L'!N22</f>
        <v/>
      </c>
      <c r="O60" s="20">
        <f>'SM P&amp;L'!O22</f>
        <v/>
      </c>
      <c r="P60" s="20">
        <f>'SM P&amp;L'!P22</f>
        <v/>
      </c>
      <c r="Q60" s="20">
        <f>'SM P&amp;L'!Q22</f>
        <v/>
      </c>
      <c r="R60" s="20">
        <f>'SM P&amp;L'!R22</f>
        <v/>
      </c>
      <c r="S60" s="20">
        <f>'SM P&amp;L'!S22</f>
        <v/>
      </c>
      <c r="T60" s="20">
        <f>'SM P&amp;L'!T22</f>
        <v/>
      </c>
      <c r="U60" s="20">
        <f>'SM P&amp;L'!U22</f>
        <v/>
      </c>
      <c r="V60" s="20">
        <f>'SM P&amp;L'!V22</f>
        <v/>
      </c>
      <c r="W60" s="20">
        <f>'SM P&amp;L'!W22</f>
        <v/>
      </c>
      <c r="X60" s="20">
        <f>'SM P&amp;L'!X22</f>
        <v/>
      </c>
      <c r="Y60" s="20">
        <f>'SM P&amp;L'!Y22</f>
        <v/>
      </c>
      <c r="Z60" s="20">
        <f>'SM P&amp;L'!Z22</f>
        <v/>
      </c>
      <c r="AA60" s="20">
        <f>'SM P&amp;L'!AA22</f>
        <v/>
      </c>
      <c r="AB60" s="20">
        <f>'SM P&amp;L'!AB22</f>
        <v/>
      </c>
      <c r="AC60" s="20">
        <f>'SM P&amp;L'!AC22</f>
        <v/>
      </c>
      <c r="AD60" s="20">
        <f>'SM P&amp;L'!AD22</f>
        <v/>
      </c>
      <c r="AE60" s="20">
        <f>'SM P&amp;L'!AE22</f>
        <v/>
      </c>
      <c r="AF60" s="20">
        <f>'SM P&amp;L'!AF22</f>
        <v/>
      </c>
      <c r="AG60" s="20">
        <f>'SM P&amp;L'!AG22</f>
        <v/>
      </c>
      <c r="AH60" s="20">
        <f>'SM P&amp;L'!AH22</f>
        <v/>
      </c>
      <c r="AI60" s="20">
        <f>'SM P&amp;L'!AI22</f>
        <v/>
      </c>
      <c r="AJ60" s="20">
        <f>'SM P&amp;L'!AJ22</f>
        <v/>
      </c>
      <c r="AK60" s="20">
        <f>'SM P&amp;L'!AK22</f>
        <v/>
      </c>
      <c r="AL60" s="20">
        <f>'SM P&amp;L'!AL22</f>
        <v/>
      </c>
      <c r="AM60" s="20">
        <f>'SM P&amp;L'!AM22</f>
        <v/>
      </c>
      <c r="AN60" s="20">
        <f>'SM P&amp;L'!AN22</f>
        <v/>
      </c>
      <c r="AO60" s="20">
        <f>'SM P&amp;L'!AO22</f>
        <v/>
      </c>
      <c r="AP60" s="20">
        <f>'SM P&amp;L'!AP22</f>
        <v/>
      </c>
      <c r="AQ60" s="20">
        <f>'SM P&amp;L'!AQ22</f>
        <v/>
      </c>
      <c r="AR60" s="20">
        <f>'SM P&amp;L'!AR22</f>
        <v/>
      </c>
      <c r="AS60" s="20">
        <f>'SM P&amp;L'!AS22</f>
        <v/>
      </c>
      <c r="AT60" s="20">
        <f>'SM P&amp;L'!AT22</f>
        <v/>
      </c>
      <c r="AU60" s="20">
        <f>'SM P&amp;L'!AU22</f>
        <v/>
      </c>
      <c r="AV60" s="20">
        <f>'SM P&amp;L'!AV22</f>
        <v/>
      </c>
      <c r="AW60" s="20">
        <f>'SM P&amp;L'!AW22</f>
        <v/>
      </c>
      <c r="AX60" s="20">
        <f>'SM P&amp;L'!AX22</f>
        <v/>
      </c>
      <c r="AY60" s="20">
        <f>'SM P&amp;L'!AY22</f>
        <v/>
      </c>
    </row>
    <row r="61">
      <c r="B61" s="18" t="inlineStr">
        <is>
          <t>Gross Profit</t>
        </is>
      </c>
      <c r="D61" s="20">
        <f>'SM P&amp;L'!D27</f>
        <v/>
      </c>
      <c r="E61" s="20">
        <f>'SM P&amp;L'!E27</f>
        <v/>
      </c>
      <c r="F61" s="20">
        <f>'SM P&amp;L'!F27</f>
        <v/>
      </c>
      <c r="G61" s="20">
        <f>'SM P&amp;L'!G27</f>
        <v/>
      </c>
      <c r="H61" s="20">
        <f>'SM P&amp;L'!H27</f>
        <v/>
      </c>
      <c r="I61" s="20">
        <f>'SM P&amp;L'!I27</f>
        <v/>
      </c>
      <c r="J61" s="20">
        <f>'SM P&amp;L'!J27</f>
        <v/>
      </c>
      <c r="K61" s="20">
        <f>'SM P&amp;L'!K27</f>
        <v/>
      </c>
      <c r="L61" s="20">
        <f>'SM P&amp;L'!L27</f>
        <v/>
      </c>
      <c r="M61" s="20">
        <f>'SM P&amp;L'!M27</f>
        <v/>
      </c>
      <c r="N61" s="20">
        <f>'SM P&amp;L'!N27</f>
        <v/>
      </c>
      <c r="O61" s="20">
        <f>'SM P&amp;L'!O27</f>
        <v/>
      </c>
      <c r="P61" s="20">
        <f>'SM P&amp;L'!P27</f>
        <v/>
      </c>
      <c r="Q61" s="20">
        <f>'SM P&amp;L'!Q27</f>
        <v/>
      </c>
      <c r="R61" s="20">
        <f>'SM P&amp;L'!R27</f>
        <v/>
      </c>
      <c r="S61" s="20">
        <f>'SM P&amp;L'!S27</f>
        <v/>
      </c>
      <c r="T61" s="20">
        <f>'SM P&amp;L'!T27</f>
        <v/>
      </c>
      <c r="U61" s="20">
        <f>'SM P&amp;L'!U27</f>
        <v/>
      </c>
      <c r="V61" s="20">
        <f>'SM P&amp;L'!V27</f>
        <v/>
      </c>
      <c r="W61" s="20">
        <f>'SM P&amp;L'!W27</f>
        <v/>
      </c>
      <c r="X61" s="20">
        <f>'SM P&amp;L'!X27</f>
        <v/>
      </c>
      <c r="Y61" s="20">
        <f>'SM P&amp;L'!Y27</f>
        <v/>
      </c>
      <c r="Z61" s="20">
        <f>'SM P&amp;L'!Z27</f>
        <v/>
      </c>
      <c r="AA61" s="20">
        <f>'SM P&amp;L'!AA27</f>
        <v/>
      </c>
      <c r="AB61" s="20">
        <f>'SM P&amp;L'!AB27</f>
        <v/>
      </c>
      <c r="AC61" s="20">
        <f>'SM P&amp;L'!AC27</f>
        <v/>
      </c>
      <c r="AD61" s="20">
        <f>'SM P&amp;L'!AD27</f>
        <v/>
      </c>
      <c r="AE61" s="20">
        <f>'SM P&amp;L'!AE27</f>
        <v/>
      </c>
      <c r="AF61" s="20">
        <f>'SM P&amp;L'!AF27</f>
        <v/>
      </c>
      <c r="AG61" s="20">
        <f>'SM P&amp;L'!AG27</f>
        <v/>
      </c>
      <c r="AH61" s="20">
        <f>'SM P&amp;L'!AH27</f>
        <v/>
      </c>
      <c r="AI61" s="20">
        <f>'SM P&amp;L'!AI27</f>
        <v/>
      </c>
      <c r="AJ61" s="20">
        <f>'SM P&amp;L'!AJ27</f>
        <v/>
      </c>
      <c r="AK61" s="20">
        <f>'SM P&amp;L'!AK27</f>
        <v/>
      </c>
      <c r="AL61" s="20">
        <f>'SM P&amp;L'!AL27</f>
        <v/>
      </c>
      <c r="AM61" s="20">
        <f>'SM P&amp;L'!AM27</f>
        <v/>
      </c>
      <c r="AN61" s="20">
        <f>'SM P&amp;L'!AN27</f>
        <v/>
      </c>
      <c r="AO61" s="20">
        <f>'SM P&amp;L'!AO27</f>
        <v/>
      </c>
      <c r="AP61" s="20">
        <f>'SM P&amp;L'!AP27</f>
        <v/>
      </c>
      <c r="AQ61" s="20">
        <f>'SM P&amp;L'!AQ27</f>
        <v/>
      </c>
      <c r="AR61" s="20">
        <f>'SM P&amp;L'!AR27</f>
        <v/>
      </c>
      <c r="AS61" s="20">
        <f>'SM P&amp;L'!AS27</f>
        <v/>
      </c>
      <c r="AT61" s="20">
        <f>'SM P&amp;L'!AT27</f>
        <v/>
      </c>
      <c r="AU61" s="20">
        <f>'SM P&amp;L'!AU27</f>
        <v/>
      </c>
      <c r="AV61" s="20">
        <f>'SM P&amp;L'!AV27</f>
        <v/>
      </c>
      <c r="AW61" s="20">
        <f>'SM P&amp;L'!AW27</f>
        <v/>
      </c>
      <c r="AX61" s="20">
        <f>'SM P&amp;L'!AX27</f>
        <v/>
      </c>
      <c r="AY61" s="20">
        <f>'SM P&amp;L'!AY27</f>
        <v/>
      </c>
    </row>
    <row r="62">
      <c r="B62" s="18" t="inlineStr">
        <is>
          <t>Total Operating Expenses</t>
        </is>
      </c>
      <c r="D62" s="20">
        <f>'SM P&amp;L'!D63</f>
        <v/>
      </c>
      <c r="E62" s="20">
        <f>'SM P&amp;L'!E63</f>
        <v/>
      </c>
      <c r="F62" s="20">
        <f>'SM P&amp;L'!F63</f>
        <v/>
      </c>
      <c r="G62" s="20">
        <f>'SM P&amp;L'!G63</f>
        <v/>
      </c>
      <c r="H62" s="20">
        <f>'SM P&amp;L'!H63</f>
        <v/>
      </c>
      <c r="I62" s="20">
        <f>'SM P&amp;L'!I63</f>
        <v/>
      </c>
      <c r="J62" s="20">
        <f>'SM P&amp;L'!J63</f>
        <v/>
      </c>
      <c r="K62" s="20">
        <f>'SM P&amp;L'!K63</f>
        <v/>
      </c>
      <c r="L62" s="20">
        <f>'SM P&amp;L'!L63</f>
        <v/>
      </c>
      <c r="M62" s="20">
        <f>'SM P&amp;L'!M63</f>
        <v/>
      </c>
      <c r="N62" s="20">
        <f>'SM P&amp;L'!N63</f>
        <v/>
      </c>
      <c r="O62" s="20">
        <f>'SM P&amp;L'!O63</f>
        <v/>
      </c>
      <c r="P62" s="20">
        <f>'SM P&amp;L'!P63</f>
        <v/>
      </c>
      <c r="Q62" s="20">
        <f>'SM P&amp;L'!Q63</f>
        <v/>
      </c>
      <c r="R62" s="20">
        <f>'SM P&amp;L'!R63</f>
        <v/>
      </c>
      <c r="S62" s="20">
        <f>'SM P&amp;L'!S63</f>
        <v/>
      </c>
      <c r="T62" s="20">
        <f>'SM P&amp;L'!T63</f>
        <v/>
      </c>
      <c r="U62" s="20">
        <f>'SM P&amp;L'!U63</f>
        <v/>
      </c>
      <c r="V62" s="20">
        <f>'SM P&amp;L'!V63</f>
        <v/>
      </c>
      <c r="W62" s="20">
        <f>'SM P&amp;L'!W63</f>
        <v/>
      </c>
      <c r="X62" s="20">
        <f>'SM P&amp;L'!X63</f>
        <v/>
      </c>
      <c r="Y62" s="20">
        <f>'SM P&amp;L'!Y63</f>
        <v/>
      </c>
      <c r="Z62" s="20">
        <f>'SM P&amp;L'!Z63</f>
        <v/>
      </c>
      <c r="AA62" s="20">
        <f>'SM P&amp;L'!AA63</f>
        <v/>
      </c>
      <c r="AB62" s="20">
        <f>'SM P&amp;L'!AB63</f>
        <v/>
      </c>
      <c r="AC62" s="20">
        <f>'SM P&amp;L'!AC63</f>
        <v/>
      </c>
      <c r="AD62" s="20">
        <f>'SM P&amp;L'!AD63</f>
        <v/>
      </c>
      <c r="AE62" s="20">
        <f>'SM P&amp;L'!AE63</f>
        <v/>
      </c>
      <c r="AF62" s="20">
        <f>'SM P&amp;L'!AF63</f>
        <v/>
      </c>
      <c r="AG62" s="20">
        <f>'SM P&amp;L'!AG63</f>
        <v/>
      </c>
      <c r="AH62" s="20">
        <f>'SM P&amp;L'!AH63</f>
        <v/>
      </c>
      <c r="AI62" s="20">
        <f>'SM P&amp;L'!AI63</f>
        <v/>
      </c>
      <c r="AJ62" s="20">
        <f>'SM P&amp;L'!AJ63</f>
        <v/>
      </c>
      <c r="AK62" s="20">
        <f>'SM P&amp;L'!AK63</f>
        <v/>
      </c>
      <c r="AL62" s="20">
        <f>'SM P&amp;L'!AL63</f>
        <v/>
      </c>
      <c r="AM62" s="20">
        <f>'SM P&amp;L'!AM63</f>
        <v/>
      </c>
      <c r="AN62" s="20">
        <f>'SM P&amp;L'!AN63</f>
        <v/>
      </c>
      <c r="AO62" s="20">
        <f>'SM P&amp;L'!AO63</f>
        <v/>
      </c>
      <c r="AP62" s="20">
        <f>'SM P&amp;L'!AP63</f>
        <v/>
      </c>
      <c r="AQ62" s="20">
        <f>'SM P&amp;L'!AQ63</f>
        <v/>
      </c>
      <c r="AR62" s="20">
        <f>'SM P&amp;L'!AR63</f>
        <v/>
      </c>
      <c r="AS62" s="20">
        <f>'SM P&amp;L'!AS63</f>
        <v/>
      </c>
      <c r="AT62" s="20">
        <f>'SM P&amp;L'!AT63</f>
        <v/>
      </c>
      <c r="AU62" s="20">
        <f>'SM P&amp;L'!AU63</f>
        <v/>
      </c>
      <c r="AV62" s="20">
        <f>'SM P&amp;L'!AV63</f>
        <v/>
      </c>
      <c r="AW62" s="20">
        <f>'SM P&amp;L'!AW63</f>
        <v/>
      </c>
      <c r="AX62" s="20">
        <f>'SM P&amp;L'!AX63</f>
        <v/>
      </c>
      <c r="AY62" s="20">
        <f>'SM P&amp;L'!AY63</f>
        <v/>
      </c>
    </row>
    <row r="63">
      <c r="B63" s="15" t="inlineStr">
        <is>
          <t>Net Operating Income</t>
        </is>
      </c>
      <c r="D63" s="37">
        <f>'SM P&amp;L'!D64</f>
        <v/>
      </c>
      <c r="E63" s="37">
        <f>'SM P&amp;L'!E64</f>
        <v/>
      </c>
      <c r="F63" s="37">
        <f>'SM P&amp;L'!F64</f>
        <v/>
      </c>
      <c r="G63" s="37">
        <f>'SM P&amp;L'!G64</f>
        <v/>
      </c>
      <c r="H63" s="37">
        <f>'SM P&amp;L'!H64</f>
        <v/>
      </c>
      <c r="I63" s="37">
        <f>'SM P&amp;L'!I64</f>
        <v/>
      </c>
      <c r="J63" s="37">
        <f>'SM P&amp;L'!J64</f>
        <v/>
      </c>
      <c r="K63" s="37">
        <f>'SM P&amp;L'!K64</f>
        <v/>
      </c>
      <c r="L63" s="37">
        <f>'SM P&amp;L'!L64</f>
        <v/>
      </c>
      <c r="M63" s="37">
        <f>'SM P&amp;L'!M64</f>
        <v/>
      </c>
      <c r="N63" s="37">
        <f>'SM P&amp;L'!N64</f>
        <v/>
      </c>
      <c r="O63" s="37">
        <f>'SM P&amp;L'!O64</f>
        <v/>
      </c>
      <c r="P63" s="37">
        <f>'SM P&amp;L'!P64</f>
        <v/>
      </c>
      <c r="Q63" s="37">
        <f>'SM P&amp;L'!Q64</f>
        <v/>
      </c>
      <c r="R63" s="37">
        <f>'SM P&amp;L'!R64</f>
        <v/>
      </c>
      <c r="S63" s="37">
        <f>'SM P&amp;L'!S64</f>
        <v/>
      </c>
      <c r="T63" s="37">
        <f>'SM P&amp;L'!T64</f>
        <v/>
      </c>
      <c r="U63" s="37">
        <f>'SM P&amp;L'!U64</f>
        <v/>
      </c>
      <c r="V63" s="37">
        <f>'SM P&amp;L'!V64</f>
        <v/>
      </c>
      <c r="W63" s="37">
        <f>'SM P&amp;L'!W64</f>
        <v/>
      </c>
      <c r="X63" s="37">
        <f>'SM P&amp;L'!X64</f>
        <v/>
      </c>
      <c r="Y63" s="37">
        <f>'SM P&amp;L'!Y64</f>
        <v/>
      </c>
      <c r="Z63" s="37">
        <f>'SM P&amp;L'!Z64</f>
        <v/>
      </c>
      <c r="AA63" s="37">
        <f>'SM P&amp;L'!AA64</f>
        <v/>
      </c>
      <c r="AB63" s="37">
        <f>'SM P&amp;L'!AB64</f>
        <v/>
      </c>
      <c r="AC63" s="37">
        <f>'SM P&amp;L'!AC64</f>
        <v/>
      </c>
      <c r="AD63" s="37">
        <f>'SM P&amp;L'!AD64</f>
        <v/>
      </c>
      <c r="AE63" s="37">
        <f>'SM P&amp;L'!AE64</f>
        <v/>
      </c>
      <c r="AF63" s="37">
        <f>'SM P&amp;L'!AF64</f>
        <v/>
      </c>
      <c r="AG63" s="37">
        <f>'SM P&amp;L'!AG64</f>
        <v/>
      </c>
      <c r="AH63" s="37">
        <f>'SM P&amp;L'!AH64</f>
        <v/>
      </c>
      <c r="AI63" s="37">
        <f>'SM P&amp;L'!AI64</f>
        <v/>
      </c>
      <c r="AJ63" s="37">
        <f>'SM P&amp;L'!AJ64</f>
        <v/>
      </c>
      <c r="AK63" s="37">
        <f>'SM P&amp;L'!AK64</f>
        <v/>
      </c>
      <c r="AL63" s="37">
        <f>'SM P&amp;L'!AL64</f>
        <v/>
      </c>
      <c r="AM63" s="37">
        <f>'SM P&amp;L'!AM64</f>
        <v/>
      </c>
      <c r="AN63" s="37">
        <f>'SM P&amp;L'!AN64</f>
        <v/>
      </c>
      <c r="AO63" s="37">
        <f>'SM P&amp;L'!AO64</f>
        <v/>
      </c>
      <c r="AP63" s="37">
        <f>'SM P&amp;L'!AP64</f>
        <v/>
      </c>
      <c r="AQ63" s="37">
        <f>'SM P&amp;L'!AQ64</f>
        <v/>
      </c>
      <c r="AR63" s="37">
        <f>'SM P&amp;L'!AR64</f>
        <v/>
      </c>
      <c r="AS63" s="37">
        <f>'SM P&amp;L'!AS64</f>
        <v/>
      </c>
      <c r="AT63" s="37">
        <f>'SM P&amp;L'!AT64</f>
        <v/>
      </c>
      <c r="AU63" s="37">
        <f>'SM P&amp;L'!AU64</f>
        <v/>
      </c>
      <c r="AV63" s="37">
        <f>'SM P&amp;L'!AV64</f>
        <v/>
      </c>
      <c r="AW63" s="37">
        <f>'SM P&amp;L'!AW64</f>
        <v/>
      </c>
      <c r="AX63" s="37">
        <f>'SM P&amp;L'!AX64</f>
        <v/>
      </c>
      <c r="AY63" s="37">
        <f>'SM P&amp;L'!AY64</f>
        <v/>
      </c>
    </row>
    <row r="65" ht="16" customHeight="1" s="282">
      <c r="B65" s="10" t="inlineStr">
        <is>
          <t>West Portal (WP)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</row>
    <row r="66">
      <c r="B66" s="18" t="inlineStr">
        <is>
          <t>Total Revenue</t>
        </is>
      </c>
      <c r="D66" s="20">
        <f>'WP P&amp;L'!D21</f>
        <v/>
      </c>
      <c r="E66" s="20">
        <f>'WP P&amp;L'!E21</f>
        <v/>
      </c>
      <c r="F66" s="20">
        <f>'WP P&amp;L'!F21</f>
        <v/>
      </c>
      <c r="G66" s="20">
        <f>'WP P&amp;L'!G21</f>
        <v/>
      </c>
      <c r="H66" s="20">
        <f>'WP P&amp;L'!H21</f>
        <v/>
      </c>
      <c r="I66" s="20">
        <f>'WP P&amp;L'!I21</f>
        <v/>
      </c>
      <c r="J66" s="20">
        <f>'WP P&amp;L'!J21</f>
        <v/>
      </c>
      <c r="K66" s="20">
        <f>'WP P&amp;L'!K21</f>
        <v/>
      </c>
      <c r="L66" s="20">
        <f>'WP P&amp;L'!L21</f>
        <v/>
      </c>
      <c r="M66" s="20">
        <f>'WP P&amp;L'!M21</f>
        <v/>
      </c>
      <c r="N66" s="20">
        <f>'WP P&amp;L'!N21</f>
        <v/>
      </c>
      <c r="O66" s="20">
        <f>'WP P&amp;L'!O21</f>
        <v/>
      </c>
      <c r="P66" s="20">
        <f>'WP P&amp;L'!P21</f>
        <v/>
      </c>
      <c r="Q66" s="20">
        <f>'WP P&amp;L'!Q21</f>
        <v/>
      </c>
      <c r="R66" s="20">
        <f>'WP P&amp;L'!R21</f>
        <v/>
      </c>
      <c r="S66" s="20">
        <f>'WP P&amp;L'!S21</f>
        <v/>
      </c>
      <c r="T66" s="20">
        <f>'WP P&amp;L'!T21</f>
        <v/>
      </c>
      <c r="U66" s="20">
        <f>'WP P&amp;L'!U21</f>
        <v/>
      </c>
      <c r="V66" s="20">
        <f>'WP P&amp;L'!V21</f>
        <v/>
      </c>
      <c r="W66" s="20">
        <f>'WP P&amp;L'!W21</f>
        <v/>
      </c>
      <c r="X66" s="20">
        <f>'WP P&amp;L'!X21</f>
        <v/>
      </c>
      <c r="Y66" s="20">
        <f>'WP P&amp;L'!Y21</f>
        <v/>
      </c>
      <c r="Z66" s="20">
        <f>'WP P&amp;L'!Z21</f>
        <v/>
      </c>
      <c r="AA66" s="20">
        <f>'WP P&amp;L'!AA21</f>
        <v/>
      </c>
      <c r="AB66" s="20">
        <f>'WP P&amp;L'!AB21</f>
        <v/>
      </c>
      <c r="AC66" s="20">
        <f>'WP P&amp;L'!AC21</f>
        <v/>
      </c>
      <c r="AD66" s="20">
        <f>'WP P&amp;L'!AD21</f>
        <v/>
      </c>
      <c r="AE66" s="20">
        <f>'WP P&amp;L'!AE21</f>
        <v/>
      </c>
      <c r="AF66" s="20">
        <f>'WP P&amp;L'!AF21</f>
        <v/>
      </c>
      <c r="AG66" s="20">
        <f>'WP P&amp;L'!AG21</f>
        <v/>
      </c>
      <c r="AH66" s="20">
        <f>'WP P&amp;L'!AH21</f>
        <v/>
      </c>
      <c r="AI66" s="20">
        <f>'WP P&amp;L'!AI21</f>
        <v/>
      </c>
      <c r="AJ66" s="20">
        <f>'WP P&amp;L'!AJ21</f>
        <v/>
      </c>
      <c r="AK66" s="20">
        <f>'WP P&amp;L'!AK21</f>
        <v/>
      </c>
      <c r="AL66" s="20">
        <f>'WP P&amp;L'!AL21</f>
        <v/>
      </c>
      <c r="AM66" s="20">
        <f>'WP P&amp;L'!AM21</f>
        <v/>
      </c>
      <c r="AN66" s="20">
        <f>'WP P&amp;L'!AN21</f>
        <v/>
      </c>
      <c r="AO66" s="20">
        <f>'WP P&amp;L'!AO21</f>
        <v/>
      </c>
      <c r="AP66" s="20">
        <f>'WP P&amp;L'!AP21</f>
        <v/>
      </c>
      <c r="AQ66" s="20">
        <f>'WP P&amp;L'!AQ21</f>
        <v/>
      </c>
      <c r="AR66" s="20">
        <f>'WP P&amp;L'!AR21</f>
        <v/>
      </c>
      <c r="AS66" s="20">
        <f>'WP P&amp;L'!AS21</f>
        <v/>
      </c>
      <c r="AT66" s="20">
        <f>'WP P&amp;L'!AT21</f>
        <v/>
      </c>
      <c r="AU66" s="20">
        <f>'WP P&amp;L'!AU21</f>
        <v/>
      </c>
      <c r="AV66" s="20">
        <f>'WP P&amp;L'!AV21</f>
        <v/>
      </c>
      <c r="AW66" s="20">
        <f>'WP P&amp;L'!AW21</f>
        <v/>
      </c>
      <c r="AX66" s="20">
        <f>'WP P&amp;L'!AX21</f>
        <v/>
      </c>
      <c r="AY66" s="20">
        <f>'WP P&amp;L'!AY21</f>
        <v/>
      </c>
    </row>
    <row r="67">
      <c r="B67" s="18" t="inlineStr">
        <is>
          <t>Gross Profit</t>
        </is>
      </c>
      <c r="D67" s="20">
        <f>'WP P&amp;L'!D26</f>
        <v/>
      </c>
      <c r="E67" s="20">
        <f>'WP P&amp;L'!E26</f>
        <v/>
      </c>
      <c r="F67" s="20">
        <f>'WP P&amp;L'!F26</f>
        <v/>
      </c>
      <c r="G67" s="20">
        <f>'WP P&amp;L'!G26</f>
        <v/>
      </c>
      <c r="H67" s="20">
        <f>'WP P&amp;L'!H26</f>
        <v/>
      </c>
      <c r="I67" s="20">
        <f>'WP P&amp;L'!I26</f>
        <v/>
      </c>
      <c r="J67" s="20">
        <f>'WP P&amp;L'!J26</f>
        <v/>
      </c>
      <c r="K67" s="20">
        <f>'WP P&amp;L'!K26</f>
        <v/>
      </c>
      <c r="L67" s="20">
        <f>'WP P&amp;L'!L26</f>
        <v/>
      </c>
      <c r="M67" s="20">
        <f>'WP P&amp;L'!M26</f>
        <v/>
      </c>
      <c r="N67" s="20">
        <f>'WP P&amp;L'!N26</f>
        <v/>
      </c>
      <c r="O67" s="20">
        <f>'WP P&amp;L'!O26</f>
        <v/>
      </c>
      <c r="P67" s="20">
        <f>'WP P&amp;L'!P26</f>
        <v/>
      </c>
      <c r="Q67" s="20">
        <f>'WP P&amp;L'!Q26</f>
        <v/>
      </c>
      <c r="R67" s="20">
        <f>'WP P&amp;L'!R26</f>
        <v/>
      </c>
      <c r="S67" s="20">
        <f>'WP P&amp;L'!S26</f>
        <v/>
      </c>
      <c r="T67" s="20">
        <f>'WP P&amp;L'!T26</f>
        <v/>
      </c>
      <c r="U67" s="20">
        <f>'WP P&amp;L'!U26</f>
        <v/>
      </c>
      <c r="V67" s="20">
        <f>'WP P&amp;L'!V26</f>
        <v/>
      </c>
      <c r="W67" s="20">
        <f>'WP P&amp;L'!W26</f>
        <v/>
      </c>
      <c r="X67" s="20">
        <f>'WP P&amp;L'!X26</f>
        <v/>
      </c>
      <c r="Y67" s="20">
        <f>'WP P&amp;L'!Y26</f>
        <v/>
      </c>
      <c r="Z67" s="20">
        <f>'WP P&amp;L'!Z26</f>
        <v/>
      </c>
      <c r="AA67" s="20">
        <f>'WP P&amp;L'!AA26</f>
        <v/>
      </c>
      <c r="AB67" s="20">
        <f>'WP P&amp;L'!AB26</f>
        <v/>
      </c>
      <c r="AC67" s="20">
        <f>'WP P&amp;L'!AC26</f>
        <v/>
      </c>
      <c r="AD67" s="20">
        <f>'WP P&amp;L'!AD26</f>
        <v/>
      </c>
      <c r="AE67" s="20">
        <f>'WP P&amp;L'!AE26</f>
        <v/>
      </c>
      <c r="AF67" s="20">
        <f>'WP P&amp;L'!AF26</f>
        <v/>
      </c>
      <c r="AG67" s="20">
        <f>'WP P&amp;L'!AG26</f>
        <v/>
      </c>
      <c r="AH67" s="20">
        <f>'WP P&amp;L'!AH26</f>
        <v/>
      </c>
      <c r="AI67" s="20">
        <f>'WP P&amp;L'!AI26</f>
        <v/>
      </c>
      <c r="AJ67" s="20">
        <f>'WP P&amp;L'!AJ26</f>
        <v/>
      </c>
      <c r="AK67" s="20">
        <f>'WP P&amp;L'!AK26</f>
        <v/>
      </c>
      <c r="AL67" s="20">
        <f>'WP P&amp;L'!AL26</f>
        <v/>
      </c>
      <c r="AM67" s="20">
        <f>'WP P&amp;L'!AM26</f>
        <v/>
      </c>
      <c r="AN67" s="20">
        <f>'WP P&amp;L'!AN26</f>
        <v/>
      </c>
      <c r="AO67" s="20">
        <f>'WP P&amp;L'!AO26</f>
        <v/>
      </c>
      <c r="AP67" s="20">
        <f>'WP P&amp;L'!AP26</f>
        <v/>
      </c>
      <c r="AQ67" s="20">
        <f>'WP P&amp;L'!AQ26</f>
        <v/>
      </c>
      <c r="AR67" s="20">
        <f>'WP P&amp;L'!AR26</f>
        <v/>
      </c>
      <c r="AS67" s="20">
        <f>'WP P&amp;L'!AS26</f>
        <v/>
      </c>
      <c r="AT67" s="20">
        <f>'WP P&amp;L'!AT26</f>
        <v/>
      </c>
      <c r="AU67" s="20">
        <f>'WP P&amp;L'!AU26</f>
        <v/>
      </c>
      <c r="AV67" s="20">
        <f>'WP P&amp;L'!AV26</f>
        <v/>
      </c>
      <c r="AW67" s="20">
        <f>'WP P&amp;L'!AW26</f>
        <v/>
      </c>
      <c r="AX67" s="20">
        <f>'WP P&amp;L'!AX26</f>
        <v/>
      </c>
      <c r="AY67" s="20">
        <f>'WP P&amp;L'!AY26</f>
        <v/>
      </c>
    </row>
    <row r="68">
      <c r="B68" s="18" t="inlineStr">
        <is>
          <t>Total Operating Expenses</t>
        </is>
      </c>
      <c r="D68" s="20">
        <f>'WP P&amp;L'!D62</f>
        <v/>
      </c>
      <c r="E68" s="20">
        <f>'WP P&amp;L'!E62</f>
        <v/>
      </c>
      <c r="F68" s="20">
        <f>'WP P&amp;L'!F62</f>
        <v/>
      </c>
      <c r="G68" s="20">
        <f>'WP P&amp;L'!G62</f>
        <v/>
      </c>
      <c r="H68" s="20">
        <f>'WP P&amp;L'!H62</f>
        <v/>
      </c>
      <c r="I68" s="20">
        <f>'WP P&amp;L'!I62</f>
        <v/>
      </c>
      <c r="J68" s="20">
        <f>'WP P&amp;L'!J62</f>
        <v/>
      </c>
      <c r="K68" s="20">
        <f>'WP P&amp;L'!K62</f>
        <v/>
      </c>
      <c r="L68" s="20">
        <f>'WP P&amp;L'!L62</f>
        <v/>
      </c>
      <c r="M68" s="20">
        <f>'WP P&amp;L'!M62</f>
        <v/>
      </c>
      <c r="N68" s="20">
        <f>'WP P&amp;L'!N62</f>
        <v/>
      </c>
      <c r="O68" s="20">
        <f>'WP P&amp;L'!O62</f>
        <v/>
      </c>
      <c r="P68" s="20">
        <f>'WP P&amp;L'!P62</f>
        <v/>
      </c>
      <c r="Q68" s="20">
        <f>'WP P&amp;L'!Q62</f>
        <v/>
      </c>
      <c r="R68" s="20">
        <f>'WP P&amp;L'!R62</f>
        <v/>
      </c>
      <c r="S68" s="20">
        <f>'WP P&amp;L'!S62</f>
        <v/>
      </c>
      <c r="T68" s="20">
        <f>'WP P&amp;L'!T62</f>
        <v/>
      </c>
      <c r="U68" s="20">
        <f>'WP P&amp;L'!U62</f>
        <v/>
      </c>
      <c r="V68" s="20">
        <f>'WP P&amp;L'!V62</f>
        <v/>
      </c>
      <c r="W68" s="20">
        <f>'WP P&amp;L'!W62</f>
        <v/>
      </c>
      <c r="X68" s="20">
        <f>'WP P&amp;L'!X62</f>
        <v/>
      </c>
      <c r="Y68" s="20">
        <f>'WP P&amp;L'!Y62</f>
        <v/>
      </c>
      <c r="Z68" s="20">
        <f>'WP P&amp;L'!Z62</f>
        <v/>
      </c>
      <c r="AA68" s="20">
        <f>'WP P&amp;L'!AA62</f>
        <v/>
      </c>
      <c r="AB68" s="20">
        <f>'WP P&amp;L'!AB62</f>
        <v/>
      </c>
      <c r="AC68" s="20">
        <f>'WP P&amp;L'!AC62</f>
        <v/>
      </c>
      <c r="AD68" s="20">
        <f>'WP P&amp;L'!AD62</f>
        <v/>
      </c>
      <c r="AE68" s="20">
        <f>'WP P&amp;L'!AE62</f>
        <v/>
      </c>
      <c r="AF68" s="20">
        <f>'WP P&amp;L'!AF62</f>
        <v/>
      </c>
      <c r="AG68" s="20">
        <f>'WP P&amp;L'!AG62</f>
        <v/>
      </c>
      <c r="AH68" s="20">
        <f>'WP P&amp;L'!AH62</f>
        <v/>
      </c>
      <c r="AI68" s="20">
        <f>'WP P&amp;L'!AI62</f>
        <v/>
      </c>
      <c r="AJ68" s="20">
        <f>'WP P&amp;L'!AJ62</f>
        <v/>
      </c>
      <c r="AK68" s="20">
        <f>'WP P&amp;L'!AK62</f>
        <v/>
      </c>
      <c r="AL68" s="20">
        <f>'WP P&amp;L'!AL62</f>
        <v/>
      </c>
      <c r="AM68" s="20">
        <f>'WP P&amp;L'!AM62</f>
        <v/>
      </c>
      <c r="AN68" s="20">
        <f>'WP P&amp;L'!AN62</f>
        <v/>
      </c>
      <c r="AO68" s="20">
        <f>'WP P&amp;L'!AO62</f>
        <v/>
      </c>
      <c r="AP68" s="20">
        <f>'WP P&amp;L'!AP62</f>
        <v/>
      </c>
      <c r="AQ68" s="20">
        <f>'WP P&amp;L'!AQ62</f>
        <v/>
      </c>
      <c r="AR68" s="20">
        <f>'WP P&amp;L'!AR62</f>
        <v/>
      </c>
      <c r="AS68" s="20">
        <f>'WP P&amp;L'!AS62</f>
        <v/>
      </c>
      <c r="AT68" s="20">
        <f>'WP P&amp;L'!AT62</f>
        <v/>
      </c>
      <c r="AU68" s="20">
        <f>'WP P&amp;L'!AU62</f>
        <v/>
      </c>
      <c r="AV68" s="20">
        <f>'WP P&amp;L'!AV62</f>
        <v/>
      </c>
      <c r="AW68" s="20">
        <f>'WP P&amp;L'!AW62</f>
        <v/>
      </c>
      <c r="AX68" s="20">
        <f>'WP P&amp;L'!AX62</f>
        <v/>
      </c>
      <c r="AY68" s="20">
        <f>'WP P&amp;L'!AY62</f>
        <v/>
      </c>
    </row>
    <row r="69">
      <c r="B69" s="15" t="inlineStr">
        <is>
          <t>Net Operating Income</t>
        </is>
      </c>
      <c r="D69" s="37">
        <f>'WP P&amp;L'!D63</f>
        <v/>
      </c>
      <c r="E69" s="37">
        <f>'WP P&amp;L'!E63</f>
        <v/>
      </c>
      <c r="F69" s="37">
        <f>'WP P&amp;L'!F63</f>
        <v/>
      </c>
      <c r="G69" s="37">
        <f>'WP P&amp;L'!G63</f>
        <v/>
      </c>
      <c r="H69" s="37">
        <f>'WP P&amp;L'!H63</f>
        <v/>
      </c>
      <c r="I69" s="37">
        <f>'WP P&amp;L'!I63</f>
        <v/>
      </c>
      <c r="J69" s="37">
        <f>'WP P&amp;L'!J63</f>
        <v/>
      </c>
      <c r="K69" s="37">
        <f>'WP P&amp;L'!K63</f>
        <v/>
      </c>
      <c r="L69" s="37">
        <f>'WP P&amp;L'!L63</f>
        <v/>
      </c>
      <c r="M69" s="37">
        <f>'WP P&amp;L'!M63</f>
        <v/>
      </c>
      <c r="N69" s="37">
        <f>'WP P&amp;L'!N63</f>
        <v/>
      </c>
      <c r="O69" s="37">
        <f>'WP P&amp;L'!O63</f>
        <v/>
      </c>
      <c r="P69" s="37">
        <f>'WP P&amp;L'!P63</f>
        <v/>
      </c>
      <c r="Q69" s="37">
        <f>'WP P&amp;L'!Q63</f>
        <v/>
      </c>
      <c r="R69" s="37">
        <f>'WP P&amp;L'!R63</f>
        <v/>
      </c>
      <c r="S69" s="37">
        <f>'WP P&amp;L'!S63</f>
        <v/>
      </c>
      <c r="T69" s="37">
        <f>'WP P&amp;L'!T63</f>
        <v/>
      </c>
      <c r="U69" s="37">
        <f>'WP P&amp;L'!U63</f>
        <v/>
      </c>
      <c r="V69" s="37">
        <f>'WP P&amp;L'!V63</f>
        <v/>
      </c>
      <c r="W69" s="37">
        <f>'WP P&amp;L'!W63</f>
        <v/>
      </c>
      <c r="X69" s="37">
        <f>'WP P&amp;L'!X63</f>
        <v/>
      </c>
      <c r="Y69" s="37">
        <f>'WP P&amp;L'!Y63</f>
        <v/>
      </c>
      <c r="Z69" s="37">
        <f>'WP P&amp;L'!Z63</f>
        <v/>
      </c>
      <c r="AA69" s="37">
        <f>'WP P&amp;L'!AA63</f>
        <v/>
      </c>
      <c r="AB69" s="37">
        <f>'WP P&amp;L'!AB63</f>
        <v/>
      </c>
      <c r="AC69" s="37">
        <f>'WP P&amp;L'!AC63</f>
        <v/>
      </c>
      <c r="AD69" s="37">
        <f>'WP P&amp;L'!AD63</f>
        <v/>
      </c>
      <c r="AE69" s="37">
        <f>'WP P&amp;L'!AE63</f>
        <v/>
      </c>
      <c r="AF69" s="37">
        <f>'WP P&amp;L'!AF63</f>
        <v/>
      </c>
      <c r="AG69" s="37">
        <f>'WP P&amp;L'!AG63</f>
        <v/>
      </c>
      <c r="AH69" s="37">
        <f>'WP P&amp;L'!AH63</f>
        <v/>
      </c>
      <c r="AI69" s="37">
        <f>'WP P&amp;L'!AI63</f>
        <v/>
      </c>
      <c r="AJ69" s="37">
        <f>'WP P&amp;L'!AJ63</f>
        <v/>
      </c>
      <c r="AK69" s="37">
        <f>'WP P&amp;L'!AK63</f>
        <v/>
      </c>
      <c r="AL69" s="37">
        <f>'WP P&amp;L'!AL63</f>
        <v/>
      </c>
      <c r="AM69" s="37">
        <f>'WP P&amp;L'!AM63</f>
        <v/>
      </c>
      <c r="AN69" s="37">
        <f>'WP P&amp;L'!AN63</f>
        <v/>
      </c>
      <c r="AO69" s="37">
        <f>'WP P&amp;L'!AO63</f>
        <v/>
      </c>
      <c r="AP69" s="37">
        <f>'WP P&amp;L'!AP63</f>
        <v/>
      </c>
      <c r="AQ69" s="37">
        <f>'WP P&amp;L'!AQ63</f>
        <v/>
      </c>
      <c r="AR69" s="37">
        <f>'WP P&amp;L'!AR63</f>
        <v/>
      </c>
      <c r="AS69" s="37">
        <f>'WP P&amp;L'!AS63</f>
        <v/>
      </c>
      <c r="AT69" s="37">
        <f>'WP P&amp;L'!AT63</f>
        <v/>
      </c>
      <c r="AU69" s="37">
        <f>'WP P&amp;L'!AU63</f>
        <v/>
      </c>
      <c r="AV69" s="37">
        <f>'WP P&amp;L'!AV63</f>
        <v/>
      </c>
      <c r="AW69" s="37">
        <f>'WP P&amp;L'!AW63</f>
        <v/>
      </c>
      <c r="AX69" s="37">
        <f>'WP P&amp;L'!AX63</f>
        <v/>
      </c>
      <c r="AY69" s="37">
        <f>'WP P&amp;L'!AY63</f>
        <v/>
      </c>
    </row>
    <row r="71" ht="16" customHeight="1" s="282">
      <c r="B71" s="10" t="inlineStr">
        <is>
          <t>Westwood (WW)</t>
        </is>
      </c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1" t="n"/>
    </row>
    <row r="72">
      <c r="B72" s="18" t="inlineStr">
        <is>
          <t>Total Revenue</t>
        </is>
      </c>
      <c r="D72" s="20">
        <f>'WW P&amp;L'!D22</f>
        <v/>
      </c>
      <c r="E72" s="20">
        <f>'WW P&amp;L'!E22</f>
        <v/>
      </c>
      <c r="F72" s="20">
        <f>'WW P&amp;L'!F22</f>
        <v/>
      </c>
      <c r="G72" s="20">
        <f>'WW P&amp;L'!G22</f>
        <v/>
      </c>
      <c r="H72" s="20">
        <f>'WW P&amp;L'!H22</f>
        <v/>
      </c>
      <c r="I72" s="20">
        <f>'WW P&amp;L'!I22</f>
        <v/>
      </c>
      <c r="J72" s="20">
        <f>'WW P&amp;L'!J22</f>
        <v/>
      </c>
      <c r="K72" s="20">
        <f>'WW P&amp;L'!K22</f>
        <v/>
      </c>
      <c r="L72" s="20">
        <f>'WW P&amp;L'!L22</f>
        <v/>
      </c>
      <c r="M72" s="20">
        <f>'WW P&amp;L'!M22</f>
        <v/>
      </c>
      <c r="N72" s="20">
        <f>'WW P&amp;L'!N22</f>
        <v/>
      </c>
      <c r="O72" s="20">
        <f>'WW P&amp;L'!O22</f>
        <v/>
      </c>
      <c r="P72" s="20">
        <f>'WW P&amp;L'!P22</f>
        <v/>
      </c>
      <c r="Q72" s="20">
        <f>'WW P&amp;L'!Q22</f>
        <v/>
      </c>
      <c r="R72" s="20">
        <f>'WW P&amp;L'!R22</f>
        <v/>
      </c>
      <c r="S72" s="20">
        <f>'WW P&amp;L'!S22</f>
        <v/>
      </c>
      <c r="T72" s="20">
        <f>'WW P&amp;L'!T22</f>
        <v/>
      </c>
      <c r="U72" s="20">
        <f>'WW P&amp;L'!U22</f>
        <v/>
      </c>
      <c r="V72" s="20">
        <f>'WW P&amp;L'!V22</f>
        <v/>
      </c>
      <c r="W72" s="20">
        <f>'WW P&amp;L'!W22</f>
        <v/>
      </c>
      <c r="X72" s="20">
        <f>'WW P&amp;L'!X22</f>
        <v/>
      </c>
      <c r="Y72" s="20">
        <f>'WW P&amp;L'!Y22</f>
        <v/>
      </c>
      <c r="Z72" s="20">
        <f>'WW P&amp;L'!Z22</f>
        <v/>
      </c>
      <c r="AA72" s="20">
        <f>'WW P&amp;L'!AA22</f>
        <v/>
      </c>
      <c r="AB72" s="20">
        <f>'WW P&amp;L'!AB22</f>
        <v/>
      </c>
      <c r="AC72" s="20">
        <f>'WW P&amp;L'!AC22</f>
        <v/>
      </c>
      <c r="AD72" s="20">
        <f>'WW P&amp;L'!AD22</f>
        <v/>
      </c>
      <c r="AE72" s="20">
        <f>'WW P&amp;L'!AE22</f>
        <v/>
      </c>
      <c r="AF72" s="20">
        <f>'WW P&amp;L'!AF22</f>
        <v/>
      </c>
      <c r="AG72" s="20">
        <f>'WW P&amp;L'!AG22</f>
        <v/>
      </c>
      <c r="AH72" s="20">
        <f>'WW P&amp;L'!AH22</f>
        <v/>
      </c>
      <c r="AI72" s="20">
        <f>'WW P&amp;L'!AI22</f>
        <v/>
      </c>
      <c r="AJ72" s="20">
        <f>'WW P&amp;L'!AJ22</f>
        <v/>
      </c>
      <c r="AK72" s="20">
        <f>'WW P&amp;L'!AK22</f>
        <v/>
      </c>
      <c r="AL72" s="20">
        <f>'WW P&amp;L'!AL22</f>
        <v/>
      </c>
      <c r="AM72" s="20">
        <f>'WW P&amp;L'!AM22</f>
        <v/>
      </c>
      <c r="AN72" s="20">
        <f>'WW P&amp;L'!AN22</f>
        <v/>
      </c>
      <c r="AO72" s="20">
        <f>'WW P&amp;L'!AO22</f>
        <v/>
      </c>
      <c r="AP72" s="20">
        <f>'WW P&amp;L'!AP22</f>
        <v/>
      </c>
      <c r="AQ72" s="20">
        <f>'WW P&amp;L'!AQ22</f>
        <v/>
      </c>
      <c r="AR72" s="20">
        <f>'WW P&amp;L'!AR22</f>
        <v/>
      </c>
      <c r="AS72" s="20">
        <f>'WW P&amp;L'!AS22</f>
        <v/>
      </c>
      <c r="AT72" s="20">
        <f>'WW P&amp;L'!AT22</f>
        <v/>
      </c>
      <c r="AU72" s="20">
        <f>'WW P&amp;L'!AU22</f>
        <v/>
      </c>
      <c r="AV72" s="20">
        <f>'WW P&amp;L'!AV22</f>
        <v/>
      </c>
      <c r="AW72" s="20">
        <f>'WW P&amp;L'!AW22</f>
        <v/>
      </c>
      <c r="AX72" s="20">
        <f>'WW P&amp;L'!AX22</f>
        <v/>
      </c>
      <c r="AY72" s="20">
        <f>'WW P&amp;L'!AY22</f>
        <v/>
      </c>
    </row>
    <row r="73">
      <c r="B73" s="18" t="inlineStr">
        <is>
          <t>Gross Profit</t>
        </is>
      </c>
      <c r="D73" s="20">
        <f>'WW P&amp;L'!D27</f>
        <v/>
      </c>
      <c r="E73" s="20">
        <f>'WW P&amp;L'!E27</f>
        <v/>
      </c>
      <c r="F73" s="20">
        <f>'WW P&amp;L'!F27</f>
        <v/>
      </c>
      <c r="G73" s="20">
        <f>'WW P&amp;L'!G27</f>
        <v/>
      </c>
      <c r="H73" s="20">
        <f>'WW P&amp;L'!H27</f>
        <v/>
      </c>
      <c r="I73" s="20">
        <f>'WW P&amp;L'!I27</f>
        <v/>
      </c>
      <c r="J73" s="20">
        <f>'WW P&amp;L'!J27</f>
        <v/>
      </c>
      <c r="K73" s="20">
        <f>'WW P&amp;L'!K27</f>
        <v/>
      </c>
      <c r="L73" s="20">
        <f>'WW P&amp;L'!L27</f>
        <v/>
      </c>
      <c r="M73" s="20">
        <f>'WW P&amp;L'!M27</f>
        <v/>
      </c>
      <c r="N73" s="20">
        <f>'WW P&amp;L'!N27</f>
        <v/>
      </c>
      <c r="O73" s="20">
        <f>'WW P&amp;L'!O27</f>
        <v/>
      </c>
      <c r="P73" s="20">
        <f>'WW P&amp;L'!P27</f>
        <v/>
      </c>
      <c r="Q73" s="20">
        <f>'WW P&amp;L'!Q27</f>
        <v/>
      </c>
      <c r="R73" s="20">
        <f>'WW P&amp;L'!R27</f>
        <v/>
      </c>
      <c r="S73" s="20">
        <f>'WW P&amp;L'!S27</f>
        <v/>
      </c>
      <c r="T73" s="20">
        <f>'WW P&amp;L'!T27</f>
        <v/>
      </c>
      <c r="U73" s="20">
        <f>'WW P&amp;L'!U27</f>
        <v/>
      </c>
      <c r="V73" s="20">
        <f>'WW P&amp;L'!V27</f>
        <v/>
      </c>
      <c r="W73" s="20">
        <f>'WW P&amp;L'!W27</f>
        <v/>
      </c>
      <c r="X73" s="20">
        <f>'WW P&amp;L'!X27</f>
        <v/>
      </c>
      <c r="Y73" s="20">
        <f>'WW P&amp;L'!Y27</f>
        <v/>
      </c>
      <c r="Z73" s="20">
        <f>'WW P&amp;L'!Z27</f>
        <v/>
      </c>
      <c r="AA73" s="20">
        <f>'WW P&amp;L'!AA27</f>
        <v/>
      </c>
      <c r="AB73" s="20">
        <f>'WW P&amp;L'!AB27</f>
        <v/>
      </c>
      <c r="AC73" s="20">
        <f>'WW P&amp;L'!AC27</f>
        <v/>
      </c>
      <c r="AD73" s="20">
        <f>'WW P&amp;L'!AD27</f>
        <v/>
      </c>
      <c r="AE73" s="20">
        <f>'WW P&amp;L'!AE27</f>
        <v/>
      </c>
      <c r="AF73" s="20">
        <f>'WW P&amp;L'!AF27</f>
        <v/>
      </c>
      <c r="AG73" s="20">
        <f>'WW P&amp;L'!AG27</f>
        <v/>
      </c>
      <c r="AH73" s="20">
        <f>'WW P&amp;L'!AH27</f>
        <v/>
      </c>
      <c r="AI73" s="20">
        <f>'WW P&amp;L'!AI27</f>
        <v/>
      </c>
      <c r="AJ73" s="20">
        <f>'WW P&amp;L'!AJ27</f>
        <v/>
      </c>
      <c r="AK73" s="20">
        <f>'WW P&amp;L'!AK27</f>
        <v/>
      </c>
      <c r="AL73" s="20">
        <f>'WW P&amp;L'!AL27</f>
        <v/>
      </c>
      <c r="AM73" s="20">
        <f>'WW P&amp;L'!AM27</f>
        <v/>
      </c>
      <c r="AN73" s="20">
        <f>'WW P&amp;L'!AN27</f>
        <v/>
      </c>
      <c r="AO73" s="20">
        <f>'WW P&amp;L'!AO27</f>
        <v/>
      </c>
      <c r="AP73" s="20">
        <f>'WW P&amp;L'!AP27</f>
        <v/>
      </c>
      <c r="AQ73" s="20">
        <f>'WW P&amp;L'!AQ27</f>
        <v/>
      </c>
      <c r="AR73" s="20">
        <f>'WW P&amp;L'!AR27</f>
        <v/>
      </c>
      <c r="AS73" s="20">
        <f>'WW P&amp;L'!AS27</f>
        <v/>
      </c>
      <c r="AT73" s="20">
        <f>'WW P&amp;L'!AT27</f>
        <v/>
      </c>
      <c r="AU73" s="20">
        <f>'WW P&amp;L'!AU27</f>
        <v/>
      </c>
      <c r="AV73" s="20">
        <f>'WW P&amp;L'!AV27</f>
        <v/>
      </c>
      <c r="AW73" s="20">
        <f>'WW P&amp;L'!AW27</f>
        <v/>
      </c>
      <c r="AX73" s="20">
        <f>'WW P&amp;L'!AX27</f>
        <v/>
      </c>
      <c r="AY73" s="20">
        <f>'WW P&amp;L'!AY27</f>
        <v/>
      </c>
    </row>
    <row r="74">
      <c r="B74" s="18" t="inlineStr">
        <is>
          <t>Total Operating Expenses</t>
        </is>
      </c>
      <c r="D74" s="20">
        <f>'WW P&amp;L'!D63</f>
        <v/>
      </c>
      <c r="E74" s="20">
        <f>'WW P&amp;L'!E63</f>
        <v/>
      </c>
      <c r="F74" s="20">
        <f>'WW P&amp;L'!F63</f>
        <v/>
      </c>
      <c r="G74" s="20">
        <f>'WW P&amp;L'!G63</f>
        <v/>
      </c>
      <c r="H74" s="20">
        <f>'WW P&amp;L'!H63</f>
        <v/>
      </c>
      <c r="I74" s="20">
        <f>'WW P&amp;L'!I63</f>
        <v/>
      </c>
      <c r="J74" s="20">
        <f>'WW P&amp;L'!J63</f>
        <v/>
      </c>
      <c r="K74" s="20">
        <f>'WW P&amp;L'!K63</f>
        <v/>
      </c>
      <c r="L74" s="20">
        <f>'WW P&amp;L'!L63</f>
        <v/>
      </c>
      <c r="M74" s="20">
        <f>'WW P&amp;L'!M63</f>
        <v/>
      </c>
      <c r="N74" s="20">
        <f>'WW P&amp;L'!N63</f>
        <v/>
      </c>
      <c r="O74" s="20">
        <f>'WW P&amp;L'!O63</f>
        <v/>
      </c>
      <c r="P74" s="20">
        <f>'WW P&amp;L'!P63</f>
        <v/>
      </c>
      <c r="Q74" s="20">
        <f>'WW P&amp;L'!Q63</f>
        <v/>
      </c>
      <c r="R74" s="20">
        <f>'WW P&amp;L'!R63</f>
        <v/>
      </c>
      <c r="S74" s="20">
        <f>'WW P&amp;L'!S63</f>
        <v/>
      </c>
      <c r="T74" s="20">
        <f>'WW P&amp;L'!T63</f>
        <v/>
      </c>
      <c r="U74" s="20">
        <f>'WW P&amp;L'!U63</f>
        <v/>
      </c>
      <c r="V74" s="20">
        <f>'WW P&amp;L'!V63</f>
        <v/>
      </c>
      <c r="W74" s="20">
        <f>'WW P&amp;L'!W63</f>
        <v/>
      </c>
      <c r="X74" s="20">
        <f>'WW P&amp;L'!X63</f>
        <v/>
      </c>
      <c r="Y74" s="20">
        <f>'WW P&amp;L'!Y63</f>
        <v/>
      </c>
      <c r="Z74" s="20">
        <f>'WW P&amp;L'!Z63</f>
        <v/>
      </c>
      <c r="AA74" s="20">
        <f>'WW P&amp;L'!AA63</f>
        <v/>
      </c>
      <c r="AB74" s="20">
        <f>'WW P&amp;L'!AB63</f>
        <v/>
      </c>
      <c r="AC74" s="20">
        <f>'WW P&amp;L'!AC63</f>
        <v/>
      </c>
      <c r="AD74" s="20">
        <f>'WW P&amp;L'!AD63</f>
        <v/>
      </c>
      <c r="AE74" s="20">
        <f>'WW P&amp;L'!AE63</f>
        <v/>
      </c>
      <c r="AF74" s="20">
        <f>'WW P&amp;L'!AF63</f>
        <v/>
      </c>
      <c r="AG74" s="20">
        <f>'WW P&amp;L'!AG63</f>
        <v/>
      </c>
      <c r="AH74" s="20">
        <f>'WW P&amp;L'!AH63</f>
        <v/>
      </c>
      <c r="AI74" s="20">
        <f>'WW P&amp;L'!AI63</f>
        <v/>
      </c>
      <c r="AJ74" s="20">
        <f>'WW P&amp;L'!AJ63</f>
        <v/>
      </c>
      <c r="AK74" s="20">
        <f>'WW P&amp;L'!AK63</f>
        <v/>
      </c>
      <c r="AL74" s="20">
        <f>'WW P&amp;L'!AL63</f>
        <v/>
      </c>
      <c r="AM74" s="20">
        <f>'WW P&amp;L'!AM63</f>
        <v/>
      </c>
      <c r="AN74" s="20">
        <f>'WW P&amp;L'!AN63</f>
        <v/>
      </c>
      <c r="AO74" s="20">
        <f>'WW P&amp;L'!AO63</f>
        <v/>
      </c>
      <c r="AP74" s="20">
        <f>'WW P&amp;L'!AP63</f>
        <v/>
      </c>
      <c r="AQ74" s="20">
        <f>'WW P&amp;L'!AQ63</f>
        <v/>
      </c>
      <c r="AR74" s="20">
        <f>'WW P&amp;L'!AR63</f>
        <v/>
      </c>
      <c r="AS74" s="20">
        <f>'WW P&amp;L'!AS63</f>
        <v/>
      </c>
      <c r="AT74" s="20">
        <f>'WW P&amp;L'!AT63</f>
        <v/>
      </c>
      <c r="AU74" s="20">
        <f>'WW P&amp;L'!AU63</f>
        <v/>
      </c>
      <c r="AV74" s="20">
        <f>'WW P&amp;L'!AV63</f>
        <v/>
      </c>
      <c r="AW74" s="20">
        <f>'WW P&amp;L'!AW63</f>
        <v/>
      </c>
      <c r="AX74" s="20">
        <f>'WW P&amp;L'!AX63</f>
        <v/>
      </c>
      <c r="AY74" s="20">
        <f>'WW P&amp;L'!AY63</f>
        <v/>
      </c>
    </row>
    <row r="75">
      <c r="B75" s="15" t="inlineStr">
        <is>
          <t>Net Operating Income</t>
        </is>
      </c>
      <c r="D75" s="37">
        <f>'WW P&amp;L'!D64</f>
        <v/>
      </c>
      <c r="E75" s="37">
        <f>'WW P&amp;L'!E64</f>
        <v/>
      </c>
      <c r="F75" s="37">
        <f>'WW P&amp;L'!F64</f>
        <v/>
      </c>
      <c r="G75" s="37">
        <f>'WW P&amp;L'!G64</f>
        <v/>
      </c>
      <c r="H75" s="37">
        <f>'WW P&amp;L'!H64</f>
        <v/>
      </c>
      <c r="I75" s="37">
        <f>'WW P&amp;L'!I64</f>
        <v/>
      </c>
      <c r="J75" s="37">
        <f>'WW P&amp;L'!J64</f>
        <v/>
      </c>
      <c r="K75" s="37">
        <f>'WW P&amp;L'!K64</f>
        <v/>
      </c>
      <c r="L75" s="37">
        <f>'WW P&amp;L'!L64</f>
        <v/>
      </c>
      <c r="M75" s="37">
        <f>'WW P&amp;L'!M64</f>
        <v/>
      </c>
      <c r="N75" s="37">
        <f>'WW P&amp;L'!N64</f>
        <v/>
      </c>
      <c r="O75" s="37">
        <f>'WW P&amp;L'!O64</f>
        <v/>
      </c>
      <c r="P75" s="37">
        <f>'WW P&amp;L'!P64</f>
        <v/>
      </c>
      <c r="Q75" s="37">
        <f>'WW P&amp;L'!Q64</f>
        <v/>
      </c>
      <c r="R75" s="37">
        <f>'WW P&amp;L'!R64</f>
        <v/>
      </c>
      <c r="S75" s="37">
        <f>'WW P&amp;L'!S64</f>
        <v/>
      </c>
      <c r="T75" s="37">
        <f>'WW P&amp;L'!T64</f>
        <v/>
      </c>
      <c r="U75" s="37">
        <f>'WW P&amp;L'!U64</f>
        <v/>
      </c>
      <c r="V75" s="37">
        <f>'WW P&amp;L'!V64</f>
        <v/>
      </c>
      <c r="W75" s="37">
        <f>'WW P&amp;L'!W64</f>
        <v/>
      </c>
      <c r="X75" s="37">
        <f>'WW P&amp;L'!X64</f>
        <v/>
      </c>
      <c r="Y75" s="37">
        <f>'WW P&amp;L'!Y64</f>
        <v/>
      </c>
      <c r="Z75" s="37">
        <f>'WW P&amp;L'!Z64</f>
        <v/>
      </c>
      <c r="AA75" s="37">
        <f>'WW P&amp;L'!AA64</f>
        <v/>
      </c>
      <c r="AB75" s="37">
        <f>'WW P&amp;L'!AB64</f>
        <v/>
      </c>
      <c r="AC75" s="37">
        <f>'WW P&amp;L'!AC64</f>
        <v/>
      </c>
      <c r="AD75" s="37">
        <f>'WW P&amp;L'!AD64</f>
        <v/>
      </c>
      <c r="AE75" s="37">
        <f>'WW P&amp;L'!AE64</f>
        <v/>
      </c>
      <c r="AF75" s="37">
        <f>'WW P&amp;L'!AF64</f>
        <v/>
      </c>
      <c r="AG75" s="37">
        <f>'WW P&amp;L'!AG64</f>
        <v/>
      </c>
      <c r="AH75" s="37">
        <f>'WW P&amp;L'!AH64</f>
        <v/>
      </c>
      <c r="AI75" s="37">
        <f>'WW P&amp;L'!AI64</f>
        <v/>
      </c>
      <c r="AJ75" s="37">
        <f>'WW P&amp;L'!AJ64</f>
        <v/>
      </c>
      <c r="AK75" s="37">
        <f>'WW P&amp;L'!AK64</f>
        <v/>
      </c>
      <c r="AL75" s="37">
        <f>'WW P&amp;L'!AL64</f>
        <v/>
      </c>
      <c r="AM75" s="37">
        <f>'WW P&amp;L'!AM64</f>
        <v/>
      </c>
      <c r="AN75" s="37">
        <f>'WW P&amp;L'!AN64</f>
        <v/>
      </c>
      <c r="AO75" s="37">
        <f>'WW P&amp;L'!AO64</f>
        <v/>
      </c>
      <c r="AP75" s="37">
        <f>'WW P&amp;L'!AP64</f>
        <v/>
      </c>
      <c r="AQ75" s="37">
        <f>'WW P&amp;L'!AQ64</f>
        <v/>
      </c>
      <c r="AR75" s="37">
        <f>'WW P&amp;L'!AR64</f>
        <v/>
      </c>
      <c r="AS75" s="37">
        <f>'WW P&amp;L'!AS64</f>
        <v/>
      </c>
      <c r="AT75" s="37">
        <f>'WW P&amp;L'!AT64</f>
        <v/>
      </c>
      <c r="AU75" s="37">
        <f>'WW P&amp;L'!AU64</f>
        <v/>
      </c>
      <c r="AV75" s="37">
        <f>'WW P&amp;L'!AV64</f>
        <v/>
      </c>
      <c r="AW75" s="37">
        <f>'WW P&amp;L'!AW64</f>
        <v/>
      </c>
      <c r="AX75" s="37">
        <f>'WW P&amp;L'!AX64</f>
        <v/>
      </c>
      <c r="AY75" s="37">
        <f>'WW P&amp;L'!AY64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ED7D31"/>
    <outlinePr summaryBelow="1" summaryRight="1"/>
    <pageSetUpPr/>
  </sheetPr>
  <dimension ref="B2:BB71"/>
  <sheetViews>
    <sheetView showGridLines="0" workbookViewId="0">
      <pane xSplit="3" ySplit="5" topLeftCell="AN6" activePane="bottomRight" state="frozen"/>
      <selection pane="topRight" activeCell="A1" sqref="A1"/>
      <selection pane="bottomLeft" activeCell="A1" sqref="A1"/>
      <selection pane="bottomRight" activeCell="AY13" sqref="AY13"/>
    </sheetView>
  </sheetViews>
  <sheetFormatPr baseColWidth="10" defaultColWidth="8.83203125" defaultRowHeight="15"/>
  <cols>
    <col hidden="1" width="2" customWidth="1" style="282" min="1" max="1"/>
    <col width="32" customWidth="1" style="282" min="2" max="2"/>
    <col width="10" customWidth="1" style="282" min="3" max="3"/>
    <col width="12" customWidth="1" style="282" min="4" max="39"/>
    <col width="13.33203125" customWidth="1" style="282" min="53" max="53"/>
  </cols>
  <sheetData>
    <row r="2" ht="21" customHeight="1" s="282">
      <c r="B2" s="9" t="inlineStr">
        <is>
          <t>Berkeley (BK) — Profit &amp; Loss</t>
        </is>
      </c>
      <c r="D2" s="277" t="n"/>
      <c r="Q2" t="n">
        <v>-1</v>
      </c>
      <c r="T2" s="277" t="n"/>
      <c r="U2" s="277" t="n"/>
    </row>
    <row r="4" ht="16" customHeight="1" s="28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01" t="inlineStr">
        <is>
          <t>Revenue Segments as % of Total (LTM)</t>
        </is>
      </c>
    </row>
    <row r="6" ht="16" customHeight="1" s="28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BA6" s="89" t="inlineStr">
        <is>
          <t>LTM May 2026</t>
        </is>
      </c>
    </row>
    <row r="7">
      <c r="B7" s="33" t="inlineStr">
        <is>
          <t xml:space="preserve">  401001 Machine</t>
        </is>
      </c>
      <c r="D7" s="19" t="n">
        <v>48512.85</v>
      </c>
      <c r="E7" s="19" t="n">
        <v>54342.24</v>
      </c>
      <c r="F7" s="19" t="n">
        <v>64934.84</v>
      </c>
      <c r="G7" s="19" t="n">
        <v>59274.01</v>
      </c>
      <c r="H7" s="19" t="n">
        <v>61380.05</v>
      </c>
      <c r="I7" s="19" t="n">
        <v>59220.81</v>
      </c>
      <c r="J7" s="19" t="n">
        <v>60156.33</v>
      </c>
      <c r="K7" s="19" t="n">
        <v>65762.10000000001</v>
      </c>
      <c r="L7" s="19" t="n">
        <v>63020.69</v>
      </c>
      <c r="M7" s="19" t="n">
        <v>62222.95</v>
      </c>
      <c r="N7" s="19" t="n">
        <v>58675.46</v>
      </c>
      <c r="O7" s="19" t="n">
        <v>57148.4</v>
      </c>
      <c r="P7" s="19" t="n">
        <v>67553.69</v>
      </c>
      <c r="Q7" s="19" t="n">
        <v>60691.23</v>
      </c>
      <c r="R7" s="19" t="n">
        <v>63647.98</v>
      </c>
      <c r="S7" s="19" t="n">
        <v>60903.08</v>
      </c>
      <c r="T7" s="83" t="n">
        <v>59469.95</v>
      </c>
      <c r="U7" s="83" t="n">
        <v>52194.4</v>
      </c>
      <c r="V7" s="83" t="n">
        <v>53280.2</v>
      </c>
      <c r="W7" s="20">
        <f>W13*0.598021</f>
        <v/>
      </c>
      <c r="X7" s="20">
        <f>X13*0.598021</f>
        <v/>
      </c>
      <c r="Y7" s="20">
        <f>Y13*0.598021</f>
        <v/>
      </c>
      <c r="Z7" s="20">
        <f>Z13*0.598021</f>
        <v/>
      </c>
      <c r="AA7" s="20">
        <f>AA13*0.598021</f>
        <v/>
      </c>
      <c r="AB7" s="20">
        <f>AB13*0.598021</f>
        <v/>
      </c>
      <c r="AC7" s="20">
        <f>AC13*0.598021</f>
        <v/>
      </c>
      <c r="AD7" s="20">
        <f>AD13*0.598021</f>
        <v/>
      </c>
      <c r="AE7" s="20">
        <f>AE13*0.598021</f>
        <v/>
      </c>
      <c r="AF7" s="20">
        <f>AF13*0.598021</f>
        <v/>
      </c>
      <c r="AG7" s="20">
        <f>AG13*0.598021</f>
        <v/>
      </c>
      <c r="AH7" s="20">
        <f>AH13*0.598021</f>
        <v/>
      </c>
      <c r="AI7" s="20">
        <f>AI13*0.598021</f>
        <v/>
      </c>
      <c r="AJ7" s="20">
        <f>AJ13*0.598021</f>
        <v/>
      </c>
      <c r="AK7" s="20">
        <f>AK13*0.598021</f>
        <v/>
      </c>
      <c r="AL7" s="20">
        <f>AL13*0.598021</f>
        <v/>
      </c>
      <c r="AM7" s="20">
        <f>AM13*0.598021</f>
        <v/>
      </c>
      <c r="AN7" s="20">
        <f>AN13*0.598021</f>
        <v/>
      </c>
      <c r="AO7" s="20">
        <f>AO13*0.598021</f>
        <v/>
      </c>
      <c r="AP7" s="20">
        <f>AP13*0.598021</f>
        <v/>
      </c>
      <c r="AQ7" s="20">
        <f>AQ13*0.598021</f>
        <v/>
      </c>
      <c r="AR7" s="20">
        <f>AR13*0.598021</f>
        <v/>
      </c>
      <c r="AS7" s="20">
        <f>AS13*0.598021</f>
        <v/>
      </c>
      <c r="AT7" s="20">
        <f>AT13*0.598021</f>
        <v/>
      </c>
      <c r="AU7" s="20">
        <f>AU13*0.598021</f>
        <v/>
      </c>
      <c r="AV7" s="20">
        <f>AV13*0.598021</f>
        <v/>
      </c>
      <c r="AW7" s="20">
        <f>AW13*0.598021</f>
        <v/>
      </c>
      <c r="AX7" s="20">
        <f>AX13*0.598021</f>
        <v/>
      </c>
      <c r="AY7" s="20">
        <f>AY13*0.598021</f>
        <v/>
      </c>
      <c r="BA7" s="288">
        <f>SUM(I7:T7)</f>
        <v/>
      </c>
      <c r="BB7" s="274">
        <f>BA7/$BA$22</f>
        <v/>
      </c>
    </row>
    <row r="8">
      <c r="B8" s="33" t="inlineStr">
        <is>
          <t xml:space="preserve">  401002 Private Pilates</t>
        </is>
      </c>
      <c r="D8" s="19" t="n">
        <v>3365</v>
      </c>
      <c r="E8" s="19" t="n">
        <v>5164</v>
      </c>
      <c r="F8" s="19" t="n">
        <v>6259.32</v>
      </c>
      <c r="G8" s="19" t="n">
        <v>7063.11</v>
      </c>
      <c r="H8" s="19" t="n">
        <v>6195.11</v>
      </c>
      <c r="I8" s="19" t="n">
        <v>4351.11</v>
      </c>
      <c r="J8" s="19" t="n">
        <v>4420.26</v>
      </c>
      <c r="K8" s="19" t="n">
        <v>6743.11</v>
      </c>
      <c r="L8" s="19" t="n">
        <v>6140</v>
      </c>
      <c r="M8" s="19" t="n">
        <v>3768.5</v>
      </c>
      <c r="N8" s="19" t="n">
        <v>5134</v>
      </c>
      <c r="O8" s="19" t="n">
        <v>4124</v>
      </c>
      <c r="P8" s="19" t="n">
        <v>4967</v>
      </c>
      <c r="Q8" s="19" t="n">
        <v>6520</v>
      </c>
      <c r="R8" s="19" t="n">
        <v>7898</v>
      </c>
      <c r="S8" s="19" t="n">
        <v>6484</v>
      </c>
      <c r="T8" s="83" t="n">
        <v>4535</v>
      </c>
      <c r="U8" s="83" t="n">
        <v>5050</v>
      </c>
      <c r="V8" s="83" t="n">
        <v>4219</v>
      </c>
      <c r="W8" s="20">
        <f>W13*0.061196</f>
        <v/>
      </c>
      <c r="X8" s="20">
        <f>X13*0.061196</f>
        <v/>
      </c>
      <c r="Y8" s="20">
        <f>Y13*0.061196</f>
        <v/>
      </c>
      <c r="Z8" s="20">
        <f>Z13*0.061196</f>
        <v/>
      </c>
      <c r="AA8" s="20">
        <f>AA13*0.061196</f>
        <v/>
      </c>
      <c r="AB8" s="20">
        <f>AB13*0.061196</f>
        <v/>
      </c>
      <c r="AC8" s="20">
        <f>AC13*0.061196</f>
        <v/>
      </c>
      <c r="AD8" s="20">
        <f>AD13*0.061196</f>
        <v/>
      </c>
      <c r="AE8" s="20">
        <f>AE13*0.061196</f>
        <v/>
      </c>
      <c r="AF8" s="20">
        <f>AF13*0.061196</f>
        <v/>
      </c>
      <c r="AG8" s="20">
        <f>AG13*0.061196</f>
        <v/>
      </c>
      <c r="AH8" s="20">
        <f>AH13*0.061196</f>
        <v/>
      </c>
      <c r="AI8" s="20">
        <f>AI13*0.061196</f>
        <v/>
      </c>
      <c r="AJ8" s="20">
        <f>AJ13*0.061196</f>
        <v/>
      </c>
      <c r="AK8" s="20">
        <f>AK13*0.061196</f>
        <v/>
      </c>
      <c r="AL8" s="20">
        <f>AL13*0.061196</f>
        <v/>
      </c>
      <c r="AM8" s="20">
        <f>AM13*0.061196</f>
        <v/>
      </c>
      <c r="AN8" s="20">
        <f>AN13*0.061196</f>
        <v/>
      </c>
      <c r="AO8" s="20">
        <f>AO13*0.061196</f>
        <v/>
      </c>
      <c r="AP8" s="20">
        <f>AP13*0.061196</f>
        <v/>
      </c>
      <c r="AQ8" s="20">
        <f>AQ13*0.061196</f>
        <v/>
      </c>
      <c r="AR8" s="20">
        <f>AR13*0.061196</f>
        <v/>
      </c>
      <c r="AS8" s="20">
        <f>AS13*0.061196</f>
        <v/>
      </c>
      <c r="AT8" s="20">
        <f>AT13*0.061196</f>
        <v/>
      </c>
      <c r="AU8" s="20">
        <f>AU13*0.061196</f>
        <v/>
      </c>
      <c r="AV8" s="20">
        <f>AV13*0.061196</f>
        <v/>
      </c>
      <c r="AW8" s="20">
        <f>AW13*0.061196</f>
        <v/>
      </c>
      <c r="AX8" s="20">
        <f>AX13*0.061196</f>
        <v/>
      </c>
      <c r="AY8" s="20">
        <f>AY13*0.061196</f>
        <v/>
      </c>
      <c r="BA8" s="288">
        <f>SUM(I8:T8)</f>
        <v/>
      </c>
      <c r="BB8" s="274">
        <f>BA8/$BA$22</f>
        <v/>
      </c>
    </row>
    <row r="9">
      <c r="B9" s="33" t="inlineStr">
        <is>
          <t xml:space="preserve">  401003 Class Pass</t>
        </is>
      </c>
      <c r="D9" s="19" t="n">
        <v>28443.58</v>
      </c>
      <c r="E9" s="19" t="n">
        <v>27468.5</v>
      </c>
      <c r="F9" s="19" t="n">
        <v>27758.08</v>
      </c>
      <c r="G9" s="19" t="n">
        <v>30356.52</v>
      </c>
      <c r="H9" s="19" t="n">
        <v>29776.53</v>
      </c>
      <c r="I9" s="19" t="n">
        <v>29108.34</v>
      </c>
      <c r="J9" s="19" t="n">
        <v>28187.52</v>
      </c>
      <c r="K9" s="19" t="n">
        <v>27520.95</v>
      </c>
      <c r="L9" s="19" t="n">
        <v>26184.97</v>
      </c>
      <c r="M9" s="19" t="n">
        <v>24804.33</v>
      </c>
      <c r="N9" s="19" t="n">
        <v>26840.92</v>
      </c>
      <c r="O9" s="19" t="n">
        <v>26286.98</v>
      </c>
      <c r="P9" s="19" t="n">
        <v>28869.3</v>
      </c>
      <c r="Q9" s="19" t="n">
        <v>25522.33</v>
      </c>
      <c r="R9" s="19" t="n">
        <v>29455.32</v>
      </c>
      <c r="S9" s="19" t="n">
        <v>30289</v>
      </c>
      <c r="T9" s="83" t="n">
        <v>26097.27</v>
      </c>
      <c r="U9" s="83" t="n">
        <v>24871.98</v>
      </c>
      <c r="V9" s="83" t="n">
        <v>22681</v>
      </c>
      <c r="W9" s="20">
        <f>W13*0.270003</f>
        <v/>
      </c>
      <c r="X9" s="20">
        <f>X13*0.270003</f>
        <v/>
      </c>
      <c r="Y9" s="20">
        <f>Y13*0.270003</f>
        <v/>
      </c>
      <c r="Z9" s="20">
        <f>Z13*0.270003</f>
        <v/>
      </c>
      <c r="AA9" s="20">
        <f>AA13*0.270003</f>
        <v/>
      </c>
      <c r="AB9" s="20">
        <f>AB13*0.270003</f>
        <v/>
      </c>
      <c r="AC9" s="20">
        <f>AC13*0.270003</f>
        <v/>
      </c>
      <c r="AD9" s="20">
        <f>AD13*0.270003</f>
        <v/>
      </c>
      <c r="AE9" s="20">
        <f>AE13*0.270003</f>
        <v/>
      </c>
      <c r="AF9" s="20">
        <f>AF13*0.270003</f>
        <v/>
      </c>
      <c r="AG9" s="20">
        <f>AG13*0.270003</f>
        <v/>
      </c>
      <c r="AH9" s="20">
        <f>AH13*0.270003</f>
        <v/>
      </c>
      <c r="AI9" s="20">
        <f>AI13*0.270003</f>
        <v/>
      </c>
      <c r="AJ9" s="20">
        <f>AJ13*0.270003</f>
        <v/>
      </c>
      <c r="AK9" s="20">
        <f>AK13*0.270003</f>
        <v/>
      </c>
      <c r="AL9" s="20">
        <f>AL13*0.270003</f>
        <v/>
      </c>
      <c r="AM9" s="20">
        <f>AM13*0.270003</f>
        <v/>
      </c>
      <c r="AN9" s="20">
        <f>AN13*0.270003</f>
        <v/>
      </c>
      <c r="AO9" s="20">
        <f>AO13*0.270003</f>
        <v/>
      </c>
      <c r="AP9" s="20">
        <f>AP13*0.270003</f>
        <v/>
      </c>
      <c r="AQ9" s="20">
        <f>AQ13*0.270003</f>
        <v/>
      </c>
      <c r="AR9" s="20">
        <f>AR13*0.270003</f>
        <v/>
      </c>
      <c r="AS9" s="20">
        <f>AS13*0.270003</f>
        <v/>
      </c>
      <c r="AT9" s="20">
        <f>AT13*0.270003</f>
        <v/>
      </c>
      <c r="AU9" s="20">
        <f>AU13*0.270003</f>
        <v/>
      </c>
      <c r="AV9" s="20">
        <f>AV13*0.270003</f>
        <v/>
      </c>
      <c r="AW9" s="20">
        <f>AW13*0.270003</f>
        <v/>
      </c>
      <c r="AX9" s="20">
        <f>AX13*0.270003</f>
        <v/>
      </c>
      <c r="AY9" s="20">
        <f>AY13*0.270003</f>
        <v/>
      </c>
      <c r="BA9" s="288">
        <f>SUM(I9:T9)</f>
        <v/>
      </c>
      <c r="BB9" s="274">
        <f>BA9/$BA$22</f>
        <v/>
      </c>
    </row>
    <row r="10">
      <c r="B10" s="33" t="inlineStr">
        <is>
          <t xml:space="preserve">  401004 Mighty Teacher Training</t>
        </is>
      </c>
      <c r="D10" s="19" t="n">
        <v>640</v>
      </c>
      <c r="E10" s="19" t="n">
        <v>320</v>
      </c>
      <c r="F10" s="19" t="n">
        <v>0</v>
      </c>
      <c r="G10" s="19" t="n">
        <v>0</v>
      </c>
      <c r="H10" s="19" t="n">
        <v>1280</v>
      </c>
      <c r="I10" s="19" t="n">
        <v>2320</v>
      </c>
      <c r="J10" s="19" t="n">
        <v>5457.5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21644.5</v>
      </c>
      <c r="Q10" s="19" t="n">
        <v>0</v>
      </c>
      <c r="R10" s="19" t="n">
        <v>0</v>
      </c>
      <c r="S10" s="19" t="n">
        <v>0</v>
      </c>
      <c r="T10" s="83" t="n">
        <v>0</v>
      </c>
      <c r="U10" s="83" t="n">
        <v>0</v>
      </c>
      <c r="V10" s="83" t="n">
        <v>0</v>
      </c>
      <c r="W10" s="20">
        <f>W13*0.067362</f>
        <v/>
      </c>
      <c r="X10" s="20">
        <f>X13*0.067362</f>
        <v/>
      </c>
      <c r="Y10" s="20">
        <f>Y13*0.067362</f>
        <v/>
      </c>
      <c r="Z10" s="20">
        <f>Z13*0.067362</f>
        <v/>
      </c>
      <c r="AA10" s="20">
        <f>AA13*0.067362</f>
        <v/>
      </c>
      <c r="AB10" s="20">
        <f>AB13*0.067362</f>
        <v/>
      </c>
      <c r="AC10" s="20">
        <f>AC13*0.067362</f>
        <v/>
      </c>
      <c r="AD10" s="20">
        <f>AD13*0.067362</f>
        <v/>
      </c>
      <c r="AE10" s="20">
        <f>AE13*0.067362</f>
        <v/>
      </c>
      <c r="AF10" s="20">
        <f>AF13*0.067362</f>
        <v/>
      </c>
      <c r="AG10" s="20">
        <f>AG13*0.067362</f>
        <v/>
      </c>
      <c r="AH10" s="20">
        <f>AH13*0.067362</f>
        <v/>
      </c>
      <c r="AI10" s="20">
        <f>AI13*0.067362</f>
        <v/>
      </c>
      <c r="AJ10" s="20">
        <f>AJ13*0.067362</f>
        <v/>
      </c>
      <c r="AK10" s="20">
        <f>AK13*0.067362</f>
        <v/>
      </c>
      <c r="AL10" s="20">
        <f>AL13*0.067362</f>
        <v/>
      </c>
      <c r="AM10" s="20">
        <f>AM13*0.067362</f>
        <v/>
      </c>
      <c r="AN10" s="20">
        <f>AN13*0.067362</f>
        <v/>
      </c>
      <c r="AO10" s="20">
        <f>AO13*0.067362</f>
        <v/>
      </c>
      <c r="AP10" s="20">
        <f>AP13*0.067362</f>
        <v/>
      </c>
      <c r="AQ10" s="20">
        <f>AQ13*0.067362</f>
        <v/>
      </c>
      <c r="AR10" s="20">
        <f>AR13*0.067362</f>
        <v/>
      </c>
      <c r="AS10" s="20">
        <f>AS13*0.067362</f>
        <v/>
      </c>
      <c r="AT10" s="20">
        <f>AT13*0.067362</f>
        <v/>
      </c>
      <c r="AU10" s="20">
        <f>AU13*0.067362</f>
        <v/>
      </c>
      <c r="AV10" s="20">
        <f>AV13*0.067362</f>
        <v/>
      </c>
      <c r="AW10" s="20">
        <f>AW13*0.067362</f>
        <v/>
      </c>
      <c r="AX10" s="20">
        <f>AX13*0.067362</f>
        <v/>
      </c>
      <c r="AY10" s="20">
        <f>AY13*0.067362</f>
        <v/>
      </c>
      <c r="BA10" s="288">
        <f>SUM(I10:T10)</f>
        <v/>
      </c>
      <c r="BB10" s="274">
        <f>BA10/$BA$22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14</v>
      </c>
      <c r="F11" s="19" t="n">
        <v>25.8</v>
      </c>
      <c r="G11" s="19" t="n">
        <v>65.59999999999999</v>
      </c>
      <c r="H11" s="19" t="n">
        <v>23.6</v>
      </c>
      <c r="I11" s="19" t="n">
        <v>73</v>
      </c>
      <c r="J11" s="19" t="n">
        <v>59</v>
      </c>
      <c r="K11" s="19" t="n">
        <v>132</v>
      </c>
      <c r="L11" s="19" t="n">
        <v>115</v>
      </c>
      <c r="M11" s="19" t="n">
        <v>23.6</v>
      </c>
      <c r="N11" s="19" t="n">
        <v>23.6</v>
      </c>
      <c r="O11" s="19" t="n">
        <v>14</v>
      </c>
      <c r="P11" s="19" t="n">
        <v>49.4</v>
      </c>
      <c r="Q11" s="19" t="n">
        <v>64.90000000000001</v>
      </c>
      <c r="R11" s="19" t="n">
        <v>82.59999999999999</v>
      </c>
      <c r="S11" s="19" t="n">
        <v>18.22</v>
      </c>
      <c r="T11" s="83" t="n">
        <v>31.56</v>
      </c>
      <c r="U11" s="83" t="n">
        <v>28</v>
      </c>
      <c r="V11" s="83" t="n">
        <v>39.8</v>
      </c>
      <c r="W11" s="20">
        <f>W13*0.000509</f>
        <v/>
      </c>
      <c r="X11" s="20">
        <f>X13*0.000509</f>
        <v/>
      </c>
      <c r="Y11" s="20">
        <f>Y13*0.000509</f>
        <v/>
      </c>
      <c r="Z11" s="20">
        <f>Z13*0.000509</f>
        <v/>
      </c>
      <c r="AA11" s="20">
        <f>AA13*0.000509</f>
        <v/>
      </c>
      <c r="AB11" s="20">
        <f>AB13*0.000509</f>
        <v/>
      </c>
      <c r="AC11" s="20">
        <f>AC13*0.000509</f>
        <v/>
      </c>
      <c r="AD11" s="20">
        <f>AD13*0.000509</f>
        <v/>
      </c>
      <c r="AE11" s="20">
        <f>AE13*0.000509</f>
        <v/>
      </c>
      <c r="AF11" s="20">
        <f>AF13*0.000509</f>
        <v/>
      </c>
      <c r="AG11" s="20">
        <f>AG13*0.000509</f>
        <v/>
      </c>
      <c r="AH11" s="20">
        <f>AH13*0.000509</f>
        <v/>
      </c>
      <c r="AI11" s="20">
        <f>AI13*0.000509</f>
        <v/>
      </c>
      <c r="AJ11" s="20">
        <f>AJ13*0.000509</f>
        <v/>
      </c>
      <c r="AK11" s="20">
        <f>AK13*0.000509</f>
        <v/>
      </c>
      <c r="AL11" s="20">
        <f>AL13*0.000509</f>
        <v/>
      </c>
      <c r="AM11" s="20">
        <f>AM13*0.000509</f>
        <v/>
      </c>
      <c r="AN11" s="20">
        <f>AN13*0.000509</f>
        <v/>
      </c>
      <c r="AO11" s="20">
        <f>AO13*0.000509</f>
        <v/>
      </c>
      <c r="AP11" s="20">
        <f>AP13*0.000509</f>
        <v/>
      </c>
      <c r="AQ11" s="20">
        <f>AQ13*0.000509</f>
        <v/>
      </c>
      <c r="AR11" s="20">
        <f>AR13*0.000509</f>
        <v/>
      </c>
      <c r="AS11" s="20">
        <f>AS13*0.000509</f>
        <v/>
      </c>
      <c r="AT11" s="20">
        <f>AT13*0.000509</f>
        <v/>
      </c>
      <c r="AU11" s="20">
        <f>AU13*0.000509</f>
        <v/>
      </c>
      <c r="AV11" s="20">
        <f>AV13*0.000509</f>
        <v/>
      </c>
      <c r="AW11" s="20">
        <f>AW13*0.000509</f>
        <v/>
      </c>
      <c r="AX11" s="20">
        <f>AX13*0.000509</f>
        <v/>
      </c>
      <c r="AY11" s="20">
        <f>AY13*0.000509</f>
        <v/>
      </c>
      <c r="BA11" s="288">
        <f>SUM(I11:T11)</f>
        <v/>
      </c>
      <c r="BB11" s="274">
        <f>BA11/$BA$22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44.66</v>
      </c>
      <c r="K12" s="19" t="n">
        <v>52.54</v>
      </c>
      <c r="L12" s="19" t="n">
        <v>52.54</v>
      </c>
      <c r="M12" s="19" t="n">
        <v>0</v>
      </c>
      <c r="N12" s="19" t="n">
        <v>149.74</v>
      </c>
      <c r="O12" s="19" t="n">
        <v>202.28</v>
      </c>
      <c r="P12" s="19" t="n">
        <v>289</v>
      </c>
      <c r="Q12" s="19" t="n">
        <v>341.54</v>
      </c>
      <c r="R12" s="19" t="n">
        <v>289</v>
      </c>
      <c r="S12" s="19" t="n">
        <v>309.99</v>
      </c>
      <c r="T12" s="83" t="n">
        <v>202.28</v>
      </c>
      <c r="U12" s="83" t="n">
        <v>44.66</v>
      </c>
      <c r="V12" s="83" t="n">
        <v>157.62</v>
      </c>
      <c r="W12" s="20">
        <f>W13*0.002909</f>
        <v/>
      </c>
      <c r="X12" s="20">
        <f>X13*0.002909</f>
        <v/>
      </c>
      <c r="Y12" s="20">
        <f>Y13*0.002909</f>
        <v/>
      </c>
      <c r="Z12" s="20">
        <f>Z13*0.002909</f>
        <v/>
      </c>
      <c r="AA12" s="20">
        <f>AA13*0.002909</f>
        <v/>
      </c>
      <c r="AB12" s="20">
        <f>AB13*0.002909</f>
        <v/>
      </c>
      <c r="AC12" s="20">
        <f>AC13*0.002909</f>
        <v/>
      </c>
      <c r="AD12" s="20">
        <f>AD13*0.002909</f>
        <v/>
      </c>
      <c r="AE12" s="20">
        <f>AE13*0.002909</f>
        <v/>
      </c>
      <c r="AF12" s="20">
        <f>AF13*0.002909</f>
        <v/>
      </c>
      <c r="AG12" s="20">
        <f>AG13*0.002909</f>
        <v/>
      </c>
      <c r="AH12" s="20">
        <f>AH13*0.002909</f>
        <v/>
      </c>
      <c r="AI12" s="20">
        <f>AI13*0.002909</f>
        <v/>
      </c>
      <c r="AJ12" s="20">
        <f>AJ13*0.002909</f>
        <v/>
      </c>
      <c r="AK12" s="20">
        <f>AK13*0.002909</f>
        <v/>
      </c>
      <c r="AL12" s="20">
        <f>AL13*0.002909</f>
        <v/>
      </c>
      <c r="AM12" s="20">
        <f>AM13*0.002909</f>
        <v/>
      </c>
      <c r="AN12" s="20">
        <f>AN13*0.002909</f>
        <v/>
      </c>
      <c r="AO12" s="20">
        <f>AO13*0.002909</f>
        <v/>
      </c>
      <c r="AP12" s="20">
        <f>AP13*0.002909</f>
        <v/>
      </c>
      <c r="AQ12" s="20">
        <f>AQ13*0.002909</f>
        <v/>
      </c>
      <c r="AR12" s="20">
        <f>AR13*0.002909</f>
        <v/>
      </c>
      <c r="AS12" s="20">
        <f>AS13*0.002909</f>
        <v/>
      </c>
      <c r="AT12" s="20">
        <f>AT13*0.002909</f>
        <v/>
      </c>
      <c r="AU12" s="20">
        <f>AU13*0.002909</f>
        <v/>
      </c>
      <c r="AV12" s="20">
        <f>AV13*0.002909</f>
        <v/>
      </c>
      <c r="AW12" s="20">
        <f>AW13*0.002909</f>
        <v/>
      </c>
      <c r="AX12" s="20">
        <f>AX13*0.002909</f>
        <v/>
      </c>
      <c r="AY12" s="20">
        <f>AY13*0.002909</f>
        <v/>
      </c>
      <c r="BA12" s="288">
        <f>SUM(I12:T12)</f>
        <v/>
      </c>
      <c r="BB12" s="274">
        <f>BA12/$BA$22</f>
        <v/>
      </c>
    </row>
    <row r="13">
      <c r="B13" s="32" t="inlineStr">
        <is>
          <t>Total Sessions</t>
        </is>
      </c>
      <c r="C13" s="34" t="n"/>
      <c r="D13" s="35">
        <f>SUM(D7:D12)</f>
        <v/>
      </c>
      <c r="E13" s="35">
        <f>SUM(E7:E12)</f>
        <v/>
      </c>
      <c r="F13" s="35">
        <f>SUM(F7:F12)</f>
        <v/>
      </c>
      <c r="G13" s="35">
        <f>SUM(G7:G12)</f>
        <v/>
      </c>
      <c r="H13" s="35">
        <f>SUM(H7:H12)</f>
        <v/>
      </c>
      <c r="I13" s="35">
        <f>SUM(I7:I12)</f>
        <v/>
      </c>
      <c r="J13" s="35">
        <f>SUM(J7:J12)</f>
        <v/>
      </c>
      <c r="K13" s="35">
        <f>SUM(K7:K12)</f>
        <v/>
      </c>
      <c r="L13" s="35">
        <f>SUM(L7:L12)</f>
        <v/>
      </c>
      <c r="M13" s="35">
        <f>SUM(M7:M12)</f>
        <v/>
      </c>
      <c r="N13" s="35">
        <f>SUM(N7:N12)</f>
        <v/>
      </c>
      <c r="O13" s="35">
        <f>SUM(O7:O12)</f>
        <v/>
      </c>
      <c r="P13" s="35">
        <f>P7+P8+P9+P10+P11+P12</f>
        <v/>
      </c>
      <c r="Q13" s="35">
        <f>Q7+Q8+Q9+Q10+Q11+Q12</f>
        <v/>
      </c>
      <c r="R13" s="35">
        <f>R7+R8+R9+R10+R11+R12</f>
        <v/>
      </c>
      <c r="S13" s="35">
        <f>S7+S8+S9+S10+S11+S12</f>
        <v/>
      </c>
      <c r="T13" s="84">
        <f>T7+T8+T9+T10+T11+T12</f>
        <v/>
      </c>
      <c r="U13" s="84">
        <f>U7+U8+U9+U10+U11+U12</f>
        <v/>
      </c>
      <c r="V13" s="84">
        <f>V7+V8+V9+V10+V11+V12</f>
        <v/>
      </c>
      <c r="W13" s="17">
        <f>'Sales Forecast'!W6*Assumptions!$C$12+'Sales Forecast'!V6*Assumptions!$D$12+'Sales Forecast'!U6*Assumptions!$E$12+'Sales Forecast'!T6*Assumptions!$F$12+'Sales Forecast'!S6*Assumptions!$G$12+'Sales Forecast'!R6*Assumptions!$H$12+'Sales Forecast'!Q6*Assumptions!$I$12</f>
        <v/>
      </c>
      <c r="X13" s="17">
        <f>'Sales Forecast'!X6*Assumptions!$C$12+'Sales Forecast'!W6*Assumptions!$D$12+'Sales Forecast'!V6*Assumptions!$E$12+'Sales Forecast'!U6*Assumptions!$F$12+'Sales Forecast'!T6*Assumptions!$G$12+'Sales Forecast'!S6*Assumptions!$H$12+'Sales Forecast'!R6*Assumptions!$I$12</f>
        <v/>
      </c>
      <c r="Y13" s="17">
        <f>'Sales Forecast'!Y6*Assumptions!$C$12+'Sales Forecast'!X6*Assumptions!$D$12+'Sales Forecast'!W6*Assumptions!$E$12+'Sales Forecast'!V6*Assumptions!$F$12+'Sales Forecast'!U6*Assumptions!$G$12+'Sales Forecast'!T6*Assumptions!$H$12+'Sales Forecast'!S6*Assumptions!$I$12</f>
        <v/>
      </c>
      <c r="Z13" s="17">
        <f>'Sales Forecast'!Z6*Assumptions!$C$12+'Sales Forecast'!Y6*Assumptions!$D$12+'Sales Forecast'!X6*Assumptions!$E$12+'Sales Forecast'!W6*Assumptions!$F$12+'Sales Forecast'!V6*Assumptions!$G$12+'Sales Forecast'!U6*Assumptions!$H$12+'Sales Forecast'!T6*Assumptions!$I$12</f>
        <v/>
      </c>
      <c r="AA13" s="17">
        <f>'Sales Forecast'!AA6*Assumptions!$C$12+'Sales Forecast'!Z6*Assumptions!$D$12+'Sales Forecast'!Y6*Assumptions!$E$12+'Sales Forecast'!X6*Assumptions!$F$12+'Sales Forecast'!W6*Assumptions!$G$12+'Sales Forecast'!V6*Assumptions!$H$12+'Sales Forecast'!U6*Assumptions!$I$12</f>
        <v/>
      </c>
      <c r="AB13" s="17">
        <f>'Sales Forecast'!AB6*Assumptions!$C$12+'Sales Forecast'!AA6*Assumptions!$D$12+'Sales Forecast'!Z6*Assumptions!$E$12+'Sales Forecast'!Y6*Assumptions!$F$12+'Sales Forecast'!X6*Assumptions!$G$12+'Sales Forecast'!W6*Assumptions!$H$12+'Sales Forecast'!V6*Assumptions!$I$12</f>
        <v/>
      </c>
      <c r="AC13" s="17">
        <f>'Sales Forecast'!AC6*Assumptions!$C$12+'Sales Forecast'!AB6*Assumptions!$D$12+'Sales Forecast'!AA6*Assumptions!$E$12+'Sales Forecast'!Z6*Assumptions!$F$12+'Sales Forecast'!Y6*Assumptions!$G$12+'Sales Forecast'!X6*Assumptions!$H$12+'Sales Forecast'!W6*Assumptions!$I$12</f>
        <v/>
      </c>
      <c r="AD13" s="17">
        <f>'Sales Forecast'!AD6*Assumptions!$C$12+'Sales Forecast'!AC6*Assumptions!$D$12+'Sales Forecast'!AB6*Assumptions!$E$12+'Sales Forecast'!AA6*Assumptions!$F$12+'Sales Forecast'!Z6*Assumptions!$G$12+'Sales Forecast'!Y6*Assumptions!$H$12+'Sales Forecast'!X6*Assumptions!$I$12</f>
        <v/>
      </c>
      <c r="AE13" s="17">
        <f>'Sales Forecast'!AE6*Assumptions!$C$12+'Sales Forecast'!AD6*Assumptions!$D$12+'Sales Forecast'!AC6*Assumptions!$E$12+'Sales Forecast'!AB6*Assumptions!$F$12+'Sales Forecast'!AA6*Assumptions!$G$12+'Sales Forecast'!Z6*Assumptions!$H$12+'Sales Forecast'!Y6*Assumptions!$I$12</f>
        <v/>
      </c>
      <c r="AF13" s="17">
        <f>'Sales Forecast'!AF6*Assumptions!$C$12+'Sales Forecast'!AE6*Assumptions!$D$12+'Sales Forecast'!AD6*Assumptions!$E$12+'Sales Forecast'!AC6*Assumptions!$F$12+'Sales Forecast'!AB6*Assumptions!$G$12+'Sales Forecast'!AA6*Assumptions!$H$12+'Sales Forecast'!Z6*Assumptions!$I$12</f>
        <v/>
      </c>
      <c r="AG13" s="17">
        <f>'Sales Forecast'!AG6*Assumptions!$C$12+'Sales Forecast'!AF6*Assumptions!$D$12+'Sales Forecast'!AE6*Assumptions!$E$12+'Sales Forecast'!AD6*Assumptions!$F$12+'Sales Forecast'!AC6*Assumptions!$G$12+'Sales Forecast'!AB6*Assumptions!$H$12+'Sales Forecast'!AA6*Assumptions!$I$12</f>
        <v/>
      </c>
      <c r="AH13" s="17">
        <f>'Sales Forecast'!AH6*Assumptions!$C$12+'Sales Forecast'!AG6*Assumptions!$D$12+'Sales Forecast'!AF6*Assumptions!$E$12+'Sales Forecast'!AE6*Assumptions!$F$12+'Sales Forecast'!AD6*Assumptions!$G$12+'Sales Forecast'!AC6*Assumptions!$H$12+'Sales Forecast'!AB6*Assumptions!$I$12</f>
        <v/>
      </c>
      <c r="AI13" s="17">
        <f>'Sales Forecast'!AI6*Assumptions!$C$12+'Sales Forecast'!AH6*Assumptions!$D$12+'Sales Forecast'!AG6*Assumptions!$E$12+'Sales Forecast'!AF6*Assumptions!$F$12+'Sales Forecast'!AE6*Assumptions!$G$12+'Sales Forecast'!AD6*Assumptions!$H$12+'Sales Forecast'!AC6*Assumptions!$I$12</f>
        <v/>
      </c>
      <c r="AJ13" s="17">
        <f>'Sales Forecast'!AJ6*Assumptions!$C$12+'Sales Forecast'!AI6*Assumptions!$D$12+'Sales Forecast'!AH6*Assumptions!$E$12+'Sales Forecast'!AG6*Assumptions!$F$12+'Sales Forecast'!AF6*Assumptions!$G$12+'Sales Forecast'!AE6*Assumptions!$H$12+'Sales Forecast'!AD6*Assumptions!$I$12</f>
        <v/>
      </c>
      <c r="AK13" s="17">
        <f>'Sales Forecast'!AK6*Assumptions!$C$12+'Sales Forecast'!AJ6*Assumptions!$D$12+'Sales Forecast'!AI6*Assumptions!$E$12+'Sales Forecast'!AH6*Assumptions!$F$12+'Sales Forecast'!AG6*Assumptions!$G$12+'Sales Forecast'!AF6*Assumptions!$H$12+'Sales Forecast'!AE6*Assumptions!$I$12</f>
        <v/>
      </c>
      <c r="AL13" s="17">
        <f>'Sales Forecast'!AL6*Assumptions!$C$12+'Sales Forecast'!AK6*Assumptions!$D$12+'Sales Forecast'!AJ6*Assumptions!$E$12+'Sales Forecast'!AI6*Assumptions!$F$12+'Sales Forecast'!AH6*Assumptions!$G$12+'Sales Forecast'!AG6*Assumptions!$H$12+'Sales Forecast'!AF6*Assumptions!$I$12</f>
        <v/>
      </c>
      <c r="AM13" s="17">
        <f>'Sales Forecast'!AM6*Assumptions!$C$12+'Sales Forecast'!AL6*Assumptions!$D$12+'Sales Forecast'!AK6*Assumptions!$E$12+'Sales Forecast'!AJ6*Assumptions!$F$12+'Sales Forecast'!AI6*Assumptions!$G$12+'Sales Forecast'!AH6*Assumptions!$H$12+'Sales Forecast'!AG6*Assumptions!$I$12</f>
        <v/>
      </c>
      <c r="AN13" s="17">
        <f>'Sales Forecast'!AN6*Assumptions!$C$12+'Sales Forecast'!AM6*Assumptions!$D$12+'Sales Forecast'!AL6*Assumptions!$E$12+'Sales Forecast'!AK6*Assumptions!$F$12+'Sales Forecast'!AJ6*Assumptions!$G$12+'Sales Forecast'!AI6*Assumptions!$H$12+'Sales Forecast'!AH6*Assumptions!$I$12</f>
        <v/>
      </c>
      <c r="AO13" s="17">
        <f>'Sales Forecast'!AO6*Assumptions!$C$12+'Sales Forecast'!AN6*Assumptions!$D$12+'Sales Forecast'!AM6*Assumptions!$E$12+'Sales Forecast'!AL6*Assumptions!$F$12+'Sales Forecast'!AK6*Assumptions!$G$12+'Sales Forecast'!AJ6*Assumptions!$H$12+'Sales Forecast'!AI6*Assumptions!$I$12</f>
        <v/>
      </c>
      <c r="AP13" s="17">
        <f>'Sales Forecast'!AP6*Assumptions!$C$12+'Sales Forecast'!AO6*Assumptions!$D$12+'Sales Forecast'!AN6*Assumptions!$E$12+'Sales Forecast'!AM6*Assumptions!$F$12+'Sales Forecast'!AL6*Assumptions!$G$12+'Sales Forecast'!AK6*Assumptions!$H$12+'Sales Forecast'!AJ6*Assumptions!$I$12</f>
        <v/>
      </c>
      <c r="AQ13" s="17">
        <f>'Sales Forecast'!AQ6*Assumptions!$C$12+'Sales Forecast'!AP6*Assumptions!$D$12+'Sales Forecast'!AO6*Assumptions!$E$12+'Sales Forecast'!AN6*Assumptions!$F$12+'Sales Forecast'!AM6*Assumptions!$G$12+'Sales Forecast'!AL6*Assumptions!$H$12+'Sales Forecast'!AK6*Assumptions!$I$12</f>
        <v/>
      </c>
      <c r="AR13" s="17">
        <f>'Sales Forecast'!AR6*Assumptions!$C$12+'Sales Forecast'!AQ6*Assumptions!$D$12+'Sales Forecast'!AP6*Assumptions!$E$12+'Sales Forecast'!AO6*Assumptions!$F$12+'Sales Forecast'!AN6*Assumptions!$G$12+'Sales Forecast'!AM6*Assumptions!$H$12+'Sales Forecast'!AL6*Assumptions!$I$12</f>
        <v/>
      </c>
      <c r="AS13" s="17">
        <f>'Sales Forecast'!AS6*Assumptions!$C$12+'Sales Forecast'!AR6*Assumptions!$D$12+'Sales Forecast'!AQ6*Assumptions!$E$12+'Sales Forecast'!AP6*Assumptions!$F$12+'Sales Forecast'!AO6*Assumptions!$G$12+'Sales Forecast'!AN6*Assumptions!$H$12+'Sales Forecast'!AM6*Assumptions!$I$12</f>
        <v/>
      </c>
      <c r="AT13" s="17">
        <f>'Sales Forecast'!AT6*Assumptions!$C$12+'Sales Forecast'!AS6*Assumptions!$D$12+'Sales Forecast'!AR6*Assumptions!$E$12+'Sales Forecast'!AQ6*Assumptions!$F$12+'Sales Forecast'!AP6*Assumptions!$G$12+'Sales Forecast'!AO6*Assumptions!$H$12+'Sales Forecast'!AN6*Assumptions!$I$12</f>
        <v/>
      </c>
      <c r="AU13" s="17">
        <f>'Sales Forecast'!AU6*Assumptions!$C$12+'Sales Forecast'!AT6*Assumptions!$D$12+'Sales Forecast'!AS6*Assumptions!$E$12+'Sales Forecast'!AR6*Assumptions!$F$12+'Sales Forecast'!AQ6*Assumptions!$G$12+'Sales Forecast'!AP6*Assumptions!$H$12+'Sales Forecast'!AO6*Assumptions!$I$12</f>
        <v/>
      </c>
      <c r="AV13" s="17">
        <f>'Sales Forecast'!AV6*Assumptions!$C$12+'Sales Forecast'!AU6*Assumptions!$D$12+'Sales Forecast'!AT6*Assumptions!$E$12+'Sales Forecast'!AS6*Assumptions!$F$12+'Sales Forecast'!AR6*Assumptions!$G$12+'Sales Forecast'!AQ6*Assumptions!$H$12+'Sales Forecast'!AP6*Assumptions!$I$12</f>
        <v/>
      </c>
      <c r="AW13" s="17">
        <f>'Sales Forecast'!AW6*Assumptions!$C$12+'Sales Forecast'!AV6*Assumptions!$D$12+'Sales Forecast'!AU6*Assumptions!$E$12+'Sales Forecast'!AT6*Assumptions!$F$12+'Sales Forecast'!AS6*Assumptions!$G$12+'Sales Forecast'!AR6*Assumptions!$H$12+'Sales Forecast'!AQ6*Assumptions!$I$12</f>
        <v/>
      </c>
      <c r="AX13" s="17">
        <f>'Sales Forecast'!AX6*Assumptions!$C$12+'Sales Forecast'!AW6*Assumptions!$D$12+'Sales Forecast'!AV6*Assumptions!$E$12+'Sales Forecast'!AU6*Assumptions!$F$12+'Sales Forecast'!AT6*Assumptions!$G$12+'Sales Forecast'!AS6*Assumptions!$H$12+'Sales Forecast'!AR6*Assumptions!$I$12</f>
        <v/>
      </c>
      <c r="AY13" s="17">
        <f>'Sales Forecast'!AY6*Assumptions!$C$12+'Sales Forecast'!AX6*Assumptions!$D$12+'Sales Forecast'!AW6*Assumptions!$E$12+'Sales Forecast'!AV6*Assumptions!$F$12+'Sales Forecast'!AU6*Assumptions!$G$12+'Sales Forecast'!AT6*Assumptions!$H$12+'Sales Forecast'!AS6*Assumptions!$I$12</f>
        <v/>
      </c>
      <c r="BA13" s="288" t="n"/>
    </row>
    <row r="14">
      <c r="B14" s="32" t="inlineStr">
        <is>
          <t>Revenue from Old Mighty</t>
        </is>
      </c>
      <c r="C14" s="34" t="n"/>
      <c r="D14" s="278" t="n">
        <v>17270.2</v>
      </c>
      <c r="E14" s="278" t="n">
        <v>7154.43</v>
      </c>
      <c r="F14" s="278" t="n">
        <v>4880.41</v>
      </c>
      <c r="G14" s="278" t="n">
        <v>3618.45</v>
      </c>
      <c r="H14" s="278" t="n">
        <v>1819.33</v>
      </c>
      <c r="I14" s="278" t="n">
        <v>919.05</v>
      </c>
      <c r="J14" s="278" t="n">
        <v>596.83</v>
      </c>
      <c r="K14" s="278" t="n">
        <v>276.5</v>
      </c>
      <c r="L14" s="278" t="n">
        <v>75</v>
      </c>
      <c r="M14" s="278" t="n">
        <v>0</v>
      </c>
      <c r="N14" s="278" t="n">
        <v>0</v>
      </c>
      <c r="O14" s="278" t="n">
        <v>0</v>
      </c>
      <c r="P14" s="278" t="n">
        <v>0</v>
      </c>
      <c r="Q14" s="278" t="n">
        <v>0</v>
      </c>
      <c r="R14" s="278" t="n">
        <v>0</v>
      </c>
      <c r="S14" s="278" t="n">
        <v>0</v>
      </c>
      <c r="T14" s="84" t="n">
        <v>0</v>
      </c>
      <c r="U14" s="84" t="n">
        <v>0</v>
      </c>
      <c r="V14" s="84" t="n">
        <v>0</v>
      </c>
      <c r="W14" s="279" t="n"/>
      <c r="X14" s="279" t="n"/>
      <c r="Y14" s="279" t="n"/>
      <c r="Z14" s="279" t="n"/>
      <c r="AA14" s="279" t="n"/>
      <c r="AB14" s="279" t="n"/>
      <c r="AC14" s="279" t="n"/>
      <c r="AD14" s="279" t="n"/>
      <c r="AE14" s="279" t="n"/>
      <c r="AF14" s="279" t="n"/>
      <c r="AG14" s="279" t="n"/>
      <c r="AH14" s="279" t="n"/>
      <c r="AI14" s="279" t="n"/>
      <c r="AJ14" s="279" t="n"/>
      <c r="AK14" s="279" t="n"/>
      <c r="AL14" s="279" t="n"/>
      <c r="AM14" s="279" t="n"/>
      <c r="AN14" s="279" t="n"/>
      <c r="AO14" s="279" t="n"/>
      <c r="AP14" s="279" t="n"/>
      <c r="AQ14" s="279" t="n"/>
      <c r="AR14" s="279" t="n"/>
      <c r="AS14" s="279" t="n"/>
      <c r="AT14" s="279" t="n"/>
      <c r="AU14" s="279" t="n"/>
      <c r="AV14" s="279" t="n"/>
      <c r="AW14" s="279" t="n"/>
      <c r="AX14" s="279" t="n"/>
      <c r="AY14" s="279" t="n"/>
      <c r="BA14" s="288" t="n"/>
    </row>
    <row r="15">
      <c r="B15" s="33" t="inlineStr">
        <is>
          <t xml:space="preserve">  403001 Machine Breakage</t>
        </is>
      </c>
      <c r="D15" s="19" t="n">
        <v>10480.79</v>
      </c>
      <c r="E15" s="19" t="n">
        <v>16179.03</v>
      </c>
      <c r="F15" s="19" t="n">
        <v>20305.86</v>
      </c>
      <c r="G15" s="19" t="n">
        <v>20513.48</v>
      </c>
      <c r="H15" s="19" t="n">
        <v>23721.52</v>
      </c>
      <c r="I15" s="19" t="n">
        <v>17938.2</v>
      </c>
      <c r="J15" s="19" t="n">
        <v>14764.55</v>
      </c>
      <c r="K15" s="19" t="n">
        <v>15127.93</v>
      </c>
      <c r="L15" s="19" t="n">
        <v>32901.88</v>
      </c>
      <c r="M15" s="19" t="n">
        <v>22861.69</v>
      </c>
      <c r="N15" s="19" t="n">
        <v>31868.08</v>
      </c>
      <c r="O15" s="19" t="n">
        <v>31038.14</v>
      </c>
      <c r="P15" s="19" t="n">
        <v>17169.98</v>
      </c>
      <c r="Q15" s="19" t="n">
        <v>24950.31</v>
      </c>
      <c r="R15" s="19" t="n">
        <v>19308.85</v>
      </c>
      <c r="S15" s="19" t="n">
        <v>22389.08</v>
      </c>
      <c r="T15" s="83" t="n">
        <v>17746.33</v>
      </c>
      <c r="U15" s="83" t="n">
        <v>17161.6</v>
      </c>
      <c r="V15" s="83" t="n">
        <v>17800.85</v>
      </c>
      <c r="W15" s="20">
        <f>W18*0.952386</f>
        <v/>
      </c>
      <c r="X15" s="20">
        <f>X18*0.952386</f>
        <v/>
      </c>
      <c r="Y15" s="20">
        <f>Y18*0.952386</f>
        <v/>
      </c>
      <c r="Z15" s="20">
        <f>Z18*0.952386</f>
        <v/>
      </c>
      <c r="AA15" s="20">
        <f>AA18*0.952386</f>
        <v/>
      </c>
      <c r="AB15" s="20">
        <f>AB18*0.952386</f>
        <v/>
      </c>
      <c r="AC15" s="20">
        <f>AC18*0.952386</f>
        <v/>
      </c>
      <c r="AD15" s="20">
        <f>AD18*0.952386</f>
        <v/>
      </c>
      <c r="AE15" s="20">
        <f>AE18*0.952386</f>
        <v/>
      </c>
      <c r="AF15" s="20">
        <f>AF18*0.952386</f>
        <v/>
      </c>
      <c r="AG15" s="20">
        <f>AG18*0.952386</f>
        <v/>
      </c>
      <c r="AH15" s="20">
        <f>AH18*0.952386</f>
        <v/>
      </c>
      <c r="AI15" s="20">
        <f>AI18*0.952386</f>
        <v/>
      </c>
      <c r="AJ15" s="20">
        <f>AJ18*0.952386</f>
        <v/>
      </c>
      <c r="AK15" s="20">
        <f>AK18*0.952386</f>
        <v/>
      </c>
      <c r="AL15" s="20">
        <f>AL18*0.952386</f>
        <v/>
      </c>
      <c r="AM15" s="20">
        <f>AM18*0.952386</f>
        <v/>
      </c>
      <c r="AN15" s="20">
        <f>AN18*0.952386</f>
        <v/>
      </c>
      <c r="AO15" s="20">
        <f>AO18*0.952386</f>
        <v/>
      </c>
      <c r="AP15" s="20">
        <f>AP18*0.952386</f>
        <v/>
      </c>
      <c r="AQ15" s="20">
        <f>AQ18*0.952386</f>
        <v/>
      </c>
      <c r="AR15" s="20">
        <f>AR18*0.952386</f>
        <v/>
      </c>
      <c r="AS15" s="20">
        <f>AS18*0.952386</f>
        <v/>
      </c>
      <c r="AT15" s="20">
        <f>AT18*0.952386</f>
        <v/>
      </c>
      <c r="AU15" s="20">
        <f>AU18*0.952386</f>
        <v/>
      </c>
      <c r="AV15" s="20">
        <f>AV18*0.952386</f>
        <v/>
      </c>
      <c r="AW15" s="20">
        <f>AW18*0.952386</f>
        <v/>
      </c>
      <c r="AX15" s="20">
        <f>AX18*0.952386</f>
        <v/>
      </c>
      <c r="AY15" s="20">
        <f>AY18*0.952386</f>
        <v/>
      </c>
      <c r="BA15" s="288">
        <f>SUM(I15:T15)</f>
        <v/>
      </c>
      <c r="BB15" s="274">
        <f>BA15/$BA$22</f>
        <v/>
      </c>
    </row>
    <row r="16">
      <c r="B16" s="33" t="inlineStr">
        <is>
          <t xml:space="preserve">  403003 Private Pilates Breakage</t>
        </is>
      </c>
      <c r="D16" s="19" t="n">
        <v>495</v>
      </c>
      <c r="E16" s="19" t="n">
        <v>3040</v>
      </c>
      <c r="F16" s="19" t="n">
        <v>2615</v>
      </c>
      <c r="G16" s="19" t="n">
        <v>1345</v>
      </c>
      <c r="H16" s="19" t="n">
        <v>1185</v>
      </c>
      <c r="I16" s="19" t="n">
        <v>3540</v>
      </c>
      <c r="J16" s="19" t="n">
        <v>2208</v>
      </c>
      <c r="K16" s="19" t="n">
        <v>2677.5</v>
      </c>
      <c r="L16" s="19" t="n">
        <v>1750</v>
      </c>
      <c r="M16" s="19" t="n">
        <v>1282</v>
      </c>
      <c r="N16" s="19" t="n">
        <v>3100</v>
      </c>
      <c r="O16" s="19" t="n">
        <v>2415</v>
      </c>
      <c r="P16" s="19" t="n">
        <v>1385</v>
      </c>
      <c r="Q16" s="19" t="n">
        <v>430</v>
      </c>
      <c r="R16" s="19" t="n">
        <v>965</v>
      </c>
      <c r="S16" s="19" t="n">
        <v>1375</v>
      </c>
      <c r="T16" s="83" t="n">
        <v>1085</v>
      </c>
      <c r="U16" s="83" t="n">
        <v>220</v>
      </c>
      <c r="V16" s="83" t="n">
        <v>1301.67</v>
      </c>
      <c r="W16" s="20">
        <f>W18*0.047211</f>
        <v/>
      </c>
      <c r="X16" s="20">
        <f>X18*0.047211</f>
        <v/>
      </c>
      <c r="Y16" s="20">
        <f>Y18*0.047211</f>
        <v/>
      </c>
      <c r="Z16" s="20">
        <f>Z18*0.047211</f>
        <v/>
      </c>
      <c r="AA16" s="20">
        <f>AA18*0.047211</f>
        <v/>
      </c>
      <c r="AB16" s="20">
        <f>AB18*0.047211</f>
        <v/>
      </c>
      <c r="AC16" s="20">
        <f>AC18*0.047211</f>
        <v/>
      </c>
      <c r="AD16" s="20">
        <f>AD18*0.047211</f>
        <v/>
      </c>
      <c r="AE16" s="20">
        <f>AE18*0.047211</f>
        <v/>
      </c>
      <c r="AF16" s="20">
        <f>AF18*0.047211</f>
        <v/>
      </c>
      <c r="AG16" s="20">
        <f>AG18*0.047211</f>
        <v/>
      </c>
      <c r="AH16" s="20">
        <f>AH18*0.047211</f>
        <v/>
      </c>
      <c r="AI16" s="20">
        <f>AI18*0.047211</f>
        <v/>
      </c>
      <c r="AJ16" s="20">
        <f>AJ18*0.047211</f>
        <v/>
      </c>
      <c r="AK16" s="20">
        <f>AK18*0.047211</f>
        <v/>
      </c>
      <c r="AL16" s="20">
        <f>AL18*0.047211</f>
        <v/>
      </c>
      <c r="AM16" s="20">
        <f>AM18*0.047211</f>
        <v/>
      </c>
      <c r="AN16" s="20">
        <f>AN18*0.047211</f>
        <v/>
      </c>
      <c r="AO16" s="20">
        <f>AO18*0.047211</f>
        <v/>
      </c>
      <c r="AP16" s="20">
        <f>AP18*0.047211</f>
        <v/>
      </c>
      <c r="AQ16" s="20">
        <f>AQ18*0.047211</f>
        <v/>
      </c>
      <c r="AR16" s="20">
        <f>AR18*0.047211</f>
        <v/>
      </c>
      <c r="AS16" s="20">
        <f>AS18*0.047211</f>
        <v/>
      </c>
      <c r="AT16" s="20">
        <f>AT18*0.047211</f>
        <v/>
      </c>
      <c r="AU16" s="20">
        <f>AU18*0.047211</f>
        <v/>
      </c>
      <c r="AV16" s="20">
        <f>AV18*0.047211</f>
        <v/>
      </c>
      <c r="AW16" s="20">
        <f>AW18*0.047211</f>
        <v/>
      </c>
      <c r="AX16" s="20">
        <f>AX18*0.047211</f>
        <v/>
      </c>
      <c r="AY16" s="20">
        <f>AY18*0.047211</f>
        <v/>
      </c>
      <c r="BA16" s="288">
        <f>SUM(I16:T16)</f>
        <v/>
      </c>
      <c r="BB16" s="274">
        <f>BA16/$BA$22</f>
        <v/>
      </c>
    </row>
    <row r="17">
      <c r="B17" s="33" t="inlineStr">
        <is>
          <t>403004 Other Breakage (incl MTT Breakage)</t>
        </is>
      </c>
      <c r="D17" s="19" t="n">
        <v>0</v>
      </c>
      <c r="E17" s="19" t="n">
        <v>0</v>
      </c>
      <c r="F17" s="19" t="n">
        <v>0</v>
      </c>
      <c r="G17" s="19" t="n">
        <v>47.2</v>
      </c>
      <c r="H17" s="19" t="n">
        <v>0</v>
      </c>
      <c r="I17" s="19" t="n">
        <v>1680</v>
      </c>
      <c r="J17" s="19" t="n">
        <v>2265</v>
      </c>
      <c r="K17" s="19" t="n">
        <v>7380</v>
      </c>
      <c r="L17" s="19" t="n">
        <v>0</v>
      </c>
      <c r="M17" s="19" t="n">
        <v>285.4</v>
      </c>
      <c r="N17" s="19" t="n">
        <v>3142</v>
      </c>
      <c r="O17" s="19" t="n">
        <v>4909.7</v>
      </c>
      <c r="P17" s="19" t="n">
        <v>0</v>
      </c>
      <c r="Q17" s="19" t="n">
        <v>35.4</v>
      </c>
      <c r="R17" s="19" t="n">
        <v>0</v>
      </c>
      <c r="S17" s="19" t="n">
        <v>0</v>
      </c>
      <c r="T17" s="83" t="n">
        <v>0</v>
      </c>
      <c r="U17" s="83" t="n">
        <v>0</v>
      </c>
      <c r="V17" s="83" t="n">
        <v>35.4</v>
      </c>
      <c r="W17" s="20">
        <f>W18*0.000402</f>
        <v/>
      </c>
      <c r="X17" s="20">
        <f>X18*0.000402</f>
        <v/>
      </c>
      <c r="Y17" s="20">
        <f>Y18*0.000402</f>
        <v/>
      </c>
      <c r="Z17" s="20">
        <f>Z18*0.000402</f>
        <v/>
      </c>
      <c r="AA17" s="20">
        <f>AA18*0.000402</f>
        <v/>
      </c>
      <c r="AB17" s="20">
        <f>AB18*0.000402</f>
        <v/>
      </c>
      <c r="AC17" s="20">
        <f>AC18*0.000402</f>
        <v/>
      </c>
      <c r="AD17" s="20">
        <f>AD18*0.000402</f>
        <v/>
      </c>
      <c r="AE17" s="20">
        <f>AE18*0.000402</f>
        <v/>
      </c>
      <c r="AF17" s="20">
        <f>AF18*0.000402</f>
        <v/>
      </c>
      <c r="AG17" s="20">
        <f>AG18*0.000402</f>
        <v/>
      </c>
      <c r="AH17" s="20">
        <f>AH18*0.000402</f>
        <v/>
      </c>
      <c r="AI17" s="20">
        <f>AI18*0.000402</f>
        <v/>
      </c>
      <c r="AJ17" s="20">
        <f>AJ18*0.000402</f>
        <v/>
      </c>
      <c r="AK17" s="20">
        <f>AK18*0.000402</f>
        <v/>
      </c>
      <c r="AL17" s="20">
        <f>AL18*0.000402</f>
        <v/>
      </c>
      <c r="AM17" s="20">
        <f>AM18*0.000402</f>
        <v/>
      </c>
      <c r="AN17" s="20">
        <f>AN18*0.000402</f>
        <v/>
      </c>
      <c r="AO17" s="20">
        <f>AO18*0.000402</f>
        <v/>
      </c>
      <c r="AP17" s="20">
        <f>AP18*0.000402</f>
        <v/>
      </c>
      <c r="AQ17" s="20">
        <f>AQ18*0.000402</f>
        <v/>
      </c>
      <c r="AR17" s="20">
        <f>AR18*0.000402</f>
        <v/>
      </c>
      <c r="AS17" s="20">
        <f>AS18*0.000402</f>
        <v/>
      </c>
      <c r="AT17" s="20">
        <f>AT18*0.000402</f>
        <v/>
      </c>
      <c r="AU17" s="20">
        <f>AU18*0.000402</f>
        <v/>
      </c>
      <c r="AV17" s="20">
        <f>AV18*0.000402</f>
        <v/>
      </c>
      <c r="AW17" s="20">
        <f>AW18*0.000402</f>
        <v/>
      </c>
      <c r="AX17" s="20">
        <f>AX18*0.000402</f>
        <v/>
      </c>
      <c r="AY17" s="20">
        <f>AY18*0.000402</f>
        <v/>
      </c>
      <c r="BA17" s="288">
        <f>SUM(I17:T17)</f>
        <v/>
      </c>
      <c r="BB17" s="274">
        <f>BA17/$BA$22</f>
        <v/>
      </c>
    </row>
    <row r="18">
      <c r="B18" s="32" t="inlineStr">
        <is>
          <t>Total Breakage Revenue</t>
        </is>
      </c>
      <c r="C18" s="34" t="n"/>
      <c r="D18" s="35">
        <f>SUM(D15:D17)</f>
        <v/>
      </c>
      <c r="E18" s="35">
        <f>SUM(E15:E17)</f>
        <v/>
      </c>
      <c r="F18" s="35">
        <f>SUM(F15:F17)</f>
        <v/>
      </c>
      <c r="G18" s="35">
        <f>SUM(G15:G17)</f>
        <v/>
      </c>
      <c r="H18" s="35">
        <f>SUM(H15:H17)</f>
        <v/>
      </c>
      <c r="I18" s="35">
        <f>SUM(I15:I17)</f>
        <v/>
      </c>
      <c r="J18" s="35">
        <f>SUM(J15:J17)</f>
        <v/>
      </c>
      <c r="K18" s="35">
        <f>SUM(K15:K17)</f>
        <v/>
      </c>
      <c r="L18" s="35">
        <f>SUM(L15:L17)</f>
        <v/>
      </c>
      <c r="M18" s="35">
        <f>SUM(M15:M17)</f>
        <v/>
      </c>
      <c r="N18" s="35">
        <f>SUM(N15:N17)</f>
        <v/>
      </c>
      <c r="O18" s="35">
        <f>SUM(O15:O17)</f>
        <v/>
      </c>
      <c r="P18" s="35">
        <f>P15+P16+P17</f>
        <v/>
      </c>
      <c r="Q18" s="35">
        <f>Q15+Q16+Q17</f>
        <v/>
      </c>
      <c r="R18" s="35">
        <f>R15+R16+R17</f>
        <v/>
      </c>
      <c r="S18" s="35">
        <f>S15+S16+S17</f>
        <v/>
      </c>
      <c r="T18" s="84">
        <f>T15+T16+T17</f>
        <v/>
      </c>
      <c r="U18" s="84">
        <f>U15+U16+U17</f>
        <v/>
      </c>
      <c r="V18" s="84">
        <f>V15+V16+V17</f>
        <v/>
      </c>
      <c r="W18" s="17">
        <f>'Sales Forecast'!W6*Assumptions!$C$13+'Sales Forecast'!V6*Assumptions!$D$13+'Sales Forecast'!U6*Assumptions!$E$13+'Sales Forecast'!T6*Assumptions!$F$13+'Sales Forecast'!S6*Assumptions!$G$13+'Sales Forecast'!R6*Assumptions!$H$13+'Sales Forecast'!Q6*Assumptions!$I$13</f>
        <v/>
      </c>
      <c r="X18" s="17">
        <f>'Sales Forecast'!X6*Assumptions!$C$13+'Sales Forecast'!W6*Assumptions!$D$13+'Sales Forecast'!V6*Assumptions!$E$13+'Sales Forecast'!U6*Assumptions!$F$13+'Sales Forecast'!T6*Assumptions!$G$13+'Sales Forecast'!S6*Assumptions!$H$13+'Sales Forecast'!R6*Assumptions!$I$13</f>
        <v/>
      </c>
      <c r="Y18" s="17">
        <f>'Sales Forecast'!Y6*Assumptions!$C$13+'Sales Forecast'!X6*Assumptions!$D$13+'Sales Forecast'!W6*Assumptions!$E$13+'Sales Forecast'!V6*Assumptions!$F$13+'Sales Forecast'!U6*Assumptions!$G$13+'Sales Forecast'!T6*Assumptions!$H$13+'Sales Forecast'!S6*Assumptions!$I$13</f>
        <v/>
      </c>
      <c r="Z18" s="17">
        <f>'Sales Forecast'!Z6*Assumptions!$C$13+'Sales Forecast'!Y6*Assumptions!$D$13+'Sales Forecast'!X6*Assumptions!$E$13+'Sales Forecast'!W6*Assumptions!$F$13+'Sales Forecast'!V6*Assumptions!$G$13+'Sales Forecast'!U6*Assumptions!$H$13+'Sales Forecast'!T6*Assumptions!$I$13</f>
        <v/>
      </c>
      <c r="AA18" s="17">
        <f>'Sales Forecast'!AA6*Assumptions!$C$13+'Sales Forecast'!Z6*Assumptions!$D$13+'Sales Forecast'!Y6*Assumptions!$E$13+'Sales Forecast'!X6*Assumptions!$F$13+'Sales Forecast'!W6*Assumptions!$G$13+'Sales Forecast'!V6*Assumptions!$H$13+'Sales Forecast'!U6*Assumptions!$I$13</f>
        <v/>
      </c>
      <c r="AB18" s="17">
        <f>'Sales Forecast'!AB6*Assumptions!$C$13+'Sales Forecast'!AA6*Assumptions!$D$13+'Sales Forecast'!Z6*Assumptions!$E$13+'Sales Forecast'!Y6*Assumptions!$F$13+'Sales Forecast'!X6*Assumptions!$G$13+'Sales Forecast'!W6*Assumptions!$H$13+'Sales Forecast'!V6*Assumptions!$I$13</f>
        <v/>
      </c>
      <c r="AC18" s="17">
        <f>'Sales Forecast'!AC6*Assumptions!$C$13+'Sales Forecast'!AB6*Assumptions!$D$13+'Sales Forecast'!AA6*Assumptions!$E$13+'Sales Forecast'!Z6*Assumptions!$F$13+'Sales Forecast'!Y6*Assumptions!$G$13+'Sales Forecast'!X6*Assumptions!$H$13+'Sales Forecast'!W6*Assumptions!$I$13</f>
        <v/>
      </c>
      <c r="AD18" s="17">
        <f>'Sales Forecast'!AD6*Assumptions!$C$13+'Sales Forecast'!AC6*Assumptions!$D$13+'Sales Forecast'!AB6*Assumptions!$E$13+'Sales Forecast'!AA6*Assumptions!$F$13+'Sales Forecast'!Z6*Assumptions!$G$13+'Sales Forecast'!Y6*Assumptions!$H$13+'Sales Forecast'!X6*Assumptions!$I$13</f>
        <v/>
      </c>
      <c r="AE18" s="17">
        <f>'Sales Forecast'!AE6*Assumptions!$C$13+'Sales Forecast'!AD6*Assumptions!$D$13+'Sales Forecast'!AC6*Assumptions!$E$13+'Sales Forecast'!AB6*Assumptions!$F$13+'Sales Forecast'!AA6*Assumptions!$G$13+'Sales Forecast'!Z6*Assumptions!$H$13+'Sales Forecast'!Y6*Assumptions!$I$13</f>
        <v/>
      </c>
      <c r="AF18" s="17">
        <f>'Sales Forecast'!AF6*Assumptions!$C$13+'Sales Forecast'!AE6*Assumptions!$D$13+'Sales Forecast'!AD6*Assumptions!$E$13+'Sales Forecast'!AC6*Assumptions!$F$13+'Sales Forecast'!AB6*Assumptions!$G$13+'Sales Forecast'!AA6*Assumptions!$H$13+'Sales Forecast'!Z6*Assumptions!$I$13</f>
        <v/>
      </c>
      <c r="AG18" s="17">
        <f>'Sales Forecast'!AG6*Assumptions!$C$13+'Sales Forecast'!AF6*Assumptions!$D$13+'Sales Forecast'!AE6*Assumptions!$E$13+'Sales Forecast'!AD6*Assumptions!$F$13+'Sales Forecast'!AC6*Assumptions!$G$13+'Sales Forecast'!AB6*Assumptions!$H$13+'Sales Forecast'!AA6*Assumptions!$I$13</f>
        <v/>
      </c>
      <c r="AH18" s="17">
        <f>'Sales Forecast'!AH6*Assumptions!$C$13+'Sales Forecast'!AG6*Assumptions!$D$13+'Sales Forecast'!AF6*Assumptions!$E$13+'Sales Forecast'!AE6*Assumptions!$F$13+'Sales Forecast'!AD6*Assumptions!$G$13+'Sales Forecast'!AC6*Assumptions!$H$13+'Sales Forecast'!AB6*Assumptions!$I$13</f>
        <v/>
      </c>
      <c r="AI18" s="17">
        <f>'Sales Forecast'!AI6*Assumptions!$C$13+'Sales Forecast'!AH6*Assumptions!$D$13+'Sales Forecast'!AG6*Assumptions!$E$13+'Sales Forecast'!AF6*Assumptions!$F$13+'Sales Forecast'!AE6*Assumptions!$G$13+'Sales Forecast'!AD6*Assumptions!$H$13+'Sales Forecast'!AC6*Assumptions!$I$13</f>
        <v/>
      </c>
      <c r="AJ18" s="17">
        <f>'Sales Forecast'!AJ6*Assumptions!$C$13+'Sales Forecast'!AI6*Assumptions!$D$13+'Sales Forecast'!AH6*Assumptions!$E$13+'Sales Forecast'!AG6*Assumptions!$F$13+'Sales Forecast'!AF6*Assumptions!$G$13+'Sales Forecast'!AE6*Assumptions!$H$13+'Sales Forecast'!AD6*Assumptions!$I$13</f>
        <v/>
      </c>
      <c r="AK18" s="17">
        <f>'Sales Forecast'!AK6*Assumptions!$C$13+'Sales Forecast'!AJ6*Assumptions!$D$13+'Sales Forecast'!AI6*Assumptions!$E$13+'Sales Forecast'!AH6*Assumptions!$F$13+'Sales Forecast'!AG6*Assumptions!$G$13+'Sales Forecast'!AF6*Assumptions!$H$13+'Sales Forecast'!AE6*Assumptions!$I$13</f>
        <v/>
      </c>
      <c r="AL18" s="17">
        <f>'Sales Forecast'!AL6*Assumptions!$C$13+'Sales Forecast'!AK6*Assumptions!$D$13+'Sales Forecast'!AJ6*Assumptions!$E$13+'Sales Forecast'!AI6*Assumptions!$F$13+'Sales Forecast'!AH6*Assumptions!$G$13+'Sales Forecast'!AG6*Assumptions!$H$13+'Sales Forecast'!AF6*Assumptions!$I$13</f>
        <v/>
      </c>
      <c r="AM18" s="17">
        <f>'Sales Forecast'!AM6*Assumptions!$C$13+'Sales Forecast'!AL6*Assumptions!$D$13+'Sales Forecast'!AK6*Assumptions!$E$13+'Sales Forecast'!AJ6*Assumptions!$F$13+'Sales Forecast'!AI6*Assumptions!$G$13+'Sales Forecast'!AH6*Assumptions!$H$13+'Sales Forecast'!AG6*Assumptions!$I$13</f>
        <v/>
      </c>
      <c r="AN18" s="17">
        <f>'Sales Forecast'!AN6*Assumptions!$C$13+'Sales Forecast'!AM6*Assumptions!$D$13+'Sales Forecast'!AL6*Assumptions!$E$13+'Sales Forecast'!AK6*Assumptions!$F$13+'Sales Forecast'!AJ6*Assumptions!$G$13+'Sales Forecast'!AI6*Assumptions!$H$13+'Sales Forecast'!AH6*Assumptions!$I$13</f>
        <v/>
      </c>
      <c r="AO18" s="17">
        <f>'Sales Forecast'!AO6*Assumptions!$C$13+'Sales Forecast'!AN6*Assumptions!$D$13+'Sales Forecast'!AM6*Assumptions!$E$13+'Sales Forecast'!AL6*Assumptions!$F$13+'Sales Forecast'!AK6*Assumptions!$G$13+'Sales Forecast'!AJ6*Assumptions!$H$13+'Sales Forecast'!AI6*Assumptions!$I$13</f>
        <v/>
      </c>
      <c r="AP18" s="17">
        <f>'Sales Forecast'!AP6*Assumptions!$C$13+'Sales Forecast'!AO6*Assumptions!$D$13+'Sales Forecast'!AN6*Assumptions!$E$13+'Sales Forecast'!AM6*Assumptions!$F$13+'Sales Forecast'!AL6*Assumptions!$G$13+'Sales Forecast'!AK6*Assumptions!$H$13+'Sales Forecast'!AJ6*Assumptions!$I$13</f>
        <v/>
      </c>
      <c r="AQ18" s="17">
        <f>'Sales Forecast'!AQ6*Assumptions!$C$13+'Sales Forecast'!AP6*Assumptions!$D$13+'Sales Forecast'!AO6*Assumptions!$E$13+'Sales Forecast'!AN6*Assumptions!$F$13+'Sales Forecast'!AM6*Assumptions!$G$13+'Sales Forecast'!AL6*Assumptions!$H$13+'Sales Forecast'!AK6*Assumptions!$I$13</f>
        <v/>
      </c>
      <c r="AR18" s="17">
        <f>'Sales Forecast'!AR6*Assumptions!$C$13+'Sales Forecast'!AQ6*Assumptions!$D$13+'Sales Forecast'!AP6*Assumptions!$E$13+'Sales Forecast'!AO6*Assumptions!$F$13+'Sales Forecast'!AN6*Assumptions!$G$13+'Sales Forecast'!AM6*Assumptions!$H$13+'Sales Forecast'!AL6*Assumptions!$I$13</f>
        <v/>
      </c>
      <c r="AS18" s="17">
        <f>'Sales Forecast'!AS6*Assumptions!$C$13+'Sales Forecast'!AR6*Assumptions!$D$13+'Sales Forecast'!AQ6*Assumptions!$E$13+'Sales Forecast'!AP6*Assumptions!$F$13+'Sales Forecast'!AO6*Assumptions!$G$13+'Sales Forecast'!AN6*Assumptions!$H$13+'Sales Forecast'!AM6*Assumptions!$I$13</f>
        <v/>
      </c>
      <c r="AT18" s="17">
        <f>'Sales Forecast'!AT6*Assumptions!$C$13+'Sales Forecast'!AS6*Assumptions!$D$13+'Sales Forecast'!AR6*Assumptions!$E$13+'Sales Forecast'!AQ6*Assumptions!$F$13+'Sales Forecast'!AP6*Assumptions!$G$13+'Sales Forecast'!AO6*Assumptions!$H$13+'Sales Forecast'!AN6*Assumptions!$I$13</f>
        <v/>
      </c>
      <c r="AU18" s="17">
        <f>'Sales Forecast'!AU6*Assumptions!$C$13+'Sales Forecast'!AT6*Assumptions!$D$13+'Sales Forecast'!AS6*Assumptions!$E$13+'Sales Forecast'!AR6*Assumptions!$F$13+'Sales Forecast'!AQ6*Assumptions!$G$13+'Sales Forecast'!AP6*Assumptions!$H$13+'Sales Forecast'!AO6*Assumptions!$I$13</f>
        <v/>
      </c>
      <c r="AV18" s="17">
        <f>'Sales Forecast'!AV6*Assumptions!$C$13+'Sales Forecast'!AU6*Assumptions!$D$13+'Sales Forecast'!AT6*Assumptions!$E$13+'Sales Forecast'!AS6*Assumptions!$F$13+'Sales Forecast'!AR6*Assumptions!$G$13+'Sales Forecast'!AQ6*Assumptions!$H$13+'Sales Forecast'!AP6*Assumptions!$I$13</f>
        <v/>
      </c>
      <c r="AW18" s="17">
        <f>'Sales Forecast'!AW6*Assumptions!$C$13+'Sales Forecast'!AV6*Assumptions!$D$13+'Sales Forecast'!AU6*Assumptions!$E$13+'Sales Forecast'!AT6*Assumptions!$F$13+'Sales Forecast'!AS6*Assumptions!$G$13+'Sales Forecast'!AR6*Assumptions!$H$13+'Sales Forecast'!AQ6*Assumptions!$I$13</f>
        <v/>
      </c>
      <c r="AX18" s="17">
        <f>'Sales Forecast'!AX6*Assumptions!$C$13+'Sales Forecast'!AW6*Assumptions!$D$13+'Sales Forecast'!AV6*Assumptions!$E$13+'Sales Forecast'!AU6*Assumptions!$F$13+'Sales Forecast'!AT6*Assumptions!$G$13+'Sales Forecast'!AS6*Assumptions!$H$13+'Sales Forecast'!AR6*Assumptions!$I$13</f>
        <v/>
      </c>
      <c r="AY18" s="17">
        <f>'Sales Forecast'!AY6*Assumptions!$C$13+'Sales Forecast'!AX6*Assumptions!$D$13+'Sales Forecast'!AW6*Assumptions!$E$13+'Sales Forecast'!AV6*Assumptions!$F$13+'Sales Forecast'!AU6*Assumptions!$G$13+'Sales Forecast'!AT6*Assumptions!$H$13+'Sales Forecast'!AS6*Assumptions!$I$13</f>
        <v/>
      </c>
      <c r="BA18" s="288" t="n"/>
    </row>
    <row r="19">
      <c r="B19" s="33" t="inlineStr">
        <is>
          <t xml:space="preserve">  404000 Retail Sales</t>
        </is>
      </c>
      <c r="D19" s="19" t="n">
        <v>3473</v>
      </c>
      <c r="E19" s="19" t="n">
        <v>2711</v>
      </c>
      <c r="F19" s="19" t="n">
        <v>2259</v>
      </c>
      <c r="G19" s="19" t="n">
        <v>2631</v>
      </c>
      <c r="H19" s="19" t="n">
        <v>2405</v>
      </c>
      <c r="I19" s="19" t="n">
        <v>4161</v>
      </c>
      <c r="J19" s="19" t="n">
        <v>2652</v>
      </c>
      <c r="K19" s="19" t="n">
        <v>2867</v>
      </c>
      <c r="L19" s="19" t="n">
        <v>2571</v>
      </c>
      <c r="M19" s="19" t="n">
        <v>1868</v>
      </c>
      <c r="N19" s="19" t="n">
        <v>1688</v>
      </c>
      <c r="O19" s="19" t="n">
        <v>2220</v>
      </c>
      <c r="P19" s="19" t="n">
        <v>2152</v>
      </c>
      <c r="Q19" s="19" t="n">
        <v>1414</v>
      </c>
      <c r="R19" s="19" t="n">
        <v>1104</v>
      </c>
      <c r="S19" s="19" t="n">
        <v>2254</v>
      </c>
      <c r="T19" s="83" t="n">
        <v>2098</v>
      </c>
      <c r="U19" s="83" t="n">
        <v>2408</v>
      </c>
      <c r="V19" s="83" t="n">
        <v>1855</v>
      </c>
      <c r="W19" s="20">
        <f>1731</f>
        <v/>
      </c>
      <c r="X19" s="20">
        <f>1731</f>
        <v/>
      </c>
      <c r="Y19" s="20">
        <f>1731</f>
        <v/>
      </c>
      <c r="Z19" s="20">
        <f>1731</f>
        <v/>
      </c>
      <c r="AA19" s="20">
        <f>1731</f>
        <v/>
      </c>
      <c r="AB19" s="20">
        <f>1731</f>
        <v/>
      </c>
      <c r="AC19" s="20">
        <f>1731</f>
        <v/>
      </c>
      <c r="AD19" s="20">
        <f>1731</f>
        <v/>
      </c>
      <c r="AE19" s="20">
        <f>1731</f>
        <v/>
      </c>
      <c r="AF19" s="20">
        <f>1731</f>
        <v/>
      </c>
      <c r="AG19" s="20">
        <f>1731</f>
        <v/>
      </c>
      <c r="AH19" s="20">
        <f>1731</f>
        <v/>
      </c>
      <c r="AI19" s="20">
        <f>1731</f>
        <v/>
      </c>
      <c r="AJ19" s="20">
        <f>1731</f>
        <v/>
      </c>
      <c r="AK19" s="20">
        <f>1731</f>
        <v/>
      </c>
      <c r="AL19" s="20">
        <f>1731</f>
        <v/>
      </c>
      <c r="AM19" s="20">
        <f>1731</f>
        <v/>
      </c>
      <c r="AN19" s="20">
        <f>1731</f>
        <v/>
      </c>
      <c r="AO19" s="20">
        <f>1731</f>
        <v/>
      </c>
      <c r="AP19" s="20">
        <f>1731</f>
        <v/>
      </c>
      <c r="AQ19" s="20">
        <f>1731</f>
        <v/>
      </c>
      <c r="AR19" s="20">
        <f>1731</f>
        <v/>
      </c>
      <c r="AS19" s="20">
        <f>1731</f>
        <v/>
      </c>
      <c r="AT19" s="20">
        <f>1731</f>
        <v/>
      </c>
      <c r="AU19" s="20">
        <f>1731</f>
        <v/>
      </c>
      <c r="AV19" s="20">
        <f>1731</f>
        <v/>
      </c>
      <c r="AW19" s="20">
        <f>1731</f>
        <v/>
      </c>
      <c r="AX19" s="20">
        <f>1731</f>
        <v/>
      </c>
      <c r="AY19" s="20">
        <f>1731</f>
        <v/>
      </c>
      <c r="BA19" s="288">
        <f>SUM(I19:T19)</f>
        <v/>
      </c>
      <c r="BB19" s="274">
        <f>BA19/$BA$22</f>
        <v/>
      </c>
    </row>
    <row r="20">
      <c r="B20" s="33" t="inlineStr">
        <is>
          <t xml:space="preserve">  406000 Refunds</t>
        </is>
      </c>
      <c r="D20" s="19" t="n">
        <v>-3038</v>
      </c>
      <c r="E20" s="19" t="n">
        <v>-3570</v>
      </c>
      <c r="F20" s="19" t="n">
        <v>-4134</v>
      </c>
      <c r="G20" s="19" t="n">
        <v>-6153</v>
      </c>
      <c r="H20" s="19" t="n">
        <v>-2902</v>
      </c>
      <c r="I20" s="19" t="n">
        <v>-1475.01</v>
      </c>
      <c r="J20" s="19" t="n">
        <v>-1196</v>
      </c>
      <c r="K20" s="19" t="n">
        <v>-914.01</v>
      </c>
      <c r="L20" s="19" t="n">
        <v>-1970</v>
      </c>
      <c r="M20" s="19" t="n">
        <v>-1215</v>
      </c>
      <c r="N20" s="19" t="n">
        <v>-1510</v>
      </c>
      <c r="O20" s="19" t="n">
        <v>-3423</v>
      </c>
      <c r="P20" s="19" t="n">
        <v>-3600</v>
      </c>
      <c r="Q20" s="19" t="n">
        <v>-1510</v>
      </c>
      <c r="R20" s="19" t="n">
        <v>-2088</v>
      </c>
      <c r="S20" s="19" t="n">
        <v>-3980</v>
      </c>
      <c r="T20" s="19" t="n">
        <v>-1700</v>
      </c>
      <c r="U20" s="19" t="n">
        <v>-2083</v>
      </c>
      <c r="V20" s="19" t="n">
        <v>-2563</v>
      </c>
      <c r="W20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Forecast'!Q6*Assumptions!$I$13+1731)*Assumptions!$C$17</f>
        <v/>
      </c>
      <c r="X20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Forecast'!R6*Assumptions!$I$13+1731)*Assumptions!$C$17</f>
        <v/>
      </c>
      <c r="Y20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Forecast'!S6*Assumptions!$I$13+1731)*Assumptions!$C$17</f>
        <v/>
      </c>
      <c r="Z20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Forecast'!T6*Assumptions!$I$13+1731)*Assumptions!$C$17</f>
        <v/>
      </c>
      <c r="AA20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Forecast'!U6*Assumptions!$I$13+1731)*Assumptions!$C$17</f>
        <v/>
      </c>
      <c r="AB20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Forecast'!V6*Assumptions!$I$13+1731)*Assumptions!$C$17</f>
        <v/>
      </c>
      <c r="AC20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Forecast'!W6*Assumptions!$I$13+1731)*Assumptions!$C$17</f>
        <v/>
      </c>
      <c r="AD20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Forecast'!X6*Assumptions!$I$13+1731)*Assumptions!$C$17</f>
        <v/>
      </c>
      <c r="AE20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Forecast'!Y6*Assumptions!$I$13+1731)*Assumptions!$C$17</f>
        <v/>
      </c>
      <c r="AF20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Forecast'!Z6*Assumptions!$I$13+1731)*Assumptions!$C$17</f>
        <v/>
      </c>
      <c r="AG20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Forecast'!AA6*Assumptions!$I$13+1731)*Assumptions!$C$17</f>
        <v/>
      </c>
      <c r="AH20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Forecast'!AB6*Assumptions!$I$13+1731)*Assumptions!$C$17</f>
        <v/>
      </c>
      <c r="AI20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Forecast'!AC6*Assumptions!$I$13+1731)*Assumptions!$C$17</f>
        <v/>
      </c>
      <c r="AJ20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Forecast'!AD6*Assumptions!$I$13+1731)*Assumptions!$C$17</f>
        <v/>
      </c>
      <c r="AK20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Forecast'!AE6*Assumptions!$I$13+1731)*Assumptions!$C$17</f>
        <v/>
      </c>
      <c r="AL20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Forecast'!AF6*Assumptions!$I$13+1731)*Assumptions!$C$17</f>
        <v/>
      </c>
      <c r="AM20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Forecast'!AG6*Assumptions!$I$13+1731)*Assumptions!$C$17</f>
        <v/>
      </c>
      <c r="AN20" s="20">
        <f>('Sales Forecast'!AN6*Assumptions!$C$12+'Sales Forecast'!AM6*Assumptions!$D$12+'Sales Forecast'!AL6*Assumptions!$E$12+'Sales Forecast'!AK6*Assumptions!$F$12+'Sales Forecast'!AJ6*Assumptions!$G$12+'Sales Forecast'!AI6*Assumptions!$H$12+'Sales Forecast'!AH6*Assumptions!$I$12+'Sales Forecast'!AN6*Assumptions!$C$13+'Sales Forecast'!AM6*Assumptions!$D$13+'Sales Forecast'!AL6*Assumptions!$E$13+'Sales Forecast'!AK6*Assumptions!$F$13+'Sales Forecast'!AJ6*Assumptions!$G$13+'Sales Forecast'!AI6*Assumptions!$H$13+'Sales Forecast'!AH6*Assumptions!$I$13+1731)*Assumptions!$C$17</f>
        <v/>
      </c>
      <c r="AO20" s="20">
        <f>('Sales Forecast'!AO6*Assumptions!$C$12+'Sales Forecast'!AN6*Assumptions!$D$12+'Sales Forecast'!AM6*Assumptions!$E$12+'Sales Forecast'!AL6*Assumptions!$F$12+'Sales Forecast'!AK6*Assumptions!$G$12+'Sales Forecast'!AJ6*Assumptions!$H$12+'Sales Forecast'!AI6*Assumptions!$I$12+'Sales Forecast'!AO6*Assumptions!$C$13+'Sales Forecast'!AN6*Assumptions!$D$13+'Sales Forecast'!AM6*Assumptions!$E$13+'Sales Forecast'!AL6*Assumptions!$F$13+'Sales Forecast'!AK6*Assumptions!$G$13+'Sales Forecast'!AJ6*Assumptions!$H$13+'Sales Forecast'!AI6*Assumptions!$I$13+1731)*Assumptions!$C$17</f>
        <v/>
      </c>
      <c r="AP20" s="20">
        <f>('Sales Forecast'!AP6*Assumptions!$C$12+'Sales Forecast'!AO6*Assumptions!$D$12+'Sales Forecast'!AN6*Assumptions!$E$12+'Sales Forecast'!AM6*Assumptions!$F$12+'Sales Forecast'!AL6*Assumptions!$G$12+'Sales Forecast'!AK6*Assumptions!$H$12+'Sales Forecast'!AJ6*Assumptions!$I$12+'Sales Forecast'!AP6*Assumptions!$C$13+'Sales Forecast'!AO6*Assumptions!$D$13+'Sales Forecast'!AN6*Assumptions!$E$13+'Sales Forecast'!AM6*Assumptions!$F$13+'Sales Forecast'!AL6*Assumptions!$G$13+'Sales Forecast'!AK6*Assumptions!$H$13+'Sales Forecast'!AJ6*Assumptions!$I$13+1731)*Assumptions!$C$17</f>
        <v/>
      </c>
      <c r="AQ20" s="20">
        <f>('Sales Forecast'!AQ6*Assumptions!$C$12+'Sales Forecast'!AP6*Assumptions!$D$12+'Sales Forecast'!AO6*Assumptions!$E$12+'Sales Forecast'!AN6*Assumptions!$F$12+'Sales Forecast'!AM6*Assumptions!$G$12+'Sales Forecast'!AL6*Assumptions!$H$12+'Sales Forecast'!AK6*Assumptions!$I$12+'Sales Forecast'!AQ6*Assumptions!$C$13+'Sales Forecast'!AP6*Assumptions!$D$13+'Sales Forecast'!AO6*Assumptions!$E$13+'Sales Forecast'!AN6*Assumptions!$F$13+'Sales Forecast'!AM6*Assumptions!$G$13+'Sales Forecast'!AL6*Assumptions!$H$13+'Sales Forecast'!AK6*Assumptions!$I$13+1731)*Assumptions!$C$17</f>
        <v/>
      </c>
      <c r="AR20" s="20">
        <f>('Sales Forecast'!AR6*Assumptions!$C$12+'Sales Forecast'!AQ6*Assumptions!$D$12+'Sales Forecast'!AP6*Assumptions!$E$12+'Sales Forecast'!AO6*Assumptions!$F$12+'Sales Forecast'!AN6*Assumptions!$G$12+'Sales Forecast'!AM6*Assumptions!$H$12+'Sales Forecast'!AL6*Assumptions!$I$12+'Sales Forecast'!AR6*Assumptions!$C$13+'Sales Forecast'!AQ6*Assumptions!$D$13+'Sales Forecast'!AP6*Assumptions!$E$13+'Sales Forecast'!AO6*Assumptions!$F$13+'Sales Forecast'!AN6*Assumptions!$G$13+'Sales Forecast'!AM6*Assumptions!$H$13+'Sales Forecast'!AL6*Assumptions!$I$13+1731)*Assumptions!$C$17</f>
        <v/>
      </c>
      <c r="AS20" s="20">
        <f>('Sales Forecast'!AS6*Assumptions!$C$12+'Sales Forecast'!AR6*Assumptions!$D$12+'Sales Forecast'!AQ6*Assumptions!$E$12+'Sales Forecast'!AP6*Assumptions!$F$12+'Sales Forecast'!AO6*Assumptions!$G$12+'Sales Forecast'!AN6*Assumptions!$H$12+'Sales Forecast'!AM6*Assumptions!$I$12+'Sales Forecast'!AS6*Assumptions!$C$13+'Sales Forecast'!AR6*Assumptions!$D$13+'Sales Forecast'!AQ6*Assumptions!$E$13+'Sales Forecast'!AP6*Assumptions!$F$13+'Sales Forecast'!AO6*Assumptions!$G$13+'Sales Forecast'!AN6*Assumptions!$H$13+'Sales Forecast'!AM6*Assumptions!$I$13+1731)*Assumptions!$C$17</f>
        <v/>
      </c>
      <c r="AT20" s="20">
        <f>('Sales Forecast'!AT6*Assumptions!$C$12+'Sales Forecast'!AS6*Assumptions!$D$12+'Sales Forecast'!AR6*Assumptions!$E$12+'Sales Forecast'!AQ6*Assumptions!$F$12+'Sales Forecast'!AP6*Assumptions!$G$12+'Sales Forecast'!AO6*Assumptions!$H$12+'Sales Forecast'!AN6*Assumptions!$I$12+'Sales Forecast'!AT6*Assumptions!$C$13+'Sales Forecast'!AS6*Assumptions!$D$13+'Sales Forecast'!AR6*Assumptions!$E$13+'Sales Forecast'!AQ6*Assumptions!$F$13+'Sales Forecast'!AP6*Assumptions!$G$13+'Sales Forecast'!AO6*Assumptions!$H$13+'Sales Forecast'!AN6*Assumptions!$I$13+1731)*Assumptions!$C$17</f>
        <v/>
      </c>
      <c r="AU20" s="20">
        <f>('Sales Forecast'!AU6*Assumptions!$C$12+'Sales Forecast'!AT6*Assumptions!$D$12+'Sales Forecast'!AS6*Assumptions!$E$12+'Sales Forecast'!AR6*Assumptions!$F$12+'Sales Forecast'!AQ6*Assumptions!$G$12+'Sales Forecast'!AP6*Assumptions!$H$12+'Sales Forecast'!AO6*Assumptions!$I$12+'Sales Forecast'!AU6*Assumptions!$C$13+'Sales Forecast'!AT6*Assumptions!$D$13+'Sales Forecast'!AS6*Assumptions!$E$13+'Sales Forecast'!AR6*Assumptions!$F$13+'Sales Forecast'!AQ6*Assumptions!$G$13+'Sales Forecast'!AP6*Assumptions!$H$13+'Sales Forecast'!AO6*Assumptions!$I$13+1731)*Assumptions!$C$17</f>
        <v/>
      </c>
      <c r="AV20" s="20">
        <f>('Sales Forecast'!AV6*Assumptions!$C$12+'Sales Forecast'!AU6*Assumptions!$D$12+'Sales Forecast'!AT6*Assumptions!$E$12+'Sales Forecast'!AS6*Assumptions!$F$12+'Sales Forecast'!AR6*Assumptions!$G$12+'Sales Forecast'!AQ6*Assumptions!$H$12+'Sales Forecast'!AP6*Assumptions!$I$12+'Sales Forecast'!AV6*Assumptions!$C$13+'Sales Forecast'!AU6*Assumptions!$D$13+'Sales Forecast'!AT6*Assumptions!$E$13+'Sales Forecast'!AS6*Assumptions!$F$13+'Sales Forecast'!AR6*Assumptions!$G$13+'Sales Forecast'!AQ6*Assumptions!$H$13+'Sales Forecast'!AP6*Assumptions!$I$13+1731)*Assumptions!$C$17</f>
        <v/>
      </c>
      <c r="AW20" s="20">
        <f>('Sales Forecast'!AW6*Assumptions!$C$12+'Sales Forecast'!AV6*Assumptions!$D$12+'Sales Forecast'!AU6*Assumptions!$E$12+'Sales Forecast'!AT6*Assumptions!$F$12+'Sales Forecast'!AS6*Assumptions!$G$12+'Sales Forecast'!AR6*Assumptions!$H$12+'Sales Forecast'!AQ6*Assumptions!$I$12+'Sales Forecast'!AW6*Assumptions!$C$13+'Sales Forecast'!AV6*Assumptions!$D$13+'Sales Forecast'!AU6*Assumptions!$E$13+'Sales Forecast'!AT6*Assumptions!$F$13+'Sales Forecast'!AS6*Assumptions!$G$13+'Sales Forecast'!AR6*Assumptions!$H$13+'Sales Forecast'!AQ6*Assumptions!$I$13+1731)*Assumptions!$C$17</f>
        <v/>
      </c>
      <c r="AX20" s="20">
        <f>('Sales Forecast'!AX6*Assumptions!$C$12+'Sales Forecast'!AW6*Assumptions!$D$12+'Sales Forecast'!AV6*Assumptions!$E$12+'Sales Forecast'!AU6*Assumptions!$F$12+'Sales Forecast'!AT6*Assumptions!$G$12+'Sales Forecast'!AS6*Assumptions!$H$12+'Sales Forecast'!AR6*Assumptions!$I$12+'Sales Forecast'!AX6*Assumptions!$C$13+'Sales Forecast'!AW6*Assumptions!$D$13+'Sales Forecast'!AV6*Assumptions!$E$13+'Sales Forecast'!AU6*Assumptions!$F$13+'Sales Forecast'!AT6*Assumptions!$G$13+'Sales Forecast'!AS6*Assumptions!$H$13+'Sales Forecast'!AR6*Assumptions!$I$13+1731)*Assumptions!$C$17</f>
        <v/>
      </c>
      <c r="AY20" s="20">
        <f>('Sales Forecast'!AY6*Assumptions!$C$12+'Sales Forecast'!AX6*Assumptions!$D$12+'Sales Forecast'!AW6*Assumptions!$E$12+'Sales Forecast'!AV6*Assumptions!$F$12+'Sales Forecast'!AU6*Assumptions!$G$12+'Sales Forecast'!AT6*Assumptions!$H$12+'Sales Forecast'!AS6*Assumptions!$I$12+'Sales Forecast'!AY6*Assumptions!$C$13+'Sales Forecast'!AX6*Assumptions!$D$13+'Sales Forecast'!AW6*Assumptions!$E$13+'Sales Forecast'!AV6*Assumptions!$F$13+'Sales Forecast'!AU6*Assumptions!$G$13+'Sales Forecast'!AT6*Assumptions!$H$13+'Sales Forecast'!AS6*Assumptions!$I$13+1731)*Assumptions!$C$17</f>
        <v/>
      </c>
      <c r="BA20" s="288">
        <f>SUM(I20:T20)</f>
        <v/>
      </c>
      <c r="BB20" s="274">
        <f>BA20/$BA$22</f>
        <v/>
      </c>
    </row>
    <row r="21">
      <c r="B21" s="33" t="inlineStr">
        <is>
          <t xml:space="preserve">  407000 Discounts</t>
        </is>
      </c>
      <c r="D21" s="19" t="n">
        <v>-7378.7</v>
      </c>
      <c r="E21" s="19" t="n">
        <v>-4533.12</v>
      </c>
      <c r="F21" s="19" t="n">
        <v>-6389.54</v>
      </c>
      <c r="G21" s="19" t="n">
        <v>-5172.1</v>
      </c>
      <c r="H21" s="19" t="n">
        <v>-5087.8</v>
      </c>
      <c r="I21" s="19" t="n">
        <v>-7287.54</v>
      </c>
      <c r="J21" s="19" t="n">
        <v>-3691.2</v>
      </c>
      <c r="K21" s="19" t="n">
        <v>-5800.96</v>
      </c>
      <c r="L21" s="19" t="n">
        <v>-3071.62</v>
      </c>
      <c r="M21" s="19" t="n">
        <v>-3528.96</v>
      </c>
      <c r="N21" s="19" t="n">
        <v>-3664.12</v>
      </c>
      <c r="O21" s="19" t="n">
        <v>-2720.3</v>
      </c>
      <c r="P21" s="19" t="n">
        <v>-7048.4</v>
      </c>
      <c r="Q21" s="19" t="n">
        <v>-3527.26</v>
      </c>
      <c r="R21" s="19" t="n">
        <v>-2111.8</v>
      </c>
      <c r="S21" s="19" t="n">
        <v>-4735.7</v>
      </c>
      <c r="T21" s="19" t="n">
        <v>-2292.2</v>
      </c>
      <c r="U21" s="19" t="n">
        <v>-2914.6</v>
      </c>
      <c r="V21" s="19" t="n">
        <v>-946.2</v>
      </c>
      <c r="W21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Forecast'!Q6*Assumptions!$I$13+1731)*Assumptions!$C$18</f>
        <v/>
      </c>
      <c r="X21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Forecast'!R6*Assumptions!$I$13+1731)*Assumptions!$C$18</f>
        <v/>
      </c>
      <c r="Y21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Forecast'!S6*Assumptions!$I$13+1731)*Assumptions!$C$18</f>
        <v/>
      </c>
      <c r="Z21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Forecast'!T6*Assumptions!$I$13+1731)*Assumptions!$C$18</f>
        <v/>
      </c>
      <c r="AA21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Forecast'!U6*Assumptions!$I$13+1731)*Assumptions!$C$18</f>
        <v/>
      </c>
      <c r="AB21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Forecast'!V6*Assumptions!$I$13+1731)*Assumptions!$C$18</f>
        <v/>
      </c>
      <c r="AC21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Forecast'!W6*Assumptions!$I$13+1731)*Assumptions!$C$18</f>
        <v/>
      </c>
      <c r="AD21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Forecast'!X6*Assumptions!$I$13+1731)*Assumptions!$C$18</f>
        <v/>
      </c>
      <c r="AE21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Forecast'!Y6*Assumptions!$I$13+1731)*Assumptions!$C$18</f>
        <v/>
      </c>
      <c r="AF21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Forecast'!Z6*Assumptions!$I$13+1731)*Assumptions!$C$18</f>
        <v/>
      </c>
      <c r="AG21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Forecast'!AA6*Assumptions!$I$13+1731)*Assumptions!$C$18</f>
        <v/>
      </c>
      <c r="AH21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Forecast'!AB6*Assumptions!$I$13+1731)*Assumptions!$C$18</f>
        <v/>
      </c>
      <c r="AI21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Forecast'!AC6*Assumptions!$I$13+1731)*Assumptions!$C$18</f>
        <v/>
      </c>
      <c r="AJ21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Forecast'!AD6*Assumptions!$I$13+1731)*Assumptions!$C$18</f>
        <v/>
      </c>
      <c r="AK21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Forecast'!AE6*Assumptions!$I$13+1731)*Assumptions!$C$18</f>
        <v/>
      </c>
      <c r="AL21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Forecast'!AF6*Assumptions!$I$13+1731)*Assumptions!$C$18</f>
        <v/>
      </c>
      <c r="AM21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Forecast'!AG6*Assumptions!$I$13+1731)*Assumptions!$C$18</f>
        <v/>
      </c>
      <c r="AN21" s="20">
        <f>('Sales Forecast'!AN6*Assumptions!$C$12+'Sales Forecast'!AM6*Assumptions!$D$12+'Sales Forecast'!AL6*Assumptions!$E$12+'Sales Forecast'!AK6*Assumptions!$F$12+'Sales Forecast'!AJ6*Assumptions!$G$12+'Sales Forecast'!AI6*Assumptions!$H$12+'Sales Forecast'!AH6*Assumptions!$I$12+'Sales Forecast'!AN6*Assumptions!$C$13+'Sales Forecast'!AM6*Assumptions!$D$13+'Sales Forecast'!AL6*Assumptions!$E$13+'Sales Forecast'!AK6*Assumptions!$F$13+'Sales Forecast'!AJ6*Assumptions!$G$13+'Sales Forecast'!AI6*Assumptions!$H$13+'Sales Forecast'!AH6*Assumptions!$I$13+1731)*Assumptions!$C$18</f>
        <v/>
      </c>
      <c r="AO21" s="20">
        <f>('Sales Forecast'!AO6*Assumptions!$C$12+'Sales Forecast'!AN6*Assumptions!$D$12+'Sales Forecast'!AM6*Assumptions!$E$12+'Sales Forecast'!AL6*Assumptions!$F$12+'Sales Forecast'!AK6*Assumptions!$G$12+'Sales Forecast'!AJ6*Assumptions!$H$12+'Sales Forecast'!AI6*Assumptions!$I$12+'Sales Forecast'!AO6*Assumptions!$C$13+'Sales Forecast'!AN6*Assumptions!$D$13+'Sales Forecast'!AM6*Assumptions!$E$13+'Sales Forecast'!AL6*Assumptions!$F$13+'Sales Forecast'!AK6*Assumptions!$G$13+'Sales Forecast'!AJ6*Assumptions!$H$13+'Sales Forecast'!AI6*Assumptions!$I$13+1731)*Assumptions!$C$18</f>
        <v/>
      </c>
      <c r="AP21" s="20">
        <f>('Sales Forecast'!AP6*Assumptions!$C$12+'Sales Forecast'!AO6*Assumptions!$D$12+'Sales Forecast'!AN6*Assumptions!$E$12+'Sales Forecast'!AM6*Assumptions!$F$12+'Sales Forecast'!AL6*Assumptions!$G$12+'Sales Forecast'!AK6*Assumptions!$H$12+'Sales Forecast'!AJ6*Assumptions!$I$12+'Sales Forecast'!AP6*Assumptions!$C$13+'Sales Forecast'!AO6*Assumptions!$D$13+'Sales Forecast'!AN6*Assumptions!$E$13+'Sales Forecast'!AM6*Assumptions!$F$13+'Sales Forecast'!AL6*Assumptions!$G$13+'Sales Forecast'!AK6*Assumptions!$H$13+'Sales Forecast'!AJ6*Assumptions!$I$13+1731)*Assumptions!$C$18</f>
        <v/>
      </c>
      <c r="AQ21" s="20">
        <f>('Sales Forecast'!AQ6*Assumptions!$C$12+'Sales Forecast'!AP6*Assumptions!$D$12+'Sales Forecast'!AO6*Assumptions!$E$12+'Sales Forecast'!AN6*Assumptions!$F$12+'Sales Forecast'!AM6*Assumptions!$G$12+'Sales Forecast'!AL6*Assumptions!$H$12+'Sales Forecast'!AK6*Assumptions!$I$12+'Sales Forecast'!AQ6*Assumptions!$C$13+'Sales Forecast'!AP6*Assumptions!$D$13+'Sales Forecast'!AO6*Assumptions!$E$13+'Sales Forecast'!AN6*Assumptions!$F$13+'Sales Forecast'!AM6*Assumptions!$G$13+'Sales Forecast'!AL6*Assumptions!$H$13+'Sales Forecast'!AK6*Assumptions!$I$13+1731)*Assumptions!$C$18</f>
        <v/>
      </c>
      <c r="AR21" s="20">
        <f>('Sales Forecast'!AR6*Assumptions!$C$12+'Sales Forecast'!AQ6*Assumptions!$D$12+'Sales Forecast'!AP6*Assumptions!$E$12+'Sales Forecast'!AO6*Assumptions!$F$12+'Sales Forecast'!AN6*Assumptions!$G$12+'Sales Forecast'!AM6*Assumptions!$H$12+'Sales Forecast'!AL6*Assumptions!$I$12+'Sales Forecast'!AR6*Assumptions!$C$13+'Sales Forecast'!AQ6*Assumptions!$D$13+'Sales Forecast'!AP6*Assumptions!$E$13+'Sales Forecast'!AO6*Assumptions!$F$13+'Sales Forecast'!AN6*Assumptions!$G$13+'Sales Forecast'!AM6*Assumptions!$H$13+'Sales Forecast'!AL6*Assumptions!$I$13+1731)*Assumptions!$C$18</f>
        <v/>
      </c>
      <c r="AS21" s="20">
        <f>('Sales Forecast'!AS6*Assumptions!$C$12+'Sales Forecast'!AR6*Assumptions!$D$12+'Sales Forecast'!AQ6*Assumptions!$E$12+'Sales Forecast'!AP6*Assumptions!$F$12+'Sales Forecast'!AO6*Assumptions!$G$12+'Sales Forecast'!AN6*Assumptions!$H$12+'Sales Forecast'!AM6*Assumptions!$I$12+'Sales Forecast'!AS6*Assumptions!$C$13+'Sales Forecast'!AR6*Assumptions!$D$13+'Sales Forecast'!AQ6*Assumptions!$E$13+'Sales Forecast'!AP6*Assumptions!$F$13+'Sales Forecast'!AO6*Assumptions!$G$13+'Sales Forecast'!AN6*Assumptions!$H$13+'Sales Forecast'!AM6*Assumptions!$I$13+1731)*Assumptions!$C$18</f>
        <v/>
      </c>
      <c r="AT21" s="20">
        <f>('Sales Forecast'!AT6*Assumptions!$C$12+'Sales Forecast'!AS6*Assumptions!$D$12+'Sales Forecast'!AR6*Assumptions!$E$12+'Sales Forecast'!AQ6*Assumptions!$F$12+'Sales Forecast'!AP6*Assumptions!$G$12+'Sales Forecast'!AO6*Assumptions!$H$12+'Sales Forecast'!AN6*Assumptions!$I$12+'Sales Forecast'!AT6*Assumptions!$C$13+'Sales Forecast'!AS6*Assumptions!$D$13+'Sales Forecast'!AR6*Assumptions!$E$13+'Sales Forecast'!AQ6*Assumptions!$F$13+'Sales Forecast'!AP6*Assumptions!$G$13+'Sales Forecast'!AO6*Assumptions!$H$13+'Sales Forecast'!AN6*Assumptions!$I$13+1731)*Assumptions!$C$18</f>
        <v/>
      </c>
      <c r="AU21" s="20">
        <f>('Sales Forecast'!AU6*Assumptions!$C$12+'Sales Forecast'!AT6*Assumptions!$D$12+'Sales Forecast'!AS6*Assumptions!$E$12+'Sales Forecast'!AR6*Assumptions!$F$12+'Sales Forecast'!AQ6*Assumptions!$G$12+'Sales Forecast'!AP6*Assumptions!$H$12+'Sales Forecast'!AO6*Assumptions!$I$12+'Sales Forecast'!AU6*Assumptions!$C$13+'Sales Forecast'!AT6*Assumptions!$D$13+'Sales Forecast'!AS6*Assumptions!$E$13+'Sales Forecast'!AR6*Assumptions!$F$13+'Sales Forecast'!AQ6*Assumptions!$G$13+'Sales Forecast'!AP6*Assumptions!$H$13+'Sales Forecast'!AO6*Assumptions!$I$13+1731)*Assumptions!$C$18</f>
        <v/>
      </c>
      <c r="AV21" s="20">
        <f>('Sales Forecast'!AV6*Assumptions!$C$12+'Sales Forecast'!AU6*Assumptions!$D$12+'Sales Forecast'!AT6*Assumptions!$E$12+'Sales Forecast'!AS6*Assumptions!$F$12+'Sales Forecast'!AR6*Assumptions!$G$12+'Sales Forecast'!AQ6*Assumptions!$H$12+'Sales Forecast'!AP6*Assumptions!$I$12+'Sales Forecast'!AV6*Assumptions!$C$13+'Sales Forecast'!AU6*Assumptions!$D$13+'Sales Forecast'!AT6*Assumptions!$E$13+'Sales Forecast'!AS6*Assumptions!$F$13+'Sales Forecast'!AR6*Assumptions!$G$13+'Sales Forecast'!AQ6*Assumptions!$H$13+'Sales Forecast'!AP6*Assumptions!$I$13+1731)*Assumptions!$C$18</f>
        <v/>
      </c>
      <c r="AW21" s="20">
        <f>('Sales Forecast'!AW6*Assumptions!$C$12+'Sales Forecast'!AV6*Assumptions!$D$12+'Sales Forecast'!AU6*Assumptions!$E$12+'Sales Forecast'!AT6*Assumptions!$F$12+'Sales Forecast'!AS6*Assumptions!$G$12+'Sales Forecast'!AR6*Assumptions!$H$12+'Sales Forecast'!AQ6*Assumptions!$I$12+'Sales Forecast'!AW6*Assumptions!$C$13+'Sales Forecast'!AV6*Assumptions!$D$13+'Sales Forecast'!AU6*Assumptions!$E$13+'Sales Forecast'!AT6*Assumptions!$F$13+'Sales Forecast'!AS6*Assumptions!$G$13+'Sales Forecast'!AR6*Assumptions!$H$13+'Sales Forecast'!AQ6*Assumptions!$I$13+1731)*Assumptions!$C$18</f>
        <v/>
      </c>
      <c r="AX21" s="20">
        <f>('Sales Forecast'!AX6*Assumptions!$C$12+'Sales Forecast'!AW6*Assumptions!$D$12+'Sales Forecast'!AV6*Assumptions!$E$12+'Sales Forecast'!AU6*Assumptions!$F$12+'Sales Forecast'!AT6*Assumptions!$G$12+'Sales Forecast'!AS6*Assumptions!$H$12+'Sales Forecast'!AR6*Assumptions!$I$12+'Sales Forecast'!AX6*Assumptions!$C$13+'Sales Forecast'!AW6*Assumptions!$D$13+'Sales Forecast'!AV6*Assumptions!$E$13+'Sales Forecast'!AU6*Assumptions!$F$13+'Sales Forecast'!AT6*Assumptions!$G$13+'Sales Forecast'!AS6*Assumptions!$H$13+'Sales Forecast'!AR6*Assumptions!$I$13+1731)*Assumptions!$C$18</f>
        <v/>
      </c>
      <c r="AY21" s="20">
        <f>('Sales Forecast'!AY6*Assumptions!$C$12+'Sales Forecast'!AX6*Assumptions!$D$12+'Sales Forecast'!AW6*Assumptions!$E$12+'Sales Forecast'!AV6*Assumptions!$F$12+'Sales Forecast'!AU6*Assumptions!$G$12+'Sales Forecast'!AT6*Assumptions!$H$12+'Sales Forecast'!AS6*Assumptions!$I$12+'Sales Forecast'!AY6*Assumptions!$C$13+'Sales Forecast'!AX6*Assumptions!$D$13+'Sales Forecast'!AW6*Assumptions!$E$13+'Sales Forecast'!AV6*Assumptions!$F$13+'Sales Forecast'!AU6*Assumptions!$G$13+'Sales Forecast'!AT6*Assumptions!$H$13+'Sales Forecast'!AS6*Assumptions!$I$13+1731)*Assumptions!$C$18</f>
        <v/>
      </c>
      <c r="BA21" s="288">
        <f>SUM(I21:T21)</f>
        <v/>
      </c>
      <c r="BB21" s="274">
        <f>BA21/$BA$22</f>
        <v/>
      </c>
    </row>
    <row r="22">
      <c r="B22" s="32" t="inlineStr">
        <is>
          <t>TOTAL REVENUE</t>
        </is>
      </c>
      <c r="C22" s="34" t="n"/>
      <c r="D22" s="35">
        <f>SUM(D13,D14,D18,D19,D20,D21)</f>
        <v/>
      </c>
      <c r="E22" s="35">
        <f>SUM(E13,E14,E18,E19,E20,E21)</f>
        <v/>
      </c>
      <c r="F22" s="35">
        <f>SUM(F13,F14,F18,F19,F20,F21)</f>
        <v/>
      </c>
      <c r="G22" s="35">
        <f>SUM(G13,G14,G18,G19,G20,G21)</f>
        <v/>
      </c>
      <c r="H22" s="35">
        <f>SUM(H13,H14,H18,H19,H20,H21)</f>
        <v/>
      </c>
      <c r="I22" s="35">
        <f>SUM(I13,I14,I18,I19,I20,I21)</f>
        <v/>
      </c>
      <c r="J22" s="35">
        <f>SUM(J13,J14,J18,J19,J20,J21)</f>
        <v/>
      </c>
      <c r="K22" s="35">
        <f>SUM(K13,K14,K18,K19,K20,K21)</f>
        <v/>
      </c>
      <c r="L22" s="35">
        <f>SUM(L13,L14,L18,L19,L20,L21)</f>
        <v/>
      </c>
      <c r="M22" s="35">
        <f>SUM(M13,M14,M18,M19,M20,M21)</f>
        <v/>
      </c>
      <c r="N22" s="35">
        <f>SUM(N13,N14,N18,N19,N20,N21)</f>
        <v/>
      </c>
      <c r="O22" s="35">
        <f>SUM(O13,O14,O18,O19,O20,O21)</f>
        <v/>
      </c>
      <c r="P22" s="35">
        <f>P13+P14+P18+P19+P20+P21</f>
        <v/>
      </c>
      <c r="Q22" s="35">
        <f>Q13+Q14+Q18+Q19+Q20+Q21</f>
        <v/>
      </c>
      <c r="R22" s="35">
        <f>R13+R14+R18+R19+R20+R21</f>
        <v/>
      </c>
      <c r="S22" s="35">
        <f>S13+S14+S18+S19+S20+S21</f>
        <v/>
      </c>
      <c r="T22" s="35">
        <f>T13+T14+T18+T19+T20+T21</f>
        <v/>
      </c>
      <c r="U22" s="35">
        <f>U13+U14+U18+U19+U20+U21</f>
        <v/>
      </c>
      <c r="V22" s="35">
        <f>V13+V14+V18+V19+V20+V21</f>
        <v/>
      </c>
      <c r="W22" s="17">
        <f>W13+W18+W19+W20+W21</f>
        <v/>
      </c>
      <c r="X22" s="17">
        <f>X13+X18+X19+X20+X21</f>
        <v/>
      </c>
      <c r="Y22" s="17">
        <f>Y13+Y18+Y19+Y20+Y21</f>
        <v/>
      </c>
      <c r="Z22" s="17">
        <f>Z13+Z18+Z19+Z20+Z21</f>
        <v/>
      </c>
      <c r="AA22" s="17">
        <f>AA13+AA18+AA19+AA20+AA21</f>
        <v/>
      </c>
      <c r="AB22" s="17">
        <f>AB13+AB18+AB19+AB20+AB21</f>
        <v/>
      </c>
      <c r="AC22" s="17">
        <f>AC13+AC18+AC19+AC20+AC21</f>
        <v/>
      </c>
      <c r="AD22" s="17">
        <f>AD13+AD18+AD19+AD20+AD21</f>
        <v/>
      </c>
      <c r="AE22" s="17">
        <f>AE13+AE18+AE19+AE20+AE21</f>
        <v/>
      </c>
      <c r="AF22" s="17">
        <f>AF13+AF18+AF19+AF20+AF21</f>
        <v/>
      </c>
      <c r="AG22" s="17">
        <f>AG13+AG18+AG19+AG20+AG21</f>
        <v/>
      </c>
      <c r="AH22" s="17">
        <f>AH13+AH18+AH19+AH20+AH21</f>
        <v/>
      </c>
      <c r="AI22" s="17">
        <f>AI13+AI18+AI19+AI20+AI21</f>
        <v/>
      </c>
      <c r="AJ22" s="17">
        <f>AJ13+AJ18+AJ19+AJ20+AJ21</f>
        <v/>
      </c>
      <c r="AK22" s="17">
        <f>AK13+AK18+AK19+AK20+AK21</f>
        <v/>
      </c>
      <c r="AL22" s="17">
        <f>AL13+AL18+AL19+AL20+AL21</f>
        <v/>
      </c>
      <c r="AM22" s="17">
        <f>AM13+AM18+AM19+AM20+AM21</f>
        <v/>
      </c>
      <c r="AN22" s="17">
        <f>AN13+AN18+AN19+AN20+AN21</f>
        <v/>
      </c>
      <c r="AO22" s="17">
        <f>AO13+AO18+AO19+AO20+AO21</f>
        <v/>
      </c>
      <c r="AP22" s="17">
        <f>AP13+AP18+AP19+AP20+AP21</f>
        <v/>
      </c>
      <c r="AQ22" s="17">
        <f>AQ13+AQ18+AQ19+AQ20+AQ21</f>
        <v/>
      </c>
      <c r="AR22" s="17">
        <f>AR13+AR18+AR19+AR20+AR21</f>
        <v/>
      </c>
      <c r="AS22" s="17">
        <f>AS13+AS18+AS19+AS20+AS21</f>
        <v/>
      </c>
      <c r="AT22" s="17">
        <f>AT13+AT18+AT19+AT20+AT21</f>
        <v/>
      </c>
      <c r="AU22" s="17">
        <f>AU13+AU18+AU19+AU20+AU21</f>
        <v/>
      </c>
      <c r="AV22" s="17">
        <f>AV13+AV18+AV19+AV20+AV21</f>
        <v/>
      </c>
      <c r="AW22" s="17">
        <f>AW13+AW18+AW19+AW20+AW21</f>
        <v/>
      </c>
      <c r="AX22" s="17">
        <f>AX13+AX18+AX19+AX20+AX21</f>
        <v/>
      </c>
      <c r="AY22" s="17">
        <f>AY13+AY18+AY19+AY20+AY21</f>
        <v/>
      </c>
      <c r="BA22" s="293">
        <f>SUM(I22:T22)</f>
        <v/>
      </c>
      <c r="BB22" s="275">
        <f>SUM(BB7:BB21)</f>
        <v/>
      </c>
    </row>
    <row r="23" ht="16" customHeight="1" s="282">
      <c r="B23" s="10" t="inlineStr">
        <is>
          <t>COST OF GOODS SOLD</t>
        </is>
      </c>
      <c r="C23" s="11" t="n"/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</row>
    <row r="24">
      <c r="B24" s="33" t="inlineStr">
        <is>
          <t>501000 Product Cost (incl Inventory Shrinkage)</t>
        </is>
      </c>
      <c r="D24" s="19" t="n">
        <v>1635</v>
      </c>
      <c r="E24" s="19" t="n">
        <v>1240.75</v>
      </c>
      <c r="F24" s="19" t="n">
        <v>1097.25</v>
      </c>
      <c r="G24" s="19" t="n">
        <v>1298.5</v>
      </c>
      <c r="H24" s="19" t="n">
        <v>1160.5</v>
      </c>
      <c r="I24" s="19" t="n">
        <v>1974.75</v>
      </c>
      <c r="J24" s="19" t="n">
        <v>1301</v>
      </c>
      <c r="K24" s="19" t="n">
        <v>1424.5</v>
      </c>
      <c r="L24" s="19" t="n">
        <v>1231</v>
      </c>
      <c r="M24" s="19" t="n">
        <v>896.5</v>
      </c>
      <c r="N24" s="19" t="n">
        <v>836.5</v>
      </c>
      <c r="O24" s="19" t="n">
        <v>2191.37</v>
      </c>
      <c r="P24" s="19" t="n">
        <v>1064.8</v>
      </c>
      <c r="Q24" s="19" t="n">
        <v>699.7</v>
      </c>
      <c r="R24" s="19" t="n">
        <v>552</v>
      </c>
      <c r="S24" s="19" t="n">
        <v>1117</v>
      </c>
      <c r="T24" s="83" t="n">
        <v>1037.7</v>
      </c>
      <c r="U24" s="83" t="n">
        <v>1175</v>
      </c>
      <c r="V24" s="83" t="n">
        <v>917</v>
      </c>
      <c r="W24" s="20">
        <f>W22*Assumptions!$C$20</f>
        <v/>
      </c>
      <c r="X24" s="20">
        <f>X22*Assumptions!$C$20</f>
        <v/>
      </c>
      <c r="Y24" s="20">
        <f>Y22*Assumptions!$C$20</f>
        <v/>
      </c>
      <c r="Z24" s="20">
        <f>Z22*Assumptions!$C$20</f>
        <v/>
      </c>
      <c r="AA24" s="20">
        <f>AA22*Assumptions!$C$20</f>
        <v/>
      </c>
      <c r="AB24" s="20">
        <f>AB22*Assumptions!$C$20</f>
        <v/>
      </c>
      <c r="AC24" s="20">
        <f>AC22*Assumptions!$C$20</f>
        <v/>
      </c>
      <c r="AD24" s="20">
        <f>AD22*Assumptions!$C$20</f>
        <v/>
      </c>
      <c r="AE24" s="20">
        <f>AE22*Assumptions!$C$20</f>
        <v/>
      </c>
      <c r="AF24" s="20">
        <f>AF22*Assumptions!$C$20</f>
        <v/>
      </c>
      <c r="AG24" s="20">
        <f>AG22*Assumptions!$C$20</f>
        <v/>
      </c>
      <c r="AH24" s="20">
        <f>AH22*Assumptions!$C$20</f>
        <v/>
      </c>
      <c r="AI24" s="20">
        <f>AI22*Assumptions!$C$20</f>
        <v/>
      </c>
      <c r="AJ24" s="20">
        <f>AJ22*Assumptions!$C$20</f>
        <v/>
      </c>
      <c r="AK24" s="20">
        <f>AK22*Assumptions!$C$20</f>
        <v/>
      </c>
      <c r="AL24" s="20">
        <f>AL22*Assumptions!$C$20</f>
        <v/>
      </c>
      <c r="AM24" s="20">
        <f>AM22*Assumptions!$C$20</f>
        <v/>
      </c>
      <c r="AN24" s="20">
        <f>AN22*Assumptions!$C$20</f>
        <v/>
      </c>
      <c r="AO24" s="20">
        <f>AO22*Assumptions!$C$20</f>
        <v/>
      </c>
      <c r="AP24" s="20">
        <f>AP22*Assumptions!$C$20</f>
        <v/>
      </c>
      <c r="AQ24" s="20">
        <f>AQ22*Assumptions!$C$20</f>
        <v/>
      </c>
      <c r="AR24" s="20">
        <f>AR22*Assumptions!$C$20</f>
        <v/>
      </c>
      <c r="AS24" s="20">
        <f>AS22*Assumptions!$C$20</f>
        <v/>
      </c>
      <c r="AT24" s="20">
        <f>AT22*Assumptions!$C$20</f>
        <v/>
      </c>
      <c r="AU24" s="20">
        <f>AU22*Assumptions!$C$20</f>
        <v/>
      </c>
      <c r="AV24" s="20">
        <f>AV22*Assumptions!$C$20</f>
        <v/>
      </c>
      <c r="AW24" s="20">
        <f>AW22*Assumptions!$C$20</f>
        <v/>
      </c>
      <c r="AX24" s="20">
        <f>AX22*Assumptions!$C$20</f>
        <v/>
      </c>
      <c r="AY24" s="20">
        <f>AY22*Assumptions!$C$20</f>
        <v/>
      </c>
    </row>
    <row r="25">
      <c r="B25" s="33" t="inlineStr">
        <is>
          <t xml:space="preserve">  506000 Merchant Account Fees</t>
        </is>
      </c>
      <c r="D25" s="19" t="n">
        <v>3612.09</v>
      </c>
      <c r="E25" s="19" t="n">
        <v>3333.58</v>
      </c>
      <c r="F25" s="19" t="n">
        <v>3314.08</v>
      </c>
      <c r="G25" s="19" t="n">
        <v>3895.12</v>
      </c>
      <c r="H25" s="19" t="n">
        <v>2604.04</v>
      </c>
      <c r="I25" s="19" t="n">
        <v>2902.85</v>
      </c>
      <c r="J25" s="19" t="n">
        <v>2543.4</v>
      </c>
      <c r="K25" s="19" t="n">
        <v>3738.8</v>
      </c>
      <c r="L25" s="19" t="n">
        <v>2974.49</v>
      </c>
      <c r="M25" s="19" t="n">
        <v>2918.1</v>
      </c>
      <c r="N25" s="19" t="n">
        <v>2598.16</v>
      </c>
      <c r="O25" s="19" t="n">
        <v>2820.42</v>
      </c>
      <c r="P25" s="19" t="n">
        <v>3389.06</v>
      </c>
      <c r="Q25" s="19" t="n">
        <v>3622.31</v>
      </c>
      <c r="R25" s="19" t="n">
        <v>2884.21</v>
      </c>
      <c r="S25" s="19" t="n">
        <v>3288.71</v>
      </c>
      <c r="T25" s="83" t="n">
        <v>2178.41</v>
      </c>
      <c r="U25" s="83" t="n">
        <v>2530.03</v>
      </c>
      <c r="V25" s="83" t="n">
        <v>2678.11</v>
      </c>
      <c r="W25" s="20">
        <f>W22*Assumptions!$C$19</f>
        <v/>
      </c>
      <c r="X25" s="20">
        <f>X22*Assumptions!$C$19</f>
        <v/>
      </c>
      <c r="Y25" s="20">
        <f>Y22*Assumptions!$C$19</f>
        <v/>
      </c>
      <c r="Z25" s="20">
        <f>Z22*Assumptions!$C$19</f>
        <v/>
      </c>
      <c r="AA25" s="20">
        <f>AA22*Assumptions!$C$19</f>
        <v/>
      </c>
      <c r="AB25" s="20">
        <f>AB22*Assumptions!$C$19</f>
        <v/>
      </c>
      <c r="AC25" s="20">
        <f>AC22*Assumptions!$C$19</f>
        <v/>
      </c>
      <c r="AD25" s="20">
        <f>AD22*Assumptions!$C$19</f>
        <v/>
      </c>
      <c r="AE25" s="20">
        <f>AE22*Assumptions!$C$19</f>
        <v/>
      </c>
      <c r="AF25" s="20">
        <f>AF22*Assumptions!$C$19</f>
        <v/>
      </c>
      <c r="AG25" s="20">
        <f>AG22*Assumptions!$C$19</f>
        <v/>
      </c>
      <c r="AH25" s="20">
        <f>AH22*Assumptions!$C$19</f>
        <v/>
      </c>
      <c r="AI25" s="20">
        <f>AI22*Assumptions!$C$19</f>
        <v/>
      </c>
      <c r="AJ25" s="20">
        <f>AJ22*Assumptions!$C$19</f>
        <v/>
      </c>
      <c r="AK25" s="20">
        <f>AK22*Assumptions!$C$19</f>
        <v/>
      </c>
      <c r="AL25" s="20">
        <f>AL22*Assumptions!$C$19</f>
        <v/>
      </c>
      <c r="AM25" s="20">
        <f>AM22*Assumptions!$C$19</f>
        <v/>
      </c>
      <c r="AN25" s="20">
        <f>AN22*Assumptions!$C$19</f>
        <v/>
      </c>
      <c r="AO25" s="20">
        <f>AO22*Assumptions!$C$19</f>
        <v/>
      </c>
      <c r="AP25" s="20">
        <f>AP22*Assumptions!$C$19</f>
        <v/>
      </c>
      <c r="AQ25" s="20">
        <f>AQ22*Assumptions!$C$19</f>
        <v/>
      </c>
      <c r="AR25" s="20">
        <f>AR22*Assumptions!$C$19</f>
        <v/>
      </c>
      <c r="AS25" s="20">
        <f>AS22*Assumptions!$C$19</f>
        <v/>
      </c>
      <c r="AT25" s="20">
        <f>AT22*Assumptions!$C$19</f>
        <v/>
      </c>
      <c r="AU25" s="20">
        <f>AU22*Assumptions!$C$19</f>
        <v/>
      </c>
      <c r="AV25" s="20">
        <f>AV22*Assumptions!$C$19</f>
        <v/>
      </c>
      <c r="AW25" s="20">
        <f>AW22*Assumptions!$C$19</f>
        <v/>
      </c>
      <c r="AX25" s="20">
        <f>AX22*Assumptions!$C$19</f>
        <v/>
      </c>
      <c r="AY25" s="20">
        <f>AY22*Assumptions!$C$19</f>
        <v/>
      </c>
    </row>
    <row r="26">
      <c r="B26" s="32" t="inlineStr">
        <is>
          <t>Total Cost of Goods Sold</t>
        </is>
      </c>
      <c r="C26" s="34" t="n"/>
      <c r="D26" s="35">
        <f>SUM(D24:D25)</f>
        <v/>
      </c>
      <c r="E26" s="35">
        <f>SUM(E24:E25)</f>
        <v/>
      </c>
      <c r="F26" s="35">
        <f>SUM(F24:F25)</f>
        <v/>
      </c>
      <c r="G26" s="35">
        <f>SUM(G24:G25)</f>
        <v/>
      </c>
      <c r="H26" s="35">
        <f>SUM(H24:H25)</f>
        <v/>
      </c>
      <c r="I26" s="35">
        <f>SUM(I24:I25)</f>
        <v/>
      </c>
      <c r="J26" s="35">
        <f>SUM(J24:J25)</f>
        <v/>
      </c>
      <c r="K26" s="35">
        <f>SUM(K24:K25)</f>
        <v/>
      </c>
      <c r="L26" s="35">
        <f>SUM(L24:L25)</f>
        <v/>
      </c>
      <c r="M26" s="35">
        <f>SUM(M24:M25)</f>
        <v/>
      </c>
      <c r="N26" s="35">
        <f>SUM(N24:N25)</f>
        <v/>
      </c>
      <c r="O26" s="35">
        <f>SUM(O24:O25)</f>
        <v/>
      </c>
      <c r="P26" s="35">
        <f>P24+P25</f>
        <v/>
      </c>
      <c r="Q26" s="35">
        <f>Q24+Q25</f>
        <v/>
      </c>
      <c r="R26" s="35">
        <f>R24+R25</f>
        <v/>
      </c>
      <c r="S26" s="35">
        <f>S24+S25</f>
        <v/>
      </c>
      <c r="T26" s="84">
        <f>T24+T25</f>
        <v/>
      </c>
      <c r="U26" s="84">
        <f>U24+U25</f>
        <v/>
      </c>
      <c r="V26" s="84">
        <f>V24+V25</f>
        <v/>
      </c>
      <c r="W26" s="17">
        <f>W24+W25</f>
        <v/>
      </c>
      <c r="X26" s="17">
        <f>X24+X25</f>
        <v/>
      </c>
      <c r="Y26" s="17">
        <f>Y24+Y25</f>
        <v/>
      </c>
      <c r="Z26" s="17">
        <f>Z24+Z25</f>
        <v/>
      </c>
      <c r="AA26" s="17">
        <f>AA24+AA25</f>
        <v/>
      </c>
      <c r="AB26" s="17">
        <f>AB24+AB25</f>
        <v/>
      </c>
      <c r="AC26" s="17">
        <f>AC24+AC25</f>
        <v/>
      </c>
      <c r="AD26" s="17">
        <f>AD24+AD25</f>
        <v/>
      </c>
      <c r="AE26" s="17">
        <f>AE24+AE25</f>
        <v/>
      </c>
      <c r="AF26" s="17">
        <f>AF24+AF25</f>
        <v/>
      </c>
      <c r="AG26" s="17">
        <f>AG24+AG25</f>
        <v/>
      </c>
      <c r="AH26" s="17">
        <f>AH24+AH25</f>
        <v/>
      </c>
      <c r="AI26" s="17">
        <f>AI24+AI25</f>
        <v/>
      </c>
      <c r="AJ26" s="17">
        <f>AJ24+AJ25</f>
        <v/>
      </c>
      <c r="AK26" s="17">
        <f>AK24+AK25</f>
        <v/>
      </c>
      <c r="AL26" s="17">
        <f>AL24+AL25</f>
        <v/>
      </c>
      <c r="AM26" s="17">
        <f>AM24+AM25</f>
        <v/>
      </c>
      <c r="AN26" s="17">
        <f>AN24+AN25</f>
        <v/>
      </c>
      <c r="AO26" s="17">
        <f>AO24+AO25</f>
        <v/>
      </c>
      <c r="AP26" s="17">
        <f>AP24+AP25</f>
        <v/>
      </c>
      <c r="AQ26" s="17">
        <f>AQ24+AQ25</f>
        <v/>
      </c>
      <c r="AR26" s="17">
        <f>AR24+AR25</f>
        <v/>
      </c>
      <c r="AS26" s="17">
        <f>AS24+AS25</f>
        <v/>
      </c>
      <c r="AT26" s="17">
        <f>AT24+AT25</f>
        <v/>
      </c>
      <c r="AU26" s="17">
        <f>AU24+AU25</f>
        <v/>
      </c>
      <c r="AV26" s="17">
        <f>AV24+AV25</f>
        <v/>
      </c>
      <c r="AW26" s="17">
        <f>AW24+AW25</f>
        <v/>
      </c>
      <c r="AX26" s="17">
        <f>AX24+AX25</f>
        <v/>
      </c>
      <c r="AY26" s="17">
        <f>AY24+AY25</f>
        <v/>
      </c>
    </row>
    <row r="27">
      <c r="B27" s="32" t="inlineStr">
        <is>
          <t>GROSS PROFIT</t>
        </is>
      </c>
      <c r="C27" s="34" t="n"/>
      <c r="D27" s="35">
        <f>D22-D26</f>
        <v/>
      </c>
      <c r="E27" s="35">
        <f>E22-E26</f>
        <v/>
      </c>
      <c r="F27" s="35">
        <f>F22-F26</f>
        <v/>
      </c>
      <c r="G27" s="35">
        <f>G22-G26</f>
        <v/>
      </c>
      <c r="H27" s="35">
        <f>H22-H26</f>
        <v/>
      </c>
      <c r="I27" s="35">
        <f>I22-I26</f>
        <v/>
      </c>
      <c r="J27" s="35">
        <f>J22-J26</f>
        <v/>
      </c>
      <c r="K27" s="35">
        <f>K22-K26</f>
        <v/>
      </c>
      <c r="L27" s="35">
        <f>L22-L26</f>
        <v/>
      </c>
      <c r="M27" s="35">
        <f>M22-M26</f>
        <v/>
      </c>
      <c r="N27" s="35">
        <f>N22-N26</f>
        <v/>
      </c>
      <c r="O27" s="35">
        <f>O22-O26</f>
        <v/>
      </c>
      <c r="P27" s="35">
        <f>P22-P26</f>
        <v/>
      </c>
      <c r="Q27" s="35">
        <f>Q22-Q26</f>
        <v/>
      </c>
      <c r="R27" s="35">
        <f>R22-R26</f>
        <v/>
      </c>
      <c r="S27" s="35">
        <f>S22-S26</f>
        <v/>
      </c>
      <c r="T27" s="84">
        <f>T22-T26</f>
        <v/>
      </c>
      <c r="U27" s="84">
        <f>U22-U26</f>
        <v/>
      </c>
      <c r="V27" s="84">
        <f>V22-V26</f>
        <v/>
      </c>
      <c r="W27" s="17">
        <f>W22-W26</f>
        <v/>
      </c>
      <c r="X27" s="17">
        <f>X22-X26</f>
        <v/>
      </c>
      <c r="Y27" s="17">
        <f>Y22-Y26</f>
        <v/>
      </c>
      <c r="Z27" s="17">
        <f>Z22-Z26</f>
        <v/>
      </c>
      <c r="AA27" s="17">
        <f>AA22-AA26</f>
        <v/>
      </c>
      <c r="AB27" s="17">
        <f>AB22-AB26</f>
        <v/>
      </c>
      <c r="AC27" s="17">
        <f>AC22-AC26</f>
        <v/>
      </c>
      <c r="AD27" s="17">
        <f>AD22-AD26</f>
        <v/>
      </c>
      <c r="AE27" s="17">
        <f>AE22-AE26</f>
        <v/>
      </c>
      <c r="AF27" s="17">
        <f>AF22-AF26</f>
        <v/>
      </c>
      <c r="AG27" s="17">
        <f>AG22-AG26</f>
        <v/>
      </c>
      <c r="AH27" s="17">
        <f>AH22-AH26</f>
        <v/>
      </c>
      <c r="AI27" s="17">
        <f>AI22-AI26</f>
        <v/>
      </c>
      <c r="AJ27" s="17">
        <f>AJ22-AJ26</f>
        <v/>
      </c>
      <c r="AK27" s="17">
        <f>AK22-AK26</f>
        <v/>
      </c>
      <c r="AL27" s="17">
        <f>AL22-AL26</f>
        <v/>
      </c>
      <c r="AM27" s="17">
        <f>AM22-AM26</f>
        <v/>
      </c>
      <c r="AN27" s="17">
        <f>AN22-AN26</f>
        <v/>
      </c>
      <c r="AO27" s="17">
        <f>AO22-AO26</f>
        <v/>
      </c>
      <c r="AP27" s="17">
        <f>AP22-AP26</f>
        <v/>
      </c>
      <c r="AQ27" s="17">
        <f>AQ22-AQ26</f>
        <v/>
      </c>
      <c r="AR27" s="17">
        <f>AR22-AR26</f>
        <v/>
      </c>
      <c r="AS27" s="17">
        <f>AS22-AS26</f>
        <v/>
      </c>
      <c r="AT27" s="17">
        <f>AT22-AT26</f>
        <v/>
      </c>
      <c r="AU27" s="17">
        <f>AU22-AU26</f>
        <v/>
      </c>
      <c r="AV27" s="17">
        <f>AV22-AV26</f>
        <v/>
      </c>
      <c r="AW27" s="17">
        <f>AW22-AW26</f>
        <v/>
      </c>
      <c r="AX27" s="17">
        <f>AX22-AX26</f>
        <v/>
      </c>
      <c r="AY27" s="17">
        <f>AY22-AY26</f>
        <v/>
      </c>
    </row>
    <row r="28" ht="16" customHeight="1" s="282">
      <c r="B28" s="10" t="inlineStr">
        <is>
          <t>OPERATING EXPENSES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</row>
    <row r="29">
      <c r="B29" s="33" t="inlineStr">
        <is>
          <t xml:space="preserve">  601001 Paid Ads</t>
        </is>
      </c>
      <c r="D29" s="19" t="n">
        <v>1300</v>
      </c>
      <c r="E29" s="19" t="n">
        <v>300</v>
      </c>
      <c r="F29" s="19" t="n">
        <v>0</v>
      </c>
      <c r="G29" s="19" t="n">
        <v>0</v>
      </c>
      <c r="H29" s="19" t="n">
        <v>0</v>
      </c>
      <c r="I29" s="19" t="n">
        <v>2407.42</v>
      </c>
      <c r="J29" s="19" t="n">
        <v>300</v>
      </c>
      <c r="K29" s="19" t="n">
        <v>0</v>
      </c>
      <c r="L29" s="19" t="n">
        <v>0</v>
      </c>
      <c r="M29" s="19" t="n">
        <v>0</v>
      </c>
      <c r="N29" s="19" t="n">
        <v>890.91</v>
      </c>
      <c r="O29" s="19" t="n">
        <v>607.27</v>
      </c>
      <c r="P29" s="19" t="n">
        <v>972.72</v>
      </c>
      <c r="Q29" s="19" t="n">
        <v>89.98999999999999</v>
      </c>
      <c r="R29" s="19" t="n">
        <v>0</v>
      </c>
      <c r="S29" s="19" t="n">
        <v>0</v>
      </c>
      <c r="T29" s="83" t="n">
        <v>0</v>
      </c>
      <c r="U29" s="83" t="n">
        <v>0</v>
      </c>
      <c r="V29" s="83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601005 Content Creation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0</v>
      </c>
      <c r="P30" s="19" t="n">
        <v>0</v>
      </c>
      <c r="Q30" s="19" t="n">
        <v>0</v>
      </c>
      <c r="R30" s="19" t="n">
        <v>0</v>
      </c>
      <c r="S30" s="19" t="n">
        <v>0</v>
      </c>
      <c r="T30" s="83" t="n">
        <v>0</v>
      </c>
      <c r="U30" s="83" t="n">
        <v>0</v>
      </c>
      <c r="V30" s="83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>601006 General Marketing (incl Affiliate, PR, Trade Shows)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128.98</v>
      </c>
      <c r="P31" s="19" t="n">
        <v>0</v>
      </c>
      <c r="Q31" s="19" t="n">
        <v>0</v>
      </c>
      <c r="R31" s="19" t="n">
        <v>0</v>
      </c>
      <c r="S31" s="19" t="n">
        <v>0</v>
      </c>
      <c r="T31" s="83" t="n">
        <v>0</v>
      </c>
      <c r="U31" s="83" t="n">
        <v>0</v>
      </c>
      <c r="V31" s="83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601007 Contractors/Agencies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83" t="n">
        <v>0</v>
      </c>
      <c r="U32" s="83" t="n">
        <v>0</v>
      </c>
      <c r="V32" s="83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3" t="inlineStr">
        <is>
          <t xml:space="preserve">  601010 Website Development</t>
        </is>
      </c>
      <c r="D33" s="19" t="n">
        <v>0</v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0</v>
      </c>
      <c r="N33" s="19" t="n">
        <v>0</v>
      </c>
      <c r="O33" s="19" t="n">
        <v>0</v>
      </c>
      <c r="P33" s="19" t="n">
        <v>0</v>
      </c>
      <c r="Q33" s="19" t="n">
        <v>0</v>
      </c>
      <c r="R33" s="19" t="n">
        <v>0</v>
      </c>
      <c r="S33" s="19" t="n">
        <v>0</v>
      </c>
      <c r="T33" s="83" t="n">
        <v>0</v>
      </c>
      <c r="U33" s="83" t="n">
        <v>0</v>
      </c>
      <c r="V33" s="83" t="n">
        <v>0</v>
      </c>
      <c r="W33" s="20" t="n">
        <v>0</v>
      </c>
      <c r="X33" s="20" t="n">
        <v>0</v>
      </c>
      <c r="Y33" s="20" t="n">
        <v>0</v>
      </c>
      <c r="Z33" s="20" t="n">
        <v>0</v>
      </c>
      <c r="AA33" s="20" t="n">
        <v>0</v>
      </c>
      <c r="AB33" s="20" t="n">
        <v>0</v>
      </c>
      <c r="AC33" s="20" t="n">
        <v>0</v>
      </c>
      <c r="AD33" s="20" t="n">
        <v>0</v>
      </c>
      <c r="AE33" s="20" t="n">
        <v>0</v>
      </c>
      <c r="AF33" s="20" t="n">
        <v>0</v>
      </c>
      <c r="AG33" s="20" t="n">
        <v>0</v>
      </c>
      <c r="AH33" s="20" t="n">
        <v>0</v>
      </c>
      <c r="AI33" s="20" t="n">
        <v>0</v>
      </c>
      <c r="AJ33" s="20" t="n">
        <v>0</v>
      </c>
      <c r="AK33" s="20" t="n">
        <v>0</v>
      </c>
      <c r="AL33" s="20" t="n">
        <v>0</v>
      </c>
      <c r="AM33" s="20" t="n">
        <v>0</v>
      </c>
      <c r="AN33" s="20" t="n">
        <v>0</v>
      </c>
      <c r="AO33" s="20" t="n">
        <v>0</v>
      </c>
      <c r="AP33" s="20" t="n">
        <v>0</v>
      </c>
      <c r="AQ33" s="20" t="n">
        <v>0</v>
      </c>
      <c r="AR33" s="20" t="n">
        <v>0</v>
      </c>
      <c r="AS33" s="20" t="n">
        <v>0</v>
      </c>
      <c r="AT33" s="20" t="n">
        <v>0</v>
      </c>
      <c r="AU33" s="20" t="n">
        <v>0</v>
      </c>
      <c r="AV33" s="20" t="n">
        <v>0</v>
      </c>
      <c r="AW33" s="20" t="n">
        <v>0</v>
      </c>
      <c r="AX33" s="20" t="n">
        <v>0</v>
      </c>
      <c r="AY33" s="20" t="n">
        <v>0</v>
      </c>
    </row>
    <row r="34">
      <c r="B34" s="32" t="inlineStr">
        <is>
          <t>Total Marketing</t>
        </is>
      </c>
      <c r="C34" s="34" t="n"/>
      <c r="D34" s="35">
        <f>SUM(D29:D33)</f>
        <v/>
      </c>
      <c r="E34" s="35">
        <f>SUM(E29:E33)</f>
        <v/>
      </c>
      <c r="F34" s="35">
        <f>SUM(F29:F33)</f>
        <v/>
      </c>
      <c r="G34" s="35">
        <f>SUM(G29:G33)</f>
        <v/>
      </c>
      <c r="H34" s="35">
        <f>SUM(H29:H33)</f>
        <v/>
      </c>
      <c r="I34" s="35">
        <f>SUM(I29:I33)</f>
        <v/>
      </c>
      <c r="J34" s="35">
        <f>SUM(J29:J33)</f>
        <v/>
      </c>
      <c r="K34" s="35">
        <f>SUM(K29:K33)</f>
        <v/>
      </c>
      <c r="L34" s="35">
        <f>SUM(L29:L33)</f>
        <v/>
      </c>
      <c r="M34" s="35">
        <f>SUM(M29:M33)</f>
        <v/>
      </c>
      <c r="N34" s="35">
        <f>SUM(N29:N33)</f>
        <v/>
      </c>
      <c r="O34" s="35">
        <f>SUM(O29:O33)</f>
        <v/>
      </c>
      <c r="P34" s="35">
        <f>P29+P30+P31+P32+P33</f>
        <v/>
      </c>
      <c r="Q34" s="35">
        <f>Q29+Q30+Q31+Q32+Q33</f>
        <v/>
      </c>
      <c r="R34" s="35">
        <f>R29+R30+R31+R32+R33</f>
        <v/>
      </c>
      <c r="S34" s="35">
        <f>S29+S30+S31+S32+S33</f>
        <v/>
      </c>
      <c r="T34" s="84">
        <f>T29+T30+T31+T32+T33</f>
        <v/>
      </c>
      <c r="U34" s="84">
        <f>U29+U30+U31+U32+U33</f>
        <v/>
      </c>
      <c r="V34" s="84">
        <f>V29+V30+V31+V32+V33</f>
        <v/>
      </c>
      <c r="W34" s="17">
        <f>W29+W30+W31+W32+W33</f>
        <v/>
      </c>
      <c r="X34" s="17">
        <f>X29+X30+X31+X32+X33</f>
        <v/>
      </c>
      <c r="Y34" s="17">
        <f>Y29+Y30+Y31+Y32+Y33</f>
        <v/>
      </c>
      <c r="Z34" s="17">
        <f>Z29+Z30+Z31+Z32+Z33</f>
        <v/>
      </c>
      <c r="AA34" s="17">
        <f>AA29+AA30+AA31+AA32+AA33</f>
        <v/>
      </c>
      <c r="AB34" s="17">
        <f>AB29+AB30+AB31+AB32+AB33</f>
        <v/>
      </c>
      <c r="AC34" s="17">
        <f>AC29+AC30+AC31+AC32+AC33</f>
        <v/>
      </c>
      <c r="AD34" s="17">
        <f>AD29+AD30+AD31+AD32+AD33</f>
        <v/>
      </c>
      <c r="AE34" s="17">
        <f>AE29+AE30+AE31+AE32+AE33</f>
        <v/>
      </c>
      <c r="AF34" s="17">
        <f>AF29+AF30+AF31+AF32+AF33</f>
        <v/>
      </c>
      <c r="AG34" s="17">
        <f>AG29+AG30+AG31+AG32+AG33</f>
        <v/>
      </c>
      <c r="AH34" s="17">
        <f>AH29+AH30+AH31+AH32+AH33</f>
        <v/>
      </c>
      <c r="AI34" s="17">
        <f>AI29+AI30+AI31+AI32+AI33</f>
        <v/>
      </c>
      <c r="AJ34" s="17">
        <f>AJ29+AJ30+AJ31+AJ32+AJ33</f>
        <v/>
      </c>
      <c r="AK34" s="17">
        <f>AK29+AK30+AK31+AK32+AK33</f>
        <v/>
      </c>
      <c r="AL34" s="17">
        <f>AL29+AL30+AL31+AL32+AL33</f>
        <v/>
      </c>
      <c r="AM34" s="17">
        <f>AM29+AM30+AM31+AM32+AM33</f>
        <v/>
      </c>
      <c r="AN34" s="17">
        <f>AN29+AN30+AN31+AN32+AN33</f>
        <v/>
      </c>
      <c r="AO34" s="17">
        <f>AO29+AO30+AO31+AO32+AO33</f>
        <v/>
      </c>
      <c r="AP34" s="17">
        <f>AP29+AP30+AP31+AP32+AP33</f>
        <v/>
      </c>
      <c r="AQ34" s="17">
        <f>AQ29+AQ30+AQ31+AQ32+AQ33</f>
        <v/>
      </c>
      <c r="AR34" s="17">
        <f>AR29+AR30+AR31+AR32+AR33</f>
        <v/>
      </c>
      <c r="AS34" s="17">
        <f>AS29+AS30+AS31+AS32+AS33</f>
        <v/>
      </c>
      <c r="AT34" s="17">
        <f>AT29+AT30+AT31+AT32+AT33</f>
        <v/>
      </c>
      <c r="AU34" s="17">
        <f>AU29+AU30+AU31+AU32+AU33</f>
        <v/>
      </c>
      <c r="AV34" s="17">
        <f>AV29+AV30+AV31+AV32+AV33</f>
        <v/>
      </c>
      <c r="AW34" s="17">
        <f>AW29+AW30+AW31+AW32+AW33</f>
        <v/>
      </c>
      <c r="AX34" s="17">
        <f>AX29+AX30+AX31+AX32+AX33</f>
        <v/>
      </c>
      <c r="AY34" s="17">
        <f>AY29+AY30+AY31+AY32+AY33</f>
        <v/>
      </c>
    </row>
    <row r="35">
      <c r="B35" s="33" t="inlineStr">
        <is>
          <t>602001 Wages (incl 1099 &amp; Bonus)</t>
        </is>
      </c>
      <c r="D35" s="19" t="n">
        <v>47131.67</v>
      </c>
      <c r="E35" s="19" t="n">
        <v>44706.41</v>
      </c>
      <c r="F35" s="19" t="n">
        <v>51633.23</v>
      </c>
      <c r="G35" s="19" t="n">
        <v>44141.5</v>
      </c>
      <c r="H35" s="19" t="n">
        <v>49761.89</v>
      </c>
      <c r="I35" s="19" t="n">
        <v>46010.63</v>
      </c>
      <c r="J35" s="19" t="n">
        <v>45228.67</v>
      </c>
      <c r="K35" s="19" t="n">
        <v>49076.32</v>
      </c>
      <c r="L35" s="19" t="n">
        <v>46071.96</v>
      </c>
      <c r="M35" s="19" t="n">
        <v>45374.11</v>
      </c>
      <c r="N35" s="19" t="n">
        <v>46265.48</v>
      </c>
      <c r="O35" s="19" t="n">
        <v>48476.44</v>
      </c>
      <c r="P35" s="19" t="n">
        <v>53569.86</v>
      </c>
      <c r="Q35" s="19" t="n">
        <v>45269.74</v>
      </c>
      <c r="R35" s="19" t="n">
        <v>50483.61</v>
      </c>
      <c r="S35" s="19" t="n">
        <v>48918.6</v>
      </c>
      <c r="T35" s="83" t="n">
        <v>46338.59</v>
      </c>
      <c r="U35" s="83" t="n">
        <v>43849.66</v>
      </c>
      <c r="V35" s="83" t="n">
        <v>43106.63</v>
      </c>
      <c r="W35" s="20" t="n">
        <v>41413.73</v>
      </c>
      <c r="X35" s="20" t="n">
        <v>43268.43</v>
      </c>
      <c r="Y35" s="20" t="n">
        <v>45285.75</v>
      </c>
      <c r="Z35" s="20" t="n">
        <v>47951.33</v>
      </c>
      <c r="AA35" s="20" t="n">
        <v>51055.88</v>
      </c>
      <c r="AB35" s="20" t="n">
        <v>40664.36</v>
      </c>
      <c r="AC35" s="20" t="n">
        <v>40625.33</v>
      </c>
      <c r="AD35" s="20" t="n">
        <v>34619.86</v>
      </c>
      <c r="AE35" s="20" t="n">
        <v>35938.11</v>
      </c>
      <c r="AF35" s="20" t="n">
        <v>42329.64</v>
      </c>
      <c r="AG35" s="20" t="n">
        <v>37828.54</v>
      </c>
      <c r="AH35" s="20" t="n">
        <v>34441.26</v>
      </c>
      <c r="AI35" s="20" t="n">
        <v>36324.13</v>
      </c>
      <c r="AJ35" s="20" t="n">
        <v>37477.66</v>
      </c>
      <c r="AK35" s="20" t="n">
        <v>39849.89</v>
      </c>
      <c r="AL35" s="20" t="n">
        <v>40707.25</v>
      </c>
      <c r="AM35" s="20" t="n">
        <v>44854.49</v>
      </c>
      <c r="AN35" s="20" t="n">
        <v>40664.36</v>
      </c>
      <c r="AO35" s="20" t="n">
        <v>40625.33</v>
      </c>
      <c r="AP35" s="20" t="n">
        <v>34619.86</v>
      </c>
      <c r="AQ35" s="20" t="n">
        <v>35938.11</v>
      </c>
      <c r="AR35" s="20" t="n">
        <v>42329.64</v>
      </c>
      <c r="AS35" s="20" t="n">
        <v>37828.54</v>
      </c>
      <c r="AT35" s="20" t="n">
        <v>34441.26</v>
      </c>
      <c r="AU35" s="20" t="n">
        <v>36324.13</v>
      </c>
      <c r="AV35" s="20" t="n">
        <v>37477.66</v>
      </c>
      <c r="AW35" s="20" t="n">
        <v>39849.89</v>
      </c>
      <c r="AX35" s="20" t="n">
        <v>40707.25</v>
      </c>
      <c r="AY35" s="20" t="n">
        <v>44854.49</v>
      </c>
    </row>
    <row r="36">
      <c r="B36" s="33" t="inlineStr">
        <is>
          <t xml:space="preserve">  602004 Payroll Taxes</t>
        </is>
      </c>
      <c r="D36" s="19" t="n">
        <v>5601.59</v>
      </c>
      <c r="E36" s="19" t="n">
        <v>4241.17</v>
      </c>
      <c r="F36" s="19" t="n">
        <v>4058.89</v>
      </c>
      <c r="G36" s="19" t="n">
        <v>3607.45</v>
      </c>
      <c r="H36" s="19" t="n">
        <v>3918.25</v>
      </c>
      <c r="I36" s="19" t="n">
        <v>3681.89</v>
      </c>
      <c r="J36" s="19" t="n">
        <v>3764.68</v>
      </c>
      <c r="K36" s="19" t="n">
        <v>4102.57</v>
      </c>
      <c r="L36" s="19" t="n">
        <v>3992.68</v>
      </c>
      <c r="M36" s="19" t="n">
        <v>3965.95</v>
      </c>
      <c r="N36" s="19" t="n">
        <v>4189.02</v>
      </c>
      <c r="O36" s="19" t="n">
        <v>4860.72</v>
      </c>
      <c r="P36" s="19" t="n">
        <v>8608.49</v>
      </c>
      <c r="Q36" s="19" t="n">
        <v>4671.71</v>
      </c>
      <c r="R36" s="19" t="n">
        <v>4875.87</v>
      </c>
      <c r="S36" s="19" t="n">
        <v>4083.91</v>
      </c>
      <c r="T36" s="83" t="n">
        <v>3854.15</v>
      </c>
      <c r="U36" s="83" t="n">
        <v>3654.53</v>
      </c>
      <c r="V36" s="83" t="n">
        <v>3575.32</v>
      </c>
      <c r="W36" s="20" t="n">
        <v>4646.05</v>
      </c>
      <c r="X36" s="20" t="n">
        <v>4854.12</v>
      </c>
      <c r="Y36" s="20" t="n">
        <v>5080.43</v>
      </c>
      <c r="Z36" s="20" t="n">
        <v>5379.47</v>
      </c>
      <c r="AA36" s="20" t="n">
        <v>5727.76</v>
      </c>
      <c r="AB36" s="20" t="n">
        <v>4561.98</v>
      </c>
      <c r="AC36" s="20" t="n">
        <v>4557.6</v>
      </c>
      <c r="AD36" s="20" t="n">
        <v>3883.87</v>
      </c>
      <c r="AE36" s="20" t="n">
        <v>4031.76</v>
      </c>
      <c r="AF36" s="20" t="n">
        <v>4748.8</v>
      </c>
      <c r="AG36" s="20" t="n">
        <v>4243.84</v>
      </c>
      <c r="AH36" s="20" t="n">
        <v>3863.83</v>
      </c>
      <c r="AI36" s="20" t="n">
        <v>4075.06</v>
      </c>
      <c r="AJ36" s="20" t="n">
        <v>4204.47</v>
      </c>
      <c r="AK36" s="20" t="n">
        <v>4470.6</v>
      </c>
      <c r="AL36" s="20" t="n">
        <v>4566.79</v>
      </c>
      <c r="AM36" s="20" t="n">
        <v>5032.05</v>
      </c>
      <c r="AN36" s="20" t="n">
        <v>4561.98</v>
      </c>
      <c r="AO36" s="20" t="n">
        <v>4557.6</v>
      </c>
      <c r="AP36" s="20" t="n">
        <v>3883.87</v>
      </c>
      <c r="AQ36" s="20" t="n">
        <v>4031.76</v>
      </c>
      <c r="AR36" s="20" t="n">
        <v>4748.8</v>
      </c>
      <c r="AS36" s="20" t="n">
        <v>4243.84</v>
      </c>
      <c r="AT36" s="20" t="n">
        <v>3863.83</v>
      </c>
      <c r="AU36" s="20" t="n">
        <v>4075.06</v>
      </c>
      <c r="AV36" s="20" t="n">
        <v>4204.47</v>
      </c>
      <c r="AW36" s="20" t="n">
        <v>4470.6</v>
      </c>
      <c r="AX36" s="20" t="n">
        <v>4566.79</v>
      </c>
      <c r="AY36" s="20" t="n">
        <v>5032.05</v>
      </c>
    </row>
    <row r="37">
      <c r="B37" s="33" t="inlineStr">
        <is>
          <t>602005 Employee Benefits (incl Workers Comp)</t>
        </is>
      </c>
      <c r="D37" s="19" t="n">
        <v>1710.25</v>
      </c>
      <c r="E37" s="19" t="n">
        <v>2203.27</v>
      </c>
      <c r="F37" s="19" t="n">
        <v>411.99</v>
      </c>
      <c r="G37" s="19" t="n">
        <v>-506.25</v>
      </c>
      <c r="H37" s="19" t="n">
        <v>-792.6900000000001</v>
      </c>
      <c r="I37" s="19" t="n">
        <v>715.0599999999999</v>
      </c>
      <c r="J37" s="19" t="n">
        <v>1448.58</v>
      </c>
      <c r="K37" s="19" t="n">
        <v>1990.15</v>
      </c>
      <c r="L37" s="19" t="n">
        <v>2014.72</v>
      </c>
      <c r="M37" s="19" t="n">
        <v>3048.32</v>
      </c>
      <c r="N37" s="19" t="n">
        <v>1185.44</v>
      </c>
      <c r="O37" s="19" t="n">
        <v>500.23</v>
      </c>
      <c r="P37" s="19" t="n">
        <v>576.08</v>
      </c>
      <c r="Q37" s="19" t="n">
        <v>604.4299999999999</v>
      </c>
      <c r="R37" s="19" t="n">
        <v>788.96</v>
      </c>
      <c r="S37" s="19" t="n">
        <v>633.3200000000001</v>
      </c>
      <c r="T37" s="83" t="n">
        <v>505.23</v>
      </c>
      <c r="U37" s="83" t="n">
        <v>643.24</v>
      </c>
      <c r="V37" s="83" t="n">
        <v>554.54</v>
      </c>
      <c r="W37" s="20" t="n">
        <v>535.59</v>
      </c>
      <c r="X37" s="20" t="n">
        <v>559.58</v>
      </c>
      <c r="Y37" s="20" t="n">
        <v>585.66</v>
      </c>
      <c r="Z37" s="20" t="n">
        <v>620.14</v>
      </c>
      <c r="AA37" s="20" t="n">
        <v>660.29</v>
      </c>
      <c r="AB37" s="20" t="n">
        <v>525.9</v>
      </c>
      <c r="AC37" s="20" t="n">
        <v>525.39</v>
      </c>
      <c r="AD37" s="20" t="n">
        <v>447.73</v>
      </c>
      <c r="AE37" s="20" t="n">
        <v>464.77</v>
      </c>
      <c r="AF37" s="20" t="n">
        <v>547.4299999999999</v>
      </c>
      <c r="AG37" s="20" t="n">
        <v>489.22</v>
      </c>
      <c r="AH37" s="20" t="n">
        <v>445.42</v>
      </c>
      <c r="AI37" s="20" t="n">
        <v>469.77</v>
      </c>
      <c r="AJ37" s="20" t="n">
        <v>484.69</v>
      </c>
      <c r="AK37" s="20" t="n">
        <v>515.36</v>
      </c>
      <c r="AL37" s="20" t="n">
        <v>526.45</v>
      </c>
      <c r="AM37" s="20" t="n">
        <v>580.09</v>
      </c>
      <c r="AN37" s="20" t="n">
        <v>525.9</v>
      </c>
      <c r="AO37" s="20" t="n">
        <v>525.39</v>
      </c>
      <c r="AP37" s="20" t="n">
        <v>447.73</v>
      </c>
      <c r="AQ37" s="20" t="n">
        <v>464.77</v>
      </c>
      <c r="AR37" s="20" t="n">
        <v>547.4299999999999</v>
      </c>
      <c r="AS37" s="20" t="n">
        <v>489.22</v>
      </c>
      <c r="AT37" s="20" t="n">
        <v>445.42</v>
      </c>
      <c r="AU37" s="20" t="n">
        <v>469.77</v>
      </c>
      <c r="AV37" s="20" t="n">
        <v>484.69</v>
      </c>
      <c r="AW37" s="20" t="n">
        <v>515.36</v>
      </c>
      <c r="AX37" s="20" t="n">
        <v>526.45</v>
      </c>
      <c r="AY37" s="20" t="n">
        <v>580.09</v>
      </c>
    </row>
    <row r="38">
      <c r="B38" s="33" t="inlineStr">
        <is>
          <t xml:space="preserve">  602010 Payroll Processing Fees</t>
        </is>
      </c>
      <c r="D38" s="19" t="n">
        <v>862.9299999999999</v>
      </c>
      <c r="E38" s="19" t="n">
        <v>334.34</v>
      </c>
      <c r="F38" s="19" t="n">
        <v>331.49</v>
      </c>
      <c r="G38" s="19" t="n">
        <v>463.71</v>
      </c>
      <c r="H38" s="19" t="n">
        <v>345.74</v>
      </c>
      <c r="I38" s="19" t="n">
        <v>342.89</v>
      </c>
      <c r="J38" s="19" t="n">
        <v>342.89</v>
      </c>
      <c r="K38" s="19" t="n">
        <v>518.61</v>
      </c>
      <c r="L38" s="19" t="n">
        <v>351.44</v>
      </c>
      <c r="M38" s="19" t="n">
        <v>351.44</v>
      </c>
      <c r="N38" s="19" t="n">
        <v>357.14</v>
      </c>
      <c r="O38" s="19" t="n">
        <v>1458.02</v>
      </c>
      <c r="P38" s="19" t="n">
        <v>2263.63</v>
      </c>
      <c r="Q38" s="19" t="n">
        <v>2268.79</v>
      </c>
      <c r="R38" s="19" t="n">
        <v>3275.92</v>
      </c>
      <c r="S38" s="19" t="n">
        <v>2263.27</v>
      </c>
      <c r="T38" s="83" t="n">
        <v>2125.12</v>
      </c>
      <c r="U38" s="83" t="n">
        <v>2043.79</v>
      </c>
      <c r="V38" s="83" t="n">
        <v>1944.91</v>
      </c>
      <c r="W38" s="20" t="n">
        <v>2104.01</v>
      </c>
      <c r="X38" s="20" t="n">
        <v>2198.24</v>
      </c>
      <c r="Y38" s="20" t="n">
        <v>2300.73</v>
      </c>
      <c r="Z38" s="20" t="n">
        <v>2436.15</v>
      </c>
      <c r="AA38" s="20" t="n">
        <v>2593.88</v>
      </c>
      <c r="AB38" s="20" t="n">
        <v>2065.94</v>
      </c>
      <c r="AC38" s="20" t="n">
        <v>2063.96</v>
      </c>
      <c r="AD38" s="20" t="n">
        <v>1758.85</v>
      </c>
      <c r="AE38" s="20" t="n">
        <v>1825.82</v>
      </c>
      <c r="AF38" s="20" t="n">
        <v>2150.54</v>
      </c>
      <c r="AG38" s="20" t="n">
        <v>1921.87</v>
      </c>
      <c r="AH38" s="20" t="n">
        <v>1749.78</v>
      </c>
      <c r="AI38" s="20" t="n">
        <v>1845.44</v>
      </c>
      <c r="AJ38" s="20" t="n">
        <v>1904.04</v>
      </c>
      <c r="AK38" s="20" t="n">
        <v>2024.56</v>
      </c>
      <c r="AL38" s="20" t="n">
        <v>2068.12</v>
      </c>
      <c r="AM38" s="20" t="n">
        <v>2278.82</v>
      </c>
      <c r="AN38" s="20" t="n">
        <v>2065.94</v>
      </c>
      <c r="AO38" s="20" t="n">
        <v>2063.96</v>
      </c>
      <c r="AP38" s="20" t="n">
        <v>1758.85</v>
      </c>
      <c r="AQ38" s="20" t="n">
        <v>1825.82</v>
      </c>
      <c r="AR38" s="20" t="n">
        <v>2150.54</v>
      </c>
      <c r="AS38" s="20" t="n">
        <v>1921.87</v>
      </c>
      <c r="AT38" s="20" t="n">
        <v>1749.78</v>
      </c>
      <c r="AU38" s="20" t="n">
        <v>1845.44</v>
      </c>
      <c r="AV38" s="20" t="n">
        <v>1904.04</v>
      </c>
      <c r="AW38" s="20" t="n">
        <v>2024.56</v>
      </c>
      <c r="AX38" s="20" t="n">
        <v>2068.12</v>
      </c>
      <c r="AY38" s="20" t="n">
        <v>2278.82</v>
      </c>
    </row>
    <row r="39">
      <c r="B39" s="32" t="inlineStr">
        <is>
          <t>Total Payroll</t>
        </is>
      </c>
      <c r="C39" s="34" t="n"/>
      <c r="D39" s="35">
        <f>SUM(D35:D38)</f>
        <v/>
      </c>
      <c r="E39" s="35">
        <f>SUM(E35:E38)</f>
        <v/>
      </c>
      <c r="F39" s="35">
        <f>SUM(F35:F38)</f>
        <v/>
      </c>
      <c r="G39" s="35">
        <f>SUM(G35:G38)</f>
        <v/>
      </c>
      <c r="H39" s="35">
        <f>SUM(H35:H38)</f>
        <v/>
      </c>
      <c r="I39" s="35">
        <f>SUM(I35:I38)</f>
        <v/>
      </c>
      <c r="J39" s="35">
        <f>SUM(J35:J38)</f>
        <v/>
      </c>
      <c r="K39" s="35">
        <f>SUM(K35:K38)</f>
        <v/>
      </c>
      <c r="L39" s="35">
        <f>SUM(L35:L38)</f>
        <v/>
      </c>
      <c r="M39" s="35">
        <f>SUM(M35:M38)</f>
        <v/>
      </c>
      <c r="N39" s="35">
        <f>SUM(N35:N38)</f>
        <v/>
      </c>
      <c r="O39" s="35">
        <f>SUM(O35:O38)</f>
        <v/>
      </c>
      <c r="P39" s="35">
        <f>P35+P36+P37+P38</f>
        <v/>
      </c>
      <c r="Q39" s="35">
        <f>Q35+Q36+Q37+Q38</f>
        <v/>
      </c>
      <c r="R39" s="35">
        <f>R35+R36+R37+R38</f>
        <v/>
      </c>
      <c r="S39" s="35">
        <f>S35+S36+S37+S38</f>
        <v/>
      </c>
      <c r="T39" s="84">
        <f>T35+T36+T37+T38</f>
        <v/>
      </c>
      <c r="U39" s="84">
        <f>U35+U36+U37+U38</f>
        <v/>
      </c>
      <c r="V39" s="84">
        <f>V35+V36+V37+V38</f>
        <v/>
      </c>
      <c r="W39" s="17">
        <f>W35+W36+W37+W38</f>
        <v/>
      </c>
      <c r="X39" s="17">
        <f>X35+X36+X37+X38</f>
        <v/>
      </c>
      <c r="Y39" s="17">
        <f>Y35+Y36+Y37+Y38</f>
        <v/>
      </c>
      <c r="Z39" s="17">
        <f>Z35+Z36+Z37+Z38</f>
        <v/>
      </c>
      <c r="AA39" s="17">
        <f>AA35+AA36+AA37+AA38</f>
        <v/>
      </c>
      <c r="AB39" s="17">
        <f>AB35+AB36+AB37+AB38</f>
        <v/>
      </c>
      <c r="AC39" s="17">
        <f>AC35+AC36+AC37+AC38</f>
        <v/>
      </c>
      <c r="AD39" s="17">
        <f>AD35+AD36+AD37+AD38</f>
        <v/>
      </c>
      <c r="AE39" s="17">
        <f>AE35+AE36+AE37+AE38</f>
        <v/>
      </c>
      <c r="AF39" s="17">
        <f>AF35+AF36+AF37+AF38</f>
        <v/>
      </c>
      <c r="AG39" s="17">
        <f>AG35+AG36+AG37+AG38</f>
        <v/>
      </c>
      <c r="AH39" s="17">
        <f>AH35+AH36+AH37+AH38</f>
        <v/>
      </c>
      <c r="AI39" s="17">
        <f>AI35+AI36+AI37+AI38</f>
        <v/>
      </c>
      <c r="AJ39" s="17">
        <f>AJ35+AJ36+AJ37+AJ38</f>
        <v/>
      </c>
      <c r="AK39" s="17">
        <f>AK35+AK36+AK37+AK38</f>
        <v/>
      </c>
      <c r="AL39" s="17">
        <f>AL35+AL36+AL37+AL38</f>
        <v/>
      </c>
      <c r="AM39" s="17">
        <f>AM35+AM36+AM37+AM38</f>
        <v/>
      </c>
      <c r="AN39" s="17">
        <f>AN35+AN36+AN37+AN38</f>
        <v/>
      </c>
      <c r="AO39" s="17">
        <f>AO35+AO36+AO37+AO38</f>
        <v/>
      </c>
      <c r="AP39" s="17">
        <f>AP35+AP36+AP37+AP38</f>
        <v/>
      </c>
      <c r="AQ39" s="17">
        <f>AQ35+AQ36+AQ37+AQ38</f>
        <v/>
      </c>
      <c r="AR39" s="17">
        <f>AR35+AR36+AR37+AR38</f>
        <v/>
      </c>
      <c r="AS39" s="17">
        <f>AS35+AS36+AS37+AS38</f>
        <v/>
      </c>
      <c r="AT39" s="17">
        <f>AT35+AT36+AT37+AT38</f>
        <v/>
      </c>
      <c r="AU39" s="17">
        <f>AU35+AU36+AU37+AU38</f>
        <v/>
      </c>
      <c r="AV39" s="17">
        <f>AV35+AV36+AV37+AV38</f>
        <v/>
      </c>
      <c r="AW39" s="17">
        <f>AW35+AW36+AW37+AW38</f>
        <v/>
      </c>
      <c r="AX39" s="17">
        <f>AX35+AX36+AX37+AX38</f>
        <v/>
      </c>
      <c r="AY39" s="17">
        <f>AY35+AY36+AY37+AY38</f>
        <v/>
      </c>
    </row>
    <row r="40">
      <c r="B40" s="33" t="inlineStr">
        <is>
          <t xml:space="preserve">  603000 Software &amp; Web Services</t>
        </is>
      </c>
      <c r="D40" s="19" t="n">
        <v>789.62</v>
      </c>
      <c r="E40" s="19" t="n">
        <v>837.5</v>
      </c>
      <c r="F40" s="19" t="n">
        <v>595.3</v>
      </c>
      <c r="G40" s="19" t="n">
        <v>1222.24</v>
      </c>
      <c r="H40" s="19" t="n">
        <v>1287.99</v>
      </c>
      <c r="I40" s="19" t="n">
        <v>1042.77</v>
      </c>
      <c r="J40" s="19" t="n">
        <v>707.99</v>
      </c>
      <c r="K40" s="19" t="n">
        <v>1705.78</v>
      </c>
      <c r="L40" s="19" t="n">
        <v>626.99</v>
      </c>
      <c r="M40" s="19" t="n">
        <v>736.08</v>
      </c>
      <c r="N40" s="19" t="n">
        <v>831.09</v>
      </c>
      <c r="O40" s="19" t="n">
        <v>736.08</v>
      </c>
      <c r="P40" s="19" t="n">
        <v>790.53</v>
      </c>
      <c r="Q40" s="19" t="n">
        <v>1351.94</v>
      </c>
      <c r="R40" s="19" t="n">
        <v>737.08</v>
      </c>
      <c r="S40" s="19" t="n">
        <v>1555.7</v>
      </c>
      <c r="T40" s="83" t="n">
        <v>762.26</v>
      </c>
      <c r="U40" s="83" t="n">
        <v>762.26</v>
      </c>
      <c r="V40" s="83" t="n">
        <v>1106.46</v>
      </c>
      <c r="W40" s="20" t="n">
        <v>864.3099999999999</v>
      </c>
      <c r="X40" s="20" t="n">
        <v>864.3099999999999</v>
      </c>
      <c r="Y40" s="20" t="n">
        <v>864.3099999999999</v>
      </c>
      <c r="Z40" s="20" t="n">
        <v>864.3099999999999</v>
      </c>
      <c r="AA40" s="20" t="n">
        <v>864.3099999999999</v>
      </c>
      <c r="AB40" s="20" t="n">
        <v>864.3099999999999</v>
      </c>
      <c r="AC40" s="20" t="n">
        <v>864.3099999999999</v>
      </c>
      <c r="AD40" s="20" t="n">
        <v>864.3099999999999</v>
      </c>
      <c r="AE40" s="20" t="n">
        <v>864.3099999999999</v>
      </c>
      <c r="AF40" s="20" t="n">
        <v>864.3099999999999</v>
      </c>
      <c r="AG40" s="20" t="n">
        <v>864.3099999999999</v>
      </c>
      <c r="AH40" s="20" t="n">
        <v>864.3099999999999</v>
      </c>
      <c r="AI40" s="20" t="n">
        <v>864.3099999999999</v>
      </c>
      <c r="AJ40" s="20" t="n">
        <v>864.3099999999999</v>
      </c>
      <c r="AK40" s="20" t="n">
        <v>864.3099999999999</v>
      </c>
      <c r="AL40" s="20" t="n">
        <v>864.3099999999999</v>
      </c>
      <c r="AM40" s="20" t="n">
        <v>864.3099999999999</v>
      </c>
      <c r="AN40" s="20" t="n">
        <v>864.3099999999999</v>
      </c>
      <c r="AO40" s="20" t="n">
        <v>864.3099999999999</v>
      </c>
      <c r="AP40" s="20" t="n">
        <v>864.3099999999999</v>
      </c>
      <c r="AQ40" s="20" t="n">
        <v>864.3099999999999</v>
      </c>
      <c r="AR40" s="20" t="n">
        <v>864.3099999999999</v>
      </c>
      <c r="AS40" s="20" t="n">
        <v>864.3099999999999</v>
      </c>
      <c r="AT40" s="20" t="n">
        <v>864.3099999999999</v>
      </c>
      <c r="AU40" s="20" t="n">
        <v>864.3099999999999</v>
      </c>
      <c r="AV40" s="20" t="n">
        <v>864.3099999999999</v>
      </c>
      <c r="AW40" s="20" t="n">
        <v>864.3099999999999</v>
      </c>
      <c r="AX40" s="20" t="n">
        <v>864.3099999999999</v>
      </c>
      <c r="AY40" s="20" t="n">
        <v>864.3099999999999</v>
      </c>
    </row>
    <row r="41">
      <c r="B41" s="33" t="inlineStr">
        <is>
          <t xml:space="preserve">  608000 Insurance</t>
        </is>
      </c>
      <c r="D41" s="19" t="n">
        <v>239.07</v>
      </c>
      <c r="E41" s="19" t="n">
        <v>239.07</v>
      </c>
      <c r="F41" s="19" t="n">
        <v>239.07</v>
      </c>
      <c r="G41" s="19" t="n">
        <v>239.07</v>
      </c>
      <c r="H41" s="19" t="n">
        <v>239.07</v>
      </c>
      <c r="I41" s="19" t="n">
        <v>239.07</v>
      </c>
      <c r="J41" s="19" t="n">
        <v>239.07</v>
      </c>
      <c r="K41" s="19" t="n">
        <v>239.07</v>
      </c>
      <c r="L41" s="19" t="n">
        <v>239.07</v>
      </c>
      <c r="M41" s="19" t="n">
        <v>451.07</v>
      </c>
      <c r="N41" s="19" t="n">
        <v>451.07</v>
      </c>
      <c r="O41" s="19" t="n">
        <v>451.07</v>
      </c>
      <c r="P41" s="19" t="n">
        <v>94.62</v>
      </c>
      <c r="Q41" s="19" t="n">
        <v>94.62</v>
      </c>
      <c r="R41" s="19" t="n">
        <v>230.72</v>
      </c>
      <c r="S41" s="19" t="n">
        <v>230.72</v>
      </c>
      <c r="T41" s="83" t="n">
        <v>294.83</v>
      </c>
      <c r="U41" s="83" t="n">
        <v>290.82</v>
      </c>
      <c r="V41" s="83" t="n">
        <v>290.82</v>
      </c>
      <c r="W41" s="20" t="n">
        <v>154.38</v>
      </c>
      <c r="X41" s="20" t="n">
        <v>154.38</v>
      </c>
      <c r="Y41" s="20" t="n">
        <v>154.38</v>
      </c>
      <c r="Z41" s="20" t="n">
        <v>154.38</v>
      </c>
      <c r="AA41" s="20" t="n">
        <v>154.38</v>
      </c>
      <c r="AB41" s="20" t="n">
        <v>154.38</v>
      </c>
      <c r="AC41" s="20" t="n">
        <v>154.38</v>
      </c>
      <c r="AD41" s="20" t="n">
        <v>154.38</v>
      </c>
      <c r="AE41" s="20" t="n">
        <v>154.38</v>
      </c>
      <c r="AF41" s="20" t="n">
        <v>154.38</v>
      </c>
      <c r="AG41" s="20" t="n">
        <v>154.38</v>
      </c>
      <c r="AH41" s="20" t="n">
        <v>154.38</v>
      </c>
      <c r="AI41" s="20" t="n">
        <v>154.38</v>
      </c>
      <c r="AJ41" s="20" t="n">
        <v>154.38</v>
      </c>
      <c r="AK41" s="20" t="n">
        <v>154.38</v>
      </c>
      <c r="AL41" s="20" t="n">
        <v>154.38</v>
      </c>
      <c r="AM41" s="20" t="n">
        <v>154.38</v>
      </c>
      <c r="AN41" s="20" t="n">
        <v>154.38</v>
      </c>
      <c r="AO41" s="20" t="n">
        <v>154.38</v>
      </c>
      <c r="AP41" s="20" t="n">
        <v>154.38</v>
      </c>
      <c r="AQ41" s="20" t="n">
        <v>154.38</v>
      </c>
      <c r="AR41" s="20" t="n">
        <v>154.38</v>
      </c>
      <c r="AS41" s="20" t="n">
        <v>154.38</v>
      </c>
      <c r="AT41" s="20" t="n">
        <v>154.38</v>
      </c>
      <c r="AU41" s="20" t="n">
        <v>154.38</v>
      </c>
      <c r="AV41" s="20" t="n">
        <v>154.38</v>
      </c>
      <c r="AW41" s="20" t="n">
        <v>154.38</v>
      </c>
      <c r="AX41" s="20" t="n">
        <v>154.38</v>
      </c>
      <c r="AY41" s="20" t="n">
        <v>154.38</v>
      </c>
    </row>
    <row r="42">
      <c r="B42" s="33" t="inlineStr">
        <is>
          <t>610000 Office Supplies &amp; GE (incl Licenses, Furniture, Shipping, Bank Fees, Start-Up Costs)</t>
        </is>
      </c>
      <c r="D42" s="19" t="n">
        <v>2040.15</v>
      </c>
      <c r="E42" s="19" t="n">
        <v>2230.91</v>
      </c>
      <c r="F42" s="19" t="n">
        <v>896.1</v>
      </c>
      <c r="G42" s="19" t="n">
        <v>1133.09</v>
      </c>
      <c r="H42" s="19" t="n">
        <v>2169.23</v>
      </c>
      <c r="I42" s="19" t="n">
        <v>1548.7</v>
      </c>
      <c r="J42" s="19" t="n">
        <v>5132.93</v>
      </c>
      <c r="K42" s="19" t="n">
        <v>597.22</v>
      </c>
      <c r="L42" s="19" t="n">
        <v>797.03</v>
      </c>
      <c r="M42" s="19" t="n">
        <v>567.04</v>
      </c>
      <c r="N42" s="19" t="n">
        <v>1108.61</v>
      </c>
      <c r="O42" s="19" t="n">
        <v>352.71</v>
      </c>
      <c r="P42" s="19" t="n">
        <v>689.59</v>
      </c>
      <c r="Q42" s="19" t="n">
        <v>852.3</v>
      </c>
      <c r="R42" s="19" t="n">
        <v>1294.74</v>
      </c>
      <c r="S42" s="19" t="n">
        <v>1959.04</v>
      </c>
      <c r="T42" s="83" t="n">
        <v>1238.49</v>
      </c>
      <c r="U42" s="83" t="n">
        <v>1359.53</v>
      </c>
      <c r="V42" s="83" t="n">
        <v>1027.5</v>
      </c>
      <c r="W42" s="20" t="n">
        <v>556.05</v>
      </c>
      <c r="X42" s="20" t="n">
        <v>556.05</v>
      </c>
      <c r="Y42" s="20" t="n">
        <v>556.05</v>
      </c>
      <c r="Z42" s="20" t="n">
        <v>556.05</v>
      </c>
      <c r="AA42" s="20" t="n">
        <v>556.05</v>
      </c>
      <c r="AB42" s="20" t="n">
        <v>556.05</v>
      </c>
      <c r="AC42" s="20" t="n">
        <v>556.05</v>
      </c>
      <c r="AD42" s="20" t="n">
        <v>556.05</v>
      </c>
      <c r="AE42" s="20" t="n">
        <v>556.05</v>
      </c>
      <c r="AF42" s="20" t="n">
        <v>556.05</v>
      </c>
      <c r="AG42" s="20" t="n">
        <v>556.05</v>
      </c>
      <c r="AH42" s="20" t="n">
        <v>556.05</v>
      </c>
      <c r="AI42" s="20" t="n">
        <v>556.05</v>
      </c>
      <c r="AJ42" s="20" t="n">
        <v>556.05</v>
      </c>
      <c r="AK42" s="20" t="n">
        <v>556.05</v>
      </c>
      <c r="AL42" s="20" t="n">
        <v>556.05</v>
      </c>
      <c r="AM42" s="20" t="n">
        <v>556.05</v>
      </c>
      <c r="AN42" s="20" t="n">
        <v>556.05</v>
      </c>
      <c r="AO42" s="20" t="n">
        <v>556.05</v>
      </c>
      <c r="AP42" s="20" t="n">
        <v>556.05</v>
      </c>
      <c r="AQ42" s="20" t="n">
        <v>556.05</v>
      </c>
      <c r="AR42" s="20" t="n">
        <v>556.05</v>
      </c>
      <c r="AS42" s="20" t="n">
        <v>556.05</v>
      </c>
      <c r="AT42" s="20" t="n">
        <v>556.05</v>
      </c>
      <c r="AU42" s="20" t="n">
        <v>556.05</v>
      </c>
      <c r="AV42" s="20" t="n">
        <v>556.05</v>
      </c>
      <c r="AW42" s="20" t="n">
        <v>556.05</v>
      </c>
      <c r="AX42" s="20" t="n">
        <v>556.05</v>
      </c>
      <c r="AY42" s="20" t="n">
        <v>556.05</v>
      </c>
    </row>
    <row r="43">
      <c r="B43" s="32" t="inlineStr">
        <is>
          <t>Total Software &amp; Admin</t>
        </is>
      </c>
      <c r="C43" s="34" t="n"/>
      <c r="D43" s="35">
        <f>D40+D41+D42</f>
        <v/>
      </c>
      <c r="E43" s="35">
        <f>E40+E41+E42</f>
        <v/>
      </c>
      <c r="F43" s="35">
        <f>F40+F41+F42</f>
        <v/>
      </c>
      <c r="G43" s="35">
        <f>G40+G41+G42</f>
        <v/>
      </c>
      <c r="H43" s="35">
        <f>H40+H41+H42</f>
        <v/>
      </c>
      <c r="I43" s="35">
        <f>I40+I41+I42</f>
        <v/>
      </c>
      <c r="J43" s="35">
        <f>J40+J41+J42</f>
        <v/>
      </c>
      <c r="K43" s="35">
        <f>K40+K41+K42</f>
        <v/>
      </c>
      <c r="L43" s="35">
        <f>L40+L41+L42</f>
        <v/>
      </c>
      <c r="M43" s="35">
        <f>M40+M41+M42</f>
        <v/>
      </c>
      <c r="N43" s="35">
        <f>N40+N41+N42</f>
        <v/>
      </c>
      <c r="O43" s="35">
        <f>O40+O41+O42</f>
        <v/>
      </c>
      <c r="P43" s="35">
        <f>P40+P41+P42</f>
        <v/>
      </c>
      <c r="Q43" s="35">
        <f>Q40+Q41+Q42</f>
        <v/>
      </c>
      <c r="R43" s="35">
        <f>R40+R41+R42</f>
        <v/>
      </c>
      <c r="S43" s="35">
        <f>S40+S41+S42</f>
        <v/>
      </c>
      <c r="T43" s="17">
        <f>T40+T41+T42</f>
        <v/>
      </c>
      <c r="U43" s="17">
        <f>U40+U41+U42</f>
        <v/>
      </c>
      <c r="V43" s="17">
        <f>V40+V41+V42</f>
        <v/>
      </c>
      <c r="W43" s="17">
        <f>W40+W41+W42</f>
        <v/>
      </c>
      <c r="X43" s="17">
        <f>X40+X41+X42</f>
        <v/>
      </c>
      <c r="Y43" s="17">
        <f>Y40+Y41+Y42</f>
        <v/>
      </c>
      <c r="Z43" s="17">
        <f>Z40+Z41+Z42</f>
        <v/>
      </c>
      <c r="AA43" s="17">
        <f>AA40+AA41+AA42</f>
        <v/>
      </c>
      <c r="AB43" s="17">
        <f>AB40+AB41+AB42</f>
        <v/>
      </c>
      <c r="AC43" s="17">
        <f>AC40+AC41+AC42</f>
        <v/>
      </c>
      <c r="AD43" s="17">
        <f>AD40+AD41+AD42</f>
        <v/>
      </c>
      <c r="AE43" s="17">
        <f>AE40+AE41+AE42</f>
        <v/>
      </c>
      <c r="AF43" s="17">
        <f>AF40+AF41+AF42</f>
        <v/>
      </c>
      <c r="AG43" s="17">
        <f>AG40+AG41+AG42</f>
        <v/>
      </c>
      <c r="AH43" s="17">
        <f>AH40+AH41+AH42</f>
        <v/>
      </c>
      <c r="AI43" s="17">
        <f>AI40+AI41+AI42</f>
        <v/>
      </c>
      <c r="AJ43" s="17">
        <f>AJ40+AJ41+AJ42</f>
        <v/>
      </c>
      <c r="AK43" s="17">
        <f>AK40+AK41+AK42</f>
        <v/>
      </c>
      <c r="AL43" s="17">
        <f>AL40+AL41+AL42</f>
        <v/>
      </c>
      <c r="AM43" s="17">
        <f>AM40+AM41+AM42</f>
        <v/>
      </c>
      <c r="AN43" s="17">
        <f>AN40+AN41+AN42</f>
        <v/>
      </c>
      <c r="AO43" s="17">
        <f>AO40+AO41+AO42</f>
        <v/>
      </c>
      <c r="AP43" s="17">
        <f>AP40+AP41+AP42</f>
        <v/>
      </c>
      <c r="AQ43" s="17">
        <f>AQ40+AQ41+AQ42</f>
        <v/>
      </c>
      <c r="AR43" s="17">
        <f>AR40+AR41+AR42</f>
        <v/>
      </c>
      <c r="AS43" s="17">
        <f>AS40+AS41+AS42</f>
        <v/>
      </c>
      <c r="AT43" s="17">
        <f>AT40+AT41+AT42</f>
        <v/>
      </c>
      <c r="AU43" s="17">
        <f>AU40+AU41+AU42</f>
        <v/>
      </c>
      <c r="AV43" s="17">
        <f>AV40+AV41+AV42</f>
        <v/>
      </c>
      <c r="AW43" s="17">
        <f>AW40+AW41+AW42</f>
        <v/>
      </c>
      <c r="AX43" s="17">
        <f>AX40+AX41+AX42</f>
        <v/>
      </c>
      <c r="AY43" s="17">
        <f>AY40+AY41+AY42</f>
        <v/>
      </c>
    </row>
    <row r="44">
      <c r="B44" s="33" t="inlineStr">
        <is>
          <t xml:space="preserve">  604100 Legal Fees</t>
        </is>
      </c>
      <c r="D44" s="19" t="n">
        <v>0</v>
      </c>
      <c r="E44" s="19" t="n">
        <v>0</v>
      </c>
      <c r="F44" s="19" t="n">
        <v>220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0</v>
      </c>
      <c r="O44" s="19" t="n">
        <v>0</v>
      </c>
      <c r="P44" s="19" t="n">
        <v>0</v>
      </c>
      <c r="Q44" s="19" t="n">
        <v>0</v>
      </c>
      <c r="R44" s="19" t="n">
        <v>0</v>
      </c>
      <c r="S44" s="19" t="n">
        <v>0</v>
      </c>
      <c r="T44" s="83" t="n">
        <v>0</v>
      </c>
      <c r="U44" s="83" t="n">
        <v>0</v>
      </c>
      <c r="V44" s="83" t="n">
        <v>0</v>
      </c>
      <c r="W44" s="20" t="n">
        <v>0</v>
      </c>
      <c r="X44" s="20" t="n">
        <v>0</v>
      </c>
      <c r="Y44" s="20" t="n">
        <v>0</v>
      </c>
      <c r="Z44" s="20" t="n">
        <v>0</v>
      </c>
      <c r="AA44" s="20" t="n">
        <v>0</v>
      </c>
      <c r="AB44" s="20" t="n">
        <v>0</v>
      </c>
      <c r="AC44" s="20" t="n">
        <v>0</v>
      </c>
      <c r="AD44" s="20" t="n">
        <v>0</v>
      </c>
      <c r="AE44" s="20" t="n">
        <v>0</v>
      </c>
      <c r="AF44" s="20" t="n">
        <v>0</v>
      </c>
      <c r="AG44" s="20" t="n">
        <v>0</v>
      </c>
      <c r="AH44" s="20" t="n">
        <v>0</v>
      </c>
      <c r="AI44" s="20" t="n">
        <v>0</v>
      </c>
      <c r="AJ44" s="20" t="n">
        <v>0</v>
      </c>
      <c r="AK44" s="20" t="n">
        <v>0</v>
      </c>
      <c r="AL44" s="20" t="n">
        <v>0</v>
      </c>
      <c r="AM44" s="20" t="n">
        <v>0</v>
      </c>
      <c r="AN44" s="20" t="n">
        <v>0</v>
      </c>
      <c r="AO44" s="20" t="n">
        <v>0</v>
      </c>
      <c r="AP44" s="20" t="n">
        <v>0</v>
      </c>
      <c r="AQ44" s="20" t="n">
        <v>0</v>
      </c>
      <c r="AR44" s="20" t="n">
        <v>0</v>
      </c>
      <c r="AS44" s="20" t="n">
        <v>0</v>
      </c>
      <c r="AT44" s="20" t="n">
        <v>0</v>
      </c>
      <c r="AU44" s="20" t="n">
        <v>0</v>
      </c>
      <c r="AV44" s="20" t="n">
        <v>0</v>
      </c>
      <c r="AW44" s="20" t="n">
        <v>0</v>
      </c>
      <c r="AX44" s="20" t="n">
        <v>0</v>
      </c>
      <c r="AY44" s="20" t="n">
        <v>0</v>
      </c>
    </row>
    <row r="45">
      <c r="B45" s="33" t="inlineStr">
        <is>
          <t xml:space="preserve">  604200 Accounting</t>
        </is>
      </c>
      <c r="D45" s="19" t="n">
        <v>321.75</v>
      </c>
      <c r="E45" s="19" t="n">
        <v>143</v>
      </c>
      <c r="F45" s="19" t="n">
        <v>225.5</v>
      </c>
      <c r="G45" s="19" t="n">
        <v>45.5</v>
      </c>
      <c r="H45" s="19" t="n">
        <v>2095.5</v>
      </c>
      <c r="I45" s="19" t="n">
        <v>45.5</v>
      </c>
      <c r="J45" s="19" t="n">
        <v>45.5</v>
      </c>
      <c r="K45" s="19" t="n">
        <v>951.75</v>
      </c>
      <c r="L45" s="19" t="n">
        <v>52.5</v>
      </c>
      <c r="M45" s="19" t="n">
        <v>0</v>
      </c>
      <c r="N45" s="19" t="n">
        <v>154.54</v>
      </c>
      <c r="O45" s="19" t="n">
        <v>101.6</v>
      </c>
      <c r="P45" s="19" t="n">
        <v>0</v>
      </c>
      <c r="Q45" s="19" t="n">
        <v>301.82</v>
      </c>
      <c r="R45" s="19" t="n">
        <v>440</v>
      </c>
      <c r="S45" s="19" t="n">
        <v>0</v>
      </c>
      <c r="T45" s="83" t="n">
        <v>0</v>
      </c>
      <c r="U45" s="83" t="n">
        <v>0</v>
      </c>
      <c r="V45" s="83" t="n">
        <v>0</v>
      </c>
      <c r="W45" s="20" t="n">
        <v>136.49</v>
      </c>
      <c r="X45" s="20" t="n">
        <v>136.49</v>
      </c>
      <c r="Y45" s="20" t="n">
        <v>136.49</v>
      </c>
      <c r="Z45" s="20" t="n">
        <v>136.49</v>
      </c>
      <c r="AA45" s="20" t="n">
        <v>136.49</v>
      </c>
      <c r="AB45" s="20" t="n">
        <v>136.49</v>
      </c>
      <c r="AC45" s="20" t="n">
        <v>136.49</v>
      </c>
      <c r="AD45" s="20" t="n">
        <v>136.49</v>
      </c>
      <c r="AE45" s="20" t="n">
        <v>136.49</v>
      </c>
      <c r="AF45" s="20" t="n">
        <v>136.49</v>
      </c>
      <c r="AG45" s="20" t="n">
        <v>136.49</v>
      </c>
      <c r="AH45" s="20" t="n">
        <v>136.49</v>
      </c>
      <c r="AI45" s="20" t="n">
        <v>136.49</v>
      </c>
      <c r="AJ45" s="20" t="n">
        <v>136.49</v>
      </c>
      <c r="AK45" s="20" t="n">
        <v>136.49</v>
      </c>
      <c r="AL45" s="20" t="n">
        <v>136.49</v>
      </c>
      <c r="AM45" s="20" t="n">
        <v>136.49</v>
      </c>
      <c r="AN45" s="20" t="n">
        <v>136.49</v>
      </c>
      <c r="AO45" s="20" t="n">
        <v>136.49</v>
      </c>
      <c r="AP45" s="20" t="n">
        <v>136.49</v>
      </c>
      <c r="AQ45" s="20" t="n">
        <v>136.49</v>
      </c>
      <c r="AR45" s="20" t="n">
        <v>136.49</v>
      </c>
      <c r="AS45" s="20" t="n">
        <v>136.49</v>
      </c>
      <c r="AT45" s="20" t="n">
        <v>136.49</v>
      </c>
      <c r="AU45" s="20" t="n">
        <v>136.49</v>
      </c>
      <c r="AV45" s="20" t="n">
        <v>136.49</v>
      </c>
      <c r="AW45" s="20" t="n">
        <v>136.49</v>
      </c>
      <c r="AX45" s="20" t="n">
        <v>136.49</v>
      </c>
      <c r="AY45" s="20" t="n">
        <v>136.49</v>
      </c>
    </row>
    <row r="46">
      <c r="B46" s="33" t="inlineStr">
        <is>
          <t xml:space="preserve">  604300 Recruiting</t>
        </is>
      </c>
      <c r="D46" s="19" t="n">
        <v>0</v>
      </c>
      <c r="E46" s="19" t="n">
        <v>0</v>
      </c>
      <c r="F46" s="19" t="n">
        <v>0</v>
      </c>
      <c r="G46" s="19" t="n">
        <v>75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0</v>
      </c>
      <c r="N46" s="19" t="n">
        <v>0</v>
      </c>
      <c r="O46" s="19" t="n">
        <v>0</v>
      </c>
      <c r="P46" s="19" t="n">
        <v>0</v>
      </c>
      <c r="Q46" s="19" t="n">
        <v>0</v>
      </c>
      <c r="R46" s="19" t="n">
        <v>0</v>
      </c>
      <c r="S46" s="19" t="n">
        <v>0</v>
      </c>
      <c r="T46" s="83" t="n">
        <v>0</v>
      </c>
      <c r="U46" s="83" t="n">
        <v>0</v>
      </c>
      <c r="V46" s="83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</row>
    <row r="47">
      <c r="B47" s="33" t="inlineStr">
        <is>
          <t xml:space="preserve">  604400 Other Professional Fees</t>
        </is>
      </c>
      <c r="D47" s="19" t="n">
        <v>0</v>
      </c>
      <c r="E47" s="19" t="n">
        <v>0</v>
      </c>
      <c r="F47" s="19" t="n">
        <v>0</v>
      </c>
      <c r="G47" s="19" t="n">
        <v>0</v>
      </c>
      <c r="H47" s="19" t="n">
        <v>0</v>
      </c>
      <c r="I47" s="19" t="n">
        <v>0</v>
      </c>
      <c r="J47" s="19" t="n">
        <v>479.1</v>
      </c>
      <c r="K47" s="19" t="n">
        <v>479.1</v>
      </c>
      <c r="L47" s="19" t="n">
        <v>479.1</v>
      </c>
      <c r="M47" s="19" t="n">
        <v>481</v>
      </c>
      <c r="N47" s="19" t="n">
        <v>481</v>
      </c>
      <c r="O47" s="19" t="n">
        <v>497.2</v>
      </c>
      <c r="P47" s="19" t="n">
        <v>517</v>
      </c>
      <c r="Q47" s="19" t="n">
        <v>517</v>
      </c>
      <c r="R47" s="19" t="n">
        <v>517</v>
      </c>
      <c r="S47" s="19" t="n">
        <v>517</v>
      </c>
      <c r="T47" s="83" t="n">
        <v>517</v>
      </c>
      <c r="U47" s="83" t="n">
        <v>517</v>
      </c>
      <c r="V47" s="83" t="n">
        <v>517</v>
      </c>
      <c r="W47" s="20" t="n">
        <v>380.51</v>
      </c>
      <c r="X47" s="20" t="n">
        <v>380.51</v>
      </c>
      <c r="Y47" s="20" t="n">
        <v>380.51</v>
      </c>
      <c r="Z47" s="20" t="n">
        <v>380.51</v>
      </c>
      <c r="AA47" s="20" t="n">
        <v>380.51</v>
      </c>
      <c r="AB47" s="20" t="n">
        <v>380.51</v>
      </c>
      <c r="AC47" s="20" t="n">
        <v>380.51</v>
      </c>
      <c r="AD47" s="20" t="n">
        <v>380.51</v>
      </c>
      <c r="AE47" s="20" t="n">
        <v>380.51</v>
      </c>
      <c r="AF47" s="20" t="n">
        <v>380.51</v>
      </c>
      <c r="AG47" s="20" t="n">
        <v>380.51</v>
      </c>
      <c r="AH47" s="20" t="n">
        <v>380.51</v>
      </c>
      <c r="AI47" s="20" t="n">
        <v>380.51</v>
      </c>
      <c r="AJ47" s="20" t="n">
        <v>380.51</v>
      </c>
      <c r="AK47" s="20" t="n">
        <v>380.51</v>
      </c>
      <c r="AL47" s="20" t="n">
        <v>380.51</v>
      </c>
      <c r="AM47" s="20" t="n">
        <v>380.51</v>
      </c>
      <c r="AN47" s="20" t="n">
        <v>380.51</v>
      </c>
      <c r="AO47" s="20" t="n">
        <v>380.51</v>
      </c>
      <c r="AP47" s="20" t="n">
        <v>380.51</v>
      </c>
      <c r="AQ47" s="20" t="n">
        <v>380.51</v>
      </c>
      <c r="AR47" s="20" t="n">
        <v>380.51</v>
      </c>
      <c r="AS47" s="20" t="n">
        <v>380.51</v>
      </c>
      <c r="AT47" s="20" t="n">
        <v>380.51</v>
      </c>
      <c r="AU47" s="20" t="n">
        <v>380.51</v>
      </c>
      <c r="AV47" s="20" t="n">
        <v>380.51</v>
      </c>
      <c r="AW47" s="20" t="n">
        <v>380.51</v>
      </c>
      <c r="AX47" s="20" t="n">
        <v>380.51</v>
      </c>
      <c r="AY47" s="20" t="n">
        <v>380.51</v>
      </c>
    </row>
    <row r="48">
      <c r="B48" s="32" t="inlineStr">
        <is>
          <t>Total Professional Fees</t>
        </is>
      </c>
      <c r="C48" s="34" t="n"/>
      <c r="D48" s="35">
        <f>SUM(D44:D47)</f>
        <v/>
      </c>
      <c r="E48" s="35">
        <f>SUM(E44:E47)</f>
        <v/>
      </c>
      <c r="F48" s="35">
        <f>SUM(F44:F47)</f>
        <v/>
      </c>
      <c r="G48" s="35">
        <f>SUM(G44:G47)</f>
        <v/>
      </c>
      <c r="H48" s="35">
        <f>SUM(H44:H47)</f>
        <v/>
      </c>
      <c r="I48" s="35">
        <f>SUM(I44:I47)</f>
        <v/>
      </c>
      <c r="J48" s="35">
        <f>SUM(J44:J47)</f>
        <v/>
      </c>
      <c r="K48" s="35">
        <f>SUM(K44:K47)</f>
        <v/>
      </c>
      <c r="L48" s="35">
        <f>SUM(L44:L47)</f>
        <v/>
      </c>
      <c r="M48" s="35">
        <f>SUM(M44:M47)</f>
        <v/>
      </c>
      <c r="N48" s="35">
        <f>SUM(N44:N47)</f>
        <v/>
      </c>
      <c r="O48" s="35">
        <f>SUM(O44:O47)</f>
        <v/>
      </c>
      <c r="P48" s="35">
        <f>P44+P45+P46+P47</f>
        <v/>
      </c>
      <c r="Q48" s="35">
        <f>Q44+Q45+Q46+Q47</f>
        <v/>
      </c>
      <c r="R48" s="35">
        <f>R44+R45+R46+R47</f>
        <v/>
      </c>
      <c r="S48" s="35">
        <f>S44+S45+S46+S47</f>
        <v/>
      </c>
      <c r="T48" s="84">
        <f>T44+T45+T46+T47</f>
        <v/>
      </c>
      <c r="U48" s="84">
        <f>U44+U45+U46+U47</f>
        <v/>
      </c>
      <c r="V48" s="84">
        <f>V44+V45+V46+V47</f>
        <v/>
      </c>
      <c r="W48" s="17">
        <f>W44+W45+W46+W47</f>
        <v/>
      </c>
      <c r="X48" s="17">
        <f>X44+X45+X46+X47</f>
        <v/>
      </c>
      <c r="Y48" s="17">
        <f>Y44+Y45+Y46+Y47</f>
        <v/>
      </c>
      <c r="Z48" s="17">
        <f>Z44+Z45+Z46+Z47</f>
        <v/>
      </c>
      <c r="AA48" s="17">
        <f>AA44+AA45+AA46+AA47</f>
        <v/>
      </c>
      <c r="AB48" s="17">
        <f>AB44+AB45+AB46+AB47</f>
        <v/>
      </c>
      <c r="AC48" s="17">
        <f>AC44+AC45+AC46+AC47</f>
        <v/>
      </c>
      <c r="AD48" s="17">
        <f>AD44+AD45+AD46+AD47</f>
        <v/>
      </c>
      <c r="AE48" s="17">
        <f>AE44+AE45+AE46+AE47</f>
        <v/>
      </c>
      <c r="AF48" s="17">
        <f>AF44+AF45+AF46+AF47</f>
        <v/>
      </c>
      <c r="AG48" s="17">
        <f>AG44+AG45+AG46+AG47</f>
        <v/>
      </c>
      <c r="AH48" s="17">
        <f>AH44+AH45+AH46+AH47</f>
        <v/>
      </c>
      <c r="AI48" s="17">
        <f>AI44+AI45+AI46+AI47</f>
        <v/>
      </c>
      <c r="AJ48" s="17">
        <f>AJ44+AJ45+AJ46+AJ47</f>
        <v/>
      </c>
      <c r="AK48" s="17">
        <f>AK44+AK45+AK46+AK47</f>
        <v/>
      </c>
      <c r="AL48" s="17">
        <f>AL44+AL45+AL46+AL47</f>
        <v/>
      </c>
      <c r="AM48" s="17">
        <f>AM44+AM45+AM46+AM47</f>
        <v/>
      </c>
      <c r="AN48" s="17">
        <f>AN44+AN45+AN46+AN47</f>
        <v/>
      </c>
      <c r="AO48" s="17">
        <f>AO44+AO45+AO46+AO47</f>
        <v/>
      </c>
      <c r="AP48" s="17">
        <f>AP44+AP45+AP46+AP47</f>
        <v/>
      </c>
      <c r="AQ48" s="17">
        <f>AQ44+AQ45+AQ46+AQ47</f>
        <v/>
      </c>
      <c r="AR48" s="17">
        <f>AR44+AR45+AR46+AR47</f>
        <v/>
      </c>
      <c r="AS48" s="17">
        <f>AS44+AS45+AS46+AS47</f>
        <v/>
      </c>
      <c r="AT48" s="17">
        <f>AT44+AT45+AT46+AT47</f>
        <v/>
      </c>
      <c r="AU48" s="17">
        <f>AU44+AU45+AU46+AU47</f>
        <v/>
      </c>
      <c r="AV48" s="17">
        <f>AV44+AV45+AV46+AV47</f>
        <v/>
      </c>
      <c r="AW48" s="17">
        <f>AW44+AW45+AW46+AW47</f>
        <v/>
      </c>
      <c r="AX48" s="17">
        <f>AX44+AX45+AX46+AX47</f>
        <v/>
      </c>
      <c r="AY48" s="17">
        <f>AY44+AY45+AY46+AY47</f>
        <v/>
      </c>
    </row>
    <row r="49">
      <c r="B49" s="33" t="inlineStr">
        <is>
          <t xml:space="preserve">  605000 Travel</t>
        </is>
      </c>
      <c r="D49" s="19" t="n">
        <v>36.4</v>
      </c>
      <c r="E49" s="19" t="n">
        <v>0</v>
      </c>
      <c r="F49" s="19" t="n">
        <v>24</v>
      </c>
      <c r="G49" s="19" t="n">
        <v>69.25</v>
      </c>
      <c r="H49" s="19" t="n">
        <v>117.75</v>
      </c>
      <c r="I49" s="19" t="n">
        <v>147.75</v>
      </c>
      <c r="J49" s="19" t="n">
        <v>0</v>
      </c>
      <c r="K49" s="19" t="n">
        <v>273.1</v>
      </c>
      <c r="L49" s="19" t="n">
        <v>252.7</v>
      </c>
      <c r="M49" s="19" t="n">
        <v>118.25</v>
      </c>
      <c r="N49" s="19" t="n">
        <v>35.86</v>
      </c>
      <c r="O49" s="19" t="n">
        <v>61.25</v>
      </c>
      <c r="P49" s="19" t="n">
        <v>17.1</v>
      </c>
      <c r="Q49" s="19" t="n">
        <v>34</v>
      </c>
      <c r="R49" s="19" t="n">
        <v>6.02</v>
      </c>
      <c r="S49" s="19" t="n">
        <v>17.28</v>
      </c>
      <c r="T49" s="83" t="n">
        <v>153.82</v>
      </c>
      <c r="U49" s="83" t="n">
        <v>476.36</v>
      </c>
      <c r="V49" s="83" t="n">
        <v>0</v>
      </c>
      <c r="W49" s="20" t="n">
        <v>21.44</v>
      </c>
      <c r="X49" s="20" t="n">
        <v>21.44</v>
      </c>
      <c r="Y49" s="20" t="n">
        <v>21.44</v>
      </c>
      <c r="Z49" s="20" t="n">
        <v>21.44</v>
      </c>
      <c r="AA49" s="20" t="n">
        <v>21.44</v>
      </c>
      <c r="AB49" s="20" t="n">
        <v>21.44</v>
      </c>
      <c r="AC49" s="20" t="n">
        <v>21.44</v>
      </c>
      <c r="AD49" s="20" t="n">
        <v>21.44</v>
      </c>
      <c r="AE49" s="20" t="n">
        <v>21.44</v>
      </c>
      <c r="AF49" s="20" t="n">
        <v>21.44</v>
      </c>
      <c r="AG49" s="20" t="n">
        <v>21.44</v>
      </c>
      <c r="AH49" s="20" t="n">
        <v>21.44</v>
      </c>
      <c r="AI49" s="20" t="n">
        <v>21.44</v>
      </c>
      <c r="AJ49" s="20" t="n">
        <v>21.44</v>
      </c>
      <c r="AK49" s="20" t="n">
        <v>21.44</v>
      </c>
      <c r="AL49" s="20" t="n">
        <v>21.44</v>
      </c>
      <c r="AM49" s="20" t="n">
        <v>21.44</v>
      </c>
      <c r="AN49" s="20" t="n">
        <v>21.44</v>
      </c>
      <c r="AO49" s="20" t="n">
        <v>21.44</v>
      </c>
      <c r="AP49" s="20" t="n">
        <v>21.44</v>
      </c>
      <c r="AQ49" s="20" t="n">
        <v>21.44</v>
      </c>
      <c r="AR49" s="20" t="n">
        <v>21.44</v>
      </c>
      <c r="AS49" s="20" t="n">
        <v>21.44</v>
      </c>
      <c r="AT49" s="20" t="n">
        <v>21.44</v>
      </c>
      <c r="AU49" s="20" t="n">
        <v>21.44</v>
      </c>
      <c r="AV49" s="20" t="n">
        <v>21.44</v>
      </c>
      <c r="AW49" s="20" t="n">
        <v>21.44</v>
      </c>
      <c r="AX49" s="20" t="n">
        <v>21.44</v>
      </c>
      <c r="AY49" s="20" t="n">
        <v>21.44</v>
      </c>
    </row>
    <row r="50">
      <c r="B50" s="33" t="inlineStr">
        <is>
          <t>606000 Meals (incl Entertainment)</t>
        </is>
      </c>
      <c r="D50" s="19" t="n">
        <v>208.29</v>
      </c>
      <c r="E50" s="19" t="n">
        <v>0</v>
      </c>
      <c r="F50" s="19" t="n">
        <v>93.28</v>
      </c>
      <c r="G50" s="19" t="n">
        <v>96.02</v>
      </c>
      <c r="H50" s="19" t="n">
        <v>0</v>
      </c>
      <c r="I50" s="19" t="n">
        <v>17.77</v>
      </c>
      <c r="J50" s="19" t="n">
        <v>0</v>
      </c>
      <c r="K50" s="19" t="n">
        <v>114.05</v>
      </c>
      <c r="L50" s="19" t="n">
        <v>280.75</v>
      </c>
      <c r="M50" s="19" t="n">
        <v>72.09</v>
      </c>
      <c r="N50" s="19" t="n">
        <v>357.66</v>
      </c>
      <c r="O50" s="19" t="n">
        <v>224.29</v>
      </c>
      <c r="P50" s="19" t="n">
        <v>122.32</v>
      </c>
      <c r="Q50" s="19" t="n">
        <v>90.59</v>
      </c>
      <c r="R50" s="19" t="n">
        <v>78.12</v>
      </c>
      <c r="S50" s="19" t="n">
        <v>92.19</v>
      </c>
      <c r="T50" s="83" t="n">
        <v>0</v>
      </c>
      <c r="U50" s="83" t="n">
        <v>122.69</v>
      </c>
      <c r="V50" s="83" t="n">
        <v>80.94</v>
      </c>
      <c r="W50" s="20" t="n">
        <v>117.98</v>
      </c>
      <c r="X50" s="20" t="n">
        <v>117.98</v>
      </c>
      <c r="Y50" s="20" t="n">
        <v>117.98</v>
      </c>
      <c r="Z50" s="20" t="n">
        <v>117.98</v>
      </c>
      <c r="AA50" s="20" t="n">
        <v>117.98</v>
      </c>
      <c r="AB50" s="20" t="n">
        <v>117.98</v>
      </c>
      <c r="AC50" s="20" t="n">
        <v>117.98</v>
      </c>
      <c r="AD50" s="20" t="n">
        <v>117.98</v>
      </c>
      <c r="AE50" s="20" t="n">
        <v>117.98</v>
      </c>
      <c r="AF50" s="20" t="n">
        <v>117.98</v>
      </c>
      <c r="AG50" s="20" t="n">
        <v>117.98</v>
      </c>
      <c r="AH50" s="20" t="n">
        <v>117.98</v>
      </c>
      <c r="AI50" s="20" t="n">
        <v>117.98</v>
      </c>
      <c r="AJ50" s="20" t="n">
        <v>117.98</v>
      </c>
      <c r="AK50" s="20" t="n">
        <v>117.98</v>
      </c>
      <c r="AL50" s="20" t="n">
        <v>117.98</v>
      </c>
      <c r="AM50" s="20" t="n">
        <v>117.98</v>
      </c>
      <c r="AN50" s="20" t="n">
        <v>117.98</v>
      </c>
      <c r="AO50" s="20" t="n">
        <v>117.98</v>
      </c>
      <c r="AP50" s="20" t="n">
        <v>117.98</v>
      </c>
      <c r="AQ50" s="20" t="n">
        <v>117.98</v>
      </c>
      <c r="AR50" s="20" t="n">
        <v>117.98</v>
      </c>
      <c r="AS50" s="20" t="n">
        <v>117.98</v>
      </c>
      <c r="AT50" s="20" t="n">
        <v>117.98</v>
      </c>
      <c r="AU50" s="20" t="n">
        <v>117.98</v>
      </c>
      <c r="AV50" s="20" t="n">
        <v>117.98</v>
      </c>
      <c r="AW50" s="20" t="n">
        <v>117.98</v>
      </c>
      <c r="AX50" s="20" t="n">
        <v>117.98</v>
      </c>
      <c r="AY50" s="20" t="n">
        <v>117.98</v>
      </c>
    </row>
    <row r="51">
      <c r="B51" s="32" t="inlineStr">
        <is>
          <t>Total Travel &amp; Meals</t>
        </is>
      </c>
      <c r="C51" s="34" t="n"/>
      <c r="D51" s="35">
        <f>D49+D50</f>
        <v/>
      </c>
      <c r="E51" s="35">
        <f>E49+E50</f>
        <v/>
      </c>
      <c r="F51" s="35">
        <f>F49+F50</f>
        <v/>
      </c>
      <c r="G51" s="35">
        <f>G49+G50</f>
        <v/>
      </c>
      <c r="H51" s="35">
        <f>H49+H50</f>
        <v/>
      </c>
      <c r="I51" s="35">
        <f>I49+I50</f>
        <v/>
      </c>
      <c r="J51" s="35">
        <f>J49+J50</f>
        <v/>
      </c>
      <c r="K51" s="35">
        <f>K49+K50</f>
        <v/>
      </c>
      <c r="L51" s="35">
        <f>L49+L50</f>
        <v/>
      </c>
      <c r="M51" s="35">
        <f>M49+M50</f>
        <v/>
      </c>
      <c r="N51" s="35">
        <f>N49+N50</f>
        <v/>
      </c>
      <c r="O51" s="35">
        <f>O49+O50</f>
        <v/>
      </c>
      <c r="P51" s="35">
        <f>P49+P50</f>
        <v/>
      </c>
      <c r="Q51" s="35">
        <f>Q49+Q50</f>
        <v/>
      </c>
      <c r="R51" s="35">
        <f>R49+R50</f>
        <v/>
      </c>
      <c r="S51" s="35">
        <f>S49+S50</f>
        <v/>
      </c>
      <c r="T51" s="17">
        <f>T49+T50</f>
        <v/>
      </c>
      <c r="U51" s="17">
        <f>U49+U50</f>
        <v/>
      </c>
      <c r="V51" s="17">
        <f>V49+V50</f>
        <v/>
      </c>
      <c r="W51" s="17">
        <f>W49+W50</f>
        <v/>
      </c>
      <c r="X51" s="17">
        <f>X49+X50</f>
        <v/>
      </c>
      <c r="Y51" s="17">
        <f>Y49+Y50</f>
        <v/>
      </c>
      <c r="Z51" s="17">
        <f>Z49+Z50</f>
        <v/>
      </c>
      <c r="AA51" s="17">
        <f>AA49+AA50</f>
        <v/>
      </c>
      <c r="AB51" s="17">
        <f>AB49+AB50</f>
        <v/>
      </c>
      <c r="AC51" s="17">
        <f>AC49+AC50</f>
        <v/>
      </c>
      <c r="AD51" s="17">
        <f>AD49+AD50</f>
        <v/>
      </c>
      <c r="AE51" s="17">
        <f>AE49+AE50</f>
        <v/>
      </c>
      <c r="AF51" s="17">
        <f>AF49+AF50</f>
        <v/>
      </c>
      <c r="AG51" s="17">
        <f>AG49+AG50</f>
        <v/>
      </c>
      <c r="AH51" s="17">
        <f>AH49+AH50</f>
        <v/>
      </c>
      <c r="AI51" s="17">
        <f>AI49+AI50</f>
        <v/>
      </c>
      <c r="AJ51" s="17">
        <f>AJ49+AJ50</f>
        <v/>
      </c>
      <c r="AK51" s="17">
        <f>AK49+AK50</f>
        <v/>
      </c>
      <c r="AL51" s="17">
        <f>AL49+AL50</f>
        <v/>
      </c>
      <c r="AM51" s="17">
        <f>AM49+AM50</f>
        <v/>
      </c>
      <c r="AN51" s="17">
        <f>AN49+AN50</f>
        <v/>
      </c>
      <c r="AO51" s="17">
        <f>AO49+AO50</f>
        <v/>
      </c>
      <c r="AP51" s="17">
        <f>AP49+AP50</f>
        <v/>
      </c>
      <c r="AQ51" s="17">
        <f>AQ49+AQ50</f>
        <v/>
      </c>
      <c r="AR51" s="17">
        <f>AR49+AR50</f>
        <v/>
      </c>
      <c r="AS51" s="17">
        <f>AS49+AS50</f>
        <v/>
      </c>
      <c r="AT51" s="17">
        <f>AT49+AT50</f>
        <v/>
      </c>
      <c r="AU51" s="17">
        <f>AU49+AU50</f>
        <v/>
      </c>
      <c r="AV51" s="17">
        <f>AV49+AV50</f>
        <v/>
      </c>
      <c r="AW51" s="17">
        <f>AW49+AW50</f>
        <v/>
      </c>
      <c r="AX51" s="17">
        <f>AX49+AX50</f>
        <v/>
      </c>
      <c r="AY51" s="17">
        <f>AY49+AY50</f>
        <v/>
      </c>
    </row>
    <row r="52">
      <c r="B52" s="33" t="inlineStr">
        <is>
          <t xml:space="preserve">  616001 Electricity</t>
        </is>
      </c>
      <c r="D52" s="19" t="n">
        <v>0</v>
      </c>
      <c r="E52" s="19" t="n">
        <v>0</v>
      </c>
      <c r="F52" s="19" t="n">
        <v>0</v>
      </c>
      <c r="G52" s="19" t="n">
        <v>0</v>
      </c>
      <c r="H52" s="19" t="n">
        <v>0</v>
      </c>
      <c r="I52" s="19" t="n">
        <v>0</v>
      </c>
      <c r="J52" s="19" t="n">
        <v>0</v>
      </c>
      <c r="K52" s="19" t="n">
        <v>0</v>
      </c>
      <c r="L52" s="19" t="n">
        <v>0</v>
      </c>
      <c r="M52" s="19" t="n">
        <v>0</v>
      </c>
      <c r="N52" s="19" t="n">
        <v>0</v>
      </c>
      <c r="O52" s="19" t="n">
        <v>0</v>
      </c>
      <c r="P52" s="19" t="n">
        <v>0</v>
      </c>
      <c r="Q52" s="19" t="n">
        <v>0</v>
      </c>
      <c r="R52" s="19" t="n">
        <v>0</v>
      </c>
      <c r="S52" s="19" t="n">
        <v>0</v>
      </c>
      <c r="T52" s="83" t="n">
        <v>0</v>
      </c>
      <c r="U52" s="83" t="n">
        <v>0</v>
      </c>
      <c r="V52" s="83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616002 Internet &amp; TV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0</v>
      </c>
      <c r="P53" s="19" t="n">
        <v>212.35</v>
      </c>
      <c r="Q53" s="19" t="n">
        <v>212.35</v>
      </c>
      <c r="R53" s="19" t="n">
        <v>212.35</v>
      </c>
      <c r="S53" s="19" t="n">
        <v>212.35</v>
      </c>
      <c r="T53" s="83" t="n">
        <v>212.35</v>
      </c>
      <c r="U53" s="83" t="n">
        <v>212.35</v>
      </c>
      <c r="V53" s="83" t="n">
        <v>212.35</v>
      </c>
      <c r="W53" s="20" t="n">
        <v>70.31999999999999</v>
      </c>
      <c r="X53" s="20" t="n">
        <v>70.31999999999999</v>
      </c>
      <c r="Y53" s="20" t="n">
        <v>70.31999999999999</v>
      </c>
      <c r="Z53" s="20" t="n">
        <v>70.31999999999999</v>
      </c>
      <c r="AA53" s="20" t="n">
        <v>70.31999999999999</v>
      </c>
      <c r="AB53" s="20" t="n">
        <v>70.31999999999999</v>
      </c>
      <c r="AC53" s="20" t="n">
        <v>70.31999999999999</v>
      </c>
      <c r="AD53" s="20" t="n">
        <v>70.31999999999999</v>
      </c>
      <c r="AE53" s="20" t="n">
        <v>70.31999999999999</v>
      </c>
      <c r="AF53" s="20" t="n">
        <v>70.31999999999999</v>
      </c>
      <c r="AG53" s="20" t="n">
        <v>70.31999999999999</v>
      </c>
      <c r="AH53" s="20" t="n">
        <v>70.31999999999999</v>
      </c>
      <c r="AI53" s="20" t="n">
        <v>70.31999999999999</v>
      </c>
      <c r="AJ53" s="20" t="n">
        <v>70.31999999999999</v>
      </c>
      <c r="AK53" s="20" t="n">
        <v>70.31999999999999</v>
      </c>
      <c r="AL53" s="20" t="n">
        <v>70.31999999999999</v>
      </c>
      <c r="AM53" s="20" t="n">
        <v>70.31999999999999</v>
      </c>
      <c r="AN53" s="20" t="n">
        <v>70.31999999999999</v>
      </c>
      <c r="AO53" s="20" t="n">
        <v>70.31999999999999</v>
      </c>
      <c r="AP53" s="20" t="n">
        <v>70.31999999999999</v>
      </c>
      <c r="AQ53" s="20" t="n">
        <v>70.31999999999999</v>
      </c>
      <c r="AR53" s="20" t="n">
        <v>70.31999999999999</v>
      </c>
      <c r="AS53" s="20" t="n">
        <v>70.31999999999999</v>
      </c>
      <c r="AT53" s="20" t="n">
        <v>70.31999999999999</v>
      </c>
      <c r="AU53" s="20" t="n">
        <v>70.31999999999999</v>
      </c>
      <c r="AV53" s="20" t="n">
        <v>70.31999999999999</v>
      </c>
      <c r="AW53" s="20" t="n">
        <v>70.31999999999999</v>
      </c>
      <c r="AX53" s="20" t="n">
        <v>70.31999999999999</v>
      </c>
      <c r="AY53" s="20" t="n">
        <v>70.31999999999999</v>
      </c>
    </row>
    <row r="54">
      <c r="B54" s="33" t="inlineStr">
        <is>
          <t xml:space="preserve">  616003 Phone service</t>
        </is>
      </c>
      <c r="D54" s="19" t="n">
        <v>107.21</v>
      </c>
      <c r="E54" s="19" t="n">
        <v>107.34</v>
      </c>
      <c r="F54" s="19" t="n">
        <v>107.34</v>
      </c>
      <c r="G54" s="19" t="n">
        <v>107.34</v>
      </c>
      <c r="H54" s="19" t="n">
        <v>107.12</v>
      </c>
      <c r="I54" s="19" t="n">
        <v>192.37</v>
      </c>
      <c r="J54" s="19" t="n">
        <v>107.12</v>
      </c>
      <c r="K54" s="19" t="n">
        <v>107.12</v>
      </c>
      <c r="L54" s="19" t="n">
        <v>107.12</v>
      </c>
      <c r="M54" s="19" t="n">
        <v>109.65</v>
      </c>
      <c r="N54" s="19" t="n">
        <v>109.7</v>
      </c>
      <c r="O54" s="19" t="n">
        <v>116.73</v>
      </c>
      <c r="P54" s="19" t="n">
        <v>116.81</v>
      </c>
      <c r="Q54" s="19" t="n">
        <v>2776.16</v>
      </c>
      <c r="R54" s="19" t="n">
        <v>116.75</v>
      </c>
      <c r="S54" s="19" t="n">
        <v>116.75</v>
      </c>
      <c r="T54" s="83" t="n">
        <v>116.73</v>
      </c>
      <c r="U54" s="83" t="n">
        <v>116.73</v>
      </c>
      <c r="V54" s="83" t="n">
        <v>116.73</v>
      </c>
      <c r="W54" s="20" t="n">
        <v>258.84</v>
      </c>
      <c r="X54" s="20" t="n">
        <v>258.84</v>
      </c>
      <c r="Y54" s="20" t="n">
        <v>258.84</v>
      </c>
      <c r="Z54" s="20" t="n">
        <v>258.84</v>
      </c>
      <c r="AA54" s="20" t="n">
        <v>258.84</v>
      </c>
      <c r="AB54" s="20" t="n">
        <v>258.84</v>
      </c>
      <c r="AC54" s="20" t="n">
        <v>258.84</v>
      </c>
      <c r="AD54" s="20" t="n">
        <v>258.84</v>
      </c>
      <c r="AE54" s="20" t="n">
        <v>258.84</v>
      </c>
      <c r="AF54" s="20" t="n">
        <v>258.84</v>
      </c>
      <c r="AG54" s="20" t="n">
        <v>258.84</v>
      </c>
      <c r="AH54" s="20" t="n">
        <v>258.84</v>
      </c>
      <c r="AI54" s="20" t="n">
        <v>258.84</v>
      </c>
      <c r="AJ54" s="20" t="n">
        <v>258.84</v>
      </c>
      <c r="AK54" s="20" t="n">
        <v>258.84</v>
      </c>
      <c r="AL54" s="20" t="n">
        <v>258.84</v>
      </c>
      <c r="AM54" s="20" t="n">
        <v>258.84</v>
      </c>
      <c r="AN54" s="20" t="n">
        <v>258.84</v>
      </c>
      <c r="AO54" s="20" t="n">
        <v>258.84</v>
      </c>
      <c r="AP54" s="20" t="n">
        <v>258.84</v>
      </c>
      <c r="AQ54" s="20" t="n">
        <v>258.84</v>
      </c>
      <c r="AR54" s="20" t="n">
        <v>258.84</v>
      </c>
      <c r="AS54" s="20" t="n">
        <v>258.84</v>
      </c>
      <c r="AT54" s="20" t="n">
        <v>258.84</v>
      </c>
      <c r="AU54" s="20" t="n">
        <v>258.84</v>
      </c>
      <c r="AV54" s="20" t="n">
        <v>258.84</v>
      </c>
      <c r="AW54" s="20" t="n">
        <v>258.84</v>
      </c>
      <c r="AX54" s="20" t="n">
        <v>258.84</v>
      </c>
      <c r="AY54" s="20" t="n">
        <v>258.84</v>
      </c>
    </row>
    <row r="55">
      <c r="B55" s="33" t="inlineStr">
        <is>
          <t xml:space="preserve">  616004 Water &amp; sewer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3" t="n">
        <v>0</v>
      </c>
      <c r="U55" s="83" t="n">
        <v>0</v>
      </c>
      <c r="V55" s="83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3" t="inlineStr">
        <is>
          <t xml:space="preserve">  616005 Disposal Services</t>
        </is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83" t="n">
        <v>0</v>
      </c>
      <c r="U56" s="83" t="n">
        <v>0</v>
      </c>
      <c r="V56" s="83" t="n">
        <v>0</v>
      </c>
      <c r="W56" s="20" t="n">
        <v>0</v>
      </c>
      <c r="X56" s="20" t="n">
        <v>0</v>
      </c>
      <c r="Y56" s="20" t="n">
        <v>0</v>
      </c>
      <c r="Z56" s="20" t="n">
        <v>0</v>
      </c>
      <c r="AA56" s="20" t="n">
        <v>0</v>
      </c>
      <c r="AB56" s="20" t="n">
        <v>0</v>
      </c>
      <c r="AC56" s="20" t="n">
        <v>0</v>
      </c>
      <c r="AD56" s="20" t="n">
        <v>0</v>
      </c>
      <c r="AE56" s="20" t="n">
        <v>0</v>
      </c>
      <c r="AF56" s="20" t="n">
        <v>0</v>
      </c>
      <c r="AG56" s="20" t="n">
        <v>0</v>
      </c>
      <c r="AH56" s="20" t="n">
        <v>0</v>
      </c>
      <c r="AI56" s="20" t="n">
        <v>0</v>
      </c>
      <c r="AJ56" s="20" t="n">
        <v>0</v>
      </c>
      <c r="AK56" s="20" t="n">
        <v>0</v>
      </c>
      <c r="AL56" s="20" t="n">
        <v>0</v>
      </c>
      <c r="AM56" s="20" t="n">
        <v>0</v>
      </c>
      <c r="AN56" s="20" t="n">
        <v>0</v>
      </c>
      <c r="AO56" s="20" t="n">
        <v>0</v>
      </c>
      <c r="AP56" s="20" t="n">
        <v>0</v>
      </c>
      <c r="AQ56" s="20" t="n">
        <v>0</v>
      </c>
      <c r="AR56" s="20" t="n">
        <v>0</v>
      </c>
      <c r="AS56" s="20" t="n">
        <v>0</v>
      </c>
      <c r="AT56" s="20" t="n">
        <v>0</v>
      </c>
      <c r="AU56" s="20" t="n">
        <v>0</v>
      </c>
      <c r="AV56" s="20" t="n">
        <v>0</v>
      </c>
      <c r="AW56" s="20" t="n">
        <v>0</v>
      </c>
      <c r="AX56" s="20" t="n">
        <v>0</v>
      </c>
      <c r="AY56" s="20" t="n">
        <v>0</v>
      </c>
    </row>
    <row r="57">
      <c r="B57" s="32" t="inlineStr">
        <is>
          <t>Total Utilities</t>
        </is>
      </c>
      <c r="C57" s="34" t="n"/>
      <c r="D57" s="35">
        <f>SUM(D52:D56)</f>
        <v/>
      </c>
      <c r="E57" s="35">
        <f>SUM(E52:E56)</f>
        <v/>
      </c>
      <c r="F57" s="35">
        <f>SUM(F52:F56)</f>
        <v/>
      </c>
      <c r="G57" s="35">
        <f>SUM(G52:G56)</f>
        <v/>
      </c>
      <c r="H57" s="35">
        <f>SUM(H52:H56)</f>
        <v/>
      </c>
      <c r="I57" s="35">
        <f>SUM(I52:I56)</f>
        <v/>
      </c>
      <c r="J57" s="35">
        <f>SUM(J52:J56)</f>
        <v/>
      </c>
      <c r="K57" s="35">
        <f>SUM(K52:K56)</f>
        <v/>
      </c>
      <c r="L57" s="35">
        <f>SUM(L52:L56)</f>
        <v/>
      </c>
      <c r="M57" s="35">
        <f>SUM(M52:M56)</f>
        <v/>
      </c>
      <c r="N57" s="35">
        <f>SUM(N52:N56)</f>
        <v/>
      </c>
      <c r="O57" s="35">
        <f>SUM(O52:O56)</f>
        <v/>
      </c>
      <c r="P57" s="35">
        <f>P52+P53+P54+P55+P56</f>
        <v/>
      </c>
      <c r="Q57" s="35">
        <f>Q52+Q53+Q54+Q55+Q56</f>
        <v/>
      </c>
      <c r="R57" s="35">
        <f>R52+R53+R54+R55+R56</f>
        <v/>
      </c>
      <c r="S57" s="35">
        <f>S52+S53+S54+S55+S56</f>
        <v/>
      </c>
      <c r="T57" s="84">
        <f>T52+T53+T54+T55+T56</f>
        <v/>
      </c>
      <c r="U57" s="84">
        <f>U52+U53+U54+U55+U56</f>
        <v/>
      </c>
      <c r="V57" s="84">
        <f>V52+V53+V54+V55+V56</f>
        <v/>
      </c>
      <c r="W57" s="17">
        <f>W52+W53+W54+W55+W56</f>
        <v/>
      </c>
      <c r="X57" s="17">
        <f>X52+X53+X54+X55+X56</f>
        <v/>
      </c>
      <c r="Y57" s="17">
        <f>Y52+Y53+Y54+Y55+Y56</f>
        <v/>
      </c>
      <c r="Z57" s="17">
        <f>Z52+Z53+Z54+Z55+Z56</f>
        <v/>
      </c>
      <c r="AA57" s="17">
        <f>AA52+AA53+AA54+AA55+AA56</f>
        <v/>
      </c>
      <c r="AB57" s="17">
        <f>AB52+AB53+AB54+AB55+AB56</f>
        <v/>
      </c>
      <c r="AC57" s="17">
        <f>AC52+AC53+AC54+AC55+AC56</f>
        <v/>
      </c>
      <c r="AD57" s="17">
        <f>AD52+AD53+AD54+AD55+AD56</f>
        <v/>
      </c>
      <c r="AE57" s="17">
        <f>AE52+AE53+AE54+AE55+AE56</f>
        <v/>
      </c>
      <c r="AF57" s="17">
        <f>AF52+AF53+AF54+AF55+AF56</f>
        <v/>
      </c>
      <c r="AG57" s="17">
        <f>AG52+AG53+AG54+AG55+AG56</f>
        <v/>
      </c>
      <c r="AH57" s="17">
        <f>AH52+AH53+AH54+AH55+AH56</f>
        <v/>
      </c>
      <c r="AI57" s="17">
        <f>AI52+AI53+AI54+AI55+AI56</f>
        <v/>
      </c>
      <c r="AJ57" s="17">
        <f>AJ52+AJ53+AJ54+AJ55+AJ56</f>
        <v/>
      </c>
      <c r="AK57" s="17">
        <f>AK52+AK53+AK54+AK55+AK56</f>
        <v/>
      </c>
      <c r="AL57" s="17">
        <f>AL52+AL53+AL54+AL55+AL56</f>
        <v/>
      </c>
      <c r="AM57" s="17">
        <f>AM52+AM53+AM54+AM55+AM56</f>
        <v/>
      </c>
      <c r="AN57" s="17">
        <f>AN52+AN53+AN54+AN55+AN56</f>
        <v/>
      </c>
      <c r="AO57" s="17">
        <f>AO52+AO53+AO54+AO55+AO56</f>
        <v/>
      </c>
      <c r="AP57" s="17">
        <f>AP52+AP53+AP54+AP55+AP56</f>
        <v/>
      </c>
      <c r="AQ57" s="17">
        <f>AQ52+AQ53+AQ54+AQ55+AQ56</f>
        <v/>
      </c>
      <c r="AR57" s="17">
        <f>AR52+AR53+AR54+AR55+AR56</f>
        <v/>
      </c>
      <c r="AS57" s="17">
        <f>AS52+AS53+AS54+AS55+AS56</f>
        <v/>
      </c>
      <c r="AT57" s="17">
        <f>AT52+AT53+AT54+AT55+AT56</f>
        <v/>
      </c>
      <c r="AU57" s="17">
        <f>AU52+AU53+AU54+AU55+AU56</f>
        <v/>
      </c>
      <c r="AV57" s="17">
        <f>AV52+AV53+AV54+AV55+AV56</f>
        <v/>
      </c>
      <c r="AW57" s="17">
        <f>AW52+AW53+AW54+AW55+AW56</f>
        <v/>
      </c>
      <c r="AX57" s="17">
        <f>AX52+AX53+AX54+AX55+AX56</f>
        <v/>
      </c>
      <c r="AY57" s="17">
        <f>AY52+AY53+AY54+AY55+AY56</f>
        <v/>
      </c>
    </row>
    <row r="58">
      <c r="B58" s="33" t="inlineStr">
        <is>
          <t xml:space="preserve">  701000 Rent</t>
        </is>
      </c>
      <c r="D58" s="19" t="n">
        <v>6916.2</v>
      </c>
      <c r="E58" s="19" t="n">
        <v>6916.2</v>
      </c>
      <c r="F58" s="19" t="n">
        <v>6916.2</v>
      </c>
      <c r="G58" s="19" t="n">
        <v>6916.2</v>
      </c>
      <c r="H58" s="19" t="n">
        <v>6916.2</v>
      </c>
      <c r="I58" s="19" t="n">
        <v>6916.2</v>
      </c>
      <c r="J58" s="19" t="n">
        <v>6916.2</v>
      </c>
      <c r="K58" s="19" t="n">
        <v>6916.2</v>
      </c>
      <c r="L58" s="19" t="n">
        <v>6916.2</v>
      </c>
      <c r="M58" s="19" t="n">
        <v>6916.2</v>
      </c>
      <c r="N58" s="19" t="n">
        <v>6916.2</v>
      </c>
      <c r="O58" s="19" t="n">
        <v>6916.2</v>
      </c>
      <c r="P58" s="19" t="n">
        <v>6916.2</v>
      </c>
      <c r="Q58" s="19" t="n">
        <v>6916.2</v>
      </c>
      <c r="R58" s="19" t="n">
        <v>6916.2</v>
      </c>
      <c r="S58" s="19" t="n">
        <v>6916.2</v>
      </c>
      <c r="T58" s="83" t="n">
        <v>6916.2</v>
      </c>
      <c r="U58" s="83" t="n">
        <v>6916.2</v>
      </c>
      <c r="V58" s="83" t="n">
        <v>6916.2</v>
      </c>
      <c r="W58" s="20" t="n">
        <v>7077.57</v>
      </c>
      <c r="X58" s="20" t="n">
        <v>7077.57</v>
      </c>
      <c r="Y58" s="20" t="n">
        <v>7077.57</v>
      </c>
      <c r="Z58" s="20" t="n">
        <v>7077.57</v>
      </c>
      <c r="AA58" s="20" t="n">
        <v>7077.57</v>
      </c>
      <c r="AB58" s="20" t="n">
        <v>7077.57</v>
      </c>
      <c r="AC58" s="20" t="n">
        <v>7077.57</v>
      </c>
      <c r="AD58" s="20" t="n">
        <v>7077.57</v>
      </c>
      <c r="AE58" s="20" t="n">
        <v>7077.57</v>
      </c>
      <c r="AF58" s="20" t="n">
        <v>7077.57</v>
      </c>
      <c r="AG58" s="20" t="n">
        <v>7077.57</v>
      </c>
      <c r="AH58" s="20" t="n">
        <v>7077.57</v>
      </c>
      <c r="AI58" s="20" t="n">
        <v>7077.57</v>
      </c>
      <c r="AJ58" s="20" t="n">
        <v>7077.57</v>
      </c>
      <c r="AK58" s="20" t="n">
        <v>7077.57</v>
      </c>
      <c r="AL58" s="20" t="n">
        <v>7077.57</v>
      </c>
      <c r="AM58" s="20" t="n">
        <v>7077.57</v>
      </c>
      <c r="AN58" s="20" t="n">
        <v>7077.57</v>
      </c>
      <c r="AO58" s="20" t="n">
        <v>7077.57</v>
      </c>
      <c r="AP58" s="20" t="n">
        <v>7077.57</v>
      </c>
      <c r="AQ58" s="20" t="n">
        <v>7077.57</v>
      </c>
      <c r="AR58" s="20" t="n">
        <v>7077.57</v>
      </c>
      <c r="AS58" s="20" t="n">
        <v>7077.57</v>
      </c>
      <c r="AT58" s="20" t="n">
        <v>7077.57</v>
      </c>
      <c r="AU58" s="20" t="n">
        <v>7077.57</v>
      </c>
      <c r="AV58" s="20" t="n">
        <v>7077.57</v>
      </c>
      <c r="AW58" s="20" t="n">
        <v>7077.57</v>
      </c>
      <c r="AX58" s="20" t="n">
        <v>7077.57</v>
      </c>
      <c r="AY58" s="20" t="n">
        <v>7077.57</v>
      </c>
    </row>
    <row r="59">
      <c r="B59" s="33" t="inlineStr">
        <is>
          <t xml:space="preserve">  702000 Security</t>
        </is>
      </c>
      <c r="D59" s="19" t="n">
        <v>0</v>
      </c>
      <c r="E59" s="19" t="n">
        <v>0</v>
      </c>
      <c r="F59" s="19" t="n">
        <v>31.99</v>
      </c>
      <c r="G59" s="19" t="n">
        <v>31.99</v>
      </c>
      <c r="H59" s="19" t="n">
        <v>31.99</v>
      </c>
      <c r="I59" s="19" t="n">
        <v>31.99</v>
      </c>
      <c r="J59" s="19" t="n">
        <v>31.99</v>
      </c>
      <c r="K59" s="19" t="n">
        <v>31.99</v>
      </c>
      <c r="L59" s="19" t="n">
        <v>31.99</v>
      </c>
      <c r="M59" s="19" t="n">
        <v>31.99</v>
      </c>
      <c r="N59" s="19" t="n">
        <v>31.99</v>
      </c>
      <c r="O59" s="19" t="n">
        <v>34.99</v>
      </c>
      <c r="P59" s="19" t="n">
        <v>34.99</v>
      </c>
      <c r="Q59" s="19" t="n">
        <v>34.99</v>
      </c>
      <c r="R59" s="19" t="n">
        <v>34.99</v>
      </c>
      <c r="S59" s="19" t="n">
        <v>34.99</v>
      </c>
      <c r="T59" s="83" t="n">
        <v>34.99</v>
      </c>
      <c r="U59" s="83" t="n">
        <v>34.99</v>
      </c>
      <c r="V59" s="83" t="n">
        <v>34.99</v>
      </c>
      <c r="W59" s="20" t="n">
        <v>35.81</v>
      </c>
      <c r="X59" s="20" t="n">
        <v>35.81</v>
      </c>
      <c r="Y59" s="20" t="n">
        <v>35.81</v>
      </c>
      <c r="Z59" s="20" t="n">
        <v>35.81</v>
      </c>
      <c r="AA59" s="20" t="n">
        <v>35.81</v>
      </c>
      <c r="AB59" s="20" t="n">
        <v>35.81</v>
      </c>
      <c r="AC59" s="20" t="n">
        <v>35.81</v>
      </c>
      <c r="AD59" s="20" t="n">
        <v>35.81</v>
      </c>
      <c r="AE59" s="20" t="n">
        <v>35.81</v>
      </c>
      <c r="AF59" s="20" t="n">
        <v>35.81</v>
      </c>
      <c r="AG59" s="20" t="n">
        <v>35.81</v>
      </c>
      <c r="AH59" s="20" t="n">
        <v>35.81</v>
      </c>
      <c r="AI59" s="20" t="n">
        <v>35.81</v>
      </c>
      <c r="AJ59" s="20" t="n">
        <v>35.81</v>
      </c>
      <c r="AK59" s="20" t="n">
        <v>35.81</v>
      </c>
      <c r="AL59" s="20" t="n">
        <v>35.81</v>
      </c>
      <c r="AM59" s="20" t="n">
        <v>35.81</v>
      </c>
      <c r="AN59" s="20" t="n">
        <v>35.81</v>
      </c>
      <c r="AO59" s="20" t="n">
        <v>35.81</v>
      </c>
      <c r="AP59" s="20" t="n">
        <v>35.81</v>
      </c>
      <c r="AQ59" s="20" t="n">
        <v>35.81</v>
      </c>
      <c r="AR59" s="20" t="n">
        <v>35.81</v>
      </c>
      <c r="AS59" s="20" t="n">
        <v>35.81</v>
      </c>
      <c r="AT59" s="20" t="n">
        <v>35.81</v>
      </c>
      <c r="AU59" s="20" t="n">
        <v>35.81</v>
      </c>
      <c r="AV59" s="20" t="n">
        <v>35.81</v>
      </c>
      <c r="AW59" s="20" t="n">
        <v>35.81</v>
      </c>
      <c r="AX59" s="20" t="n">
        <v>35.81</v>
      </c>
      <c r="AY59" s="20" t="n">
        <v>35.81</v>
      </c>
    </row>
    <row r="60">
      <c r="B60" s="33" t="inlineStr">
        <is>
          <t xml:space="preserve">  703000 Cleaning</t>
        </is>
      </c>
      <c r="D60" s="19" t="n">
        <v>98.68000000000001</v>
      </c>
      <c r="E60" s="19" t="n">
        <v>0</v>
      </c>
      <c r="F60" s="19" t="n">
        <v>0</v>
      </c>
      <c r="G60" s="19" t="n">
        <v>0</v>
      </c>
      <c r="H60" s="19" t="n">
        <v>155.45</v>
      </c>
      <c r="I60" s="19" t="n">
        <v>122.39</v>
      </c>
      <c r="J60" s="19" t="n">
        <v>418.3</v>
      </c>
      <c r="K60" s="19" t="n">
        <v>93.40000000000001</v>
      </c>
      <c r="L60" s="19" t="n">
        <v>83.79000000000001</v>
      </c>
      <c r="M60" s="19" t="n">
        <v>199.79</v>
      </c>
      <c r="N60" s="19" t="n">
        <v>913.28</v>
      </c>
      <c r="O60" s="19" t="n">
        <v>223.88</v>
      </c>
      <c r="P60" s="19" t="n">
        <v>732.99</v>
      </c>
      <c r="Q60" s="19" t="n">
        <v>198.34</v>
      </c>
      <c r="R60" s="19" t="n">
        <v>743.55</v>
      </c>
      <c r="S60" s="19" t="n">
        <v>346.55</v>
      </c>
      <c r="T60" s="83" t="n">
        <v>246.89</v>
      </c>
      <c r="U60" s="83" t="n">
        <v>403.09</v>
      </c>
      <c r="V60" s="83" t="n">
        <v>420.5</v>
      </c>
      <c r="W60" s="20" t="n">
        <v>517.15</v>
      </c>
      <c r="X60" s="20" t="n">
        <v>517.15</v>
      </c>
      <c r="Y60" s="20" t="n">
        <v>517.15</v>
      </c>
      <c r="Z60" s="20" t="n">
        <v>517.15</v>
      </c>
      <c r="AA60" s="20" t="n">
        <v>517.15</v>
      </c>
      <c r="AB60" s="20" t="n">
        <v>517.15</v>
      </c>
      <c r="AC60" s="20" t="n">
        <v>517.15</v>
      </c>
      <c r="AD60" s="20" t="n">
        <v>517.15</v>
      </c>
      <c r="AE60" s="20" t="n">
        <v>517.15</v>
      </c>
      <c r="AF60" s="20" t="n">
        <v>517.15</v>
      </c>
      <c r="AG60" s="20" t="n">
        <v>517.15</v>
      </c>
      <c r="AH60" s="20" t="n">
        <v>517.15</v>
      </c>
      <c r="AI60" s="20" t="n">
        <v>517.15</v>
      </c>
      <c r="AJ60" s="20" t="n">
        <v>517.15</v>
      </c>
      <c r="AK60" s="20" t="n">
        <v>517.15</v>
      </c>
      <c r="AL60" s="20" t="n">
        <v>517.15</v>
      </c>
      <c r="AM60" s="20" t="n">
        <v>517.15</v>
      </c>
      <c r="AN60" s="20" t="n">
        <v>517.15</v>
      </c>
      <c r="AO60" s="20" t="n">
        <v>517.15</v>
      </c>
      <c r="AP60" s="20" t="n">
        <v>517.15</v>
      </c>
      <c r="AQ60" s="20" t="n">
        <v>517.15</v>
      </c>
      <c r="AR60" s="20" t="n">
        <v>517.15</v>
      </c>
      <c r="AS60" s="20" t="n">
        <v>517.15</v>
      </c>
      <c r="AT60" s="20" t="n">
        <v>517.15</v>
      </c>
      <c r="AU60" s="20" t="n">
        <v>517.15</v>
      </c>
      <c r="AV60" s="20" t="n">
        <v>517.15</v>
      </c>
      <c r="AW60" s="20" t="n">
        <v>517.15</v>
      </c>
      <c r="AX60" s="20" t="n">
        <v>517.15</v>
      </c>
      <c r="AY60" s="20" t="n">
        <v>517.15</v>
      </c>
    </row>
    <row r="61">
      <c r="B61" s="33" t="inlineStr">
        <is>
          <t>705000 Property Maintenance (incl Repairs &amp; Parking)</t>
        </is>
      </c>
      <c r="D61" s="19" t="n">
        <v>7856.16</v>
      </c>
      <c r="E61" s="19" t="n">
        <v>1203.41</v>
      </c>
      <c r="F61" s="19" t="n">
        <v>1203.41</v>
      </c>
      <c r="G61" s="19" t="n">
        <v>1203.41</v>
      </c>
      <c r="H61" s="19" t="n">
        <v>1353.41</v>
      </c>
      <c r="I61" s="19" t="n">
        <v>1303.41</v>
      </c>
      <c r="J61" s="19" t="n">
        <v>1203.41</v>
      </c>
      <c r="K61" s="19" t="n">
        <v>1763.48</v>
      </c>
      <c r="L61" s="19" t="n">
        <v>1203.41</v>
      </c>
      <c r="M61" s="19" t="n">
        <v>1203.41</v>
      </c>
      <c r="N61" s="19" t="n">
        <v>1203.41</v>
      </c>
      <c r="O61" s="19" t="n">
        <v>1203.41</v>
      </c>
      <c r="P61" s="19" t="n">
        <v>800</v>
      </c>
      <c r="Q61" s="19" t="n">
        <v>800</v>
      </c>
      <c r="R61" s="19" t="n">
        <v>800</v>
      </c>
      <c r="S61" s="19" t="n">
        <v>800</v>
      </c>
      <c r="T61" s="83" t="n">
        <v>800</v>
      </c>
      <c r="U61" s="83" t="n">
        <v>800</v>
      </c>
      <c r="V61" s="83" t="n">
        <v>580.59</v>
      </c>
      <c r="W61" s="20" t="n">
        <v>818.67</v>
      </c>
      <c r="X61" s="20" t="n">
        <v>818.67</v>
      </c>
      <c r="Y61" s="20" t="n">
        <v>818.67</v>
      </c>
      <c r="Z61" s="20" t="n">
        <v>818.67</v>
      </c>
      <c r="AA61" s="20" t="n">
        <v>818.67</v>
      </c>
      <c r="AB61" s="20" t="n">
        <v>818.67</v>
      </c>
      <c r="AC61" s="20" t="n">
        <v>818.67</v>
      </c>
      <c r="AD61" s="20" t="n">
        <v>818.67</v>
      </c>
      <c r="AE61" s="20" t="n">
        <v>818.67</v>
      </c>
      <c r="AF61" s="20" t="n">
        <v>818.67</v>
      </c>
      <c r="AG61" s="20" t="n">
        <v>818.67</v>
      </c>
      <c r="AH61" s="20" t="n">
        <v>818.67</v>
      </c>
      <c r="AI61" s="20" t="n">
        <v>818.67</v>
      </c>
      <c r="AJ61" s="20" t="n">
        <v>818.67</v>
      </c>
      <c r="AK61" s="20" t="n">
        <v>818.67</v>
      </c>
      <c r="AL61" s="20" t="n">
        <v>818.67</v>
      </c>
      <c r="AM61" s="20" t="n">
        <v>818.67</v>
      </c>
      <c r="AN61" s="20" t="n">
        <v>818.67</v>
      </c>
      <c r="AO61" s="20" t="n">
        <v>818.67</v>
      </c>
      <c r="AP61" s="20" t="n">
        <v>818.67</v>
      </c>
      <c r="AQ61" s="20" t="n">
        <v>818.67</v>
      </c>
      <c r="AR61" s="20" t="n">
        <v>818.67</v>
      </c>
      <c r="AS61" s="20" t="n">
        <v>818.67</v>
      </c>
      <c r="AT61" s="20" t="n">
        <v>818.67</v>
      </c>
      <c r="AU61" s="20" t="n">
        <v>818.67</v>
      </c>
      <c r="AV61" s="20" t="n">
        <v>818.67</v>
      </c>
      <c r="AW61" s="20" t="n">
        <v>818.67</v>
      </c>
      <c r="AX61" s="20" t="n">
        <v>818.67</v>
      </c>
      <c r="AY61" s="20" t="n">
        <v>818.67</v>
      </c>
    </row>
    <row r="62">
      <c r="B62" s="32" t="inlineStr">
        <is>
          <t>Total Property Costs</t>
        </is>
      </c>
      <c r="C62" s="34" t="n"/>
      <c r="D62" s="35">
        <f>SUM(D58:D61)</f>
        <v/>
      </c>
      <c r="E62" s="35">
        <f>SUM(E58:E61)</f>
        <v/>
      </c>
      <c r="F62" s="35">
        <f>SUM(F58:F61)</f>
        <v/>
      </c>
      <c r="G62" s="35">
        <f>SUM(G58:G61)</f>
        <v/>
      </c>
      <c r="H62" s="35">
        <f>SUM(H58:H61)</f>
        <v/>
      </c>
      <c r="I62" s="35">
        <f>SUM(I58:I61)</f>
        <v/>
      </c>
      <c r="J62" s="35">
        <f>SUM(J58:J61)</f>
        <v/>
      </c>
      <c r="K62" s="35">
        <f>SUM(K58:K61)</f>
        <v/>
      </c>
      <c r="L62" s="35">
        <f>SUM(L58:L61)</f>
        <v/>
      </c>
      <c r="M62" s="35">
        <f>SUM(M58:M61)</f>
        <v/>
      </c>
      <c r="N62" s="35">
        <f>SUM(N58:N61)</f>
        <v/>
      </c>
      <c r="O62" s="35">
        <f>SUM(O58:O61)</f>
        <v/>
      </c>
      <c r="P62" s="35">
        <f>P58+P59+P60+P61</f>
        <v/>
      </c>
      <c r="Q62" s="35">
        <f>Q58+Q59+Q60+Q61</f>
        <v/>
      </c>
      <c r="R62" s="35">
        <f>R58+R59+R60+R61</f>
        <v/>
      </c>
      <c r="S62" s="35">
        <f>S58+S59+S60+S61</f>
        <v/>
      </c>
      <c r="T62" s="84">
        <f>T58+T59+T60+T61</f>
        <v/>
      </c>
      <c r="U62" s="84">
        <f>U58+U59+U60+U61</f>
        <v/>
      </c>
      <c r="V62" s="84">
        <f>V58+V59+V60+V61</f>
        <v/>
      </c>
      <c r="W62" s="17">
        <f>W58+W59+W60+W61</f>
        <v/>
      </c>
      <c r="X62" s="17">
        <f>X58+X59+X60+X61</f>
        <v/>
      </c>
      <c r="Y62" s="17">
        <f>Y58+Y59+Y60+Y61</f>
        <v/>
      </c>
      <c r="Z62" s="17">
        <f>Z58+Z59+Z60+Z61</f>
        <v/>
      </c>
      <c r="AA62" s="17">
        <f>AA58+AA59+AA60+AA61</f>
        <v/>
      </c>
      <c r="AB62" s="17">
        <f>AB58+AB59+AB60+AB61</f>
        <v/>
      </c>
      <c r="AC62" s="17">
        <f>AC58+AC59+AC60+AC61</f>
        <v/>
      </c>
      <c r="AD62" s="17">
        <f>AD58+AD59+AD60+AD61</f>
        <v/>
      </c>
      <c r="AE62" s="17">
        <f>AE58+AE59+AE60+AE61</f>
        <v/>
      </c>
      <c r="AF62" s="17">
        <f>AF58+AF59+AF60+AF61</f>
        <v/>
      </c>
      <c r="AG62" s="17">
        <f>AG58+AG59+AG60+AG61</f>
        <v/>
      </c>
      <c r="AH62" s="17">
        <f>AH58+AH59+AH60+AH61</f>
        <v/>
      </c>
      <c r="AI62" s="17">
        <f>AI58+AI59+AI60+AI61</f>
        <v/>
      </c>
      <c r="AJ62" s="17">
        <f>AJ58+AJ59+AJ60+AJ61</f>
        <v/>
      </c>
      <c r="AK62" s="17">
        <f>AK58+AK59+AK60+AK61</f>
        <v/>
      </c>
      <c r="AL62" s="17">
        <f>AL58+AL59+AL60+AL61</f>
        <v/>
      </c>
      <c r="AM62" s="17">
        <f>AM58+AM59+AM60+AM61</f>
        <v/>
      </c>
      <c r="AN62" s="17">
        <f>AN58+AN59+AN60+AN61</f>
        <v/>
      </c>
      <c r="AO62" s="17">
        <f>AO58+AO59+AO60+AO61</f>
        <v/>
      </c>
      <c r="AP62" s="17">
        <f>AP58+AP59+AP60+AP61</f>
        <v/>
      </c>
      <c r="AQ62" s="17">
        <f>AQ58+AQ59+AQ60+AQ61</f>
        <v/>
      </c>
      <c r="AR62" s="17">
        <f>AR58+AR59+AR60+AR61</f>
        <v/>
      </c>
      <c r="AS62" s="17">
        <f>AS58+AS59+AS60+AS61</f>
        <v/>
      </c>
      <c r="AT62" s="17">
        <f>AT58+AT59+AT60+AT61</f>
        <v/>
      </c>
      <c r="AU62" s="17">
        <f>AU58+AU59+AU60+AU61</f>
        <v/>
      </c>
      <c r="AV62" s="17">
        <f>AV58+AV59+AV60+AV61</f>
        <v/>
      </c>
      <c r="AW62" s="17">
        <f>AW58+AW59+AW60+AW61</f>
        <v/>
      </c>
      <c r="AX62" s="17">
        <f>AX58+AX59+AX60+AX61</f>
        <v/>
      </c>
      <c r="AY62" s="17">
        <f>AY58+AY59+AY60+AY61</f>
        <v/>
      </c>
    </row>
    <row r="63">
      <c r="B63" s="32" t="inlineStr">
        <is>
          <t>TOTAL OPERATING EXPENSES</t>
        </is>
      </c>
      <c r="C63" s="34" t="n"/>
      <c r="D63" s="35">
        <f>D34+D39+D43+D48+D51+D57+D62</f>
        <v/>
      </c>
      <c r="E63" s="35">
        <f>E34+E39+E43+E48+E51+E57+E62</f>
        <v/>
      </c>
      <c r="F63" s="35">
        <f>F34+F39+F43+F48+F51+F57+F62</f>
        <v/>
      </c>
      <c r="G63" s="35">
        <f>G34+G39+G43+G48+G51+G57+G62</f>
        <v/>
      </c>
      <c r="H63" s="35">
        <f>H34+H39+H43+H48+H51+H57+H62</f>
        <v/>
      </c>
      <c r="I63" s="35">
        <f>I34+I39+I43+I48+I51+I57+I62</f>
        <v/>
      </c>
      <c r="J63" s="35">
        <f>J34+J39+J43+J48+J51+J57+J62</f>
        <v/>
      </c>
      <c r="K63" s="35">
        <f>K34+K39+K43+K48+K51+K57+K62</f>
        <v/>
      </c>
      <c r="L63" s="35">
        <f>L34+L39+L43+L48+L51+L57+L62</f>
        <v/>
      </c>
      <c r="M63" s="35">
        <f>M34+M39+M43+M48+M51+M57+M62</f>
        <v/>
      </c>
      <c r="N63" s="35">
        <f>N34+N39+N43+N48+N51+N57+N62</f>
        <v/>
      </c>
      <c r="O63" s="35">
        <f>O34+O39+O43+O48+O51+O57+O62</f>
        <v/>
      </c>
      <c r="P63" s="35">
        <f>P34+P39+P43+P48+P51+P57+P62</f>
        <v/>
      </c>
      <c r="Q63" s="35">
        <f>Q34+Q39+Q43+Q48+Q51+Q57+Q62</f>
        <v/>
      </c>
      <c r="R63" s="35">
        <f>R34+R39+R43+R48+R51+R57+R62</f>
        <v/>
      </c>
      <c r="S63" s="35">
        <f>S34+S39+S43+S48+S51+S57+S62</f>
        <v/>
      </c>
      <c r="T63" s="84">
        <f>T34+T39+T43+T48+T51+T57+T62</f>
        <v/>
      </c>
      <c r="U63" s="84">
        <f>U34+U39+U43+U48+U51+U57+U62</f>
        <v/>
      </c>
      <c r="V63" s="84">
        <f>V34+V39+V43+V48+V51+V57+V62</f>
        <v/>
      </c>
      <c r="W63" s="17">
        <f>W34+W39+W43+W48+W51+W57+W62</f>
        <v/>
      </c>
      <c r="X63" s="17">
        <f>X34+X39+X43+X48+X51+X57+X62</f>
        <v/>
      </c>
      <c r="Y63" s="17">
        <f>Y34+Y39+Y43+Y48+Y51+Y57+Y62</f>
        <v/>
      </c>
      <c r="Z63" s="17">
        <f>Z34+Z39+Z43+Z48+Z51+Z57+Z62</f>
        <v/>
      </c>
      <c r="AA63" s="17">
        <f>AA34+AA39+AA43+AA48+AA51+AA57+AA62</f>
        <v/>
      </c>
      <c r="AB63" s="17">
        <f>AB34+AB39+AB43+AB48+AB51+AB57+AB62</f>
        <v/>
      </c>
      <c r="AC63" s="17">
        <f>AC34+AC39+AC43+AC48+AC51+AC57+AC62</f>
        <v/>
      </c>
      <c r="AD63" s="17">
        <f>AD34+AD39+AD43+AD48+AD51+AD57+AD62</f>
        <v/>
      </c>
      <c r="AE63" s="17">
        <f>AE34+AE39+AE43+AE48+AE51+AE57+AE62</f>
        <v/>
      </c>
      <c r="AF63" s="17">
        <f>AF34+AF39+AF43+AF48+AF51+AF57+AF62</f>
        <v/>
      </c>
      <c r="AG63" s="17">
        <f>AG34+AG39+AG43+AG48+AG51+AG57+AG62</f>
        <v/>
      </c>
      <c r="AH63" s="17">
        <f>AH34+AH39+AH43+AH48+AH51+AH57+AH62</f>
        <v/>
      </c>
      <c r="AI63" s="17">
        <f>AI34+AI39+AI43+AI48+AI51+AI57+AI62</f>
        <v/>
      </c>
      <c r="AJ63" s="17">
        <f>AJ34+AJ39+AJ43+AJ48+AJ51+AJ57+AJ62</f>
        <v/>
      </c>
      <c r="AK63" s="17">
        <f>AK34+AK39+AK43+AK48+AK51+AK57+AK62</f>
        <v/>
      </c>
      <c r="AL63" s="17">
        <f>AL34+AL39+AL43+AL48+AL51+AL57+AL62</f>
        <v/>
      </c>
      <c r="AM63" s="17">
        <f>AM34+AM39+AM43+AM48+AM51+AM57+AM62</f>
        <v/>
      </c>
      <c r="AN63" s="17">
        <f>AN34+AN39+AN43+AN48+AN51+AN57+AN62</f>
        <v/>
      </c>
      <c r="AO63" s="17">
        <f>AO34+AO39+AO43+AO48+AO51+AO57+AO62</f>
        <v/>
      </c>
      <c r="AP63" s="17">
        <f>AP34+AP39+AP43+AP48+AP51+AP57+AP62</f>
        <v/>
      </c>
      <c r="AQ63" s="17">
        <f>AQ34+AQ39+AQ43+AQ48+AQ51+AQ57+AQ62</f>
        <v/>
      </c>
      <c r="AR63" s="17">
        <f>AR34+AR39+AR43+AR48+AR51+AR57+AR62</f>
        <v/>
      </c>
      <c r="AS63" s="17">
        <f>AS34+AS39+AS43+AS48+AS51+AS57+AS62</f>
        <v/>
      </c>
      <c r="AT63" s="17">
        <f>AT34+AT39+AT43+AT48+AT51+AT57+AT62</f>
        <v/>
      </c>
      <c r="AU63" s="17">
        <f>AU34+AU39+AU43+AU48+AU51+AU57+AU62</f>
        <v/>
      </c>
      <c r="AV63" s="17">
        <f>AV34+AV39+AV43+AV48+AV51+AV57+AV62</f>
        <v/>
      </c>
      <c r="AW63" s="17">
        <f>AW34+AW39+AW43+AW48+AW51+AW57+AW62</f>
        <v/>
      </c>
      <c r="AX63" s="17">
        <f>AX34+AX39+AX43+AX48+AX51+AX57+AX62</f>
        <v/>
      </c>
      <c r="AY63" s="17">
        <f>AY34+AY39+AY43+AY48+AY51+AY57+AY62</f>
        <v/>
      </c>
    </row>
    <row r="64">
      <c r="B64" s="32" t="inlineStr">
        <is>
          <t>NET OPERATING INCOME (EBITDA)</t>
        </is>
      </c>
      <c r="C64" s="34" t="n"/>
      <c r="D64" s="35">
        <f>D27-D63</f>
        <v/>
      </c>
      <c r="E64" s="35">
        <f>E27-E63</f>
        <v/>
      </c>
      <c r="F64" s="35">
        <f>F27-F63</f>
        <v/>
      </c>
      <c r="G64" s="35">
        <f>G27-G63</f>
        <v/>
      </c>
      <c r="H64" s="35">
        <f>H27-H63</f>
        <v/>
      </c>
      <c r="I64" s="35">
        <f>I27-I63</f>
        <v/>
      </c>
      <c r="J64" s="35">
        <f>J27-J63</f>
        <v/>
      </c>
      <c r="K64" s="35">
        <f>K27-K63</f>
        <v/>
      </c>
      <c r="L64" s="35">
        <f>L27-L63</f>
        <v/>
      </c>
      <c r="M64" s="35">
        <f>M27-M63</f>
        <v/>
      </c>
      <c r="N64" s="35">
        <f>N27-N63</f>
        <v/>
      </c>
      <c r="O64" s="35">
        <f>O27-O63</f>
        <v/>
      </c>
      <c r="P64" s="35">
        <f>P27-P63</f>
        <v/>
      </c>
      <c r="Q64" s="35">
        <f>Q27-Q63</f>
        <v/>
      </c>
      <c r="R64" s="35">
        <f>R27-R63</f>
        <v/>
      </c>
      <c r="S64" s="35">
        <f>S27-S63</f>
        <v/>
      </c>
      <c r="T64" s="84">
        <f>T27-T63</f>
        <v/>
      </c>
      <c r="U64" s="84">
        <f>U27-U63</f>
        <v/>
      </c>
      <c r="V64" s="84">
        <f>V27-V63</f>
        <v/>
      </c>
      <c r="W64" s="17">
        <f>W27-W63</f>
        <v/>
      </c>
      <c r="X64" s="17">
        <f>X27-X63</f>
        <v/>
      </c>
      <c r="Y64" s="17">
        <f>Y27-Y63</f>
        <v/>
      </c>
      <c r="Z64" s="17">
        <f>Z27-Z63</f>
        <v/>
      </c>
      <c r="AA64" s="17">
        <f>AA27-AA63</f>
        <v/>
      </c>
      <c r="AB64" s="17">
        <f>AB27-AB63</f>
        <v/>
      </c>
      <c r="AC64" s="17">
        <f>AC27-AC63</f>
        <v/>
      </c>
      <c r="AD64" s="17">
        <f>AD27-AD63</f>
        <v/>
      </c>
      <c r="AE64" s="17">
        <f>AE27-AE63</f>
        <v/>
      </c>
      <c r="AF64" s="17">
        <f>AF27-AF63</f>
        <v/>
      </c>
      <c r="AG64" s="17">
        <f>AG27-AG63</f>
        <v/>
      </c>
      <c r="AH64" s="17">
        <f>AH27-AH63</f>
        <v/>
      </c>
      <c r="AI64" s="17">
        <f>AI27-AI63</f>
        <v/>
      </c>
      <c r="AJ64" s="17">
        <f>AJ27-AJ63</f>
        <v/>
      </c>
      <c r="AK64" s="17">
        <f>AK27-AK63</f>
        <v/>
      </c>
      <c r="AL64" s="17">
        <f>AL27-AL63</f>
        <v/>
      </c>
      <c r="AM64" s="17">
        <f>AM27-AM63</f>
        <v/>
      </c>
      <c r="AN64" s="17">
        <f>AN27-AN63</f>
        <v/>
      </c>
      <c r="AO64" s="17">
        <f>AO27-AO63</f>
        <v/>
      </c>
      <c r="AP64" s="17">
        <f>AP27-AP63</f>
        <v/>
      </c>
      <c r="AQ64" s="17">
        <f>AQ27-AQ63</f>
        <v/>
      </c>
      <c r="AR64" s="17">
        <f>AR27-AR63</f>
        <v/>
      </c>
      <c r="AS64" s="17">
        <f>AS27-AS63</f>
        <v/>
      </c>
      <c r="AT64" s="17">
        <f>AT27-AT63</f>
        <v/>
      </c>
      <c r="AU64" s="17">
        <f>AU27-AU63</f>
        <v/>
      </c>
      <c r="AV64" s="17">
        <f>AV27-AV63</f>
        <v/>
      </c>
      <c r="AW64" s="17">
        <f>AW27-AW63</f>
        <v/>
      </c>
      <c r="AX64" s="17">
        <f>AX27-AX63</f>
        <v/>
      </c>
      <c r="AY64" s="17">
        <f>AY27-AY63</f>
        <v/>
      </c>
    </row>
    <row r="65" ht="16" customHeight="1" s="282">
      <c r="B65" s="10" t="inlineStr">
        <is>
          <t>OTHER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</row>
    <row r="66">
      <c r="B66" s="33" t="inlineStr">
        <is>
          <t xml:space="preserve">  810000 Depreciation</t>
        </is>
      </c>
      <c r="D66" s="19" t="n">
        <v>1842.1</v>
      </c>
      <c r="E66" s="19" t="n">
        <v>1850.23</v>
      </c>
      <c r="F66" s="19" t="n">
        <v>1850.23</v>
      </c>
      <c r="G66" s="19" t="n">
        <v>1853.38</v>
      </c>
      <c r="H66" s="19" t="n">
        <v>1855.96</v>
      </c>
      <c r="I66" s="19" t="n">
        <v>1855.96</v>
      </c>
      <c r="J66" s="19" t="n">
        <v>1855.96</v>
      </c>
      <c r="K66" s="19" t="n">
        <v>1855.96</v>
      </c>
      <c r="L66" s="19" t="n">
        <v>1882.97</v>
      </c>
      <c r="M66" s="19" t="n">
        <v>1882.97</v>
      </c>
      <c r="N66" s="19" t="n">
        <v>1882.97</v>
      </c>
      <c r="O66" s="19" t="n">
        <v>1483.6</v>
      </c>
      <c r="P66" s="19" t="n">
        <v>1833.55</v>
      </c>
      <c r="Q66" s="19" t="n">
        <v>1833.55</v>
      </c>
      <c r="R66" s="19" t="n">
        <v>1833.55</v>
      </c>
      <c r="S66" s="19" t="n">
        <v>1833.55</v>
      </c>
      <c r="T66" s="83" t="n">
        <v>1833.55</v>
      </c>
      <c r="U66" s="83" t="n">
        <v>1833.55</v>
      </c>
      <c r="V66" s="83" t="n">
        <v>1833.55</v>
      </c>
      <c r="W66" s="20" t="n">
        <v>1833.55</v>
      </c>
      <c r="X66" s="20" t="n">
        <v>1833.55</v>
      </c>
      <c r="Y66" s="20" t="n">
        <v>1833.55</v>
      </c>
      <c r="Z66" s="20" t="n">
        <v>1833.55</v>
      </c>
      <c r="AA66" s="20" t="n">
        <v>1833.55</v>
      </c>
      <c r="AB66" s="20" t="n">
        <v>1833.55</v>
      </c>
      <c r="AC66" s="20" t="n">
        <v>1833.55</v>
      </c>
      <c r="AD66" s="20" t="n">
        <v>1833.55</v>
      </c>
      <c r="AE66" s="20" t="n">
        <v>1833.55</v>
      </c>
      <c r="AF66" s="20" t="n">
        <v>1833.55</v>
      </c>
      <c r="AG66" s="20" t="n">
        <v>1833.55</v>
      </c>
      <c r="AH66" s="20" t="n">
        <v>1833.55</v>
      </c>
      <c r="AI66" s="20" t="n">
        <v>1833.55</v>
      </c>
      <c r="AJ66" s="20" t="n">
        <v>1833.55</v>
      </c>
      <c r="AK66" s="20" t="n">
        <v>1833.55</v>
      </c>
      <c r="AL66" s="20" t="n">
        <v>1833.55</v>
      </c>
      <c r="AM66" s="20" t="n">
        <v>1833.55</v>
      </c>
      <c r="AN66" s="20" t="n">
        <v>1833.55</v>
      </c>
      <c r="AO66" s="20" t="n">
        <v>1833.55</v>
      </c>
      <c r="AP66" s="20" t="n">
        <v>1833.55</v>
      </c>
      <c r="AQ66" s="20" t="n">
        <v>1833.55</v>
      </c>
      <c r="AR66" s="20" t="n">
        <v>1833.55</v>
      </c>
      <c r="AS66" s="20" t="n">
        <v>1833.55</v>
      </c>
      <c r="AT66" s="20" t="n">
        <v>1833.55</v>
      </c>
      <c r="AU66" s="20" t="n">
        <v>1833.55</v>
      </c>
      <c r="AV66" s="20" t="n">
        <v>1833.55</v>
      </c>
      <c r="AW66" s="20" t="n">
        <v>1833.55</v>
      </c>
      <c r="AX66" s="20" t="n">
        <v>1833.55</v>
      </c>
      <c r="AY66" s="20" t="n">
        <v>1833.55</v>
      </c>
    </row>
    <row r="67">
      <c r="B67" s="33" t="inlineStr">
        <is>
          <t>901000 Interest Expense (incl Other Exp/Inc)</t>
        </is>
      </c>
      <c r="D67" s="19" t="n">
        <v>0</v>
      </c>
      <c r="E67" s="19" t="n">
        <v>0</v>
      </c>
      <c r="F67" s="19" t="n">
        <v>0</v>
      </c>
      <c r="G67" s="19" t="n">
        <v>0</v>
      </c>
      <c r="H67" s="19" t="n">
        <v>0</v>
      </c>
      <c r="I67" s="19" t="n">
        <v>0</v>
      </c>
      <c r="J67" s="19" t="n">
        <v>0</v>
      </c>
      <c r="K67" s="19" t="n">
        <v>0</v>
      </c>
      <c r="L67" s="19" t="n">
        <v>0</v>
      </c>
      <c r="M67" s="19" t="n">
        <v>0</v>
      </c>
      <c r="N67" s="19" t="n">
        <v>0</v>
      </c>
      <c r="O67" s="19" t="n">
        <v>0</v>
      </c>
      <c r="P67" s="19" t="n">
        <v>0</v>
      </c>
      <c r="Q67" s="19" t="n">
        <v>0</v>
      </c>
      <c r="R67" s="19" t="n">
        <v>0</v>
      </c>
      <c r="S67" s="19" t="n">
        <v>0</v>
      </c>
      <c r="T67" s="83" t="n">
        <v>0</v>
      </c>
      <c r="U67" s="83" t="n">
        <v>0</v>
      </c>
      <c r="V67" s="83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0</v>
      </c>
      <c r="AP67" s="20" t="n">
        <v>0</v>
      </c>
      <c r="AQ67" s="20" t="n">
        <v>0</v>
      </c>
      <c r="AR67" s="20" t="n">
        <v>0</v>
      </c>
      <c r="AS67" s="20" t="n">
        <v>0</v>
      </c>
      <c r="AT67" s="20" t="n">
        <v>0</v>
      </c>
      <c r="AU67" s="20" t="n">
        <v>0</v>
      </c>
      <c r="AV67" s="20" t="n">
        <v>0</v>
      </c>
      <c r="AW67" s="20" t="n">
        <v>0</v>
      </c>
      <c r="AX67" s="20" t="n">
        <v>0</v>
      </c>
      <c r="AY67" s="20" t="n">
        <v>0</v>
      </c>
    </row>
    <row r="68">
      <c r="B68" s="33" t="inlineStr">
        <is>
          <t xml:space="preserve">  902000 Taxes Paid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3" t="n">
        <v>0</v>
      </c>
      <c r="U68" s="83" t="n">
        <v>0</v>
      </c>
      <c r="V68" s="83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>
        <f>AN70*0.070773</f>
        <v/>
      </c>
      <c r="AO68" s="20">
        <f>AO70*0.070773</f>
        <v/>
      </c>
      <c r="AP68" s="20">
        <f>AP70*0.070773</f>
        <v/>
      </c>
      <c r="AQ68" s="20">
        <f>AQ70*0.070773</f>
        <v/>
      </c>
      <c r="AR68" s="20">
        <f>AR70*0.070773</f>
        <v/>
      </c>
      <c r="AS68" s="20">
        <f>AS70*0.070773</f>
        <v/>
      </c>
      <c r="AT68" s="20">
        <f>AT70*0.070773</f>
        <v/>
      </c>
      <c r="AU68" s="20">
        <f>AU70*0.070773</f>
        <v/>
      </c>
      <c r="AV68" s="20">
        <f>AV70*0.070773</f>
        <v/>
      </c>
      <c r="AW68" s="20">
        <f>AW70*0.070773</f>
        <v/>
      </c>
      <c r="AX68" s="20">
        <f>AX70*0.070773</f>
        <v/>
      </c>
      <c r="AY68" s="20">
        <f>AY70*0.070773</f>
        <v/>
      </c>
    </row>
    <row r="69">
      <c r="B69" s="33" t="inlineStr">
        <is>
          <t xml:space="preserve">  903000 Property taxes</t>
        </is>
      </c>
      <c r="D69" s="19" t="n">
        <v>0</v>
      </c>
      <c r="E69" s="19" t="n">
        <v>0</v>
      </c>
      <c r="F69" s="19" t="n">
        <v>0</v>
      </c>
      <c r="G69" s="19" t="n">
        <v>366</v>
      </c>
      <c r="H69" s="19" t="n">
        <v>0</v>
      </c>
      <c r="I69" s="19" t="n">
        <v>0</v>
      </c>
      <c r="J69" s="19" t="n">
        <v>0</v>
      </c>
      <c r="K69" s="19" t="n">
        <v>0</v>
      </c>
      <c r="L69" s="19" t="n">
        <v>0</v>
      </c>
      <c r="M69" s="19" t="n">
        <v>0</v>
      </c>
      <c r="N69" s="19" t="n">
        <v>0</v>
      </c>
      <c r="O69" s="19" t="n">
        <v>0</v>
      </c>
      <c r="P69" s="19" t="n">
        <v>0</v>
      </c>
      <c r="Q69" s="19" t="n">
        <v>0</v>
      </c>
      <c r="R69" s="19" t="n">
        <v>0</v>
      </c>
      <c r="S69" s="19" t="n">
        <v>0</v>
      </c>
      <c r="T69" s="83" t="n">
        <v>0</v>
      </c>
      <c r="U69" s="83" t="n">
        <v>0</v>
      </c>
      <c r="V69" s="83" t="n">
        <v>0</v>
      </c>
      <c r="W69" s="20" t="n">
        <v>0</v>
      </c>
      <c r="X69" s="20" t="n">
        <v>0</v>
      </c>
      <c r="Y69" s="20" t="n">
        <v>0</v>
      </c>
      <c r="Z69" s="20" t="n">
        <v>0</v>
      </c>
      <c r="AA69" s="20" t="n">
        <v>0</v>
      </c>
      <c r="AB69" s="20" t="n">
        <v>0</v>
      </c>
      <c r="AC69" s="20" t="n">
        <v>0</v>
      </c>
      <c r="AD69" s="20" t="n">
        <v>0</v>
      </c>
      <c r="AE69" s="20" t="n">
        <v>0</v>
      </c>
      <c r="AF69" s="20" t="n">
        <v>0</v>
      </c>
      <c r="AG69" s="20" t="n">
        <v>0</v>
      </c>
      <c r="AH69" s="20" t="n">
        <v>0</v>
      </c>
      <c r="AI69" s="20" t="n">
        <v>0</v>
      </c>
      <c r="AJ69" s="20" t="n">
        <v>0</v>
      </c>
      <c r="AK69" s="20" t="n">
        <v>0</v>
      </c>
      <c r="AL69" s="20" t="n">
        <v>0</v>
      </c>
      <c r="AM69" s="20" t="n">
        <v>0</v>
      </c>
      <c r="AN69" s="20" t="n">
        <v>0</v>
      </c>
      <c r="AO69" s="20" t="n">
        <v>0</v>
      </c>
      <c r="AP69" s="20" t="n">
        <v>0</v>
      </c>
      <c r="AQ69" s="20" t="n">
        <v>0</v>
      </c>
      <c r="AR69" s="20" t="n">
        <v>0</v>
      </c>
      <c r="AS69" s="20" t="n">
        <v>0</v>
      </c>
      <c r="AT69" s="20" t="n">
        <v>0</v>
      </c>
      <c r="AU69" s="20" t="n">
        <v>0</v>
      </c>
      <c r="AV69" s="20" t="n">
        <v>0</v>
      </c>
      <c r="AW69" s="20" t="n">
        <v>0</v>
      </c>
      <c r="AX69" s="20" t="n">
        <v>0</v>
      </c>
      <c r="AY69" s="20" t="n">
        <v>0</v>
      </c>
    </row>
    <row r="70">
      <c r="B70" s="32" t="inlineStr">
        <is>
          <t>Total Other Expenses</t>
        </is>
      </c>
      <c r="C70" s="34" t="n"/>
      <c r="D70" s="35">
        <f>SUM(D66:D69)</f>
        <v/>
      </c>
      <c r="E70" s="35">
        <f>SUM(E66:E69)</f>
        <v/>
      </c>
      <c r="F70" s="35">
        <f>SUM(F66:F69)</f>
        <v/>
      </c>
      <c r="G70" s="35">
        <f>SUM(G66:G69)</f>
        <v/>
      </c>
      <c r="H70" s="35">
        <f>SUM(H66:H69)</f>
        <v/>
      </c>
      <c r="I70" s="35">
        <f>SUM(I66:I69)</f>
        <v/>
      </c>
      <c r="J70" s="35">
        <f>SUM(J66:J69)</f>
        <v/>
      </c>
      <c r="K70" s="35">
        <f>SUM(K66:K69)</f>
        <v/>
      </c>
      <c r="L70" s="35">
        <f>SUM(L66:L69)</f>
        <v/>
      </c>
      <c r="M70" s="35">
        <f>SUM(M66:M69)</f>
        <v/>
      </c>
      <c r="N70" s="35">
        <f>SUM(N66:N69)</f>
        <v/>
      </c>
      <c r="O70" s="35">
        <f>SUM(O66:O69)</f>
        <v/>
      </c>
      <c r="P70" s="35">
        <f>P66+P67+P68+P69</f>
        <v/>
      </c>
      <c r="Q70" s="35">
        <f>Q66+Q67+Q68+Q69</f>
        <v/>
      </c>
      <c r="R70" s="35">
        <f>R66+R67+R68+R69</f>
        <v/>
      </c>
      <c r="S70" s="35">
        <f>S66+S67+S68+S69</f>
        <v/>
      </c>
      <c r="T70" s="84">
        <f>T66+T67+T68+T69</f>
        <v/>
      </c>
      <c r="U70" s="84">
        <f>U66+U67+U68+U69</f>
        <v/>
      </c>
      <c r="V70" s="84">
        <f>V66+V67+V68+V69</f>
        <v/>
      </c>
      <c r="W70" s="17">
        <f>SUM(W66:W69)</f>
        <v/>
      </c>
      <c r="X70" s="17">
        <f>SUM(X66:X69)</f>
        <v/>
      </c>
      <c r="Y70" s="17">
        <f>SUM(Y66:Y69)</f>
        <v/>
      </c>
      <c r="Z70" s="17">
        <f>SUM(Z66:Z69)</f>
        <v/>
      </c>
      <c r="AA70" s="17">
        <f>SUM(AA66:AA69)</f>
        <v/>
      </c>
      <c r="AB70" s="17">
        <f>SUM(AB66:AB69)</f>
        <v/>
      </c>
      <c r="AC70" s="17">
        <f>SUM(AC66:AC69)</f>
        <v/>
      </c>
      <c r="AD70" s="17">
        <f>SUM(AD66:AD69)</f>
        <v/>
      </c>
      <c r="AE70" s="17">
        <f>SUM(AE66:AE69)</f>
        <v/>
      </c>
      <c r="AF70" s="17">
        <f>SUM(AF66:AF69)</f>
        <v/>
      </c>
      <c r="AG70" s="17">
        <f>SUM(AG66:AG69)</f>
        <v/>
      </c>
      <c r="AH70" s="17">
        <f>SUM(AH66:AH69)</f>
        <v/>
      </c>
      <c r="AI70" s="17">
        <f>SUM(AI66:AI69)</f>
        <v/>
      </c>
      <c r="AJ70" s="17">
        <f>SUM(AJ66:AJ69)</f>
        <v/>
      </c>
      <c r="AK70" s="17">
        <f>SUM(AK66:AK69)</f>
        <v/>
      </c>
      <c r="AL70" s="17">
        <f>SUM(AL66:AL69)</f>
        <v/>
      </c>
      <c r="AM70" s="17">
        <f>SUM(AM66:AM69)</f>
        <v/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</row>
    <row r="71">
      <c r="B71" s="32" t="inlineStr">
        <is>
          <t>NET INCOME</t>
        </is>
      </c>
      <c r="C71" s="34" t="n"/>
      <c r="D71" s="35">
        <f>D64-D70</f>
        <v/>
      </c>
      <c r="E71" s="35">
        <f>E64-E70</f>
        <v/>
      </c>
      <c r="F71" s="35">
        <f>F64-F70</f>
        <v/>
      </c>
      <c r="G71" s="35">
        <f>G64-G70</f>
        <v/>
      </c>
      <c r="H71" s="35">
        <f>H64-H70</f>
        <v/>
      </c>
      <c r="I71" s="35">
        <f>I64-I70</f>
        <v/>
      </c>
      <c r="J71" s="35">
        <f>J64-J70</f>
        <v/>
      </c>
      <c r="K71" s="35">
        <f>K64-K70</f>
        <v/>
      </c>
      <c r="L71" s="35">
        <f>L64-L70</f>
        <v/>
      </c>
      <c r="M71" s="35">
        <f>M64-M70</f>
        <v/>
      </c>
      <c r="N71" s="35">
        <f>N64-N70</f>
        <v/>
      </c>
      <c r="O71" s="35">
        <f>O64-O70</f>
        <v/>
      </c>
      <c r="P71" s="35">
        <f>P64-P70</f>
        <v/>
      </c>
      <c r="Q71" s="35">
        <f>Q64-Q70</f>
        <v/>
      </c>
      <c r="R71" s="35">
        <f>R64-R70</f>
        <v/>
      </c>
      <c r="S71" s="35">
        <f>S64-S70</f>
        <v/>
      </c>
      <c r="T71" s="84">
        <f>T64-T70</f>
        <v/>
      </c>
      <c r="U71" s="84">
        <f>U64-U70</f>
        <v/>
      </c>
      <c r="V71" s="84">
        <f>V64-V70</f>
        <v/>
      </c>
      <c r="W71" s="17">
        <f>W64-W70</f>
        <v/>
      </c>
      <c r="X71" s="17">
        <f>X64-X70</f>
        <v/>
      </c>
      <c r="Y71" s="17">
        <f>Y64-Y70</f>
        <v/>
      </c>
      <c r="Z71" s="17">
        <f>Z64-Z70</f>
        <v/>
      </c>
      <c r="AA71" s="17">
        <f>AA64-AA70</f>
        <v/>
      </c>
      <c r="AB71" s="17">
        <f>AB64-AB70</f>
        <v/>
      </c>
      <c r="AC71" s="17">
        <f>AC64-AC70</f>
        <v/>
      </c>
      <c r="AD71" s="17">
        <f>AD64-AD70</f>
        <v/>
      </c>
      <c r="AE71" s="17">
        <f>AE64-AE70</f>
        <v/>
      </c>
      <c r="AF71" s="17">
        <f>AF64-AF70</f>
        <v/>
      </c>
      <c r="AG71" s="17">
        <f>AG64-AG70</f>
        <v/>
      </c>
      <c r="AH71" s="17">
        <f>AH64-AH70</f>
        <v/>
      </c>
      <c r="AI71" s="17">
        <f>AI64-AI70</f>
        <v/>
      </c>
      <c r="AJ71" s="17">
        <f>AJ64-AJ70</f>
        <v/>
      </c>
      <c r="AK71" s="17">
        <f>AK64-AK70</f>
        <v/>
      </c>
      <c r="AL71" s="17">
        <f>AL64-AL70</f>
        <v/>
      </c>
      <c r="AM71" s="17">
        <f>AM64-AM70</f>
        <v/>
      </c>
      <c r="AN71" s="17">
        <f>AN64-AN70</f>
        <v/>
      </c>
      <c r="AO71" s="17">
        <f>AO64-AO70</f>
        <v/>
      </c>
      <c r="AP71" s="17">
        <f>AP64-AP70</f>
        <v/>
      </c>
      <c r="AQ71" s="17">
        <f>AQ64-AQ70</f>
        <v/>
      </c>
      <c r="AR71" s="17">
        <f>AR64-AR70</f>
        <v/>
      </c>
      <c r="AS71" s="17">
        <f>AS64-AS70</f>
        <v/>
      </c>
      <c r="AT71" s="17">
        <f>AT64-AT70</f>
        <v/>
      </c>
      <c r="AU71" s="17">
        <f>AU64-AU70</f>
        <v/>
      </c>
      <c r="AV71" s="17">
        <f>AV64-AV70</f>
        <v/>
      </c>
      <c r="AW71" s="17">
        <f>AW64-AW70</f>
        <v/>
      </c>
      <c r="AX71" s="17">
        <f>AX64-AX70</f>
        <v/>
      </c>
      <c r="AY71" s="17">
        <f>AY64-AY70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ED7D31"/>
    <outlinePr summaryBelow="1" summaryRight="1"/>
    <pageSetUpPr/>
  </sheetPr>
  <dimension ref="B2:BB70"/>
  <sheetViews>
    <sheetView showGridLines="0" workbookViewId="0">
      <pane xSplit="3" ySplit="5" topLeftCell="AK6" activePane="bottomRight" state="frozen"/>
      <selection activeCell="W21" sqref="W21"/>
      <selection pane="topRight" activeCell="W21" sqref="W21"/>
      <selection pane="bottomLeft" activeCell="W21" sqref="W21"/>
      <selection pane="bottomRight" activeCell="AY13" sqref="AY13"/>
    </sheetView>
  </sheetViews>
  <sheetFormatPr baseColWidth="10" defaultColWidth="8.83203125" defaultRowHeight="15"/>
  <cols>
    <col hidden="1" width="2" customWidth="1" style="282" min="1" max="1"/>
    <col width="32" customWidth="1" style="282" min="2" max="2"/>
    <col width="10" customWidth="1" style="282" min="3" max="3"/>
    <col width="12" customWidth="1" style="282" min="4" max="39"/>
    <col width="13.33203125" customWidth="1" style="282" min="53" max="53"/>
  </cols>
  <sheetData>
    <row r="2" ht="21" customHeight="1" s="282">
      <c r="B2" s="9" t="inlineStr">
        <is>
          <t>Culver City (CC) — Profit &amp; Loss</t>
        </is>
      </c>
      <c r="T2" s="24" t="n"/>
      <c r="U2" s="24" t="n"/>
    </row>
    <row r="4" ht="16" customHeight="1" s="28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01" t="inlineStr">
        <is>
          <t>Revenue Segments as % of Total (LTM)</t>
        </is>
      </c>
    </row>
    <row r="6" ht="16" customHeight="1" s="28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BA6" s="272" t="inlineStr">
        <is>
          <t>LTM May 2026</t>
        </is>
      </c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42</v>
      </c>
      <c r="L7" s="19" t="n">
        <v>7077.37</v>
      </c>
      <c r="M7" s="19" t="n">
        <v>16280.87</v>
      </c>
      <c r="N7" s="19" t="n">
        <v>14326</v>
      </c>
      <c r="O7" s="19" t="n">
        <v>16551.11</v>
      </c>
      <c r="P7" s="19" t="n">
        <v>20397.9</v>
      </c>
      <c r="Q7" s="19" t="n">
        <v>19548.71</v>
      </c>
      <c r="R7" s="19" t="n">
        <v>20502.29</v>
      </c>
      <c r="S7" s="19" t="n">
        <v>17774.52</v>
      </c>
      <c r="T7" s="83" t="n">
        <v>16596.07</v>
      </c>
      <c r="U7" s="83" t="n">
        <v>16167.62</v>
      </c>
      <c r="V7" s="83" t="n">
        <v>17174.48</v>
      </c>
      <c r="W7" s="20">
        <f>W13*0.510234</f>
        <v/>
      </c>
      <c r="X7" s="20">
        <f>X13*0.510234</f>
        <v/>
      </c>
      <c r="Y7" s="20">
        <f>Y13*0.510234</f>
        <v/>
      </c>
      <c r="Z7" s="20">
        <f>Z13*0.510234</f>
        <v/>
      </c>
      <c r="AA7" s="20">
        <f>AA13*0.510234</f>
        <v/>
      </c>
      <c r="AB7" s="20">
        <f>AB13*0.510234</f>
        <v/>
      </c>
      <c r="AC7" s="20">
        <f>AC13*0.510234</f>
        <v/>
      </c>
      <c r="AD7" s="20">
        <f>AD13*0.510234</f>
        <v/>
      </c>
      <c r="AE7" s="20">
        <f>AE13*0.510234</f>
        <v/>
      </c>
      <c r="AF7" s="20">
        <f>AF13*0.510234</f>
        <v/>
      </c>
      <c r="AG7" s="20">
        <f>AG13*0.510234</f>
        <v/>
      </c>
      <c r="AH7" s="20">
        <f>AH13*0.510234</f>
        <v/>
      </c>
      <c r="AI7" s="20">
        <f>AI13*0.510234</f>
        <v/>
      </c>
      <c r="AJ7" s="20">
        <f>AJ13*0.510234</f>
        <v/>
      </c>
      <c r="AK7" s="20">
        <f>AK13*0.510234</f>
        <v/>
      </c>
      <c r="AL7" s="20">
        <f>AL13*0.510234</f>
        <v/>
      </c>
      <c r="AM7" s="20">
        <f>AM13*0.510234</f>
        <v/>
      </c>
      <c r="AN7" s="20">
        <f>AN13*0.510234</f>
        <v/>
      </c>
      <c r="AO7" s="20">
        <f>AO13*0.510234</f>
        <v/>
      </c>
      <c r="AP7" s="20">
        <f>AP13*0.510234</f>
        <v/>
      </c>
      <c r="AQ7" s="20">
        <f>AQ13*0.510234</f>
        <v/>
      </c>
      <c r="AR7" s="20">
        <f>AR13*0.510234</f>
        <v/>
      </c>
      <c r="AS7" s="20">
        <f>AS13*0.510234</f>
        <v/>
      </c>
      <c r="AT7" s="20">
        <f>AT13*0.510234</f>
        <v/>
      </c>
      <c r="AU7" s="20">
        <f>AU13*0.510234</f>
        <v/>
      </c>
      <c r="AV7" s="20">
        <f>AV13*0.510234</f>
        <v/>
      </c>
      <c r="AW7" s="20">
        <f>AW13*0.510234</f>
        <v/>
      </c>
      <c r="AX7" s="20">
        <f>AX13*0.510234</f>
        <v/>
      </c>
      <c r="AY7" s="20">
        <f>AY13*0.510234</f>
        <v/>
      </c>
      <c r="BA7" s="288">
        <f>SUM(I7:T7)</f>
        <v/>
      </c>
      <c r="BB7" s="274">
        <f>BA7/$BA$21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415</v>
      </c>
      <c r="M8" s="19" t="n">
        <v>945</v>
      </c>
      <c r="N8" s="19" t="n">
        <v>860</v>
      </c>
      <c r="O8" s="19" t="n">
        <v>940</v>
      </c>
      <c r="P8" s="19" t="n">
        <v>1170</v>
      </c>
      <c r="Q8" s="19" t="n">
        <v>1512</v>
      </c>
      <c r="R8" s="19" t="n">
        <v>1002</v>
      </c>
      <c r="S8" s="19" t="n">
        <v>333</v>
      </c>
      <c r="T8" s="83" t="n">
        <v>628</v>
      </c>
      <c r="U8" s="83" t="n">
        <v>961</v>
      </c>
      <c r="V8" s="83" t="n">
        <v>270</v>
      </c>
      <c r="W8" s="20">
        <f>W13*0.026202</f>
        <v/>
      </c>
      <c r="X8" s="20">
        <f>X13*0.026202</f>
        <v/>
      </c>
      <c r="Y8" s="20">
        <f>Y13*0.026202</f>
        <v/>
      </c>
      <c r="Z8" s="20">
        <f>Z13*0.026202</f>
        <v/>
      </c>
      <c r="AA8" s="20">
        <f>AA13*0.026202</f>
        <v/>
      </c>
      <c r="AB8" s="20">
        <f>AB13*0.026202</f>
        <v/>
      </c>
      <c r="AC8" s="20">
        <f>AC13*0.026202</f>
        <v/>
      </c>
      <c r="AD8" s="20">
        <f>AD13*0.026202</f>
        <v/>
      </c>
      <c r="AE8" s="20">
        <f>AE13*0.026202</f>
        <v/>
      </c>
      <c r="AF8" s="20">
        <f>AF13*0.026202</f>
        <v/>
      </c>
      <c r="AG8" s="20">
        <f>AG13*0.026202</f>
        <v/>
      </c>
      <c r="AH8" s="20">
        <f>AH13*0.026202</f>
        <v/>
      </c>
      <c r="AI8" s="20">
        <f>AI13*0.026202</f>
        <v/>
      </c>
      <c r="AJ8" s="20">
        <f>AJ13*0.026202</f>
        <v/>
      </c>
      <c r="AK8" s="20">
        <f>AK13*0.026202</f>
        <v/>
      </c>
      <c r="AL8" s="20">
        <f>AL13*0.026202</f>
        <v/>
      </c>
      <c r="AM8" s="20">
        <f>AM13*0.026202</f>
        <v/>
      </c>
      <c r="AN8" s="20">
        <f>AN13*0.026202</f>
        <v/>
      </c>
      <c r="AO8" s="20">
        <f>AO13*0.026202</f>
        <v/>
      </c>
      <c r="AP8" s="20">
        <f>AP13*0.026202</f>
        <v/>
      </c>
      <c r="AQ8" s="20">
        <f>AQ13*0.026202</f>
        <v/>
      </c>
      <c r="AR8" s="20">
        <f>AR13*0.026202</f>
        <v/>
      </c>
      <c r="AS8" s="20">
        <f>AS13*0.026202</f>
        <v/>
      </c>
      <c r="AT8" s="20">
        <f>AT13*0.026202</f>
        <v/>
      </c>
      <c r="AU8" s="20">
        <f>AU13*0.026202</f>
        <v/>
      </c>
      <c r="AV8" s="20">
        <f>AV13*0.026202</f>
        <v/>
      </c>
      <c r="AW8" s="20">
        <f>AW13*0.026202</f>
        <v/>
      </c>
      <c r="AX8" s="20">
        <f>AX13*0.026202</f>
        <v/>
      </c>
      <c r="AY8" s="20">
        <f>AY13*0.026202</f>
        <v/>
      </c>
      <c r="BA8" s="288">
        <f>SUM(I8:T8)</f>
        <v/>
      </c>
      <c r="BB8" s="274">
        <f>BA8/$BA$21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4370.27</v>
      </c>
      <c r="M9" s="19" t="n">
        <v>10831.25</v>
      </c>
      <c r="N9" s="19" t="n">
        <v>12060.69</v>
      </c>
      <c r="O9" s="19" t="n">
        <v>11638.45</v>
      </c>
      <c r="P9" s="19" t="n">
        <v>16587.97</v>
      </c>
      <c r="Q9" s="19" t="n">
        <v>15654.65</v>
      </c>
      <c r="R9" s="19" t="n">
        <v>18636.28</v>
      </c>
      <c r="S9" s="19" t="n">
        <v>15895</v>
      </c>
      <c r="T9" s="83" t="n">
        <v>15302.32</v>
      </c>
      <c r="U9" s="83" t="n">
        <v>15926.08</v>
      </c>
      <c r="V9" s="83" t="n">
        <v>16616</v>
      </c>
      <c r="W9" s="20">
        <f>W13*0.435551</f>
        <v/>
      </c>
      <c r="X9" s="20">
        <f>X13*0.435551</f>
        <v/>
      </c>
      <c r="Y9" s="20">
        <f>Y13*0.435551</f>
        <v/>
      </c>
      <c r="Z9" s="20">
        <f>Z13*0.435551</f>
        <v/>
      </c>
      <c r="AA9" s="20">
        <f>AA13*0.435551</f>
        <v/>
      </c>
      <c r="AB9" s="20">
        <f>AB13*0.435551</f>
        <v/>
      </c>
      <c r="AC9" s="20">
        <f>AC13*0.435551</f>
        <v/>
      </c>
      <c r="AD9" s="20">
        <f>AD13*0.435551</f>
        <v/>
      </c>
      <c r="AE9" s="20">
        <f>AE13*0.435551</f>
        <v/>
      </c>
      <c r="AF9" s="20">
        <f>AF13*0.435551</f>
        <v/>
      </c>
      <c r="AG9" s="20">
        <f>AG13*0.435551</f>
        <v/>
      </c>
      <c r="AH9" s="20">
        <f>AH13*0.435551</f>
        <v/>
      </c>
      <c r="AI9" s="20">
        <f>AI13*0.435551</f>
        <v/>
      </c>
      <c r="AJ9" s="20">
        <f>AJ13*0.435551</f>
        <v/>
      </c>
      <c r="AK9" s="20">
        <f>AK13*0.435551</f>
        <v/>
      </c>
      <c r="AL9" s="20">
        <f>AL13*0.435551</f>
        <v/>
      </c>
      <c r="AM9" s="20">
        <f>AM13*0.435551</f>
        <v/>
      </c>
      <c r="AN9" s="20">
        <f>AN13*0.435551</f>
        <v/>
      </c>
      <c r="AO9" s="20">
        <f>AO13*0.435551</f>
        <v/>
      </c>
      <c r="AP9" s="20">
        <f>AP13*0.435551</f>
        <v/>
      </c>
      <c r="AQ9" s="20">
        <f>AQ13*0.435551</f>
        <v/>
      </c>
      <c r="AR9" s="20">
        <f>AR13*0.435551</f>
        <v/>
      </c>
      <c r="AS9" s="20">
        <f>AS13*0.435551</f>
        <v/>
      </c>
      <c r="AT9" s="20">
        <f>AT13*0.435551</f>
        <v/>
      </c>
      <c r="AU9" s="20">
        <f>AU13*0.435551</f>
        <v/>
      </c>
      <c r="AV9" s="20">
        <f>AV13*0.435551</f>
        <v/>
      </c>
      <c r="AW9" s="20">
        <f>AW13*0.435551</f>
        <v/>
      </c>
      <c r="AX9" s="20">
        <f>AX13*0.435551</f>
        <v/>
      </c>
      <c r="AY9" s="20">
        <f>AY13*0.435551</f>
        <v/>
      </c>
      <c r="BA9" s="288">
        <f>SUM(I9:T9)</f>
        <v/>
      </c>
      <c r="BB9" s="274">
        <f>BA9/$BA$21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83" t="n">
        <v>0</v>
      </c>
      <c r="U10" s="83" t="n">
        <v>0</v>
      </c>
      <c r="V10" s="83" t="n">
        <v>0</v>
      </c>
      <c r="W10" s="20">
        <f>W13*0.018306</f>
        <v/>
      </c>
      <c r="X10" s="20">
        <f>X13*0.018306</f>
        <v/>
      </c>
      <c r="Y10" s="20">
        <f>Y13*0.018306</f>
        <v/>
      </c>
      <c r="Z10" s="20">
        <f>Z13*0.018306</f>
        <v/>
      </c>
      <c r="AA10" s="20">
        <f>AA13*0.018306</f>
        <v/>
      </c>
      <c r="AB10" s="20">
        <f>AB13*0.018306</f>
        <v/>
      </c>
      <c r="AC10" s="20">
        <f>AC13*0.018306</f>
        <v/>
      </c>
      <c r="AD10" s="20">
        <f>AD13*0.018306</f>
        <v/>
      </c>
      <c r="AE10" s="20">
        <f>AE13*0.018306</f>
        <v/>
      </c>
      <c r="AF10" s="20">
        <f>AF13*0.018306</f>
        <v/>
      </c>
      <c r="AG10" s="20">
        <f>AG13*0.018306</f>
        <v/>
      </c>
      <c r="AH10" s="20">
        <f>AH13*0.018306</f>
        <v/>
      </c>
      <c r="AI10" s="20">
        <f>AI13*0.018306</f>
        <v/>
      </c>
      <c r="AJ10" s="20">
        <f>AJ13*0.018306</f>
        <v/>
      </c>
      <c r="AK10" s="20">
        <f>AK13*0.018306</f>
        <v/>
      </c>
      <c r="AL10" s="20">
        <f>AL13*0.018306</f>
        <v/>
      </c>
      <c r="AM10" s="20">
        <f>AM13*0.018306</f>
        <v/>
      </c>
      <c r="AN10" s="20">
        <f>AN13*0.018306</f>
        <v/>
      </c>
      <c r="AO10" s="20">
        <f>AO13*0.018306</f>
        <v/>
      </c>
      <c r="AP10" s="20">
        <f>AP13*0.018306</f>
        <v/>
      </c>
      <c r="AQ10" s="20">
        <f>AQ13*0.018306</f>
        <v/>
      </c>
      <c r="AR10" s="20">
        <f>AR13*0.018306</f>
        <v/>
      </c>
      <c r="AS10" s="20">
        <f>AS13*0.018306</f>
        <v/>
      </c>
      <c r="AT10" s="20">
        <f>AT13*0.018306</f>
        <v/>
      </c>
      <c r="AU10" s="20">
        <f>AU13*0.018306</f>
        <v/>
      </c>
      <c r="AV10" s="20">
        <f>AV13*0.018306</f>
        <v/>
      </c>
      <c r="AW10" s="20">
        <f>AW13*0.018306</f>
        <v/>
      </c>
      <c r="AX10" s="20">
        <f>AX13*0.018306</f>
        <v/>
      </c>
      <c r="AY10" s="20">
        <f>AY13*0.018306</f>
        <v/>
      </c>
      <c r="BA10" s="288">
        <f>SUM(I10:T10)</f>
        <v/>
      </c>
      <c r="BB10" s="274">
        <f>BA10/$BA$21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37.6</v>
      </c>
      <c r="T11" s="83" t="n">
        <v>65.22</v>
      </c>
      <c r="U11" s="83" t="n">
        <v>0</v>
      </c>
      <c r="V11" s="83" t="n">
        <v>0</v>
      </c>
      <c r="W11" s="20">
        <f>W13*0.000245</f>
        <v/>
      </c>
      <c r="X11" s="20">
        <f>X13*0.000245</f>
        <v/>
      </c>
      <c r="Y11" s="20">
        <f>Y13*0.000245</f>
        <v/>
      </c>
      <c r="Z11" s="20">
        <f>Z13*0.000245</f>
        <v/>
      </c>
      <c r="AA11" s="20">
        <f>AA13*0.000245</f>
        <v/>
      </c>
      <c r="AB11" s="20">
        <f>AB13*0.000245</f>
        <v/>
      </c>
      <c r="AC11" s="20">
        <f>AC13*0.000245</f>
        <v/>
      </c>
      <c r="AD11" s="20">
        <f>AD13*0.000245</f>
        <v/>
      </c>
      <c r="AE11" s="20">
        <f>AE13*0.000245</f>
        <v/>
      </c>
      <c r="AF11" s="20">
        <f>AF13*0.000245</f>
        <v/>
      </c>
      <c r="AG11" s="20">
        <f>AG13*0.000245</f>
        <v/>
      </c>
      <c r="AH11" s="20">
        <f>AH13*0.000245</f>
        <v/>
      </c>
      <c r="AI11" s="20">
        <f>AI13*0.000245</f>
        <v/>
      </c>
      <c r="AJ11" s="20">
        <f>AJ13*0.000245</f>
        <v/>
      </c>
      <c r="AK11" s="20">
        <f>AK13*0.000245</f>
        <v/>
      </c>
      <c r="AL11" s="20">
        <f>AL13*0.000245</f>
        <v/>
      </c>
      <c r="AM11" s="20">
        <f>AM13*0.000245</f>
        <v/>
      </c>
      <c r="AN11" s="20">
        <f>AN13*0.000245</f>
        <v/>
      </c>
      <c r="AO11" s="20">
        <f>AO13*0.000245</f>
        <v/>
      </c>
      <c r="AP11" s="20">
        <f>AP13*0.000245</f>
        <v/>
      </c>
      <c r="AQ11" s="20">
        <f>AQ13*0.000245</f>
        <v/>
      </c>
      <c r="AR11" s="20">
        <f>AR13*0.000245</f>
        <v/>
      </c>
      <c r="AS11" s="20">
        <f>AS13*0.000245</f>
        <v/>
      </c>
      <c r="AT11" s="20">
        <f>AT13*0.000245</f>
        <v/>
      </c>
      <c r="AU11" s="20">
        <f>AU13*0.000245</f>
        <v/>
      </c>
      <c r="AV11" s="20">
        <f>AV13*0.000245</f>
        <v/>
      </c>
      <c r="AW11" s="20">
        <f>AW13*0.000245</f>
        <v/>
      </c>
      <c r="AX11" s="20">
        <f>AX13*0.000245</f>
        <v/>
      </c>
      <c r="AY11" s="20">
        <f>AY13*0.000245</f>
        <v/>
      </c>
      <c r="BA11" s="288">
        <f>SUM(I11:T11)</f>
        <v/>
      </c>
      <c r="BB11" s="274">
        <f>BA11/$BA$21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122.4</v>
      </c>
      <c r="P12" s="19" t="n">
        <v>336.6</v>
      </c>
      <c r="Q12" s="19" t="n">
        <v>367.2</v>
      </c>
      <c r="R12" s="19" t="n">
        <v>501.84</v>
      </c>
      <c r="S12" s="19" t="n">
        <v>244.8</v>
      </c>
      <c r="T12" s="83" t="n">
        <v>82.62</v>
      </c>
      <c r="U12" s="83" t="n">
        <v>214.2</v>
      </c>
      <c r="V12" s="83" t="n">
        <v>306</v>
      </c>
      <c r="W12" s="20">
        <f>W13*0.009461</f>
        <v/>
      </c>
      <c r="X12" s="20">
        <f>X13*0.009461</f>
        <v/>
      </c>
      <c r="Y12" s="20">
        <f>Y13*0.009461</f>
        <v/>
      </c>
      <c r="Z12" s="20">
        <f>Z13*0.009461</f>
        <v/>
      </c>
      <c r="AA12" s="20">
        <f>AA13*0.009461</f>
        <v/>
      </c>
      <c r="AB12" s="20">
        <f>AB13*0.009461</f>
        <v/>
      </c>
      <c r="AC12" s="20">
        <f>AC13*0.009461</f>
        <v/>
      </c>
      <c r="AD12" s="20">
        <f>AD13*0.009461</f>
        <v/>
      </c>
      <c r="AE12" s="20">
        <f>AE13*0.009461</f>
        <v/>
      </c>
      <c r="AF12" s="20">
        <f>AF13*0.009461</f>
        <v/>
      </c>
      <c r="AG12" s="20">
        <f>AG13*0.009461</f>
        <v/>
      </c>
      <c r="AH12" s="20">
        <f>AH13*0.009461</f>
        <v/>
      </c>
      <c r="AI12" s="20">
        <f>AI13*0.009461</f>
        <v/>
      </c>
      <c r="AJ12" s="20">
        <f>AJ13*0.009461</f>
        <v/>
      </c>
      <c r="AK12" s="20">
        <f>AK13*0.009461</f>
        <v/>
      </c>
      <c r="AL12" s="20">
        <f>AL13*0.009461</f>
        <v/>
      </c>
      <c r="AM12" s="20">
        <f>AM13*0.009461</f>
        <v/>
      </c>
      <c r="AN12" s="20">
        <f>AN13*0.009461</f>
        <v/>
      </c>
      <c r="AO12" s="20">
        <f>AO13*0.009461</f>
        <v/>
      </c>
      <c r="AP12" s="20">
        <f>AP13*0.009461</f>
        <v/>
      </c>
      <c r="AQ12" s="20">
        <f>AQ13*0.009461</f>
        <v/>
      </c>
      <c r="AR12" s="20">
        <f>AR13*0.009461</f>
        <v/>
      </c>
      <c r="AS12" s="20">
        <f>AS13*0.009461</f>
        <v/>
      </c>
      <c r="AT12" s="20">
        <f>AT13*0.009461</f>
        <v/>
      </c>
      <c r="AU12" s="20">
        <f>AU13*0.009461</f>
        <v/>
      </c>
      <c r="AV12" s="20">
        <f>AV13*0.009461</f>
        <v/>
      </c>
      <c r="AW12" s="20">
        <f>AW13*0.009461</f>
        <v/>
      </c>
      <c r="AX12" s="20">
        <f>AX13*0.009461</f>
        <v/>
      </c>
      <c r="AY12" s="20">
        <f>AY13*0.009461</f>
        <v/>
      </c>
      <c r="BA12" s="288">
        <f>SUM(I12:T12)</f>
        <v/>
      </c>
      <c r="BB12" s="274">
        <f>BA12/$BA$21</f>
        <v/>
      </c>
    </row>
    <row r="13">
      <c r="B13" s="32" t="inlineStr">
        <is>
          <t>Total Sessions</t>
        </is>
      </c>
      <c r="C13" s="34" t="n"/>
      <c r="D13" s="35">
        <f>SUM(D7:D12)</f>
        <v/>
      </c>
      <c r="E13" s="35">
        <f>SUM(E7:E12)</f>
        <v/>
      </c>
      <c r="F13" s="35">
        <f>SUM(F7:F12)</f>
        <v/>
      </c>
      <c r="G13" s="35">
        <f>SUM(G7:G12)</f>
        <v/>
      </c>
      <c r="H13" s="35">
        <f>SUM(H7:H12)</f>
        <v/>
      </c>
      <c r="I13" s="35">
        <f>SUM(I7:I12)</f>
        <v/>
      </c>
      <c r="J13" s="35">
        <f>SUM(J7:J12)</f>
        <v/>
      </c>
      <c r="K13" s="35">
        <f>SUM(K7:K12)</f>
        <v/>
      </c>
      <c r="L13" s="35">
        <f>SUM(L7:L12)</f>
        <v/>
      </c>
      <c r="M13" s="35">
        <f>SUM(M7:M12)</f>
        <v/>
      </c>
      <c r="N13" s="35">
        <f>SUM(N7:N12)</f>
        <v/>
      </c>
      <c r="O13" s="35">
        <f>SUM(O7:O12)</f>
        <v/>
      </c>
      <c r="P13" s="35">
        <f>P7+P8+P9+P10+P11+P12</f>
        <v/>
      </c>
      <c r="Q13" s="35">
        <f>Q7+Q8+Q9+Q10+Q11+Q12</f>
        <v/>
      </c>
      <c r="R13" s="35">
        <f>R7+R8+R9+R10+R11+R12</f>
        <v/>
      </c>
      <c r="S13" s="35">
        <f>S7+S8+S9+S10+S11+S12</f>
        <v/>
      </c>
      <c r="T13" s="84">
        <f>T7+T8+T9+T10+T11+T12</f>
        <v/>
      </c>
      <c r="U13" s="84">
        <f>U7+U8+U9+U10+U11+U12</f>
        <v/>
      </c>
      <c r="V13" s="84">
        <f>V7+V8+V9+V10+V11+V12</f>
        <v/>
      </c>
      <c r="W13" s="17">
        <f>'Sales Forecast'!W7*Assumptions!$C$12+'Sales Forecast'!V7*Assumptions!$D$12+'Sales Forecast'!U7*Assumptions!$E$12+'Sales Forecast'!T7*Assumptions!$F$12+'Sales Forecast'!S7*Assumptions!$G$12+'Sales Forecast'!R7*Assumptions!$H$12+'Sales Forecast'!Q7*Assumptions!$I$12</f>
        <v/>
      </c>
      <c r="X13" s="17">
        <f>'Sales Forecast'!X7*Assumptions!$C$12+'Sales Forecast'!W7*Assumptions!$D$12+'Sales Forecast'!V7*Assumptions!$E$12+'Sales Forecast'!U7*Assumptions!$F$12+'Sales Forecast'!T7*Assumptions!$G$12+'Sales Forecast'!S7*Assumptions!$H$12+'Sales Forecast'!R7*Assumptions!$I$12</f>
        <v/>
      </c>
      <c r="Y13" s="17">
        <f>'Sales Forecast'!Y7*Assumptions!$C$12+'Sales Forecast'!X7*Assumptions!$D$12+'Sales Forecast'!W7*Assumptions!$E$12+'Sales Forecast'!V7*Assumptions!$F$12+'Sales Forecast'!U7*Assumptions!$G$12+'Sales Forecast'!T7*Assumptions!$H$12+'Sales Forecast'!S7*Assumptions!$I$12</f>
        <v/>
      </c>
      <c r="Z13" s="17">
        <f>'Sales Forecast'!Z7*Assumptions!$C$12+'Sales Forecast'!Y7*Assumptions!$D$12+'Sales Forecast'!X7*Assumptions!$E$12+'Sales Forecast'!W7*Assumptions!$F$12+'Sales Forecast'!V7*Assumptions!$G$12+'Sales Forecast'!U7*Assumptions!$H$12+'Sales Forecast'!T7*Assumptions!$I$12</f>
        <v/>
      </c>
      <c r="AA13" s="17">
        <f>'Sales Forecast'!AA7*Assumptions!$C$12+'Sales Forecast'!Z7*Assumptions!$D$12+'Sales Forecast'!Y7*Assumptions!$E$12+'Sales Forecast'!X7*Assumptions!$F$12+'Sales Forecast'!W7*Assumptions!$G$12+'Sales Forecast'!V7*Assumptions!$H$12+'Sales Forecast'!U7*Assumptions!$I$12</f>
        <v/>
      </c>
      <c r="AB13" s="17">
        <f>'Sales Forecast'!AB7*Assumptions!$C$12+'Sales Forecast'!AA7*Assumptions!$D$12+'Sales Forecast'!Z7*Assumptions!$E$12+'Sales Forecast'!Y7*Assumptions!$F$12+'Sales Forecast'!X7*Assumptions!$G$12+'Sales Forecast'!W7*Assumptions!$H$12+'Sales Forecast'!V7*Assumptions!$I$12</f>
        <v/>
      </c>
      <c r="AC13" s="17">
        <f>'Sales Forecast'!AC7*Assumptions!$C$12+'Sales Forecast'!AB7*Assumptions!$D$12+'Sales Forecast'!AA7*Assumptions!$E$12+'Sales Forecast'!Z7*Assumptions!$F$12+'Sales Forecast'!Y7*Assumptions!$G$12+'Sales Forecast'!X7*Assumptions!$H$12+'Sales Forecast'!W7*Assumptions!$I$12</f>
        <v/>
      </c>
      <c r="AD13" s="17">
        <f>'Sales Forecast'!AD7*Assumptions!$C$12+'Sales Forecast'!AC7*Assumptions!$D$12+'Sales Forecast'!AB7*Assumptions!$E$12+'Sales Forecast'!AA7*Assumptions!$F$12+'Sales Forecast'!Z7*Assumptions!$G$12+'Sales Forecast'!Y7*Assumptions!$H$12+'Sales Forecast'!X7*Assumptions!$I$12</f>
        <v/>
      </c>
      <c r="AE13" s="17">
        <f>'Sales Forecast'!AE7*Assumptions!$C$12+'Sales Forecast'!AD7*Assumptions!$D$12+'Sales Forecast'!AC7*Assumptions!$E$12+'Sales Forecast'!AB7*Assumptions!$F$12+'Sales Forecast'!AA7*Assumptions!$G$12+'Sales Forecast'!Z7*Assumptions!$H$12+'Sales Forecast'!Y7*Assumptions!$I$12</f>
        <v/>
      </c>
      <c r="AF13" s="17">
        <f>'Sales Forecast'!AF7*Assumptions!$C$12+'Sales Forecast'!AE7*Assumptions!$D$12+'Sales Forecast'!AD7*Assumptions!$E$12+'Sales Forecast'!AC7*Assumptions!$F$12+'Sales Forecast'!AB7*Assumptions!$G$12+'Sales Forecast'!AA7*Assumptions!$H$12+'Sales Forecast'!Z7*Assumptions!$I$12</f>
        <v/>
      </c>
      <c r="AG13" s="17">
        <f>'Sales Forecast'!AG7*Assumptions!$C$12+'Sales Forecast'!AF7*Assumptions!$D$12+'Sales Forecast'!AE7*Assumptions!$E$12+'Sales Forecast'!AD7*Assumptions!$F$12+'Sales Forecast'!AC7*Assumptions!$G$12+'Sales Forecast'!AB7*Assumptions!$H$12+'Sales Forecast'!AA7*Assumptions!$I$12</f>
        <v/>
      </c>
      <c r="AH13" s="17">
        <f>'Sales Forecast'!AH7*Assumptions!$C$12+'Sales Forecast'!AG7*Assumptions!$D$12+'Sales Forecast'!AF7*Assumptions!$E$12+'Sales Forecast'!AE7*Assumptions!$F$12+'Sales Forecast'!AD7*Assumptions!$G$12+'Sales Forecast'!AC7*Assumptions!$H$12+'Sales Forecast'!AB7*Assumptions!$I$12</f>
        <v/>
      </c>
      <c r="AI13" s="17">
        <f>'Sales Forecast'!AI7*Assumptions!$C$12+'Sales Forecast'!AH7*Assumptions!$D$12+'Sales Forecast'!AG7*Assumptions!$E$12+'Sales Forecast'!AF7*Assumptions!$F$12+'Sales Forecast'!AE7*Assumptions!$G$12+'Sales Forecast'!AD7*Assumptions!$H$12+'Sales Forecast'!AC7*Assumptions!$I$12</f>
        <v/>
      </c>
      <c r="AJ13" s="17">
        <f>'Sales Forecast'!AJ7*Assumptions!$C$12+'Sales Forecast'!AI7*Assumptions!$D$12+'Sales Forecast'!AH7*Assumptions!$E$12+'Sales Forecast'!AG7*Assumptions!$F$12+'Sales Forecast'!AF7*Assumptions!$G$12+'Sales Forecast'!AE7*Assumptions!$H$12+'Sales Forecast'!AD7*Assumptions!$I$12</f>
        <v/>
      </c>
      <c r="AK13" s="17">
        <f>'Sales Forecast'!AK7*Assumptions!$C$12+'Sales Forecast'!AJ7*Assumptions!$D$12+'Sales Forecast'!AI7*Assumptions!$E$12+'Sales Forecast'!AH7*Assumptions!$F$12+'Sales Forecast'!AG7*Assumptions!$G$12+'Sales Forecast'!AF7*Assumptions!$H$12+'Sales Forecast'!AE7*Assumptions!$I$12</f>
        <v/>
      </c>
      <c r="AL13" s="17">
        <f>'Sales Forecast'!AL7*Assumptions!$C$12+'Sales Forecast'!AK7*Assumptions!$D$12+'Sales Forecast'!AJ7*Assumptions!$E$12+'Sales Forecast'!AI7*Assumptions!$F$12+'Sales Forecast'!AH7*Assumptions!$G$12+'Sales Forecast'!AG7*Assumptions!$H$12+'Sales Forecast'!AF7*Assumptions!$I$12</f>
        <v/>
      </c>
      <c r="AM13" s="17">
        <f>'Sales Forecast'!AM7*Assumptions!$C$12+'Sales Forecast'!AL7*Assumptions!$D$12+'Sales Forecast'!AK7*Assumptions!$E$12+'Sales Forecast'!AJ7*Assumptions!$F$12+'Sales Forecast'!AI7*Assumptions!$G$12+'Sales Forecast'!AH7*Assumptions!$H$12+'Sales Forecast'!AG7*Assumptions!$I$12</f>
        <v/>
      </c>
      <c r="AN13" s="17">
        <f>'Sales Forecast'!AN7*Assumptions!$C$12+'Sales Forecast'!AM7*Assumptions!$D$12+'Sales Forecast'!AL7*Assumptions!$E$12+'Sales Forecast'!AK7*Assumptions!$F$12+'Sales Forecast'!AJ7*Assumptions!$G$12+'Sales Forecast'!AI7*Assumptions!$H$12+'Sales Forecast'!AH7*Assumptions!$I$12</f>
        <v/>
      </c>
      <c r="AO13" s="17">
        <f>'Sales Forecast'!AO7*Assumptions!$C$12+'Sales Forecast'!AN7*Assumptions!$D$12+'Sales Forecast'!AM7*Assumptions!$E$12+'Sales Forecast'!AL7*Assumptions!$F$12+'Sales Forecast'!AK7*Assumptions!$G$12+'Sales Forecast'!AJ7*Assumptions!$H$12+'Sales Forecast'!AI7*Assumptions!$I$12</f>
        <v/>
      </c>
      <c r="AP13" s="17">
        <f>'Sales Forecast'!AP7*Assumptions!$C$12+'Sales Forecast'!AO7*Assumptions!$D$12+'Sales Forecast'!AN7*Assumptions!$E$12+'Sales Forecast'!AM7*Assumptions!$F$12+'Sales Forecast'!AL7*Assumptions!$G$12+'Sales Forecast'!AK7*Assumptions!$H$12+'Sales Forecast'!AJ7*Assumptions!$I$12</f>
        <v/>
      </c>
      <c r="AQ13" s="17">
        <f>'Sales Forecast'!AQ7*Assumptions!$C$12+'Sales Forecast'!AP7*Assumptions!$D$12+'Sales Forecast'!AO7*Assumptions!$E$12+'Sales Forecast'!AN7*Assumptions!$F$12+'Sales Forecast'!AM7*Assumptions!$G$12+'Sales Forecast'!AL7*Assumptions!$H$12+'Sales Forecast'!AK7*Assumptions!$I$12</f>
        <v/>
      </c>
      <c r="AR13" s="17">
        <f>'Sales Forecast'!AR7*Assumptions!$C$12+'Sales Forecast'!AQ7*Assumptions!$D$12+'Sales Forecast'!AP7*Assumptions!$E$12+'Sales Forecast'!AO7*Assumptions!$F$12+'Sales Forecast'!AN7*Assumptions!$G$12+'Sales Forecast'!AM7*Assumptions!$H$12+'Sales Forecast'!AL7*Assumptions!$I$12</f>
        <v/>
      </c>
      <c r="AS13" s="17">
        <f>'Sales Forecast'!AS7*Assumptions!$C$12+'Sales Forecast'!AR7*Assumptions!$D$12+'Sales Forecast'!AQ7*Assumptions!$E$12+'Sales Forecast'!AP7*Assumptions!$F$12+'Sales Forecast'!AO7*Assumptions!$G$12+'Sales Forecast'!AN7*Assumptions!$H$12+'Sales Forecast'!AM7*Assumptions!$I$12</f>
        <v/>
      </c>
      <c r="AT13" s="17">
        <f>'Sales Forecast'!AT7*Assumptions!$C$12+'Sales Forecast'!AS7*Assumptions!$D$12+'Sales Forecast'!AR7*Assumptions!$E$12+'Sales Forecast'!AQ7*Assumptions!$F$12+'Sales Forecast'!AP7*Assumptions!$G$12+'Sales Forecast'!AO7*Assumptions!$H$12+'Sales Forecast'!AN7*Assumptions!$I$12</f>
        <v/>
      </c>
      <c r="AU13" s="17">
        <f>'Sales Forecast'!AU7*Assumptions!$C$12+'Sales Forecast'!AT7*Assumptions!$D$12+'Sales Forecast'!AS7*Assumptions!$E$12+'Sales Forecast'!AR7*Assumptions!$F$12+'Sales Forecast'!AQ7*Assumptions!$G$12+'Sales Forecast'!AP7*Assumptions!$H$12+'Sales Forecast'!AO7*Assumptions!$I$12</f>
        <v/>
      </c>
      <c r="AV13" s="17">
        <f>'Sales Forecast'!AV7*Assumptions!$C$12+'Sales Forecast'!AU7*Assumptions!$D$12+'Sales Forecast'!AT7*Assumptions!$E$12+'Sales Forecast'!AS7*Assumptions!$F$12+'Sales Forecast'!AR7*Assumptions!$G$12+'Sales Forecast'!AQ7*Assumptions!$H$12+'Sales Forecast'!AP7*Assumptions!$I$12</f>
        <v/>
      </c>
      <c r="AW13" s="17">
        <f>'Sales Forecast'!AW7*Assumptions!$C$12+'Sales Forecast'!AV7*Assumptions!$D$12+'Sales Forecast'!AU7*Assumptions!$E$12+'Sales Forecast'!AT7*Assumptions!$F$12+'Sales Forecast'!AS7*Assumptions!$G$12+'Sales Forecast'!AR7*Assumptions!$H$12+'Sales Forecast'!AQ7*Assumptions!$I$12</f>
        <v/>
      </c>
      <c r="AX13" s="17">
        <f>'Sales Forecast'!AX7*Assumptions!$C$12+'Sales Forecast'!AW7*Assumptions!$D$12+'Sales Forecast'!AV7*Assumptions!$E$12+'Sales Forecast'!AU7*Assumptions!$F$12+'Sales Forecast'!AT7*Assumptions!$G$12+'Sales Forecast'!AS7*Assumptions!$H$12+'Sales Forecast'!AR7*Assumptions!$I$12</f>
        <v/>
      </c>
      <c r="AY13" s="17">
        <f>'Sales Forecast'!AY7*Assumptions!$C$12+'Sales Forecast'!AX7*Assumptions!$D$12+'Sales Forecast'!AW7*Assumptions!$E$12+'Sales Forecast'!AV7*Assumptions!$F$12+'Sales Forecast'!AU7*Assumptions!$G$12+'Sales Forecast'!AT7*Assumptions!$H$12+'Sales Forecast'!AS7*Assumptions!$I$12</f>
        <v/>
      </c>
      <c r="BA13" s="288" t="n"/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251.2</v>
      </c>
      <c r="M14" s="19" t="n">
        <v>1268.4</v>
      </c>
      <c r="N14" s="19" t="n">
        <v>4314.82</v>
      </c>
      <c r="O14" s="19" t="n">
        <v>5585</v>
      </c>
      <c r="P14" s="19" t="n">
        <v>2890.72</v>
      </c>
      <c r="Q14" s="19" t="n">
        <v>4105.76</v>
      </c>
      <c r="R14" s="19" t="n">
        <v>2843.53</v>
      </c>
      <c r="S14" s="19" t="n">
        <v>4737.65</v>
      </c>
      <c r="T14" s="83" t="n">
        <v>4879.41</v>
      </c>
      <c r="U14" s="83" t="n">
        <v>5029.8</v>
      </c>
      <c r="V14" s="83" t="n">
        <v>5801.87</v>
      </c>
      <c r="W14" s="20">
        <f>W17*0.979836</f>
        <v/>
      </c>
      <c r="X14" s="20">
        <f>X17*0.979836</f>
        <v/>
      </c>
      <c r="Y14" s="20">
        <f>Y17*0.979836</f>
        <v/>
      </c>
      <c r="Z14" s="20">
        <f>Z17*0.979836</f>
        <v/>
      </c>
      <c r="AA14" s="20">
        <f>AA17*0.979836</f>
        <v/>
      </c>
      <c r="AB14" s="20">
        <f>AB17*0.979836</f>
        <v/>
      </c>
      <c r="AC14" s="20">
        <f>AC17*0.979836</f>
        <v/>
      </c>
      <c r="AD14" s="20">
        <f>AD17*0.979836</f>
        <v/>
      </c>
      <c r="AE14" s="20">
        <f>AE17*0.979836</f>
        <v/>
      </c>
      <c r="AF14" s="20">
        <f>AF17*0.979836</f>
        <v/>
      </c>
      <c r="AG14" s="20">
        <f>AG17*0.979836</f>
        <v/>
      </c>
      <c r="AH14" s="20">
        <f>AH17*0.979836</f>
        <v/>
      </c>
      <c r="AI14" s="20">
        <f>AI17*0.979836</f>
        <v/>
      </c>
      <c r="AJ14" s="20">
        <f>AJ17*0.979836</f>
        <v/>
      </c>
      <c r="AK14" s="20">
        <f>AK17*0.979836</f>
        <v/>
      </c>
      <c r="AL14" s="20">
        <f>AL17*0.979836</f>
        <v/>
      </c>
      <c r="AM14" s="20">
        <f>AM17*0.979836</f>
        <v/>
      </c>
      <c r="AN14" s="20">
        <f>AN17*0.979836</f>
        <v/>
      </c>
      <c r="AO14" s="20">
        <f>AO17*0.979836</f>
        <v/>
      </c>
      <c r="AP14" s="20">
        <f>AP17*0.979836</f>
        <v/>
      </c>
      <c r="AQ14" s="20">
        <f>AQ17*0.979836</f>
        <v/>
      </c>
      <c r="AR14" s="20">
        <f>AR17*0.979836</f>
        <v/>
      </c>
      <c r="AS14" s="20">
        <f>AS17*0.979836</f>
        <v/>
      </c>
      <c r="AT14" s="20">
        <f>AT17*0.979836</f>
        <v/>
      </c>
      <c r="AU14" s="20">
        <f>AU17*0.979836</f>
        <v/>
      </c>
      <c r="AV14" s="20">
        <f>AV17*0.979836</f>
        <v/>
      </c>
      <c r="AW14" s="20">
        <f>AW17*0.979836</f>
        <v/>
      </c>
      <c r="AX14" s="20">
        <f>AX17*0.979836</f>
        <v/>
      </c>
      <c r="AY14" s="20">
        <f>AY17*0.979836</f>
        <v/>
      </c>
      <c r="BA14" s="288">
        <f>SUM(I14:T14)</f>
        <v/>
      </c>
      <c r="BB14" s="274">
        <f>BA14/$BA$21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595</v>
      </c>
      <c r="N15" s="19" t="n">
        <v>675</v>
      </c>
      <c r="O15" s="19" t="n">
        <v>785</v>
      </c>
      <c r="P15" s="19" t="n">
        <v>0</v>
      </c>
      <c r="Q15" s="19" t="n">
        <v>225</v>
      </c>
      <c r="R15" s="19" t="n">
        <v>0</v>
      </c>
      <c r="S15" s="19" t="n">
        <v>75</v>
      </c>
      <c r="T15" s="83" t="n">
        <v>230</v>
      </c>
      <c r="U15" s="83" t="n">
        <v>340</v>
      </c>
      <c r="V15" s="83" t="n">
        <v>543</v>
      </c>
      <c r="W15" s="20">
        <f>W17*0.020164</f>
        <v/>
      </c>
      <c r="X15" s="20">
        <f>X17*0.020164</f>
        <v/>
      </c>
      <c r="Y15" s="20">
        <f>Y17*0.020164</f>
        <v/>
      </c>
      <c r="Z15" s="20">
        <f>Z17*0.020164</f>
        <v/>
      </c>
      <c r="AA15" s="20">
        <f>AA17*0.020164</f>
        <v/>
      </c>
      <c r="AB15" s="20">
        <f>AB17*0.020164</f>
        <v/>
      </c>
      <c r="AC15" s="20">
        <f>AC17*0.020164</f>
        <v/>
      </c>
      <c r="AD15" s="20">
        <f>AD17*0.020164</f>
        <v/>
      </c>
      <c r="AE15" s="20">
        <f>AE17*0.020164</f>
        <v/>
      </c>
      <c r="AF15" s="20">
        <f>AF17*0.020164</f>
        <v/>
      </c>
      <c r="AG15" s="20">
        <f>AG17*0.020164</f>
        <v/>
      </c>
      <c r="AH15" s="20">
        <f>AH17*0.020164</f>
        <v/>
      </c>
      <c r="AI15" s="20">
        <f>AI17*0.020164</f>
        <v/>
      </c>
      <c r="AJ15" s="20">
        <f>AJ17*0.020164</f>
        <v/>
      </c>
      <c r="AK15" s="20">
        <f>AK17*0.020164</f>
        <v/>
      </c>
      <c r="AL15" s="20">
        <f>AL17*0.020164</f>
        <v/>
      </c>
      <c r="AM15" s="20">
        <f>AM17*0.020164</f>
        <v/>
      </c>
      <c r="AN15" s="20">
        <f>AN17*0.020164</f>
        <v/>
      </c>
      <c r="AO15" s="20">
        <f>AO17*0.020164</f>
        <v/>
      </c>
      <c r="AP15" s="20">
        <f>AP17*0.020164</f>
        <v/>
      </c>
      <c r="AQ15" s="20">
        <f>AQ17*0.020164</f>
        <v/>
      </c>
      <c r="AR15" s="20">
        <f>AR17*0.020164</f>
        <v/>
      </c>
      <c r="AS15" s="20">
        <f>AS17*0.020164</f>
        <v/>
      </c>
      <c r="AT15" s="20">
        <f>AT17*0.020164</f>
        <v/>
      </c>
      <c r="AU15" s="20">
        <f>AU17*0.020164</f>
        <v/>
      </c>
      <c r="AV15" s="20">
        <f>AV17*0.020164</f>
        <v/>
      </c>
      <c r="AW15" s="20">
        <f>AW17*0.020164</f>
        <v/>
      </c>
      <c r="AX15" s="20">
        <f>AX17*0.020164</f>
        <v/>
      </c>
      <c r="AY15" s="20">
        <f>AY17*0.020164</f>
        <v/>
      </c>
      <c r="BA15" s="288">
        <f>SUM(I15:T15)</f>
        <v/>
      </c>
      <c r="BB15" s="274">
        <f>BA15/$BA$21</f>
        <v/>
      </c>
    </row>
    <row r="16">
      <c r="B16" s="33" t="inlineStr">
        <is>
          <t>403004 Other Breakage (incl MTT Breakage)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3" t="n">
        <v>0</v>
      </c>
      <c r="U16" s="83" t="n">
        <v>0</v>
      </c>
      <c r="V16" s="83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  <c r="BA16" s="288">
        <f>SUM(I16:T16)</f>
        <v/>
      </c>
      <c r="BB16" s="274">
        <f>BA16/$BA$21</f>
        <v/>
      </c>
    </row>
    <row r="17">
      <c r="B17" s="32" t="inlineStr">
        <is>
          <t>Total Breakage Revenue</t>
        </is>
      </c>
      <c r="C17" s="34" t="n"/>
      <c r="D17" s="35">
        <f>SUM(D14:D16)</f>
        <v/>
      </c>
      <c r="E17" s="35">
        <f>SUM(E14:E16)</f>
        <v/>
      </c>
      <c r="F17" s="35">
        <f>SUM(F14:F16)</f>
        <v/>
      </c>
      <c r="G17" s="35">
        <f>SUM(G14:G16)</f>
        <v/>
      </c>
      <c r="H17" s="35">
        <f>SUM(H14:H16)</f>
        <v/>
      </c>
      <c r="I17" s="35">
        <f>SUM(I14:I16)</f>
        <v/>
      </c>
      <c r="J17" s="35">
        <f>SUM(J14:J16)</f>
        <v/>
      </c>
      <c r="K17" s="35">
        <f>SUM(K14:K16)</f>
        <v/>
      </c>
      <c r="L17" s="35">
        <f>SUM(L14:L16)</f>
        <v/>
      </c>
      <c r="M17" s="35">
        <f>SUM(M14:M16)</f>
        <v/>
      </c>
      <c r="N17" s="35">
        <f>SUM(N14:N16)</f>
        <v/>
      </c>
      <c r="O17" s="35">
        <f>SUM(O14:O16)</f>
        <v/>
      </c>
      <c r="P17" s="35">
        <f>P14+P15+P16</f>
        <v/>
      </c>
      <c r="Q17" s="35">
        <f>Q14+Q15+Q16</f>
        <v/>
      </c>
      <c r="R17" s="35">
        <f>R14+R15+R16</f>
        <v/>
      </c>
      <c r="S17" s="35">
        <f>S14+S15+S16</f>
        <v/>
      </c>
      <c r="T17" s="84">
        <f>T14+T15+T16</f>
        <v/>
      </c>
      <c r="U17" s="84">
        <f>U14+U15+U16</f>
        <v/>
      </c>
      <c r="V17" s="84">
        <f>V14+V15+V16</f>
        <v/>
      </c>
      <c r="W17" s="17">
        <f>'Sales Forecast'!W7*Assumptions!$C$13+'Sales Forecast'!V7*Assumptions!$D$13+'Sales Forecast'!U7*Assumptions!$E$13+'Sales Forecast'!T7*Assumptions!$F$13+'Sales Forecast'!S7*Assumptions!$G$13+'Sales Forecast'!R7*Assumptions!$H$13+'Sales Forecast'!Q7*Assumptions!$I$13</f>
        <v/>
      </c>
      <c r="X17" s="17">
        <f>'Sales Forecast'!X7*Assumptions!$C$13+'Sales Forecast'!W7*Assumptions!$D$13+'Sales Forecast'!V7*Assumptions!$E$13+'Sales Forecast'!U7*Assumptions!$F$13+'Sales Forecast'!T7*Assumptions!$G$13+'Sales Forecast'!S7*Assumptions!$H$13+'Sales Forecast'!R7*Assumptions!$I$13</f>
        <v/>
      </c>
      <c r="Y17" s="17">
        <f>'Sales Forecast'!Y7*Assumptions!$C$13+'Sales Forecast'!X7*Assumptions!$D$13+'Sales Forecast'!W7*Assumptions!$E$13+'Sales Forecast'!V7*Assumptions!$F$13+'Sales Forecast'!U7*Assumptions!$G$13+'Sales Forecast'!T7*Assumptions!$H$13+'Sales Forecast'!S7*Assumptions!$I$13</f>
        <v/>
      </c>
      <c r="Z17" s="17">
        <f>'Sales Forecast'!Z7*Assumptions!$C$13+'Sales Forecast'!Y7*Assumptions!$D$13+'Sales Forecast'!X7*Assumptions!$E$13+'Sales Forecast'!W7*Assumptions!$F$13+'Sales Forecast'!V7*Assumptions!$G$13+'Sales Forecast'!U7*Assumptions!$H$13+'Sales Forecast'!T7*Assumptions!$I$13</f>
        <v/>
      </c>
      <c r="AA17" s="17">
        <f>'Sales Forecast'!AA7*Assumptions!$C$13+'Sales Forecast'!Z7*Assumptions!$D$13+'Sales Forecast'!Y7*Assumptions!$E$13+'Sales Forecast'!X7*Assumptions!$F$13+'Sales Forecast'!W7*Assumptions!$G$13+'Sales Forecast'!V7*Assumptions!$H$13+'Sales Forecast'!U7*Assumptions!$I$13</f>
        <v/>
      </c>
      <c r="AB17" s="17">
        <f>'Sales Forecast'!AB7*Assumptions!$C$13+'Sales Forecast'!AA7*Assumptions!$D$13+'Sales Forecast'!Z7*Assumptions!$E$13+'Sales Forecast'!Y7*Assumptions!$F$13+'Sales Forecast'!X7*Assumptions!$G$13+'Sales Forecast'!W7*Assumptions!$H$13+'Sales Forecast'!V7*Assumptions!$I$13</f>
        <v/>
      </c>
      <c r="AC17" s="17">
        <f>'Sales Forecast'!AC7*Assumptions!$C$13+'Sales Forecast'!AB7*Assumptions!$D$13+'Sales Forecast'!AA7*Assumptions!$E$13+'Sales Forecast'!Z7*Assumptions!$F$13+'Sales Forecast'!Y7*Assumptions!$G$13+'Sales Forecast'!X7*Assumptions!$H$13+'Sales Forecast'!W7*Assumptions!$I$13</f>
        <v/>
      </c>
      <c r="AD17" s="17">
        <f>'Sales Forecast'!AD7*Assumptions!$C$13+'Sales Forecast'!AC7*Assumptions!$D$13+'Sales Forecast'!AB7*Assumptions!$E$13+'Sales Forecast'!AA7*Assumptions!$F$13+'Sales Forecast'!Z7*Assumptions!$G$13+'Sales Forecast'!Y7*Assumptions!$H$13+'Sales Forecast'!X7*Assumptions!$I$13</f>
        <v/>
      </c>
      <c r="AE17" s="17">
        <f>'Sales Forecast'!AE7*Assumptions!$C$13+'Sales Forecast'!AD7*Assumptions!$D$13+'Sales Forecast'!AC7*Assumptions!$E$13+'Sales Forecast'!AB7*Assumptions!$F$13+'Sales Forecast'!AA7*Assumptions!$G$13+'Sales Forecast'!Z7*Assumptions!$H$13+'Sales Forecast'!Y7*Assumptions!$I$13</f>
        <v/>
      </c>
      <c r="AF17" s="17">
        <f>'Sales Forecast'!AF7*Assumptions!$C$13+'Sales Forecast'!AE7*Assumptions!$D$13+'Sales Forecast'!AD7*Assumptions!$E$13+'Sales Forecast'!AC7*Assumptions!$F$13+'Sales Forecast'!AB7*Assumptions!$G$13+'Sales Forecast'!AA7*Assumptions!$H$13+'Sales Forecast'!Z7*Assumptions!$I$13</f>
        <v/>
      </c>
      <c r="AG17" s="17">
        <f>'Sales Forecast'!AG7*Assumptions!$C$13+'Sales Forecast'!AF7*Assumptions!$D$13+'Sales Forecast'!AE7*Assumptions!$E$13+'Sales Forecast'!AD7*Assumptions!$F$13+'Sales Forecast'!AC7*Assumptions!$G$13+'Sales Forecast'!AB7*Assumptions!$H$13+'Sales Forecast'!AA7*Assumptions!$I$13</f>
        <v/>
      </c>
      <c r="AH17" s="17">
        <f>'Sales Forecast'!AH7*Assumptions!$C$13+'Sales Forecast'!AG7*Assumptions!$D$13+'Sales Forecast'!AF7*Assumptions!$E$13+'Sales Forecast'!AE7*Assumptions!$F$13+'Sales Forecast'!AD7*Assumptions!$G$13+'Sales Forecast'!AC7*Assumptions!$H$13+'Sales Forecast'!AB7*Assumptions!$I$13</f>
        <v/>
      </c>
      <c r="AI17" s="17">
        <f>'Sales Forecast'!AI7*Assumptions!$C$13+'Sales Forecast'!AH7*Assumptions!$D$13+'Sales Forecast'!AG7*Assumptions!$E$13+'Sales Forecast'!AF7*Assumptions!$F$13+'Sales Forecast'!AE7*Assumptions!$G$13+'Sales Forecast'!AD7*Assumptions!$H$13+'Sales Forecast'!AC7*Assumptions!$I$13</f>
        <v/>
      </c>
      <c r="AJ17" s="17">
        <f>'Sales Forecast'!AJ7*Assumptions!$C$13+'Sales Forecast'!AI7*Assumptions!$D$13+'Sales Forecast'!AH7*Assumptions!$E$13+'Sales Forecast'!AG7*Assumptions!$F$13+'Sales Forecast'!AF7*Assumptions!$G$13+'Sales Forecast'!AE7*Assumptions!$H$13+'Sales Forecast'!AD7*Assumptions!$I$13</f>
        <v/>
      </c>
      <c r="AK17" s="17">
        <f>'Sales Forecast'!AK7*Assumptions!$C$13+'Sales Forecast'!AJ7*Assumptions!$D$13+'Sales Forecast'!AI7*Assumptions!$E$13+'Sales Forecast'!AH7*Assumptions!$F$13+'Sales Forecast'!AG7*Assumptions!$G$13+'Sales Forecast'!AF7*Assumptions!$H$13+'Sales Forecast'!AE7*Assumptions!$I$13</f>
        <v/>
      </c>
      <c r="AL17" s="17">
        <f>'Sales Forecast'!AL7*Assumptions!$C$13+'Sales Forecast'!AK7*Assumptions!$D$13+'Sales Forecast'!AJ7*Assumptions!$E$13+'Sales Forecast'!AI7*Assumptions!$F$13+'Sales Forecast'!AH7*Assumptions!$G$13+'Sales Forecast'!AG7*Assumptions!$H$13+'Sales Forecast'!AF7*Assumptions!$I$13</f>
        <v/>
      </c>
      <c r="AM17" s="17">
        <f>'Sales Forecast'!AM7*Assumptions!$C$13+'Sales Forecast'!AL7*Assumptions!$D$13+'Sales Forecast'!AK7*Assumptions!$E$13+'Sales Forecast'!AJ7*Assumptions!$F$13+'Sales Forecast'!AI7*Assumptions!$G$13+'Sales Forecast'!AH7*Assumptions!$H$13+'Sales Forecast'!AG7*Assumptions!$I$13</f>
        <v/>
      </c>
      <c r="AN17" s="17">
        <f>'Sales Forecast'!AN7*Assumptions!$C$13+'Sales Forecast'!AM7*Assumptions!$D$13+'Sales Forecast'!AL7*Assumptions!$E$13+'Sales Forecast'!AK7*Assumptions!$F$13+'Sales Forecast'!AJ7*Assumptions!$G$13+'Sales Forecast'!AI7*Assumptions!$H$13+'Sales Forecast'!AH7*Assumptions!$I$13</f>
        <v/>
      </c>
      <c r="AO17" s="17">
        <f>'Sales Forecast'!AO7*Assumptions!$C$13+'Sales Forecast'!AN7*Assumptions!$D$13+'Sales Forecast'!AM7*Assumptions!$E$13+'Sales Forecast'!AL7*Assumptions!$F$13+'Sales Forecast'!AK7*Assumptions!$G$13+'Sales Forecast'!AJ7*Assumptions!$H$13+'Sales Forecast'!AI7*Assumptions!$I$13</f>
        <v/>
      </c>
      <c r="AP17" s="17">
        <f>'Sales Forecast'!AP7*Assumptions!$C$13+'Sales Forecast'!AO7*Assumptions!$D$13+'Sales Forecast'!AN7*Assumptions!$E$13+'Sales Forecast'!AM7*Assumptions!$F$13+'Sales Forecast'!AL7*Assumptions!$G$13+'Sales Forecast'!AK7*Assumptions!$H$13+'Sales Forecast'!AJ7*Assumptions!$I$13</f>
        <v/>
      </c>
      <c r="AQ17" s="17">
        <f>'Sales Forecast'!AQ7*Assumptions!$C$13+'Sales Forecast'!AP7*Assumptions!$D$13+'Sales Forecast'!AO7*Assumptions!$E$13+'Sales Forecast'!AN7*Assumptions!$F$13+'Sales Forecast'!AM7*Assumptions!$G$13+'Sales Forecast'!AL7*Assumptions!$H$13+'Sales Forecast'!AK7*Assumptions!$I$13</f>
        <v/>
      </c>
      <c r="AR17" s="17">
        <f>'Sales Forecast'!AR7*Assumptions!$C$13+'Sales Forecast'!AQ7*Assumptions!$D$13+'Sales Forecast'!AP7*Assumptions!$E$13+'Sales Forecast'!AO7*Assumptions!$F$13+'Sales Forecast'!AN7*Assumptions!$G$13+'Sales Forecast'!AM7*Assumptions!$H$13+'Sales Forecast'!AL7*Assumptions!$I$13</f>
        <v/>
      </c>
      <c r="AS17" s="17">
        <f>'Sales Forecast'!AS7*Assumptions!$C$13+'Sales Forecast'!AR7*Assumptions!$D$13+'Sales Forecast'!AQ7*Assumptions!$E$13+'Sales Forecast'!AP7*Assumptions!$F$13+'Sales Forecast'!AO7*Assumptions!$G$13+'Sales Forecast'!AN7*Assumptions!$H$13+'Sales Forecast'!AM7*Assumptions!$I$13</f>
        <v/>
      </c>
      <c r="AT17" s="17">
        <f>'Sales Forecast'!AT7*Assumptions!$C$13+'Sales Forecast'!AS7*Assumptions!$D$13+'Sales Forecast'!AR7*Assumptions!$E$13+'Sales Forecast'!AQ7*Assumptions!$F$13+'Sales Forecast'!AP7*Assumptions!$G$13+'Sales Forecast'!AO7*Assumptions!$H$13+'Sales Forecast'!AN7*Assumptions!$I$13</f>
        <v/>
      </c>
      <c r="AU17" s="17">
        <f>'Sales Forecast'!AU7*Assumptions!$C$13+'Sales Forecast'!AT7*Assumptions!$D$13+'Sales Forecast'!AS7*Assumptions!$E$13+'Sales Forecast'!AR7*Assumptions!$F$13+'Sales Forecast'!AQ7*Assumptions!$G$13+'Sales Forecast'!AP7*Assumptions!$H$13+'Sales Forecast'!AO7*Assumptions!$I$13</f>
        <v/>
      </c>
      <c r="AV17" s="17">
        <f>'Sales Forecast'!AV7*Assumptions!$C$13+'Sales Forecast'!AU7*Assumptions!$D$13+'Sales Forecast'!AT7*Assumptions!$E$13+'Sales Forecast'!AS7*Assumptions!$F$13+'Sales Forecast'!AR7*Assumptions!$G$13+'Sales Forecast'!AQ7*Assumptions!$H$13+'Sales Forecast'!AP7*Assumptions!$I$13</f>
        <v/>
      </c>
      <c r="AW17" s="17">
        <f>'Sales Forecast'!AW7*Assumptions!$C$13+'Sales Forecast'!AV7*Assumptions!$D$13+'Sales Forecast'!AU7*Assumptions!$E$13+'Sales Forecast'!AT7*Assumptions!$F$13+'Sales Forecast'!AS7*Assumptions!$G$13+'Sales Forecast'!AR7*Assumptions!$H$13+'Sales Forecast'!AQ7*Assumptions!$I$13</f>
        <v/>
      </c>
      <c r="AX17" s="17">
        <f>'Sales Forecast'!AX7*Assumptions!$C$13+'Sales Forecast'!AW7*Assumptions!$D$13+'Sales Forecast'!AV7*Assumptions!$E$13+'Sales Forecast'!AU7*Assumptions!$F$13+'Sales Forecast'!AT7*Assumptions!$G$13+'Sales Forecast'!AS7*Assumptions!$H$13+'Sales Forecast'!AR7*Assumptions!$I$13</f>
        <v/>
      </c>
      <c r="AY17" s="17">
        <f>'Sales Forecast'!AY7*Assumptions!$C$13+'Sales Forecast'!AX7*Assumptions!$D$13+'Sales Forecast'!AW7*Assumptions!$E$13+'Sales Forecast'!AV7*Assumptions!$F$13+'Sales Forecast'!AU7*Assumptions!$G$13+'Sales Forecast'!AT7*Assumptions!$H$13+'Sales Forecast'!AS7*Assumptions!$I$13</f>
        <v/>
      </c>
      <c r="BA17" s="288" t="n"/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  <c r="L18" s="19" t="n">
        <v>1068</v>
      </c>
      <c r="M18" s="19" t="n">
        <v>1968</v>
      </c>
      <c r="N18" s="19" t="n">
        <v>1402</v>
      </c>
      <c r="O18" s="19" t="n">
        <v>1200</v>
      </c>
      <c r="P18" s="19" t="n">
        <v>1794</v>
      </c>
      <c r="Q18" s="19" t="n">
        <v>1344</v>
      </c>
      <c r="R18" s="19" t="n">
        <v>1586</v>
      </c>
      <c r="S18" s="19" t="n">
        <v>946</v>
      </c>
      <c r="T18" s="83" t="n">
        <v>928</v>
      </c>
      <c r="U18" s="83" t="n">
        <v>656</v>
      </c>
      <c r="V18" s="83" t="n">
        <v>836</v>
      </c>
      <c r="W18" s="20">
        <f>1417.5</f>
        <v/>
      </c>
      <c r="X18" s="20">
        <f>1417.5</f>
        <v/>
      </c>
      <c r="Y18" s="20">
        <f>1417.5</f>
        <v/>
      </c>
      <c r="Z18" s="20">
        <f>1417.5</f>
        <v/>
      </c>
      <c r="AA18" s="20">
        <f>1417.5</f>
        <v/>
      </c>
      <c r="AB18" s="20">
        <f>1417.5</f>
        <v/>
      </c>
      <c r="AC18" s="20">
        <f>1417.5</f>
        <v/>
      </c>
      <c r="AD18" s="20">
        <f>1417.5</f>
        <v/>
      </c>
      <c r="AE18" s="20">
        <f>1417.5</f>
        <v/>
      </c>
      <c r="AF18" s="20">
        <f>1417.5</f>
        <v/>
      </c>
      <c r="AG18" s="20">
        <f>1417.5</f>
        <v/>
      </c>
      <c r="AH18" s="20">
        <f>1417.5</f>
        <v/>
      </c>
      <c r="AI18" s="20">
        <f>1417.5</f>
        <v/>
      </c>
      <c r="AJ18" s="20">
        <f>1417.5</f>
        <v/>
      </c>
      <c r="AK18" s="20">
        <f>1417.5</f>
        <v/>
      </c>
      <c r="AL18" s="20">
        <f>1417.5</f>
        <v/>
      </c>
      <c r="AM18" s="20">
        <f>1417.5</f>
        <v/>
      </c>
      <c r="AN18" s="20">
        <f>1417.5</f>
        <v/>
      </c>
      <c r="AO18" s="20">
        <f>1417.5</f>
        <v/>
      </c>
      <c r="AP18" s="20">
        <f>1417.5</f>
        <v/>
      </c>
      <c r="AQ18" s="20">
        <f>1417.5</f>
        <v/>
      </c>
      <c r="AR18" s="20">
        <f>1417.5</f>
        <v/>
      </c>
      <c r="AS18" s="20">
        <f>1417.5</f>
        <v/>
      </c>
      <c r="AT18" s="20">
        <f>1417.5</f>
        <v/>
      </c>
      <c r="AU18" s="20">
        <f>1417.5</f>
        <v/>
      </c>
      <c r="AV18" s="20">
        <f>1417.5</f>
        <v/>
      </c>
      <c r="AW18" s="20">
        <f>1417.5</f>
        <v/>
      </c>
      <c r="AX18" s="20">
        <f>1417.5</f>
        <v/>
      </c>
      <c r="AY18" s="20">
        <f>1417.5</f>
        <v/>
      </c>
      <c r="BA18" s="288">
        <f>SUM(I18:T18)</f>
        <v/>
      </c>
      <c r="BB18" s="274">
        <f>BA18/$BA$21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-1110</v>
      </c>
      <c r="O19" s="19" t="n">
        <v>-414</v>
      </c>
      <c r="P19" s="19" t="n">
        <v>-1048</v>
      </c>
      <c r="Q19" s="19" t="n">
        <v>-740</v>
      </c>
      <c r="R19" s="19" t="n">
        <v>-500</v>
      </c>
      <c r="S19" s="19" t="n">
        <v>-245</v>
      </c>
      <c r="T19" s="19" t="n">
        <v>-443</v>
      </c>
      <c r="U19" s="19" t="n">
        <v>-1053.33</v>
      </c>
      <c r="V19" s="19" t="n">
        <v>-324.2</v>
      </c>
      <c r="W19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Forecast'!Q7*Assumptions!$I$13+1417.5)*Assumptions!$C$17</f>
        <v/>
      </c>
      <c r="X19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Forecast'!R7*Assumptions!$I$13+1417.5)*Assumptions!$C$17</f>
        <v/>
      </c>
      <c r="Y19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Forecast'!S7*Assumptions!$I$13+1417.5)*Assumptions!$C$17</f>
        <v/>
      </c>
      <c r="Z19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Forecast'!T7*Assumptions!$I$13+1417.5)*Assumptions!$C$17</f>
        <v/>
      </c>
      <c r="AA19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Forecast'!U7*Assumptions!$I$13+1417.5)*Assumptions!$C$17</f>
        <v/>
      </c>
      <c r="AB19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Forecast'!V7*Assumptions!$I$13+1417.5)*Assumptions!$C$17</f>
        <v/>
      </c>
      <c r="AC19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Forecast'!W7*Assumptions!$I$13+1417.5)*Assumptions!$C$17</f>
        <v/>
      </c>
      <c r="AD19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Forecast'!X7*Assumptions!$I$13+1417.5)*Assumptions!$C$17</f>
        <v/>
      </c>
      <c r="AE19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Forecast'!Y7*Assumptions!$I$13+1417.5)*Assumptions!$C$17</f>
        <v/>
      </c>
      <c r="AF19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Forecast'!Z7*Assumptions!$I$13+1417.5)*Assumptions!$C$17</f>
        <v/>
      </c>
      <c r="AG19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Forecast'!AA7*Assumptions!$I$13+1417.5)*Assumptions!$C$17</f>
        <v/>
      </c>
      <c r="AH19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Forecast'!AB7*Assumptions!$I$13+1417.5)*Assumptions!$C$17</f>
        <v/>
      </c>
      <c r="AI19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Forecast'!AC7*Assumptions!$I$13+1417.5)*Assumptions!$C$17</f>
        <v/>
      </c>
      <c r="AJ19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Forecast'!AD7*Assumptions!$I$13+1417.5)*Assumptions!$C$17</f>
        <v/>
      </c>
      <c r="AK19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Forecast'!AE7*Assumptions!$I$13+1417.5)*Assumptions!$C$17</f>
        <v/>
      </c>
      <c r="AL19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Forecast'!AF7*Assumptions!$I$13+1417.5)*Assumptions!$C$17</f>
        <v/>
      </c>
      <c r="AM19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Forecast'!AG7*Assumptions!$I$13+1417.5)*Assumptions!$C$17</f>
        <v/>
      </c>
      <c r="AN19" s="20">
        <f>('Sales Forecast'!AN7*Assumptions!$C$12+'Sales Forecast'!AM7*Assumptions!$D$12+'Sales Forecast'!AL7*Assumptions!$E$12+'Sales Forecast'!AK7*Assumptions!$F$12+'Sales Forecast'!AJ7*Assumptions!$G$12+'Sales Forecast'!AI7*Assumptions!$H$12+'Sales Forecast'!AH7*Assumptions!$I$12+'Sales Forecast'!AN7*Assumptions!$C$13+'Sales Forecast'!AM7*Assumptions!$D$13+'Sales Forecast'!AL7*Assumptions!$E$13+'Sales Forecast'!AK7*Assumptions!$F$13+'Sales Forecast'!AJ7*Assumptions!$G$13+'Sales Forecast'!AI7*Assumptions!$H$13+'Sales Forecast'!AH7*Assumptions!$I$13+1417.5)*Assumptions!$C$17</f>
        <v/>
      </c>
      <c r="AO19" s="20">
        <f>('Sales Forecast'!AO7*Assumptions!$C$12+'Sales Forecast'!AN7*Assumptions!$D$12+'Sales Forecast'!AM7*Assumptions!$E$12+'Sales Forecast'!AL7*Assumptions!$F$12+'Sales Forecast'!AK7*Assumptions!$G$12+'Sales Forecast'!AJ7*Assumptions!$H$12+'Sales Forecast'!AI7*Assumptions!$I$12+'Sales Forecast'!AO7*Assumptions!$C$13+'Sales Forecast'!AN7*Assumptions!$D$13+'Sales Forecast'!AM7*Assumptions!$E$13+'Sales Forecast'!AL7*Assumptions!$F$13+'Sales Forecast'!AK7*Assumptions!$G$13+'Sales Forecast'!AJ7*Assumptions!$H$13+'Sales Forecast'!AI7*Assumptions!$I$13+1417.5)*Assumptions!$C$17</f>
        <v/>
      </c>
      <c r="AP19" s="20">
        <f>('Sales Forecast'!AP7*Assumptions!$C$12+'Sales Forecast'!AO7*Assumptions!$D$12+'Sales Forecast'!AN7*Assumptions!$E$12+'Sales Forecast'!AM7*Assumptions!$F$12+'Sales Forecast'!AL7*Assumptions!$G$12+'Sales Forecast'!AK7*Assumptions!$H$12+'Sales Forecast'!AJ7*Assumptions!$I$12+'Sales Forecast'!AP7*Assumptions!$C$13+'Sales Forecast'!AO7*Assumptions!$D$13+'Sales Forecast'!AN7*Assumptions!$E$13+'Sales Forecast'!AM7*Assumptions!$F$13+'Sales Forecast'!AL7*Assumptions!$G$13+'Sales Forecast'!AK7*Assumptions!$H$13+'Sales Forecast'!AJ7*Assumptions!$I$13+1417.5)*Assumptions!$C$17</f>
        <v/>
      </c>
      <c r="AQ19" s="20">
        <f>('Sales Forecast'!AQ7*Assumptions!$C$12+'Sales Forecast'!AP7*Assumptions!$D$12+'Sales Forecast'!AO7*Assumptions!$E$12+'Sales Forecast'!AN7*Assumptions!$F$12+'Sales Forecast'!AM7*Assumptions!$G$12+'Sales Forecast'!AL7*Assumptions!$H$12+'Sales Forecast'!AK7*Assumptions!$I$12+'Sales Forecast'!AQ7*Assumptions!$C$13+'Sales Forecast'!AP7*Assumptions!$D$13+'Sales Forecast'!AO7*Assumptions!$E$13+'Sales Forecast'!AN7*Assumptions!$F$13+'Sales Forecast'!AM7*Assumptions!$G$13+'Sales Forecast'!AL7*Assumptions!$H$13+'Sales Forecast'!AK7*Assumptions!$I$13+1417.5)*Assumptions!$C$17</f>
        <v/>
      </c>
      <c r="AR19" s="20">
        <f>('Sales Forecast'!AR7*Assumptions!$C$12+'Sales Forecast'!AQ7*Assumptions!$D$12+'Sales Forecast'!AP7*Assumptions!$E$12+'Sales Forecast'!AO7*Assumptions!$F$12+'Sales Forecast'!AN7*Assumptions!$G$12+'Sales Forecast'!AM7*Assumptions!$H$12+'Sales Forecast'!AL7*Assumptions!$I$12+'Sales Forecast'!AR7*Assumptions!$C$13+'Sales Forecast'!AQ7*Assumptions!$D$13+'Sales Forecast'!AP7*Assumptions!$E$13+'Sales Forecast'!AO7*Assumptions!$F$13+'Sales Forecast'!AN7*Assumptions!$G$13+'Sales Forecast'!AM7*Assumptions!$H$13+'Sales Forecast'!AL7*Assumptions!$I$13+1417.5)*Assumptions!$C$17</f>
        <v/>
      </c>
      <c r="AS19" s="20">
        <f>('Sales Forecast'!AS7*Assumptions!$C$12+'Sales Forecast'!AR7*Assumptions!$D$12+'Sales Forecast'!AQ7*Assumptions!$E$12+'Sales Forecast'!AP7*Assumptions!$F$12+'Sales Forecast'!AO7*Assumptions!$G$12+'Sales Forecast'!AN7*Assumptions!$H$12+'Sales Forecast'!AM7*Assumptions!$I$12+'Sales Forecast'!AS7*Assumptions!$C$13+'Sales Forecast'!AR7*Assumptions!$D$13+'Sales Forecast'!AQ7*Assumptions!$E$13+'Sales Forecast'!AP7*Assumptions!$F$13+'Sales Forecast'!AO7*Assumptions!$G$13+'Sales Forecast'!AN7*Assumptions!$H$13+'Sales Forecast'!AM7*Assumptions!$I$13+1417.5)*Assumptions!$C$17</f>
        <v/>
      </c>
      <c r="AT19" s="20">
        <f>('Sales Forecast'!AT7*Assumptions!$C$12+'Sales Forecast'!AS7*Assumptions!$D$12+'Sales Forecast'!AR7*Assumptions!$E$12+'Sales Forecast'!AQ7*Assumptions!$F$12+'Sales Forecast'!AP7*Assumptions!$G$12+'Sales Forecast'!AO7*Assumptions!$H$12+'Sales Forecast'!AN7*Assumptions!$I$12+'Sales Forecast'!AT7*Assumptions!$C$13+'Sales Forecast'!AS7*Assumptions!$D$13+'Sales Forecast'!AR7*Assumptions!$E$13+'Sales Forecast'!AQ7*Assumptions!$F$13+'Sales Forecast'!AP7*Assumptions!$G$13+'Sales Forecast'!AO7*Assumptions!$H$13+'Sales Forecast'!AN7*Assumptions!$I$13+1417.5)*Assumptions!$C$17</f>
        <v/>
      </c>
      <c r="AU19" s="20">
        <f>('Sales Forecast'!AU7*Assumptions!$C$12+'Sales Forecast'!AT7*Assumptions!$D$12+'Sales Forecast'!AS7*Assumptions!$E$12+'Sales Forecast'!AR7*Assumptions!$F$12+'Sales Forecast'!AQ7*Assumptions!$G$12+'Sales Forecast'!AP7*Assumptions!$H$12+'Sales Forecast'!AO7*Assumptions!$I$12+'Sales Forecast'!AU7*Assumptions!$C$13+'Sales Forecast'!AT7*Assumptions!$D$13+'Sales Forecast'!AS7*Assumptions!$E$13+'Sales Forecast'!AR7*Assumptions!$F$13+'Sales Forecast'!AQ7*Assumptions!$G$13+'Sales Forecast'!AP7*Assumptions!$H$13+'Sales Forecast'!AO7*Assumptions!$I$13+1417.5)*Assumptions!$C$17</f>
        <v/>
      </c>
      <c r="AV19" s="20">
        <f>('Sales Forecast'!AV7*Assumptions!$C$12+'Sales Forecast'!AU7*Assumptions!$D$12+'Sales Forecast'!AT7*Assumptions!$E$12+'Sales Forecast'!AS7*Assumptions!$F$12+'Sales Forecast'!AR7*Assumptions!$G$12+'Sales Forecast'!AQ7*Assumptions!$H$12+'Sales Forecast'!AP7*Assumptions!$I$12+'Sales Forecast'!AV7*Assumptions!$C$13+'Sales Forecast'!AU7*Assumptions!$D$13+'Sales Forecast'!AT7*Assumptions!$E$13+'Sales Forecast'!AS7*Assumptions!$F$13+'Sales Forecast'!AR7*Assumptions!$G$13+'Sales Forecast'!AQ7*Assumptions!$H$13+'Sales Forecast'!AP7*Assumptions!$I$13+1417.5)*Assumptions!$C$17</f>
        <v/>
      </c>
      <c r="AW19" s="20">
        <f>('Sales Forecast'!AW7*Assumptions!$C$12+'Sales Forecast'!AV7*Assumptions!$D$12+'Sales Forecast'!AU7*Assumptions!$E$12+'Sales Forecast'!AT7*Assumptions!$F$12+'Sales Forecast'!AS7*Assumptions!$G$12+'Sales Forecast'!AR7*Assumptions!$H$12+'Sales Forecast'!AQ7*Assumptions!$I$12+'Sales Forecast'!AW7*Assumptions!$C$13+'Sales Forecast'!AV7*Assumptions!$D$13+'Sales Forecast'!AU7*Assumptions!$E$13+'Sales Forecast'!AT7*Assumptions!$F$13+'Sales Forecast'!AS7*Assumptions!$G$13+'Sales Forecast'!AR7*Assumptions!$H$13+'Sales Forecast'!AQ7*Assumptions!$I$13+1417.5)*Assumptions!$C$17</f>
        <v/>
      </c>
      <c r="AX19" s="20">
        <f>('Sales Forecast'!AX7*Assumptions!$C$12+'Sales Forecast'!AW7*Assumptions!$D$12+'Sales Forecast'!AV7*Assumptions!$E$12+'Sales Forecast'!AU7*Assumptions!$F$12+'Sales Forecast'!AT7*Assumptions!$G$12+'Sales Forecast'!AS7*Assumptions!$H$12+'Sales Forecast'!AR7*Assumptions!$I$12+'Sales Forecast'!AX7*Assumptions!$C$13+'Sales Forecast'!AW7*Assumptions!$D$13+'Sales Forecast'!AV7*Assumptions!$E$13+'Sales Forecast'!AU7*Assumptions!$F$13+'Sales Forecast'!AT7*Assumptions!$G$13+'Sales Forecast'!AS7*Assumptions!$H$13+'Sales Forecast'!AR7*Assumptions!$I$13+1417.5)*Assumptions!$C$17</f>
        <v/>
      </c>
      <c r="AY19" s="20">
        <f>('Sales Forecast'!AY7*Assumptions!$C$12+'Sales Forecast'!AX7*Assumptions!$D$12+'Sales Forecast'!AW7*Assumptions!$E$12+'Sales Forecast'!AV7*Assumptions!$F$12+'Sales Forecast'!AU7*Assumptions!$G$12+'Sales Forecast'!AT7*Assumptions!$H$12+'Sales Forecast'!AS7*Assumptions!$I$12+'Sales Forecast'!AY7*Assumptions!$C$13+'Sales Forecast'!AX7*Assumptions!$D$13+'Sales Forecast'!AW7*Assumptions!$E$13+'Sales Forecast'!AV7*Assumptions!$F$13+'Sales Forecast'!AU7*Assumptions!$G$13+'Sales Forecast'!AT7*Assumptions!$H$13+'Sales Forecast'!AS7*Assumptions!$I$13+1417.5)*Assumptions!$C$17</f>
        <v/>
      </c>
      <c r="BA19" s="288">
        <f>SUM(I19:T19)</f>
        <v/>
      </c>
      <c r="BB19" s="274">
        <f>BA19/$BA$21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-635</v>
      </c>
      <c r="L20" s="19" t="n">
        <v>-7992.7</v>
      </c>
      <c r="M20" s="19" t="n">
        <v>-3983.8</v>
      </c>
      <c r="N20" s="19" t="n">
        <v>-6214.6</v>
      </c>
      <c r="O20" s="19" t="n">
        <v>-4542.6</v>
      </c>
      <c r="P20" s="19" t="n">
        <v>-5079.6</v>
      </c>
      <c r="Q20" s="19" t="n">
        <v>-2303.3</v>
      </c>
      <c r="R20" s="19" t="n">
        <v>-2607.5</v>
      </c>
      <c r="S20" s="19" t="n">
        <v>-2783.2</v>
      </c>
      <c r="T20" s="19" t="n">
        <v>-1884.8</v>
      </c>
      <c r="U20" s="19" t="n">
        <v>-2219.85</v>
      </c>
      <c r="V20" s="19" t="n">
        <v>-3602.7</v>
      </c>
      <c r="W20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Forecast'!Q7*Assumptions!$I$13+1417.5)*Assumptions!$C$18</f>
        <v/>
      </c>
      <c r="X20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Forecast'!R7*Assumptions!$I$13+1417.5)*Assumptions!$C$18</f>
        <v/>
      </c>
      <c r="Y20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Forecast'!S7*Assumptions!$I$13+1417.5)*Assumptions!$C$18</f>
        <v/>
      </c>
      <c r="Z20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Forecast'!T7*Assumptions!$I$13+1417.5)*Assumptions!$C$18</f>
        <v/>
      </c>
      <c r="AA20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Forecast'!U7*Assumptions!$I$13+1417.5)*Assumptions!$C$18</f>
        <v/>
      </c>
      <c r="AB20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Forecast'!V7*Assumptions!$I$13+1417.5)*Assumptions!$C$18</f>
        <v/>
      </c>
      <c r="AC20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Forecast'!W7*Assumptions!$I$13+1417.5)*Assumptions!$C$18</f>
        <v/>
      </c>
      <c r="AD20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Forecast'!X7*Assumptions!$I$13+1417.5)*Assumptions!$C$18</f>
        <v/>
      </c>
      <c r="AE20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Forecast'!Y7*Assumptions!$I$13+1417.5)*Assumptions!$C$18</f>
        <v/>
      </c>
      <c r="AF20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Forecast'!Z7*Assumptions!$I$13+1417.5)*Assumptions!$C$18</f>
        <v/>
      </c>
      <c r="AG20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Forecast'!AA7*Assumptions!$I$13+1417.5)*Assumptions!$C$18</f>
        <v/>
      </c>
      <c r="AH20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Forecast'!AB7*Assumptions!$I$13+1417.5)*Assumptions!$C$18</f>
        <v/>
      </c>
      <c r="AI20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Forecast'!AC7*Assumptions!$I$13+1417.5)*Assumptions!$C$18</f>
        <v/>
      </c>
      <c r="AJ20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Forecast'!AD7*Assumptions!$I$13+1417.5)*Assumptions!$C$18</f>
        <v/>
      </c>
      <c r="AK20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Forecast'!AE7*Assumptions!$I$13+1417.5)*Assumptions!$C$18</f>
        <v/>
      </c>
      <c r="AL20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Forecast'!AF7*Assumptions!$I$13+1417.5)*Assumptions!$C$18</f>
        <v/>
      </c>
      <c r="AM20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Forecast'!AG7*Assumptions!$I$13+1417.5)*Assumptions!$C$18</f>
        <v/>
      </c>
      <c r="AN20" s="20">
        <f>('Sales Forecast'!AN7*Assumptions!$C$12+'Sales Forecast'!AM7*Assumptions!$D$12+'Sales Forecast'!AL7*Assumptions!$E$12+'Sales Forecast'!AK7*Assumptions!$F$12+'Sales Forecast'!AJ7*Assumptions!$G$12+'Sales Forecast'!AI7*Assumptions!$H$12+'Sales Forecast'!AH7*Assumptions!$I$12+'Sales Forecast'!AN7*Assumptions!$C$13+'Sales Forecast'!AM7*Assumptions!$D$13+'Sales Forecast'!AL7*Assumptions!$E$13+'Sales Forecast'!AK7*Assumptions!$F$13+'Sales Forecast'!AJ7*Assumptions!$G$13+'Sales Forecast'!AI7*Assumptions!$H$13+'Sales Forecast'!AH7*Assumptions!$I$13+1417.5)*Assumptions!$C$18</f>
        <v/>
      </c>
      <c r="AO20" s="20">
        <f>('Sales Forecast'!AO7*Assumptions!$C$12+'Sales Forecast'!AN7*Assumptions!$D$12+'Sales Forecast'!AM7*Assumptions!$E$12+'Sales Forecast'!AL7*Assumptions!$F$12+'Sales Forecast'!AK7*Assumptions!$G$12+'Sales Forecast'!AJ7*Assumptions!$H$12+'Sales Forecast'!AI7*Assumptions!$I$12+'Sales Forecast'!AO7*Assumptions!$C$13+'Sales Forecast'!AN7*Assumptions!$D$13+'Sales Forecast'!AM7*Assumptions!$E$13+'Sales Forecast'!AL7*Assumptions!$F$13+'Sales Forecast'!AK7*Assumptions!$G$13+'Sales Forecast'!AJ7*Assumptions!$H$13+'Sales Forecast'!AI7*Assumptions!$I$13+1417.5)*Assumptions!$C$18</f>
        <v/>
      </c>
      <c r="AP20" s="20">
        <f>('Sales Forecast'!AP7*Assumptions!$C$12+'Sales Forecast'!AO7*Assumptions!$D$12+'Sales Forecast'!AN7*Assumptions!$E$12+'Sales Forecast'!AM7*Assumptions!$F$12+'Sales Forecast'!AL7*Assumptions!$G$12+'Sales Forecast'!AK7*Assumptions!$H$12+'Sales Forecast'!AJ7*Assumptions!$I$12+'Sales Forecast'!AP7*Assumptions!$C$13+'Sales Forecast'!AO7*Assumptions!$D$13+'Sales Forecast'!AN7*Assumptions!$E$13+'Sales Forecast'!AM7*Assumptions!$F$13+'Sales Forecast'!AL7*Assumptions!$G$13+'Sales Forecast'!AK7*Assumptions!$H$13+'Sales Forecast'!AJ7*Assumptions!$I$13+1417.5)*Assumptions!$C$18</f>
        <v/>
      </c>
      <c r="AQ20" s="20">
        <f>('Sales Forecast'!AQ7*Assumptions!$C$12+'Sales Forecast'!AP7*Assumptions!$D$12+'Sales Forecast'!AO7*Assumptions!$E$12+'Sales Forecast'!AN7*Assumptions!$F$12+'Sales Forecast'!AM7*Assumptions!$G$12+'Sales Forecast'!AL7*Assumptions!$H$12+'Sales Forecast'!AK7*Assumptions!$I$12+'Sales Forecast'!AQ7*Assumptions!$C$13+'Sales Forecast'!AP7*Assumptions!$D$13+'Sales Forecast'!AO7*Assumptions!$E$13+'Sales Forecast'!AN7*Assumptions!$F$13+'Sales Forecast'!AM7*Assumptions!$G$13+'Sales Forecast'!AL7*Assumptions!$H$13+'Sales Forecast'!AK7*Assumptions!$I$13+1417.5)*Assumptions!$C$18</f>
        <v/>
      </c>
      <c r="AR20" s="20">
        <f>('Sales Forecast'!AR7*Assumptions!$C$12+'Sales Forecast'!AQ7*Assumptions!$D$12+'Sales Forecast'!AP7*Assumptions!$E$12+'Sales Forecast'!AO7*Assumptions!$F$12+'Sales Forecast'!AN7*Assumptions!$G$12+'Sales Forecast'!AM7*Assumptions!$H$12+'Sales Forecast'!AL7*Assumptions!$I$12+'Sales Forecast'!AR7*Assumptions!$C$13+'Sales Forecast'!AQ7*Assumptions!$D$13+'Sales Forecast'!AP7*Assumptions!$E$13+'Sales Forecast'!AO7*Assumptions!$F$13+'Sales Forecast'!AN7*Assumptions!$G$13+'Sales Forecast'!AM7*Assumptions!$H$13+'Sales Forecast'!AL7*Assumptions!$I$13+1417.5)*Assumptions!$C$18</f>
        <v/>
      </c>
      <c r="AS20" s="20">
        <f>('Sales Forecast'!AS7*Assumptions!$C$12+'Sales Forecast'!AR7*Assumptions!$D$12+'Sales Forecast'!AQ7*Assumptions!$E$12+'Sales Forecast'!AP7*Assumptions!$F$12+'Sales Forecast'!AO7*Assumptions!$G$12+'Sales Forecast'!AN7*Assumptions!$H$12+'Sales Forecast'!AM7*Assumptions!$I$12+'Sales Forecast'!AS7*Assumptions!$C$13+'Sales Forecast'!AR7*Assumptions!$D$13+'Sales Forecast'!AQ7*Assumptions!$E$13+'Sales Forecast'!AP7*Assumptions!$F$13+'Sales Forecast'!AO7*Assumptions!$G$13+'Sales Forecast'!AN7*Assumptions!$H$13+'Sales Forecast'!AM7*Assumptions!$I$13+1417.5)*Assumptions!$C$18</f>
        <v/>
      </c>
      <c r="AT20" s="20">
        <f>('Sales Forecast'!AT7*Assumptions!$C$12+'Sales Forecast'!AS7*Assumptions!$D$12+'Sales Forecast'!AR7*Assumptions!$E$12+'Sales Forecast'!AQ7*Assumptions!$F$12+'Sales Forecast'!AP7*Assumptions!$G$12+'Sales Forecast'!AO7*Assumptions!$H$12+'Sales Forecast'!AN7*Assumptions!$I$12+'Sales Forecast'!AT7*Assumptions!$C$13+'Sales Forecast'!AS7*Assumptions!$D$13+'Sales Forecast'!AR7*Assumptions!$E$13+'Sales Forecast'!AQ7*Assumptions!$F$13+'Sales Forecast'!AP7*Assumptions!$G$13+'Sales Forecast'!AO7*Assumptions!$H$13+'Sales Forecast'!AN7*Assumptions!$I$13+1417.5)*Assumptions!$C$18</f>
        <v/>
      </c>
      <c r="AU20" s="20">
        <f>('Sales Forecast'!AU7*Assumptions!$C$12+'Sales Forecast'!AT7*Assumptions!$D$12+'Sales Forecast'!AS7*Assumptions!$E$12+'Sales Forecast'!AR7*Assumptions!$F$12+'Sales Forecast'!AQ7*Assumptions!$G$12+'Sales Forecast'!AP7*Assumptions!$H$12+'Sales Forecast'!AO7*Assumptions!$I$12+'Sales Forecast'!AU7*Assumptions!$C$13+'Sales Forecast'!AT7*Assumptions!$D$13+'Sales Forecast'!AS7*Assumptions!$E$13+'Sales Forecast'!AR7*Assumptions!$F$13+'Sales Forecast'!AQ7*Assumptions!$G$13+'Sales Forecast'!AP7*Assumptions!$H$13+'Sales Forecast'!AO7*Assumptions!$I$13+1417.5)*Assumptions!$C$18</f>
        <v/>
      </c>
      <c r="AV20" s="20">
        <f>('Sales Forecast'!AV7*Assumptions!$C$12+'Sales Forecast'!AU7*Assumptions!$D$12+'Sales Forecast'!AT7*Assumptions!$E$12+'Sales Forecast'!AS7*Assumptions!$F$12+'Sales Forecast'!AR7*Assumptions!$G$12+'Sales Forecast'!AQ7*Assumptions!$H$12+'Sales Forecast'!AP7*Assumptions!$I$12+'Sales Forecast'!AV7*Assumptions!$C$13+'Sales Forecast'!AU7*Assumptions!$D$13+'Sales Forecast'!AT7*Assumptions!$E$13+'Sales Forecast'!AS7*Assumptions!$F$13+'Sales Forecast'!AR7*Assumptions!$G$13+'Sales Forecast'!AQ7*Assumptions!$H$13+'Sales Forecast'!AP7*Assumptions!$I$13+1417.5)*Assumptions!$C$18</f>
        <v/>
      </c>
      <c r="AW20" s="20">
        <f>('Sales Forecast'!AW7*Assumptions!$C$12+'Sales Forecast'!AV7*Assumptions!$D$12+'Sales Forecast'!AU7*Assumptions!$E$12+'Sales Forecast'!AT7*Assumptions!$F$12+'Sales Forecast'!AS7*Assumptions!$G$12+'Sales Forecast'!AR7*Assumptions!$H$12+'Sales Forecast'!AQ7*Assumptions!$I$12+'Sales Forecast'!AW7*Assumptions!$C$13+'Sales Forecast'!AV7*Assumptions!$D$13+'Sales Forecast'!AU7*Assumptions!$E$13+'Sales Forecast'!AT7*Assumptions!$F$13+'Sales Forecast'!AS7*Assumptions!$G$13+'Sales Forecast'!AR7*Assumptions!$H$13+'Sales Forecast'!AQ7*Assumptions!$I$13+1417.5)*Assumptions!$C$18</f>
        <v/>
      </c>
      <c r="AX20" s="20">
        <f>('Sales Forecast'!AX7*Assumptions!$C$12+'Sales Forecast'!AW7*Assumptions!$D$12+'Sales Forecast'!AV7*Assumptions!$E$12+'Sales Forecast'!AU7*Assumptions!$F$12+'Sales Forecast'!AT7*Assumptions!$G$12+'Sales Forecast'!AS7*Assumptions!$H$12+'Sales Forecast'!AR7*Assumptions!$I$12+'Sales Forecast'!AX7*Assumptions!$C$13+'Sales Forecast'!AW7*Assumptions!$D$13+'Sales Forecast'!AV7*Assumptions!$E$13+'Sales Forecast'!AU7*Assumptions!$F$13+'Sales Forecast'!AT7*Assumptions!$G$13+'Sales Forecast'!AS7*Assumptions!$H$13+'Sales Forecast'!AR7*Assumptions!$I$13+1417.5)*Assumptions!$C$18</f>
        <v/>
      </c>
      <c r="AY20" s="20">
        <f>('Sales Forecast'!AY7*Assumptions!$C$12+'Sales Forecast'!AX7*Assumptions!$D$12+'Sales Forecast'!AW7*Assumptions!$E$12+'Sales Forecast'!AV7*Assumptions!$F$12+'Sales Forecast'!AU7*Assumptions!$G$12+'Sales Forecast'!AT7*Assumptions!$H$12+'Sales Forecast'!AS7*Assumptions!$I$12+'Sales Forecast'!AY7*Assumptions!$C$13+'Sales Forecast'!AX7*Assumptions!$D$13+'Sales Forecast'!AW7*Assumptions!$E$13+'Sales Forecast'!AV7*Assumptions!$F$13+'Sales Forecast'!AU7*Assumptions!$G$13+'Sales Forecast'!AT7*Assumptions!$H$13+'Sales Forecast'!AS7*Assumptions!$I$13+1417.5)*Assumptions!$C$18</f>
        <v/>
      </c>
      <c r="BA20" s="288">
        <f>SUM(I20:T20)</f>
        <v/>
      </c>
      <c r="BB20" s="274">
        <f>BA20/$BA$21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>
        <f>K13+K17+K18+K19+K20</f>
        <v/>
      </c>
      <c r="L21" s="35">
        <f>L13+L17+L18+L19+L20</f>
        <v/>
      </c>
      <c r="M21" s="35">
        <f>M13+M17+M18+M19+M20</f>
        <v/>
      </c>
      <c r="N21" s="35">
        <f>N13+N17+N18+N19+N20</f>
        <v/>
      </c>
      <c r="O21" s="35">
        <f>O13+O17+O18+O19+O20</f>
        <v/>
      </c>
      <c r="P21" s="35">
        <f>P13+P17+P18+P19+P20</f>
        <v/>
      </c>
      <c r="Q21" s="35">
        <f>Q13+Q17+Q18+Q19+Q20</f>
        <v/>
      </c>
      <c r="R21" s="35">
        <f>R13+R17+R18+R19+R20</f>
        <v/>
      </c>
      <c r="S21" s="35">
        <f>S13+S17+S18+S19+S20</f>
        <v/>
      </c>
      <c r="T21" s="35">
        <f>T13+T17+T18+T19+T20</f>
        <v/>
      </c>
      <c r="U21" s="35">
        <f>U13+U17+U18+U19+U20</f>
        <v/>
      </c>
      <c r="V21" s="35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  <c r="BA21" s="307">
        <f>SUM(I21:T21)</f>
        <v/>
      </c>
      <c r="BB21" s="276">
        <f>SUM(BB7:BB20)</f>
        <v/>
      </c>
    </row>
    <row r="22" ht="16" customHeight="1" s="28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>501000 Product Cost (incl Inventory Shrinkage)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523.5</v>
      </c>
      <c r="M23" s="19" t="n">
        <v>966.1</v>
      </c>
      <c r="N23" s="19" t="n">
        <v>696</v>
      </c>
      <c r="O23" s="19" t="n">
        <v>2963.72</v>
      </c>
      <c r="P23" s="19" t="n">
        <v>817.2</v>
      </c>
      <c r="Q23" s="19" t="n">
        <v>667.6</v>
      </c>
      <c r="R23" s="19" t="n">
        <v>782.7</v>
      </c>
      <c r="S23" s="19" t="n">
        <v>474.5</v>
      </c>
      <c r="T23" s="83" t="n">
        <v>464</v>
      </c>
      <c r="U23" s="83" t="n">
        <v>327</v>
      </c>
      <c r="V23" s="83" t="n">
        <v>423</v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1.41</v>
      </c>
      <c r="K24" s="19" t="n">
        <v>27.12</v>
      </c>
      <c r="L24" s="19" t="n">
        <v>586.97</v>
      </c>
      <c r="M24" s="19" t="n">
        <v>1101.43</v>
      </c>
      <c r="N24" s="19" t="n">
        <v>667.92</v>
      </c>
      <c r="O24" s="19" t="n">
        <v>901.09</v>
      </c>
      <c r="P24" s="19" t="n">
        <v>997.5599999999999</v>
      </c>
      <c r="Q24" s="19" t="n">
        <v>898.16</v>
      </c>
      <c r="R24" s="19" t="n">
        <v>1146.66</v>
      </c>
      <c r="S24" s="19" t="n">
        <v>855.58</v>
      </c>
      <c r="T24" s="83" t="n">
        <v>876.72</v>
      </c>
      <c r="U24" s="83" t="n">
        <v>892.3200000000001</v>
      </c>
      <c r="V24" s="83" t="n">
        <v>1021.43</v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>
        <f>SUM(D23:D24)</f>
        <v/>
      </c>
      <c r="E25" s="35">
        <f>SUM(E23:E24)</f>
        <v/>
      </c>
      <c r="F25" s="35">
        <f>SUM(F23:F24)</f>
        <v/>
      </c>
      <c r="G25" s="35">
        <f>SUM(G23:G24)</f>
        <v/>
      </c>
      <c r="H25" s="35">
        <f>SUM(H23:H24)</f>
        <v/>
      </c>
      <c r="I25" s="35">
        <f>SUM(I23:I24)</f>
        <v/>
      </c>
      <c r="J25" s="35">
        <f>SUM(J23:J24)</f>
        <v/>
      </c>
      <c r="K25" s="35">
        <f>SUM(K23:K24)</f>
        <v/>
      </c>
      <c r="L25" s="35">
        <f>SUM(L23:L24)</f>
        <v/>
      </c>
      <c r="M25" s="35">
        <f>SUM(M23:M24)</f>
        <v/>
      </c>
      <c r="N25" s="35">
        <f>SUM(N23:N24)</f>
        <v/>
      </c>
      <c r="O25" s="35">
        <f>SUM(O23:O24)</f>
        <v/>
      </c>
      <c r="P25" s="35">
        <f>P23+P24</f>
        <v/>
      </c>
      <c r="Q25" s="35">
        <f>Q23+Q24</f>
        <v/>
      </c>
      <c r="R25" s="35">
        <f>R23+R24</f>
        <v/>
      </c>
      <c r="S25" s="35">
        <f>S23+S24</f>
        <v/>
      </c>
      <c r="T25" s="84">
        <f>T23+T24</f>
        <v/>
      </c>
      <c r="U25" s="84">
        <f>U23+U24</f>
        <v/>
      </c>
      <c r="V25" s="84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>
        <f>D21-D25</f>
        <v/>
      </c>
      <c r="E26" s="35">
        <f>E21-E25</f>
        <v/>
      </c>
      <c r="F26" s="35">
        <f>F21-F25</f>
        <v/>
      </c>
      <c r="G26" s="35">
        <f>G21-G25</f>
        <v/>
      </c>
      <c r="H26" s="35">
        <f>H21-H25</f>
        <v/>
      </c>
      <c r="I26" s="35">
        <f>I21-I25</f>
        <v/>
      </c>
      <c r="J26" s="35">
        <f>J21-J25</f>
        <v/>
      </c>
      <c r="K26" s="35">
        <f>K21-K25</f>
        <v/>
      </c>
      <c r="L26" s="35">
        <f>L21-L25</f>
        <v/>
      </c>
      <c r="M26" s="35">
        <f>M21-M25</f>
        <v/>
      </c>
      <c r="N26" s="35">
        <f>N21-N25</f>
        <v/>
      </c>
      <c r="O26" s="35">
        <f>O21-O25</f>
        <v/>
      </c>
      <c r="P26" s="35">
        <f>P21-P25</f>
        <v/>
      </c>
      <c r="Q26" s="35">
        <f>Q21-Q25</f>
        <v/>
      </c>
      <c r="R26" s="35">
        <f>R21-R25</f>
        <v/>
      </c>
      <c r="S26" s="35">
        <f>S21-S25</f>
        <v/>
      </c>
      <c r="T26" s="84">
        <f>T21-T25</f>
        <v/>
      </c>
      <c r="U26" s="84">
        <f>U21-U25</f>
        <v/>
      </c>
      <c r="V26" s="84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" customHeight="1" s="28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2508.98</v>
      </c>
      <c r="L28" s="19" t="n">
        <v>2301.77</v>
      </c>
      <c r="M28" s="19" t="n">
        <v>2373.48</v>
      </c>
      <c r="N28" s="19" t="n">
        <v>3126.18</v>
      </c>
      <c r="O28" s="19" t="n">
        <v>1853.28</v>
      </c>
      <c r="P28" s="19" t="n">
        <v>1419.89</v>
      </c>
      <c r="Q28" s="19" t="n">
        <v>1423.13</v>
      </c>
      <c r="R28" s="19" t="n">
        <v>557.1</v>
      </c>
      <c r="S28" s="19" t="n">
        <v>0</v>
      </c>
      <c r="T28" s="83" t="n">
        <v>0</v>
      </c>
      <c r="U28" s="83" t="n">
        <v>0</v>
      </c>
      <c r="V28" s="83" t="n">
        <v>0</v>
      </c>
      <c r="W28" s="20" t="n">
        <v>747.17</v>
      </c>
      <c r="X28" s="20" t="n">
        <v>747.17</v>
      </c>
      <c r="Y28" s="20" t="n">
        <v>747.17</v>
      </c>
      <c r="Z28" s="20" t="n">
        <v>747.17</v>
      </c>
      <c r="AA28" s="20" t="n">
        <v>747.17</v>
      </c>
      <c r="AB28" s="20" t="n">
        <v>747.17</v>
      </c>
      <c r="AC28" s="20" t="n">
        <v>747.17</v>
      </c>
      <c r="AD28" s="20" t="n">
        <v>747.17</v>
      </c>
      <c r="AE28" s="20" t="n">
        <v>747.17</v>
      </c>
      <c r="AF28" s="20" t="n">
        <v>747.17</v>
      </c>
      <c r="AG28" s="20" t="n">
        <v>747.17</v>
      </c>
      <c r="AH28" s="20" t="n">
        <v>747.17</v>
      </c>
      <c r="AI28" s="20" t="n">
        <v>747.17</v>
      </c>
      <c r="AJ28" s="20" t="n">
        <v>747.17</v>
      </c>
      <c r="AK28" s="20" t="n">
        <v>747.17</v>
      </c>
      <c r="AL28" s="20" t="n">
        <v>747.17</v>
      </c>
      <c r="AM28" s="20" t="n">
        <v>747.17</v>
      </c>
      <c r="AN28" s="20" t="n">
        <v>747.17</v>
      </c>
      <c r="AO28" s="20" t="n">
        <v>747.17</v>
      </c>
      <c r="AP28" s="20" t="n">
        <v>747.17</v>
      </c>
      <c r="AQ28" s="20" t="n">
        <v>747.17</v>
      </c>
      <c r="AR28" s="20" t="n">
        <v>747.17</v>
      </c>
      <c r="AS28" s="20" t="n">
        <v>747.17</v>
      </c>
      <c r="AT28" s="20" t="n">
        <v>747.17</v>
      </c>
      <c r="AU28" s="20" t="n">
        <v>747.17</v>
      </c>
      <c r="AV28" s="20" t="n">
        <v>747.17</v>
      </c>
      <c r="AW28" s="20" t="n">
        <v>747.17</v>
      </c>
      <c r="AX28" s="20" t="n">
        <v>747.17</v>
      </c>
      <c r="AY28" s="20" t="n">
        <v>747.17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0</v>
      </c>
      <c r="O29" s="19" t="n">
        <v>0</v>
      </c>
      <c r="P29" s="19" t="n">
        <v>0</v>
      </c>
      <c r="Q29" s="19" t="n">
        <v>0</v>
      </c>
      <c r="R29" s="19" t="n">
        <v>0</v>
      </c>
      <c r="S29" s="19" t="n">
        <v>0</v>
      </c>
      <c r="T29" s="83" t="n">
        <v>0</v>
      </c>
      <c r="U29" s="83" t="n">
        <v>0</v>
      </c>
      <c r="V29" s="83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>601006 General Marketing (incl Affiliate, PR, Trade Shows)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1370.24</v>
      </c>
      <c r="M30" s="19" t="n">
        <v>501.99</v>
      </c>
      <c r="N30" s="19" t="n">
        <v>0</v>
      </c>
      <c r="O30" s="19" t="n">
        <v>549.5599999999999</v>
      </c>
      <c r="P30" s="19" t="n">
        <v>0</v>
      </c>
      <c r="Q30" s="19" t="n">
        <v>0</v>
      </c>
      <c r="R30" s="19" t="n">
        <v>0</v>
      </c>
      <c r="S30" s="19" t="n">
        <v>0</v>
      </c>
      <c r="T30" s="83" t="n">
        <v>0</v>
      </c>
      <c r="U30" s="83" t="n">
        <v>165.84</v>
      </c>
      <c r="V30" s="83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  <c r="Q31" s="19" t="n">
        <v>0</v>
      </c>
      <c r="R31" s="19" t="n">
        <v>0</v>
      </c>
      <c r="S31" s="19" t="n">
        <v>0</v>
      </c>
      <c r="T31" s="83" t="n">
        <v>0</v>
      </c>
      <c r="U31" s="83" t="n">
        <v>0</v>
      </c>
      <c r="V31" s="83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83" t="n">
        <v>0</v>
      </c>
      <c r="U32" s="83" t="n">
        <v>0</v>
      </c>
      <c r="V32" s="83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>
        <f>SUM(D28:D32)</f>
        <v/>
      </c>
      <c r="E33" s="35">
        <f>SUM(E28:E32)</f>
        <v/>
      </c>
      <c r="F33" s="35">
        <f>SUM(F28:F32)</f>
        <v/>
      </c>
      <c r="G33" s="35">
        <f>SUM(G28:G32)</f>
        <v/>
      </c>
      <c r="H33" s="35">
        <f>SUM(H28:H32)</f>
        <v/>
      </c>
      <c r="I33" s="35">
        <f>SUM(I28:I32)</f>
        <v/>
      </c>
      <c r="J33" s="35">
        <f>SUM(J28:J32)</f>
        <v/>
      </c>
      <c r="K33" s="35">
        <f>SUM(K28:K32)</f>
        <v/>
      </c>
      <c r="L33" s="35">
        <f>SUM(L28:L32)</f>
        <v/>
      </c>
      <c r="M33" s="35">
        <f>SUM(M28:M32)</f>
        <v/>
      </c>
      <c r="N33" s="35">
        <f>SUM(N28:N32)</f>
        <v/>
      </c>
      <c r="O33" s="35">
        <f>SUM(O28:O32)</f>
        <v/>
      </c>
      <c r="P33" s="35">
        <f>P28+P29+P30+P31+P32</f>
        <v/>
      </c>
      <c r="Q33" s="35">
        <f>Q28+Q29+Q30+Q31+Q32</f>
        <v/>
      </c>
      <c r="R33" s="35">
        <f>R28+R29+R30+R31+R32</f>
        <v/>
      </c>
      <c r="S33" s="35">
        <f>S28+S29+S30+S31+S32</f>
        <v/>
      </c>
      <c r="T33" s="84">
        <f>T28+T29+T30+T31+T32</f>
        <v/>
      </c>
      <c r="U33" s="84">
        <f>U28+U29+U30+U31+U32</f>
        <v/>
      </c>
      <c r="V33" s="84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>602001 Wages (incl 1099 &amp; Bonus)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1885.71</v>
      </c>
      <c r="L34" s="19" t="n">
        <v>20414.54</v>
      </c>
      <c r="M34" s="19" t="n">
        <v>27081.18</v>
      </c>
      <c r="N34" s="19" t="n">
        <v>24050.67</v>
      </c>
      <c r="O34" s="19" t="n">
        <v>21022.27</v>
      </c>
      <c r="P34" s="19" t="n">
        <v>19792.41</v>
      </c>
      <c r="Q34" s="19" t="n">
        <v>21148.5</v>
      </c>
      <c r="R34" s="19" t="n">
        <v>23707.86</v>
      </c>
      <c r="S34" s="19" t="n">
        <v>21562.97</v>
      </c>
      <c r="T34" s="83" t="n">
        <v>20830.99</v>
      </c>
      <c r="U34" s="83" t="n">
        <v>24856.17</v>
      </c>
      <c r="V34" s="83" t="n">
        <v>25311.33</v>
      </c>
      <c r="W34" s="20" t="n">
        <v>19254.44</v>
      </c>
      <c r="X34" s="20" t="n">
        <v>20091.59</v>
      </c>
      <c r="Y34" s="20" t="n">
        <v>21765.89</v>
      </c>
      <c r="Z34" s="20" t="n">
        <v>22603.04</v>
      </c>
      <c r="AA34" s="20" t="n">
        <v>21765.89</v>
      </c>
      <c r="AB34" s="20" t="n">
        <v>21765.89</v>
      </c>
      <c r="AC34" s="20" t="n">
        <v>24277.34</v>
      </c>
      <c r="AD34" s="20" t="n">
        <v>22603.04</v>
      </c>
      <c r="AE34" s="20" t="n">
        <v>22022.61</v>
      </c>
      <c r="AF34" s="20" t="n">
        <v>21786.79</v>
      </c>
      <c r="AG34" s="20" t="n">
        <v>21760.62</v>
      </c>
      <c r="AH34" s="20" t="n">
        <v>25464.53</v>
      </c>
      <c r="AI34" s="20" t="n">
        <v>30068.98</v>
      </c>
      <c r="AJ34" s="20" t="n">
        <v>30715.76</v>
      </c>
      <c r="AK34" s="20" t="n">
        <v>29176.34</v>
      </c>
      <c r="AL34" s="20" t="n">
        <v>28512.63</v>
      </c>
      <c r="AM34" s="20" t="n">
        <v>28358.26</v>
      </c>
      <c r="AN34" s="20" t="n">
        <v>21765.89</v>
      </c>
      <c r="AO34" s="20" t="n">
        <v>24277.34</v>
      </c>
      <c r="AP34" s="20" t="n">
        <v>22603.04</v>
      </c>
      <c r="AQ34" s="20" t="n">
        <v>22022.61</v>
      </c>
      <c r="AR34" s="20" t="n">
        <v>21786.79</v>
      </c>
      <c r="AS34" s="20" t="n">
        <v>21760.62</v>
      </c>
      <c r="AT34" s="20" t="n">
        <v>25464.53</v>
      </c>
      <c r="AU34" s="20" t="n">
        <v>30068.98</v>
      </c>
      <c r="AV34" s="20" t="n">
        <v>30715.76</v>
      </c>
      <c r="AW34" s="20" t="n">
        <v>29176.34</v>
      </c>
      <c r="AX34" s="20" t="n">
        <v>28512.63</v>
      </c>
      <c r="AY34" s="20" t="n">
        <v>28358.26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221.57</v>
      </c>
      <c r="L35" s="19" t="n">
        <v>1916.96</v>
      </c>
      <c r="M35" s="19" t="n">
        <v>2799.78</v>
      </c>
      <c r="N35" s="19" t="n">
        <v>2538.32</v>
      </c>
      <c r="O35" s="19" t="n">
        <v>2445.34</v>
      </c>
      <c r="P35" s="19" t="n">
        <v>3244.47</v>
      </c>
      <c r="Q35" s="19" t="n">
        <v>2155.86</v>
      </c>
      <c r="R35" s="19" t="n">
        <v>2294.08</v>
      </c>
      <c r="S35" s="19" t="n">
        <v>2133.96</v>
      </c>
      <c r="T35" s="83" t="n">
        <v>2004.64</v>
      </c>
      <c r="U35" s="83" t="n">
        <v>2219.32</v>
      </c>
      <c r="V35" s="83" t="n">
        <v>2233.37</v>
      </c>
      <c r="W35" s="20" t="n">
        <v>2195.06</v>
      </c>
      <c r="X35" s="20" t="n">
        <v>2290.5</v>
      </c>
      <c r="Y35" s="20" t="n">
        <v>2481.37</v>
      </c>
      <c r="Z35" s="20" t="n">
        <v>2576.81</v>
      </c>
      <c r="AA35" s="20" t="n">
        <v>2481.37</v>
      </c>
      <c r="AB35" s="20" t="n">
        <v>2481.37</v>
      </c>
      <c r="AC35" s="20" t="n">
        <v>2767.68</v>
      </c>
      <c r="AD35" s="20" t="n">
        <v>2576.81</v>
      </c>
      <c r="AE35" s="20" t="n">
        <v>2510.64</v>
      </c>
      <c r="AF35" s="20" t="n">
        <v>2483.75</v>
      </c>
      <c r="AG35" s="20" t="n">
        <v>2480.77</v>
      </c>
      <c r="AH35" s="20" t="n">
        <v>2903.02</v>
      </c>
      <c r="AI35" s="20" t="n">
        <v>3427.94</v>
      </c>
      <c r="AJ35" s="20" t="n">
        <v>3501.68</v>
      </c>
      <c r="AK35" s="20" t="n">
        <v>3326.18</v>
      </c>
      <c r="AL35" s="20" t="n">
        <v>3250.52</v>
      </c>
      <c r="AM35" s="20" t="n">
        <v>3232.92</v>
      </c>
      <c r="AN35" s="20" t="n">
        <v>2481.37</v>
      </c>
      <c r="AO35" s="20" t="n">
        <v>2767.68</v>
      </c>
      <c r="AP35" s="20" t="n">
        <v>2576.81</v>
      </c>
      <c r="AQ35" s="20" t="n">
        <v>2510.64</v>
      </c>
      <c r="AR35" s="20" t="n">
        <v>2483.75</v>
      </c>
      <c r="AS35" s="20" t="n">
        <v>2480.77</v>
      </c>
      <c r="AT35" s="20" t="n">
        <v>2903.02</v>
      </c>
      <c r="AU35" s="20" t="n">
        <v>3427.94</v>
      </c>
      <c r="AV35" s="20" t="n">
        <v>3501.68</v>
      </c>
      <c r="AW35" s="20" t="n">
        <v>3326.18</v>
      </c>
      <c r="AX35" s="20" t="n">
        <v>3250.52</v>
      </c>
      <c r="AY35" s="20" t="n">
        <v>3232.92</v>
      </c>
    </row>
    <row r="36">
      <c r="B36" s="33" t="inlineStr">
        <is>
          <t>602005 Employee Benefits (incl Workers Comp)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65.3</v>
      </c>
      <c r="M36" s="19" t="n">
        <v>697.59</v>
      </c>
      <c r="N36" s="19" t="n">
        <v>372.01</v>
      </c>
      <c r="O36" s="19" t="n">
        <v>100.52</v>
      </c>
      <c r="P36" s="19" t="n">
        <v>362.04</v>
      </c>
      <c r="Q36" s="19" t="n">
        <v>867.02</v>
      </c>
      <c r="R36" s="19" t="n">
        <v>756.24</v>
      </c>
      <c r="S36" s="19" t="n">
        <v>647.73</v>
      </c>
      <c r="T36" s="83" t="n">
        <v>737.5</v>
      </c>
      <c r="U36" s="83" t="n">
        <v>749.87</v>
      </c>
      <c r="V36" s="83" t="n">
        <v>522.66</v>
      </c>
      <c r="W36" s="20" t="n">
        <v>570.1900000000001</v>
      </c>
      <c r="X36" s="20" t="n">
        <v>594.98</v>
      </c>
      <c r="Y36" s="20" t="n">
        <v>644.5599999999999</v>
      </c>
      <c r="Z36" s="20" t="n">
        <v>669.35</v>
      </c>
      <c r="AA36" s="20" t="n">
        <v>644.5599999999999</v>
      </c>
      <c r="AB36" s="20" t="n">
        <v>644.5599999999999</v>
      </c>
      <c r="AC36" s="20" t="n">
        <v>718.9400000000001</v>
      </c>
      <c r="AD36" s="20" t="n">
        <v>669.35</v>
      </c>
      <c r="AE36" s="20" t="n">
        <v>652.17</v>
      </c>
      <c r="AF36" s="20" t="n">
        <v>645.1799999999999</v>
      </c>
      <c r="AG36" s="20" t="n">
        <v>644.41</v>
      </c>
      <c r="AH36" s="20" t="n">
        <v>754.09</v>
      </c>
      <c r="AI36" s="20" t="n">
        <v>890.45</v>
      </c>
      <c r="AJ36" s="20" t="n">
        <v>909.6</v>
      </c>
      <c r="AK36" s="20" t="n">
        <v>864.01</v>
      </c>
      <c r="AL36" s="20" t="n">
        <v>844.36</v>
      </c>
      <c r="AM36" s="20" t="n">
        <v>839.79</v>
      </c>
      <c r="AN36" s="20" t="n">
        <v>644.5599999999999</v>
      </c>
      <c r="AO36" s="20" t="n">
        <v>718.9400000000001</v>
      </c>
      <c r="AP36" s="20" t="n">
        <v>669.35</v>
      </c>
      <c r="AQ36" s="20" t="n">
        <v>652.17</v>
      </c>
      <c r="AR36" s="20" t="n">
        <v>645.1799999999999</v>
      </c>
      <c r="AS36" s="20" t="n">
        <v>644.41</v>
      </c>
      <c r="AT36" s="20" t="n">
        <v>754.09</v>
      </c>
      <c r="AU36" s="20" t="n">
        <v>890.45</v>
      </c>
      <c r="AV36" s="20" t="n">
        <v>909.6</v>
      </c>
      <c r="AW36" s="20" t="n">
        <v>864.01</v>
      </c>
      <c r="AX36" s="20" t="n">
        <v>844.36</v>
      </c>
      <c r="AY36" s="20" t="n">
        <v>839.79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683.48</v>
      </c>
      <c r="M37" s="19" t="n">
        <v>618.5599999999999</v>
      </c>
      <c r="N37" s="19" t="n">
        <v>635.6799999999999</v>
      </c>
      <c r="O37" s="19" t="n">
        <v>774.21</v>
      </c>
      <c r="P37" s="19" t="n">
        <v>676.22</v>
      </c>
      <c r="Q37" s="19" t="n">
        <v>1136.79</v>
      </c>
      <c r="R37" s="19" t="n">
        <v>1540.85</v>
      </c>
      <c r="S37" s="19" t="n">
        <v>1035.47</v>
      </c>
      <c r="T37" s="83" t="n">
        <v>857.6799999999999</v>
      </c>
      <c r="U37" s="83" t="n">
        <v>1157.91</v>
      </c>
      <c r="V37" s="83" t="n">
        <v>1116.76</v>
      </c>
      <c r="W37" s="20" t="n">
        <v>980.3099999999999</v>
      </c>
      <c r="X37" s="20" t="n">
        <v>1022.93</v>
      </c>
      <c r="Y37" s="20" t="n">
        <v>1108.17</v>
      </c>
      <c r="Z37" s="20" t="n">
        <v>1150.8</v>
      </c>
      <c r="AA37" s="20" t="n">
        <v>1108.17</v>
      </c>
      <c r="AB37" s="20" t="n">
        <v>1108.17</v>
      </c>
      <c r="AC37" s="20" t="n">
        <v>1236.04</v>
      </c>
      <c r="AD37" s="20" t="n">
        <v>1150.8</v>
      </c>
      <c r="AE37" s="20" t="n">
        <v>1121.25</v>
      </c>
      <c r="AF37" s="20" t="n">
        <v>1109.24</v>
      </c>
      <c r="AG37" s="20" t="n">
        <v>1107.91</v>
      </c>
      <c r="AH37" s="20" t="n">
        <v>1296.48</v>
      </c>
      <c r="AI37" s="20" t="n">
        <v>1530.91</v>
      </c>
      <c r="AJ37" s="20" t="n">
        <v>1563.84</v>
      </c>
      <c r="AK37" s="20" t="n">
        <v>1485.47</v>
      </c>
      <c r="AL37" s="20" t="n">
        <v>1451.67</v>
      </c>
      <c r="AM37" s="20" t="n">
        <v>1443.81</v>
      </c>
      <c r="AN37" s="20" t="n">
        <v>1108.17</v>
      </c>
      <c r="AO37" s="20" t="n">
        <v>1236.04</v>
      </c>
      <c r="AP37" s="20" t="n">
        <v>1150.8</v>
      </c>
      <c r="AQ37" s="20" t="n">
        <v>1121.25</v>
      </c>
      <c r="AR37" s="20" t="n">
        <v>1109.24</v>
      </c>
      <c r="AS37" s="20" t="n">
        <v>1107.91</v>
      </c>
      <c r="AT37" s="20" t="n">
        <v>1296.48</v>
      </c>
      <c r="AU37" s="20" t="n">
        <v>1530.91</v>
      </c>
      <c r="AV37" s="20" t="n">
        <v>1563.84</v>
      </c>
      <c r="AW37" s="20" t="n">
        <v>1485.47</v>
      </c>
      <c r="AX37" s="20" t="n">
        <v>1451.67</v>
      </c>
      <c r="AY37" s="20" t="n">
        <v>1443.81</v>
      </c>
    </row>
    <row r="38">
      <c r="B38" s="32" t="inlineStr">
        <is>
          <t>Total Payroll</t>
        </is>
      </c>
      <c r="C38" s="34" t="n"/>
      <c r="D38" s="35">
        <f>SUM(D34:D37)</f>
        <v/>
      </c>
      <c r="E38" s="35">
        <f>SUM(E34:E37)</f>
        <v/>
      </c>
      <c r="F38" s="35">
        <f>SUM(F34:F37)</f>
        <v/>
      </c>
      <c r="G38" s="35">
        <f>SUM(G34:G37)</f>
        <v/>
      </c>
      <c r="H38" s="35">
        <f>SUM(H34:H37)</f>
        <v/>
      </c>
      <c r="I38" s="35">
        <f>SUM(I34:I37)</f>
        <v/>
      </c>
      <c r="J38" s="35">
        <f>SUM(J34:J37)</f>
        <v/>
      </c>
      <c r="K38" s="35">
        <f>SUM(K34:K37)</f>
        <v/>
      </c>
      <c r="L38" s="35">
        <f>SUM(L34:L37)</f>
        <v/>
      </c>
      <c r="M38" s="35">
        <f>SUM(M34:M37)</f>
        <v/>
      </c>
      <c r="N38" s="35">
        <f>SUM(N34:N37)</f>
        <v/>
      </c>
      <c r="O38" s="35">
        <f>SUM(O34:O37)</f>
        <v/>
      </c>
      <c r="P38" s="35">
        <f>P34+P35+P36+P37</f>
        <v/>
      </c>
      <c r="Q38" s="35">
        <f>Q34+Q35+Q36+Q37</f>
        <v/>
      </c>
      <c r="R38" s="35">
        <f>R34+R35+R36+R37</f>
        <v/>
      </c>
      <c r="S38" s="35">
        <f>S34+S35+S36+S37</f>
        <v/>
      </c>
      <c r="T38" s="84">
        <f>T34+T35+T36+T37</f>
        <v/>
      </c>
      <c r="U38" s="84">
        <f>U34+U35+U36+U37</f>
        <v/>
      </c>
      <c r="V38" s="84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1228</v>
      </c>
      <c r="L39" s="19" t="n">
        <v>956.25</v>
      </c>
      <c r="M39" s="19" t="n">
        <v>769.89</v>
      </c>
      <c r="N39" s="19" t="n">
        <v>791.49</v>
      </c>
      <c r="O39" s="19" t="n">
        <v>948.6799999999999</v>
      </c>
      <c r="P39" s="19" t="n">
        <v>910.98</v>
      </c>
      <c r="Q39" s="19" t="n">
        <v>1253.44</v>
      </c>
      <c r="R39" s="19" t="n">
        <v>881.08</v>
      </c>
      <c r="S39" s="19" t="n">
        <v>1632.5</v>
      </c>
      <c r="T39" s="83" t="n">
        <v>1223.66</v>
      </c>
      <c r="U39" s="83" t="n">
        <v>918.66</v>
      </c>
      <c r="V39" s="83" t="n">
        <v>976.26</v>
      </c>
      <c r="W39" s="20" t="n">
        <v>903.34</v>
      </c>
      <c r="X39" s="20" t="n">
        <v>903.34</v>
      </c>
      <c r="Y39" s="20" t="n">
        <v>903.34</v>
      </c>
      <c r="Z39" s="20" t="n">
        <v>903.34</v>
      </c>
      <c r="AA39" s="20" t="n">
        <v>903.34</v>
      </c>
      <c r="AB39" s="20" t="n">
        <v>903.34</v>
      </c>
      <c r="AC39" s="20" t="n">
        <v>903.34</v>
      </c>
      <c r="AD39" s="20" t="n">
        <v>903.34</v>
      </c>
      <c r="AE39" s="20" t="n">
        <v>903.34</v>
      </c>
      <c r="AF39" s="20" t="n">
        <v>903.34</v>
      </c>
      <c r="AG39" s="20" t="n">
        <v>903.34</v>
      </c>
      <c r="AH39" s="20" t="n">
        <v>903.34</v>
      </c>
      <c r="AI39" s="20" t="n">
        <v>903.34</v>
      </c>
      <c r="AJ39" s="20" t="n">
        <v>903.34</v>
      </c>
      <c r="AK39" s="20" t="n">
        <v>903.34</v>
      </c>
      <c r="AL39" s="20" t="n">
        <v>903.34</v>
      </c>
      <c r="AM39" s="20" t="n">
        <v>903.34</v>
      </c>
      <c r="AN39" s="20" t="n">
        <v>903.34</v>
      </c>
      <c r="AO39" s="20" t="n">
        <v>903.34</v>
      </c>
      <c r="AP39" s="20" t="n">
        <v>903.34</v>
      </c>
      <c r="AQ39" s="20" t="n">
        <v>903.34</v>
      </c>
      <c r="AR39" s="20" t="n">
        <v>903.34</v>
      </c>
      <c r="AS39" s="20" t="n">
        <v>903.34</v>
      </c>
      <c r="AT39" s="20" t="n">
        <v>903.34</v>
      </c>
      <c r="AU39" s="20" t="n">
        <v>903.34</v>
      </c>
      <c r="AV39" s="20" t="n">
        <v>903.34</v>
      </c>
      <c r="AW39" s="20" t="n">
        <v>903.34</v>
      </c>
      <c r="AX39" s="20" t="n">
        <v>903.34</v>
      </c>
      <c r="AY39" s="20" t="n">
        <v>903.34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363.58</v>
      </c>
      <c r="L40" s="19" t="n">
        <v>1526.84</v>
      </c>
      <c r="M40" s="19" t="n">
        <v>2684.45</v>
      </c>
      <c r="N40" s="19" t="n">
        <v>107.45</v>
      </c>
      <c r="O40" s="19" t="n">
        <v>107.45</v>
      </c>
      <c r="P40" s="19" t="n">
        <v>314.75</v>
      </c>
      <c r="Q40" s="19" t="n">
        <v>314.75</v>
      </c>
      <c r="R40" s="19" t="n">
        <v>612.95</v>
      </c>
      <c r="S40" s="19" t="n">
        <v>505.5</v>
      </c>
      <c r="T40" s="83" t="n">
        <v>294.83</v>
      </c>
      <c r="U40" s="83" t="n">
        <v>290.82</v>
      </c>
      <c r="V40" s="83" t="n">
        <v>290.82</v>
      </c>
      <c r="W40" s="20" t="n">
        <v>423.7</v>
      </c>
      <c r="X40" s="20" t="n">
        <v>423.7</v>
      </c>
      <c r="Y40" s="20" t="n">
        <v>423.7</v>
      </c>
      <c r="Z40" s="20" t="n">
        <v>423.7</v>
      </c>
      <c r="AA40" s="20" t="n">
        <v>423.7</v>
      </c>
      <c r="AB40" s="20" t="n">
        <v>423.7</v>
      </c>
      <c r="AC40" s="20" t="n">
        <v>423.7</v>
      </c>
      <c r="AD40" s="20" t="n">
        <v>423.7</v>
      </c>
      <c r="AE40" s="20" t="n">
        <v>423.7</v>
      </c>
      <c r="AF40" s="20" t="n">
        <v>423.7</v>
      </c>
      <c r="AG40" s="20" t="n">
        <v>423.7</v>
      </c>
      <c r="AH40" s="20" t="n">
        <v>423.7</v>
      </c>
      <c r="AI40" s="20" t="n">
        <v>423.7</v>
      </c>
      <c r="AJ40" s="20" t="n">
        <v>423.7</v>
      </c>
      <c r="AK40" s="20" t="n">
        <v>423.7</v>
      </c>
      <c r="AL40" s="20" t="n">
        <v>423.7</v>
      </c>
      <c r="AM40" s="20" t="n">
        <v>423.7</v>
      </c>
      <c r="AN40" s="20" t="n">
        <v>423.7</v>
      </c>
      <c r="AO40" s="20" t="n">
        <v>423.7</v>
      </c>
      <c r="AP40" s="20" t="n">
        <v>423.7</v>
      </c>
      <c r="AQ40" s="20" t="n">
        <v>423.7</v>
      </c>
      <c r="AR40" s="20" t="n">
        <v>423.7</v>
      </c>
      <c r="AS40" s="20" t="n">
        <v>423.7</v>
      </c>
      <c r="AT40" s="20" t="n">
        <v>423.7</v>
      </c>
      <c r="AU40" s="20" t="n">
        <v>423.7</v>
      </c>
      <c r="AV40" s="20" t="n">
        <v>423.7</v>
      </c>
      <c r="AW40" s="20" t="n">
        <v>423.7</v>
      </c>
      <c r="AX40" s="20" t="n">
        <v>423.7</v>
      </c>
      <c r="AY40" s="20" t="n">
        <v>423.7</v>
      </c>
    </row>
    <row r="41">
      <c r="B41" s="33" t="inlineStr">
        <is>
          <t>610000 Office Supplies &amp; GE (incl Licenses, Furniture, Shipping, Bank Fees, Start-Up Costs)</t>
        </is>
      </c>
      <c r="D41" s="19" t="n">
        <v>0</v>
      </c>
      <c r="E41" s="19" t="n">
        <v>0</v>
      </c>
      <c r="F41" s="19" t="n">
        <v>0</v>
      </c>
      <c r="G41" s="19" t="n">
        <v>0</v>
      </c>
      <c r="H41" s="19" t="n">
        <v>0</v>
      </c>
      <c r="I41" s="19" t="n">
        <v>7162.5</v>
      </c>
      <c r="J41" s="19" t="n">
        <v>1130.78</v>
      </c>
      <c r="K41" s="19" t="n">
        <v>2477.17</v>
      </c>
      <c r="L41" s="19" t="n">
        <v>9541.889999999999</v>
      </c>
      <c r="M41" s="19" t="n">
        <v>7556.55</v>
      </c>
      <c r="N41" s="19" t="n">
        <v>2579.42</v>
      </c>
      <c r="O41" s="19" t="n">
        <v>1068.13</v>
      </c>
      <c r="P41" s="19" t="n">
        <v>601.0599999999999</v>
      </c>
      <c r="Q41" s="19" t="n">
        <v>800.64</v>
      </c>
      <c r="R41" s="19" t="n">
        <v>888.26</v>
      </c>
      <c r="S41" s="19" t="n">
        <v>623.1900000000001</v>
      </c>
      <c r="T41" s="83" t="n">
        <v>1424.17</v>
      </c>
      <c r="U41" s="83" t="n">
        <v>970.13</v>
      </c>
      <c r="V41" s="83" t="n">
        <v>798.11</v>
      </c>
      <c r="W41" s="20" t="n">
        <v>499.75</v>
      </c>
      <c r="X41" s="20" t="n">
        <v>499.75</v>
      </c>
      <c r="Y41" s="20" t="n">
        <v>499.75</v>
      </c>
      <c r="Z41" s="20" t="n">
        <v>499.75</v>
      </c>
      <c r="AA41" s="20" t="n">
        <v>499.75</v>
      </c>
      <c r="AB41" s="20" t="n">
        <v>499.75</v>
      </c>
      <c r="AC41" s="20" t="n">
        <v>499.75</v>
      </c>
      <c r="AD41" s="20" t="n">
        <v>499.75</v>
      </c>
      <c r="AE41" s="20" t="n">
        <v>499.75</v>
      </c>
      <c r="AF41" s="20" t="n">
        <v>499.75</v>
      </c>
      <c r="AG41" s="20" t="n">
        <v>499.75</v>
      </c>
      <c r="AH41" s="20" t="n">
        <v>499.75</v>
      </c>
      <c r="AI41" s="20" t="n">
        <v>499.75</v>
      </c>
      <c r="AJ41" s="20" t="n">
        <v>499.75</v>
      </c>
      <c r="AK41" s="20" t="n">
        <v>499.75</v>
      </c>
      <c r="AL41" s="20" t="n">
        <v>499.75</v>
      </c>
      <c r="AM41" s="20" t="n">
        <v>499.75</v>
      </c>
      <c r="AN41" s="20" t="n">
        <v>499.75</v>
      </c>
      <c r="AO41" s="20" t="n">
        <v>499.75</v>
      </c>
      <c r="AP41" s="20" t="n">
        <v>499.75</v>
      </c>
      <c r="AQ41" s="20" t="n">
        <v>499.75</v>
      </c>
      <c r="AR41" s="20" t="n">
        <v>499.75</v>
      </c>
      <c r="AS41" s="20" t="n">
        <v>499.75</v>
      </c>
      <c r="AT41" s="20" t="n">
        <v>499.75</v>
      </c>
      <c r="AU41" s="20" t="n">
        <v>499.75</v>
      </c>
      <c r="AV41" s="20" t="n">
        <v>499.75</v>
      </c>
      <c r="AW41" s="20" t="n">
        <v>499.75</v>
      </c>
      <c r="AX41" s="20" t="n">
        <v>499.75</v>
      </c>
      <c r="AY41" s="20" t="n">
        <v>499.75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3" t="n">
        <v>0</v>
      </c>
      <c r="U43" s="83" t="n">
        <v>0</v>
      </c>
      <c r="V43" s="83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800</v>
      </c>
      <c r="L44" s="19" t="n">
        <v>29.87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880</v>
      </c>
      <c r="S44" s="19" t="n">
        <v>2870</v>
      </c>
      <c r="T44" s="83" t="n">
        <v>1116.82</v>
      </c>
      <c r="U44" s="83" t="n">
        <v>0</v>
      </c>
      <c r="V44" s="83" t="n">
        <v>0</v>
      </c>
      <c r="W44" s="20" t="n">
        <v>341.86</v>
      </c>
      <c r="X44" s="20" t="n">
        <v>341.86</v>
      </c>
      <c r="Y44" s="20" t="n">
        <v>341.86</v>
      </c>
      <c r="Z44" s="20" t="n">
        <v>341.86</v>
      </c>
      <c r="AA44" s="20" t="n">
        <v>341.86</v>
      </c>
      <c r="AB44" s="20" t="n">
        <v>341.86</v>
      </c>
      <c r="AC44" s="20" t="n">
        <v>341.86</v>
      </c>
      <c r="AD44" s="20" t="n">
        <v>341.86</v>
      </c>
      <c r="AE44" s="20" t="n">
        <v>341.86</v>
      </c>
      <c r="AF44" s="20" t="n">
        <v>341.86</v>
      </c>
      <c r="AG44" s="20" t="n">
        <v>341.86</v>
      </c>
      <c r="AH44" s="20" t="n">
        <v>341.86</v>
      </c>
      <c r="AI44" s="20" t="n">
        <v>341.86</v>
      </c>
      <c r="AJ44" s="20" t="n">
        <v>341.86</v>
      </c>
      <c r="AK44" s="20" t="n">
        <v>341.86</v>
      </c>
      <c r="AL44" s="20" t="n">
        <v>341.86</v>
      </c>
      <c r="AM44" s="20" t="n">
        <v>341.86</v>
      </c>
      <c r="AN44" s="20" t="n">
        <v>341.86</v>
      </c>
      <c r="AO44" s="20" t="n">
        <v>341.86</v>
      </c>
      <c r="AP44" s="20" t="n">
        <v>341.86</v>
      </c>
      <c r="AQ44" s="20" t="n">
        <v>341.86</v>
      </c>
      <c r="AR44" s="20" t="n">
        <v>341.86</v>
      </c>
      <c r="AS44" s="20" t="n">
        <v>341.86</v>
      </c>
      <c r="AT44" s="20" t="n">
        <v>341.86</v>
      </c>
      <c r="AU44" s="20" t="n">
        <v>341.86</v>
      </c>
      <c r="AV44" s="20" t="n">
        <v>341.86</v>
      </c>
      <c r="AW44" s="20" t="n">
        <v>341.86</v>
      </c>
      <c r="AX44" s="20" t="n">
        <v>341.86</v>
      </c>
      <c r="AY44" s="20" t="n">
        <v>341.86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3" t="n">
        <v>0</v>
      </c>
      <c r="U45" s="83" t="n">
        <v>0</v>
      </c>
      <c r="V45" s="83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481</v>
      </c>
      <c r="N46" s="19" t="n">
        <v>1093.5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3" t="n">
        <v>516</v>
      </c>
      <c r="U46" s="83" t="n">
        <v>516</v>
      </c>
      <c r="V46" s="83" t="n">
        <v>516</v>
      </c>
      <c r="W46" s="20" t="n">
        <v>174.14</v>
      </c>
      <c r="X46" s="20" t="n">
        <v>174.14</v>
      </c>
      <c r="Y46" s="20" t="n">
        <v>174.14</v>
      </c>
      <c r="Z46" s="20" t="n">
        <v>174.14</v>
      </c>
      <c r="AA46" s="20" t="n">
        <v>174.14</v>
      </c>
      <c r="AB46" s="20" t="n">
        <v>174.14</v>
      </c>
      <c r="AC46" s="20" t="n">
        <v>174.14</v>
      </c>
      <c r="AD46" s="20" t="n">
        <v>174.14</v>
      </c>
      <c r="AE46" s="20" t="n">
        <v>174.14</v>
      </c>
      <c r="AF46" s="20" t="n">
        <v>174.14</v>
      </c>
      <c r="AG46" s="20" t="n">
        <v>174.14</v>
      </c>
      <c r="AH46" s="20" t="n">
        <v>174.14</v>
      </c>
      <c r="AI46" s="20" t="n">
        <v>174.14</v>
      </c>
      <c r="AJ46" s="20" t="n">
        <v>174.14</v>
      </c>
      <c r="AK46" s="20" t="n">
        <v>174.14</v>
      </c>
      <c r="AL46" s="20" t="n">
        <v>174.14</v>
      </c>
      <c r="AM46" s="20" t="n">
        <v>174.14</v>
      </c>
      <c r="AN46" s="20" t="n">
        <v>174.14</v>
      </c>
      <c r="AO46" s="20" t="n">
        <v>174.14</v>
      </c>
      <c r="AP46" s="20" t="n">
        <v>174.14</v>
      </c>
      <c r="AQ46" s="20" t="n">
        <v>174.14</v>
      </c>
      <c r="AR46" s="20" t="n">
        <v>174.14</v>
      </c>
      <c r="AS46" s="20" t="n">
        <v>174.14</v>
      </c>
      <c r="AT46" s="20" t="n">
        <v>174.14</v>
      </c>
      <c r="AU46" s="20" t="n">
        <v>174.14</v>
      </c>
      <c r="AV46" s="20" t="n">
        <v>174.14</v>
      </c>
      <c r="AW46" s="20" t="n">
        <v>174.14</v>
      </c>
      <c r="AX46" s="20" t="n">
        <v>174.14</v>
      </c>
      <c r="AY46" s="20" t="n">
        <v>174.14</v>
      </c>
    </row>
    <row r="47">
      <c r="B47" s="32" t="inlineStr">
        <is>
          <t>Total Professional Fees</t>
        </is>
      </c>
      <c r="C47" s="34" t="n"/>
      <c r="D47" s="35">
        <f>SUM(D43:D46)</f>
        <v/>
      </c>
      <c r="E47" s="35">
        <f>SUM(E43:E46)</f>
        <v/>
      </c>
      <c r="F47" s="35">
        <f>SUM(F43:F46)</f>
        <v/>
      </c>
      <c r="G47" s="35">
        <f>SUM(G43:G46)</f>
        <v/>
      </c>
      <c r="H47" s="35">
        <f>SUM(H43:H46)</f>
        <v/>
      </c>
      <c r="I47" s="35">
        <f>SUM(I43:I46)</f>
        <v/>
      </c>
      <c r="J47" s="35">
        <f>SUM(J43:J46)</f>
        <v/>
      </c>
      <c r="K47" s="35">
        <f>SUM(K43:K46)</f>
        <v/>
      </c>
      <c r="L47" s="35">
        <f>SUM(L43:L46)</f>
        <v/>
      </c>
      <c r="M47" s="35">
        <f>SUM(M43:M46)</f>
        <v/>
      </c>
      <c r="N47" s="35">
        <f>SUM(N43:N46)</f>
        <v/>
      </c>
      <c r="O47" s="35">
        <f>SUM(O43:O46)</f>
        <v/>
      </c>
      <c r="P47" s="35">
        <f>P43+P44+P45+P46</f>
        <v/>
      </c>
      <c r="Q47" s="35">
        <f>Q43+Q44+Q45+Q46</f>
        <v/>
      </c>
      <c r="R47" s="35">
        <f>R43+R44+R45+R46</f>
        <v/>
      </c>
      <c r="S47" s="35">
        <f>S43+S44+S45+S46</f>
        <v/>
      </c>
      <c r="T47" s="84">
        <f>T43+T44+T45+T46</f>
        <v/>
      </c>
      <c r="U47" s="84">
        <f>U43+U44+U45+U46</f>
        <v/>
      </c>
      <c r="V47" s="84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>
        <v>0</v>
      </c>
      <c r="E48" s="19" t="n">
        <v>0</v>
      </c>
      <c r="F48" s="19" t="n">
        <v>0</v>
      </c>
      <c r="G48" s="19" t="n">
        <v>0</v>
      </c>
      <c r="H48" s="19" t="n">
        <v>0</v>
      </c>
      <c r="I48" s="19" t="n">
        <v>1977.15</v>
      </c>
      <c r="J48" s="19" t="n">
        <v>1248.84</v>
      </c>
      <c r="K48" s="19" t="n">
        <v>0</v>
      </c>
      <c r="L48" s="19" t="n">
        <v>3928.66</v>
      </c>
      <c r="M48" s="19" t="n">
        <v>1200.11</v>
      </c>
      <c r="N48" s="19" t="n">
        <v>485.68</v>
      </c>
      <c r="O48" s="19" t="n">
        <v>477.48</v>
      </c>
      <c r="P48" s="19" t="n">
        <v>420.63</v>
      </c>
      <c r="Q48" s="19" t="n">
        <v>159.5</v>
      </c>
      <c r="R48" s="19" t="n">
        <v>271.5</v>
      </c>
      <c r="S48" s="19" t="n">
        <v>470.7</v>
      </c>
      <c r="T48" s="83" t="n">
        <v>447.86</v>
      </c>
      <c r="U48" s="83" t="n">
        <v>392</v>
      </c>
      <c r="V48" s="83" t="n">
        <v>0</v>
      </c>
      <c r="W48" s="20" t="n">
        <v>340.41</v>
      </c>
      <c r="X48" s="20" t="n">
        <v>340.41</v>
      </c>
      <c r="Y48" s="20" t="n">
        <v>340.41</v>
      </c>
      <c r="Z48" s="20" t="n">
        <v>340.41</v>
      </c>
      <c r="AA48" s="20" t="n">
        <v>340.41</v>
      </c>
      <c r="AB48" s="20" t="n">
        <v>340.41</v>
      </c>
      <c r="AC48" s="20" t="n">
        <v>340.41</v>
      </c>
      <c r="AD48" s="20" t="n">
        <v>340.41</v>
      </c>
      <c r="AE48" s="20" t="n">
        <v>340.41</v>
      </c>
      <c r="AF48" s="20" t="n">
        <v>340.41</v>
      </c>
      <c r="AG48" s="20" t="n">
        <v>340.41</v>
      </c>
      <c r="AH48" s="20" t="n">
        <v>340.41</v>
      </c>
      <c r="AI48" s="20" t="n">
        <v>340.41</v>
      </c>
      <c r="AJ48" s="20" t="n">
        <v>340.41</v>
      </c>
      <c r="AK48" s="20" t="n">
        <v>340.41</v>
      </c>
      <c r="AL48" s="20" t="n">
        <v>340.41</v>
      </c>
      <c r="AM48" s="20" t="n">
        <v>340.41</v>
      </c>
      <c r="AN48" s="20" t="n">
        <v>340.41</v>
      </c>
      <c r="AO48" s="20" t="n">
        <v>340.41</v>
      </c>
      <c r="AP48" s="20" t="n">
        <v>340.41</v>
      </c>
      <c r="AQ48" s="20" t="n">
        <v>340.41</v>
      </c>
      <c r="AR48" s="20" t="n">
        <v>340.41</v>
      </c>
      <c r="AS48" s="20" t="n">
        <v>340.41</v>
      </c>
      <c r="AT48" s="20" t="n">
        <v>340.41</v>
      </c>
      <c r="AU48" s="20" t="n">
        <v>340.41</v>
      </c>
      <c r="AV48" s="20" t="n">
        <v>340.41</v>
      </c>
      <c r="AW48" s="20" t="n">
        <v>340.41</v>
      </c>
      <c r="AX48" s="20" t="n">
        <v>340.41</v>
      </c>
      <c r="AY48" s="20" t="n">
        <v>340.41</v>
      </c>
    </row>
    <row r="49">
      <c r="B49" s="33" t="inlineStr">
        <is>
          <t>606000 Meals (incl Entertainment)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0</v>
      </c>
      <c r="J49" s="19" t="n">
        <v>150.32</v>
      </c>
      <c r="K49" s="19" t="n">
        <v>0</v>
      </c>
      <c r="L49" s="19" t="n">
        <v>1160.57</v>
      </c>
      <c r="M49" s="19" t="n">
        <v>276.56</v>
      </c>
      <c r="N49" s="19" t="n">
        <v>178.87</v>
      </c>
      <c r="O49" s="19" t="n">
        <v>771.91</v>
      </c>
      <c r="P49" s="19" t="n">
        <v>0</v>
      </c>
      <c r="Q49" s="19" t="n">
        <v>43.24</v>
      </c>
      <c r="R49" s="19" t="n">
        <v>141.74</v>
      </c>
      <c r="S49" s="19" t="n">
        <v>31.6</v>
      </c>
      <c r="T49" s="83" t="n">
        <v>63.02</v>
      </c>
      <c r="U49" s="83" t="n">
        <v>80.64</v>
      </c>
      <c r="V49" s="83" t="n">
        <v>0</v>
      </c>
      <c r="W49" s="20" t="n">
        <v>80.22</v>
      </c>
      <c r="X49" s="20" t="n">
        <v>80.22</v>
      </c>
      <c r="Y49" s="20" t="n">
        <v>80.22</v>
      </c>
      <c r="Z49" s="20" t="n">
        <v>80.22</v>
      </c>
      <c r="AA49" s="20" t="n">
        <v>80.22</v>
      </c>
      <c r="AB49" s="20" t="n">
        <v>80.22</v>
      </c>
      <c r="AC49" s="20" t="n">
        <v>80.22</v>
      </c>
      <c r="AD49" s="20" t="n">
        <v>80.22</v>
      </c>
      <c r="AE49" s="20" t="n">
        <v>80.22</v>
      </c>
      <c r="AF49" s="20" t="n">
        <v>80.22</v>
      </c>
      <c r="AG49" s="20" t="n">
        <v>80.22</v>
      </c>
      <c r="AH49" s="20" t="n">
        <v>80.22</v>
      </c>
      <c r="AI49" s="20" t="n">
        <v>80.22</v>
      </c>
      <c r="AJ49" s="20" t="n">
        <v>80.22</v>
      </c>
      <c r="AK49" s="20" t="n">
        <v>80.22</v>
      </c>
      <c r="AL49" s="20" t="n">
        <v>80.22</v>
      </c>
      <c r="AM49" s="20" t="n">
        <v>80.22</v>
      </c>
      <c r="AN49" s="20" t="n">
        <v>80.22</v>
      </c>
      <c r="AO49" s="20" t="n">
        <v>80.22</v>
      </c>
      <c r="AP49" s="20" t="n">
        <v>80.22</v>
      </c>
      <c r="AQ49" s="20" t="n">
        <v>80.22</v>
      </c>
      <c r="AR49" s="20" t="n">
        <v>80.22</v>
      </c>
      <c r="AS49" s="20" t="n">
        <v>80.22</v>
      </c>
      <c r="AT49" s="20" t="n">
        <v>80.22</v>
      </c>
      <c r="AU49" s="20" t="n">
        <v>80.22</v>
      </c>
      <c r="AV49" s="20" t="n">
        <v>80.22</v>
      </c>
      <c r="AW49" s="20" t="n">
        <v>80.22</v>
      </c>
      <c r="AX49" s="20" t="n">
        <v>80.22</v>
      </c>
      <c r="AY49" s="20" t="n">
        <v>80.22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1342.56</v>
      </c>
      <c r="M51" s="19" t="n">
        <v>330.08</v>
      </c>
      <c r="N51" s="19" t="n">
        <v>331.87</v>
      </c>
      <c r="O51" s="19" t="n">
        <v>324.32</v>
      </c>
      <c r="P51" s="19" t="n">
        <v>347.43</v>
      </c>
      <c r="Q51" s="19" t="n">
        <v>327.14</v>
      </c>
      <c r="R51" s="19" t="n">
        <v>449.57</v>
      </c>
      <c r="S51" s="19" t="n">
        <v>414.77</v>
      </c>
      <c r="T51" s="83" t="n">
        <v>384.52</v>
      </c>
      <c r="U51" s="83" t="n">
        <v>433.56</v>
      </c>
      <c r="V51" s="83" t="n">
        <v>530.8200000000001</v>
      </c>
      <c r="W51" s="20" t="n">
        <v>389.78</v>
      </c>
      <c r="X51" s="20" t="n">
        <v>389.78</v>
      </c>
      <c r="Y51" s="20" t="n">
        <v>389.78</v>
      </c>
      <c r="Z51" s="20" t="n">
        <v>389.78</v>
      </c>
      <c r="AA51" s="20" t="n">
        <v>389.78</v>
      </c>
      <c r="AB51" s="20" t="n">
        <v>389.78</v>
      </c>
      <c r="AC51" s="20" t="n">
        <v>389.78</v>
      </c>
      <c r="AD51" s="20" t="n">
        <v>389.78</v>
      </c>
      <c r="AE51" s="20" t="n">
        <v>389.78</v>
      </c>
      <c r="AF51" s="20" t="n">
        <v>389.78</v>
      </c>
      <c r="AG51" s="20" t="n">
        <v>389.78</v>
      </c>
      <c r="AH51" s="20" t="n">
        <v>389.78</v>
      </c>
      <c r="AI51" s="20" t="n">
        <v>389.78</v>
      </c>
      <c r="AJ51" s="20" t="n">
        <v>389.78</v>
      </c>
      <c r="AK51" s="20" t="n">
        <v>389.78</v>
      </c>
      <c r="AL51" s="20" t="n">
        <v>389.78</v>
      </c>
      <c r="AM51" s="20" t="n">
        <v>389.78</v>
      </c>
      <c r="AN51" s="20" t="n">
        <v>389.78</v>
      </c>
      <c r="AO51" s="20" t="n">
        <v>389.78</v>
      </c>
      <c r="AP51" s="20" t="n">
        <v>389.78</v>
      </c>
      <c r="AQ51" s="20" t="n">
        <v>389.78</v>
      </c>
      <c r="AR51" s="20" t="n">
        <v>389.78</v>
      </c>
      <c r="AS51" s="20" t="n">
        <v>389.78</v>
      </c>
      <c r="AT51" s="20" t="n">
        <v>389.78</v>
      </c>
      <c r="AU51" s="20" t="n">
        <v>389.78</v>
      </c>
      <c r="AV51" s="20" t="n">
        <v>389.78</v>
      </c>
      <c r="AW51" s="20" t="n">
        <v>389.78</v>
      </c>
      <c r="AX51" s="20" t="n">
        <v>389.78</v>
      </c>
      <c r="AY51" s="20" t="n">
        <v>389.78</v>
      </c>
    </row>
    <row r="52">
      <c r="B52" s="33" t="inlineStr">
        <is>
          <t xml:space="preserve">  616002 Internet &amp; TV</t>
        </is>
      </c>
      <c r="D52" s="19" t="n">
        <v>0</v>
      </c>
      <c r="E52" s="19" t="n">
        <v>0</v>
      </c>
      <c r="F52" s="19" t="n">
        <v>0</v>
      </c>
      <c r="G52" s="19" t="n">
        <v>0</v>
      </c>
      <c r="H52" s="19" t="n">
        <v>0</v>
      </c>
      <c r="I52" s="19" t="n">
        <v>0</v>
      </c>
      <c r="J52" s="19" t="n">
        <v>0</v>
      </c>
      <c r="K52" s="19" t="n">
        <v>0</v>
      </c>
      <c r="L52" s="19" t="n">
        <v>0</v>
      </c>
      <c r="M52" s="19" t="n">
        <v>0</v>
      </c>
      <c r="N52" s="19" t="n">
        <v>121.24</v>
      </c>
      <c r="O52" s="19" t="n">
        <v>141.25</v>
      </c>
      <c r="P52" s="19" t="n">
        <v>81.25</v>
      </c>
      <c r="Q52" s="19" t="n">
        <v>93.09</v>
      </c>
      <c r="R52" s="19" t="n">
        <v>93.09</v>
      </c>
      <c r="S52" s="19" t="n">
        <v>93</v>
      </c>
      <c r="T52" s="83" t="n">
        <v>93</v>
      </c>
      <c r="U52" s="83" t="n">
        <v>93</v>
      </c>
      <c r="V52" s="83" t="n">
        <v>91.83</v>
      </c>
      <c r="W52" s="20" t="n">
        <v>91.29000000000001</v>
      </c>
      <c r="X52" s="20" t="n">
        <v>91.29000000000001</v>
      </c>
      <c r="Y52" s="20" t="n">
        <v>91.29000000000001</v>
      </c>
      <c r="Z52" s="20" t="n">
        <v>91.29000000000001</v>
      </c>
      <c r="AA52" s="20" t="n">
        <v>91.29000000000001</v>
      </c>
      <c r="AB52" s="20" t="n">
        <v>91.29000000000001</v>
      </c>
      <c r="AC52" s="20" t="n">
        <v>91.29000000000001</v>
      </c>
      <c r="AD52" s="20" t="n">
        <v>91.29000000000001</v>
      </c>
      <c r="AE52" s="20" t="n">
        <v>91.29000000000001</v>
      </c>
      <c r="AF52" s="20" t="n">
        <v>91.29000000000001</v>
      </c>
      <c r="AG52" s="20" t="n">
        <v>91.29000000000001</v>
      </c>
      <c r="AH52" s="20" t="n">
        <v>91.29000000000001</v>
      </c>
      <c r="AI52" s="20" t="n">
        <v>91.29000000000001</v>
      </c>
      <c r="AJ52" s="20" t="n">
        <v>91.29000000000001</v>
      </c>
      <c r="AK52" s="20" t="n">
        <v>91.29000000000001</v>
      </c>
      <c r="AL52" s="20" t="n">
        <v>91.29000000000001</v>
      </c>
      <c r="AM52" s="20" t="n">
        <v>91.29000000000001</v>
      </c>
      <c r="AN52" s="20" t="n">
        <v>91.29000000000001</v>
      </c>
      <c r="AO52" s="20" t="n">
        <v>91.29000000000001</v>
      </c>
      <c r="AP52" s="20" t="n">
        <v>91.29000000000001</v>
      </c>
      <c r="AQ52" s="20" t="n">
        <v>91.29000000000001</v>
      </c>
      <c r="AR52" s="20" t="n">
        <v>91.29000000000001</v>
      </c>
      <c r="AS52" s="20" t="n">
        <v>91.29000000000001</v>
      </c>
      <c r="AT52" s="20" t="n">
        <v>91.29000000000001</v>
      </c>
      <c r="AU52" s="20" t="n">
        <v>91.29000000000001</v>
      </c>
      <c r="AV52" s="20" t="n">
        <v>91.29000000000001</v>
      </c>
      <c r="AW52" s="20" t="n">
        <v>91.29000000000001</v>
      </c>
      <c r="AX52" s="20" t="n">
        <v>91.29000000000001</v>
      </c>
      <c r="AY52" s="20" t="n">
        <v>91.29000000000001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118.37</v>
      </c>
      <c r="N53" s="19" t="n">
        <v>118.38</v>
      </c>
      <c r="O53" s="19" t="n">
        <v>236.96</v>
      </c>
      <c r="P53" s="19" t="n">
        <v>150</v>
      </c>
      <c r="Q53" s="19" t="n">
        <v>149.97</v>
      </c>
      <c r="R53" s="19" t="n">
        <v>149.97</v>
      </c>
      <c r="S53" s="19" t="n">
        <v>150.52</v>
      </c>
      <c r="T53" s="83" t="n">
        <v>151.44</v>
      </c>
      <c r="U53" s="83" t="n">
        <v>151.46</v>
      </c>
      <c r="V53" s="83" t="n">
        <v>151.46</v>
      </c>
      <c r="W53" s="20" t="n">
        <v>152.09</v>
      </c>
      <c r="X53" s="20" t="n">
        <v>152.09</v>
      </c>
      <c r="Y53" s="20" t="n">
        <v>152.09</v>
      </c>
      <c r="Z53" s="20" t="n">
        <v>152.09</v>
      </c>
      <c r="AA53" s="20" t="n">
        <v>152.09</v>
      </c>
      <c r="AB53" s="20" t="n">
        <v>152.09</v>
      </c>
      <c r="AC53" s="20" t="n">
        <v>152.09</v>
      </c>
      <c r="AD53" s="20" t="n">
        <v>152.09</v>
      </c>
      <c r="AE53" s="20" t="n">
        <v>152.09</v>
      </c>
      <c r="AF53" s="20" t="n">
        <v>152.09</v>
      </c>
      <c r="AG53" s="20" t="n">
        <v>152.09</v>
      </c>
      <c r="AH53" s="20" t="n">
        <v>152.09</v>
      </c>
      <c r="AI53" s="20" t="n">
        <v>152.09</v>
      </c>
      <c r="AJ53" s="20" t="n">
        <v>152.09</v>
      </c>
      <c r="AK53" s="20" t="n">
        <v>152.09</v>
      </c>
      <c r="AL53" s="20" t="n">
        <v>152.09</v>
      </c>
      <c r="AM53" s="20" t="n">
        <v>152.09</v>
      </c>
      <c r="AN53" s="20" t="n">
        <v>152.09</v>
      </c>
      <c r="AO53" s="20" t="n">
        <v>152.09</v>
      </c>
      <c r="AP53" s="20" t="n">
        <v>152.09</v>
      </c>
      <c r="AQ53" s="20" t="n">
        <v>152.09</v>
      </c>
      <c r="AR53" s="20" t="n">
        <v>152.09</v>
      </c>
      <c r="AS53" s="20" t="n">
        <v>152.09</v>
      </c>
      <c r="AT53" s="20" t="n">
        <v>152.09</v>
      </c>
      <c r="AU53" s="20" t="n">
        <v>152.09</v>
      </c>
      <c r="AV53" s="20" t="n">
        <v>152.09</v>
      </c>
      <c r="AW53" s="20" t="n">
        <v>152.09</v>
      </c>
      <c r="AX53" s="20" t="n">
        <v>152.09</v>
      </c>
      <c r="AY53" s="20" t="n">
        <v>152.09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N54" s="19" t="n">
        <v>0</v>
      </c>
      <c r="O54" s="19" t="n">
        <v>0</v>
      </c>
      <c r="P54" s="19" t="n">
        <v>0</v>
      </c>
      <c r="Q54" s="19" t="n">
        <v>0</v>
      </c>
      <c r="R54" s="19" t="n">
        <v>0</v>
      </c>
      <c r="S54" s="19" t="n">
        <v>0</v>
      </c>
      <c r="T54" s="83" t="n">
        <v>0</v>
      </c>
      <c r="U54" s="83" t="n">
        <v>0</v>
      </c>
      <c r="V54" s="83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77.98</v>
      </c>
      <c r="O55" s="19" t="n">
        <v>77.98</v>
      </c>
      <c r="P55" s="19" t="n">
        <v>77.98</v>
      </c>
      <c r="Q55" s="19" t="n">
        <v>83.75</v>
      </c>
      <c r="R55" s="19" t="n">
        <v>91.59999999999999</v>
      </c>
      <c r="S55" s="19" t="n">
        <v>76.36</v>
      </c>
      <c r="T55" s="83" t="n">
        <v>70.14</v>
      </c>
      <c r="U55" s="83" t="n">
        <v>82.48999999999999</v>
      </c>
      <c r="V55" s="83" t="n">
        <v>82.48999999999999</v>
      </c>
      <c r="W55" s="20" t="n">
        <v>83.5</v>
      </c>
      <c r="X55" s="20" t="n">
        <v>83.5</v>
      </c>
      <c r="Y55" s="20" t="n">
        <v>83.5</v>
      </c>
      <c r="Z55" s="20" t="n">
        <v>83.5</v>
      </c>
      <c r="AA55" s="20" t="n">
        <v>83.5</v>
      </c>
      <c r="AB55" s="20" t="n">
        <v>83.5</v>
      </c>
      <c r="AC55" s="20" t="n">
        <v>83.5</v>
      </c>
      <c r="AD55" s="20" t="n">
        <v>83.5</v>
      </c>
      <c r="AE55" s="20" t="n">
        <v>83.5</v>
      </c>
      <c r="AF55" s="20" t="n">
        <v>83.5</v>
      </c>
      <c r="AG55" s="20" t="n">
        <v>83.5</v>
      </c>
      <c r="AH55" s="20" t="n">
        <v>83.5</v>
      </c>
      <c r="AI55" s="20" t="n">
        <v>83.5</v>
      </c>
      <c r="AJ55" s="20" t="n">
        <v>83.5</v>
      </c>
      <c r="AK55" s="20" t="n">
        <v>83.5</v>
      </c>
      <c r="AL55" s="20" t="n">
        <v>83.5</v>
      </c>
      <c r="AM55" s="20" t="n">
        <v>83.5</v>
      </c>
      <c r="AN55" s="20" t="n">
        <v>83.5</v>
      </c>
      <c r="AO55" s="20" t="n">
        <v>83.5</v>
      </c>
      <c r="AP55" s="20" t="n">
        <v>83.5</v>
      </c>
      <c r="AQ55" s="20" t="n">
        <v>83.5</v>
      </c>
      <c r="AR55" s="20" t="n">
        <v>83.5</v>
      </c>
      <c r="AS55" s="20" t="n">
        <v>83.5</v>
      </c>
      <c r="AT55" s="20" t="n">
        <v>83.5</v>
      </c>
      <c r="AU55" s="20" t="n">
        <v>83.5</v>
      </c>
      <c r="AV55" s="20" t="n">
        <v>83.5</v>
      </c>
      <c r="AW55" s="20" t="n">
        <v>83.5</v>
      </c>
      <c r="AX55" s="20" t="n">
        <v>83.5</v>
      </c>
      <c r="AY55" s="20" t="n">
        <v>83.5</v>
      </c>
    </row>
    <row r="56">
      <c r="B56" s="32" t="inlineStr">
        <is>
          <t>Total Utilities</t>
        </is>
      </c>
      <c r="C56" s="34" t="n"/>
      <c r="D56" s="35">
        <f>SUM(D51:D55)</f>
        <v/>
      </c>
      <c r="E56" s="35">
        <f>SUM(E51:E55)</f>
        <v/>
      </c>
      <c r="F56" s="35">
        <f>SUM(F51:F55)</f>
        <v/>
      </c>
      <c r="G56" s="35">
        <f>SUM(G51:G55)</f>
        <v/>
      </c>
      <c r="H56" s="35">
        <f>SUM(H51:H55)</f>
        <v/>
      </c>
      <c r="I56" s="35">
        <f>SUM(I51:I55)</f>
        <v/>
      </c>
      <c r="J56" s="35">
        <f>SUM(J51:J55)</f>
        <v/>
      </c>
      <c r="K56" s="35">
        <f>SUM(K51:K55)</f>
        <v/>
      </c>
      <c r="L56" s="35">
        <f>SUM(L51:L55)</f>
        <v/>
      </c>
      <c r="M56" s="35">
        <f>SUM(M51:M55)</f>
        <v/>
      </c>
      <c r="N56" s="35">
        <f>SUM(N51:N55)</f>
        <v/>
      </c>
      <c r="O56" s="35">
        <f>SUM(O51:O55)</f>
        <v/>
      </c>
      <c r="P56" s="35">
        <f>P51+P52+P53+P54+P55</f>
        <v/>
      </c>
      <c r="Q56" s="35">
        <f>Q51+Q52+Q53+Q54+Q55</f>
        <v/>
      </c>
      <c r="R56" s="35">
        <f>R51+R52+R53+R54+R55</f>
        <v/>
      </c>
      <c r="S56" s="35">
        <f>S51+S52+S53+S54+S55</f>
        <v/>
      </c>
      <c r="T56" s="84">
        <f>T51+T52+T53+T54+T55</f>
        <v/>
      </c>
      <c r="U56" s="84">
        <f>U51+U52+U53+U54+U55</f>
        <v/>
      </c>
      <c r="V56" s="84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0</v>
      </c>
      <c r="M57" s="19" t="n">
        <v>8122.98</v>
      </c>
      <c r="N57" s="19" t="n">
        <v>8122.98</v>
      </c>
      <c r="O57" s="19" t="n">
        <v>8122.98</v>
      </c>
      <c r="P57" s="19" t="n">
        <v>8122.98</v>
      </c>
      <c r="Q57" s="19" t="n">
        <v>8122.98</v>
      </c>
      <c r="R57" s="19" t="n">
        <v>8122.98</v>
      </c>
      <c r="S57" s="19" t="n">
        <v>8122.98</v>
      </c>
      <c r="T57" s="83" t="n">
        <v>8122.98</v>
      </c>
      <c r="U57" s="83" t="n">
        <v>8122.98</v>
      </c>
      <c r="V57" s="83" t="n">
        <v>8122.98</v>
      </c>
      <c r="W57" s="20" t="n">
        <v>8028.77</v>
      </c>
      <c r="X57" s="20" t="n">
        <v>8028.77</v>
      </c>
      <c r="Y57" s="20" t="n">
        <v>8028.77</v>
      </c>
      <c r="Z57" s="20" t="n">
        <v>8028.77</v>
      </c>
      <c r="AA57" s="20" t="n">
        <v>8028.77</v>
      </c>
      <c r="AB57" s="20" t="n">
        <v>8028.77</v>
      </c>
      <c r="AC57" s="20" t="n">
        <v>8028.77</v>
      </c>
      <c r="AD57" s="20" t="n">
        <v>8028.77</v>
      </c>
      <c r="AE57" s="20" t="n">
        <v>8028.77</v>
      </c>
      <c r="AF57" s="20" t="n">
        <v>8028.77</v>
      </c>
      <c r="AG57" s="20" t="n">
        <v>8028.77</v>
      </c>
      <c r="AH57" s="20" t="n">
        <v>8028.77</v>
      </c>
      <c r="AI57" s="20" t="n">
        <v>8028.77</v>
      </c>
      <c r="AJ57" s="20" t="n">
        <v>8028.77</v>
      </c>
      <c r="AK57" s="20" t="n">
        <v>8028.77</v>
      </c>
      <c r="AL57" s="20" t="n">
        <v>8028.77</v>
      </c>
      <c r="AM57" s="20" t="n">
        <v>8028.77</v>
      </c>
      <c r="AN57" s="20" t="n">
        <v>8028.77</v>
      </c>
      <c r="AO57" s="20" t="n">
        <v>8028.77</v>
      </c>
      <c r="AP57" s="20" t="n">
        <v>8028.77</v>
      </c>
      <c r="AQ57" s="20" t="n">
        <v>8028.77</v>
      </c>
      <c r="AR57" s="20" t="n">
        <v>8028.77</v>
      </c>
      <c r="AS57" s="20" t="n">
        <v>8028.77</v>
      </c>
      <c r="AT57" s="20" t="n">
        <v>8028.77</v>
      </c>
      <c r="AU57" s="20" t="n">
        <v>8028.77</v>
      </c>
      <c r="AV57" s="20" t="n">
        <v>8028.77</v>
      </c>
      <c r="AW57" s="20" t="n">
        <v>8028.77</v>
      </c>
      <c r="AX57" s="20" t="n">
        <v>8028.77</v>
      </c>
      <c r="AY57" s="20" t="n">
        <v>8028.77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19" t="n">
        <v>0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83" t="n">
        <v>0</v>
      </c>
      <c r="U58" s="83" t="n">
        <v>0</v>
      </c>
      <c r="V58" s="83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9" t="n">
        <v>550.55</v>
      </c>
      <c r="M59" s="19" t="n">
        <v>69.3</v>
      </c>
      <c r="N59" s="19" t="n">
        <v>447.51</v>
      </c>
      <c r="O59" s="19" t="n">
        <v>205.15</v>
      </c>
      <c r="P59" s="19" t="n">
        <v>140.57</v>
      </c>
      <c r="Q59" s="19" t="n">
        <v>394.25</v>
      </c>
      <c r="R59" s="19" t="n">
        <v>327.83</v>
      </c>
      <c r="S59" s="19" t="n">
        <v>-0.45</v>
      </c>
      <c r="T59" s="83" t="n">
        <v>84.04000000000001</v>
      </c>
      <c r="U59" s="83" t="n">
        <v>141.63</v>
      </c>
      <c r="V59" s="83" t="n">
        <v>280.3</v>
      </c>
      <c r="W59" s="20" t="n">
        <v>234.78</v>
      </c>
      <c r="X59" s="20" t="n">
        <v>234.78</v>
      </c>
      <c r="Y59" s="20" t="n">
        <v>234.78</v>
      </c>
      <c r="Z59" s="20" t="n">
        <v>234.78</v>
      </c>
      <c r="AA59" s="20" t="n">
        <v>234.78</v>
      </c>
      <c r="AB59" s="20" t="n">
        <v>234.78</v>
      </c>
      <c r="AC59" s="20" t="n">
        <v>234.78</v>
      </c>
      <c r="AD59" s="20" t="n">
        <v>234.78</v>
      </c>
      <c r="AE59" s="20" t="n">
        <v>234.78</v>
      </c>
      <c r="AF59" s="20" t="n">
        <v>234.78</v>
      </c>
      <c r="AG59" s="20" t="n">
        <v>234.78</v>
      </c>
      <c r="AH59" s="20" t="n">
        <v>234.78</v>
      </c>
      <c r="AI59" s="20" t="n">
        <v>234.78</v>
      </c>
      <c r="AJ59" s="20" t="n">
        <v>234.78</v>
      </c>
      <c r="AK59" s="20" t="n">
        <v>234.78</v>
      </c>
      <c r="AL59" s="20" t="n">
        <v>234.78</v>
      </c>
      <c r="AM59" s="20" t="n">
        <v>234.78</v>
      </c>
      <c r="AN59" s="20" t="n">
        <v>234.78</v>
      </c>
      <c r="AO59" s="20" t="n">
        <v>234.78</v>
      </c>
      <c r="AP59" s="20" t="n">
        <v>234.78</v>
      </c>
      <c r="AQ59" s="20" t="n">
        <v>234.78</v>
      </c>
      <c r="AR59" s="20" t="n">
        <v>234.78</v>
      </c>
      <c r="AS59" s="20" t="n">
        <v>234.78</v>
      </c>
      <c r="AT59" s="20" t="n">
        <v>234.78</v>
      </c>
      <c r="AU59" s="20" t="n">
        <v>234.78</v>
      </c>
      <c r="AV59" s="20" t="n">
        <v>234.78</v>
      </c>
      <c r="AW59" s="20" t="n">
        <v>234.78</v>
      </c>
      <c r="AX59" s="20" t="n">
        <v>234.78</v>
      </c>
      <c r="AY59" s="20" t="n">
        <v>234.78</v>
      </c>
    </row>
    <row r="60">
      <c r="B60" s="33" t="inlineStr">
        <is>
          <t>705000 Property Maintenance (incl Repairs &amp; Parking)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19" t="n">
        <v>0</v>
      </c>
      <c r="I60" s="19" t="n">
        <v>0</v>
      </c>
      <c r="J60" s="19" t="n">
        <v>0</v>
      </c>
      <c r="K60" s="19" t="n">
        <v>0</v>
      </c>
      <c r="L60" s="19" t="n">
        <v>954.62</v>
      </c>
      <c r="M60" s="19" t="n">
        <v>0</v>
      </c>
      <c r="N60" s="19" t="n">
        <v>0</v>
      </c>
      <c r="O60" s="19" t="n">
        <v>17.5</v>
      </c>
      <c r="P60" s="19" t="n">
        <v>0</v>
      </c>
      <c r="Q60" s="19" t="n">
        <v>0</v>
      </c>
      <c r="R60" s="19" t="n">
        <v>0</v>
      </c>
      <c r="S60" s="19" t="n">
        <v>144.75</v>
      </c>
      <c r="T60" s="83" t="n">
        <v>0</v>
      </c>
      <c r="U60" s="83" t="n">
        <v>0</v>
      </c>
      <c r="V60" s="83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>
        <f>SUM(D57:D60)</f>
        <v/>
      </c>
      <c r="E61" s="35">
        <f>SUM(E57:E60)</f>
        <v/>
      </c>
      <c r="F61" s="35">
        <f>SUM(F57:F60)</f>
        <v/>
      </c>
      <c r="G61" s="35">
        <f>SUM(G57:G60)</f>
        <v/>
      </c>
      <c r="H61" s="35">
        <f>SUM(H57:H60)</f>
        <v/>
      </c>
      <c r="I61" s="35">
        <f>SUM(I57:I60)</f>
        <v/>
      </c>
      <c r="J61" s="35">
        <f>SUM(J57:J60)</f>
        <v/>
      </c>
      <c r="K61" s="35">
        <f>SUM(K57:K60)</f>
        <v/>
      </c>
      <c r="L61" s="35">
        <f>SUM(L57:L60)</f>
        <v/>
      </c>
      <c r="M61" s="35">
        <f>SUM(M57:M60)</f>
        <v/>
      </c>
      <c r="N61" s="35">
        <f>SUM(N57:N60)</f>
        <v/>
      </c>
      <c r="O61" s="35">
        <f>SUM(O57:O60)</f>
        <v/>
      </c>
      <c r="P61" s="35">
        <f>P57+P58+P59+P60</f>
        <v/>
      </c>
      <c r="Q61" s="35">
        <f>Q57+Q58+Q59+Q60</f>
        <v/>
      </c>
      <c r="R61" s="35">
        <f>R57+R58+R59+R60</f>
        <v/>
      </c>
      <c r="S61" s="35">
        <f>S57+S58+S59+S60</f>
        <v/>
      </c>
      <c r="T61" s="84">
        <f>T57+T58+T59+T60</f>
        <v/>
      </c>
      <c r="U61" s="84">
        <f>U57+U58+U59+U60</f>
        <v/>
      </c>
      <c r="V61" s="84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>
        <f>D33+D38+D42+D47+D50+D56+D61</f>
        <v/>
      </c>
      <c r="E62" s="35">
        <f>E33+E38+E42+E47+E50+E56+E61</f>
        <v/>
      </c>
      <c r="F62" s="35">
        <f>F33+F38+F42+F47+F50+F56+F61</f>
        <v/>
      </c>
      <c r="G62" s="35">
        <f>G33+G38+G42+G47+G50+G56+G61</f>
        <v/>
      </c>
      <c r="H62" s="35">
        <f>H33+H38+H42+H47+H50+H56+H61</f>
        <v/>
      </c>
      <c r="I62" s="35">
        <f>I33+I38+I42+I47+I50+I56+I61</f>
        <v/>
      </c>
      <c r="J62" s="35">
        <f>J33+J38+J42+J47+J50+J56+J61</f>
        <v/>
      </c>
      <c r="K62" s="35">
        <f>K33+K38+K42+K47+K50+K56+K61</f>
        <v/>
      </c>
      <c r="L62" s="35">
        <f>L33+L38+L42+L47+L50+L56+L61</f>
        <v/>
      </c>
      <c r="M62" s="35">
        <f>M33+M38+M42+M47+M50+M56+M61</f>
        <v/>
      </c>
      <c r="N62" s="35">
        <f>N33+N38+N42+N47+N50+N56+N61</f>
        <v/>
      </c>
      <c r="O62" s="35">
        <f>O33+O38+O42+O47+O50+O56+O61</f>
        <v/>
      </c>
      <c r="P62" s="35">
        <f>P33+P38+P42+P47+P50+P56+P61</f>
        <v/>
      </c>
      <c r="Q62" s="35">
        <f>Q33+Q38+Q42+Q47+Q50+Q56+Q61</f>
        <v/>
      </c>
      <c r="R62" s="35">
        <f>R33+R38+R42+R47+R50+R56+R61</f>
        <v/>
      </c>
      <c r="S62" s="35">
        <f>S33+S38+S42+S47+S50+S56+S61</f>
        <v/>
      </c>
      <c r="T62" s="84">
        <f>T33+T38+T42+T47+T50+T56+T61</f>
        <v/>
      </c>
      <c r="U62" s="84">
        <f>U33+U38+U42+U47+U50+U56+U61</f>
        <v/>
      </c>
      <c r="V62" s="84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>
        <f>D26-D62</f>
        <v/>
      </c>
      <c r="E63" s="35">
        <f>E26-E62</f>
        <v/>
      </c>
      <c r="F63" s="35">
        <f>F26-F62</f>
        <v/>
      </c>
      <c r="G63" s="35">
        <f>G26-G62</f>
        <v/>
      </c>
      <c r="H63" s="35">
        <f>H26-H62</f>
        <v/>
      </c>
      <c r="I63" s="35">
        <f>I26-I62</f>
        <v/>
      </c>
      <c r="J63" s="35">
        <f>J26-J62</f>
        <v/>
      </c>
      <c r="K63" s="35">
        <f>K26-K62</f>
        <v/>
      </c>
      <c r="L63" s="35">
        <f>L26-L62</f>
        <v/>
      </c>
      <c r="M63" s="35">
        <f>M26-M62</f>
        <v/>
      </c>
      <c r="N63" s="35">
        <f>N26-N62</f>
        <v/>
      </c>
      <c r="O63" s="35">
        <f>O26-O62</f>
        <v/>
      </c>
      <c r="P63" s="35">
        <f>P26-P62</f>
        <v/>
      </c>
      <c r="Q63" s="35">
        <f>Q26-Q62</f>
        <v/>
      </c>
      <c r="R63" s="35">
        <f>R26-R62</f>
        <v/>
      </c>
      <c r="S63" s="35">
        <f>S26-S62</f>
        <v/>
      </c>
      <c r="T63" s="84">
        <f>T26-T62</f>
        <v/>
      </c>
      <c r="U63" s="84">
        <f>U26-U62</f>
        <v/>
      </c>
      <c r="V63" s="84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" customHeight="1" s="28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0</v>
      </c>
      <c r="J65" s="19" t="n">
        <v>0</v>
      </c>
      <c r="K65" s="19" t="n">
        <v>1124.68</v>
      </c>
      <c r="L65" s="19" t="n">
        <v>4074.81</v>
      </c>
      <c r="M65" s="19" t="n">
        <v>4445.85</v>
      </c>
      <c r="N65" s="19" t="n">
        <v>4441.57</v>
      </c>
      <c r="O65" s="19" t="n">
        <v>1465.71</v>
      </c>
      <c r="P65" s="19" t="n">
        <v>4691.67</v>
      </c>
      <c r="Q65" s="19" t="n">
        <v>4691.67</v>
      </c>
      <c r="R65" s="19" t="n">
        <v>4691.67</v>
      </c>
      <c r="S65" s="19" t="n">
        <v>4691.67</v>
      </c>
      <c r="T65" s="83" t="n">
        <v>4691.67</v>
      </c>
      <c r="U65" s="83" t="n">
        <v>4735.88</v>
      </c>
      <c r="V65" s="83" t="n">
        <v>4735.88</v>
      </c>
      <c r="W65" s="20" t="n">
        <v>4691.67</v>
      </c>
      <c r="X65" s="20" t="n">
        <v>4691.67</v>
      </c>
      <c r="Y65" s="20" t="n">
        <v>4691.67</v>
      </c>
      <c r="Z65" s="20" t="n">
        <v>4691.67</v>
      </c>
      <c r="AA65" s="20" t="n">
        <v>4691.67</v>
      </c>
      <c r="AB65" s="20" t="n">
        <v>4691.67</v>
      </c>
      <c r="AC65" s="20" t="n">
        <v>4691.67</v>
      </c>
      <c r="AD65" s="20" t="n">
        <v>4691.67</v>
      </c>
      <c r="AE65" s="20" t="n">
        <v>4691.67</v>
      </c>
      <c r="AF65" s="20" t="n">
        <v>4691.67</v>
      </c>
      <c r="AG65" s="20" t="n">
        <v>4691.67</v>
      </c>
      <c r="AH65" s="20" t="n">
        <v>4691.67</v>
      </c>
      <c r="AI65" s="20" t="n">
        <v>4691.67</v>
      </c>
      <c r="AJ65" s="20" t="n">
        <v>4691.67</v>
      </c>
      <c r="AK65" s="20" t="n">
        <v>4691.67</v>
      </c>
      <c r="AL65" s="20" t="n">
        <v>4691.67</v>
      </c>
      <c r="AM65" s="20" t="n">
        <v>4691.67</v>
      </c>
      <c r="AN65" s="20" t="n">
        <v>4691.67</v>
      </c>
      <c r="AO65" s="20" t="n">
        <v>4691.67</v>
      </c>
      <c r="AP65" s="20" t="n">
        <v>4691.67</v>
      </c>
      <c r="AQ65" s="20" t="n">
        <v>4691.67</v>
      </c>
      <c r="AR65" s="20" t="n">
        <v>4691.67</v>
      </c>
      <c r="AS65" s="20" t="n">
        <v>4691.67</v>
      </c>
      <c r="AT65" s="20" t="n">
        <v>4691.67</v>
      </c>
      <c r="AU65" s="20" t="n">
        <v>4691.67</v>
      </c>
      <c r="AV65" s="20" t="n">
        <v>4691.67</v>
      </c>
      <c r="AW65" s="20" t="n">
        <v>4691.67</v>
      </c>
      <c r="AX65" s="20" t="n">
        <v>4691.67</v>
      </c>
      <c r="AY65" s="20" t="n">
        <v>4691.67</v>
      </c>
    </row>
    <row r="66">
      <c r="B66" s="33" t="inlineStr">
        <is>
          <t>901000 Interest Expense (incl Other Exp/Inc)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19" t="n">
        <v>0</v>
      </c>
      <c r="I66" s="19" t="n">
        <v>0</v>
      </c>
      <c r="J66" s="19" t="n">
        <v>0</v>
      </c>
      <c r="K66" s="19" t="n">
        <v>0</v>
      </c>
      <c r="L66" s="19" t="n">
        <v>0</v>
      </c>
      <c r="M66" s="19" t="n">
        <v>0</v>
      </c>
      <c r="N66" s="19" t="n">
        <v>0</v>
      </c>
      <c r="O66" s="19" t="n">
        <v>0</v>
      </c>
      <c r="P66" s="19" t="n">
        <v>0</v>
      </c>
      <c r="Q66" s="19" t="n">
        <v>0</v>
      </c>
      <c r="R66" s="19" t="n">
        <v>0</v>
      </c>
      <c r="S66" s="19" t="n">
        <v>0</v>
      </c>
      <c r="T66" s="83" t="n">
        <v>0</v>
      </c>
      <c r="U66" s="83" t="n">
        <v>0</v>
      </c>
      <c r="V66" s="83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0</v>
      </c>
      <c r="F67" s="19" t="n">
        <v>0</v>
      </c>
      <c r="G67" s="19" t="n">
        <v>0</v>
      </c>
      <c r="H67" s="19" t="n">
        <v>0</v>
      </c>
      <c r="I67" s="19" t="n">
        <v>0</v>
      </c>
      <c r="J67" s="19" t="n">
        <v>0</v>
      </c>
      <c r="K67" s="19" t="n">
        <v>0</v>
      </c>
      <c r="L67" s="19" t="n">
        <v>0</v>
      </c>
      <c r="M67" s="19" t="n">
        <v>0</v>
      </c>
      <c r="N67" s="19" t="n">
        <v>0</v>
      </c>
      <c r="O67" s="19" t="n">
        <v>0</v>
      </c>
      <c r="P67" s="19" t="n">
        <v>0</v>
      </c>
      <c r="Q67" s="19" t="n">
        <v>0</v>
      </c>
      <c r="R67" s="19" t="n">
        <v>0</v>
      </c>
      <c r="S67" s="19" t="n">
        <v>0</v>
      </c>
      <c r="T67" s="83" t="n">
        <v>0</v>
      </c>
      <c r="U67" s="83" t="n">
        <v>0</v>
      </c>
      <c r="V67" s="83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AN69*0.020138</f>
        <v/>
      </c>
      <c r="AO67" s="20">
        <f>AO69*0.020138</f>
        <v/>
      </c>
      <c r="AP67" s="20">
        <f>AP69*0.020138</f>
        <v/>
      </c>
      <c r="AQ67" s="20">
        <f>AQ69*0.020138</f>
        <v/>
      </c>
      <c r="AR67" s="20">
        <f>AR69*0.020138</f>
        <v/>
      </c>
      <c r="AS67" s="20">
        <f>AS69*0.020138</f>
        <v/>
      </c>
      <c r="AT67" s="20">
        <f>AT69*0.020138</f>
        <v/>
      </c>
      <c r="AU67" s="20">
        <f>AU69*0.020138</f>
        <v/>
      </c>
      <c r="AV67" s="20">
        <f>AV69*0.020138</f>
        <v/>
      </c>
      <c r="AW67" s="20">
        <f>AW69*0.020138</f>
        <v/>
      </c>
      <c r="AX67" s="20">
        <f>AX69*0.020138</f>
        <v/>
      </c>
      <c r="AY67" s="20">
        <f>AY69*0.020138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1468.84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3" t="n">
        <v>0</v>
      </c>
      <c r="U68" s="83" t="n">
        <v>0</v>
      </c>
      <c r="V68" s="83" t="n">
        <v>161.11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P65+P66+P67+P68</f>
        <v/>
      </c>
      <c r="Q69" s="35">
        <f>Q65+Q66+Q67+Q68</f>
        <v/>
      </c>
      <c r="R69" s="35">
        <f>R65+R66+R67+R68</f>
        <v/>
      </c>
      <c r="S69" s="35">
        <f>S65+S66+S67+S68</f>
        <v/>
      </c>
      <c r="T69" s="84">
        <f>T65+T66+T67+T68</f>
        <v/>
      </c>
      <c r="U69" s="84">
        <f>U65+U66+U67+U68</f>
        <v/>
      </c>
      <c r="V69" s="84">
        <f>V65+V66+V67+V68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>
        <f>D63-D69</f>
        <v/>
      </c>
      <c r="E70" s="35">
        <f>E63-E69</f>
        <v/>
      </c>
      <c r="F70" s="35">
        <f>F63-F69</f>
        <v/>
      </c>
      <c r="G70" s="35">
        <f>G63-G69</f>
        <v/>
      </c>
      <c r="H70" s="35">
        <f>H63-H69</f>
        <v/>
      </c>
      <c r="I70" s="35">
        <f>I63-I69</f>
        <v/>
      </c>
      <c r="J70" s="35">
        <f>J63-J69</f>
        <v/>
      </c>
      <c r="K70" s="35">
        <f>K63-K69</f>
        <v/>
      </c>
      <c r="L70" s="35">
        <f>L63-L69</f>
        <v/>
      </c>
      <c r="M70" s="35">
        <f>M63-M69</f>
        <v/>
      </c>
      <c r="N70" s="35">
        <f>N63-N69</f>
        <v/>
      </c>
      <c r="O70" s="35">
        <f>O63-O69</f>
        <v/>
      </c>
      <c r="P70" s="35">
        <f>P63-P69</f>
        <v/>
      </c>
      <c r="Q70" s="35">
        <f>Q63-Q69</f>
        <v/>
      </c>
      <c r="R70" s="35">
        <f>R63-R69</f>
        <v/>
      </c>
      <c r="S70" s="35">
        <f>S63-S69</f>
        <v/>
      </c>
      <c r="T70" s="84">
        <f>T63-T69</f>
        <v/>
      </c>
      <c r="U70" s="84">
        <f>U63-U69</f>
        <v/>
      </c>
      <c r="V70" s="84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ED7D31"/>
    <outlinePr summaryBelow="1" summaryRight="1"/>
    <pageSetUpPr/>
  </sheetPr>
  <dimension ref="B2:BB70"/>
  <sheetViews>
    <sheetView showGridLines="0" workbookViewId="0">
      <pane xSplit="3" ySplit="5" topLeftCell="AQ6" activePane="bottomRight" state="frozen"/>
      <selection activeCell="W21" sqref="W21"/>
      <selection pane="topRight" activeCell="W21" sqref="W21"/>
      <selection pane="bottomLeft" activeCell="W21" sqref="W21"/>
      <selection pane="bottomRight" activeCell="AY13" sqref="AY13"/>
    </sheetView>
  </sheetViews>
  <sheetFormatPr baseColWidth="10" defaultColWidth="8.83203125" defaultRowHeight="15"/>
  <cols>
    <col hidden="1" width="2" customWidth="1" style="282" min="1" max="1"/>
    <col width="32" customWidth="1" style="282" min="2" max="2"/>
    <col width="10" customWidth="1" style="282" min="3" max="3"/>
    <col width="12" customWidth="1" style="282" min="4" max="39"/>
    <col width="13.33203125" customWidth="1" style="282" min="53" max="53"/>
  </cols>
  <sheetData>
    <row r="2" ht="21" customHeight="1" s="282">
      <c r="B2" s="9" t="inlineStr">
        <is>
          <t>Danville (DN) — Profit &amp; Loss</t>
        </is>
      </c>
      <c r="T2" s="24" t="n"/>
      <c r="U2" s="24" t="n"/>
    </row>
    <row r="4" ht="16" customHeight="1" s="28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01" t="inlineStr">
        <is>
          <t>Revenue Segments as % of Total (LTM)</t>
        </is>
      </c>
    </row>
    <row r="6" ht="16" customHeight="1" s="28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BA6" s="272" t="inlineStr">
        <is>
          <t>LTM May 2026</t>
        </is>
      </c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4682.08</v>
      </c>
      <c r="J7" s="19" t="n">
        <v>9092.889999999999</v>
      </c>
      <c r="K7" s="19" t="n">
        <v>9461.98</v>
      </c>
      <c r="L7" s="19" t="n">
        <v>9645.77</v>
      </c>
      <c r="M7" s="19" t="n">
        <v>9782.799999999999</v>
      </c>
      <c r="N7" s="19" t="n">
        <v>8901.01</v>
      </c>
      <c r="O7" s="19" t="n">
        <v>9735.27</v>
      </c>
      <c r="P7" s="19" t="n">
        <v>13528.97</v>
      </c>
      <c r="Q7" s="19" t="n">
        <v>12132.96</v>
      </c>
      <c r="R7" s="19" t="n">
        <v>13736.52</v>
      </c>
      <c r="S7" s="19" t="n">
        <v>12829.22</v>
      </c>
      <c r="T7" s="83" t="n">
        <v>10784.93</v>
      </c>
      <c r="U7" s="83" t="n">
        <v>9036.92</v>
      </c>
      <c r="V7" s="83" t="n">
        <v>9661.83</v>
      </c>
      <c r="W7" s="20">
        <f>W13*0.654061</f>
        <v/>
      </c>
      <c r="X7" s="20">
        <f>X13*0.654061</f>
        <v/>
      </c>
      <c r="Y7" s="20">
        <f>Y13*0.654061</f>
        <v/>
      </c>
      <c r="Z7" s="20">
        <f>Z13*0.654061</f>
        <v/>
      </c>
      <c r="AA7" s="20">
        <f>AA13*0.654061</f>
        <v/>
      </c>
      <c r="AB7" s="20">
        <f>AB13*0.654061</f>
        <v/>
      </c>
      <c r="AC7" s="20">
        <f>AC13*0.654061</f>
        <v/>
      </c>
      <c r="AD7" s="20">
        <f>AD13*0.654061</f>
        <v/>
      </c>
      <c r="AE7" s="20">
        <f>AE13*0.654061</f>
        <v/>
      </c>
      <c r="AF7" s="20">
        <f>AF13*0.654061</f>
        <v/>
      </c>
      <c r="AG7" s="20">
        <f>AG13*0.654061</f>
        <v/>
      </c>
      <c r="AH7" s="20">
        <f>AH13*0.654061</f>
        <v/>
      </c>
      <c r="AI7" s="20">
        <f>AI13*0.654061</f>
        <v/>
      </c>
      <c r="AJ7" s="20">
        <f>AJ13*0.654061</f>
        <v/>
      </c>
      <c r="AK7" s="20">
        <f>AK13*0.654061</f>
        <v/>
      </c>
      <c r="AL7" s="20">
        <f>AL13*0.654061</f>
        <v/>
      </c>
      <c r="AM7" s="20">
        <f>AM13*0.654061</f>
        <v/>
      </c>
      <c r="AN7" s="20">
        <f>AN13*0.654061</f>
        <v/>
      </c>
      <c r="AO7" s="20">
        <f>AO13*0.654061</f>
        <v/>
      </c>
      <c r="AP7" s="20">
        <f>AP13*0.654061</f>
        <v/>
      </c>
      <c r="AQ7" s="20">
        <f>AQ13*0.654061</f>
        <v/>
      </c>
      <c r="AR7" s="20">
        <f>AR13*0.654061</f>
        <v/>
      </c>
      <c r="AS7" s="20">
        <f>AS13*0.654061</f>
        <v/>
      </c>
      <c r="AT7" s="20">
        <f>AT13*0.654061</f>
        <v/>
      </c>
      <c r="AU7" s="20">
        <f>AU13*0.654061</f>
        <v/>
      </c>
      <c r="AV7" s="20">
        <f>AV13*0.654061</f>
        <v/>
      </c>
      <c r="AW7" s="20">
        <f>AW13*0.654061</f>
        <v/>
      </c>
      <c r="AX7" s="20">
        <f>AX13*0.654061</f>
        <v/>
      </c>
      <c r="AY7" s="20">
        <f>AY13*0.654061</f>
        <v/>
      </c>
      <c r="BA7" s="288">
        <f>SUM(I7:T7)</f>
        <v/>
      </c>
      <c r="BB7" s="274">
        <f>BA7/$BA$21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195</v>
      </c>
      <c r="K8" s="19" t="n">
        <v>0</v>
      </c>
      <c r="L8" s="19" t="n">
        <v>340</v>
      </c>
      <c r="M8" s="19" t="n">
        <v>345</v>
      </c>
      <c r="N8" s="19" t="n">
        <v>390</v>
      </c>
      <c r="O8" s="19" t="n">
        <v>150</v>
      </c>
      <c r="P8" s="19" t="n">
        <v>450</v>
      </c>
      <c r="Q8" s="19" t="n">
        <v>1593</v>
      </c>
      <c r="R8" s="19" t="n">
        <v>1977</v>
      </c>
      <c r="S8" s="19" t="n">
        <v>1360</v>
      </c>
      <c r="T8" s="83" t="n">
        <v>1031.67</v>
      </c>
      <c r="U8" s="83" t="n">
        <v>1086.67</v>
      </c>
      <c r="V8" s="83" t="n">
        <v>1240</v>
      </c>
      <c r="W8" s="20">
        <f>W13*0.067375</f>
        <v/>
      </c>
      <c r="X8" s="20">
        <f>X13*0.067375</f>
        <v/>
      </c>
      <c r="Y8" s="20">
        <f>Y13*0.067375</f>
        <v/>
      </c>
      <c r="Z8" s="20">
        <f>Z13*0.067375</f>
        <v/>
      </c>
      <c r="AA8" s="20">
        <f>AA13*0.067375</f>
        <v/>
      </c>
      <c r="AB8" s="20">
        <f>AB13*0.067375</f>
        <v/>
      </c>
      <c r="AC8" s="20">
        <f>AC13*0.067375</f>
        <v/>
      </c>
      <c r="AD8" s="20">
        <f>AD13*0.067375</f>
        <v/>
      </c>
      <c r="AE8" s="20">
        <f>AE13*0.067375</f>
        <v/>
      </c>
      <c r="AF8" s="20">
        <f>AF13*0.067375</f>
        <v/>
      </c>
      <c r="AG8" s="20">
        <f>AG13*0.067375</f>
        <v/>
      </c>
      <c r="AH8" s="20">
        <f>AH13*0.067375</f>
        <v/>
      </c>
      <c r="AI8" s="20">
        <f>AI13*0.067375</f>
        <v/>
      </c>
      <c r="AJ8" s="20">
        <f>AJ13*0.067375</f>
        <v/>
      </c>
      <c r="AK8" s="20">
        <f>AK13*0.067375</f>
        <v/>
      </c>
      <c r="AL8" s="20">
        <f>AL13*0.067375</f>
        <v/>
      </c>
      <c r="AM8" s="20">
        <f>AM13*0.067375</f>
        <v/>
      </c>
      <c r="AN8" s="20">
        <f>AN13*0.067375</f>
        <v/>
      </c>
      <c r="AO8" s="20">
        <f>AO13*0.067375</f>
        <v/>
      </c>
      <c r="AP8" s="20">
        <f>AP13*0.067375</f>
        <v/>
      </c>
      <c r="AQ8" s="20">
        <f>AQ13*0.067375</f>
        <v/>
      </c>
      <c r="AR8" s="20">
        <f>AR13*0.067375</f>
        <v/>
      </c>
      <c r="AS8" s="20">
        <f>AS13*0.067375</f>
        <v/>
      </c>
      <c r="AT8" s="20">
        <f>AT13*0.067375</f>
        <v/>
      </c>
      <c r="AU8" s="20">
        <f>AU13*0.067375</f>
        <v/>
      </c>
      <c r="AV8" s="20">
        <f>AV13*0.067375</f>
        <v/>
      </c>
      <c r="AW8" s="20">
        <f>AW13*0.067375</f>
        <v/>
      </c>
      <c r="AX8" s="20">
        <f>AX13*0.067375</f>
        <v/>
      </c>
      <c r="AY8" s="20">
        <f>AY13*0.067375</f>
        <v/>
      </c>
      <c r="BA8" s="288">
        <f>SUM(I8:T8)</f>
        <v/>
      </c>
      <c r="BB8" s="274">
        <f>BA8/$BA$21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2163.02</v>
      </c>
      <c r="J9" s="19" t="n">
        <v>3892.93</v>
      </c>
      <c r="K9" s="19" t="n">
        <v>4512.7</v>
      </c>
      <c r="L9" s="19" t="n">
        <v>4015.15</v>
      </c>
      <c r="M9" s="19" t="n">
        <v>3752.59</v>
      </c>
      <c r="N9" s="19" t="n">
        <v>4624.94</v>
      </c>
      <c r="O9" s="19" t="n">
        <v>4853.91</v>
      </c>
      <c r="P9" s="19" t="n">
        <v>6572</v>
      </c>
      <c r="Q9" s="19" t="n">
        <v>5183.81</v>
      </c>
      <c r="R9" s="19" t="n">
        <v>5673.02</v>
      </c>
      <c r="S9" s="19" t="n">
        <v>4787</v>
      </c>
      <c r="T9" s="83" t="n">
        <v>4644.86</v>
      </c>
      <c r="U9" s="83" t="n">
        <v>6166.7</v>
      </c>
      <c r="V9" s="83" t="n">
        <v>4806</v>
      </c>
      <c r="W9" s="20">
        <f>W13*0.278215</f>
        <v/>
      </c>
      <c r="X9" s="20">
        <f>X13*0.278215</f>
        <v/>
      </c>
      <c r="Y9" s="20">
        <f>Y13*0.278215</f>
        <v/>
      </c>
      <c r="Z9" s="20">
        <f>Z13*0.278215</f>
        <v/>
      </c>
      <c r="AA9" s="20">
        <f>AA13*0.278215</f>
        <v/>
      </c>
      <c r="AB9" s="20">
        <f>AB13*0.278215</f>
        <v/>
      </c>
      <c r="AC9" s="20">
        <f>AC13*0.278215</f>
        <v/>
      </c>
      <c r="AD9" s="20">
        <f>AD13*0.278215</f>
        <v/>
      </c>
      <c r="AE9" s="20">
        <f>AE13*0.278215</f>
        <v/>
      </c>
      <c r="AF9" s="20">
        <f>AF13*0.278215</f>
        <v/>
      </c>
      <c r="AG9" s="20">
        <f>AG13*0.278215</f>
        <v/>
      </c>
      <c r="AH9" s="20">
        <f>AH13*0.278215</f>
        <v/>
      </c>
      <c r="AI9" s="20">
        <f>AI13*0.278215</f>
        <v/>
      </c>
      <c r="AJ9" s="20">
        <f>AJ13*0.278215</f>
        <v/>
      </c>
      <c r="AK9" s="20">
        <f>AK13*0.278215</f>
        <v/>
      </c>
      <c r="AL9" s="20">
        <f>AL13*0.278215</f>
        <v/>
      </c>
      <c r="AM9" s="20">
        <f>AM13*0.278215</f>
        <v/>
      </c>
      <c r="AN9" s="20">
        <f>AN13*0.278215</f>
        <v/>
      </c>
      <c r="AO9" s="20">
        <f>AO13*0.278215</f>
        <v/>
      </c>
      <c r="AP9" s="20">
        <f>AP13*0.278215</f>
        <v/>
      </c>
      <c r="AQ9" s="20">
        <f>AQ13*0.278215</f>
        <v/>
      </c>
      <c r="AR9" s="20">
        <f>AR13*0.278215</f>
        <v/>
      </c>
      <c r="AS9" s="20">
        <f>AS13*0.278215</f>
        <v/>
      </c>
      <c r="AT9" s="20">
        <f>AT13*0.278215</f>
        <v/>
      </c>
      <c r="AU9" s="20">
        <f>AU13*0.278215</f>
        <v/>
      </c>
      <c r="AV9" s="20">
        <f>AV13*0.278215</f>
        <v/>
      </c>
      <c r="AW9" s="20">
        <f>AW13*0.278215</f>
        <v/>
      </c>
      <c r="AX9" s="20">
        <f>AX13*0.278215</f>
        <v/>
      </c>
      <c r="AY9" s="20">
        <f>AY13*0.278215</f>
        <v/>
      </c>
      <c r="BA9" s="288">
        <f>SUM(I9:T9)</f>
        <v/>
      </c>
      <c r="BB9" s="274">
        <f>BA9/$BA$21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83" t="n">
        <v>0</v>
      </c>
      <c r="U10" s="83" t="n">
        <v>0</v>
      </c>
      <c r="V10" s="83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0" t="n">
        <v>0</v>
      </c>
      <c r="AP10" s="20" t="n">
        <v>0</v>
      </c>
      <c r="AQ10" s="20" t="n">
        <v>0</v>
      </c>
      <c r="AR10" s="20" t="n">
        <v>0</v>
      </c>
      <c r="AS10" s="20" t="n">
        <v>0</v>
      </c>
      <c r="AT10" s="20" t="n">
        <v>0</v>
      </c>
      <c r="AU10" s="20" t="n">
        <v>0</v>
      </c>
      <c r="AV10" s="20" t="n">
        <v>0</v>
      </c>
      <c r="AW10" s="20" t="n">
        <v>0</v>
      </c>
      <c r="AX10" s="20" t="n">
        <v>0</v>
      </c>
      <c r="AY10" s="20" t="n">
        <v>0</v>
      </c>
      <c r="BA10" s="288">
        <f>SUM(I10:T10)</f>
        <v/>
      </c>
      <c r="BB10" s="274">
        <f>BA10/$BA$21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35.45</v>
      </c>
      <c r="I11" s="19" t="n">
        <v>782.29</v>
      </c>
      <c r="J11" s="19" t="n">
        <v>1351.63</v>
      </c>
      <c r="K11" s="19" t="n">
        <v>876.91</v>
      </c>
      <c r="L11" s="19" t="n">
        <v>355.21</v>
      </c>
      <c r="M11" s="19" t="n">
        <v>303.51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0</v>
      </c>
      <c r="T11" s="83" t="n">
        <v>0</v>
      </c>
      <c r="U11" s="83" t="n">
        <v>0</v>
      </c>
      <c r="V11" s="83" t="n">
        <v>0</v>
      </c>
      <c r="W11" s="20" t="n">
        <v>0</v>
      </c>
      <c r="X11" s="20" t="n">
        <v>0</v>
      </c>
      <c r="Y11" s="20" t="n">
        <v>0</v>
      </c>
      <c r="Z11" s="20" t="n">
        <v>0</v>
      </c>
      <c r="AA11" s="20" t="n">
        <v>0</v>
      </c>
      <c r="AB11" s="20" t="n">
        <v>0</v>
      </c>
      <c r="AC11" s="20" t="n">
        <v>0</v>
      </c>
      <c r="AD11" s="20" t="n">
        <v>0</v>
      </c>
      <c r="AE11" s="20" t="n">
        <v>0</v>
      </c>
      <c r="AF11" s="20" t="n">
        <v>0</v>
      </c>
      <c r="AG11" s="20" t="n">
        <v>0</v>
      </c>
      <c r="AH11" s="20" t="n">
        <v>0</v>
      </c>
      <c r="AI11" s="20" t="n">
        <v>0</v>
      </c>
      <c r="AJ11" s="20" t="n">
        <v>0</v>
      </c>
      <c r="AK11" s="20" t="n">
        <v>0</v>
      </c>
      <c r="AL11" s="20" t="n">
        <v>0</v>
      </c>
      <c r="AM11" s="20" t="n">
        <v>0</v>
      </c>
      <c r="AN11" s="20" t="n">
        <v>0</v>
      </c>
      <c r="AO11" s="20" t="n">
        <v>0</v>
      </c>
      <c r="AP11" s="20" t="n">
        <v>0</v>
      </c>
      <c r="AQ11" s="20" t="n">
        <v>0</v>
      </c>
      <c r="AR11" s="20" t="n">
        <v>0</v>
      </c>
      <c r="AS11" s="20" t="n">
        <v>0</v>
      </c>
      <c r="AT11" s="20" t="n">
        <v>0</v>
      </c>
      <c r="AU11" s="20" t="n">
        <v>0</v>
      </c>
      <c r="AV11" s="20" t="n">
        <v>0</v>
      </c>
      <c r="AW11" s="20" t="n">
        <v>0</v>
      </c>
      <c r="AX11" s="20" t="n">
        <v>0</v>
      </c>
      <c r="AY11" s="20" t="n">
        <v>0</v>
      </c>
      <c r="BA11" s="288">
        <f>SUM(I11:T11)</f>
        <v/>
      </c>
      <c r="BB11" s="274">
        <f>BA11/$BA$21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27.82</v>
      </c>
      <c r="S12" s="19" t="n">
        <v>0</v>
      </c>
      <c r="T12" s="83" t="n">
        <v>0</v>
      </c>
      <c r="U12" s="83" t="n">
        <v>0</v>
      </c>
      <c r="V12" s="83" t="n">
        <v>0</v>
      </c>
      <c r="W12" s="20">
        <f>W13*0.000348</f>
        <v/>
      </c>
      <c r="X12" s="20">
        <f>X13*0.000348</f>
        <v/>
      </c>
      <c r="Y12" s="20">
        <f>Y13*0.000348</f>
        <v/>
      </c>
      <c r="Z12" s="20">
        <f>Z13*0.000348</f>
        <v/>
      </c>
      <c r="AA12" s="20">
        <f>AA13*0.000348</f>
        <v/>
      </c>
      <c r="AB12" s="20">
        <f>AB13*0.000348</f>
        <v/>
      </c>
      <c r="AC12" s="20">
        <f>AC13*0.000348</f>
        <v/>
      </c>
      <c r="AD12" s="20">
        <f>AD13*0.000348</f>
        <v/>
      </c>
      <c r="AE12" s="20">
        <f>AE13*0.000348</f>
        <v/>
      </c>
      <c r="AF12" s="20">
        <f>AF13*0.000348</f>
        <v/>
      </c>
      <c r="AG12" s="20">
        <f>AG13*0.000348</f>
        <v/>
      </c>
      <c r="AH12" s="20">
        <f>AH13*0.000348</f>
        <v/>
      </c>
      <c r="AI12" s="20">
        <f>AI13*0.000348</f>
        <v/>
      </c>
      <c r="AJ12" s="20">
        <f>AJ13*0.000348</f>
        <v/>
      </c>
      <c r="AK12" s="20">
        <f>AK13*0.000348</f>
        <v/>
      </c>
      <c r="AL12" s="20">
        <f>AL13*0.000348</f>
        <v/>
      </c>
      <c r="AM12" s="20">
        <f>AM13*0.000348</f>
        <v/>
      </c>
      <c r="AN12" s="20">
        <f>AN13*0.000348</f>
        <v/>
      </c>
      <c r="AO12" s="20">
        <f>AO13*0.000348</f>
        <v/>
      </c>
      <c r="AP12" s="20">
        <f>AP13*0.000348</f>
        <v/>
      </c>
      <c r="AQ12" s="20">
        <f>AQ13*0.000348</f>
        <v/>
      </c>
      <c r="AR12" s="20">
        <f>AR13*0.000348</f>
        <v/>
      </c>
      <c r="AS12" s="20">
        <f>AS13*0.000348</f>
        <v/>
      </c>
      <c r="AT12" s="20">
        <f>AT13*0.000348</f>
        <v/>
      </c>
      <c r="AU12" s="20">
        <f>AU13*0.000348</f>
        <v/>
      </c>
      <c r="AV12" s="20">
        <f>AV13*0.000348</f>
        <v/>
      </c>
      <c r="AW12" s="20">
        <f>AW13*0.000348</f>
        <v/>
      </c>
      <c r="AX12" s="20">
        <f>AX13*0.000348</f>
        <v/>
      </c>
      <c r="AY12" s="20">
        <f>AY13*0.000348</f>
        <v/>
      </c>
      <c r="BA12" s="288">
        <f>SUM(I12:T12)</f>
        <v/>
      </c>
      <c r="BB12" s="274">
        <f>BA12/$BA$21</f>
        <v/>
      </c>
    </row>
    <row r="13">
      <c r="B13" s="32" t="inlineStr">
        <is>
          <t>Total Sessions</t>
        </is>
      </c>
      <c r="C13" s="34" t="n"/>
      <c r="D13" s="35">
        <f>SUM(D7:D12)</f>
        <v/>
      </c>
      <c r="E13" s="35">
        <f>SUM(E7:E12)</f>
        <v/>
      </c>
      <c r="F13" s="35">
        <f>SUM(F7:F12)</f>
        <v/>
      </c>
      <c r="G13" s="35">
        <f>SUM(G7:G12)</f>
        <v/>
      </c>
      <c r="H13" s="35">
        <f>SUM(H7:H12)</f>
        <v/>
      </c>
      <c r="I13" s="35">
        <f>SUM(I7:I12)</f>
        <v/>
      </c>
      <c r="J13" s="35">
        <f>SUM(J7:J12)</f>
        <v/>
      </c>
      <c r="K13" s="35">
        <f>SUM(K7:K12)</f>
        <v/>
      </c>
      <c r="L13" s="35">
        <f>SUM(L7:L12)</f>
        <v/>
      </c>
      <c r="M13" s="35">
        <f>SUM(M7:M12)</f>
        <v/>
      </c>
      <c r="N13" s="35">
        <f>SUM(N7:N12)</f>
        <v/>
      </c>
      <c r="O13" s="35">
        <f>SUM(O7:O12)</f>
        <v/>
      </c>
      <c r="P13" s="35">
        <f>P7+P8+P9+P10+P11+P12</f>
        <v/>
      </c>
      <c r="Q13" s="35">
        <f>Q7+Q8+Q9+Q10+Q11+Q12</f>
        <v/>
      </c>
      <c r="R13" s="35">
        <f>R7+R8+R9+R10+R11+R12</f>
        <v/>
      </c>
      <c r="S13" s="35">
        <f>S7+S8+S9+S10+S11+S12</f>
        <v/>
      </c>
      <c r="T13" s="84">
        <f>T7+T8+T9+T10+T11+T12</f>
        <v/>
      </c>
      <c r="U13" s="84">
        <f>U7+U8+U9+U10+U11+U12</f>
        <v/>
      </c>
      <c r="V13" s="84">
        <f>V7+V8+V9+V10+V11+V12</f>
        <v/>
      </c>
      <c r="W13" s="17">
        <f>'Sales Forecast'!W8*Assumptions!$C$12+'Sales Forecast'!V8*Assumptions!$D$12+'Sales Forecast'!U8*Assumptions!$E$12+'Sales Forecast'!T8*Assumptions!$F$12+'Sales Forecast'!S8*Assumptions!$G$12+'Sales Forecast'!R8*Assumptions!$H$12+'Sales Forecast'!Q8*Assumptions!$I$12</f>
        <v/>
      </c>
      <c r="X13" s="17">
        <f>'Sales Forecast'!X8*Assumptions!$C$12+'Sales Forecast'!W8*Assumptions!$D$12+'Sales Forecast'!V8*Assumptions!$E$12+'Sales Forecast'!U8*Assumptions!$F$12+'Sales Forecast'!T8*Assumptions!$G$12+'Sales Forecast'!S8*Assumptions!$H$12+'Sales Forecast'!R8*Assumptions!$I$12</f>
        <v/>
      </c>
      <c r="Y13" s="17">
        <f>'Sales Forecast'!Y8*Assumptions!$C$12+'Sales Forecast'!X8*Assumptions!$D$12+'Sales Forecast'!W8*Assumptions!$E$12+'Sales Forecast'!V8*Assumptions!$F$12+'Sales Forecast'!U8*Assumptions!$G$12+'Sales Forecast'!T8*Assumptions!$H$12+'Sales Forecast'!S8*Assumptions!$I$12</f>
        <v/>
      </c>
      <c r="Z13" s="17">
        <f>'Sales Forecast'!Z8*Assumptions!$C$12+'Sales Forecast'!Y8*Assumptions!$D$12+'Sales Forecast'!X8*Assumptions!$E$12+'Sales Forecast'!W8*Assumptions!$F$12+'Sales Forecast'!V8*Assumptions!$G$12+'Sales Forecast'!U8*Assumptions!$H$12+'Sales Forecast'!T8*Assumptions!$I$12</f>
        <v/>
      </c>
      <c r="AA13" s="17">
        <f>'Sales Forecast'!AA8*Assumptions!$C$12+'Sales Forecast'!Z8*Assumptions!$D$12+'Sales Forecast'!Y8*Assumptions!$E$12+'Sales Forecast'!X8*Assumptions!$F$12+'Sales Forecast'!W8*Assumptions!$G$12+'Sales Forecast'!V8*Assumptions!$H$12+'Sales Forecast'!U8*Assumptions!$I$12</f>
        <v/>
      </c>
      <c r="AB13" s="17">
        <f>'Sales Forecast'!AB8*Assumptions!$C$12+'Sales Forecast'!AA8*Assumptions!$D$12+'Sales Forecast'!Z8*Assumptions!$E$12+'Sales Forecast'!Y8*Assumptions!$F$12+'Sales Forecast'!X8*Assumptions!$G$12+'Sales Forecast'!W8*Assumptions!$H$12+'Sales Forecast'!V8*Assumptions!$I$12</f>
        <v/>
      </c>
      <c r="AC13" s="17">
        <f>'Sales Forecast'!AC8*Assumptions!$C$12+'Sales Forecast'!AB8*Assumptions!$D$12+'Sales Forecast'!AA8*Assumptions!$E$12+'Sales Forecast'!Z8*Assumptions!$F$12+'Sales Forecast'!Y8*Assumptions!$G$12+'Sales Forecast'!X8*Assumptions!$H$12+'Sales Forecast'!W8*Assumptions!$I$12</f>
        <v/>
      </c>
      <c r="AD13" s="17">
        <f>'Sales Forecast'!AD8*Assumptions!$C$12+'Sales Forecast'!AC8*Assumptions!$D$12+'Sales Forecast'!AB8*Assumptions!$E$12+'Sales Forecast'!AA8*Assumptions!$F$12+'Sales Forecast'!Z8*Assumptions!$G$12+'Sales Forecast'!Y8*Assumptions!$H$12+'Sales Forecast'!X8*Assumptions!$I$12</f>
        <v/>
      </c>
      <c r="AE13" s="17">
        <f>'Sales Forecast'!AE8*Assumptions!$C$12+'Sales Forecast'!AD8*Assumptions!$D$12+'Sales Forecast'!AC8*Assumptions!$E$12+'Sales Forecast'!AB8*Assumptions!$F$12+'Sales Forecast'!AA8*Assumptions!$G$12+'Sales Forecast'!Z8*Assumptions!$H$12+'Sales Forecast'!Y8*Assumptions!$I$12</f>
        <v/>
      </c>
      <c r="AF13" s="17">
        <f>'Sales Forecast'!AF8*Assumptions!$C$12+'Sales Forecast'!AE8*Assumptions!$D$12+'Sales Forecast'!AD8*Assumptions!$E$12+'Sales Forecast'!AC8*Assumptions!$F$12+'Sales Forecast'!AB8*Assumptions!$G$12+'Sales Forecast'!AA8*Assumptions!$H$12+'Sales Forecast'!Z8*Assumptions!$I$12</f>
        <v/>
      </c>
      <c r="AG13" s="17">
        <f>'Sales Forecast'!AG8*Assumptions!$C$12+'Sales Forecast'!AF8*Assumptions!$D$12+'Sales Forecast'!AE8*Assumptions!$E$12+'Sales Forecast'!AD8*Assumptions!$F$12+'Sales Forecast'!AC8*Assumptions!$G$12+'Sales Forecast'!AB8*Assumptions!$H$12+'Sales Forecast'!AA8*Assumptions!$I$12</f>
        <v/>
      </c>
      <c r="AH13" s="17">
        <f>'Sales Forecast'!AH8*Assumptions!$C$12+'Sales Forecast'!AG8*Assumptions!$D$12+'Sales Forecast'!AF8*Assumptions!$E$12+'Sales Forecast'!AE8*Assumptions!$F$12+'Sales Forecast'!AD8*Assumptions!$G$12+'Sales Forecast'!AC8*Assumptions!$H$12+'Sales Forecast'!AB8*Assumptions!$I$12</f>
        <v/>
      </c>
      <c r="AI13" s="17">
        <f>'Sales Forecast'!AI8*Assumptions!$C$12+'Sales Forecast'!AH8*Assumptions!$D$12+'Sales Forecast'!AG8*Assumptions!$E$12+'Sales Forecast'!AF8*Assumptions!$F$12+'Sales Forecast'!AE8*Assumptions!$G$12+'Sales Forecast'!AD8*Assumptions!$H$12+'Sales Forecast'!AC8*Assumptions!$I$12</f>
        <v/>
      </c>
      <c r="AJ13" s="17">
        <f>'Sales Forecast'!AJ8*Assumptions!$C$12+'Sales Forecast'!AI8*Assumptions!$D$12+'Sales Forecast'!AH8*Assumptions!$E$12+'Sales Forecast'!AG8*Assumptions!$F$12+'Sales Forecast'!AF8*Assumptions!$G$12+'Sales Forecast'!AE8*Assumptions!$H$12+'Sales Forecast'!AD8*Assumptions!$I$12</f>
        <v/>
      </c>
      <c r="AK13" s="17">
        <f>'Sales Forecast'!AK8*Assumptions!$C$12+'Sales Forecast'!AJ8*Assumptions!$D$12+'Sales Forecast'!AI8*Assumptions!$E$12+'Sales Forecast'!AH8*Assumptions!$F$12+'Sales Forecast'!AG8*Assumptions!$G$12+'Sales Forecast'!AF8*Assumptions!$H$12+'Sales Forecast'!AE8*Assumptions!$I$12</f>
        <v/>
      </c>
      <c r="AL13" s="17">
        <f>'Sales Forecast'!AL8*Assumptions!$C$12+'Sales Forecast'!AK8*Assumptions!$D$12+'Sales Forecast'!AJ8*Assumptions!$E$12+'Sales Forecast'!AI8*Assumptions!$F$12+'Sales Forecast'!AH8*Assumptions!$G$12+'Sales Forecast'!AG8*Assumptions!$H$12+'Sales Forecast'!AF8*Assumptions!$I$12</f>
        <v/>
      </c>
      <c r="AM13" s="17">
        <f>'Sales Forecast'!AM8*Assumptions!$C$12+'Sales Forecast'!AL8*Assumptions!$D$12+'Sales Forecast'!AK8*Assumptions!$E$12+'Sales Forecast'!AJ8*Assumptions!$F$12+'Sales Forecast'!AI8*Assumptions!$G$12+'Sales Forecast'!AH8*Assumptions!$H$12+'Sales Forecast'!AG8*Assumptions!$I$12</f>
        <v/>
      </c>
      <c r="AN13" s="17">
        <f>'Sales Forecast'!AN8*Assumptions!$C$12+'Sales Forecast'!AM8*Assumptions!$D$12+'Sales Forecast'!AL8*Assumptions!$E$12+'Sales Forecast'!AK8*Assumptions!$F$12+'Sales Forecast'!AJ8*Assumptions!$G$12+'Sales Forecast'!AI8*Assumptions!$H$12+'Sales Forecast'!AH8*Assumptions!$I$12</f>
        <v/>
      </c>
      <c r="AO13" s="17">
        <f>'Sales Forecast'!AO8*Assumptions!$C$12+'Sales Forecast'!AN8*Assumptions!$D$12+'Sales Forecast'!AM8*Assumptions!$E$12+'Sales Forecast'!AL8*Assumptions!$F$12+'Sales Forecast'!AK8*Assumptions!$G$12+'Sales Forecast'!AJ8*Assumptions!$H$12+'Sales Forecast'!AI8*Assumptions!$I$12</f>
        <v/>
      </c>
      <c r="AP13" s="17">
        <f>'Sales Forecast'!AP8*Assumptions!$C$12+'Sales Forecast'!AO8*Assumptions!$D$12+'Sales Forecast'!AN8*Assumptions!$E$12+'Sales Forecast'!AM8*Assumptions!$F$12+'Sales Forecast'!AL8*Assumptions!$G$12+'Sales Forecast'!AK8*Assumptions!$H$12+'Sales Forecast'!AJ8*Assumptions!$I$12</f>
        <v/>
      </c>
      <c r="AQ13" s="17">
        <f>'Sales Forecast'!AQ8*Assumptions!$C$12+'Sales Forecast'!AP8*Assumptions!$D$12+'Sales Forecast'!AO8*Assumptions!$E$12+'Sales Forecast'!AN8*Assumptions!$F$12+'Sales Forecast'!AM8*Assumptions!$G$12+'Sales Forecast'!AL8*Assumptions!$H$12+'Sales Forecast'!AK8*Assumptions!$I$12</f>
        <v/>
      </c>
      <c r="AR13" s="17">
        <f>'Sales Forecast'!AR8*Assumptions!$C$12+'Sales Forecast'!AQ8*Assumptions!$D$12+'Sales Forecast'!AP8*Assumptions!$E$12+'Sales Forecast'!AO8*Assumptions!$F$12+'Sales Forecast'!AN8*Assumptions!$G$12+'Sales Forecast'!AM8*Assumptions!$H$12+'Sales Forecast'!AL8*Assumptions!$I$12</f>
        <v/>
      </c>
      <c r="AS13" s="17">
        <f>'Sales Forecast'!AS8*Assumptions!$C$12+'Sales Forecast'!AR8*Assumptions!$D$12+'Sales Forecast'!AQ8*Assumptions!$E$12+'Sales Forecast'!AP8*Assumptions!$F$12+'Sales Forecast'!AO8*Assumptions!$G$12+'Sales Forecast'!AN8*Assumptions!$H$12+'Sales Forecast'!AM8*Assumptions!$I$12</f>
        <v/>
      </c>
      <c r="AT13" s="17">
        <f>'Sales Forecast'!AT8*Assumptions!$C$12+'Sales Forecast'!AS8*Assumptions!$D$12+'Sales Forecast'!AR8*Assumptions!$E$12+'Sales Forecast'!AQ8*Assumptions!$F$12+'Sales Forecast'!AP8*Assumptions!$G$12+'Sales Forecast'!AO8*Assumptions!$H$12+'Sales Forecast'!AN8*Assumptions!$I$12</f>
        <v/>
      </c>
      <c r="AU13" s="17">
        <f>'Sales Forecast'!AU8*Assumptions!$C$12+'Sales Forecast'!AT8*Assumptions!$D$12+'Sales Forecast'!AS8*Assumptions!$E$12+'Sales Forecast'!AR8*Assumptions!$F$12+'Sales Forecast'!AQ8*Assumptions!$G$12+'Sales Forecast'!AP8*Assumptions!$H$12+'Sales Forecast'!AO8*Assumptions!$I$12</f>
        <v/>
      </c>
      <c r="AV13" s="17">
        <f>'Sales Forecast'!AV8*Assumptions!$C$12+'Sales Forecast'!AU8*Assumptions!$D$12+'Sales Forecast'!AT8*Assumptions!$E$12+'Sales Forecast'!AS8*Assumptions!$F$12+'Sales Forecast'!AR8*Assumptions!$G$12+'Sales Forecast'!AQ8*Assumptions!$H$12+'Sales Forecast'!AP8*Assumptions!$I$12</f>
        <v/>
      </c>
      <c r="AW13" s="17">
        <f>'Sales Forecast'!AW8*Assumptions!$C$12+'Sales Forecast'!AV8*Assumptions!$D$12+'Sales Forecast'!AU8*Assumptions!$E$12+'Sales Forecast'!AT8*Assumptions!$F$12+'Sales Forecast'!AS8*Assumptions!$G$12+'Sales Forecast'!AR8*Assumptions!$H$12+'Sales Forecast'!AQ8*Assumptions!$I$12</f>
        <v/>
      </c>
      <c r="AX13" s="17">
        <f>'Sales Forecast'!AX8*Assumptions!$C$12+'Sales Forecast'!AW8*Assumptions!$D$12+'Sales Forecast'!AV8*Assumptions!$E$12+'Sales Forecast'!AU8*Assumptions!$F$12+'Sales Forecast'!AT8*Assumptions!$G$12+'Sales Forecast'!AS8*Assumptions!$H$12+'Sales Forecast'!AR8*Assumptions!$I$12</f>
        <v/>
      </c>
      <c r="AY13" s="17">
        <f>'Sales Forecast'!AY8*Assumptions!$C$12+'Sales Forecast'!AX8*Assumptions!$D$12+'Sales Forecast'!AW8*Assumptions!$E$12+'Sales Forecast'!AV8*Assumptions!$F$12+'Sales Forecast'!AU8*Assumptions!$G$12+'Sales Forecast'!AT8*Assumptions!$H$12+'Sales Forecast'!AS8*Assumptions!$I$12</f>
        <v/>
      </c>
      <c r="BA13" s="288" t="n"/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42</v>
      </c>
      <c r="I14" s="19" t="n">
        <v>68.47</v>
      </c>
      <c r="J14" s="19" t="n">
        <v>884.9299999999999</v>
      </c>
      <c r="K14" s="19" t="n">
        <v>2563.2</v>
      </c>
      <c r="L14" s="19" t="n">
        <v>2945.07</v>
      </c>
      <c r="M14" s="19" t="n">
        <v>3639.53</v>
      </c>
      <c r="N14" s="19" t="n">
        <v>4154.15</v>
      </c>
      <c r="O14" s="19" t="n">
        <v>4618.26</v>
      </c>
      <c r="P14" s="19" t="n">
        <v>3417.25</v>
      </c>
      <c r="Q14" s="19" t="n">
        <v>3639.02</v>
      </c>
      <c r="R14" s="19" t="n">
        <v>3973.02</v>
      </c>
      <c r="S14" s="19" t="n">
        <v>3208.35</v>
      </c>
      <c r="T14" s="83" t="n">
        <v>4144.05</v>
      </c>
      <c r="U14" s="83" t="n">
        <v>2655.35</v>
      </c>
      <c r="V14" s="83" t="n">
        <v>3577.75</v>
      </c>
      <c r="W14" s="20">
        <f>W17*0.958916</f>
        <v/>
      </c>
      <c r="X14" s="20">
        <f>X17*0.958916</f>
        <v/>
      </c>
      <c r="Y14" s="20">
        <f>Y17*0.958916</f>
        <v/>
      </c>
      <c r="Z14" s="20">
        <f>Z17*0.958916</f>
        <v/>
      </c>
      <c r="AA14" s="20">
        <f>AA17*0.958916</f>
        <v/>
      </c>
      <c r="AB14" s="20">
        <f>AB17*0.958916</f>
        <v/>
      </c>
      <c r="AC14" s="20">
        <f>AC17*0.958916</f>
        <v/>
      </c>
      <c r="AD14" s="20">
        <f>AD17*0.958916</f>
        <v/>
      </c>
      <c r="AE14" s="20">
        <f>AE17*0.958916</f>
        <v/>
      </c>
      <c r="AF14" s="20">
        <f>AF17*0.958916</f>
        <v/>
      </c>
      <c r="AG14" s="20">
        <f>AG17*0.958916</f>
        <v/>
      </c>
      <c r="AH14" s="20">
        <f>AH17*0.958916</f>
        <v/>
      </c>
      <c r="AI14" s="20">
        <f>AI17*0.958916</f>
        <v/>
      </c>
      <c r="AJ14" s="20">
        <f>AJ17*0.958916</f>
        <v/>
      </c>
      <c r="AK14" s="20">
        <f>AK17*0.958916</f>
        <v/>
      </c>
      <c r="AL14" s="20">
        <f>AL17*0.958916</f>
        <v/>
      </c>
      <c r="AM14" s="20">
        <f>AM17*0.958916</f>
        <v/>
      </c>
      <c r="AN14" s="20">
        <f>AN17*0.958916</f>
        <v/>
      </c>
      <c r="AO14" s="20">
        <f>AO17*0.958916</f>
        <v/>
      </c>
      <c r="AP14" s="20">
        <f>AP17*0.958916</f>
        <v/>
      </c>
      <c r="AQ14" s="20">
        <f>AQ17*0.958916</f>
        <v/>
      </c>
      <c r="AR14" s="20">
        <f>AR17*0.958916</f>
        <v/>
      </c>
      <c r="AS14" s="20">
        <f>AS17*0.958916</f>
        <v/>
      </c>
      <c r="AT14" s="20">
        <f>AT17*0.958916</f>
        <v/>
      </c>
      <c r="AU14" s="20">
        <f>AU17*0.958916</f>
        <v/>
      </c>
      <c r="AV14" s="20">
        <f>AV17*0.958916</f>
        <v/>
      </c>
      <c r="AW14" s="20">
        <f>AW17*0.958916</f>
        <v/>
      </c>
      <c r="AX14" s="20">
        <f>AX17*0.958916</f>
        <v/>
      </c>
      <c r="AY14" s="20">
        <f>AY17*0.958916</f>
        <v/>
      </c>
      <c r="BA14" s="288">
        <f>SUM(I14:T14)</f>
        <v/>
      </c>
      <c r="BB14" s="274">
        <f>BA14/$BA$21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375</v>
      </c>
      <c r="K15" s="19" t="n">
        <v>0</v>
      </c>
      <c r="L15" s="19" t="n">
        <v>0</v>
      </c>
      <c r="M15" s="19" t="n">
        <v>460</v>
      </c>
      <c r="N15" s="19" t="n">
        <v>0</v>
      </c>
      <c r="O15" s="19" t="n">
        <v>200</v>
      </c>
      <c r="P15" s="19" t="n">
        <v>0</v>
      </c>
      <c r="Q15" s="19" t="n">
        <v>150</v>
      </c>
      <c r="R15" s="19" t="n">
        <v>460</v>
      </c>
      <c r="S15" s="19" t="n">
        <v>0</v>
      </c>
      <c r="T15" s="83" t="n">
        <v>200</v>
      </c>
      <c r="U15" s="83" t="n">
        <v>365</v>
      </c>
      <c r="V15" s="83" t="n">
        <v>96.67</v>
      </c>
      <c r="W15" s="20">
        <f>W17*0.041084</f>
        <v/>
      </c>
      <c r="X15" s="20">
        <f>X17*0.041084</f>
        <v/>
      </c>
      <c r="Y15" s="20">
        <f>Y17*0.041084</f>
        <v/>
      </c>
      <c r="Z15" s="20">
        <f>Z17*0.041084</f>
        <v/>
      </c>
      <c r="AA15" s="20">
        <f>AA17*0.041084</f>
        <v/>
      </c>
      <c r="AB15" s="20">
        <f>AB17*0.041084</f>
        <v/>
      </c>
      <c r="AC15" s="20">
        <f>AC17*0.041084</f>
        <v/>
      </c>
      <c r="AD15" s="20">
        <f>AD17*0.041084</f>
        <v/>
      </c>
      <c r="AE15" s="20">
        <f>AE17*0.041084</f>
        <v/>
      </c>
      <c r="AF15" s="20">
        <f>AF17*0.041084</f>
        <v/>
      </c>
      <c r="AG15" s="20">
        <f>AG17*0.041084</f>
        <v/>
      </c>
      <c r="AH15" s="20">
        <f>AH17*0.041084</f>
        <v/>
      </c>
      <c r="AI15" s="20">
        <f>AI17*0.041084</f>
        <v/>
      </c>
      <c r="AJ15" s="20">
        <f>AJ17*0.041084</f>
        <v/>
      </c>
      <c r="AK15" s="20">
        <f>AK17*0.041084</f>
        <v/>
      </c>
      <c r="AL15" s="20">
        <f>AL17*0.041084</f>
        <v/>
      </c>
      <c r="AM15" s="20">
        <f>AM17*0.041084</f>
        <v/>
      </c>
      <c r="AN15" s="20">
        <f>AN17*0.041084</f>
        <v/>
      </c>
      <c r="AO15" s="20">
        <f>AO17*0.041084</f>
        <v/>
      </c>
      <c r="AP15" s="20">
        <f>AP17*0.041084</f>
        <v/>
      </c>
      <c r="AQ15" s="20">
        <f>AQ17*0.041084</f>
        <v/>
      </c>
      <c r="AR15" s="20">
        <f>AR17*0.041084</f>
        <v/>
      </c>
      <c r="AS15" s="20">
        <f>AS17*0.041084</f>
        <v/>
      </c>
      <c r="AT15" s="20">
        <f>AT17*0.041084</f>
        <v/>
      </c>
      <c r="AU15" s="20">
        <f>AU17*0.041084</f>
        <v/>
      </c>
      <c r="AV15" s="20">
        <f>AV17*0.041084</f>
        <v/>
      </c>
      <c r="AW15" s="20">
        <f>AW17*0.041084</f>
        <v/>
      </c>
      <c r="AX15" s="20">
        <f>AX17*0.041084</f>
        <v/>
      </c>
      <c r="AY15" s="20">
        <f>AY17*0.041084</f>
        <v/>
      </c>
      <c r="BA15" s="288">
        <f>SUM(I15:T15)</f>
        <v/>
      </c>
      <c r="BB15" s="274">
        <f>BA15/$BA$21</f>
        <v/>
      </c>
    </row>
    <row r="16">
      <c r="B16" s="33" t="inlineStr">
        <is>
          <t>403004 Other Breakage (incl MTT Breakage)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3" t="n">
        <v>0</v>
      </c>
      <c r="U16" s="83" t="n">
        <v>0</v>
      </c>
      <c r="V16" s="83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  <c r="BA16" s="288">
        <f>SUM(I16:T16)</f>
        <v/>
      </c>
      <c r="BB16" s="274">
        <f>BA16/$BA$21</f>
        <v/>
      </c>
    </row>
    <row r="17">
      <c r="B17" s="32" t="inlineStr">
        <is>
          <t>Total Breakage Revenue</t>
        </is>
      </c>
      <c r="C17" s="34" t="n"/>
      <c r="D17" s="35">
        <f>SUM(D14:D16)</f>
        <v/>
      </c>
      <c r="E17" s="35">
        <f>SUM(E14:E16)</f>
        <v/>
      </c>
      <c r="F17" s="35">
        <f>SUM(F14:F16)</f>
        <v/>
      </c>
      <c r="G17" s="35">
        <f>SUM(G14:G16)</f>
        <v/>
      </c>
      <c r="H17" s="35">
        <f>SUM(H14:H16)</f>
        <v/>
      </c>
      <c r="I17" s="35">
        <f>SUM(I14:I16)</f>
        <v/>
      </c>
      <c r="J17" s="35">
        <f>SUM(J14:J16)</f>
        <v/>
      </c>
      <c r="K17" s="35">
        <f>SUM(K14:K16)</f>
        <v/>
      </c>
      <c r="L17" s="35">
        <f>SUM(L14:L16)</f>
        <v/>
      </c>
      <c r="M17" s="35">
        <f>SUM(M14:M16)</f>
        <v/>
      </c>
      <c r="N17" s="35">
        <f>SUM(N14:N16)</f>
        <v/>
      </c>
      <c r="O17" s="35">
        <f>SUM(O14:O16)</f>
        <v/>
      </c>
      <c r="P17" s="35">
        <f>P14+P15+P16</f>
        <v/>
      </c>
      <c r="Q17" s="35">
        <f>Q14+Q15+Q16</f>
        <v/>
      </c>
      <c r="R17" s="35">
        <f>R14+R15+R16</f>
        <v/>
      </c>
      <c r="S17" s="35">
        <f>S14+S15+S16</f>
        <v/>
      </c>
      <c r="T17" s="84">
        <f>T14+T15+T16</f>
        <v/>
      </c>
      <c r="U17" s="84">
        <f>U14+U15+U16</f>
        <v/>
      </c>
      <c r="V17" s="84">
        <f>V14+V15+V16</f>
        <v/>
      </c>
      <c r="W17" s="17">
        <f>'Sales Forecast'!W8*Assumptions!$C$13+'Sales Forecast'!V8*Assumptions!$D$13+'Sales Forecast'!U8*Assumptions!$E$13+'Sales Forecast'!T8*Assumptions!$F$13+'Sales Forecast'!S8*Assumptions!$G$13+'Sales Forecast'!R8*Assumptions!$H$13+'Sales Forecast'!Q8*Assumptions!$I$13</f>
        <v/>
      </c>
      <c r="X17" s="17">
        <f>'Sales Forecast'!X8*Assumptions!$C$13+'Sales Forecast'!W8*Assumptions!$D$13+'Sales Forecast'!V8*Assumptions!$E$13+'Sales Forecast'!U8*Assumptions!$F$13+'Sales Forecast'!T8*Assumptions!$G$13+'Sales Forecast'!S8*Assumptions!$H$13+'Sales Forecast'!R8*Assumptions!$I$13</f>
        <v/>
      </c>
      <c r="Y17" s="17">
        <f>'Sales Forecast'!Y8*Assumptions!$C$13+'Sales Forecast'!X8*Assumptions!$D$13+'Sales Forecast'!W8*Assumptions!$E$13+'Sales Forecast'!V8*Assumptions!$F$13+'Sales Forecast'!U8*Assumptions!$G$13+'Sales Forecast'!T8*Assumptions!$H$13+'Sales Forecast'!S8*Assumptions!$I$13</f>
        <v/>
      </c>
      <c r="Z17" s="17">
        <f>'Sales Forecast'!Z8*Assumptions!$C$13+'Sales Forecast'!Y8*Assumptions!$D$13+'Sales Forecast'!X8*Assumptions!$E$13+'Sales Forecast'!W8*Assumptions!$F$13+'Sales Forecast'!V8*Assumptions!$G$13+'Sales Forecast'!U8*Assumptions!$H$13+'Sales Forecast'!T8*Assumptions!$I$13</f>
        <v/>
      </c>
      <c r="AA17" s="17">
        <f>'Sales Forecast'!AA8*Assumptions!$C$13+'Sales Forecast'!Z8*Assumptions!$D$13+'Sales Forecast'!Y8*Assumptions!$E$13+'Sales Forecast'!X8*Assumptions!$F$13+'Sales Forecast'!W8*Assumptions!$G$13+'Sales Forecast'!V8*Assumptions!$H$13+'Sales Forecast'!U8*Assumptions!$I$13</f>
        <v/>
      </c>
      <c r="AB17" s="17">
        <f>'Sales Forecast'!AB8*Assumptions!$C$13+'Sales Forecast'!AA8*Assumptions!$D$13+'Sales Forecast'!Z8*Assumptions!$E$13+'Sales Forecast'!Y8*Assumptions!$F$13+'Sales Forecast'!X8*Assumptions!$G$13+'Sales Forecast'!W8*Assumptions!$H$13+'Sales Forecast'!V8*Assumptions!$I$13</f>
        <v/>
      </c>
      <c r="AC17" s="17">
        <f>'Sales Forecast'!AC8*Assumptions!$C$13+'Sales Forecast'!AB8*Assumptions!$D$13+'Sales Forecast'!AA8*Assumptions!$E$13+'Sales Forecast'!Z8*Assumptions!$F$13+'Sales Forecast'!Y8*Assumptions!$G$13+'Sales Forecast'!X8*Assumptions!$H$13+'Sales Forecast'!W8*Assumptions!$I$13</f>
        <v/>
      </c>
      <c r="AD17" s="17">
        <f>'Sales Forecast'!AD8*Assumptions!$C$13+'Sales Forecast'!AC8*Assumptions!$D$13+'Sales Forecast'!AB8*Assumptions!$E$13+'Sales Forecast'!AA8*Assumptions!$F$13+'Sales Forecast'!Z8*Assumptions!$G$13+'Sales Forecast'!Y8*Assumptions!$H$13+'Sales Forecast'!X8*Assumptions!$I$13</f>
        <v/>
      </c>
      <c r="AE17" s="17">
        <f>'Sales Forecast'!AE8*Assumptions!$C$13+'Sales Forecast'!AD8*Assumptions!$D$13+'Sales Forecast'!AC8*Assumptions!$E$13+'Sales Forecast'!AB8*Assumptions!$F$13+'Sales Forecast'!AA8*Assumptions!$G$13+'Sales Forecast'!Z8*Assumptions!$H$13+'Sales Forecast'!Y8*Assumptions!$I$13</f>
        <v/>
      </c>
      <c r="AF17" s="17">
        <f>'Sales Forecast'!AF8*Assumptions!$C$13+'Sales Forecast'!AE8*Assumptions!$D$13+'Sales Forecast'!AD8*Assumptions!$E$13+'Sales Forecast'!AC8*Assumptions!$F$13+'Sales Forecast'!AB8*Assumptions!$G$13+'Sales Forecast'!AA8*Assumptions!$H$13+'Sales Forecast'!Z8*Assumptions!$I$13</f>
        <v/>
      </c>
      <c r="AG17" s="17">
        <f>'Sales Forecast'!AG8*Assumptions!$C$13+'Sales Forecast'!AF8*Assumptions!$D$13+'Sales Forecast'!AE8*Assumptions!$E$13+'Sales Forecast'!AD8*Assumptions!$F$13+'Sales Forecast'!AC8*Assumptions!$G$13+'Sales Forecast'!AB8*Assumptions!$H$13+'Sales Forecast'!AA8*Assumptions!$I$13</f>
        <v/>
      </c>
      <c r="AH17" s="17">
        <f>'Sales Forecast'!AH8*Assumptions!$C$13+'Sales Forecast'!AG8*Assumptions!$D$13+'Sales Forecast'!AF8*Assumptions!$E$13+'Sales Forecast'!AE8*Assumptions!$F$13+'Sales Forecast'!AD8*Assumptions!$G$13+'Sales Forecast'!AC8*Assumptions!$H$13+'Sales Forecast'!AB8*Assumptions!$I$13</f>
        <v/>
      </c>
      <c r="AI17" s="17">
        <f>'Sales Forecast'!AI8*Assumptions!$C$13+'Sales Forecast'!AH8*Assumptions!$D$13+'Sales Forecast'!AG8*Assumptions!$E$13+'Sales Forecast'!AF8*Assumptions!$F$13+'Sales Forecast'!AE8*Assumptions!$G$13+'Sales Forecast'!AD8*Assumptions!$H$13+'Sales Forecast'!AC8*Assumptions!$I$13</f>
        <v/>
      </c>
      <c r="AJ17" s="17">
        <f>'Sales Forecast'!AJ8*Assumptions!$C$13+'Sales Forecast'!AI8*Assumptions!$D$13+'Sales Forecast'!AH8*Assumptions!$E$13+'Sales Forecast'!AG8*Assumptions!$F$13+'Sales Forecast'!AF8*Assumptions!$G$13+'Sales Forecast'!AE8*Assumptions!$H$13+'Sales Forecast'!AD8*Assumptions!$I$13</f>
        <v/>
      </c>
      <c r="AK17" s="17">
        <f>'Sales Forecast'!AK8*Assumptions!$C$13+'Sales Forecast'!AJ8*Assumptions!$D$13+'Sales Forecast'!AI8*Assumptions!$E$13+'Sales Forecast'!AH8*Assumptions!$F$13+'Sales Forecast'!AG8*Assumptions!$G$13+'Sales Forecast'!AF8*Assumptions!$H$13+'Sales Forecast'!AE8*Assumptions!$I$13</f>
        <v/>
      </c>
      <c r="AL17" s="17">
        <f>'Sales Forecast'!AL8*Assumptions!$C$13+'Sales Forecast'!AK8*Assumptions!$D$13+'Sales Forecast'!AJ8*Assumptions!$E$13+'Sales Forecast'!AI8*Assumptions!$F$13+'Sales Forecast'!AH8*Assumptions!$G$13+'Sales Forecast'!AG8*Assumptions!$H$13+'Sales Forecast'!AF8*Assumptions!$I$13</f>
        <v/>
      </c>
      <c r="AM17" s="17">
        <f>'Sales Forecast'!AM8*Assumptions!$C$13+'Sales Forecast'!AL8*Assumptions!$D$13+'Sales Forecast'!AK8*Assumptions!$E$13+'Sales Forecast'!AJ8*Assumptions!$F$13+'Sales Forecast'!AI8*Assumptions!$G$13+'Sales Forecast'!AH8*Assumptions!$H$13+'Sales Forecast'!AG8*Assumptions!$I$13</f>
        <v/>
      </c>
      <c r="AN17" s="17">
        <f>'Sales Forecast'!AN8*Assumptions!$C$13+'Sales Forecast'!AM8*Assumptions!$D$13+'Sales Forecast'!AL8*Assumptions!$E$13+'Sales Forecast'!AK8*Assumptions!$F$13+'Sales Forecast'!AJ8*Assumptions!$G$13+'Sales Forecast'!AI8*Assumptions!$H$13+'Sales Forecast'!AH8*Assumptions!$I$13</f>
        <v/>
      </c>
      <c r="AO17" s="17">
        <f>'Sales Forecast'!AO8*Assumptions!$C$13+'Sales Forecast'!AN8*Assumptions!$D$13+'Sales Forecast'!AM8*Assumptions!$E$13+'Sales Forecast'!AL8*Assumptions!$F$13+'Sales Forecast'!AK8*Assumptions!$G$13+'Sales Forecast'!AJ8*Assumptions!$H$13+'Sales Forecast'!AI8*Assumptions!$I$13</f>
        <v/>
      </c>
      <c r="AP17" s="17">
        <f>'Sales Forecast'!AP8*Assumptions!$C$13+'Sales Forecast'!AO8*Assumptions!$D$13+'Sales Forecast'!AN8*Assumptions!$E$13+'Sales Forecast'!AM8*Assumptions!$F$13+'Sales Forecast'!AL8*Assumptions!$G$13+'Sales Forecast'!AK8*Assumptions!$H$13+'Sales Forecast'!AJ8*Assumptions!$I$13</f>
        <v/>
      </c>
      <c r="AQ17" s="17">
        <f>'Sales Forecast'!AQ8*Assumptions!$C$13+'Sales Forecast'!AP8*Assumptions!$D$13+'Sales Forecast'!AO8*Assumptions!$E$13+'Sales Forecast'!AN8*Assumptions!$F$13+'Sales Forecast'!AM8*Assumptions!$G$13+'Sales Forecast'!AL8*Assumptions!$H$13+'Sales Forecast'!AK8*Assumptions!$I$13</f>
        <v/>
      </c>
      <c r="AR17" s="17">
        <f>'Sales Forecast'!AR8*Assumptions!$C$13+'Sales Forecast'!AQ8*Assumptions!$D$13+'Sales Forecast'!AP8*Assumptions!$E$13+'Sales Forecast'!AO8*Assumptions!$F$13+'Sales Forecast'!AN8*Assumptions!$G$13+'Sales Forecast'!AM8*Assumptions!$H$13+'Sales Forecast'!AL8*Assumptions!$I$13</f>
        <v/>
      </c>
      <c r="AS17" s="17">
        <f>'Sales Forecast'!AS8*Assumptions!$C$13+'Sales Forecast'!AR8*Assumptions!$D$13+'Sales Forecast'!AQ8*Assumptions!$E$13+'Sales Forecast'!AP8*Assumptions!$F$13+'Sales Forecast'!AO8*Assumptions!$G$13+'Sales Forecast'!AN8*Assumptions!$H$13+'Sales Forecast'!AM8*Assumptions!$I$13</f>
        <v/>
      </c>
      <c r="AT17" s="17">
        <f>'Sales Forecast'!AT8*Assumptions!$C$13+'Sales Forecast'!AS8*Assumptions!$D$13+'Sales Forecast'!AR8*Assumptions!$E$13+'Sales Forecast'!AQ8*Assumptions!$F$13+'Sales Forecast'!AP8*Assumptions!$G$13+'Sales Forecast'!AO8*Assumptions!$H$13+'Sales Forecast'!AN8*Assumptions!$I$13</f>
        <v/>
      </c>
      <c r="AU17" s="17">
        <f>'Sales Forecast'!AU8*Assumptions!$C$13+'Sales Forecast'!AT8*Assumptions!$D$13+'Sales Forecast'!AS8*Assumptions!$E$13+'Sales Forecast'!AR8*Assumptions!$F$13+'Sales Forecast'!AQ8*Assumptions!$G$13+'Sales Forecast'!AP8*Assumptions!$H$13+'Sales Forecast'!AO8*Assumptions!$I$13</f>
        <v/>
      </c>
      <c r="AV17" s="17">
        <f>'Sales Forecast'!AV8*Assumptions!$C$13+'Sales Forecast'!AU8*Assumptions!$D$13+'Sales Forecast'!AT8*Assumptions!$E$13+'Sales Forecast'!AS8*Assumptions!$F$13+'Sales Forecast'!AR8*Assumptions!$G$13+'Sales Forecast'!AQ8*Assumptions!$H$13+'Sales Forecast'!AP8*Assumptions!$I$13</f>
        <v/>
      </c>
      <c r="AW17" s="17">
        <f>'Sales Forecast'!AW8*Assumptions!$C$13+'Sales Forecast'!AV8*Assumptions!$D$13+'Sales Forecast'!AU8*Assumptions!$E$13+'Sales Forecast'!AT8*Assumptions!$F$13+'Sales Forecast'!AS8*Assumptions!$G$13+'Sales Forecast'!AR8*Assumptions!$H$13+'Sales Forecast'!AQ8*Assumptions!$I$13</f>
        <v/>
      </c>
      <c r="AX17" s="17">
        <f>'Sales Forecast'!AX8*Assumptions!$C$13+'Sales Forecast'!AW8*Assumptions!$D$13+'Sales Forecast'!AV8*Assumptions!$E$13+'Sales Forecast'!AU8*Assumptions!$F$13+'Sales Forecast'!AT8*Assumptions!$G$13+'Sales Forecast'!AS8*Assumptions!$H$13+'Sales Forecast'!AR8*Assumptions!$I$13</f>
        <v/>
      </c>
      <c r="AY17" s="17">
        <f>'Sales Forecast'!AY8*Assumptions!$C$13+'Sales Forecast'!AX8*Assumptions!$D$13+'Sales Forecast'!AW8*Assumptions!$E$13+'Sales Forecast'!AV8*Assumptions!$F$13+'Sales Forecast'!AU8*Assumptions!$G$13+'Sales Forecast'!AT8*Assumptions!$H$13+'Sales Forecast'!AS8*Assumptions!$I$13</f>
        <v/>
      </c>
      <c r="BA17" s="288" t="n"/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1358</v>
      </c>
      <c r="J18" s="19" t="n">
        <v>1060</v>
      </c>
      <c r="K18" s="19" t="n">
        <v>1032</v>
      </c>
      <c r="L18" s="19" t="n">
        <v>686</v>
      </c>
      <c r="M18" s="19" t="n">
        <v>954</v>
      </c>
      <c r="N18" s="19" t="n">
        <v>687.2</v>
      </c>
      <c r="O18" s="19" t="n">
        <v>998</v>
      </c>
      <c r="P18" s="19" t="n">
        <v>768</v>
      </c>
      <c r="Q18" s="19" t="n">
        <v>416</v>
      </c>
      <c r="R18" s="19" t="n">
        <v>528</v>
      </c>
      <c r="S18" s="19" t="n">
        <v>598</v>
      </c>
      <c r="T18" s="83" t="n">
        <v>332</v>
      </c>
      <c r="U18" s="83" t="n">
        <v>717</v>
      </c>
      <c r="V18" s="83" t="n">
        <v>418</v>
      </c>
      <c r="W18" s="20">
        <f>577.5</f>
        <v/>
      </c>
      <c r="X18" s="20">
        <f>577.5</f>
        <v/>
      </c>
      <c r="Y18" s="20">
        <f>577.5</f>
        <v/>
      </c>
      <c r="Z18" s="20">
        <f>577.5</f>
        <v/>
      </c>
      <c r="AA18" s="20">
        <f>577.5</f>
        <v/>
      </c>
      <c r="AB18" s="20">
        <f>577.5</f>
        <v/>
      </c>
      <c r="AC18" s="20">
        <f>577.5</f>
        <v/>
      </c>
      <c r="AD18" s="20">
        <f>577.5</f>
        <v/>
      </c>
      <c r="AE18" s="20">
        <f>577.5</f>
        <v/>
      </c>
      <c r="AF18" s="20">
        <f>577.5</f>
        <v/>
      </c>
      <c r="AG18" s="20">
        <f>577.5</f>
        <v/>
      </c>
      <c r="AH18" s="20">
        <f>577.5</f>
        <v/>
      </c>
      <c r="AI18" s="20">
        <f>577.5</f>
        <v/>
      </c>
      <c r="AJ18" s="20">
        <f>577.5</f>
        <v/>
      </c>
      <c r="AK18" s="20">
        <f>577.5</f>
        <v/>
      </c>
      <c r="AL18" s="20">
        <f>577.5</f>
        <v/>
      </c>
      <c r="AM18" s="20">
        <f>577.5</f>
        <v/>
      </c>
      <c r="AN18" s="20">
        <f>577.5</f>
        <v/>
      </c>
      <c r="AO18" s="20">
        <f>577.5</f>
        <v/>
      </c>
      <c r="AP18" s="20">
        <f>577.5</f>
        <v/>
      </c>
      <c r="AQ18" s="20">
        <f>577.5</f>
        <v/>
      </c>
      <c r="AR18" s="20">
        <f>577.5</f>
        <v/>
      </c>
      <c r="AS18" s="20">
        <f>577.5</f>
        <v/>
      </c>
      <c r="AT18" s="20">
        <f>577.5</f>
        <v/>
      </c>
      <c r="AU18" s="20">
        <f>577.5</f>
        <v/>
      </c>
      <c r="AV18" s="20">
        <f>577.5</f>
        <v/>
      </c>
      <c r="AW18" s="20">
        <f>577.5</f>
        <v/>
      </c>
      <c r="AX18" s="20">
        <f>577.5</f>
        <v/>
      </c>
      <c r="AY18" s="20">
        <f>577.5</f>
        <v/>
      </c>
      <c r="BA18" s="288">
        <f>SUM(I18:T18)</f>
        <v/>
      </c>
      <c r="BB18" s="274">
        <f>BA18/$BA$21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-89</v>
      </c>
      <c r="J19" s="19" t="n">
        <v>-133</v>
      </c>
      <c r="K19" s="19" t="n">
        <v>-542</v>
      </c>
      <c r="L19" s="19" t="n">
        <v>-685</v>
      </c>
      <c r="M19" s="19" t="n">
        <v>-245</v>
      </c>
      <c r="N19" s="19" t="n">
        <v>-99</v>
      </c>
      <c r="O19" s="19" t="n">
        <v>-834</v>
      </c>
      <c r="P19" s="19" t="n">
        <v>0</v>
      </c>
      <c r="Q19" s="19" t="n">
        <v>0</v>
      </c>
      <c r="R19" s="19" t="n">
        <v>-245</v>
      </c>
      <c r="S19" s="19" t="n">
        <v>-245</v>
      </c>
      <c r="T19" s="19" t="n">
        <v>-245</v>
      </c>
      <c r="U19" s="19" t="n">
        <v>-245</v>
      </c>
      <c r="V19" s="19" t="n">
        <v>-533</v>
      </c>
      <c r="W19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Forecast'!Q8*Assumptions!$I$13+577.5)*Assumptions!$C$17</f>
        <v/>
      </c>
      <c r="X19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Forecast'!R8*Assumptions!$I$13+577.5)*Assumptions!$C$17</f>
        <v/>
      </c>
      <c r="Y19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Forecast'!S8*Assumptions!$I$13+577.5)*Assumptions!$C$17</f>
        <v/>
      </c>
      <c r="Z19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Forecast'!T8*Assumptions!$I$13+577.5)*Assumptions!$C$17</f>
        <v/>
      </c>
      <c r="AA19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Forecast'!U8*Assumptions!$I$13+577.5)*Assumptions!$C$17</f>
        <v/>
      </c>
      <c r="AB19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Forecast'!V8*Assumptions!$I$13+577.5)*Assumptions!$C$17</f>
        <v/>
      </c>
      <c r="AC19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Forecast'!W8*Assumptions!$I$13+577.5)*Assumptions!$C$17</f>
        <v/>
      </c>
      <c r="AD19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Forecast'!X8*Assumptions!$I$13+577.5)*Assumptions!$C$17</f>
        <v/>
      </c>
      <c r="AE19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Forecast'!Y8*Assumptions!$I$13+577.5)*Assumptions!$C$17</f>
        <v/>
      </c>
      <c r="AF19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Forecast'!Z8*Assumptions!$I$13+577.5)*Assumptions!$C$17</f>
        <v/>
      </c>
      <c r="AG19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Forecast'!AA8*Assumptions!$I$13+577.5)*Assumptions!$C$17</f>
        <v/>
      </c>
      <c r="AH19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Forecast'!AB8*Assumptions!$I$13+577.5)*Assumptions!$C$17</f>
        <v/>
      </c>
      <c r="AI19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Forecast'!AC8*Assumptions!$I$13+577.5)*Assumptions!$C$17</f>
        <v/>
      </c>
      <c r="AJ19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Forecast'!AD8*Assumptions!$I$13+577.5)*Assumptions!$C$17</f>
        <v/>
      </c>
      <c r="AK19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Forecast'!AE8*Assumptions!$I$13+577.5)*Assumptions!$C$17</f>
        <v/>
      </c>
      <c r="AL19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Forecast'!AF8*Assumptions!$I$13+577.5)*Assumptions!$C$17</f>
        <v/>
      </c>
      <c r="AM19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Forecast'!AG8*Assumptions!$I$13+577.5)*Assumptions!$C$17</f>
        <v/>
      </c>
      <c r="AN19" s="20">
        <f>('Sales Forecast'!AN8*Assumptions!$C$12+'Sales Forecast'!AM8*Assumptions!$D$12+'Sales Forecast'!AL8*Assumptions!$E$12+'Sales Forecast'!AK8*Assumptions!$F$12+'Sales Forecast'!AJ8*Assumptions!$G$12+'Sales Forecast'!AI8*Assumptions!$H$12+'Sales Forecast'!AH8*Assumptions!$I$12+'Sales Forecast'!AN8*Assumptions!$C$13+'Sales Forecast'!AM8*Assumptions!$D$13+'Sales Forecast'!AL8*Assumptions!$E$13+'Sales Forecast'!AK8*Assumptions!$F$13+'Sales Forecast'!AJ8*Assumptions!$G$13+'Sales Forecast'!AI8*Assumptions!$H$13+'Sales Forecast'!AH8*Assumptions!$I$13+577.5)*Assumptions!$C$17</f>
        <v/>
      </c>
      <c r="AO19" s="20">
        <f>('Sales Forecast'!AO8*Assumptions!$C$12+'Sales Forecast'!AN8*Assumptions!$D$12+'Sales Forecast'!AM8*Assumptions!$E$12+'Sales Forecast'!AL8*Assumptions!$F$12+'Sales Forecast'!AK8*Assumptions!$G$12+'Sales Forecast'!AJ8*Assumptions!$H$12+'Sales Forecast'!AI8*Assumptions!$I$12+'Sales Forecast'!AO8*Assumptions!$C$13+'Sales Forecast'!AN8*Assumptions!$D$13+'Sales Forecast'!AM8*Assumptions!$E$13+'Sales Forecast'!AL8*Assumptions!$F$13+'Sales Forecast'!AK8*Assumptions!$G$13+'Sales Forecast'!AJ8*Assumptions!$H$13+'Sales Forecast'!AI8*Assumptions!$I$13+577.5)*Assumptions!$C$17</f>
        <v/>
      </c>
      <c r="AP19" s="20">
        <f>('Sales Forecast'!AP8*Assumptions!$C$12+'Sales Forecast'!AO8*Assumptions!$D$12+'Sales Forecast'!AN8*Assumptions!$E$12+'Sales Forecast'!AM8*Assumptions!$F$12+'Sales Forecast'!AL8*Assumptions!$G$12+'Sales Forecast'!AK8*Assumptions!$H$12+'Sales Forecast'!AJ8*Assumptions!$I$12+'Sales Forecast'!AP8*Assumptions!$C$13+'Sales Forecast'!AO8*Assumptions!$D$13+'Sales Forecast'!AN8*Assumptions!$E$13+'Sales Forecast'!AM8*Assumptions!$F$13+'Sales Forecast'!AL8*Assumptions!$G$13+'Sales Forecast'!AK8*Assumptions!$H$13+'Sales Forecast'!AJ8*Assumptions!$I$13+577.5)*Assumptions!$C$17</f>
        <v/>
      </c>
      <c r="AQ19" s="20">
        <f>('Sales Forecast'!AQ8*Assumptions!$C$12+'Sales Forecast'!AP8*Assumptions!$D$12+'Sales Forecast'!AO8*Assumptions!$E$12+'Sales Forecast'!AN8*Assumptions!$F$12+'Sales Forecast'!AM8*Assumptions!$G$12+'Sales Forecast'!AL8*Assumptions!$H$12+'Sales Forecast'!AK8*Assumptions!$I$12+'Sales Forecast'!AQ8*Assumptions!$C$13+'Sales Forecast'!AP8*Assumptions!$D$13+'Sales Forecast'!AO8*Assumptions!$E$13+'Sales Forecast'!AN8*Assumptions!$F$13+'Sales Forecast'!AM8*Assumptions!$G$13+'Sales Forecast'!AL8*Assumptions!$H$13+'Sales Forecast'!AK8*Assumptions!$I$13+577.5)*Assumptions!$C$17</f>
        <v/>
      </c>
      <c r="AR19" s="20">
        <f>('Sales Forecast'!AR8*Assumptions!$C$12+'Sales Forecast'!AQ8*Assumptions!$D$12+'Sales Forecast'!AP8*Assumptions!$E$12+'Sales Forecast'!AO8*Assumptions!$F$12+'Sales Forecast'!AN8*Assumptions!$G$12+'Sales Forecast'!AM8*Assumptions!$H$12+'Sales Forecast'!AL8*Assumptions!$I$12+'Sales Forecast'!AR8*Assumptions!$C$13+'Sales Forecast'!AQ8*Assumptions!$D$13+'Sales Forecast'!AP8*Assumptions!$E$13+'Sales Forecast'!AO8*Assumptions!$F$13+'Sales Forecast'!AN8*Assumptions!$G$13+'Sales Forecast'!AM8*Assumptions!$H$13+'Sales Forecast'!AL8*Assumptions!$I$13+577.5)*Assumptions!$C$17</f>
        <v/>
      </c>
      <c r="AS19" s="20">
        <f>('Sales Forecast'!AS8*Assumptions!$C$12+'Sales Forecast'!AR8*Assumptions!$D$12+'Sales Forecast'!AQ8*Assumptions!$E$12+'Sales Forecast'!AP8*Assumptions!$F$12+'Sales Forecast'!AO8*Assumptions!$G$12+'Sales Forecast'!AN8*Assumptions!$H$12+'Sales Forecast'!AM8*Assumptions!$I$12+'Sales Forecast'!AS8*Assumptions!$C$13+'Sales Forecast'!AR8*Assumptions!$D$13+'Sales Forecast'!AQ8*Assumptions!$E$13+'Sales Forecast'!AP8*Assumptions!$F$13+'Sales Forecast'!AO8*Assumptions!$G$13+'Sales Forecast'!AN8*Assumptions!$H$13+'Sales Forecast'!AM8*Assumptions!$I$13+577.5)*Assumptions!$C$17</f>
        <v/>
      </c>
      <c r="AT19" s="20">
        <f>('Sales Forecast'!AT8*Assumptions!$C$12+'Sales Forecast'!AS8*Assumptions!$D$12+'Sales Forecast'!AR8*Assumptions!$E$12+'Sales Forecast'!AQ8*Assumptions!$F$12+'Sales Forecast'!AP8*Assumptions!$G$12+'Sales Forecast'!AO8*Assumptions!$H$12+'Sales Forecast'!AN8*Assumptions!$I$12+'Sales Forecast'!AT8*Assumptions!$C$13+'Sales Forecast'!AS8*Assumptions!$D$13+'Sales Forecast'!AR8*Assumptions!$E$13+'Sales Forecast'!AQ8*Assumptions!$F$13+'Sales Forecast'!AP8*Assumptions!$G$13+'Sales Forecast'!AO8*Assumptions!$H$13+'Sales Forecast'!AN8*Assumptions!$I$13+577.5)*Assumptions!$C$17</f>
        <v/>
      </c>
      <c r="AU19" s="20">
        <f>('Sales Forecast'!AU8*Assumptions!$C$12+'Sales Forecast'!AT8*Assumptions!$D$12+'Sales Forecast'!AS8*Assumptions!$E$12+'Sales Forecast'!AR8*Assumptions!$F$12+'Sales Forecast'!AQ8*Assumptions!$G$12+'Sales Forecast'!AP8*Assumptions!$H$12+'Sales Forecast'!AO8*Assumptions!$I$12+'Sales Forecast'!AU8*Assumptions!$C$13+'Sales Forecast'!AT8*Assumptions!$D$13+'Sales Forecast'!AS8*Assumptions!$E$13+'Sales Forecast'!AR8*Assumptions!$F$13+'Sales Forecast'!AQ8*Assumptions!$G$13+'Sales Forecast'!AP8*Assumptions!$H$13+'Sales Forecast'!AO8*Assumptions!$I$13+577.5)*Assumptions!$C$17</f>
        <v/>
      </c>
      <c r="AV19" s="20">
        <f>('Sales Forecast'!AV8*Assumptions!$C$12+'Sales Forecast'!AU8*Assumptions!$D$12+'Sales Forecast'!AT8*Assumptions!$E$12+'Sales Forecast'!AS8*Assumptions!$F$12+'Sales Forecast'!AR8*Assumptions!$G$12+'Sales Forecast'!AQ8*Assumptions!$H$12+'Sales Forecast'!AP8*Assumptions!$I$12+'Sales Forecast'!AV8*Assumptions!$C$13+'Sales Forecast'!AU8*Assumptions!$D$13+'Sales Forecast'!AT8*Assumptions!$E$13+'Sales Forecast'!AS8*Assumptions!$F$13+'Sales Forecast'!AR8*Assumptions!$G$13+'Sales Forecast'!AQ8*Assumptions!$H$13+'Sales Forecast'!AP8*Assumptions!$I$13+577.5)*Assumptions!$C$17</f>
        <v/>
      </c>
      <c r="AW19" s="20">
        <f>('Sales Forecast'!AW8*Assumptions!$C$12+'Sales Forecast'!AV8*Assumptions!$D$12+'Sales Forecast'!AU8*Assumptions!$E$12+'Sales Forecast'!AT8*Assumptions!$F$12+'Sales Forecast'!AS8*Assumptions!$G$12+'Sales Forecast'!AR8*Assumptions!$H$12+'Sales Forecast'!AQ8*Assumptions!$I$12+'Sales Forecast'!AW8*Assumptions!$C$13+'Sales Forecast'!AV8*Assumptions!$D$13+'Sales Forecast'!AU8*Assumptions!$E$13+'Sales Forecast'!AT8*Assumptions!$F$13+'Sales Forecast'!AS8*Assumptions!$G$13+'Sales Forecast'!AR8*Assumptions!$H$13+'Sales Forecast'!AQ8*Assumptions!$I$13+577.5)*Assumptions!$C$17</f>
        <v/>
      </c>
      <c r="AX19" s="20">
        <f>('Sales Forecast'!AX8*Assumptions!$C$12+'Sales Forecast'!AW8*Assumptions!$D$12+'Sales Forecast'!AV8*Assumptions!$E$12+'Sales Forecast'!AU8*Assumptions!$F$12+'Sales Forecast'!AT8*Assumptions!$G$12+'Sales Forecast'!AS8*Assumptions!$H$12+'Sales Forecast'!AR8*Assumptions!$I$12+'Sales Forecast'!AX8*Assumptions!$C$13+'Sales Forecast'!AW8*Assumptions!$D$13+'Sales Forecast'!AV8*Assumptions!$E$13+'Sales Forecast'!AU8*Assumptions!$F$13+'Sales Forecast'!AT8*Assumptions!$G$13+'Sales Forecast'!AS8*Assumptions!$H$13+'Sales Forecast'!AR8*Assumptions!$I$13+577.5)*Assumptions!$C$17</f>
        <v/>
      </c>
      <c r="AY19" s="20">
        <f>('Sales Forecast'!AY8*Assumptions!$C$12+'Sales Forecast'!AX8*Assumptions!$D$12+'Sales Forecast'!AW8*Assumptions!$E$12+'Sales Forecast'!AV8*Assumptions!$F$12+'Sales Forecast'!AU8*Assumptions!$G$12+'Sales Forecast'!AT8*Assumptions!$H$12+'Sales Forecast'!AS8*Assumptions!$I$12+'Sales Forecast'!AY8*Assumptions!$C$13+'Sales Forecast'!AX8*Assumptions!$D$13+'Sales Forecast'!AW8*Assumptions!$E$13+'Sales Forecast'!AV8*Assumptions!$F$13+'Sales Forecast'!AU8*Assumptions!$G$13+'Sales Forecast'!AT8*Assumptions!$H$13+'Sales Forecast'!AS8*Assumptions!$I$13+577.5)*Assumptions!$C$17</f>
        <v/>
      </c>
      <c r="BA19" s="288">
        <f>SUM(I19:T19)</f>
        <v/>
      </c>
      <c r="BB19" s="274">
        <f>BA19/$BA$21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-41</v>
      </c>
      <c r="H20" s="19" t="n">
        <v>-1665</v>
      </c>
      <c r="I20" s="19" t="n">
        <v>-2563.9</v>
      </c>
      <c r="J20" s="19" t="n">
        <v>-5845.7</v>
      </c>
      <c r="K20" s="19" t="n">
        <v>-993.8</v>
      </c>
      <c r="L20" s="19" t="n">
        <v>-5065.4</v>
      </c>
      <c r="M20" s="19" t="n">
        <v>-5130.2</v>
      </c>
      <c r="N20" s="19" t="n">
        <v>-1678.8</v>
      </c>
      <c r="O20" s="19" t="n">
        <v>-1947.2</v>
      </c>
      <c r="P20" s="19" t="n">
        <v>-3930.1</v>
      </c>
      <c r="Q20" s="19" t="n">
        <v>-2252.3</v>
      </c>
      <c r="R20" s="19" t="n">
        <v>-2380.1</v>
      </c>
      <c r="S20" s="19" t="n">
        <v>-1371.5</v>
      </c>
      <c r="T20" s="19" t="n">
        <v>-1163</v>
      </c>
      <c r="U20" s="19" t="n">
        <v>-2436.25</v>
      </c>
      <c r="V20" s="19" t="n">
        <v>-1552.05</v>
      </c>
      <c r="W20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Forecast'!Q8*Assumptions!$I$13+577.5)*Assumptions!$C$18</f>
        <v/>
      </c>
      <c r="X20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Forecast'!R8*Assumptions!$I$13+577.5)*Assumptions!$C$18</f>
        <v/>
      </c>
      <c r="Y20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Forecast'!S8*Assumptions!$I$13+577.5)*Assumptions!$C$18</f>
        <v/>
      </c>
      <c r="Z20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Forecast'!T8*Assumptions!$I$13+577.5)*Assumptions!$C$18</f>
        <v/>
      </c>
      <c r="AA20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Forecast'!U8*Assumptions!$I$13+577.5)*Assumptions!$C$18</f>
        <v/>
      </c>
      <c r="AB20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Forecast'!V8*Assumptions!$I$13+577.5)*Assumptions!$C$18</f>
        <v/>
      </c>
      <c r="AC20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Forecast'!W8*Assumptions!$I$13+577.5)*Assumptions!$C$18</f>
        <v/>
      </c>
      <c r="AD20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Forecast'!X8*Assumptions!$I$13+577.5)*Assumptions!$C$18</f>
        <v/>
      </c>
      <c r="AE20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Forecast'!Y8*Assumptions!$I$13+577.5)*Assumptions!$C$18</f>
        <v/>
      </c>
      <c r="AF20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Forecast'!Z8*Assumptions!$I$13+577.5)*Assumptions!$C$18</f>
        <v/>
      </c>
      <c r="AG20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Forecast'!AA8*Assumptions!$I$13+577.5)*Assumptions!$C$18</f>
        <v/>
      </c>
      <c r="AH20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Forecast'!AB8*Assumptions!$I$13+577.5)*Assumptions!$C$18</f>
        <v/>
      </c>
      <c r="AI20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Forecast'!AC8*Assumptions!$I$13+577.5)*Assumptions!$C$18</f>
        <v/>
      </c>
      <c r="AJ20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Forecast'!AD8*Assumptions!$I$13+577.5)*Assumptions!$C$18</f>
        <v/>
      </c>
      <c r="AK20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Forecast'!AE8*Assumptions!$I$13+577.5)*Assumptions!$C$18</f>
        <v/>
      </c>
      <c r="AL20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Forecast'!AF8*Assumptions!$I$13+577.5)*Assumptions!$C$18</f>
        <v/>
      </c>
      <c r="AM20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Forecast'!AG8*Assumptions!$I$13+577.5)*Assumptions!$C$18</f>
        <v/>
      </c>
      <c r="AN20" s="20">
        <f>('Sales Forecast'!AN8*Assumptions!$C$12+'Sales Forecast'!AM8*Assumptions!$D$12+'Sales Forecast'!AL8*Assumptions!$E$12+'Sales Forecast'!AK8*Assumptions!$F$12+'Sales Forecast'!AJ8*Assumptions!$G$12+'Sales Forecast'!AI8*Assumptions!$H$12+'Sales Forecast'!AH8*Assumptions!$I$12+'Sales Forecast'!AN8*Assumptions!$C$13+'Sales Forecast'!AM8*Assumptions!$D$13+'Sales Forecast'!AL8*Assumptions!$E$13+'Sales Forecast'!AK8*Assumptions!$F$13+'Sales Forecast'!AJ8*Assumptions!$G$13+'Sales Forecast'!AI8*Assumptions!$H$13+'Sales Forecast'!AH8*Assumptions!$I$13+577.5)*Assumptions!$C$18</f>
        <v/>
      </c>
      <c r="AO20" s="20">
        <f>('Sales Forecast'!AO8*Assumptions!$C$12+'Sales Forecast'!AN8*Assumptions!$D$12+'Sales Forecast'!AM8*Assumptions!$E$12+'Sales Forecast'!AL8*Assumptions!$F$12+'Sales Forecast'!AK8*Assumptions!$G$12+'Sales Forecast'!AJ8*Assumptions!$H$12+'Sales Forecast'!AI8*Assumptions!$I$12+'Sales Forecast'!AO8*Assumptions!$C$13+'Sales Forecast'!AN8*Assumptions!$D$13+'Sales Forecast'!AM8*Assumptions!$E$13+'Sales Forecast'!AL8*Assumptions!$F$13+'Sales Forecast'!AK8*Assumptions!$G$13+'Sales Forecast'!AJ8*Assumptions!$H$13+'Sales Forecast'!AI8*Assumptions!$I$13+577.5)*Assumptions!$C$18</f>
        <v/>
      </c>
      <c r="AP20" s="20">
        <f>('Sales Forecast'!AP8*Assumptions!$C$12+'Sales Forecast'!AO8*Assumptions!$D$12+'Sales Forecast'!AN8*Assumptions!$E$12+'Sales Forecast'!AM8*Assumptions!$F$12+'Sales Forecast'!AL8*Assumptions!$G$12+'Sales Forecast'!AK8*Assumptions!$H$12+'Sales Forecast'!AJ8*Assumptions!$I$12+'Sales Forecast'!AP8*Assumptions!$C$13+'Sales Forecast'!AO8*Assumptions!$D$13+'Sales Forecast'!AN8*Assumptions!$E$13+'Sales Forecast'!AM8*Assumptions!$F$13+'Sales Forecast'!AL8*Assumptions!$G$13+'Sales Forecast'!AK8*Assumptions!$H$13+'Sales Forecast'!AJ8*Assumptions!$I$13+577.5)*Assumptions!$C$18</f>
        <v/>
      </c>
      <c r="AQ20" s="20">
        <f>('Sales Forecast'!AQ8*Assumptions!$C$12+'Sales Forecast'!AP8*Assumptions!$D$12+'Sales Forecast'!AO8*Assumptions!$E$12+'Sales Forecast'!AN8*Assumptions!$F$12+'Sales Forecast'!AM8*Assumptions!$G$12+'Sales Forecast'!AL8*Assumptions!$H$12+'Sales Forecast'!AK8*Assumptions!$I$12+'Sales Forecast'!AQ8*Assumptions!$C$13+'Sales Forecast'!AP8*Assumptions!$D$13+'Sales Forecast'!AO8*Assumptions!$E$13+'Sales Forecast'!AN8*Assumptions!$F$13+'Sales Forecast'!AM8*Assumptions!$G$13+'Sales Forecast'!AL8*Assumptions!$H$13+'Sales Forecast'!AK8*Assumptions!$I$13+577.5)*Assumptions!$C$18</f>
        <v/>
      </c>
      <c r="AR20" s="20">
        <f>('Sales Forecast'!AR8*Assumptions!$C$12+'Sales Forecast'!AQ8*Assumptions!$D$12+'Sales Forecast'!AP8*Assumptions!$E$12+'Sales Forecast'!AO8*Assumptions!$F$12+'Sales Forecast'!AN8*Assumptions!$G$12+'Sales Forecast'!AM8*Assumptions!$H$12+'Sales Forecast'!AL8*Assumptions!$I$12+'Sales Forecast'!AR8*Assumptions!$C$13+'Sales Forecast'!AQ8*Assumptions!$D$13+'Sales Forecast'!AP8*Assumptions!$E$13+'Sales Forecast'!AO8*Assumptions!$F$13+'Sales Forecast'!AN8*Assumptions!$G$13+'Sales Forecast'!AM8*Assumptions!$H$13+'Sales Forecast'!AL8*Assumptions!$I$13+577.5)*Assumptions!$C$18</f>
        <v/>
      </c>
      <c r="AS20" s="20">
        <f>('Sales Forecast'!AS8*Assumptions!$C$12+'Sales Forecast'!AR8*Assumptions!$D$12+'Sales Forecast'!AQ8*Assumptions!$E$12+'Sales Forecast'!AP8*Assumptions!$F$12+'Sales Forecast'!AO8*Assumptions!$G$12+'Sales Forecast'!AN8*Assumptions!$H$12+'Sales Forecast'!AM8*Assumptions!$I$12+'Sales Forecast'!AS8*Assumptions!$C$13+'Sales Forecast'!AR8*Assumptions!$D$13+'Sales Forecast'!AQ8*Assumptions!$E$13+'Sales Forecast'!AP8*Assumptions!$F$13+'Sales Forecast'!AO8*Assumptions!$G$13+'Sales Forecast'!AN8*Assumptions!$H$13+'Sales Forecast'!AM8*Assumptions!$I$13+577.5)*Assumptions!$C$18</f>
        <v/>
      </c>
      <c r="AT20" s="20">
        <f>('Sales Forecast'!AT8*Assumptions!$C$12+'Sales Forecast'!AS8*Assumptions!$D$12+'Sales Forecast'!AR8*Assumptions!$E$12+'Sales Forecast'!AQ8*Assumptions!$F$12+'Sales Forecast'!AP8*Assumptions!$G$12+'Sales Forecast'!AO8*Assumptions!$H$12+'Sales Forecast'!AN8*Assumptions!$I$12+'Sales Forecast'!AT8*Assumptions!$C$13+'Sales Forecast'!AS8*Assumptions!$D$13+'Sales Forecast'!AR8*Assumptions!$E$13+'Sales Forecast'!AQ8*Assumptions!$F$13+'Sales Forecast'!AP8*Assumptions!$G$13+'Sales Forecast'!AO8*Assumptions!$H$13+'Sales Forecast'!AN8*Assumptions!$I$13+577.5)*Assumptions!$C$18</f>
        <v/>
      </c>
      <c r="AU20" s="20">
        <f>('Sales Forecast'!AU8*Assumptions!$C$12+'Sales Forecast'!AT8*Assumptions!$D$12+'Sales Forecast'!AS8*Assumptions!$E$12+'Sales Forecast'!AR8*Assumptions!$F$12+'Sales Forecast'!AQ8*Assumptions!$G$12+'Sales Forecast'!AP8*Assumptions!$H$12+'Sales Forecast'!AO8*Assumptions!$I$12+'Sales Forecast'!AU8*Assumptions!$C$13+'Sales Forecast'!AT8*Assumptions!$D$13+'Sales Forecast'!AS8*Assumptions!$E$13+'Sales Forecast'!AR8*Assumptions!$F$13+'Sales Forecast'!AQ8*Assumptions!$G$13+'Sales Forecast'!AP8*Assumptions!$H$13+'Sales Forecast'!AO8*Assumptions!$I$13+577.5)*Assumptions!$C$18</f>
        <v/>
      </c>
      <c r="AV20" s="20">
        <f>('Sales Forecast'!AV8*Assumptions!$C$12+'Sales Forecast'!AU8*Assumptions!$D$12+'Sales Forecast'!AT8*Assumptions!$E$12+'Sales Forecast'!AS8*Assumptions!$F$12+'Sales Forecast'!AR8*Assumptions!$G$12+'Sales Forecast'!AQ8*Assumptions!$H$12+'Sales Forecast'!AP8*Assumptions!$I$12+'Sales Forecast'!AV8*Assumptions!$C$13+'Sales Forecast'!AU8*Assumptions!$D$13+'Sales Forecast'!AT8*Assumptions!$E$13+'Sales Forecast'!AS8*Assumptions!$F$13+'Sales Forecast'!AR8*Assumptions!$G$13+'Sales Forecast'!AQ8*Assumptions!$H$13+'Sales Forecast'!AP8*Assumptions!$I$13+577.5)*Assumptions!$C$18</f>
        <v/>
      </c>
      <c r="AW20" s="20">
        <f>('Sales Forecast'!AW8*Assumptions!$C$12+'Sales Forecast'!AV8*Assumptions!$D$12+'Sales Forecast'!AU8*Assumptions!$E$12+'Sales Forecast'!AT8*Assumptions!$F$12+'Sales Forecast'!AS8*Assumptions!$G$12+'Sales Forecast'!AR8*Assumptions!$H$12+'Sales Forecast'!AQ8*Assumptions!$I$12+'Sales Forecast'!AW8*Assumptions!$C$13+'Sales Forecast'!AV8*Assumptions!$D$13+'Sales Forecast'!AU8*Assumptions!$E$13+'Sales Forecast'!AT8*Assumptions!$F$13+'Sales Forecast'!AS8*Assumptions!$G$13+'Sales Forecast'!AR8*Assumptions!$H$13+'Sales Forecast'!AQ8*Assumptions!$I$13+577.5)*Assumptions!$C$18</f>
        <v/>
      </c>
      <c r="AX20" s="20">
        <f>('Sales Forecast'!AX8*Assumptions!$C$12+'Sales Forecast'!AW8*Assumptions!$D$12+'Sales Forecast'!AV8*Assumptions!$E$12+'Sales Forecast'!AU8*Assumptions!$F$12+'Sales Forecast'!AT8*Assumptions!$G$12+'Sales Forecast'!AS8*Assumptions!$H$12+'Sales Forecast'!AR8*Assumptions!$I$12+'Sales Forecast'!AX8*Assumptions!$C$13+'Sales Forecast'!AW8*Assumptions!$D$13+'Sales Forecast'!AV8*Assumptions!$E$13+'Sales Forecast'!AU8*Assumptions!$F$13+'Sales Forecast'!AT8*Assumptions!$G$13+'Sales Forecast'!AS8*Assumptions!$H$13+'Sales Forecast'!AR8*Assumptions!$I$13+577.5)*Assumptions!$C$18</f>
        <v/>
      </c>
      <c r="AY20" s="20">
        <f>('Sales Forecast'!AY8*Assumptions!$C$12+'Sales Forecast'!AX8*Assumptions!$D$12+'Sales Forecast'!AW8*Assumptions!$E$12+'Sales Forecast'!AV8*Assumptions!$F$12+'Sales Forecast'!AU8*Assumptions!$G$12+'Sales Forecast'!AT8*Assumptions!$H$12+'Sales Forecast'!AS8*Assumptions!$I$12+'Sales Forecast'!AY8*Assumptions!$C$13+'Sales Forecast'!AX8*Assumptions!$D$13+'Sales Forecast'!AW8*Assumptions!$E$13+'Sales Forecast'!AV8*Assumptions!$F$13+'Sales Forecast'!AU8*Assumptions!$G$13+'Sales Forecast'!AT8*Assumptions!$H$13+'Sales Forecast'!AS8*Assumptions!$I$13+577.5)*Assumptions!$C$18</f>
        <v/>
      </c>
      <c r="BA20" s="288">
        <f>SUM(I20:T20)</f>
        <v/>
      </c>
      <c r="BB20" s="274">
        <f>BA20/$BA$21</f>
        <v/>
      </c>
    </row>
    <row r="21">
      <c r="B21" s="32" t="inlineStr">
        <is>
          <t>TOTAL REVENUE</t>
        </is>
      </c>
      <c r="C21" s="34" t="n"/>
      <c r="D21" s="35" t="n">
        <v>0</v>
      </c>
      <c r="E21" s="35">
        <f>E13+E17+E18+E19+E20</f>
        <v/>
      </c>
      <c r="F21" s="35">
        <f>F13+F17+F18+F19+F20</f>
        <v/>
      </c>
      <c r="G21" s="35">
        <f>G13+G17+G18+G19+G20</f>
        <v/>
      </c>
      <c r="H21" s="35">
        <f>H13+H17+H18+H19+H20</f>
        <v/>
      </c>
      <c r="I21" s="35">
        <f>I13+I17+I18+I19+I20</f>
        <v/>
      </c>
      <c r="J21" s="35">
        <f>J13+J17+J18+J19+J20</f>
        <v/>
      </c>
      <c r="K21" s="35">
        <f>K13+K17+K18+K19+K20</f>
        <v/>
      </c>
      <c r="L21" s="35">
        <f>L13+L17+L18+L19+L20</f>
        <v/>
      </c>
      <c r="M21" s="35">
        <f>M13+M17+M18+M19+M20</f>
        <v/>
      </c>
      <c r="N21" s="35">
        <f>N13+N17+N18+N19+N20</f>
        <v/>
      </c>
      <c r="O21" s="35">
        <f>O13+O17+O18+O19+O20</f>
        <v/>
      </c>
      <c r="P21" s="35">
        <f>P13+P17+P18+P19+P20</f>
        <v/>
      </c>
      <c r="Q21" s="35">
        <f>Q13+Q17+Q18+Q19+Q20</f>
        <v/>
      </c>
      <c r="R21" s="35">
        <f>R13+R17+R18+R19+R20</f>
        <v/>
      </c>
      <c r="S21" s="35">
        <f>S13+S17+S18+S19+S20</f>
        <v/>
      </c>
      <c r="T21" s="35">
        <f>T13+T17+T18+T19+T20</f>
        <v/>
      </c>
      <c r="U21" s="35">
        <f>U13+U17+U18+U19+U20</f>
        <v/>
      </c>
      <c r="V21" s="35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  <c r="BA21" s="307">
        <f>SUM(I21:T21)</f>
        <v/>
      </c>
      <c r="BB21" s="276">
        <f>SUM(BB7:BB20)</f>
        <v/>
      </c>
    </row>
    <row r="22" ht="16" customHeight="1" s="28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>501000 Product Cost (incl Inventory Shrinkage)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640</v>
      </c>
      <c r="J23" s="19" t="n">
        <v>508</v>
      </c>
      <c r="K23" s="19" t="n">
        <v>514.5</v>
      </c>
      <c r="L23" s="19" t="n">
        <v>336</v>
      </c>
      <c r="M23" s="19" t="n">
        <v>465.25</v>
      </c>
      <c r="N23" s="19" t="n">
        <v>341</v>
      </c>
      <c r="O23" s="19" t="n">
        <v>2611.49</v>
      </c>
      <c r="P23" s="19" t="n">
        <v>384</v>
      </c>
      <c r="Q23" s="19" t="n">
        <v>208</v>
      </c>
      <c r="R23" s="19" t="n">
        <v>264</v>
      </c>
      <c r="S23" s="19" t="n">
        <v>297</v>
      </c>
      <c r="T23" s="83" t="n">
        <v>163</v>
      </c>
      <c r="U23" s="83" t="n">
        <v>354.5</v>
      </c>
      <c r="V23" s="83" t="n">
        <v>206</v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3.12</v>
      </c>
      <c r="H24" s="19" t="n">
        <v>52.42</v>
      </c>
      <c r="I24" s="19" t="n">
        <v>183.17</v>
      </c>
      <c r="J24" s="19" t="n">
        <v>489.7</v>
      </c>
      <c r="K24" s="19" t="n">
        <v>494.47</v>
      </c>
      <c r="L24" s="19" t="n">
        <v>593.58</v>
      </c>
      <c r="M24" s="19" t="n">
        <v>438.93</v>
      </c>
      <c r="N24" s="19" t="n">
        <v>438.23</v>
      </c>
      <c r="O24" s="19" t="n">
        <v>557.52</v>
      </c>
      <c r="P24" s="19" t="n">
        <v>678.49</v>
      </c>
      <c r="Q24" s="19" t="n">
        <v>641.48</v>
      </c>
      <c r="R24" s="19" t="n">
        <v>475.8</v>
      </c>
      <c r="S24" s="19" t="n">
        <v>545.99</v>
      </c>
      <c r="T24" s="83" t="n">
        <v>360.62</v>
      </c>
      <c r="U24" s="83" t="n">
        <v>456.79</v>
      </c>
      <c r="V24" s="83" t="n">
        <v>411.85</v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>
        <f>SUM(D23:D24)</f>
        <v/>
      </c>
      <c r="E25" s="35">
        <f>SUM(E23:E24)</f>
        <v/>
      </c>
      <c r="F25" s="35">
        <f>SUM(F23:F24)</f>
        <v/>
      </c>
      <c r="G25" s="35">
        <f>SUM(G23:G24)</f>
        <v/>
      </c>
      <c r="H25" s="35">
        <f>SUM(H23:H24)</f>
        <v/>
      </c>
      <c r="I25" s="35">
        <f>SUM(I23:I24)</f>
        <v/>
      </c>
      <c r="J25" s="35">
        <f>SUM(J23:J24)</f>
        <v/>
      </c>
      <c r="K25" s="35">
        <f>SUM(K23:K24)</f>
        <v/>
      </c>
      <c r="L25" s="35">
        <f>SUM(L23:L24)</f>
        <v/>
      </c>
      <c r="M25" s="35">
        <f>SUM(M23:M24)</f>
        <v/>
      </c>
      <c r="N25" s="35">
        <f>SUM(N23:N24)</f>
        <v/>
      </c>
      <c r="O25" s="35">
        <f>SUM(O23:O24)</f>
        <v/>
      </c>
      <c r="P25" s="35">
        <f>P23+P24</f>
        <v/>
      </c>
      <c r="Q25" s="35">
        <f>Q23+Q24</f>
        <v/>
      </c>
      <c r="R25" s="35">
        <f>R23+R24</f>
        <v/>
      </c>
      <c r="S25" s="35">
        <f>S23+S24</f>
        <v/>
      </c>
      <c r="T25" s="84">
        <f>T23+T24</f>
        <v/>
      </c>
      <c r="U25" s="84">
        <f>U23+U24</f>
        <v/>
      </c>
      <c r="V25" s="84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>
        <f>D21-D25</f>
        <v/>
      </c>
      <c r="E26" s="35">
        <f>E21-E25</f>
        <v/>
      </c>
      <c r="F26" s="35">
        <f>F21-F25</f>
        <v/>
      </c>
      <c r="G26" s="35">
        <f>G21-G25</f>
        <v/>
      </c>
      <c r="H26" s="35">
        <f>H21-H25</f>
        <v/>
      </c>
      <c r="I26" s="35">
        <f>I21-I25</f>
        <v/>
      </c>
      <c r="J26" s="35">
        <f>J21-J25</f>
        <v/>
      </c>
      <c r="K26" s="35">
        <f>K21-K25</f>
        <v/>
      </c>
      <c r="L26" s="35">
        <f>L21-L25</f>
        <v/>
      </c>
      <c r="M26" s="35">
        <f>M21-M25</f>
        <v/>
      </c>
      <c r="N26" s="35">
        <f>N21-N25</f>
        <v/>
      </c>
      <c r="O26" s="35">
        <f>O21-O25</f>
        <v/>
      </c>
      <c r="P26" s="35">
        <f>P21-P25</f>
        <v/>
      </c>
      <c r="Q26" s="35">
        <f>Q21-Q25</f>
        <v/>
      </c>
      <c r="R26" s="35">
        <f>R21-R25</f>
        <v/>
      </c>
      <c r="S26" s="35">
        <f>S21-S25</f>
        <v/>
      </c>
      <c r="T26" s="84">
        <f>T21-T25</f>
        <v/>
      </c>
      <c r="U26" s="84">
        <f>U21-U25</f>
        <v/>
      </c>
      <c r="V26" s="84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" customHeight="1" s="28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539.55</v>
      </c>
      <c r="H28" s="19" t="n">
        <v>3058.85</v>
      </c>
      <c r="I28" s="19" t="n">
        <v>2836.13</v>
      </c>
      <c r="J28" s="19" t="n">
        <v>2599.12</v>
      </c>
      <c r="K28" s="19" t="n">
        <v>2256.05</v>
      </c>
      <c r="L28" s="19" t="n">
        <v>2130.06</v>
      </c>
      <c r="M28" s="19" t="n">
        <v>2563.52</v>
      </c>
      <c r="N28" s="19" t="n">
        <v>3025.04</v>
      </c>
      <c r="O28" s="19" t="n">
        <v>1955.75</v>
      </c>
      <c r="P28" s="19" t="n">
        <v>1020.81</v>
      </c>
      <c r="Q28" s="19" t="n">
        <v>119.9</v>
      </c>
      <c r="R28" s="19" t="n">
        <v>0</v>
      </c>
      <c r="S28" s="19" t="n">
        <v>0</v>
      </c>
      <c r="T28" s="83" t="n">
        <v>0</v>
      </c>
      <c r="U28" s="83" t="n">
        <v>0</v>
      </c>
      <c r="V28" s="83" t="n">
        <v>0</v>
      </c>
      <c r="W28" s="20" t="n">
        <v>287.6</v>
      </c>
      <c r="X28" s="20" t="n">
        <v>287.6</v>
      </c>
      <c r="Y28" s="20" t="n">
        <v>287.6</v>
      </c>
      <c r="Z28" s="20" t="n">
        <v>287.6</v>
      </c>
      <c r="AA28" s="20" t="n">
        <v>287.6</v>
      </c>
      <c r="AB28" s="20" t="n">
        <v>287.6</v>
      </c>
      <c r="AC28" s="20" t="n">
        <v>287.6</v>
      </c>
      <c r="AD28" s="20" t="n">
        <v>287.6</v>
      </c>
      <c r="AE28" s="20" t="n">
        <v>287.6</v>
      </c>
      <c r="AF28" s="20" t="n">
        <v>287.6</v>
      </c>
      <c r="AG28" s="20" t="n">
        <v>287.6</v>
      </c>
      <c r="AH28" s="20" t="n">
        <v>287.6</v>
      </c>
      <c r="AI28" s="20" t="n">
        <v>287.6</v>
      </c>
      <c r="AJ28" s="20" t="n">
        <v>287.6</v>
      </c>
      <c r="AK28" s="20" t="n">
        <v>287.6</v>
      </c>
      <c r="AL28" s="20" t="n">
        <v>287.6</v>
      </c>
      <c r="AM28" s="20" t="n">
        <v>287.6</v>
      </c>
      <c r="AN28" s="20" t="n">
        <v>287.6</v>
      </c>
      <c r="AO28" s="20" t="n">
        <v>287.6</v>
      </c>
      <c r="AP28" s="20" t="n">
        <v>287.6</v>
      </c>
      <c r="AQ28" s="20" t="n">
        <v>287.6</v>
      </c>
      <c r="AR28" s="20" t="n">
        <v>287.6</v>
      </c>
      <c r="AS28" s="20" t="n">
        <v>287.6</v>
      </c>
      <c r="AT28" s="20" t="n">
        <v>287.6</v>
      </c>
      <c r="AU28" s="20" t="n">
        <v>287.6</v>
      </c>
      <c r="AV28" s="20" t="n">
        <v>287.6</v>
      </c>
      <c r="AW28" s="20" t="n">
        <v>287.6</v>
      </c>
      <c r="AX28" s="20" t="n">
        <v>287.6</v>
      </c>
      <c r="AY28" s="20" t="n">
        <v>287.6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0</v>
      </c>
      <c r="O29" s="19" t="n">
        <v>0</v>
      </c>
      <c r="P29" s="19" t="n">
        <v>0</v>
      </c>
      <c r="Q29" s="19" t="n">
        <v>0</v>
      </c>
      <c r="R29" s="19" t="n">
        <v>0</v>
      </c>
      <c r="S29" s="19" t="n">
        <v>0</v>
      </c>
      <c r="T29" s="83" t="n">
        <v>0</v>
      </c>
      <c r="U29" s="83" t="n">
        <v>0</v>
      </c>
      <c r="V29" s="83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>601006 General Marketing (incl Affiliate, PR, Trade Shows)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103.29</v>
      </c>
      <c r="K30" s="19" t="n">
        <v>1201.21</v>
      </c>
      <c r="L30" s="19" t="n">
        <v>1742</v>
      </c>
      <c r="M30" s="19" t="n">
        <v>3237.5</v>
      </c>
      <c r="N30" s="19" t="n">
        <v>700</v>
      </c>
      <c r="O30" s="19" t="n">
        <v>700</v>
      </c>
      <c r="P30" s="19" t="n">
        <v>700</v>
      </c>
      <c r="Q30" s="19" t="n">
        <v>700</v>
      </c>
      <c r="R30" s="19" t="n">
        <v>700</v>
      </c>
      <c r="S30" s="19" t="n">
        <v>700</v>
      </c>
      <c r="T30" s="83" t="n">
        <v>700</v>
      </c>
      <c r="U30" s="83" t="n">
        <v>700</v>
      </c>
      <c r="V30" s="83" t="n">
        <v>700</v>
      </c>
      <c r="W30" s="20" t="n">
        <v>760.49</v>
      </c>
      <c r="X30" s="20" t="n">
        <v>760.49</v>
      </c>
      <c r="Y30" s="20" t="n">
        <v>760.49</v>
      </c>
      <c r="Z30" s="20" t="n">
        <v>760.49</v>
      </c>
      <c r="AA30" s="20" t="n">
        <v>760.49</v>
      </c>
      <c r="AB30" s="20" t="n">
        <v>760.49</v>
      </c>
      <c r="AC30" s="20" t="n">
        <v>760.49</v>
      </c>
      <c r="AD30" s="20" t="n">
        <v>760.49</v>
      </c>
      <c r="AE30" s="20" t="n">
        <v>760.49</v>
      </c>
      <c r="AF30" s="20" t="n">
        <v>760.49</v>
      </c>
      <c r="AG30" s="20" t="n">
        <v>760.49</v>
      </c>
      <c r="AH30" s="20" t="n">
        <v>760.49</v>
      </c>
      <c r="AI30" s="20" t="n">
        <v>760.49</v>
      </c>
      <c r="AJ30" s="20" t="n">
        <v>760.49</v>
      </c>
      <c r="AK30" s="20" t="n">
        <v>760.49</v>
      </c>
      <c r="AL30" s="20" t="n">
        <v>760.49</v>
      </c>
      <c r="AM30" s="20" t="n">
        <v>760.49</v>
      </c>
      <c r="AN30" s="20" t="n">
        <v>760.49</v>
      </c>
      <c r="AO30" s="20" t="n">
        <v>760.49</v>
      </c>
      <c r="AP30" s="20" t="n">
        <v>760.49</v>
      </c>
      <c r="AQ30" s="20" t="n">
        <v>760.49</v>
      </c>
      <c r="AR30" s="20" t="n">
        <v>760.49</v>
      </c>
      <c r="AS30" s="20" t="n">
        <v>760.49</v>
      </c>
      <c r="AT30" s="20" t="n">
        <v>760.49</v>
      </c>
      <c r="AU30" s="20" t="n">
        <v>760.49</v>
      </c>
      <c r="AV30" s="20" t="n">
        <v>760.49</v>
      </c>
      <c r="AW30" s="20" t="n">
        <v>760.49</v>
      </c>
      <c r="AX30" s="20" t="n">
        <v>760.49</v>
      </c>
      <c r="AY30" s="20" t="n">
        <v>760.49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  <c r="Q31" s="19" t="n">
        <v>0</v>
      </c>
      <c r="R31" s="19" t="n">
        <v>0</v>
      </c>
      <c r="S31" s="19" t="n">
        <v>0</v>
      </c>
      <c r="T31" s="83" t="n">
        <v>0</v>
      </c>
      <c r="U31" s="83" t="n">
        <v>0</v>
      </c>
      <c r="V31" s="83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83" t="n">
        <v>0</v>
      </c>
      <c r="U32" s="83" t="n">
        <v>0</v>
      </c>
      <c r="V32" s="83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>
        <f>SUM(D28:D32)</f>
        <v/>
      </c>
      <c r="E33" s="35">
        <f>SUM(E28:E32)</f>
        <v/>
      </c>
      <c r="F33" s="35">
        <f>SUM(F28:F32)</f>
        <v/>
      </c>
      <c r="G33" s="35">
        <f>SUM(G28:G32)</f>
        <v/>
      </c>
      <c r="H33" s="35">
        <f>SUM(H28:H32)</f>
        <v/>
      </c>
      <c r="I33" s="35">
        <f>SUM(I28:I32)</f>
        <v/>
      </c>
      <c r="J33" s="35">
        <f>SUM(J28:J32)</f>
        <v/>
      </c>
      <c r="K33" s="35">
        <f>SUM(K28:K32)</f>
        <v/>
      </c>
      <c r="L33" s="35">
        <f>SUM(L28:L32)</f>
        <v/>
      </c>
      <c r="M33" s="35">
        <f>SUM(M28:M32)</f>
        <v/>
      </c>
      <c r="N33" s="35">
        <f>SUM(N28:N32)</f>
        <v/>
      </c>
      <c r="O33" s="35">
        <f>SUM(O28:O32)</f>
        <v/>
      </c>
      <c r="P33" s="35">
        <f>P28+P29+P30+P31+P32</f>
        <v/>
      </c>
      <c r="Q33" s="35">
        <f>Q28+Q29+Q30+Q31+Q32</f>
        <v/>
      </c>
      <c r="R33" s="35">
        <f>R28+R29+R30+R31+R32</f>
        <v/>
      </c>
      <c r="S33" s="35">
        <f>S28+S29+S30+S31+S32</f>
        <v/>
      </c>
      <c r="T33" s="84">
        <f>T28+T29+T30+T31+T32</f>
        <v/>
      </c>
      <c r="U33" s="84">
        <f>U28+U29+U30+U31+U32</f>
        <v/>
      </c>
      <c r="V33" s="84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>602001 Wages (incl 1099 &amp; Bonus)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3401.11</v>
      </c>
      <c r="I34" s="19" t="n">
        <v>20899.18</v>
      </c>
      <c r="J34" s="19" t="n">
        <v>21954.96</v>
      </c>
      <c r="K34" s="19" t="n">
        <v>21516.42</v>
      </c>
      <c r="L34" s="19" t="n">
        <v>19176.65</v>
      </c>
      <c r="M34" s="19" t="n">
        <v>17064.59</v>
      </c>
      <c r="N34" s="19" t="n">
        <v>15385.03</v>
      </c>
      <c r="O34" s="19" t="n">
        <v>15528.08</v>
      </c>
      <c r="P34" s="19" t="n">
        <v>12689.22</v>
      </c>
      <c r="Q34" s="19" t="n">
        <v>11932.17</v>
      </c>
      <c r="R34" s="19" t="n">
        <v>13130.37</v>
      </c>
      <c r="S34" s="19" t="n">
        <v>12113.96</v>
      </c>
      <c r="T34" s="83" t="n">
        <v>12729.65</v>
      </c>
      <c r="U34" s="83" t="n">
        <v>13826.58</v>
      </c>
      <c r="V34" s="83" t="n">
        <v>13373.87</v>
      </c>
      <c r="W34" s="20" t="n">
        <v>20862.76</v>
      </c>
      <c r="X34" s="20" t="n">
        <v>20848.92</v>
      </c>
      <c r="Y34" s="20" t="n">
        <v>20850.98</v>
      </c>
      <c r="Z34" s="20" t="n">
        <v>20858.7</v>
      </c>
      <c r="AA34" s="20" t="n">
        <v>20862.69</v>
      </c>
      <c r="AB34" s="20" t="n">
        <v>20863.38</v>
      </c>
      <c r="AC34" s="20" t="n">
        <v>20890.63</v>
      </c>
      <c r="AD34" s="20" t="n">
        <v>20901.89</v>
      </c>
      <c r="AE34" s="20" t="n">
        <v>20921.93</v>
      </c>
      <c r="AF34" s="20" t="n">
        <v>20929.06</v>
      </c>
      <c r="AG34" s="20" t="n">
        <v>20948.05</v>
      </c>
      <c r="AH34" s="20" t="n">
        <v>20955.14</v>
      </c>
      <c r="AI34" s="20" t="n">
        <v>20957.11</v>
      </c>
      <c r="AJ34" s="20" t="n">
        <v>20974.16</v>
      </c>
      <c r="AK34" s="20" t="n">
        <v>20981.24</v>
      </c>
      <c r="AL34" s="20" t="n">
        <v>20983.16</v>
      </c>
      <c r="AM34" s="20" t="n">
        <v>20983.22</v>
      </c>
      <c r="AN34" s="20" t="n">
        <v>20863.38</v>
      </c>
      <c r="AO34" s="20" t="n">
        <v>20890.63</v>
      </c>
      <c r="AP34" s="20" t="n">
        <v>20901.89</v>
      </c>
      <c r="AQ34" s="20" t="n">
        <v>20921.93</v>
      </c>
      <c r="AR34" s="20" t="n">
        <v>20929.06</v>
      </c>
      <c r="AS34" s="20" t="n">
        <v>20948.05</v>
      </c>
      <c r="AT34" s="20" t="n">
        <v>20955.14</v>
      </c>
      <c r="AU34" s="20" t="n">
        <v>20957.11</v>
      </c>
      <c r="AV34" s="20" t="n">
        <v>20974.16</v>
      </c>
      <c r="AW34" s="20" t="n">
        <v>20981.24</v>
      </c>
      <c r="AX34" s="20" t="n">
        <v>20983.16</v>
      </c>
      <c r="AY34" s="20" t="n">
        <v>20983.22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399.67</v>
      </c>
      <c r="I35" s="19" t="n">
        <v>2418.71</v>
      </c>
      <c r="J35" s="19" t="n">
        <v>2224.9</v>
      </c>
      <c r="K35" s="19" t="n">
        <v>2153.46</v>
      </c>
      <c r="L35" s="19" t="n">
        <v>1799</v>
      </c>
      <c r="M35" s="19" t="n">
        <v>1709.63</v>
      </c>
      <c r="N35" s="19" t="n">
        <v>1489.94</v>
      </c>
      <c r="O35" s="19" t="n">
        <v>1837.63</v>
      </c>
      <c r="P35" s="19" t="n">
        <v>2561.18</v>
      </c>
      <c r="Q35" s="19" t="n">
        <v>1437.75</v>
      </c>
      <c r="R35" s="19" t="n">
        <v>1373.4</v>
      </c>
      <c r="S35" s="19" t="n">
        <v>1235.26</v>
      </c>
      <c r="T35" s="83" t="n">
        <v>1190.89</v>
      </c>
      <c r="U35" s="83" t="n">
        <v>1285.64</v>
      </c>
      <c r="V35" s="83" t="n">
        <v>1210.48</v>
      </c>
      <c r="W35" s="20" t="n">
        <v>2764.48</v>
      </c>
      <c r="X35" s="20" t="n">
        <v>2762.64</v>
      </c>
      <c r="Y35" s="20" t="n">
        <v>2762.91</v>
      </c>
      <c r="Z35" s="20" t="n">
        <v>2763.94</v>
      </c>
      <c r="AA35" s="20" t="n">
        <v>2764.47</v>
      </c>
      <c r="AB35" s="20" t="n">
        <v>2764.56</v>
      </c>
      <c r="AC35" s="20" t="n">
        <v>2768.17</v>
      </c>
      <c r="AD35" s="20" t="n">
        <v>2769.66</v>
      </c>
      <c r="AE35" s="20" t="n">
        <v>2772.32</v>
      </c>
      <c r="AF35" s="20" t="n">
        <v>2773.26</v>
      </c>
      <c r="AG35" s="20" t="n">
        <v>2775.78</v>
      </c>
      <c r="AH35" s="20" t="n">
        <v>2776.72</v>
      </c>
      <c r="AI35" s="20" t="n">
        <v>2776.98</v>
      </c>
      <c r="AJ35" s="20" t="n">
        <v>2779.24</v>
      </c>
      <c r="AK35" s="20" t="n">
        <v>2780.18</v>
      </c>
      <c r="AL35" s="20" t="n">
        <v>2780.43</v>
      </c>
      <c r="AM35" s="20" t="n">
        <v>2780.44</v>
      </c>
      <c r="AN35" s="20" t="n">
        <v>2764.56</v>
      </c>
      <c r="AO35" s="20" t="n">
        <v>2768.17</v>
      </c>
      <c r="AP35" s="20" t="n">
        <v>2769.66</v>
      </c>
      <c r="AQ35" s="20" t="n">
        <v>2772.32</v>
      </c>
      <c r="AR35" s="20" t="n">
        <v>2773.26</v>
      </c>
      <c r="AS35" s="20" t="n">
        <v>2775.78</v>
      </c>
      <c r="AT35" s="20" t="n">
        <v>2776.72</v>
      </c>
      <c r="AU35" s="20" t="n">
        <v>2776.98</v>
      </c>
      <c r="AV35" s="20" t="n">
        <v>2779.24</v>
      </c>
      <c r="AW35" s="20" t="n">
        <v>2780.18</v>
      </c>
      <c r="AX35" s="20" t="n">
        <v>2780.43</v>
      </c>
      <c r="AY35" s="20" t="n">
        <v>2780.44</v>
      </c>
    </row>
    <row r="36">
      <c r="B36" s="33" t="inlineStr">
        <is>
          <t>602005 Employee Benefits (incl Workers Comp)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75</v>
      </c>
      <c r="K36" s="19" t="n">
        <v>485.49</v>
      </c>
      <c r="L36" s="19" t="n">
        <v>602.49</v>
      </c>
      <c r="M36" s="19" t="n">
        <v>522.11</v>
      </c>
      <c r="N36" s="19" t="n">
        <v>759.78</v>
      </c>
      <c r="O36" s="19" t="n">
        <v>430.38</v>
      </c>
      <c r="P36" s="19" t="n">
        <v>40</v>
      </c>
      <c r="Q36" s="19" t="n">
        <v>80</v>
      </c>
      <c r="R36" s="19" t="n">
        <v>62</v>
      </c>
      <c r="S36" s="19" t="n">
        <v>200</v>
      </c>
      <c r="T36" s="83" t="n">
        <v>0</v>
      </c>
      <c r="U36" s="83" t="n">
        <v>40</v>
      </c>
      <c r="V36" s="83" t="n">
        <v>30</v>
      </c>
      <c r="W36" s="20" t="n">
        <v>76.14</v>
      </c>
      <c r="X36" s="20" t="n">
        <v>76.09</v>
      </c>
      <c r="Y36" s="20" t="n">
        <v>76.09999999999999</v>
      </c>
      <c r="Z36" s="20" t="n">
        <v>76.13</v>
      </c>
      <c r="AA36" s="20" t="n">
        <v>76.14</v>
      </c>
      <c r="AB36" s="20" t="n">
        <v>76.15000000000001</v>
      </c>
      <c r="AC36" s="20" t="n">
        <v>76.25</v>
      </c>
      <c r="AD36" s="20" t="n">
        <v>76.29000000000001</v>
      </c>
      <c r="AE36" s="20" t="n">
        <v>76.36</v>
      </c>
      <c r="AF36" s="20" t="n">
        <v>76.39</v>
      </c>
      <c r="AG36" s="20" t="n">
        <v>76.45999999999999</v>
      </c>
      <c r="AH36" s="20" t="n">
        <v>76.48</v>
      </c>
      <c r="AI36" s="20" t="n">
        <v>76.48999999999999</v>
      </c>
      <c r="AJ36" s="20" t="n">
        <v>76.55</v>
      </c>
      <c r="AK36" s="20" t="n">
        <v>76.58</v>
      </c>
      <c r="AL36" s="20" t="n">
        <v>76.58</v>
      </c>
      <c r="AM36" s="20" t="n">
        <v>76.58</v>
      </c>
      <c r="AN36" s="20" t="n">
        <v>76.15000000000001</v>
      </c>
      <c r="AO36" s="20" t="n">
        <v>76.25</v>
      </c>
      <c r="AP36" s="20" t="n">
        <v>76.29000000000001</v>
      </c>
      <c r="AQ36" s="20" t="n">
        <v>76.36</v>
      </c>
      <c r="AR36" s="20" t="n">
        <v>76.39</v>
      </c>
      <c r="AS36" s="20" t="n">
        <v>76.45999999999999</v>
      </c>
      <c r="AT36" s="20" t="n">
        <v>76.48</v>
      </c>
      <c r="AU36" s="20" t="n">
        <v>76.48999999999999</v>
      </c>
      <c r="AV36" s="20" t="n">
        <v>76.55</v>
      </c>
      <c r="AW36" s="20" t="n">
        <v>76.58</v>
      </c>
      <c r="AX36" s="20" t="n">
        <v>76.58</v>
      </c>
      <c r="AY36" s="20" t="n">
        <v>76.58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135.96</v>
      </c>
      <c r="I37" s="19" t="n">
        <v>304.32</v>
      </c>
      <c r="J37" s="19" t="n">
        <v>357.52</v>
      </c>
      <c r="K37" s="19" t="n">
        <v>532.48</v>
      </c>
      <c r="L37" s="19" t="n">
        <v>178.76</v>
      </c>
      <c r="M37" s="19" t="n">
        <v>517.08</v>
      </c>
      <c r="N37" s="19" t="n">
        <v>404.72</v>
      </c>
      <c r="O37" s="19" t="n">
        <v>757.23</v>
      </c>
      <c r="P37" s="19" t="n">
        <v>587.3200000000001</v>
      </c>
      <c r="Q37" s="19" t="n">
        <v>571.91</v>
      </c>
      <c r="R37" s="19" t="n">
        <v>844.86</v>
      </c>
      <c r="S37" s="19" t="n">
        <v>562.35</v>
      </c>
      <c r="T37" s="83" t="n">
        <v>567</v>
      </c>
      <c r="U37" s="83" t="n">
        <v>628.98</v>
      </c>
      <c r="V37" s="83" t="n">
        <v>593.74</v>
      </c>
      <c r="W37" s="20" t="n">
        <v>1073.74</v>
      </c>
      <c r="X37" s="20" t="n">
        <v>1073.03</v>
      </c>
      <c r="Y37" s="20" t="n">
        <v>1073.14</v>
      </c>
      <c r="Z37" s="20" t="n">
        <v>1073.54</v>
      </c>
      <c r="AA37" s="20" t="n">
        <v>1073.74</v>
      </c>
      <c r="AB37" s="20" t="n">
        <v>1073.78</v>
      </c>
      <c r="AC37" s="20" t="n">
        <v>1075.18</v>
      </c>
      <c r="AD37" s="20" t="n">
        <v>1075.76</v>
      </c>
      <c r="AE37" s="20" t="n">
        <v>1076.79</v>
      </c>
      <c r="AF37" s="20" t="n">
        <v>1077.16</v>
      </c>
      <c r="AG37" s="20" t="n">
        <v>1078.13</v>
      </c>
      <c r="AH37" s="20" t="n">
        <v>1078.5</v>
      </c>
      <c r="AI37" s="20" t="n">
        <v>1078.6</v>
      </c>
      <c r="AJ37" s="20" t="n">
        <v>1079.48</v>
      </c>
      <c r="AK37" s="20" t="n">
        <v>1079.84</v>
      </c>
      <c r="AL37" s="20" t="n">
        <v>1079.94</v>
      </c>
      <c r="AM37" s="20" t="n">
        <v>1079.94</v>
      </c>
      <c r="AN37" s="20" t="n">
        <v>1073.78</v>
      </c>
      <c r="AO37" s="20" t="n">
        <v>1075.18</v>
      </c>
      <c r="AP37" s="20" t="n">
        <v>1075.76</v>
      </c>
      <c r="AQ37" s="20" t="n">
        <v>1076.79</v>
      </c>
      <c r="AR37" s="20" t="n">
        <v>1077.16</v>
      </c>
      <c r="AS37" s="20" t="n">
        <v>1078.13</v>
      </c>
      <c r="AT37" s="20" t="n">
        <v>1078.5</v>
      </c>
      <c r="AU37" s="20" t="n">
        <v>1078.6</v>
      </c>
      <c r="AV37" s="20" t="n">
        <v>1079.48</v>
      </c>
      <c r="AW37" s="20" t="n">
        <v>1079.84</v>
      </c>
      <c r="AX37" s="20" t="n">
        <v>1079.94</v>
      </c>
      <c r="AY37" s="20" t="n">
        <v>1079.94</v>
      </c>
    </row>
    <row r="38">
      <c r="B38" s="32" t="inlineStr">
        <is>
          <t>Total Payroll</t>
        </is>
      </c>
      <c r="C38" s="34" t="n"/>
      <c r="D38" s="35">
        <f>SUM(D34:D37)</f>
        <v/>
      </c>
      <c r="E38" s="35">
        <f>SUM(E34:E37)</f>
        <v/>
      </c>
      <c r="F38" s="35">
        <f>SUM(F34:F37)</f>
        <v/>
      </c>
      <c r="G38" s="35">
        <f>SUM(G34:G37)</f>
        <v/>
      </c>
      <c r="H38" s="35">
        <f>SUM(H34:H37)</f>
        <v/>
      </c>
      <c r="I38" s="35">
        <f>SUM(I34:I37)</f>
        <v/>
      </c>
      <c r="J38" s="35">
        <f>SUM(J34:J37)</f>
        <v/>
      </c>
      <c r="K38" s="35">
        <f>SUM(K34:K37)</f>
        <v/>
      </c>
      <c r="L38" s="35">
        <f>SUM(L34:L37)</f>
        <v/>
      </c>
      <c r="M38" s="35">
        <f>SUM(M34:M37)</f>
        <v/>
      </c>
      <c r="N38" s="35">
        <f>SUM(N34:N37)</f>
        <v/>
      </c>
      <c r="O38" s="35">
        <f>SUM(O34:O37)</f>
        <v/>
      </c>
      <c r="P38" s="35">
        <f>P34+P35+P36+P37</f>
        <v/>
      </c>
      <c r="Q38" s="35">
        <f>Q34+Q35+Q36+Q37</f>
        <v/>
      </c>
      <c r="R38" s="35">
        <f>R34+R35+R36+R37</f>
        <v/>
      </c>
      <c r="S38" s="35">
        <f>S34+S35+S36+S37</f>
        <v/>
      </c>
      <c r="T38" s="84">
        <f>T34+T35+T36+T37</f>
        <v/>
      </c>
      <c r="U38" s="84">
        <f>U34+U35+U36+U37</f>
        <v/>
      </c>
      <c r="V38" s="84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132.98</v>
      </c>
      <c r="F39" s="19" t="n">
        <v>0</v>
      </c>
      <c r="G39" s="19" t="n">
        <v>0</v>
      </c>
      <c r="H39" s="19" t="n">
        <v>1998.8</v>
      </c>
      <c r="I39" s="19" t="n">
        <v>1389.1</v>
      </c>
      <c r="J39" s="19" t="n">
        <v>791</v>
      </c>
      <c r="K39" s="19" t="n">
        <v>1743.79</v>
      </c>
      <c r="L39" s="19" t="n">
        <v>668</v>
      </c>
      <c r="M39" s="19" t="n">
        <v>777.09</v>
      </c>
      <c r="N39" s="19" t="n">
        <v>798.84</v>
      </c>
      <c r="O39" s="19" t="n">
        <v>777.09</v>
      </c>
      <c r="P39" s="19" t="n">
        <v>723.09</v>
      </c>
      <c r="Q39" s="19" t="n">
        <v>1181.45</v>
      </c>
      <c r="R39" s="19" t="n">
        <v>723.09</v>
      </c>
      <c r="S39" s="19" t="n">
        <v>1540.71</v>
      </c>
      <c r="T39" s="83" t="n">
        <v>748.27</v>
      </c>
      <c r="U39" s="83" t="n">
        <v>748.27</v>
      </c>
      <c r="V39" s="83" t="n">
        <v>748.27</v>
      </c>
      <c r="W39" s="20" t="n">
        <v>654.75</v>
      </c>
      <c r="X39" s="20" t="n">
        <v>654.75</v>
      </c>
      <c r="Y39" s="20" t="n">
        <v>654.75</v>
      </c>
      <c r="Z39" s="20" t="n">
        <v>654.75</v>
      </c>
      <c r="AA39" s="20" t="n">
        <v>654.75</v>
      </c>
      <c r="AB39" s="20" t="n">
        <v>654.75</v>
      </c>
      <c r="AC39" s="20" t="n">
        <v>654.75</v>
      </c>
      <c r="AD39" s="20" t="n">
        <v>654.75</v>
      </c>
      <c r="AE39" s="20" t="n">
        <v>654.75</v>
      </c>
      <c r="AF39" s="20" t="n">
        <v>654.75</v>
      </c>
      <c r="AG39" s="20" t="n">
        <v>654.75</v>
      </c>
      <c r="AH39" s="20" t="n">
        <v>654.75</v>
      </c>
      <c r="AI39" s="20" t="n">
        <v>654.75</v>
      </c>
      <c r="AJ39" s="20" t="n">
        <v>654.75</v>
      </c>
      <c r="AK39" s="20" t="n">
        <v>654.75</v>
      </c>
      <c r="AL39" s="20" t="n">
        <v>654.75</v>
      </c>
      <c r="AM39" s="20" t="n">
        <v>654.75</v>
      </c>
      <c r="AN39" s="20" t="n">
        <v>654.75</v>
      </c>
      <c r="AO39" s="20" t="n">
        <v>654.75</v>
      </c>
      <c r="AP39" s="20" t="n">
        <v>654.75</v>
      </c>
      <c r="AQ39" s="20" t="n">
        <v>654.75</v>
      </c>
      <c r="AR39" s="20" t="n">
        <v>654.75</v>
      </c>
      <c r="AS39" s="20" t="n">
        <v>654.75</v>
      </c>
      <c r="AT39" s="20" t="n">
        <v>654.75</v>
      </c>
      <c r="AU39" s="20" t="n">
        <v>654.75</v>
      </c>
      <c r="AV39" s="20" t="n">
        <v>654.75</v>
      </c>
      <c r="AW39" s="20" t="n">
        <v>654.75</v>
      </c>
      <c r="AX39" s="20" t="n">
        <v>654.75</v>
      </c>
      <c r="AY39" s="20" t="n">
        <v>654.75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198.67</v>
      </c>
      <c r="H40" s="19" t="n">
        <v>198.67</v>
      </c>
      <c r="I40" s="19" t="n">
        <v>198.67</v>
      </c>
      <c r="J40" s="19" t="n">
        <v>198.67</v>
      </c>
      <c r="K40" s="19" t="n">
        <v>-15.85</v>
      </c>
      <c r="L40" s="19" t="n">
        <v>198.67</v>
      </c>
      <c r="M40" s="19" t="n">
        <v>476.27</v>
      </c>
      <c r="N40" s="19" t="n">
        <v>476.27</v>
      </c>
      <c r="O40" s="19" t="n">
        <v>277.6</v>
      </c>
      <c r="P40" s="19" t="n">
        <v>322.57</v>
      </c>
      <c r="Q40" s="19" t="n">
        <v>322.57</v>
      </c>
      <c r="R40" s="19" t="n">
        <v>500.79</v>
      </c>
      <c r="S40" s="19" t="n">
        <v>302.12</v>
      </c>
      <c r="T40" s="83" t="n">
        <v>294.83</v>
      </c>
      <c r="U40" s="83" t="n">
        <v>290.82</v>
      </c>
      <c r="V40" s="83" t="n">
        <v>290.82</v>
      </c>
      <c r="W40" s="20" t="n">
        <v>280.85</v>
      </c>
      <c r="X40" s="20" t="n">
        <v>280.85</v>
      </c>
      <c r="Y40" s="20" t="n">
        <v>280.85</v>
      </c>
      <c r="Z40" s="20" t="n">
        <v>280.85</v>
      </c>
      <c r="AA40" s="20" t="n">
        <v>280.85</v>
      </c>
      <c r="AB40" s="20" t="n">
        <v>280.85</v>
      </c>
      <c r="AC40" s="20" t="n">
        <v>280.85</v>
      </c>
      <c r="AD40" s="20" t="n">
        <v>280.85</v>
      </c>
      <c r="AE40" s="20" t="n">
        <v>280.85</v>
      </c>
      <c r="AF40" s="20" t="n">
        <v>280.85</v>
      </c>
      <c r="AG40" s="20" t="n">
        <v>280.85</v>
      </c>
      <c r="AH40" s="20" t="n">
        <v>280.85</v>
      </c>
      <c r="AI40" s="20" t="n">
        <v>280.85</v>
      </c>
      <c r="AJ40" s="20" t="n">
        <v>280.85</v>
      </c>
      <c r="AK40" s="20" t="n">
        <v>280.85</v>
      </c>
      <c r="AL40" s="20" t="n">
        <v>280.85</v>
      </c>
      <c r="AM40" s="20" t="n">
        <v>280.85</v>
      </c>
      <c r="AN40" s="20" t="n">
        <v>280.85</v>
      </c>
      <c r="AO40" s="20" t="n">
        <v>280.85</v>
      </c>
      <c r="AP40" s="20" t="n">
        <v>280.85</v>
      </c>
      <c r="AQ40" s="20" t="n">
        <v>280.85</v>
      </c>
      <c r="AR40" s="20" t="n">
        <v>280.85</v>
      </c>
      <c r="AS40" s="20" t="n">
        <v>280.85</v>
      </c>
      <c r="AT40" s="20" t="n">
        <v>280.85</v>
      </c>
      <c r="AU40" s="20" t="n">
        <v>280.85</v>
      </c>
      <c r="AV40" s="20" t="n">
        <v>280.85</v>
      </c>
      <c r="AW40" s="20" t="n">
        <v>280.85</v>
      </c>
      <c r="AX40" s="20" t="n">
        <v>280.85</v>
      </c>
      <c r="AY40" s="20" t="n">
        <v>280.85</v>
      </c>
    </row>
    <row r="41">
      <c r="B41" s="33" t="inlineStr">
        <is>
          <t>610000 Office Supplies &amp; GE (incl Licenses, Furniture, Shipping, Bank Fees, Start-Up Costs)</t>
        </is>
      </c>
      <c r="D41" s="19" t="n">
        <v>0</v>
      </c>
      <c r="E41" s="19" t="n">
        <v>0</v>
      </c>
      <c r="F41" s="19" t="n">
        <v>78.89</v>
      </c>
      <c r="G41" s="19" t="n">
        <v>0</v>
      </c>
      <c r="H41" s="19" t="n">
        <v>4343.76</v>
      </c>
      <c r="I41" s="19" t="n">
        <v>15555.23</v>
      </c>
      <c r="J41" s="19" t="n">
        <v>2276.32</v>
      </c>
      <c r="K41" s="19" t="n">
        <v>1686.97</v>
      </c>
      <c r="L41" s="19" t="n">
        <v>1279.33</v>
      </c>
      <c r="M41" s="19" t="n">
        <v>320.91</v>
      </c>
      <c r="N41" s="19" t="n">
        <v>397.74</v>
      </c>
      <c r="O41" s="19" t="n">
        <v>376.53</v>
      </c>
      <c r="P41" s="19" t="n">
        <v>87.8</v>
      </c>
      <c r="Q41" s="19" t="n">
        <v>855.86</v>
      </c>
      <c r="R41" s="19" t="n">
        <v>633.64</v>
      </c>
      <c r="S41" s="19" t="n">
        <v>151.95</v>
      </c>
      <c r="T41" s="83" t="n">
        <v>871.26</v>
      </c>
      <c r="U41" s="83" t="n">
        <v>133.18</v>
      </c>
      <c r="V41" s="83" t="n">
        <v>151.95</v>
      </c>
      <c r="W41" s="20" t="n">
        <v>197.87</v>
      </c>
      <c r="X41" s="20" t="n">
        <v>197.87</v>
      </c>
      <c r="Y41" s="20" t="n">
        <v>197.87</v>
      </c>
      <c r="Z41" s="20" t="n">
        <v>197.87</v>
      </c>
      <c r="AA41" s="20" t="n">
        <v>197.87</v>
      </c>
      <c r="AB41" s="20" t="n">
        <v>197.87</v>
      </c>
      <c r="AC41" s="20" t="n">
        <v>197.87</v>
      </c>
      <c r="AD41" s="20" t="n">
        <v>197.87</v>
      </c>
      <c r="AE41" s="20" t="n">
        <v>197.87</v>
      </c>
      <c r="AF41" s="20" t="n">
        <v>197.87</v>
      </c>
      <c r="AG41" s="20" t="n">
        <v>197.87</v>
      </c>
      <c r="AH41" s="20" t="n">
        <v>197.87</v>
      </c>
      <c r="AI41" s="20" t="n">
        <v>197.87</v>
      </c>
      <c r="AJ41" s="20" t="n">
        <v>197.87</v>
      </c>
      <c r="AK41" s="20" t="n">
        <v>197.87</v>
      </c>
      <c r="AL41" s="20" t="n">
        <v>197.87</v>
      </c>
      <c r="AM41" s="20" t="n">
        <v>197.87</v>
      </c>
      <c r="AN41" s="20" t="n">
        <v>197.87</v>
      </c>
      <c r="AO41" s="20" t="n">
        <v>197.87</v>
      </c>
      <c r="AP41" s="20" t="n">
        <v>197.87</v>
      </c>
      <c r="AQ41" s="20" t="n">
        <v>197.87</v>
      </c>
      <c r="AR41" s="20" t="n">
        <v>197.87</v>
      </c>
      <c r="AS41" s="20" t="n">
        <v>197.87</v>
      </c>
      <c r="AT41" s="20" t="n">
        <v>197.87</v>
      </c>
      <c r="AU41" s="20" t="n">
        <v>197.87</v>
      </c>
      <c r="AV41" s="20" t="n">
        <v>197.87</v>
      </c>
      <c r="AW41" s="20" t="n">
        <v>197.87</v>
      </c>
      <c r="AX41" s="20" t="n">
        <v>197.87</v>
      </c>
      <c r="AY41" s="20" t="n">
        <v>197.87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2286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3" t="n">
        <v>0</v>
      </c>
      <c r="U43" s="83" t="n">
        <v>0</v>
      </c>
      <c r="V43" s="83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2086.25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3" t="n">
        <v>1116.82</v>
      </c>
      <c r="U44" s="83" t="n">
        <v>0</v>
      </c>
      <c r="V44" s="83" t="n">
        <v>0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3" t="n">
        <v>0</v>
      </c>
      <c r="U45" s="83" t="n">
        <v>0</v>
      </c>
      <c r="V45" s="83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3" t="n">
        <v>516</v>
      </c>
      <c r="U46" s="83" t="n">
        <v>516</v>
      </c>
      <c r="V46" s="83" t="n">
        <v>516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>
        <f>SUM(D43:D46)</f>
        <v/>
      </c>
      <c r="E47" s="35">
        <f>SUM(E43:E46)</f>
        <v/>
      </c>
      <c r="F47" s="35">
        <f>SUM(F43:F46)</f>
        <v/>
      </c>
      <c r="G47" s="35">
        <f>SUM(G43:G46)</f>
        <v/>
      </c>
      <c r="H47" s="35">
        <f>SUM(H43:H46)</f>
        <v/>
      </c>
      <c r="I47" s="35">
        <f>SUM(I43:I46)</f>
        <v/>
      </c>
      <c r="J47" s="35">
        <f>SUM(J43:J46)</f>
        <v/>
      </c>
      <c r="K47" s="35">
        <f>SUM(K43:K46)</f>
        <v/>
      </c>
      <c r="L47" s="35">
        <f>SUM(L43:L46)</f>
        <v/>
      </c>
      <c r="M47" s="35">
        <f>SUM(M43:M46)</f>
        <v/>
      </c>
      <c r="N47" s="35">
        <f>SUM(N43:N46)</f>
        <v/>
      </c>
      <c r="O47" s="35">
        <f>SUM(O43:O46)</f>
        <v/>
      </c>
      <c r="P47" s="35">
        <f>P43+P44+P45+P46</f>
        <v/>
      </c>
      <c r="Q47" s="35">
        <f>Q43+Q44+Q45+Q46</f>
        <v/>
      </c>
      <c r="R47" s="35">
        <f>R43+R44+R45+R46</f>
        <v/>
      </c>
      <c r="S47" s="35">
        <f>S43+S44+S45+S46</f>
        <v/>
      </c>
      <c r="T47" s="84">
        <f>T43+T44+T45+T46</f>
        <v/>
      </c>
      <c r="U47" s="84">
        <f>U43+U44+U45+U46</f>
        <v/>
      </c>
      <c r="V47" s="84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>
        <v>0</v>
      </c>
      <c r="E48" s="19" t="n">
        <v>0</v>
      </c>
      <c r="F48" s="19" t="n">
        <v>0</v>
      </c>
      <c r="G48" s="19" t="n">
        <v>0</v>
      </c>
      <c r="H48" s="19" t="n">
        <v>0</v>
      </c>
      <c r="I48" s="19" t="n">
        <v>465.01</v>
      </c>
      <c r="J48" s="19" t="n">
        <v>0</v>
      </c>
      <c r="K48" s="19" t="n">
        <v>0</v>
      </c>
      <c r="L48" s="19" t="n">
        <v>0</v>
      </c>
      <c r="M48" s="19" t="n">
        <v>0</v>
      </c>
      <c r="N48" s="19" t="n">
        <v>0</v>
      </c>
      <c r="O48" s="19" t="n">
        <v>0</v>
      </c>
      <c r="P48" s="19" t="n">
        <v>0</v>
      </c>
      <c r="Q48" s="19" t="n">
        <v>0</v>
      </c>
      <c r="R48" s="19" t="n">
        <v>0</v>
      </c>
      <c r="S48" s="19" t="n">
        <v>5.75</v>
      </c>
      <c r="T48" s="83" t="n">
        <v>0</v>
      </c>
      <c r="U48" s="83" t="n">
        <v>0</v>
      </c>
      <c r="V48" s="83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>606000 Meals (incl Entertainment)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573.11</v>
      </c>
      <c r="J49" s="19" t="n">
        <v>79.2</v>
      </c>
      <c r="K49" s="19" t="n">
        <v>204.06</v>
      </c>
      <c r="L49" s="19" t="n">
        <v>120.17</v>
      </c>
      <c r="M49" s="19" t="n">
        <v>145.52</v>
      </c>
      <c r="N49" s="19" t="n">
        <v>99.41</v>
      </c>
      <c r="O49" s="19" t="n">
        <v>0</v>
      </c>
      <c r="P49" s="19" t="n">
        <v>0</v>
      </c>
      <c r="Q49" s="19" t="n">
        <v>0</v>
      </c>
      <c r="R49" s="19" t="n">
        <v>0</v>
      </c>
      <c r="S49" s="19" t="n">
        <v>0</v>
      </c>
      <c r="T49" s="83" t="n">
        <v>32.84</v>
      </c>
      <c r="U49" s="83" t="n">
        <v>21.32</v>
      </c>
      <c r="V49" s="83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269.79</v>
      </c>
      <c r="J51" s="19" t="n">
        <v>134.22</v>
      </c>
      <c r="K51" s="19" t="n">
        <v>465.62</v>
      </c>
      <c r="L51" s="19" t="n">
        <v>356.93</v>
      </c>
      <c r="M51" s="19" t="n">
        <v>433.26</v>
      </c>
      <c r="N51" s="19" t="n">
        <v>163.79</v>
      </c>
      <c r="O51" s="19" t="n">
        <v>194.55</v>
      </c>
      <c r="P51" s="19" t="n">
        <v>116.98</v>
      </c>
      <c r="Q51" s="19" t="n">
        <v>105</v>
      </c>
      <c r="R51" s="19" t="n">
        <v>139.04</v>
      </c>
      <c r="S51" s="19" t="n">
        <v>83.53</v>
      </c>
      <c r="T51" s="83" t="n">
        <v>124.29</v>
      </c>
      <c r="U51" s="83" t="n">
        <v>228.04</v>
      </c>
      <c r="V51" s="83" t="n">
        <v>127.88</v>
      </c>
      <c r="W51" s="20" t="n">
        <v>112.01</v>
      </c>
      <c r="X51" s="20" t="n">
        <v>112.01</v>
      </c>
      <c r="Y51" s="20" t="n">
        <v>112.01</v>
      </c>
      <c r="Z51" s="20" t="n">
        <v>112.01</v>
      </c>
      <c r="AA51" s="20" t="n">
        <v>112.01</v>
      </c>
      <c r="AB51" s="20" t="n">
        <v>112.01</v>
      </c>
      <c r="AC51" s="20" t="n">
        <v>112.01</v>
      </c>
      <c r="AD51" s="20" t="n">
        <v>112.01</v>
      </c>
      <c r="AE51" s="20" t="n">
        <v>112.01</v>
      </c>
      <c r="AF51" s="20" t="n">
        <v>112.01</v>
      </c>
      <c r="AG51" s="20" t="n">
        <v>112.01</v>
      </c>
      <c r="AH51" s="20" t="n">
        <v>112.01</v>
      </c>
      <c r="AI51" s="20" t="n">
        <v>112.01</v>
      </c>
      <c r="AJ51" s="20" t="n">
        <v>112.01</v>
      </c>
      <c r="AK51" s="20" t="n">
        <v>112.01</v>
      </c>
      <c r="AL51" s="20" t="n">
        <v>112.01</v>
      </c>
      <c r="AM51" s="20" t="n">
        <v>112.01</v>
      </c>
      <c r="AN51" s="20" t="n">
        <v>112.01</v>
      </c>
      <c r="AO51" s="20" t="n">
        <v>112.01</v>
      </c>
      <c r="AP51" s="20" t="n">
        <v>112.01</v>
      </c>
      <c r="AQ51" s="20" t="n">
        <v>112.01</v>
      </c>
      <c r="AR51" s="20" t="n">
        <v>112.01</v>
      </c>
      <c r="AS51" s="20" t="n">
        <v>112.01</v>
      </c>
      <c r="AT51" s="20" t="n">
        <v>112.01</v>
      </c>
      <c r="AU51" s="20" t="n">
        <v>112.01</v>
      </c>
      <c r="AV51" s="20" t="n">
        <v>112.01</v>
      </c>
      <c r="AW51" s="20" t="n">
        <v>112.01</v>
      </c>
      <c r="AX51" s="20" t="n">
        <v>112.01</v>
      </c>
      <c r="AY51" s="20" t="n">
        <v>112.01</v>
      </c>
    </row>
    <row r="52">
      <c r="B52" s="33" t="inlineStr">
        <is>
          <t xml:space="preserve">  616002 Internet &amp; TV</t>
        </is>
      </c>
      <c r="D52" s="19" t="n">
        <v>0</v>
      </c>
      <c r="E52" s="19" t="n">
        <v>0</v>
      </c>
      <c r="F52" s="19" t="n">
        <v>0</v>
      </c>
      <c r="G52" s="19" t="n">
        <v>0</v>
      </c>
      <c r="H52" s="19" t="n">
        <v>0</v>
      </c>
      <c r="I52" s="19" t="n">
        <v>312.07</v>
      </c>
      <c r="J52" s="19" t="n">
        <v>162.12</v>
      </c>
      <c r="K52" s="19" t="n">
        <v>162.12</v>
      </c>
      <c r="L52" s="19" t="n">
        <v>162.12</v>
      </c>
      <c r="M52" s="19" t="n">
        <v>162.12</v>
      </c>
      <c r="N52" s="19" t="n">
        <v>162.12</v>
      </c>
      <c r="O52" s="19" t="n">
        <v>165.39</v>
      </c>
      <c r="P52" s="19" t="n">
        <v>165.39</v>
      </c>
      <c r="Q52" s="19" t="n">
        <v>165.39</v>
      </c>
      <c r="R52" s="19" t="n">
        <v>165.39</v>
      </c>
      <c r="S52" s="19" t="n">
        <v>165.39</v>
      </c>
      <c r="T52" s="83" t="n">
        <v>165.39</v>
      </c>
      <c r="U52" s="83" t="n">
        <v>185.39</v>
      </c>
      <c r="V52" s="83" t="n">
        <v>185.39</v>
      </c>
      <c r="W52" s="20" t="n">
        <v>166.69</v>
      </c>
      <c r="X52" s="20" t="n">
        <v>166.69</v>
      </c>
      <c r="Y52" s="20" t="n">
        <v>166.69</v>
      </c>
      <c r="Z52" s="20" t="n">
        <v>166.69</v>
      </c>
      <c r="AA52" s="20" t="n">
        <v>166.69</v>
      </c>
      <c r="AB52" s="20" t="n">
        <v>166.69</v>
      </c>
      <c r="AC52" s="20" t="n">
        <v>166.69</v>
      </c>
      <c r="AD52" s="20" t="n">
        <v>166.69</v>
      </c>
      <c r="AE52" s="20" t="n">
        <v>166.69</v>
      </c>
      <c r="AF52" s="20" t="n">
        <v>166.69</v>
      </c>
      <c r="AG52" s="20" t="n">
        <v>166.69</v>
      </c>
      <c r="AH52" s="20" t="n">
        <v>166.69</v>
      </c>
      <c r="AI52" s="20" t="n">
        <v>166.69</v>
      </c>
      <c r="AJ52" s="20" t="n">
        <v>166.69</v>
      </c>
      <c r="AK52" s="20" t="n">
        <v>166.69</v>
      </c>
      <c r="AL52" s="20" t="n">
        <v>166.69</v>
      </c>
      <c r="AM52" s="20" t="n">
        <v>166.69</v>
      </c>
      <c r="AN52" s="20" t="n">
        <v>166.69</v>
      </c>
      <c r="AO52" s="20" t="n">
        <v>166.69</v>
      </c>
      <c r="AP52" s="20" t="n">
        <v>166.69</v>
      </c>
      <c r="AQ52" s="20" t="n">
        <v>166.69</v>
      </c>
      <c r="AR52" s="20" t="n">
        <v>166.69</v>
      </c>
      <c r="AS52" s="20" t="n">
        <v>166.69</v>
      </c>
      <c r="AT52" s="20" t="n">
        <v>166.69</v>
      </c>
      <c r="AU52" s="20" t="n">
        <v>166.69</v>
      </c>
      <c r="AV52" s="20" t="n">
        <v>166.69</v>
      </c>
      <c r="AW52" s="20" t="n">
        <v>166.69</v>
      </c>
      <c r="AX52" s="20" t="n">
        <v>166.69</v>
      </c>
      <c r="AY52" s="20" t="n">
        <v>166.69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288.29</v>
      </c>
      <c r="J53" s="19" t="n">
        <v>0</v>
      </c>
      <c r="K53" s="19" t="n">
        <v>137.27</v>
      </c>
      <c r="L53" s="19" t="n">
        <v>100.75</v>
      </c>
      <c r="M53" s="19" t="n">
        <v>105.77</v>
      </c>
      <c r="N53" s="19" t="n">
        <v>105.81</v>
      </c>
      <c r="O53" s="19" t="n">
        <v>215.62</v>
      </c>
      <c r="P53" s="19" t="n">
        <v>108.06</v>
      </c>
      <c r="Q53" s="19" t="n">
        <v>108.04</v>
      </c>
      <c r="R53" s="19" t="n">
        <v>108</v>
      </c>
      <c r="S53" s="19" t="n">
        <v>108.01</v>
      </c>
      <c r="T53" s="83" t="n">
        <v>108</v>
      </c>
      <c r="U53" s="83" t="n">
        <v>113.02</v>
      </c>
      <c r="V53" s="83" t="n">
        <v>113.02</v>
      </c>
      <c r="W53" s="20" t="n">
        <v>108.88</v>
      </c>
      <c r="X53" s="20" t="n">
        <v>108.88</v>
      </c>
      <c r="Y53" s="20" t="n">
        <v>108.88</v>
      </c>
      <c r="Z53" s="20" t="n">
        <v>108.88</v>
      </c>
      <c r="AA53" s="20" t="n">
        <v>108.88</v>
      </c>
      <c r="AB53" s="20" t="n">
        <v>108.88</v>
      </c>
      <c r="AC53" s="20" t="n">
        <v>108.88</v>
      </c>
      <c r="AD53" s="20" t="n">
        <v>108.88</v>
      </c>
      <c r="AE53" s="20" t="n">
        <v>108.88</v>
      </c>
      <c r="AF53" s="20" t="n">
        <v>108.88</v>
      </c>
      <c r="AG53" s="20" t="n">
        <v>108.88</v>
      </c>
      <c r="AH53" s="20" t="n">
        <v>108.88</v>
      </c>
      <c r="AI53" s="20" t="n">
        <v>108.88</v>
      </c>
      <c r="AJ53" s="20" t="n">
        <v>108.88</v>
      </c>
      <c r="AK53" s="20" t="n">
        <v>108.88</v>
      </c>
      <c r="AL53" s="20" t="n">
        <v>108.88</v>
      </c>
      <c r="AM53" s="20" t="n">
        <v>108.88</v>
      </c>
      <c r="AN53" s="20" t="n">
        <v>108.88</v>
      </c>
      <c r="AO53" s="20" t="n">
        <v>108.88</v>
      </c>
      <c r="AP53" s="20" t="n">
        <v>108.88</v>
      </c>
      <c r="AQ53" s="20" t="n">
        <v>108.88</v>
      </c>
      <c r="AR53" s="20" t="n">
        <v>108.88</v>
      </c>
      <c r="AS53" s="20" t="n">
        <v>108.88</v>
      </c>
      <c r="AT53" s="20" t="n">
        <v>108.88</v>
      </c>
      <c r="AU53" s="20" t="n">
        <v>108.88</v>
      </c>
      <c r="AV53" s="20" t="n">
        <v>108.88</v>
      </c>
      <c r="AW53" s="20" t="n">
        <v>108.88</v>
      </c>
      <c r="AX53" s="20" t="n">
        <v>108.88</v>
      </c>
      <c r="AY53" s="20" t="n">
        <v>108.88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N54" s="19" t="n">
        <v>0</v>
      </c>
      <c r="O54" s="19" t="n">
        <v>0</v>
      </c>
      <c r="P54" s="19" t="n">
        <v>0</v>
      </c>
      <c r="Q54" s="19" t="n">
        <v>0</v>
      </c>
      <c r="R54" s="19" t="n">
        <v>0</v>
      </c>
      <c r="S54" s="19" t="n">
        <v>0</v>
      </c>
      <c r="T54" s="83" t="n">
        <v>0</v>
      </c>
      <c r="U54" s="83" t="n">
        <v>0</v>
      </c>
      <c r="V54" s="83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362.25</v>
      </c>
      <c r="J55" s="19" t="n">
        <v>0</v>
      </c>
      <c r="K55" s="19" t="n">
        <v>362.25</v>
      </c>
      <c r="L55" s="19" t="n">
        <v>362.25</v>
      </c>
      <c r="M55" s="19" t="n">
        <v>362.25</v>
      </c>
      <c r="N55" s="19" t="n">
        <v>362.25</v>
      </c>
      <c r="O55" s="19" t="n">
        <v>362.25</v>
      </c>
      <c r="P55" s="19" t="n">
        <v>362.25</v>
      </c>
      <c r="Q55" s="19" t="n">
        <v>362.25</v>
      </c>
      <c r="R55" s="19" t="n">
        <v>362.25</v>
      </c>
      <c r="S55" s="19" t="n">
        <v>362.25</v>
      </c>
      <c r="T55" s="83" t="n">
        <v>362.25</v>
      </c>
      <c r="U55" s="83" t="n">
        <v>362.25</v>
      </c>
      <c r="V55" s="83" t="n">
        <v>181.13</v>
      </c>
      <c r="W55" s="20" t="n">
        <v>365.1</v>
      </c>
      <c r="X55" s="20" t="n">
        <v>365.1</v>
      </c>
      <c r="Y55" s="20" t="n">
        <v>365.1</v>
      </c>
      <c r="Z55" s="20" t="n">
        <v>365.1</v>
      </c>
      <c r="AA55" s="20" t="n">
        <v>365.1</v>
      </c>
      <c r="AB55" s="20" t="n">
        <v>365.1</v>
      </c>
      <c r="AC55" s="20" t="n">
        <v>365.1</v>
      </c>
      <c r="AD55" s="20" t="n">
        <v>365.1</v>
      </c>
      <c r="AE55" s="20" t="n">
        <v>365.1</v>
      </c>
      <c r="AF55" s="20" t="n">
        <v>365.1</v>
      </c>
      <c r="AG55" s="20" t="n">
        <v>365.1</v>
      </c>
      <c r="AH55" s="20" t="n">
        <v>365.1</v>
      </c>
      <c r="AI55" s="20" t="n">
        <v>365.1</v>
      </c>
      <c r="AJ55" s="20" t="n">
        <v>365.1</v>
      </c>
      <c r="AK55" s="20" t="n">
        <v>365.1</v>
      </c>
      <c r="AL55" s="20" t="n">
        <v>365.1</v>
      </c>
      <c r="AM55" s="20" t="n">
        <v>365.1</v>
      </c>
      <c r="AN55" s="20" t="n">
        <v>365.1</v>
      </c>
      <c r="AO55" s="20" t="n">
        <v>365.1</v>
      </c>
      <c r="AP55" s="20" t="n">
        <v>365.1</v>
      </c>
      <c r="AQ55" s="20" t="n">
        <v>365.1</v>
      </c>
      <c r="AR55" s="20" t="n">
        <v>365.1</v>
      </c>
      <c r="AS55" s="20" t="n">
        <v>365.1</v>
      </c>
      <c r="AT55" s="20" t="n">
        <v>365.1</v>
      </c>
      <c r="AU55" s="20" t="n">
        <v>365.1</v>
      </c>
      <c r="AV55" s="20" t="n">
        <v>365.1</v>
      </c>
      <c r="AW55" s="20" t="n">
        <v>365.1</v>
      </c>
      <c r="AX55" s="20" t="n">
        <v>365.1</v>
      </c>
      <c r="AY55" s="20" t="n">
        <v>365.1</v>
      </c>
    </row>
    <row r="56">
      <c r="B56" s="32" t="inlineStr">
        <is>
          <t>Total Utilities</t>
        </is>
      </c>
      <c r="C56" s="34" t="n"/>
      <c r="D56" s="35">
        <f>SUM(D51:D55)</f>
        <v/>
      </c>
      <c r="E56" s="35">
        <f>SUM(E51:E55)</f>
        <v/>
      </c>
      <c r="F56" s="35">
        <f>SUM(F51:F55)</f>
        <v/>
      </c>
      <c r="G56" s="35">
        <f>SUM(G51:G55)</f>
        <v/>
      </c>
      <c r="H56" s="35">
        <f>SUM(H51:H55)</f>
        <v/>
      </c>
      <c r="I56" s="35">
        <f>SUM(I51:I55)</f>
        <v/>
      </c>
      <c r="J56" s="35">
        <f>SUM(J51:J55)</f>
        <v/>
      </c>
      <c r="K56" s="35">
        <f>SUM(K51:K55)</f>
        <v/>
      </c>
      <c r="L56" s="35">
        <f>SUM(L51:L55)</f>
        <v/>
      </c>
      <c r="M56" s="35">
        <f>SUM(M51:M55)</f>
        <v/>
      </c>
      <c r="N56" s="35">
        <f>SUM(N51:N55)</f>
        <v/>
      </c>
      <c r="O56" s="35">
        <f>SUM(O51:O55)</f>
        <v/>
      </c>
      <c r="P56" s="35">
        <f>P51+P52+P53+P54+P55</f>
        <v/>
      </c>
      <c r="Q56" s="35">
        <f>Q51+Q52+Q53+Q54+Q55</f>
        <v/>
      </c>
      <c r="R56" s="35">
        <f>R51+R52+R53+R54+R55</f>
        <v/>
      </c>
      <c r="S56" s="35">
        <f>S51+S52+S53+S54+S55</f>
        <v/>
      </c>
      <c r="T56" s="84">
        <f>T51+T52+T53+T54+T55</f>
        <v/>
      </c>
      <c r="U56" s="84">
        <f>U51+U52+U53+U54+U55</f>
        <v/>
      </c>
      <c r="V56" s="84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5932.56</v>
      </c>
      <c r="H57" s="19" t="n">
        <v>5932.56</v>
      </c>
      <c r="I57" s="19" t="n">
        <v>5932.56</v>
      </c>
      <c r="J57" s="19" t="n">
        <v>5932.56</v>
      </c>
      <c r="K57" s="19" t="n">
        <v>5932.56</v>
      </c>
      <c r="L57" s="19" t="n">
        <v>5932.56</v>
      </c>
      <c r="M57" s="19" t="n">
        <v>5932.56</v>
      </c>
      <c r="N57" s="19" t="n">
        <v>5932.56</v>
      </c>
      <c r="O57" s="19" t="n">
        <v>5932.56</v>
      </c>
      <c r="P57" s="19" t="n">
        <v>5932.56</v>
      </c>
      <c r="Q57" s="19" t="n">
        <v>5932.56</v>
      </c>
      <c r="R57" s="19" t="n">
        <v>5932.56</v>
      </c>
      <c r="S57" s="19" t="n">
        <v>5932.56</v>
      </c>
      <c r="T57" s="83" t="n">
        <v>5932.56</v>
      </c>
      <c r="U57" s="83" t="n">
        <v>5932.56</v>
      </c>
      <c r="V57" s="83" t="n">
        <v>5932.56</v>
      </c>
      <c r="W57" s="20" t="n">
        <v>5907.21</v>
      </c>
      <c r="X57" s="20" t="n">
        <v>5907.21</v>
      </c>
      <c r="Y57" s="20" t="n">
        <v>5907.21</v>
      </c>
      <c r="Z57" s="20" t="n">
        <v>5907.21</v>
      </c>
      <c r="AA57" s="20" t="n">
        <v>5907.21</v>
      </c>
      <c r="AB57" s="20" t="n">
        <v>5907.21</v>
      </c>
      <c r="AC57" s="20" t="n">
        <v>5907.21</v>
      </c>
      <c r="AD57" s="20" t="n">
        <v>5907.21</v>
      </c>
      <c r="AE57" s="20" t="n">
        <v>5907.21</v>
      </c>
      <c r="AF57" s="20" t="n">
        <v>5907.21</v>
      </c>
      <c r="AG57" s="20" t="n">
        <v>5907.21</v>
      </c>
      <c r="AH57" s="20" t="n">
        <v>5907.21</v>
      </c>
      <c r="AI57" s="20" t="n">
        <v>5907.21</v>
      </c>
      <c r="AJ57" s="20" t="n">
        <v>5907.21</v>
      </c>
      <c r="AK57" s="20" t="n">
        <v>5907.21</v>
      </c>
      <c r="AL57" s="20" t="n">
        <v>5907.21</v>
      </c>
      <c r="AM57" s="20" t="n">
        <v>5907.21</v>
      </c>
      <c r="AN57" s="20" t="n">
        <v>5907.21</v>
      </c>
      <c r="AO57" s="20" t="n">
        <v>5907.21</v>
      </c>
      <c r="AP57" s="20" t="n">
        <v>5907.21</v>
      </c>
      <c r="AQ57" s="20" t="n">
        <v>5907.21</v>
      </c>
      <c r="AR57" s="20" t="n">
        <v>5907.21</v>
      </c>
      <c r="AS57" s="20" t="n">
        <v>5907.21</v>
      </c>
      <c r="AT57" s="20" t="n">
        <v>5907.21</v>
      </c>
      <c r="AU57" s="20" t="n">
        <v>5907.21</v>
      </c>
      <c r="AV57" s="20" t="n">
        <v>5907.21</v>
      </c>
      <c r="AW57" s="20" t="n">
        <v>5907.21</v>
      </c>
      <c r="AX57" s="20" t="n">
        <v>5907.21</v>
      </c>
      <c r="AY57" s="20" t="n">
        <v>5907.21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19" t="n">
        <v>0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83" t="n">
        <v>0</v>
      </c>
      <c r="U58" s="83" t="n">
        <v>0</v>
      </c>
      <c r="V58" s="83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58.71</v>
      </c>
      <c r="K59" s="19" t="n">
        <v>164.01</v>
      </c>
      <c r="L59" s="19" t="n">
        <v>0</v>
      </c>
      <c r="M59" s="19" t="n">
        <v>-492</v>
      </c>
      <c r="N59" s="19" t="n">
        <v>116.26</v>
      </c>
      <c r="O59" s="19" t="n">
        <v>53.29</v>
      </c>
      <c r="P59" s="19" t="n">
        <v>0</v>
      </c>
      <c r="Q59" s="19" t="n">
        <v>0</v>
      </c>
      <c r="R59" s="19" t="n">
        <v>134.84</v>
      </c>
      <c r="S59" s="19" t="n">
        <v>0</v>
      </c>
      <c r="T59" s="83" t="n">
        <v>79.75</v>
      </c>
      <c r="U59" s="83" t="n">
        <v>117.71</v>
      </c>
      <c r="V59" s="83" t="n">
        <v>28.8</v>
      </c>
      <c r="W59" s="20" t="n">
        <v>33.57</v>
      </c>
      <c r="X59" s="20" t="n">
        <v>33.57</v>
      </c>
      <c r="Y59" s="20" t="n">
        <v>33.57</v>
      </c>
      <c r="Z59" s="20" t="n">
        <v>33.57</v>
      </c>
      <c r="AA59" s="20" t="n">
        <v>33.57</v>
      </c>
      <c r="AB59" s="20" t="n">
        <v>33.57</v>
      </c>
      <c r="AC59" s="20" t="n">
        <v>33.57</v>
      </c>
      <c r="AD59" s="20" t="n">
        <v>33.57</v>
      </c>
      <c r="AE59" s="20" t="n">
        <v>33.57</v>
      </c>
      <c r="AF59" s="20" t="n">
        <v>33.57</v>
      </c>
      <c r="AG59" s="20" t="n">
        <v>33.57</v>
      </c>
      <c r="AH59" s="20" t="n">
        <v>33.57</v>
      </c>
      <c r="AI59" s="20" t="n">
        <v>33.57</v>
      </c>
      <c r="AJ59" s="20" t="n">
        <v>33.57</v>
      </c>
      <c r="AK59" s="20" t="n">
        <v>33.57</v>
      </c>
      <c r="AL59" s="20" t="n">
        <v>33.57</v>
      </c>
      <c r="AM59" s="20" t="n">
        <v>33.57</v>
      </c>
      <c r="AN59" s="20" t="n">
        <v>33.57</v>
      </c>
      <c r="AO59" s="20" t="n">
        <v>33.57</v>
      </c>
      <c r="AP59" s="20" t="n">
        <v>33.57</v>
      </c>
      <c r="AQ59" s="20" t="n">
        <v>33.57</v>
      </c>
      <c r="AR59" s="20" t="n">
        <v>33.57</v>
      </c>
      <c r="AS59" s="20" t="n">
        <v>33.57</v>
      </c>
      <c r="AT59" s="20" t="n">
        <v>33.57</v>
      </c>
      <c r="AU59" s="20" t="n">
        <v>33.57</v>
      </c>
      <c r="AV59" s="20" t="n">
        <v>33.57</v>
      </c>
      <c r="AW59" s="20" t="n">
        <v>33.57</v>
      </c>
      <c r="AX59" s="20" t="n">
        <v>33.57</v>
      </c>
      <c r="AY59" s="20" t="n">
        <v>33.57</v>
      </c>
    </row>
    <row r="60">
      <c r="B60" s="33" t="inlineStr">
        <is>
          <t>705000 Property Maintenance (incl Repairs &amp; Parking)</t>
        </is>
      </c>
      <c r="D60" s="19" t="n">
        <v>-198.25</v>
      </c>
      <c r="E60" s="19" t="n">
        <v>-198.25</v>
      </c>
      <c r="F60" s="19" t="n">
        <v>-198.25</v>
      </c>
      <c r="G60" s="19" t="n">
        <v>-198.25</v>
      </c>
      <c r="H60" s="19" t="n">
        <v>-198.25</v>
      </c>
      <c r="I60" s="19" t="n">
        <v>721.21</v>
      </c>
      <c r="J60" s="19" t="n">
        <v>3455.84</v>
      </c>
      <c r="K60" s="19" t="n">
        <v>2038.95</v>
      </c>
      <c r="L60" s="19" t="n">
        <v>2038.95</v>
      </c>
      <c r="M60" s="19" t="n">
        <v>2038.95</v>
      </c>
      <c r="N60" s="19" t="n">
        <v>2108.95</v>
      </c>
      <c r="O60" s="19" t="n">
        <v>2038.96</v>
      </c>
      <c r="P60" s="19" t="n">
        <v>1923.06</v>
      </c>
      <c r="Q60" s="19" t="n">
        <v>1923.06</v>
      </c>
      <c r="R60" s="19" t="n">
        <v>1923.06</v>
      </c>
      <c r="S60" s="19" t="n">
        <v>1923.06</v>
      </c>
      <c r="T60" s="83" t="n">
        <v>1923.06</v>
      </c>
      <c r="U60" s="83" t="n">
        <v>1923.06</v>
      </c>
      <c r="V60" s="83" t="n">
        <v>1923.06</v>
      </c>
      <c r="W60" s="20" t="n">
        <v>1914.84</v>
      </c>
      <c r="X60" s="20" t="n">
        <v>1914.84</v>
      </c>
      <c r="Y60" s="20" t="n">
        <v>1914.84</v>
      </c>
      <c r="Z60" s="20" t="n">
        <v>1914.84</v>
      </c>
      <c r="AA60" s="20" t="n">
        <v>1914.84</v>
      </c>
      <c r="AB60" s="20" t="n">
        <v>1914.84</v>
      </c>
      <c r="AC60" s="20" t="n">
        <v>1914.84</v>
      </c>
      <c r="AD60" s="20" t="n">
        <v>1914.84</v>
      </c>
      <c r="AE60" s="20" t="n">
        <v>1914.84</v>
      </c>
      <c r="AF60" s="20" t="n">
        <v>1914.84</v>
      </c>
      <c r="AG60" s="20" t="n">
        <v>1914.84</v>
      </c>
      <c r="AH60" s="20" t="n">
        <v>1914.84</v>
      </c>
      <c r="AI60" s="20" t="n">
        <v>1914.84</v>
      </c>
      <c r="AJ60" s="20" t="n">
        <v>1914.84</v>
      </c>
      <c r="AK60" s="20" t="n">
        <v>1914.84</v>
      </c>
      <c r="AL60" s="20" t="n">
        <v>1914.84</v>
      </c>
      <c r="AM60" s="20" t="n">
        <v>1914.84</v>
      </c>
      <c r="AN60" s="20" t="n">
        <v>1914.84</v>
      </c>
      <c r="AO60" s="20" t="n">
        <v>1914.84</v>
      </c>
      <c r="AP60" s="20" t="n">
        <v>1914.84</v>
      </c>
      <c r="AQ60" s="20" t="n">
        <v>1914.84</v>
      </c>
      <c r="AR60" s="20" t="n">
        <v>1914.84</v>
      </c>
      <c r="AS60" s="20" t="n">
        <v>1914.84</v>
      </c>
      <c r="AT60" s="20" t="n">
        <v>1914.84</v>
      </c>
      <c r="AU60" s="20" t="n">
        <v>1914.84</v>
      </c>
      <c r="AV60" s="20" t="n">
        <v>1914.84</v>
      </c>
      <c r="AW60" s="20" t="n">
        <v>1914.84</v>
      </c>
      <c r="AX60" s="20" t="n">
        <v>1914.84</v>
      </c>
      <c r="AY60" s="20" t="n">
        <v>1914.84</v>
      </c>
    </row>
    <row r="61">
      <c r="B61" s="32" t="inlineStr">
        <is>
          <t>Total Property Costs</t>
        </is>
      </c>
      <c r="C61" s="34" t="n"/>
      <c r="D61" s="35">
        <f>SUM(D57:D60)</f>
        <v/>
      </c>
      <c r="E61" s="35">
        <f>SUM(E57:E60)</f>
        <v/>
      </c>
      <c r="F61" s="35">
        <f>SUM(F57:F60)</f>
        <v/>
      </c>
      <c r="G61" s="35">
        <f>SUM(G57:G60)</f>
        <v/>
      </c>
      <c r="H61" s="35">
        <f>SUM(H57:H60)</f>
        <v/>
      </c>
      <c r="I61" s="35">
        <f>SUM(I57:I60)</f>
        <v/>
      </c>
      <c r="J61" s="35">
        <f>SUM(J57:J60)</f>
        <v/>
      </c>
      <c r="K61" s="35">
        <f>SUM(K57:K60)</f>
        <v/>
      </c>
      <c r="L61" s="35">
        <f>SUM(L57:L60)</f>
        <v/>
      </c>
      <c r="M61" s="35">
        <f>SUM(M57:M60)</f>
        <v/>
      </c>
      <c r="N61" s="35">
        <f>SUM(N57:N60)</f>
        <v/>
      </c>
      <c r="O61" s="35">
        <f>SUM(O57:O60)</f>
        <v/>
      </c>
      <c r="P61" s="35">
        <f>P57+P58+P59+P60</f>
        <v/>
      </c>
      <c r="Q61" s="35">
        <f>Q57+Q58+Q59+Q60</f>
        <v/>
      </c>
      <c r="R61" s="35">
        <f>R57+R58+R59+R60</f>
        <v/>
      </c>
      <c r="S61" s="35">
        <f>S57+S58+S59+S60</f>
        <v/>
      </c>
      <c r="T61" s="84">
        <f>T57+T58+T59+T60</f>
        <v/>
      </c>
      <c r="U61" s="84">
        <f>U57+U58+U59+U60</f>
        <v/>
      </c>
      <c r="V61" s="84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>
        <f>D33+D38+D42+D47+D50+D56+D61</f>
        <v/>
      </c>
      <c r="E62" s="35">
        <f>E33+E38+E42+E47+E50+E56+E61</f>
        <v/>
      </c>
      <c r="F62" s="35">
        <f>F33+F38+F42+F47+F50+F56+F61</f>
        <v/>
      </c>
      <c r="G62" s="35">
        <f>G33+G38+G42+G47+G50+G56+G61</f>
        <v/>
      </c>
      <c r="H62" s="35">
        <f>H33+H38+H42+H47+H50+H56+H61</f>
        <v/>
      </c>
      <c r="I62" s="35">
        <f>I33+I38+I42+I47+I50+I56+I61</f>
        <v/>
      </c>
      <c r="J62" s="35">
        <f>J33+J38+J42+J47+J50+J56+J61</f>
        <v/>
      </c>
      <c r="K62" s="35">
        <f>K33+K38+K42+K47+K50+K56+K61</f>
        <v/>
      </c>
      <c r="L62" s="35">
        <f>L33+L38+L42+L47+L50+L56+L61</f>
        <v/>
      </c>
      <c r="M62" s="35">
        <f>M33+M38+M42+M47+M50+M56+M61</f>
        <v/>
      </c>
      <c r="N62" s="35">
        <f>N33+N38+N42+N47+N50+N56+N61</f>
        <v/>
      </c>
      <c r="O62" s="35">
        <f>O33+O38+O42+O47+O50+O56+O61</f>
        <v/>
      </c>
      <c r="P62" s="35">
        <f>P33+P38+P42+P47+P50+P56+P61</f>
        <v/>
      </c>
      <c r="Q62" s="35">
        <f>Q33+Q38+Q42+Q47+Q50+Q56+Q61</f>
        <v/>
      </c>
      <c r="R62" s="35">
        <f>R33+R38+R42+R47+R50+R56+R61</f>
        <v/>
      </c>
      <c r="S62" s="35">
        <f>S33+S38+S42+S47+S50+S56+S61</f>
        <v/>
      </c>
      <c r="T62" s="84">
        <f>T33+T38+T42+T47+T50+T56+T61</f>
        <v/>
      </c>
      <c r="U62" s="84">
        <f>U33+U38+U42+U47+U50+U56+U61</f>
        <v/>
      </c>
      <c r="V62" s="84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>
        <f>D26-D62</f>
        <v/>
      </c>
      <c r="E63" s="35">
        <f>E26-E62</f>
        <v/>
      </c>
      <c r="F63" s="35">
        <f>F26-F62</f>
        <v/>
      </c>
      <c r="G63" s="35">
        <f>G26-G62</f>
        <v/>
      </c>
      <c r="H63" s="35">
        <f>H26-H62</f>
        <v/>
      </c>
      <c r="I63" s="35">
        <f>I26-I62</f>
        <v/>
      </c>
      <c r="J63" s="35">
        <f>J26-J62</f>
        <v/>
      </c>
      <c r="K63" s="35">
        <f>K26-K62</f>
        <v/>
      </c>
      <c r="L63" s="35">
        <f>L26-L62</f>
        <v/>
      </c>
      <c r="M63" s="35">
        <f>M26-M62</f>
        <v/>
      </c>
      <c r="N63" s="35">
        <f>N26-N62</f>
        <v/>
      </c>
      <c r="O63" s="35">
        <f>O26-O62</f>
        <v/>
      </c>
      <c r="P63" s="35">
        <f>P26-P62</f>
        <v/>
      </c>
      <c r="Q63" s="35">
        <f>Q26-Q62</f>
        <v/>
      </c>
      <c r="R63" s="35">
        <f>R26-R62</f>
        <v/>
      </c>
      <c r="S63" s="35">
        <f>S26-S62</f>
        <v/>
      </c>
      <c r="T63" s="84">
        <f>T26-T62</f>
        <v/>
      </c>
      <c r="U63" s="84">
        <f>U26-U62</f>
        <v/>
      </c>
      <c r="V63" s="84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" customHeight="1" s="28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3539.61</v>
      </c>
      <c r="J65" s="19" t="n">
        <v>3629.04</v>
      </c>
      <c r="K65" s="19" t="n">
        <v>3519.23</v>
      </c>
      <c r="L65" s="19" t="n">
        <v>3552.17</v>
      </c>
      <c r="M65" s="19" t="n">
        <v>3587.95</v>
      </c>
      <c r="N65" s="19" t="n">
        <v>3599.54</v>
      </c>
      <c r="O65" s="19" t="n">
        <v>5647.2</v>
      </c>
      <c r="P65" s="19" t="n">
        <v>3615.45</v>
      </c>
      <c r="Q65" s="19" t="n">
        <v>3615.45</v>
      </c>
      <c r="R65" s="19" t="n">
        <v>3615.45</v>
      </c>
      <c r="S65" s="19" t="n">
        <v>3615.45</v>
      </c>
      <c r="T65" s="83" t="n">
        <v>3615.45</v>
      </c>
      <c r="U65" s="83" t="n">
        <v>3615.45</v>
      </c>
      <c r="V65" s="83" t="n">
        <v>3615.45</v>
      </c>
      <c r="W65" s="20" t="n">
        <v>3615.45</v>
      </c>
      <c r="X65" s="20" t="n">
        <v>3615.45</v>
      </c>
      <c r="Y65" s="20" t="n">
        <v>3615.45</v>
      </c>
      <c r="Z65" s="20" t="n">
        <v>3615.45</v>
      </c>
      <c r="AA65" s="20" t="n">
        <v>3615.45</v>
      </c>
      <c r="AB65" s="20" t="n">
        <v>3615.45</v>
      </c>
      <c r="AC65" s="20" t="n">
        <v>3615.45</v>
      </c>
      <c r="AD65" s="20" t="n">
        <v>3615.45</v>
      </c>
      <c r="AE65" s="20" t="n">
        <v>3615.45</v>
      </c>
      <c r="AF65" s="20" t="n">
        <v>3615.45</v>
      </c>
      <c r="AG65" s="20" t="n">
        <v>3615.45</v>
      </c>
      <c r="AH65" s="20" t="n">
        <v>3615.45</v>
      </c>
      <c r="AI65" s="20" t="n">
        <v>3615.45</v>
      </c>
      <c r="AJ65" s="20" t="n">
        <v>3615.45</v>
      </c>
      <c r="AK65" s="20" t="n">
        <v>3615.45</v>
      </c>
      <c r="AL65" s="20" t="n">
        <v>3615.45</v>
      </c>
      <c r="AM65" s="20" t="n">
        <v>3615.45</v>
      </c>
      <c r="AN65" s="20" t="n">
        <v>3615.45</v>
      </c>
      <c r="AO65" s="20" t="n">
        <v>3615.45</v>
      </c>
      <c r="AP65" s="20" t="n">
        <v>3615.45</v>
      </c>
      <c r="AQ65" s="20" t="n">
        <v>3615.45</v>
      </c>
      <c r="AR65" s="20" t="n">
        <v>3615.45</v>
      </c>
      <c r="AS65" s="20" t="n">
        <v>3615.45</v>
      </c>
      <c r="AT65" s="20" t="n">
        <v>3615.45</v>
      </c>
      <c r="AU65" s="20" t="n">
        <v>3615.45</v>
      </c>
      <c r="AV65" s="20" t="n">
        <v>3615.45</v>
      </c>
      <c r="AW65" s="20" t="n">
        <v>3615.45</v>
      </c>
      <c r="AX65" s="20" t="n">
        <v>3615.45</v>
      </c>
      <c r="AY65" s="20" t="n">
        <v>3615.45</v>
      </c>
    </row>
    <row r="66">
      <c r="B66" s="33" t="inlineStr">
        <is>
          <t>901000 Interest Expense (incl Other Exp/Inc)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19" t="n">
        <v>0</v>
      </c>
      <c r="I66" s="19" t="n">
        <v>0</v>
      </c>
      <c r="J66" s="19" t="n">
        <v>0</v>
      </c>
      <c r="K66" s="19" t="n">
        <v>0</v>
      </c>
      <c r="L66" s="19" t="n">
        <v>0</v>
      </c>
      <c r="M66" s="19" t="n">
        <v>0</v>
      </c>
      <c r="N66" s="19" t="n">
        <v>0</v>
      </c>
      <c r="O66" s="19" t="n">
        <v>0</v>
      </c>
      <c r="P66" s="19" t="n">
        <v>0</v>
      </c>
      <c r="Q66" s="19" t="n">
        <v>0</v>
      </c>
      <c r="R66" s="19" t="n">
        <v>0</v>
      </c>
      <c r="S66" s="19" t="n">
        <v>0</v>
      </c>
      <c r="T66" s="83" t="n">
        <v>0</v>
      </c>
      <c r="U66" s="83" t="n">
        <v>0</v>
      </c>
      <c r="V66" s="83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0</v>
      </c>
      <c r="F67" s="19" t="n">
        <v>0</v>
      </c>
      <c r="G67" s="19" t="n">
        <v>0</v>
      </c>
      <c r="H67" s="19" t="n">
        <v>0</v>
      </c>
      <c r="I67" s="19" t="n">
        <v>0</v>
      </c>
      <c r="J67" s="19" t="n">
        <v>0</v>
      </c>
      <c r="K67" s="19" t="n">
        <v>0</v>
      </c>
      <c r="L67" s="19" t="n">
        <v>0</v>
      </c>
      <c r="M67" s="19" t="n">
        <v>0</v>
      </c>
      <c r="N67" s="19" t="n">
        <v>0</v>
      </c>
      <c r="O67" s="19" t="n">
        <v>0</v>
      </c>
      <c r="P67" s="19" t="n">
        <v>0</v>
      </c>
      <c r="Q67" s="19" t="n">
        <v>0</v>
      </c>
      <c r="R67" s="19" t="n">
        <v>0</v>
      </c>
      <c r="S67" s="19" t="n">
        <v>0</v>
      </c>
      <c r="T67" s="83" t="n">
        <v>0</v>
      </c>
      <c r="U67" s="83" t="n">
        <v>0</v>
      </c>
      <c r="V67" s="83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AN69*0.013461</f>
        <v/>
      </c>
      <c r="AO67" s="20">
        <f>AO69*0.013461</f>
        <v/>
      </c>
      <c r="AP67" s="20">
        <f>AP69*0.013461</f>
        <v/>
      </c>
      <c r="AQ67" s="20">
        <f>AQ69*0.013461</f>
        <v/>
      </c>
      <c r="AR67" s="20">
        <f>AR69*0.013461</f>
        <v/>
      </c>
      <c r="AS67" s="20">
        <f>AS69*0.013461</f>
        <v/>
      </c>
      <c r="AT67" s="20">
        <f>AT69*0.013461</f>
        <v/>
      </c>
      <c r="AU67" s="20">
        <f>AU69*0.013461</f>
        <v/>
      </c>
      <c r="AV67" s="20">
        <f>AV69*0.013461</f>
        <v/>
      </c>
      <c r="AW67" s="20">
        <f>AW69*0.013461</f>
        <v/>
      </c>
      <c r="AX67" s="20">
        <f>AX69*0.013461</f>
        <v/>
      </c>
      <c r="AY67" s="20">
        <f>AY69*0.013461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3" t="n">
        <v>0</v>
      </c>
      <c r="U68" s="83" t="n">
        <v>0</v>
      </c>
      <c r="V68" s="83" t="n">
        <v>138.33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P65+P66+P67+P68</f>
        <v/>
      </c>
      <c r="Q69" s="35">
        <f>Q65+Q66+Q67+Q68</f>
        <v/>
      </c>
      <c r="R69" s="35">
        <f>R65+R66+R67+R68</f>
        <v/>
      </c>
      <c r="S69" s="35">
        <f>S65+S66+S67+S68</f>
        <v/>
      </c>
      <c r="T69" s="84">
        <f>T65+T66+T67+T68</f>
        <v/>
      </c>
      <c r="U69" s="84">
        <f>U65+U66+U67+U68</f>
        <v/>
      </c>
      <c r="V69" s="84">
        <f>V65+V66+V67+V68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>
        <f>D63-D69</f>
        <v/>
      </c>
      <c r="E70" s="35">
        <f>E63-E69</f>
        <v/>
      </c>
      <c r="F70" s="35">
        <f>F63-F69</f>
        <v/>
      </c>
      <c r="G70" s="35">
        <f>G63-G69</f>
        <v/>
      </c>
      <c r="H70" s="35">
        <f>H63-H69</f>
        <v/>
      </c>
      <c r="I70" s="35">
        <f>I63-I69</f>
        <v/>
      </c>
      <c r="J70" s="35">
        <f>J63-J69</f>
        <v/>
      </c>
      <c r="K70" s="35">
        <f>K63-K69</f>
        <v/>
      </c>
      <c r="L70" s="35">
        <f>L63-L69</f>
        <v/>
      </c>
      <c r="M70" s="35">
        <f>M63-M69</f>
        <v/>
      </c>
      <c r="N70" s="35">
        <f>N63-N69</f>
        <v/>
      </c>
      <c r="O70" s="35">
        <f>O63-O69</f>
        <v/>
      </c>
      <c r="P70" s="35">
        <f>P63-P69</f>
        <v/>
      </c>
      <c r="Q70" s="35">
        <f>Q63-Q69</f>
        <v/>
      </c>
      <c r="R70" s="35">
        <f>R63-R69</f>
        <v/>
      </c>
      <c r="S70" s="35">
        <f>S63-S69</f>
        <v/>
      </c>
      <c r="T70" s="84">
        <f>T63-T69</f>
        <v/>
      </c>
      <c r="U70" s="84">
        <f>U63-U69</f>
        <v/>
      </c>
      <c r="V70" s="84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ED7D31"/>
    <outlinePr summaryBelow="1" summaryRight="1"/>
    <pageSetUpPr/>
  </sheetPr>
  <dimension ref="B2:BB71"/>
  <sheetViews>
    <sheetView showGridLines="0" workbookViewId="0">
      <pane xSplit="3" ySplit="5" topLeftCell="AI6" activePane="bottomRight" state="frozen"/>
      <selection activeCell="W21" sqref="W21"/>
      <selection pane="topRight" activeCell="W21" sqref="W21"/>
      <selection pane="bottomLeft" activeCell="W21" sqref="W21"/>
      <selection pane="bottomRight" activeCell="AY13" sqref="AY13"/>
    </sheetView>
  </sheetViews>
  <sheetFormatPr baseColWidth="10" defaultColWidth="8.83203125" defaultRowHeight="15"/>
  <cols>
    <col hidden="1" width="2" customWidth="1" style="282" min="1" max="1"/>
    <col width="32" customWidth="1" style="282" min="2" max="2"/>
    <col width="10" customWidth="1" style="282" min="3" max="3"/>
    <col width="12" customWidth="1" style="282" min="4" max="39"/>
    <col width="13.33203125" customWidth="1" style="282" min="53" max="53"/>
  </cols>
  <sheetData>
    <row r="2" ht="21" customHeight="1" s="282">
      <c r="B2" s="9" t="inlineStr">
        <is>
          <t>Lafayette (LF) — Profit &amp; Loss</t>
        </is>
      </c>
      <c r="O2" t="n">
        <v>-1</v>
      </c>
      <c r="T2" s="24" t="n"/>
      <c r="U2" s="24" t="n"/>
    </row>
    <row r="4" ht="16" customHeight="1" s="28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01" t="inlineStr">
        <is>
          <t>Revenue Segments as % of Total (LTM)</t>
        </is>
      </c>
    </row>
    <row r="6" ht="16" customHeight="1" s="28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BA6" s="272" t="inlineStr">
        <is>
          <t>LTM May 2026</t>
        </is>
      </c>
    </row>
    <row r="7">
      <c r="B7" s="33" t="inlineStr">
        <is>
          <t xml:space="preserve">  401001 Machine</t>
        </is>
      </c>
      <c r="D7" s="19" t="n">
        <v>43151.82</v>
      </c>
      <c r="E7" s="19" t="n">
        <v>47419.54</v>
      </c>
      <c r="F7" s="19" t="n">
        <v>57007.59</v>
      </c>
      <c r="G7" s="19" t="n">
        <v>55456.25</v>
      </c>
      <c r="H7" s="19" t="n">
        <v>62450.75</v>
      </c>
      <c r="I7" s="19" t="n">
        <v>58847.59</v>
      </c>
      <c r="J7" s="19" t="n">
        <v>52441.82</v>
      </c>
      <c r="K7" s="19" t="n">
        <v>52783.33</v>
      </c>
      <c r="L7" s="19" t="n">
        <v>51328.58</v>
      </c>
      <c r="M7" s="19" t="n">
        <v>53566.52</v>
      </c>
      <c r="N7" s="19" t="n">
        <v>54483</v>
      </c>
      <c r="O7" s="19" t="n">
        <v>54399.41</v>
      </c>
      <c r="P7" s="19" t="n">
        <v>60615.29</v>
      </c>
      <c r="Q7" s="19" t="n">
        <v>55465.57</v>
      </c>
      <c r="R7" s="19" t="n">
        <v>61292.28</v>
      </c>
      <c r="S7" s="19" t="n">
        <v>56608.39</v>
      </c>
      <c r="T7" s="83" t="n">
        <v>60702.81</v>
      </c>
      <c r="U7" s="83" t="n">
        <v>51190.9</v>
      </c>
      <c r="V7" s="83" t="n">
        <v>53665.2</v>
      </c>
      <c r="W7" s="20">
        <f>W13*0.726851</f>
        <v/>
      </c>
      <c r="X7" s="20">
        <f>X13*0.726851</f>
        <v/>
      </c>
      <c r="Y7" s="20">
        <f>Y13*0.726851</f>
        <v/>
      </c>
      <c r="Z7" s="20">
        <f>Z13*0.726851</f>
        <v/>
      </c>
      <c r="AA7" s="20">
        <f>AA13*0.726851</f>
        <v/>
      </c>
      <c r="AB7" s="20">
        <f>AB13*0.726851</f>
        <v/>
      </c>
      <c r="AC7" s="20">
        <f>AC13*0.726851</f>
        <v/>
      </c>
      <c r="AD7" s="20">
        <f>AD13*0.726851</f>
        <v/>
      </c>
      <c r="AE7" s="20">
        <f>AE13*0.726851</f>
        <v/>
      </c>
      <c r="AF7" s="20">
        <f>AF13*0.726851</f>
        <v/>
      </c>
      <c r="AG7" s="20">
        <f>AG13*0.726851</f>
        <v/>
      </c>
      <c r="AH7" s="20">
        <f>AH13*0.726851</f>
        <v/>
      </c>
      <c r="AI7" s="20">
        <f>AI13*0.726851</f>
        <v/>
      </c>
      <c r="AJ7" s="20">
        <f>AJ13*0.726851</f>
        <v/>
      </c>
      <c r="AK7" s="20">
        <f>AK13*0.726851</f>
        <v/>
      </c>
      <c r="AL7" s="20">
        <f>AL13*0.726851</f>
        <v/>
      </c>
      <c r="AM7" s="20">
        <f>AM13*0.726851</f>
        <v/>
      </c>
      <c r="AN7" s="20">
        <f>AN13*0.726851</f>
        <v/>
      </c>
      <c r="AO7" s="20">
        <f>AO13*0.726851</f>
        <v/>
      </c>
      <c r="AP7" s="20">
        <f>AP13*0.726851</f>
        <v/>
      </c>
      <c r="AQ7" s="20">
        <f>AQ13*0.726851</f>
        <v/>
      </c>
      <c r="AR7" s="20">
        <f>AR13*0.726851</f>
        <v/>
      </c>
      <c r="AS7" s="20">
        <f>AS13*0.726851</f>
        <v/>
      </c>
      <c r="AT7" s="20">
        <f>AT13*0.726851</f>
        <v/>
      </c>
      <c r="AU7" s="20">
        <f>AU13*0.726851</f>
        <v/>
      </c>
      <c r="AV7" s="20">
        <f>AV13*0.726851</f>
        <v/>
      </c>
      <c r="AW7" s="20">
        <f>AW13*0.726851</f>
        <v/>
      </c>
      <c r="AX7" s="20">
        <f>AX13*0.726851</f>
        <v/>
      </c>
      <c r="AY7" s="20">
        <f>AY13*0.726851</f>
        <v/>
      </c>
      <c r="BA7" s="288">
        <f>SUM(I7:T7)</f>
        <v/>
      </c>
      <c r="BB7" s="274">
        <f>BA7/$BA$22</f>
        <v/>
      </c>
    </row>
    <row r="8">
      <c r="B8" s="33" t="inlineStr">
        <is>
          <t xml:space="preserve">  401002 Private Pilates</t>
        </is>
      </c>
      <c r="D8" s="19" t="n">
        <v>2925</v>
      </c>
      <c r="E8" s="19" t="n">
        <v>4200</v>
      </c>
      <c r="F8" s="19" t="n">
        <v>3960</v>
      </c>
      <c r="G8" s="19" t="n">
        <v>3712.5</v>
      </c>
      <c r="H8" s="19" t="n">
        <v>4219.17</v>
      </c>
      <c r="I8" s="19" t="n">
        <v>4000</v>
      </c>
      <c r="J8" s="19" t="n">
        <v>3325</v>
      </c>
      <c r="K8" s="19" t="n">
        <v>3845</v>
      </c>
      <c r="L8" s="19" t="n">
        <v>3405</v>
      </c>
      <c r="M8" s="19" t="n">
        <v>3235</v>
      </c>
      <c r="N8" s="19" t="n">
        <v>2105</v>
      </c>
      <c r="O8" s="19" t="n">
        <v>2085</v>
      </c>
      <c r="P8" s="19" t="n">
        <v>2761</v>
      </c>
      <c r="Q8" s="19" t="n">
        <v>3375</v>
      </c>
      <c r="R8" s="19" t="n">
        <v>4874</v>
      </c>
      <c r="S8" s="19" t="n">
        <v>2940</v>
      </c>
      <c r="T8" s="83" t="n">
        <v>3589</v>
      </c>
      <c r="U8" s="83" t="n">
        <v>3791.1</v>
      </c>
      <c r="V8" s="83" t="n">
        <v>3914.9</v>
      </c>
      <c r="W8" s="20">
        <f>W13*0.043335</f>
        <v/>
      </c>
      <c r="X8" s="20">
        <f>X13*0.043335</f>
        <v/>
      </c>
      <c r="Y8" s="20">
        <f>Y13*0.043335</f>
        <v/>
      </c>
      <c r="Z8" s="20">
        <f>Z13*0.043335</f>
        <v/>
      </c>
      <c r="AA8" s="20">
        <f>AA13*0.043335</f>
        <v/>
      </c>
      <c r="AB8" s="20">
        <f>AB13*0.043335</f>
        <v/>
      </c>
      <c r="AC8" s="20">
        <f>AC13*0.043335</f>
        <v/>
      </c>
      <c r="AD8" s="20">
        <f>AD13*0.043335</f>
        <v/>
      </c>
      <c r="AE8" s="20">
        <f>AE13*0.043335</f>
        <v/>
      </c>
      <c r="AF8" s="20">
        <f>AF13*0.043335</f>
        <v/>
      </c>
      <c r="AG8" s="20">
        <f>AG13*0.043335</f>
        <v/>
      </c>
      <c r="AH8" s="20">
        <f>AH13*0.043335</f>
        <v/>
      </c>
      <c r="AI8" s="20">
        <f>AI13*0.043335</f>
        <v/>
      </c>
      <c r="AJ8" s="20">
        <f>AJ13*0.043335</f>
        <v/>
      </c>
      <c r="AK8" s="20">
        <f>AK13*0.043335</f>
        <v/>
      </c>
      <c r="AL8" s="20">
        <f>AL13*0.043335</f>
        <v/>
      </c>
      <c r="AM8" s="20">
        <f>AM13*0.043335</f>
        <v/>
      </c>
      <c r="AN8" s="20">
        <f>AN13*0.043335</f>
        <v/>
      </c>
      <c r="AO8" s="20">
        <f>AO13*0.043335</f>
        <v/>
      </c>
      <c r="AP8" s="20">
        <f>AP13*0.043335</f>
        <v/>
      </c>
      <c r="AQ8" s="20">
        <f>AQ13*0.043335</f>
        <v/>
      </c>
      <c r="AR8" s="20">
        <f>AR13*0.043335</f>
        <v/>
      </c>
      <c r="AS8" s="20">
        <f>AS13*0.043335</f>
        <v/>
      </c>
      <c r="AT8" s="20">
        <f>AT13*0.043335</f>
        <v/>
      </c>
      <c r="AU8" s="20">
        <f>AU13*0.043335</f>
        <v/>
      </c>
      <c r="AV8" s="20">
        <f>AV13*0.043335</f>
        <v/>
      </c>
      <c r="AW8" s="20">
        <f>AW13*0.043335</f>
        <v/>
      </c>
      <c r="AX8" s="20">
        <f>AX13*0.043335</f>
        <v/>
      </c>
      <c r="AY8" s="20">
        <f>AY13*0.043335</f>
        <v/>
      </c>
      <c r="BA8" s="288">
        <f>SUM(I8:T8)</f>
        <v/>
      </c>
      <c r="BB8" s="274">
        <f>BA8/$BA$22</f>
        <v/>
      </c>
    </row>
    <row r="9">
      <c r="B9" s="33" t="inlineStr">
        <is>
          <t xml:space="preserve">  401003 Class Pass</t>
        </is>
      </c>
      <c r="D9" s="19" t="n">
        <v>11286.93</v>
      </c>
      <c r="E9" s="19" t="n">
        <v>9719.469999999999</v>
      </c>
      <c r="F9" s="19" t="n">
        <v>12905.89</v>
      </c>
      <c r="G9" s="19" t="n">
        <v>12576.41</v>
      </c>
      <c r="H9" s="19" t="n">
        <v>12618.59</v>
      </c>
      <c r="I9" s="19" t="n">
        <v>10385.23</v>
      </c>
      <c r="J9" s="19" t="n">
        <v>10921.08</v>
      </c>
      <c r="K9" s="19" t="n">
        <v>11454.02</v>
      </c>
      <c r="L9" s="19" t="n">
        <v>11685.34</v>
      </c>
      <c r="M9" s="19" t="n">
        <v>11581.92</v>
      </c>
      <c r="N9" s="19" t="n">
        <v>11538.37</v>
      </c>
      <c r="O9" s="19" t="n">
        <v>11343.15</v>
      </c>
      <c r="P9" s="19" t="n">
        <v>12346.11</v>
      </c>
      <c r="Q9" s="19" t="n">
        <v>11594.81</v>
      </c>
      <c r="R9" s="19" t="n">
        <v>12982.46</v>
      </c>
      <c r="S9" s="19" t="n">
        <v>11890</v>
      </c>
      <c r="T9" s="83" t="n">
        <v>12469.24</v>
      </c>
      <c r="U9" s="83" t="n">
        <v>12289.99</v>
      </c>
      <c r="V9" s="83" t="n">
        <v>10615</v>
      </c>
      <c r="W9" s="20">
        <f>W13*0.151636</f>
        <v/>
      </c>
      <c r="X9" s="20">
        <f>X13*0.151636</f>
        <v/>
      </c>
      <c r="Y9" s="20">
        <f>Y13*0.151636</f>
        <v/>
      </c>
      <c r="Z9" s="20">
        <f>Z13*0.151636</f>
        <v/>
      </c>
      <c r="AA9" s="20">
        <f>AA13*0.151636</f>
        <v/>
      </c>
      <c r="AB9" s="20">
        <f>AB13*0.151636</f>
        <v/>
      </c>
      <c r="AC9" s="20">
        <f>AC13*0.151636</f>
        <v/>
      </c>
      <c r="AD9" s="20">
        <f>AD13*0.151636</f>
        <v/>
      </c>
      <c r="AE9" s="20">
        <f>AE13*0.151636</f>
        <v/>
      </c>
      <c r="AF9" s="20">
        <f>AF13*0.151636</f>
        <v/>
      </c>
      <c r="AG9" s="20">
        <f>AG13*0.151636</f>
        <v/>
      </c>
      <c r="AH9" s="20">
        <f>AH13*0.151636</f>
        <v/>
      </c>
      <c r="AI9" s="20">
        <f>AI13*0.151636</f>
        <v/>
      </c>
      <c r="AJ9" s="20">
        <f>AJ13*0.151636</f>
        <v/>
      </c>
      <c r="AK9" s="20">
        <f>AK13*0.151636</f>
        <v/>
      </c>
      <c r="AL9" s="20">
        <f>AL13*0.151636</f>
        <v/>
      </c>
      <c r="AM9" s="20">
        <f>AM13*0.151636</f>
        <v/>
      </c>
      <c r="AN9" s="20">
        <f>AN13*0.151636</f>
        <v/>
      </c>
      <c r="AO9" s="20">
        <f>AO13*0.151636</f>
        <v/>
      </c>
      <c r="AP9" s="20">
        <f>AP13*0.151636</f>
        <v/>
      </c>
      <c r="AQ9" s="20">
        <f>AQ13*0.151636</f>
        <v/>
      </c>
      <c r="AR9" s="20">
        <f>AR13*0.151636</f>
        <v/>
      </c>
      <c r="AS9" s="20">
        <f>AS13*0.151636</f>
        <v/>
      </c>
      <c r="AT9" s="20">
        <f>AT13*0.151636</f>
        <v/>
      </c>
      <c r="AU9" s="20">
        <f>AU13*0.151636</f>
        <v/>
      </c>
      <c r="AV9" s="20">
        <f>AV13*0.151636</f>
        <v/>
      </c>
      <c r="AW9" s="20">
        <f>AW13*0.151636</f>
        <v/>
      </c>
      <c r="AX9" s="20">
        <f>AX13*0.151636</f>
        <v/>
      </c>
      <c r="AY9" s="20">
        <f>AY13*0.151636</f>
        <v/>
      </c>
      <c r="BA9" s="288">
        <f>SUM(I9:T9)</f>
        <v/>
      </c>
      <c r="BB9" s="274">
        <f>BA9/$BA$22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500</v>
      </c>
      <c r="H10" s="19" t="n">
        <v>0</v>
      </c>
      <c r="I10" s="19" t="n">
        <v>4950</v>
      </c>
      <c r="J10" s="19" t="n">
        <v>66.67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15183.33</v>
      </c>
      <c r="Q10" s="19" t="n">
        <v>0</v>
      </c>
      <c r="R10" s="19" t="n">
        <v>0</v>
      </c>
      <c r="S10" s="19" t="n">
        <v>0</v>
      </c>
      <c r="T10" s="83" t="n">
        <v>0</v>
      </c>
      <c r="U10" s="83" t="n">
        <v>0</v>
      </c>
      <c r="V10" s="83" t="n">
        <v>0</v>
      </c>
      <c r="W10" s="20">
        <f>W13*0.06612</f>
        <v/>
      </c>
      <c r="X10" s="20">
        <f>X13*0.06612</f>
        <v/>
      </c>
      <c r="Y10" s="20">
        <f>Y13*0.06612</f>
        <v/>
      </c>
      <c r="Z10" s="20">
        <f>Z13*0.06612</f>
        <v/>
      </c>
      <c r="AA10" s="20">
        <f>AA13*0.06612</f>
        <v/>
      </c>
      <c r="AB10" s="20">
        <f>AB13*0.06612</f>
        <v/>
      </c>
      <c r="AC10" s="20">
        <f>AC13*0.06612</f>
        <v/>
      </c>
      <c r="AD10" s="20">
        <f>AD13*0.06612</f>
        <v/>
      </c>
      <c r="AE10" s="20">
        <f>AE13*0.06612</f>
        <v/>
      </c>
      <c r="AF10" s="20">
        <f>AF13*0.06612</f>
        <v/>
      </c>
      <c r="AG10" s="20">
        <f>AG13*0.06612</f>
        <v/>
      </c>
      <c r="AH10" s="20">
        <f>AH13*0.06612</f>
        <v/>
      </c>
      <c r="AI10" s="20">
        <f>AI13*0.06612</f>
        <v/>
      </c>
      <c r="AJ10" s="20">
        <f>AJ13*0.06612</f>
        <v/>
      </c>
      <c r="AK10" s="20">
        <f>AK13*0.06612</f>
        <v/>
      </c>
      <c r="AL10" s="20">
        <f>AL13*0.06612</f>
        <v/>
      </c>
      <c r="AM10" s="20">
        <f>AM13*0.06612</f>
        <v/>
      </c>
      <c r="AN10" s="20">
        <f>AN13*0.06612</f>
        <v/>
      </c>
      <c r="AO10" s="20">
        <f>AO13*0.06612</f>
        <v/>
      </c>
      <c r="AP10" s="20">
        <f>AP13*0.06612</f>
        <v/>
      </c>
      <c r="AQ10" s="20">
        <f>AQ13*0.06612</f>
        <v/>
      </c>
      <c r="AR10" s="20">
        <f>AR13*0.06612</f>
        <v/>
      </c>
      <c r="AS10" s="20">
        <f>AS13*0.06612</f>
        <v/>
      </c>
      <c r="AT10" s="20">
        <f>AT13*0.06612</f>
        <v/>
      </c>
      <c r="AU10" s="20">
        <f>AU13*0.06612</f>
        <v/>
      </c>
      <c r="AV10" s="20">
        <f>AV13*0.06612</f>
        <v/>
      </c>
      <c r="AW10" s="20">
        <f>AW13*0.06612</f>
        <v/>
      </c>
      <c r="AX10" s="20">
        <f>AX13*0.06612</f>
        <v/>
      </c>
      <c r="AY10" s="20">
        <f>AY13*0.06612</f>
        <v/>
      </c>
      <c r="BA10" s="288">
        <f>SUM(I10:T10)</f>
        <v/>
      </c>
      <c r="BB10" s="274">
        <f>BA10/$BA$22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39.8</v>
      </c>
      <c r="F11" s="19" t="n">
        <v>14</v>
      </c>
      <c r="G11" s="19" t="n">
        <v>0</v>
      </c>
      <c r="H11" s="19" t="n">
        <v>14</v>
      </c>
      <c r="I11" s="19" t="n">
        <v>309</v>
      </c>
      <c r="J11" s="19" t="n">
        <v>0</v>
      </c>
      <c r="K11" s="19" t="n">
        <v>275.8</v>
      </c>
      <c r="L11" s="19" t="n">
        <v>11.8</v>
      </c>
      <c r="M11" s="19" t="n">
        <v>14</v>
      </c>
      <c r="N11" s="19" t="n">
        <v>39.8</v>
      </c>
      <c r="O11" s="19" t="n">
        <v>309</v>
      </c>
      <c r="P11" s="19" t="n">
        <v>136.52</v>
      </c>
      <c r="Q11" s="19" t="n">
        <v>140.18</v>
      </c>
      <c r="R11" s="19" t="n">
        <v>96.72</v>
      </c>
      <c r="S11" s="19" t="n">
        <v>96.94</v>
      </c>
      <c r="T11" s="83" t="n">
        <v>157.92</v>
      </c>
      <c r="U11" s="83" t="n">
        <v>23.6</v>
      </c>
      <c r="V11" s="83" t="n">
        <v>14</v>
      </c>
      <c r="W11" s="20">
        <f>W13*0.001461</f>
        <v/>
      </c>
      <c r="X11" s="20">
        <f>X13*0.001461</f>
        <v/>
      </c>
      <c r="Y11" s="20">
        <f>Y13*0.001461</f>
        <v/>
      </c>
      <c r="Z11" s="20">
        <f>Z13*0.001461</f>
        <v/>
      </c>
      <c r="AA11" s="20">
        <f>AA13*0.001461</f>
        <v/>
      </c>
      <c r="AB11" s="20">
        <f>AB13*0.001461</f>
        <v/>
      </c>
      <c r="AC11" s="20">
        <f>AC13*0.001461</f>
        <v/>
      </c>
      <c r="AD11" s="20">
        <f>AD13*0.001461</f>
        <v/>
      </c>
      <c r="AE11" s="20">
        <f>AE13*0.001461</f>
        <v/>
      </c>
      <c r="AF11" s="20">
        <f>AF13*0.001461</f>
        <v/>
      </c>
      <c r="AG11" s="20">
        <f>AG13*0.001461</f>
        <v/>
      </c>
      <c r="AH11" s="20">
        <f>AH13*0.001461</f>
        <v/>
      </c>
      <c r="AI11" s="20">
        <f>AI13*0.001461</f>
        <v/>
      </c>
      <c r="AJ11" s="20">
        <f>AJ13*0.001461</f>
        <v/>
      </c>
      <c r="AK11" s="20">
        <f>AK13*0.001461</f>
        <v/>
      </c>
      <c r="AL11" s="20">
        <f>AL13*0.001461</f>
        <v/>
      </c>
      <c r="AM11" s="20">
        <f>AM13*0.001461</f>
        <v/>
      </c>
      <c r="AN11" s="20">
        <f>AN13*0.001461</f>
        <v/>
      </c>
      <c r="AO11" s="20">
        <f>AO13*0.001461</f>
        <v/>
      </c>
      <c r="AP11" s="20">
        <f>AP13*0.001461</f>
        <v/>
      </c>
      <c r="AQ11" s="20">
        <f>AQ13*0.001461</f>
        <v/>
      </c>
      <c r="AR11" s="20">
        <f>AR13*0.001461</f>
        <v/>
      </c>
      <c r="AS11" s="20">
        <f>AS13*0.001461</f>
        <v/>
      </c>
      <c r="AT11" s="20">
        <f>AT13*0.001461</f>
        <v/>
      </c>
      <c r="AU11" s="20">
        <f>AU13*0.001461</f>
        <v/>
      </c>
      <c r="AV11" s="20">
        <f>AV13*0.001461</f>
        <v/>
      </c>
      <c r="AW11" s="20">
        <f>AW13*0.001461</f>
        <v/>
      </c>
      <c r="AX11" s="20">
        <f>AX13*0.001461</f>
        <v/>
      </c>
      <c r="AY11" s="20">
        <f>AY13*0.001461</f>
        <v/>
      </c>
      <c r="BA11" s="288">
        <f>SUM(I11:T11)</f>
        <v/>
      </c>
      <c r="BB11" s="274">
        <f>BA11/$BA$22</f>
        <v/>
      </c>
    </row>
    <row r="12">
      <c r="B12" s="33" t="inlineStr">
        <is>
          <t xml:space="preserve">  401006 Wellhub</t>
        </is>
      </c>
      <c r="D12" s="19" t="n">
        <v>1003.83</v>
      </c>
      <c r="E12" s="19" t="n">
        <v>867.91</v>
      </c>
      <c r="F12" s="19" t="n">
        <v>777.3</v>
      </c>
      <c r="G12" s="19" t="n">
        <v>1119.61</v>
      </c>
      <c r="H12" s="19" t="n">
        <v>810.02</v>
      </c>
      <c r="I12" s="19" t="n">
        <v>1119.61</v>
      </c>
      <c r="J12" s="19" t="n">
        <v>1258.05</v>
      </c>
      <c r="K12" s="19" t="n">
        <v>867.91</v>
      </c>
      <c r="L12" s="19" t="n">
        <v>1060.81</v>
      </c>
      <c r="M12" s="19" t="n">
        <v>860.36</v>
      </c>
      <c r="N12" s="19" t="n">
        <v>1016.87</v>
      </c>
      <c r="O12" s="19" t="n">
        <v>1011.38</v>
      </c>
      <c r="P12" s="19" t="n">
        <v>1041.13</v>
      </c>
      <c r="Q12" s="19" t="n">
        <v>750.0700000000001</v>
      </c>
      <c r="R12" s="19" t="n">
        <v>679.59</v>
      </c>
      <c r="S12" s="19" t="n">
        <v>940.45</v>
      </c>
      <c r="T12" s="83" t="n">
        <v>777.3</v>
      </c>
      <c r="U12" s="83" t="n">
        <v>999.25</v>
      </c>
      <c r="V12" s="83" t="n">
        <v>1009.32</v>
      </c>
      <c r="W12" s="20">
        <f>W13*0.010597</f>
        <v/>
      </c>
      <c r="X12" s="20">
        <f>X13*0.010597</f>
        <v/>
      </c>
      <c r="Y12" s="20">
        <f>Y13*0.010597</f>
        <v/>
      </c>
      <c r="Z12" s="20">
        <f>Z13*0.010597</f>
        <v/>
      </c>
      <c r="AA12" s="20">
        <f>AA13*0.010597</f>
        <v/>
      </c>
      <c r="AB12" s="20">
        <f>AB13*0.010597</f>
        <v/>
      </c>
      <c r="AC12" s="20">
        <f>AC13*0.010597</f>
        <v/>
      </c>
      <c r="AD12" s="20">
        <f>AD13*0.010597</f>
        <v/>
      </c>
      <c r="AE12" s="20">
        <f>AE13*0.010597</f>
        <v/>
      </c>
      <c r="AF12" s="20">
        <f>AF13*0.010597</f>
        <v/>
      </c>
      <c r="AG12" s="20">
        <f>AG13*0.010597</f>
        <v/>
      </c>
      <c r="AH12" s="20">
        <f>AH13*0.010597</f>
        <v/>
      </c>
      <c r="AI12" s="20">
        <f>AI13*0.010597</f>
        <v/>
      </c>
      <c r="AJ12" s="20">
        <f>AJ13*0.010597</f>
        <v/>
      </c>
      <c r="AK12" s="20">
        <f>AK13*0.010597</f>
        <v/>
      </c>
      <c r="AL12" s="20">
        <f>AL13*0.010597</f>
        <v/>
      </c>
      <c r="AM12" s="20">
        <f>AM13*0.010597</f>
        <v/>
      </c>
      <c r="AN12" s="20">
        <f>AN13*0.010597</f>
        <v/>
      </c>
      <c r="AO12" s="20">
        <f>AO13*0.010597</f>
        <v/>
      </c>
      <c r="AP12" s="20">
        <f>AP13*0.010597</f>
        <v/>
      </c>
      <c r="AQ12" s="20">
        <f>AQ13*0.010597</f>
        <v/>
      </c>
      <c r="AR12" s="20">
        <f>AR13*0.010597</f>
        <v/>
      </c>
      <c r="AS12" s="20">
        <f>AS13*0.010597</f>
        <v/>
      </c>
      <c r="AT12" s="20">
        <f>AT13*0.010597</f>
        <v/>
      </c>
      <c r="AU12" s="20">
        <f>AU13*0.010597</f>
        <v/>
      </c>
      <c r="AV12" s="20">
        <f>AV13*0.010597</f>
        <v/>
      </c>
      <c r="AW12" s="20">
        <f>AW13*0.010597</f>
        <v/>
      </c>
      <c r="AX12" s="20">
        <f>AX13*0.010597</f>
        <v/>
      </c>
      <c r="AY12" s="20">
        <f>AY13*0.010597</f>
        <v/>
      </c>
      <c r="BA12" s="288">
        <f>SUM(I12:T12)</f>
        <v/>
      </c>
      <c r="BB12" s="274">
        <f>BA12/$BA$22</f>
        <v/>
      </c>
    </row>
    <row r="13">
      <c r="B13" s="32" t="inlineStr">
        <is>
          <t>Total Sessions</t>
        </is>
      </c>
      <c r="C13" s="34" t="n"/>
      <c r="D13" s="35">
        <f>SUM(D7:D12)</f>
        <v/>
      </c>
      <c r="E13" s="35">
        <f>SUM(E7:E12)</f>
        <v/>
      </c>
      <c r="F13" s="35">
        <f>SUM(F7:F12)</f>
        <v/>
      </c>
      <c r="G13" s="35">
        <f>SUM(G7:G12)</f>
        <v/>
      </c>
      <c r="H13" s="35">
        <f>SUM(H7:H12)</f>
        <v/>
      </c>
      <c r="I13" s="35">
        <f>SUM(I7:I12)</f>
        <v/>
      </c>
      <c r="J13" s="35">
        <f>SUM(J7:J12)</f>
        <v/>
      </c>
      <c r="K13" s="35">
        <f>SUM(K7:K12)</f>
        <v/>
      </c>
      <c r="L13" s="35">
        <f>SUM(L7:L12)</f>
        <v/>
      </c>
      <c r="M13" s="35">
        <f>SUM(M7:M12)</f>
        <v/>
      </c>
      <c r="N13" s="35">
        <f>SUM(N7:N12)</f>
        <v/>
      </c>
      <c r="O13" s="35">
        <f>SUM(O7:O12)</f>
        <v/>
      </c>
      <c r="P13" s="35">
        <f>P7+P8+P9+P10+P11+P12</f>
        <v/>
      </c>
      <c r="Q13" s="35">
        <f>Q7+Q8+Q9+Q10+Q11+Q12</f>
        <v/>
      </c>
      <c r="R13" s="35">
        <f>R7+R8+R9+R10+R11+R12</f>
        <v/>
      </c>
      <c r="S13" s="35">
        <f>S7+S8+S9+S10+S11+S12</f>
        <v/>
      </c>
      <c r="T13" s="84">
        <f>T7+T8+T9+T10+T11+T12</f>
        <v/>
      </c>
      <c r="U13" s="84">
        <f>U7+U8+U9+U10+U11+U12</f>
        <v/>
      </c>
      <c r="V13" s="84">
        <f>V7+V8+V9+V10+V11+V12</f>
        <v/>
      </c>
      <c r="W13" s="17">
        <f>'Sales Forecast'!W9*Assumptions!$C$12+'Sales Forecast'!V9*Assumptions!$D$12+'Sales Forecast'!U9*Assumptions!$E$12+'Sales Forecast'!T9*Assumptions!$F$12+'Sales Forecast'!S9*Assumptions!$G$12+'Sales Forecast'!R9*Assumptions!$H$12+'Sales Forecast'!Q9*Assumptions!$I$12</f>
        <v/>
      </c>
      <c r="X13" s="17">
        <f>'Sales Forecast'!X9*Assumptions!$C$12+'Sales Forecast'!W9*Assumptions!$D$12+'Sales Forecast'!V9*Assumptions!$E$12+'Sales Forecast'!U9*Assumptions!$F$12+'Sales Forecast'!T9*Assumptions!$G$12+'Sales Forecast'!S9*Assumptions!$H$12+'Sales Forecast'!R9*Assumptions!$I$12</f>
        <v/>
      </c>
      <c r="Y13" s="17">
        <f>'Sales Forecast'!Y9*Assumptions!$C$12+'Sales Forecast'!X9*Assumptions!$D$12+'Sales Forecast'!W9*Assumptions!$E$12+'Sales Forecast'!V9*Assumptions!$F$12+'Sales Forecast'!U9*Assumptions!$G$12+'Sales Forecast'!T9*Assumptions!$H$12+'Sales Forecast'!S9*Assumptions!$I$12</f>
        <v/>
      </c>
      <c r="Z13" s="17">
        <f>'Sales Forecast'!Z9*Assumptions!$C$12+'Sales Forecast'!Y9*Assumptions!$D$12+'Sales Forecast'!X9*Assumptions!$E$12+'Sales Forecast'!W9*Assumptions!$F$12+'Sales Forecast'!V9*Assumptions!$G$12+'Sales Forecast'!U9*Assumptions!$H$12+'Sales Forecast'!T9*Assumptions!$I$12</f>
        <v/>
      </c>
      <c r="AA13" s="17">
        <f>'Sales Forecast'!AA9*Assumptions!$C$12+'Sales Forecast'!Z9*Assumptions!$D$12+'Sales Forecast'!Y9*Assumptions!$E$12+'Sales Forecast'!X9*Assumptions!$F$12+'Sales Forecast'!W9*Assumptions!$G$12+'Sales Forecast'!V9*Assumptions!$H$12+'Sales Forecast'!U9*Assumptions!$I$12</f>
        <v/>
      </c>
      <c r="AB13" s="17">
        <f>'Sales Forecast'!AB9*Assumptions!$C$12+'Sales Forecast'!AA9*Assumptions!$D$12+'Sales Forecast'!Z9*Assumptions!$E$12+'Sales Forecast'!Y9*Assumptions!$F$12+'Sales Forecast'!X9*Assumptions!$G$12+'Sales Forecast'!W9*Assumptions!$H$12+'Sales Forecast'!V9*Assumptions!$I$12</f>
        <v/>
      </c>
      <c r="AC13" s="17">
        <f>'Sales Forecast'!AC9*Assumptions!$C$12+'Sales Forecast'!AB9*Assumptions!$D$12+'Sales Forecast'!AA9*Assumptions!$E$12+'Sales Forecast'!Z9*Assumptions!$F$12+'Sales Forecast'!Y9*Assumptions!$G$12+'Sales Forecast'!X9*Assumptions!$H$12+'Sales Forecast'!W9*Assumptions!$I$12</f>
        <v/>
      </c>
      <c r="AD13" s="17">
        <f>'Sales Forecast'!AD9*Assumptions!$C$12+'Sales Forecast'!AC9*Assumptions!$D$12+'Sales Forecast'!AB9*Assumptions!$E$12+'Sales Forecast'!AA9*Assumptions!$F$12+'Sales Forecast'!Z9*Assumptions!$G$12+'Sales Forecast'!Y9*Assumptions!$H$12+'Sales Forecast'!X9*Assumptions!$I$12</f>
        <v/>
      </c>
      <c r="AE13" s="17">
        <f>'Sales Forecast'!AE9*Assumptions!$C$12+'Sales Forecast'!AD9*Assumptions!$D$12+'Sales Forecast'!AC9*Assumptions!$E$12+'Sales Forecast'!AB9*Assumptions!$F$12+'Sales Forecast'!AA9*Assumptions!$G$12+'Sales Forecast'!Z9*Assumptions!$H$12+'Sales Forecast'!Y9*Assumptions!$I$12</f>
        <v/>
      </c>
      <c r="AF13" s="17">
        <f>'Sales Forecast'!AF9*Assumptions!$C$12+'Sales Forecast'!AE9*Assumptions!$D$12+'Sales Forecast'!AD9*Assumptions!$E$12+'Sales Forecast'!AC9*Assumptions!$F$12+'Sales Forecast'!AB9*Assumptions!$G$12+'Sales Forecast'!AA9*Assumptions!$H$12+'Sales Forecast'!Z9*Assumptions!$I$12</f>
        <v/>
      </c>
      <c r="AG13" s="17">
        <f>'Sales Forecast'!AG9*Assumptions!$C$12+'Sales Forecast'!AF9*Assumptions!$D$12+'Sales Forecast'!AE9*Assumptions!$E$12+'Sales Forecast'!AD9*Assumptions!$F$12+'Sales Forecast'!AC9*Assumptions!$G$12+'Sales Forecast'!AB9*Assumptions!$H$12+'Sales Forecast'!AA9*Assumptions!$I$12</f>
        <v/>
      </c>
      <c r="AH13" s="17">
        <f>'Sales Forecast'!AH9*Assumptions!$C$12+'Sales Forecast'!AG9*Assumptions!$D$12+'Sales Forecast'!AF9*Assumptions!$E$12+'Sales Forecast'!AE9*Assumptions!$F$12+'Sales Forecast'!AD9*Assumptions!$G$12+'Sales Forecast'!AC9*Assumptions!$H$12+'Sales Forecast'!AB9*Assumptions!$I$12</f>
        <v/>
      </c>
      <c r="AI13" s="17">
        <f>'Sales Forecast'!AI9*Assumptions!$C$12+'Sales Forecast'!AH9*Assumptions!$D$12+'Sales Forecast'!AG9*Assumptions!$E$12+'Sales Forecast'!AF9*Assumptions!$F$12+'Sales Forecast'!AE9*Assumptions!$G$12+'Sales Forecast'!AD9*Assumptions!$H$12+'Sales Forecast'!AC9*Assumptions!$I$12</f>
        <v/>
      </c>
      <c r="AJ13" s="17">
        <f>'Sales Forecast'!AJ9*Assumptions!$C$12+'Sales Forecast'!AI9*Assumptions!$D$12+'Sales Forecast'!AH9*Assumptions!$E$12+'Sales Forecast'!AG9*Assumptions!$F$12+'Sales Forecast'!AF9*Assumptions!$G$12+'Sales Forecast'!AE9*Assumptions!$H$12+'Sales Forecast'!AD9*Assumptions!$I$12</f>
        <v/>
      </c>
      <c r="AK13" s="17">
        <f>'Sales Forecast'!AK9*Assumptions!$C$12+'Sales Forecast'!AJ9*Assumptions!$D$12+'Sales Forecast'!AI9*Assumptions!$E$12+'Sales Forecast'!AH9*Assumptions!$F$12+'Sales Forecast'!AG9*Assumptions!$G$12+'Sales Forecast'!AF9*Assumptions!$H$12+'Sales Forecast'!AE9*Assumptions!$I$12</f>
        <v/>
      </c>
      <c r="AL13" s="17">
        <f>'Sales Forecast'!AL9*Assumptions!$C$12+'Sales Forecast'!AK9*Assumptions!$D$12+'Sales Forecast'!AJ9*Assumptions!$E$12+'Sales Forecast'!AI9*Assumptions!$F$12+'Sales Forecast'!AH9*Assumptions!$G$12+'Sales Forecast'!AG9*Assumptions!$H$12+'Sales Forecast'!AF9*Assumptions!$I$12</f>
        <v/>
      </c>
      <c r="AM13" s="17">
        <f>'Sales Forecast'!AM9*Assumptions!$C$12+'Sales Forecast'!AL9*Assumptions!$D$12+'Sales Forecast'!AK9*Assumptions!$E$12+'Sales Forecast'!AJ9*Assumptions!$F$12+'Sales Forecast'!AI9*Assumptions!$G$12+'Sales Forecast'!AH9*Assumptions!$H$12+'Sales Forecast'!AG9*Assumptions!$I$12</f>
        <v/>
      </c>
      <c r="AN13" s="17">
        <f>'Sales Forecast'!AN9*Assumptions!$C$12+'Sales Forecast'!AM9*Assumptions!$D$12+'Sales Forecast'!AL9*Assumptions!$E$12+'Sales Forecast'!AK9*Assumptions!$F$12+'Sales Forecast'!AJ9*Assumptions!$G$12+'Sales Forecast'!AI9*Assumptions!$H$12+'Sales Forecast'!AH9*Assumptions!$I$12</f>
        <v/>
      </c>
      <c r="AO13" s="17">
        <f>'Sales Forecast'!AO9*Assumptions!$C$12+'Sales Forecast'!AN9*Assumptions!$D$12+'Sales Forecast'!AM9*Assumptions!$E$12+'Sales Forecast'!AL9*Assumptions!$F$12+'Sales Forecast'!AK9*Assumptions!$G$12+'Sales Forecast'!AJ9*Assumptions!$H$12+'Sales Forecast'!AI9*Assumptions!$I$12</f>
        <v/>
      </c>
      <c r="AP13" s="17">
        <f>'Sales Forecast'!AP9*Assumptions!$C$12+'Sales Forecast'!AO9*Assumptions!$D$12+'Sales Forecast'!AN9*Assumptions!$E$12+'Sales Forecast'!AM9*Assumptions!$F$12+'Sales Forecast'!AL9*Assumptions!$G$12+'Sales Forecast'!AK9*Assumptions!$H$12+'Sales Forecast'!AJ9*Assumptions!$I$12</f>
        <v/>
      </c>
      <c r="AQ13" s="17">
        <f>'Sales Forecast'!AQ9*Assumptions!$C$12+'Sales Forecast'!AP9*Assumptions!$D$12+'Sales Forecast'!AO9*Assumptions!$E$12+'Sales Forecast'!AN9*Assumptions!$F$12+'Sales Forecast'!AM9*Assumptions!$G$12+'Sales Forecast'!AL9*Assumptions!$H$12+'Sales Forecast'!AK9*Assumptions!$I$12</f>
        <v/>
      </c>
      <c r="AR13" s="17">
        <f>'Sales Forecast'!AR9*Assumptions!$C$12+'Sales Forecast'!AQ9*Assumptions!$D$12+'Sales Forecast'!AP9*Assumptions!$E$12+'Sales Forecast'!AO9*Assumptions!$F$12+'Sales Forecast'!AN9*Assumptions!$G$12+'Sales Forecast'!AM9*Assumptions!$H$12+'Sales Forecast'!AL9*Assumptions!$I$12</f>
        <v/>
      </c>
      <c r="AS13" s="17">
        <f>'Sales Forecast'!AS9*Assumptions!$C$12+'Sales Forecast'!AR9*Assumptions!$D$12+'Sales Forecast'!AQ9*Assumptions!$E$12+'Sales Forecast'!AP9*Assumptions!$F$12+'Sales Forecast'!AO9*Assumptions!$G$12+'Sales Forecast'!AN9*Assumptions!$H$12+'Sales Forecast'!AM9*Assumptions!$I$12</f>
        <v/>
      </c>
      <c r="AT13" s="17">
        <f>'Sales Forecast'!AT9*Assumptions!$C$12+'Sales Forecast'!AS9*Assumptions!$D$12+'Sales Forecast'!AR9*Assumptions!$E$12+'Sales Forecast'!AQ9*Assumptions!$F$12+'Sales Forecast'!AP9*Assumptions!$G$12+'Sales Forecast'!AO9*Assumptions!$H$12+'Sales Forecast'!AN9*Assumptions!$I$12</f>
        <v/>
      </c>
      <c r="AU13" s="17">
        <f>'Sales Forecast'!AU9*Assumptions!$C$12+'Sales Forecast'!AT9*Assumptions!$D$12+'Sales Forecast'!AS9*Assumptions!$E$12+'Sales Forecast'!AR9*Assumptions!$F$12+'Sales Forecast'!AQ9*Assumptions!$G$12+'Sales Forecast'!AP9*Assumptions!$H$12+'Sales Forecast'!AO9*Assumptions!$I$12</f>
        <v/>
      </c>
      <c r="AV13" s="17">
        <f>'Sales Forecast'!AV9*Assumptions!$C$12+'Sales Forecast'!AU9*Assumptions!$D$12+'Sales Forecast'!AT9*Assumptions!$E$12+'Sales Forecast'!AS9*Assumptions!$F$12+'Sales Forecast'!AR9*Assumptions!$G$12+'Sales Forecast'!AQ9*Assumptions!$H$12+'Sales Forecast'!AP9*Assumptions!$I$12</f>
        <v/>
      </c>
      <c r="AW13" s="17">
        <f>'Sales Forecast'!AW9*Assumptions!$C$12+'Sales Forecast'!AV9*Assumptions!$D$12+'Sales Forecast'!AU9*Assumptions!$E$12+'Sales Forecast'!AT9*Assumptions!$F$12+'Sales Forecast'!AS9*Assumptions!$G$12+'Sales Forecast'!AR9*Assumptions!$H$12+'Sales Forecast'!AQ9*Assumptions!$I$12</f>
        <v/>
      </c>
      <c r="AX13" s="17">
        <f>'Sales Forecast'!AX9*Assumptions!$C$12+'Sales Forecast'!AW9*Assumptions!$D$12+'Sales Forecast'!AV9*Assumptions!$E$12+'Sales Forecast'!AU9*Assumptions!$F$12+'Sales Forecast'!AT9*Assumptions!$G$12+'Sales Forecast'!AS9*Assumptions!$H$12+'Sales Forecast'!AR9*Assumptions!$I$12</f>
        <v/>
      </c>
      <c r="AY13" s="17">
        <f>'Sales Forecast'!AY9*Assumptions!$C$12+'Sales Forecast'!AX9*Assumptions!$D$12+'Sales Forecast'!AW9*Assumptions!$E$12+'Sales Forecast'!AV9*Assumptions!$F$12+'Sales Forecast'!AU9*Assumptions!$G$12+'Sales Forecast'!AT9*Assumptions!$H$12+'Sales Forecast'!AS9*Assumptions!$I$12</f>
        <v/>
      </c>
      <c r="BA13" s="288" t="n"/>
    </row>
    <row r="14">
      <c r="B14" s="32" t="inlineStr">
        <is>
          <t>Revenue from Old Mighty</t>
        </is>
      </c>
      <c r="C14" s="34" t="n"/>
      <c r="D14" s="278" t="n">
        <v>26010.7</v>
      </c>
      <c r="E14" s="278" t="n">
        <v>12957.72</v>
      </c>
      <c r="F14" s="278" t="n">
        <v>7719.13</v>
      </c>
      <c r="G14" s="278" t="n">
        <v>3710.61</v>
      </c>
      <c r="H14" s="278" t="n">
        <v>2790.5</v>
      </c>
      <c r="I14" s="278" t="n">
        <v>607.83</v>
      </c>
      <c r="J14" s="278" t="n">
        <v>668</v>
      </c>
      <c r="K14" s="278" t="n">
        <v>359.17</v>
      </c>
      <c r="L14" s="278" t="n">
        <v>438</v>
      </c>
      <c r="M14" s="278" t="n">
        <v>263.5</v>
      </c>
      <c r="N14" s="278" t="n">
        <v>86.8</v>
      </c>
      <c r="O14" s="278" t="n">
        <v>67</v>
      </c>
      <c r="P14" s="278" t="n">
        <v>0</v>
      </c>
      <c r="Q14" s="278" t="n">
        <v>0</v>
      </c>
      <c r="R14" s="278" t="n">
        <v>0</v>
      </c>
      <c r="S14" s="278" t="n">
        <v>0</v>
      </c>
      <c r="T14" s="84" t="n">
        <v>0</v>
      </c>
      <c r="U14" s="84" t="n">
        <v>0</v>
      </c>
      <c r="V14" s="84" t="n">
        <v>0</v>
      </c>
      <c r="W14" s="279" t="n"/>
      <c r="X14" s="279" t="n"/>
      <c r="Y14" s="279" t="n"/>
      <c r="Z14" s="279" t="n"/>
      <c r="AA14" s="279" t="n"/>
      <c r="AB14" s="279" t="n"/>
      <c r="AC14" s="279" t="n"/>
      <c r="AD14" s="279" t="n"/>
      <c r="AE14" s="279" t="n"/>
      <c r="AF14" s="279" t="n"/>
      <c r="AG14" s="279" t="n"/>
      <c r="AH14" s="279" t="n"/>
      <c r="AI14" s="279" t="n"/>
      <c r="AJ14" s="279" t="n"/>
      <c r="AK14" s="279" t="n"/>
      <c r="AL14" s="279" t="n"/>
      <c r="AM14" s="279" t="n"/>
      <c r="AN14" s="279" t="n"/>
      <c r="AO14" s="279" t="n"/>
      <c r="AP14" s="279" t="n"/>
      <c r="AQ14" s="279" t="n"/>
      <c r="AR14" s="279" t="n"/>
      <c r="AS14" s="279" t="n"/>
      <c r="AT14" s="279" t="n"/>
      <c r="AU14" s="279" t="n"/>
      <c r="AV14" s="279" t="n"/>
      <c r="AW14" s="279" t="n"/>
      <c r="AX14" s="279" t="n"/>
      <c r="AY14" s="279" t="n"/>
      <c r="BA14" s="288" t="n"/>
    </row>
    <row r="15">
      <c r="B15" s="33" t="inlineStr">
        <is>
          <t xml:space="preserve">  403001 Machine Breakage</t>
        </is>
      </c>
      <c r="D15" s="19" t="n">
        <v>9291.620000000001</v>
      </c>
      <c r="E15" s="19" t="n">
        <v>15252.61</v>
      </c>
      <c r="F15" s="19" t="n">
        <v>14273.32</v>
      </c>
      <c r="G15" s="19" t="n">
        <v>12002.23</v>
      </c>
      <c r="H15" s="19" t="n">
        <v>24288.08</v>
      </c>
      <c r="I15" s="19" t="n">
        <v>12711.39</v>
      </c>
      <c r="J15" s="19" t="n">
        <v>13629.15</v>
      </c>
      <c r="K15" s="19" t="n">
        <v>14900.47</v>
      </c>
      <c r="L15" s="19" t="n">
        <v>21340.38</v>
      </c>
      <c r="M15" s="19" t="n">
        <v>15733.55</v>
      </c>
      <c r="N15" s="19" t="n">
        <v>21841</v>
      </c>
      <c r="O15" s="19" t="n">
        <v>27204.4</v>
      </c>
      <c r="P15" s="19" t="n">
        <v>13400.43</v>
      </c>
      <c r="Q15" s="19" t="n">
        <v>15883.02</v>
      </c>
      <c r="R15" s="19" t="n">
        <v>12911.17</v>
      </c>
      <c r="S15" s="19" t="n">
        <v>13278.92</v>
      </c>
      <c r="T15" s="83" t="n">
        <v>12597.23</v>
      </c>
      <c r="U15" s="83" t="n">
        <v>11901.2</v>
      </c>
      <c r="V15" s="83" t="n">
        <v>12935.6</v>
      </c>
      <c r="W15" s="20">
        <f>W18*0.9552</f>
        <v/>
      </c>
      <c r="X15" s="20">
        <f>X18*0.9552</f>
        <v/>
      </c>
      <c r="Y15" s="20">
        <f>Y18*0.9552</f>
        <v/>
      </c>
      <c r="Z15" s="20">
        <f>Z18*0.9552</f>
        <v/>
      </c>
      <c r="AA15" s="20">
        <f>AA18*0.9552</f>
        <v/>
      </c>
      <c r="AB15" s="20">
        <f>AB18*0.9552</f>
        <v/>
      </c>
      <c r="AC15" s="20">
        <f>AC18*0.9552</f>
        <v/>
      </c>
      <c r="AD15" s="20">
        <f>AD18*0.9552</f>
        <v/>
      </c>
      <c r="AE15" s="20">
        <f>AE18*0.9552</f>
        <v/>
      </c>
      <c r="AF15" s="20">
        <f>AF18*0.9552</f>
        <v/>
      </c>
      <c r="AG15" s="20">
        <f>AG18*0.9552</f>
        <v/>
      </c>
      <c r="AH15" s="20">
        <f>AH18*0.9552</f>
        <v/>
      </c>
      <c r="AI15" s="20">
        <f>AI18*0.9552</f>
        <v/>
      </c>
      <c r="AJ15" s="20">
        <f>AJ18*0.9552</f>
        <v/>
      </c>
      <c r="AK15" s="20">
        <f>AK18*0.9552</f>
        <v/>
      </c>
      <c r="AL15" s="20">
        <f>AL18*0.9552</f>
        <v/>
      </c>
      <c r="AM15" s="20">
        <f>AM18*0.9552</f>
        <v/>
      </c>
      <c r="AN15" s="20">
        <f>AN18*0.9552</f>
        <v/>
      </c>
      <c r="AO15" s="20">
        <f>AO18*0.9552</f>
        <v/>
      </c>
      <c r="AP15" s="20">
        <f>AP18*0.9552</f>
        <v/>
      </c>
      <c r="AQ15" s="20">
        <f>AQ18*0.9552</f>
        <v/>
      </c>
      <c r="AR15" s="20">
        <f>AR18*0.9552</f>
        <v/>
      </c>
      <c r="AS15" s="20">
        <f>AS18*0.9552</f>
        <v/>
      </c>
      <c r="AT15" s="20">
        <f>AT18*0.9552</f>
        <v/>
      </c>
      <c r="AU15" s="20">
        <f>AU18*0.9552</f>
        <v/>
      </c>
      <c r="AV15" s="20">
        <f>AV18*0.9552</f>
        <v/>
      </c>
      <c r="AW15" s="20">
        <f>AW18*0.9552</f>
        <v/>
      </c>
      <c r="AX15" s="20">
        <f>AX18*0.9552</f>
        <v/>
      </c>
      <c r="AY15" s="20">
        <f>AY18*0.9552</f>
        <v/>
      </c>
      <c r="BA15" s="288">
        <f>SUM(I15:T15)</f>
        <v/>
      </c>
      <c r="BB15" s="274">
        <f>BA15/$BA$22</f>
        <v/>
      </c>
    </row>
    <row r="16">
      <c r="B16" s="33" t="inlineStr">
        <is>
          <t xml:space="preserve">  403003 Private Pilates Breakage</t>
        </is>
      </c>
      <c r="D16" s="19" t="n">
        <v>450</v>
      </c>
      <c r="E16" s="19" t="n">
        <v>955</v>
      </c>
      <c r="F16" s="19" t="n">
        <v>3300</v>
      </c>
      <c r="G16" s="19" t="n">
        <v>1585</v>
      </c>
      <c r="H16" s="19" t="n">
        <v>1095</v>
      </c>
      <c r="I16" s="19" t="n">
        <v>913.33</v>
      </c>
      <c r="J16" s="19" t="n">
        <v>1625</v>
      </c>
      <c r="K16" s="19" t="n">
        <v>640</v>
      </c>
      <c r="L16" s="19" t="n">
        <v>720</v>
      </c>
      <c r="M16" s="19" t="n">
        <v>1335</v>
      </c>
      <c r="N16" s="19" t="n">
        <v>1210</v>
      </c>
      <c r="O16" s="19" t="n">
        <v>950</v>
      </c>
      <c r="P16" s="19" t="n">
        <v>115</v>
      </c>
      <c r="Q16" s="19" t="n">
        <v>340</v>
      </c>
      <c r="R16" s="19" t="n">
        <v>1260</v>
      </c>
      <c r="S16" s="19" t="n">
        <v>875</v>
      </c>
      <c r="T16" s="83" t="n">
        <v>375</v>
      </c>
      <c r="U16" s="83" t="n">
        <v>195</v>
      </c>
      <c r="V16" s="83" t="n">
        <v>525</v>
      </c>
      <c r="W16" s="20">
        <f>W18*0.044597</f>
        <v/>
      </c>
      <c r="X16" s="20">
        <f>X18*0.044597</f>
        <v/>
      </c>
      <c r="Y16" s="20">
        <f>Y18*0.044597</f>
        <v/>
      </c>
      <c r="Z16" s="20">
        <f>Z18*0.044597</f>
        <v/>
      </c>
      <c r="AA16" s="20">
        <f>AA18*0.044597</f>
        <v/>
      </c>
      <c r="AB16" s="20">
        <f>AB18*0.044597</f>
        <v/>
      </c>
      <c r="AC16" s="20">
        <f>AC18*0.044597</f>
        <v/>
      </c>
      <c r="AD16" s="20">
        <f>AD18*0.044597</f>
        <v/>
      </c>
      <c r="AE16" s="20">
        <f>AE18*0.044597</f>
        <v/>
      </c>
      <c r="AF16" s="20">
        <f>AF18*0.044597</f>
        <v/>
      </c>
      <c r="AG16" s="20">
        <f>AG18*0.044597</f>
        <v/>
      </c>
      <c r="AH16" s="20">
        <f>AH18*0.044597</f>
        <v/>
      </c>
      <c r="AI16" s="20">
        <f>AI18*0.044597</f>
        <v/>
      </c>
      <c r="AJ16" s="20">
        <f>AJ18*0.044597</f>
        <v/>
      </c>
      <c r="AK16" s="20">
        <f>AK18*0.044597</f>
        <v/>
      </c>
      <c r="AL16" s="20">
        <f>AL18*0.044597</f>
        <v/>
      </c>
      <c r="AM16" s="20">
        <f>AM18*0.044597</f>
        <v/>
      </c>
      <c r="AN16" s="20">
        <f>AN18*0.044597</f>
        <v/>
      </c>
      <c r="AO16" s="20">
        <f>AO18*0.044597</f>
        <v/>
      </c>
      <c r="AP16" s="20">
        <f>AP18*0.044597</f>
        <v/>
      </c>
      <c r="AQ16" s="20">
        <f>AQ18*0.044597</f>
        <v/>
      </c>
      <c r="AR16" s="20">
        <f>AR18*0.044597</f>
        <v/>
      </c>
      <c r="AS16" s="20">
        <f>AS18*0.044597</f>
        <v/>
      </c>
      <c r="AT16" s="20">
        <f>AT18*0.044597</f>
        <v/>
      </c>
      <c r="AU16" s="20">
        <f>AU18*0.044597</f>
        <v/>
      </c>
      <c r="AV16" s="20">
        <f>AV18*0.044597</f>
        <v/>
      </c>
      <c r="AW16" s="20">
        <f>AW18*0.044597</f>
        <v/>
      </c>
      <c r="AX16" s="20">
        <f>AX18*0.044597</f>
        <v/>
      </c>
      <c r="AY16" s="20">
        <f>AY18*0.044597</f>
        <v/>
      </c>
      <c r="BA16" s="288">
        <f>SUM(I16:T16)</f>
        <v/>
      </c>
      <c r="BB16" s="274">
        <f>BA16/$BA$22</f>
        <v/>
      </c>
    </row>
    <row r="17">
      <c r="B17" s="33" t="inlineStr">
        <is>
          <t>403004 Other Breakage (incl MTT Breakage)</t>
        </is>
      </c>
      <c r="D17" s="19" t="n">
        <v>0</v>
      </c>
      <c r="E17" s="19" t="n">
        <v>0</v>
      </c>
      <c r="F17" s="19" t="n">
        <v>47.2</v>
      </c>
      <c r="G17" s="19" t="n">
        <v>0</v>
      </c>
      <c r="H17" s="19" t="n">
        <v>0</v>
      </c>
      <c r="I17" s="19" t="n">
        <v>0</v>
      </c>
      <c r="J17" s="19" t="n">
        <v>2180</v>
      </c>
      <c r="K17" s="19" t="n">
        <v>5180</v>
      </c>
      <c r="L17" s="19" t="n">
        <v>23.6</v>
      </c>
      <c r="M17" s="19" t="n">
        <v>0</v>
      </c>
      <c r="N17" s="19" t="n">
        <v>500</v>
      </c>
      <c r="O17" s="19" t="n">
        <v>2983.33</v>
      </c>
      <c r="P17" s="19" t="n">
        <v>0</v>
      </c>
      <c r="Q17" s="19" t="n">
        <v>11.8</v>
      </c>
      <c r="R17" s="19" t="n">
        <v>0</v>
      </c>
      <c r="S17" s="19" t="n">
        <v>0</v>
      </c>
      <c r="T17" s="83" t="n">
        <v>0</v>
      </c>
      <c r="U17" s="83" t="n">
        <v>0</v>
      </c>
      <c r="V17" s="83" t="n">
        <v>0</v>
      </c>
      <c r="W17" s="20">
        <f>W18*0.000203</f>
        <v/>
      </c>
      <c r="X17" s="20">
        <f>X18*0.000203</f>
        <v/>
      </c>
      <c r="Y17" s="20">
        <f>Y18*0.000203</f>
        <v/>
      </c>
      <c r="Z17" s="20">
        <f>Z18*0.000203</f>
        <v/>
      </c>
      <c r="AA17" s="20">
        <f>AA18*0.000203</f>
        <v/>
      </c>
      <c r="AB17" s="20">
        <f>AB18*0.000203</f>
        <v/>
      </c>
      <c r="AC17" s="20">
        <f>AC18*0.000203</f>
        <v/>
      </c>
      <c r="AD17" s="20">
        <f>AD18*0.000203</f>
        <v/>
      </c>
      <c r="AE17" s="20">
        <f>AE18*0.000203</f>
        <v/>
      </c>
      <c r="AF17" s="20">
        <f>AF18*0.000203</f>
        <v/>
      </c>
      <c r="AG17" s="20">
        <f>AG18*0.000203</f>
        <v/>
      </c>
      <c r="AH17" s="20">
        <f>AH18*0.000203</f>
        <v/>
      </c>
      <c r="AI17" s="20">
        <f>AI18*0.000203</f>
        <v/>
      </c>
      <c r="AJ17" s="20">
        <f>AJ18*0.000203</f>
        <v/>
      </c>
      <c r="AK17" s="20">
        <f>AK18*0.000203</f>
        <v/>
      </c>
      <c r="AL17" s="20">
        <f>AL18*0.000203</f>
        <v/>
      </c>
      <c r="AM17" s="20">
        <f>AM18*0.000203</f>
        <v/>
      </c>
      <c r="AN17" s="20">
        <f>AN18*0.000203</f>
        <v/>
      </c>
      <c r="AO17" s="20">
        <f>AO18*0.000203</f>
        <v/>
      </c>
      <c r="AP17" s="20">
        <f>AP18*0.000203</f>
        <v/>
      </c>
      <c r="AQ17" s="20">
        <f>AQ18*0.000203</f>
        <v/>
      </c>
      <c r="AR17" s="20">
        <f>AR18*0.000203</f>
        <v/>
      </c>
      <c r="AS17" s="20">
        <f>AS18*0.000203</f>
        <v/>
      </c>
      <c r="AT17" s="20">
        <f>AT18*0.000203</f>
        <v/>
      </c>
      <c r="AU17" s="20">
        <f>AU18*0.000203</f>
        <v/>
      </c>
      <c r="AV17" s="20">
        <f>AV18*0.000203</f>
        <v/>
      </c>
      <c r="AW17" s="20">
        <f>AW18*0.000203</f>
        <v/>
      </c>
      <c r="AX17" s="20">
        <f>AX18*0.000203</f>
        <v/>
      </c>
      <c r="AY17" s="20">
        <f>AY18*0.000203</f>
        <v/>
      </c>
      <c r="BA17" s="288">
        <f>SUM(I17:T17)</f>
        <v/>
      </c>
      <c r="BB17" s="274">
        <f>BA17/$BA$22</f>
        <v/>
      </c>
    </row>
    <row r="18">
      <c r="B18" s="32" t="inlineStr">
        <is>
          <t>Total Breakage Revenue</t>
        </is>
      </c>
      <c r="C18" s="34" t="n"/>
      <c r="D18" s="35">
        <f>SUM(D15:D17)</f>
        <v/>
      </c>
      <c r="E18" s="35">
        <f>SUM(E15:E17)</f>
        <v/>
      </c>
      <c r="F18" s="35">
        <f>SUM(F15:F17)</f>
        <v/>
      </c>
      <c r="G18" s="35">
        <f>SUM(G15:G17)</f>
        <v/>
      </c>
      <c r="H18" s="35">
        <f>SUM(H15:H17)</f>
        <v/>
      </c>
      <c r="I18" s="35">
        <f>SUM(I15:I17)</f>
        <v/>
      </c>
      <c r="J18" s="35">
        <f>SUM(J15:J17)</f>
        <v/>
      </c>
      <c r="K18" s="35">
        <f>SUM(K15:K17)</f>
        <v/>
      </c>
      <c r="L18" s="35">
        <f>SUM(L15:L17)</f>
        <v/>
      </c>
      <c r="M18" s="35">
        <f>SUM(M15:M17)</f>
        <v/>
      </c>
      <c r="N18" s="35">
        <f>SUM(N15:N17)</f>
        <v/>
      </c>
      <c r="O18" s="35">
        <f>SUM(O15:O17)</f>
        <v/>
      </c>
      <c r="P18" s="35">
        <f>P15+P16+P17</f>
        <v/>
      </c>
      <c r="Q18" s="35">
        <f>Q15+Q16+Q17</f>
        <v/>
      </c>
      <c r="R18" s="35">
        <f>R15+R16+R17</f>
        <v/>
      </c>
      <c r="S18" s="35">
        <f>S15+S16+S17</f>
        <v/>
      </c>
      <c r="T18" s="84">
        <f>T15+T16+T17</f>
        <v/>
      </c>
      <c r="U18" s="84">
        <f>U15+U16+U17</f>
        <v/>
      </c>
      <c r="V18" s="84">
        <f>V15+V16+V17</f>
        <v/>
      </c>
      <c r="W18" s="17">
        <f>'Sales Forecast'!W9*Assumptions!$C$13+'Sales Forecast'!V9*Assumptions!$D$13+'Sales Forecast'!U9*Assumptions!$E$13+'Sales Forecast'!T9*Assumptions!$F$13+'Sales Forecast'!S9*Assumptions!$G$13+'Sales Forecast'!R9*Assumptions!$H$13+'Sales Forecast'!Q9*Assumptions!$I$13</f>
        <v/>
      </c>
      <c r="X18" s="17">
        <f>'Sales Forecast'!X9*Assumptions!$C$13+'Sales Forecast'!W9*Assumptions!$D$13+'Sales Forecast'!V9*Assumptions!$E$13+'Sales Forecast'!U9*Assumptions!$F$13+'Sales Forecast'!T9*Assumptions!$G$13+'Sales Forecast'!S9*Assumptions!$H$13+'Sales Forecast'!R9*Assumptions!$I$13</f>
        <v/>
      </c>
      <c r="Y18" s="17">
        <f>'Sales Forecast'!Y9*Assumptions!$C$13+'Sales Forecast'!X9*Assumptions!$D$13+'Sales Forecast'!W9*Assumptions!$E$13+'Sales Forecast'!V9*Assumptions!$F$13+'Sales Forecast'!U9*Assumptions!$G$13+'Sales Forecast'!T9*Assumptions!$H$13+'Sales Forecast'!S9*Assumptions!$I$13</f>
        <v/>
      </c>
      <c r="Z18" s="17">
        <f>'Sales Forecast'!Z9*Assumptions!$C$13+'Sales Forecast'!Y9*Assumptions!$D$13+'Sales Forecast'!X9*Assumptions!$E$13+'Sales Forecast'!W9*Assumptions!$F$13+'Sales Forecast'!V9*Assumptions!$G$13+'Sales Forecast'!U9*Assumptions!$H$13+'Sales Forecast'!T9*Assumptions!$I$13</f>
        <v/>
      </c>
      <c r="AA18" s="17">
        <f>'Sales Forecast'!AA9*Assumptions!$C$13+'Sales Forecast'!Z9*Assumptions!$D$13+'Sales Forecast'!Y9*Assumptions!$E$13+'Sales Forecast'!X9*Assumptions!$F$13+'Sales Forecast'!W9*Assumptions!$G$13+'Sales Forecast'!V9*Assumptions!$H$13+'Sales Forecast'!U9*Assumptions!$I$13</f>
        <v/>
      </c>
      <c r="AB18" s="17">
        <f>'Sales Forecast'!AB9*Assumptions!$C$13+'Sales Forecast'!AA9*Assumptions!$D$13+'Sales Forecast'!Z9*Assumptions!$E$13+'Sales Forecast'!Y9*Assumptions!$F$13+'Sales Forecast'!X9*Assumptions!$G$13+'Sales Forecast'!W9*Assumptions!$H$13+'Sales Forecast'!V9*Assumptions!$I$13</f>
        <v/>
      </c>
      <c r="AC18" s="17">
        <f>'Sales Forecast'!AC9*Assumptions!$C$13+'Sales Forecast'!AB9*Assumptions!$D$13+'Sales Forecast'!AA9*Assumptions!$E$13+'Sales Forecast'!Z9*Assumptions!$F$13+'Sales Forecast'!Y9*Assumptions!$G$13+'Sales Forecast'!X9*Assumptions!$H$13+'Sales Forecast'!W9*Assumptions!$I$13</f>
        <v/>
      </c>
      <c r="AD18" s="17">
        <f>'Sales Forecast'!AD9*Assumptions!$C$13+'Sales Forecast'!AC9*Assumptions!$D$13+'Sales Forecast'!AB9*Assumptions!$E$13+'Sales Forecast'!AA9*Assumptions!$F$13+'Sales Forecast'!Z9*Assumptions!$G$13+'Sales Forecast'!Y9*Assumptions!$H$13+'Sales Forecast'!X9*Assumptions!$I$13</f>
        <v/>
      </c>
      <c r="AE18" s="17">
        <f>'Sales Forecast'!AE9*Assumptions!$C$13+'Sales Forecast'!AD9*Assumptions!$D$13+'Sales Forecast'!AC9*Assumptions!$E$13+'Sales Forecast'!AB9*Assumptions!$F$13+'Sales Forecast'!AA9*Assumptions!$G$13+'Sales Forecast'!Z9*Assumptions!$H$13+'Sales Forecast'!Y9*Assumptions!$I$13</f>
        <v/>
      </c>
      <c r="AF18" s="17">
        <f>'Sales Forecast'!AF9*Assumptions!$C$13+'Sales Forecast'!AE9*Assumptions!$D$13+'Sales Forecast'!AD9*Assumptions!$E$13+'Sales Forecast'!AC9*Assumptions!$F$13+'Sales Forecast'!AB9*Assumptions!$G$13+'Sales Forecast'!AA9*Assumptions!$H$13+'Sales Forecast'!Z9*Assumptions!$I$13</f>
        <v/>
      </c>
      <c r="AG18" s="17">
        <f>'Sales Forecast'!AG9*Assumptions!$C$13+'Sales Forecast'!AF9*Assumptions!$D$13+'Sales Forecast'!AE9*Assumptions!$E$13+'Sales Forecast'!AD9*Assumptions!$F$13+'Sales Forecast'!AC9*Assumptions!$G$13+'Sales Forecast'!AB9*Assumptions!$H$13+'Sales Forecast'!AA9*Assumptions!$I$13</f>
        <v/>
      </c>
      <c r="AH18" s="17">
        <f>'Sales Forecast'!AH9*Assumptions!$C$13+'Sales Forecast'!AG9*Assumptions!$D$13+'Sales Forecast'!AF9*Assumptions!$E$13+'Sales Forecast'!AE9*Assumptions!$F$13+'Sales Forecast'!AD9*Assumptions!$G$13+'Sales Forecast'!AC9*Assumptions!$H$13+'Sales Forecast'!AB9*Assumptions!$I$13</f>
        <v/>
      </c>
      <c r="AI18" s="17">
        <f>'Sales Forecast'!AI9*Assumptions!$C$13+'Sales Forecast'!AH9*Assumptions!$D$13+'Sales Forecast'!AG9*Assumptions!$E$13+'Sales Forecast'!AF9*Assumptions!$F$13+'Sales Forecast'!AE9*Assumptions!$G$13+'Sales Forecast'!AD9*Assumptions!$H$13+'Sales Forecast'!AC9*Assumptions!$I$13</f>
        <v/>
      </c>
      <c r="AJ18" s="17">
        <f>'Sales Forecast'!AJ9*Assumptions!$C$13+'Sales Forecast'!AI9*Assumptions!$D$13+'Sales Forecast'!AH9*Assumptions!$E$13+'Sales Forecast'!AG9*Assumptions!$F$13+'Sales Forecast'!AF9*Assumptions!$G$13+'Sales Forecast'!AE9*Assumptions!$H$13+'Sales Forecast'!AD9*Assumptions!$I$13</f>
        <v/>
      </c>
      <c r="AK18" s="17">
        <f>'Sales Forecast'!AK9*Assumptions!$C$13+'Sales Forecast'!AJ9*Assumptions!$D$13+'Sales Forecast'!AI9*Assumptions!$E$13+'Sales Forecast'!AH9*Assumptions!$F$13+'Sales Forecast'!AG9*Assumptions!$G$13+'Sales Forecast'!AF9*Assumptions!$H$13+'Sales Forecast'!AE9*Assumptions!$I$13</f>
        <v/>
      </c>
      <c r="AL18" s="17">
        <f>'Sales Forecast'!AL9*Assumptions!$C$13+'Sales Forecast'!AK9*Assumptions!$D$13+'Sales Forecast'!AJ9*Assumptions!$E$13+'Sales Forecast'!AI9*Assumptions!$F$13+'Sales Forecast'!AH9*Assumptions!$G$13+'Sales Forecast'!AG9*Assumptions!$H$13+'Sales Forecast'!AF9*Assumptions!$I$13</f>
        <v/>
      </c>
      <c r="AM18" s="17">
        <f>'Sales Forecast'!AM9*Assumptions!$C$13+'Sales Forecast'!AL9*Assumptions!$D$13+'Sales Forecast'!AK9*Assumptions!$E$13+'Sales Forecast'!AJ9*Assumptions!$F$13+'Sales Forecast'!AI9*Assumptions!$G$13+'Sales Forecast'!AH9*Assumptions!$H$13+'Sales Forecast'!AG9*Assumptions!$I$13</f>
        <v/>
      </c>
      <c r="AN18" s="17">
        <f>'Sales Forecast'!AN9*Assumptions!$C$13+'Sales Forecast'!AM9*Assumptions!$D$13+'Sales Forecast'!AL9*Assumptions!$E$13+'Sales Forecast'!AK9*Assumptions!$F$13+'Sales Forecast'!AJ9*Assumptions!$G$13+'Sales Forecast'!AI9*Assumptions!$H$13+'Sales Forecast'!AH9*Assumptions!$I$13</f>
        <v/>
      </c>
      <c r="AO18" s="17">
        <f>'Sales Forecast'!AO9*Assumptions!$C$13+'Sales Forecast'!AN9*Assumptions!$D$13+'Sales Forecast'!AM9*Assumptions!$E$13+'Sales Forecast'!AL9*Assumptions!$F$13+'Sales Forecast'!AK9*Assumptions!$G$13+'Sales Forecast'!AJ9*Assumptions!$H$13+'Sales Forecast'!AI9*Assumptions!$I$13</f>
        <v/>
      </c>
      <c r="AP18" s="17">
        <f>'Sales Forecast'!AP9*Assumptions!$C$13+'Sales Forecast'!AO9*Assumptions!$D$13+'Sales Forecast'!AN9*Assumptions!$E$13+'Sales Forecast'!AM9*Assumptions!$F$13+'Sales Forecast'!AL9*Assumptions!$G$13+'Sales Forecast'!AK9*Assumptions!$H$13+'Sales Forecast'!AJ9*Assumptions!$I$13</f>
        <v/>
      </c>
      <c r="AQ18" s="17">
        <f>'Sales Forecast'!AQ9*Assumptions!$C$13+'Sales Forecast'!AP9*Assumptions!$D$13+'Sales Forecast'!AO9*Assumptions!$E$13+'Sales Forecast'!AN9*Assumptions!$F$13+'Sales Forecast'!AM9*Assumptions!$G$13+'Sales Forecast'!AL9*Assumptions!$H$13+'Sales Forecast'!AK9*Assumptions!$I$13</f>
        <v/>
      </c>
      <c r="AR18" s="17">
        <f>'Sales Forecast'!AR9*Assumptions!$C$13+'Sales Forecast'!AQ9*Assumptions!$D$13+'Sales Forecast'!AP9*Assumptions!$E$13+'Sales Forecast'!AO9*Assumptions!$F$13+'Sales Forecast'!AN9*Assumptions!$G$13+'Sales Forecast'!AM9*Assumptions!$H$13+'Sales Forecast'!AL9*Assumptions!$I$13</f>
        <v/>
      </c>
      <c r="AS18" s="17">
        <f>'Sales Forecast'!AS9*Assumptions!$C$13+'Sales Forecast'!AR9*Assumptions!$D$13+'Sales Forecast'!AQ9*Assumptions!$E$13+'Sales Forecast'!AP9*Assumptions!$F$13+'Sales Forecast'!AO9*Assumptions!$G$13+'Sales Forecast'!AN9*Assumptions!$H$13+'Sales Forecast'!AM9*Assumptions!$I$13</f>
        <v/>
      </c>
      <c r="AT18" s="17">
        <f>'Sales Forecast'!AT9*Assumptions!$C$13+'Sales Forecast'!AS9*Assumptions!$D$13+'Sales Forecast'!AR9*Assumptions!$E$13+'Sales Forecast'!AQ9*Assumptions!$F$13+'Sales Forecast'!AP9*Assumptions!$G$13+'Sales Forecast'!AO9*Assumptions!$H$13+'Sales Forecast'!AN9*Assumptions!$I$13</f>
        <v/>
      </c>
      <c r="AU18" s="17">
        <f>'Sales Forecast'!AU9*Assumptions!$C$13+'Sales Forecast'!AT9*Assumptions!$D$13+'Sales Forecast'!AS9*Assumptions!$E$13+'Sales Forecast'!AR9*Assumptions!$F$13+'Sales Forecast'!AQ9*Assumptions!$G$13+'Sales Forecast'!AP9*Assumptions!$H$13+'Sales Forecast'!AO9*Assumptions!$I$13</f>
        <v/>
      </c>
      <c r="AV18" s="17">
        <f>'Sales Forecast'!AV9*Assumptions!$C$13+'Sales Forecast'!AU9*Assumptions!$D$13+'Sales Forecast'!AT9*Assumptions!$E$13+'Sales Forecast'!AS9*Assumptions!$F$13+'Sales Forecast'!AR9*Assumptions!$G$13+'Sales Forecast'!AQ9*Assumptions!$H$13+'Sales Forecast'!AP9*Assumptions!$I$13</f>
        <v/>
      </c>
      <c r="AW18" s="17">
        <f>'Sales Forecast'!AW9*Assumptions!$C$13+'Sales Forecast'!AV9*Assumptions!$D$13+'Sales Forecast'!AU9*Assumptions!$E$13+'Sales Forecast'!AT9*Assumptions!$F$13+'Sales Forecast'!AS9*Assumptions!$G$13+'Sales Forecast'!AR9*Assumptions!$H$13+'Sales Forecast'!AQ9*Assumptions!$I$13</f>
        <v/>
      </c>
      <c r="AX18" s="17">
        <f>'Sales Forecast'!AX9*Assumptions!$C$13+'Sales Forecast'!AW9*Assumptions!$D$13+'Sales Forecast'!AV9*Assumptions!$E$13+'Sales Forecast'!AU9*Assumptions!$F$13+'Sales Forecast'!AT9*Assumptions!$G$13+'Sales Forecast'!AS9*Assumptions!$H$13+'Sales Forecast'!AR9*Assumptions!$I$13</f>
        <v/>
      </c>
      <c r="AY18" s="17">
        <f>'Sales Forecast'!AY9*Assumptions!$C$13+'Sales Forecast'!AX9*Assumptions!$D$13+'Sales Forecast'!AW9*Assumptions!$E$13+'Sales Forecast'!AV9*Assumptions!$F$13+'Sales Forecast'!AU9*Assumptions!$G$13+'Sales Forecast'!AT9*Assumptions!$H$13+'Sales Forecast'!AS9*Assumptions!$I$13</f>
        <v/>
      </c>
      <c r="BA18" s="288" t="n"/>
    </row>
    <row r="19">
      <c r="B19" s="33" t="inlineStr">
        <is>
          <t xml:space="preserve">  404000 Retail Sales</t>
        </is>
      </c>
      <c r="D19" s="19" t="n">
        <v>1876</v>
      </c>
      <c r="E19" s="19" t="n">
        <v>2143</v>
      </c>
      <c r="F19" s="19" t="n">
        <v>1703</v>
      </c>
      <c r="G19" s="19" t="n">
        <v>2050</v>
      </c>
      <c r="H19" s="19" t="n">
        <v>2044</v>
      </c>
      <c r="I19" s="19" t="n">
        <v>1890</v>
      </c>
      <c r="J19" s="19" t="n">
        <v>1336</v>
      </c>
      <c r="K19" s="19" t="n">
        <v>996</v>
      </c>
      <c r="L19" s="19" t="n">
        <v>1757</v>
      </c>
      <c r="M19" s="19" t="n">
        <v>1649</v>
      </c>
      <c r="N19" s="19" t="n">
        <v>1241</v>
      </c>
      <c r="O19" s="19" t="n">
        <v>2198</v>
      </c>
      <c r="P19" s="19" t="n">
        <v>1702</v>
      </c>
      <c r="Q19" s="19" t="n">
        <v>2203</v>
      </c>
      <c r="R19" s="19" t="n">
        <v>1426</v>
      </c>
      <c r="S19" s="19" t="n">
        <v>1250</v>
      </c>
      <c r="T19" s="83" t="n">
        <v>1403</v>
      </c>
      <c r="U19" s="83" t="n">
        <v>1088</v>
      </c>
      <c r="V19" s="83" t="n">
        <v>1090</v>
      </c>
      <c r="W19" s="20">
        <f>1645.25</f>
        <v/>
      </c>
      <c r="X19" s="20">
        <f>1645.25</f>
        <v/>
      </c>
      <c r="Y19" s="20">
        <f>1645.25</f>
        <v/>
      </c>
      <c r="Z19" s="20">
        <f>1645.25</f>
        <v/>
      </c>
      <c r="AA19" s="20">
        <f>1645.25</f>
        <v/>
      </c>
      <c r="AB19" s="20">
        <f>1645.25</f>
        <v/>
      </c>
      <c r="AC19" s="20">
        <f>1645.25</f>
        <v/>
      </c>
      <c r="AD19" s="20">
        <f>1645.25</f>
        <v/>
      </c>
      <c r="AE19" s="20">
        <f>1645.25</f>
        <v/>
      </c>
      <c r="AF19" s="20">
        <f>1645.25</f>
        <v/>
      </c>
      <c r="AG19" s="20">
        <f>1645.25</f>
        <v/>
      </c>
      <c r="AH19" s="20">
        <f>1645.25</f>
        <v/>
      </c>
      <c r="AI19" s="20">
        <f>1645.25</f>
        <v/>
      </c>
      <c r="AJ19" s="20">
        <f>1645.25</f>
        <v/>
      </c>
      <c r="AK19" s="20">
        <f>1645.25</f>
        <v/>
      </c>
      <c r="AL19" s="20">
        <f>1645.25</f>
        <v/>
      </c>
      <c r="AM19" s="20">
        <f>1645.25</f>
        <v/>
      </c>
      <c r="AN19" s="20">
        <f>1645.25</f>
        <v/>
      </c>
      <c r="AO19" s="20">
        <f>1645.25</f>
        <v/>
      </c>
      <c r="AP19" s="20">
        <f>1645.25</f>
        <v/>
      </c>
      <c r="AQ19" s="20">
        <f>1645.25</f>
        <v/>
      </c>
      <c r="AR19" s="20">
        <f>1645.25</f>
        <v/>
      </c>
      <c r="AS19" s="20">
        <f>1645.25</f>
        <v/>
      </c>
      <c r="AT19" s="20">
        <f>1645.25</f>
        <v/>
      </c>
      <c r="AU19" s="20">
        <f>1645.25</f>
        <v/>
      </c>
      <c r="AV19" s="20">
        <f>1645.25</f>
        <v/>
      </c>
      <c r="AW19" s="20">
        <f>1645.25</f>
        <v/>
      </c>
      <c r="AX19" s="20">
        <f>1645.25</f>
        <v/>
      </c>
      <c r="AY19" s="20">
        <f>1645.25</f>
        <v/>
      </c>
      <c r="BA19" s="288">
        <f>SUM(I19:T19)</f>
        <v/>
      </c>
      <c r="BB19" s="274">
        <f>BA19/$BA$22</f>
        <v/>
      </c>
    </row>
    <row r="20">
      <c r="B20" s="33" t="inlineStr">
        <is>
          <t xml:space="preserve">  406000 Refunds</t>
        </is>
      </c>
      <c r="D20" s="19" t="n">
        <v>-3594</v>
      </c>
      <c r="E20" s="19" t="n">
        <v>-295</v>
      </c>
      <c r="F20" s="19" t="n">
        <v>-636</v>
      </c>
      <c r="G20" s="19" t="n">
        <v>-610</v>
      </c>
      <c r="H20" s="19" t="n">
        <v>-311.01</v>
      </c>
      <c r="I20" s="19" t="n">
        <v>-524</v>
      </c>
      <c r="J20" s="19" t="n">
        <v>-1346.01</v>
      </c>
      <c r="K20" s="19" t="n">
        <v>-1098.01</v>
      </c>
      <c r="L20" s="19" t="n">
        <v>-1554</v>
      </c>
      <c r="M20" s="19" t="n">
        <v>-885</v>
      </c>
      <c r="N20" s="19" t="n">
        <v>-1542</v>
      </c>
      <c r="O20" s="19" t="n">
        <v>-455</v>
      </c>
      <c r="P20" s="19" t="n">
        <v>-1110</v>
      </c>
      <c r="Q20" s="19" t="n">
        <v>-330</v>
      </c>
      <c r="R20" s="19" t="n">
        <v>-450</v>
      </c>
      <c r="S20" s="19" t="n">
        <v>-812</v>
      </c>
      <c r="T20" s="19" t="n">
        <v>-424</v>
      </c>
      <c r="U20" s="19" t="n">
        <v>-980</v>
      </c>
      <c r="V20" s="19" t="n">
        <v>-1517</v>
      </c>
      <c r="W20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Forecast'!Q9*Assumptions!$I$13+1645.25)*Assumptions!$C$17</f>
        <v/>
      </c>
      <c r="X20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Forecast'!R9*Assumptions!$I$13+1645.25)*Assumptions!$C$17</f>
        <v/>
      </c>
      <c r="Y20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Forecast'!S9*Assumptions!$I$13+1645.25)*Assumptions!$C$17</f>
        <v/>
      </c>
      <c r="Z20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Forecast'!T9*Assumptions!$I$13+1645.25)*Assumptions!$C$17</f>
        <v/>
      </c>
      <c r="AA20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Forecast'!U9*Assumptions!$I$13+1645.25)*Assumptions!$C$17</f>
        <v/>
      </c>
      <c r="AB20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Forecast'!V9*Assumptions!$I$13+1645.25)*Assumptions!$C$17</f>
        <v/>
      </c>
      <c r="AC20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Forecast'!W9*Assumptions!$I$13+1645.25)*Assumptions!$C$17</f>
        <v/>
      </c>
      <c r="AD20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Forecast'!X9*Assumptions!$I$13+1645.25)*Assumptions!$C$17</f>
        <v/>
      </c>
      <c r="AE20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Forecast'!Y9*Assumptions!$I$13+1645.25)*Assumptions!$C$17</f>
        <v/>
      </c>
      <c r="AF20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Forecast'!Z9*Assumptions!$I$13+1645.25)*Assumptions!$C$17</f>
        <v/>
      </c>
      <c r="AG20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Forecast'!AA9*Assumptions!$I$13+1645.25)*Assumptions!$C$17</f>
        <v/>
      </c>
      <c r="AH20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Forecast'!AB9*Assumptions!$I$13+1645.25)*Assumptions!$C$17</f>
        <v/>
      </c>
      <c r="AI20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Forecast'!AC9*Assumptions!$I$13+1645.25)*Assumptions!$C$17</f>
        <v/>
      </c>
      <c r="AJ20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Forecast'!AD9*Assumptions!$I$13+1645.25)*Assumptions!$C$17</f>
        <v/>
      </c>
      <c r="AK20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Forecast'!AE9*Assumptions!$I$13+1645.25)*Assumptions!$C$17</f>
        <v/>
      </c>
      <c r="AL20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Forecast'!AF9*Assumptions!$I$13+1645.25)*Assumptions!$C$17</f>
        <v/>
      </c>
      <c r="AM20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Forecast'!AG9*Assumptions!$I$13+1645.25)*Assumptions!$C$17</f>
        <v/>
      </c>
      <c r="AN20" s="20">
        <f>('Sales Forecast'!AN9*Assumptions!$C$12+'Sales Forecast'!AM9*Assumptions!$D$12+'Sales Forecast'!AL9*Assumptions!$E$12+'Sales Forecast'!AK9*Assumptions!$F$12+'Sales Forecast'!AJ9*Assumptions!$G$12+'Sales Forecast'!AI9*Assumptions!$H$12+'Sales Forecast'!AH9*Assumptions!$I$12+'Sales Forecast'!AN9*Assumptions!$C$13+'Sales Forecast'!AM9*Assumptions!$D$13+'Sales Forecast'!AL9*Assumptions!$E$13+'Sales Forecast'!AK9*Assumptions!$F$13+'Sales Forecast'!AJ9*Assumptions!$G$13+'Sales Forecast'!AI9*Assumptions!$H$13+'Sales Forecast'!AH9*Assumptions!$I$13+1645.25)*Assumptions!$C$17</f>
        <v/>
      </c>
      <c r="AO20" s="20">
        <f>('Sales Forecast'!AO9*Assumptions!$C$12+'Sales Forecast'!AN9*Assumptions!$D$12+'Sales Forecast'!AM9*Assumptions!$E$12+'Sales Forecast'!AL9*Assumptions!$F$12+'Sales Forecast'!AK9*Assumptions!$G$12+'Sales Forecast'!AJ9*Assumptions!$H$12+'Sales Forecast'!AI9*Assumptions!$I$12+'Sales Forecast'!AO9*Assumptions!$C$13+'Sales Forecast'!AN9*Assumptions!$D$13+'Sales Forecast'!AM9*Assumptions!$E$13+'Sales Forecast'!AL9*Assumptions!$F$13+'Sales Forecast'!AK9*Assumptions!$G$13+'Sales Forecast'!AJ9*Assumptions!$H$13+'Sales Forecast'!AI9*Assumptions!$I$13+1645.25)*Assumptions!$C$17</f>
        <v/>
      </c>
      <c r="AP20" s="20">
        <f>('Sales Forecast'!AP9*Assumptions!$C$12+'Sales Forecast'!AO9*Assumptions!$D$12+'Sales Forecast'!AN9*Assumptions!$E$12+'Sales Forecast'!AM9*Assumptions!$F$12+'Sales Forecast'!AL9*Assumptions!$G$12+'Sales Forecast'!AK9*Assumptions!$H$12+'Sales Forecast'!AJ9*Assumptions!$I$12+'Sales Forecast'!AP9*Assumptions!$C$13+'Sales Forecast'!AO9*Assumptions!$D$13+'Sales Forecast'!AN9*Assumptions!$E$13+'Sales Forecast'!AM9*Assumptions!$F$13+'Sales Forecast'!AL9*Assumptions!$G$13+'Sales Forecast'!AK9*Assumptions!$H$13+'Sales Forecast'!AJ9*Assumptions!$I$13+1645.25)*Assumptions!$C$17</f>
        <v/>
      </c>
      <c r="AQ20" s="20">
        <f>('Sales Forecast'!AQ9*Assumptions!$C$12+'Sales Forecast'!AP9*Assumptions!$D$12+'Sales Forecast'!AO9*Assumptions!$E$12+'Sales Forecast'!AN9*Assumptions!$F$12+'Sales Forecast'!AM9*Assumptions!$G$12+'Sales Forecast'!AL9*Assumptions!$H$12+'Sales Forecast'!AK9*Assumptions!$I$12+'Sales Forecast'!AQ9*Assumptions!$C$13+'Sales Forecast'!AP9*Assumptions!$D$13+'Sales Forecast'!AO9*Assumptions!$E$13+'Sales Forecast'!AN9*Assumptions!$F$13+'Sales Forecast'!AM9*Assumptions!$G$13+'Sales Forecast'!AL9*Assumptions!$H$13+'Sales Forecast'!AK9*Assumptions!$I$13+1645.25)*Assumptions!$C$17</f>
        <v/>
      </c>
      <c r="AR20" s="20">
        <f>('Sales Forecast'!AR9*Assumptions!$C$12+'Sales Forecast'!AQ9*Assumptions!$D$12+'Sales Forecast'!AP9*Assumptions!$E$12+'Sales Forecast'!AO9*Assumptions!$F$12+'Sales Forecast'!AN9*Assumptions!$G$12+'Sales Forecast'!AM9*Assumptions!$H$12+'Sales Forecast'!AL9*Assumptions!$I$12+'Sales Forecast'!AR9*Assumptions!$C$13+'Sales Forecast'!AQ9*Assumptions!$D$13+'Sales Forecast'!AP9*Assumptions!$E$13+'Sales Forecast'!AO9*Assumptions!$F$13+'Sales Forecast'!AN9*Assumptions!$G$13+'Sales Forecast'!AM9*Assumptions!$H$13+'Sales Forecast'!AL9*Assumptions!$I$13+1645.25)*Assumptions!$C$17</f>
        <v/>
      </c>
      <c r="AS20" s="20">
        <f>('Sales Forecast'!AS9*Assumptions!$C$12+'Sales Forecast'!AR9*Assumptions!$D$12+'Sales Forecast'!AQ9*Assumptions!$E$12+'Sales Forecast'!AP9*Assumptions!$F$12+'Sales Forecast'!AO9*Assumptions!$G$12+'Sales Forecast'!AN9*Assumptions!$H$12+'Sales Forecast'!AM9*Assumptions!$I$12+'Sales Forecast'!AS9*Assumptions!$C$13+'Sales Forecast'!AR9*Assumptions!$D$13+'Sales Forecast'!AQ9*Assumptions!$E$13+'Sales Forecast'!AP9*Assumptions!$F$13+'Sales Forecast'!AO9*Assumptions!$G$13+'Sales Forecast'!AN9*Assumptions!$H$13+'Sales Forecast'!AM9*Assumptions!$I$13+1645.25)*Assumptions!$C$17</f>
        <v/>
      </c>
      <c r="AT20" s="20">
        <f>('Sales Forecast'!AT9*Assumptions!$C$12+'Sales Forecast'!AS9*Assumptions!$D$12+'Sales Forecast'!AR9*Assumptions!$E$12+'Sales Forecast'!AQ9*Assumptions!$F$12+'Sales Forecast'!AP9*Assumptions!$G$12+'Sales Forecast'!AO9*Assumptions!$H$12+'Sales Forecast'!AN9*Assumptions!$I$12+'Sales Forecast'!AT9*Assumptions!$C$13+'Sales Forecast'!AS9*Assumptions!$D$13+'Sales Forecast'!AR9*Assumptions!$E$13+'Sales Forecast'!AQ9*Assumptions!$F$13+'Sales Forecast'!AP9*Assumptions!$G$13+'Sales Forecast'!AO9*Assumptions!$H$13+'Sales Forecast'!AN9*Assumptions!$I$13+1645.25)*Assumptions!$C$17</f>
        <v/>
      </c>
      <c r="AU20" s="20">
        <f>('Sales Forecast'!AU9*Assumptions!$C$12+'Sales Forecast'!AT9*Assumptions!$D$12+'Sales Forecast'!AS9*Assumptions!$E$12+'Sales Forecast'!AR9*Assumptions!$F$12+'Sales Forecast'!AQ9*Assumptions!$G$12+'Sales Forecast'!AP9*Assumptions!$H$12+'Sales Forecast'!AO9*Assumptions!$I$12+'Sales Forecast'!AU9*Assumptions!$C$13+'Sales Forecast'!AT9*Assumptions!$D$13+'Sales Forecast'!AS9*Assumptions!$E$13+'Sales Forecast'!AR9*Assumptions!$F$13+'Sales Forecast'!AQ9*Assumptions!$G$13+'Sales Forecast'!AP9*Assumptions!$H$13+'Sales Forecast'!AO9*Assumptions!$I$13+1645.25)*Assumptions!$C$17</f>
        <v/>
      </c>
      <c r="AV20" s="20">
        <f>('Sales Forecast'!AV9*Assumptions!$C$12+'Sales Forecast'!AU9*Assumptions!$D$12+'Sales Forecast'!AT9*Assumptions!$E$12+'Sales Forecast'!AS9*Assumptions!$F$12+'Sales Forecast'!AR9*Assumptions!$G$12+'Sales Forecast'!AQ9*Assumptions!$H$12+'Sales Forecast'!AP9*Assumptions!$I$12+'Sales Forecast'!AV9*Assumptions!$C$13+'Sales Forecast'!AU9*Assumptions!$D$13+'Sales Forecast'!AT9*Assumptions!$E$13+'Sales Forecast'!AS9*Assumptions!$F$13+'Sales Forecast'!AR9*Assumptions!$G$13+'Sales Forecast'!AQ9*Assumptions!$H$13+'Sales Forecast'!AP9*Assumptions!$I$13+1645.25)*Assumptions!$C$17</f>
        <v/>
      </c>
      <c r="AW20" s="20">
        <f>('Sales Forecast'!AW9*Assumptions!$C$12+'Sales Forecast'!AV9*Assumptions!$D$12+'Sales Forecast'!AU9*Assumptions!$E$12+'Sales Forecast'!AT9*Assumptions!$F$12+'Sales Forecast'!AS9*Assumptions!$G$12+'Sales Forecast'!AR9*Assumptions!$H$12+'Sales Forecast'!AQ9*Assumptions!$I$12+'Sales Forecast'!AW9*Assumptions!$C$13+'Sales Forecast'!AV9*Assumptions!$D$13+'Sales Forecast'!AU9*Assumptions!$E$13+'Sales Forecast'!AT9*Assumptions!$F$13+'Sales Forecast'!AS9*Assumptions!$G$13+'Sales Forecast'!AR9*Assumptions!$H$13+'Sales Forecast'!AQ9*Assumptions!$I$13+1645.25)*Assumptions!$C$17</f>
        <v/>
      </c>
      <c r="AX20" s="20">
        <f>('Sales Forecast'!AX9*Assumptions!$C$12+'Sales Forecast'!AW9*Assumptions!$D$12+'Sales Forecast'!AV9*Assumptions!$E$12+'Sales Forecast'!AU9*Assumptions!$F$12+'Sales Forecast'!AT9*Assumptions!$G$12+'Sales Forecast'!AS9*Assumptions!$H$12+'Sales Forecast'!AR9*Assumptions!$I$12+'Sales Forecast'!AX9*Assumptions!$C$13+'Sales Forecast'!AW9*Assumptions!$D$13+'Sales Forecast'!AV9*Assumptions!$E$13+'Sales Forecast'!AU9*Assumptions!$F$13+'Sales Forecast'!AT9*Assumptions!$G$13+'Sales Forecast'!AS9*Assumptions!$H$13+'Sales Forecast'!AR9*Assumptions!$I$13+1645.25)*Assumptions!$C$17</f>
        <v/>
      </c>
      <c r="AY20" s="20">
        <f>('Sales Forecast'!AY9*Assumptions!$C$12+'Sales Forecast'!AX9*Assumptions!$D$12+'Sales Forecast'!AW9*Assumptions!$E$12+'Sales Forecast'!AV9*Assumptions!$F$12+'Sales Forecast'!AU9*Assumptions!$G$12+'Sales Forecast'!AT9*Assumptions!$H$12+'Sales Forecast'!AS9*Assumptions!$I$12+'Sales Forecast'!AY9*Assumptions!$C$13+'Sales Forecast'!AX9*Assumptions!$D$13+'Sales Forecast'!AW9*Assumptions!$E$13+'Sales Forecast'!AV9*Assumptions!$F$13+'Sales Forecast'!AU9*Assumptions!$G$13+'Sales Forecast'!AT9*Assumptions!$H$13+'Sales Forecast'!AS9*Assumptions!$I$13+1645.25)*Assumptions!$C$17</f>
        <v/>
      </c>
      <c r="BA20" s="288">
        <f>SUM(I20:T20)</f>
        <v/>
      </c>
      <c r="BB20" s="274">
        <f>BA20/$BA$22</f>
        <v/>
      </c>
    </row>
    <row r="21">
      <c r="B21" s="33" t="inlineStr">
        <is>
          <t xml:space="preserve">  407000 Discounts</t>
        </is>
      </c>
      <c r="D21" s="19" t="n">
        <v>-7484.26</v>
      </c>
      <c r="E21" s="19" t="n">
        <v>-5545.16</v>
      </c>
      <c r="F21" s="19" t="n">
        <v>-5798.36</v>
      </c>
      <c r="G21" s="19" t="n">
        <v>-8259.959999999999</v>
      </c>
      <c r="H21" s="19" t="n">
        <v>-7102.98</v>
      </c>
      <c r="I21" s="19" t="n">
        <v>-4693.92</v>
      </c>
      <c r="J21" s="19" t="n">
        <v>-4233.36</v>
      </c>
      <c r="K21" s="19" t="n">
        <v>-4134.52</v>
      </c>
      <c r="L21" s="19" t="n">
        <v>-3938.2</v>
      </c>
      <c r="M21" s="19" t="n">
        <v>-4537.16</v>
      </c>
      <c r="N21" s="19" t="n">
        <v>-4159.5</v>
      </c>
      <c r="O21" s="19" t="n">
        <v>-4227.44</v>
      </c>
      <c r="P21" s="19" t="n">
        <v>-5418.12</v>
      </c>
      <c r="Q21" s="19" t="n">
        <v>-4627.69</v>
      </c>
      <c r="R21" s="19" t="n">
        <v>-3450.62</v>
      </c>
      <c r="S21" s="19" t="n">
        <v>-1711.84</v>
      </c>
      <c r="T21" s="19" t="n">
        <v>-2900.5</v>
      </c>
      <c r="U21" s="19" t="n">
        <v>-3316.7</v>
      </c>
      <c r="V21" s="19" t="n">
        <v>-3099.29</v>
      </c>
      <c r="W21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Forecast'!Q9*Assumptions!$I$13+1645.25)*Assumptions!$C$18</f>
        <v/>
      </c>
      <c r="X21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Forecast'!R9*Assumptions!$I$13+1645.25)*Assumptions!$C$18</f>
        <v/>
      </c>
      <c r="Y21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Forecast'!S9*Assumptions!$I$13+1645.25)*Assumptions!$C$18</f>
        <v/>
      </c>
      <c r="Z21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Forecast'!T9*Assumptions!$I$13+1645.25)*Assumptions!$C$18</f>
        <v/>
      </c>
      <c r="AA21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Forecast'!U9*Assumptions!$I$13+1645.25)*Assumptions!$C$18</f>
        <v/>
      </c>
      <c r="AB21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Forecast'!V9*Assumptions!$I$13+1645.25)*Assumptions!$C$18</f>
        <v/>
      </c>
      <c r="AC21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Forecast'!W9*Assumptions!$I$13+1645.25)*Assumptions!$C$18</f>
        <v/>
      </c>
      <c r="AD21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Forecast'!X9*Assumptions!$I$13+1645.25)*Assumptions!$C$18</f>
        <v/>
      </c>
      <c r="AE21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Forecast'!Y9*Assumptions!$I$13+1645.25)*Assumptions!$C$18</f>
        <v/>
      </c>
      <c r="AF21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Forecast'!Z9*Assumptions!$I$13+1645.25)*Assumptions!$C$18</f>
        <v/>
      </c>
      <c r="AG21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Forecast'!AA9*Assumptions!$I$13+1645.25)*Assumptions!$C$18</f>
        <v/>
      </c>
      <c r="AH21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Forecast'!AB9*Assumptions!$I$13+1645.25)*Assumptions!$C$18</f>
        <v/>
      </c>
      <c r="AI21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Forecast'!AC9*Assumptions!$I$13+1645.25)*Assumptions!$C$18</f>
        <v/>
      </c>
      <c r="AJ21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Forecast'!AD9*Assumptions!$I$13+1645.25)*Assumptions!$C$18</f>
        <v/>
      </c>
      <c r="AK21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Forecast'!AE9*Assumptions!$I$13+1645.25)*Assumptions!$C$18</f>
        <v/>
      </c>
      <c r="AL21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Forecast'!AF9*Assumptions!$I$13+1645.25)*Assumptions!$C$18</f>
        <v/>
      </c>
      <c r="AM21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Forecast'!AG9*Assumptions!$I$13+1645.25)*Assumptions!$C$18</f>
        <v/>
      </c>
      <c r="AN21" s="20">
        <f>('Sales Forecast'!AN9*Assumptions!$C$12+'Sales Forecast'!AM9*Assumptions!$D$12+'Sales Forecast'!AL9*Assumptions!$E$12+'Sales Forecast'!AK9*Assumptions!$F$12+'Sales Forecast'!AJ9*Assumptions!$G$12+'Sales Forecast'!AI9*Assumptions!$H$12+'Sales Forecast'!AH9*Assumptions!$I$12+'Sales Forecast'!AN9*Assumptions!$C$13+'Sales Forecast'!AM9*Assumptions!$D$13+'Sales Forecast'!AL9*Assumptions!$E$13+'Sales Forecast'!AK9*Assumptions!$F$13+'Sales Forecast'!AJ9*Assumptions!$G$13+'Sales Forecast'!AI9*Assumptions!$H$13+'Sales Forecast'!AH9*Assumptions!$I$13+1645.25)*Assumptions!$C$18</f>
        <v/>
      </c>
      <c r="AO21" s="20">
        <f>('Sales Forecast'!AO9*Assumptions!$C$12+'Sales Forecast'!AN9*Assumptions!$D$12+'Sales Forecast'!AM9*Assumptions!$E$12+'Sales Forecast'!AL9*Assumptions!$F$12+'Sales Forecast'!AK9*Assumptions!$G$12+'Sales Forecast'!AJ9*Assumptions!$H$12+'Sales Forecast'!AI9*Assumptions!$I$12+'Sales Forecast'!AO9*Assumptions!$C$13+'Sales Forecast'!AN9*Assumptions!$D$13+'Sales Forecast'!AM9*Assumptions!$E$13+'Sales Forecast'!AL9*Assumptions!$F$13+'Sales Forecast'!AK9*Assumptions!$G$13+'Sales Forecast'!AJ9*Assumptions!$H$13+'Sales Forecast'!AI9*Assumptions!$I$13+1645.25)*Assumptions!$C$18</f>
        <v/>
      </c>
      <c r="AP21" s="20">
        <f>('Sales Forecast'!AP9*Assumptions!$C$12+'Sales Forecast'!AO9*Assumptions!$D$12+'Sales Forecast'!AN9*Assumptions!$E$12+'Sales Forecast'!AM9*Assumptions!$F$12+'Sales Forecast'!AL9*Assumptions!$G$12+'Sales Forecast'!AK9*Assumptions!$H$12+'Sales Forecast'!AJ9*Assumptions!$I$12+'Sales Forecast'!AP9*Assumptions!$C$13+'Sales Forecast'!AO9*Assumptions!$D$13+'Sales Forecast'!AN9*Assumptions!$E$13+'Sales Forecast'!AM9*Assumptions!$F$13+'Sales Forecast'!AL9*Assumptions!$G$13+'Sales Forecast'!AK9*Assumptions!$H$13+'Sales Forecast'!AJ9*Assumptions!$I$13+1645.25)*Assumptions!$C$18</f>
        <v/>
      </c>
      <c r="AQ21" s="20">
        <f>('Sales Forecast'!AQ9*Assumptions!$C$12+'Sales Forecast'!AP9*Assumptions!$D$12+'Sales Forecast'!AO9*Assumptions!$E$12+'Sales Forecast'!AN9*Assumptions!$F$12+'Sales Forecast'!AM9*Assumptions!$G$12+'Sales Forecast'!AL9*Assumptions!$H$12+'Sales Forecast'!AK9*Assumptions!$I$12+'Sales Forecast'!AQ9*Assumptions!$C$13+'Sales Forecast'!AP9*Assumptions!$D$13+'Sales Forecast'!AO9*Assumptions!$E$13+'Sales Forecast'!AN9*Assumptions!$F$13+'Sales Forecast'!AM9*Assumptions!$G$13+'Sales Forecast'!AL9*Assumptions!$H$13+'Sales Forecast'!AK9*Assumptions!$I$13+1645.25)*Assumptions!$C$18</f>
        <v/>
      </c>
      <c r="AR21" s="20">
        <f>('Sales Forecast'!AR9*Assumptions!$C$12+'Sales Forecast'!AQ9*Assumptions!$D$12+'Sales Forecast'!AP9*Assumptions!$E$12+'Sales Forecast'!AO9*Assumptions!$F$12+'Sales Forecast'!AN9*Assumptions!$G$12+'Sales Forecast'!AM9*Assumptions!$H$12+'Sales Forecast'!AL9*Assumptions!$I$12+'Sales Forecast'!AR9*Assumptions!$C$13+'Sales Forecast'!AQ9*Assumptions!$D$13+'Sales Forecast'!AP9*Assumptions!$E$13+'Sales Forecast'!AO9*Assumptions!$F$13+'Sales Forecast'!AN9*Assumptions!$G$13+'Sales Forecast'!AM9*Assumptions!$H$13+'Sales Forecast'!AL9*Assumptions!$I$13+1645.25)*Assumptions!$C$18</f>
        <v/>
      </c>
      <c r="AS21" s="20">
        <f>('Sales Forecast'!AS9*Assumptions!$C$12+'Sales Forecast'!AR9*Assumptions!$D$12+'Sales Forecast'!AQ9*Assumptions!$E$12+'Sales Forecast'!AP9*Assumptions!$F$12+'Sales Forecast'!AO9*Assumptions!$G$12+'Sales Forecast'!AN9*Assumptions!$H$12+'Sales Forecast'!AM9*Assumptions!$I$12+'Sales Forecast'!AS9*Assumptions!$C$13+'Sales Forecast'!AR9*Assumptions!$D$13+'Sales Forecast'!AQ9*Assumptions!$E$13+'Sales Forecast'!AP9*Assumptions!$F$13+'Sales Forecast'!AO9*Assumptions!$G$13+'Sales Forecast'!AN9*Assumptions!$H$13+'Sales Forecast'!AM9*Assumptions!$I$13+1645.25)*Assumptions!$C$18</f>
        <v/>
      </c>
      <c r="AT21" s="20">
        <f>('Sales Forecast'!AT9*Assumptions!$C$12+'Sales Forecast'!AS9*Assumptions!$D$12+'Sales Forecast'!AR9*Assumptions!$E$12+'Sales Forecast'!AQ9*Assumptions!$F$12+'Sales Forecast'!AP9*Assumptions!$G$12+'Sales Forecast'!AO9*Assumptions!$H$12+'Sales Forecast'!AN9*Assumptions!$I$12+'Sales Forecast'!AT9*Assumptions!$C$13+'Sales Forecast'!AS9*Assumptions!$D$13+'Sales Forecast'!AR9*Assumptions!$E$13+'Sales Forecast'!AQ9*Assumptions!$F$13+'Sales Forecast'!AP9*Assumptions!$G$13+'Sales Forecast'!AO9*Assumptions!$H$13+'Sales Forecast'!AN9*Assumptions!$I$13+1645.25)*Assumptions!$C$18</f>
        <v/>
      </c>
      <c r="AU21" s="20">
        <f>('Sales Forecast'!AU9*Assumptions!$C$12+'Sales Forecast'!AT9*Assumptions!$D$12+'Sales Forecast'!AS9*Assumptions!$E$12+'Sales Forecast'!AR9*Assumptions!$F$12+'Sales Forecast'!AQ9*Assumptions!$G$12+'Sales Forecast'!AP9*Assumptions!$H$12+'Sales Forecast'!AO9*Assumptions!$I$12+'Sales Forecast'!AU9*Assumptions!$C$13+'Sales Forecast'!AT9*Assumptions!$D$13+'Sales Forecast'!AS9*Assumptions!$E$13+'Sales Forecast'!AR9*Assumptions!$F$13+'Sales Forecast'!AQ9*Assumptions!$G$13+'Sales Forecast'!AP9*Assumptions!$H$13+'Sales Forecast'!AO9*Assumptions!$I$13+1645.25)*Assumptions!$C$18</f>
        <v/>
      </c>
      <c r="AV21" s="20">
        <f>('Sales Forecast'!AV9*Assumptions!$C$12+'Sales Forecast'!AU9*Assumptions!$D$12+'Sales Forecast'!AT9*Assumptions!$E$12+'Sales Forecast'!AS9*Assumptions!$F$12+'Sales Forecast'!AR9*Assumptions!$G$12+'Sales Forecast'!AQ9*Assumptions!$H$12+'Sales Forecast'!AP9*Assumptions!$I$12+'Sales Forecast'!AV9*Assumptions!$C$13+'Sales Forecast'!AU9*Assumptions!$D$13+'Sales Forecast'!AT9*Assumptions!$E$13+'Sales Forecast'!AS9*Assumptions!$F$13+'Sales Forecast'!AR9*Assumptions!$G$13+'Sales Forecast'!AQ9*Assumptions!$H$13+'Sales Forecast'!AP9*Assumptions!$I$13+1645.25)*Assumptions!$C$18</f>
        <v/>
      </c>
      <c r="AW21" s="20">
        <f>('Sales Forecast'!AW9*Assumptions!$C$12+'Sales Forecast'!AV9*Assumptions!$D$12+'Sales Forecast'!AU9*Assumptions!$E$12+'Sales Forecast'!AT9*Assumptions!$F$12+'Sales Forecast'!AS9*Assumptions!$G$12+'Sales Forecast'!AR9*Assumptions!$H$12+'Sales Forecast'!AQ9*Assumptions!$I$12+'Sales Forecast'!AW9*Assumptions!$C$13+'Sales Forecast'!AV9*Assumptions!$D$13+'Sales Forecast'!AU9*Assumptions!$E$13+'Sales Forecast'!AT9*Assumptions!$F$13+'Sales Forecast'!AS9*Assumptions!$G$13+'Sales Forecast'!AR9*Assumptions!$H$13+'Sales Forecast'!AQ9*Assumptions!$I$13+1645.25)*Assumptions!$C$18</f>
        <v/>
      </c>
      <c r="AX21" s="20">
        <f>('Sales Forecast'!AX9*Assumptions!$C$12+'Sales Forecast'!AW9*Assumptions!$D$12+'Sales Forecast'!AV9*Assumptions!$E$12+'Sales Forecast'!AU9*Assumptions!$F$12+'Sales Forecast'!AT9*Assumptions!$G$12+'Sales Forecast'!AS9*Assumptions!$H$12+'Sales Forecast'!AR9*Assumptions!$I$12+'Sales Forecast'!AX9*Assumptions!$C$13+'Sales Forecast'!AW9*Assumptions!$D$13+'Sales Forecast'!AV9*Assumptions!$E$13+'Sales Forecast'!AU9*Assumptions!$F$13+'Sales Forecast'!AT9*Assumptions!$G$13+'Sales Forecast'!AS9*Assumptions!$H$13+'Sales Forecast'!AR9*Assumptions!$I$13+1645.25)*Assumptions!$C$18</f>
        <v/>
      </c>
      <c r="AY21" s="20">
        <f>('Sales Forecast'!AY9*Assumptions!$C$12+'Sales Forecast'!AX9*Assumptions!$D$12+'Sales Forecast'!AW9*Assumptions!$E$12+'Sales Forecast'!AV9*Assumptions!$F$12+'Sales Forecast'!AU9*Assumptions!$G$12+'Sales Forecast'!AT9*Assumptions!$H$12+'Sales Forecast'!AS9*Assumptions!$I$12+'Sales Forecast'!AY9*Assumptions!$C$13+'Sales Forecast'!AX9*Assumptions!$D$13+'Sales Forecast'!AW9*Assumptions!$E$13+'Sales Forecast'!AV9*Assumptions!$F$13+'Sales Forecast'!AU9*Assumptions!$G$13+'Sales Forecast'!AT9*Assumptions!$H$13+'Sales Forecast'!AS9*Assumptions!$I$13+1645.25)*Assumptions!$C$18</f>
        <v/>
      </c>
      <c r="BA21" s="288">
        <f>SUM(I21:T21)</f>
        <v/>
      </c>
      <c r="BB21" s="274">
        <f>BA21/$BA$22</f>
        <v/>
      </c>
    </row>
    <row r="22">
      <c r="B22" s="32" t="inlineStr">
        <is>
          <t>TOTAL REVENUE</t>
        </is>
      </c>
      <c r="C22" s="34" t="n"/>
      <c r="D22" s="35">
        <f>SUM(D13,D14,D18,D19,D20,D21)</f>
        <v/>
      </c>
      <c r="E22" s="35">
        <f>SUM(E13,E14,E18,E19,E20,E21)</f>
        <v/>
      </c>
      <c r="F22" s="35">
        <f>SUM(F13,F14,F18,F19,F20,F21)</f>
        <v/>
      </c>
      <c r="G22" s="35">
        <f>SUM(G13,G14,G18,G19,G20,G21)</f>
        <v/>
      </c>
      <c r="H22" s="35">
        <f>SUM(H13,H14,H18,H19,H20,H21)</f>
        <v/>
      </c>
      <c r="I22" s="35">
        <f>SUM(I13,I14,I18,I19,I20,I21)</f>
        <v/>
      </c>
      <c r="J22" s="35">
        <f>SUM(J13,J14,J18,J19,J20,J21)</f>
        <v/>
      </c>
      <c r="K22" s="35">
        <f>SUM(K13,K14,K18,K19,K20,K21)</f>
        <v/>
      </c>
      <c r="L22" s="35">
        <f>SUM(L13,L14,L18,L19,L20,L21)</f>
        <v/>
      </c>
      <c r="M22" s="35">
        <f>SUM(M13,M14,M18,M19,M20,M21)</f>
        <v/>
      </c>
      <c r="N22" s="35">
        <f>SUM(N13,N14,N18,N19,N20,N21)</f>
        <v/>
      </c>
      <c r="O22" s="35">
        <f>SUM(O13,O14,O18,O19,O20,O21)</f>
        <v/>
      </c>
      <c r="P22" s="35">
        <f>P13+P14+P18+P19+P20+P21</f>
        <v/>
      </c>
      <c r="Q22" s="35">
        <f>Q13+Q14+Q18+Q19+Q20+Q21</f>
        <v/>
      </c>
      <c r="R22" s="35">
        <f>R13+R14+R18+R19+R20+R21</f>
        <v/>
      </c>
      <c r="S22" s="35">
        <f>S13+S14+S18+S19+S20+S21</f>
        <v/>
      </c>
      <c r="T22" s="35">
        <f>T13+T14+T18+T19+T20+T21</f>
        <v/>
      </c>
      <c r="U22" s="35">
        <f>U13+U14+U18+U19+U20+U21</f>
        <v/>
      </c>
      <c r="V22" s="35">
        <f>V13+V14+V18+V19+V20+V21</f>
        <v/>
      </c>
      <c r="W22" s="17">
        <f>W13+W18+W19+W20+W21</f>
        <v/>
      </c>
      <c r="X22" s="17">
        <f>X13+X18+X19+X20+X21</f>
        <v/>
      </c>
      <c r="Y22" s="17">
        <f>Y13+Y18+Y19+Y20+Y21</f>
        <v/>
      </c>
      <c r="Z22" s="17">
        <f>Z13+Z18+Z19+Z20+Z21</f>
        <v/>
      </c>
      <c r="AA22" s="17">
        <f>AA13+AA18+AA19+AA20+AA21</f>
        <v/>
      </c>
      <c r="AB22" s="17">
        <f>AB13+AB18+AB19+AB20+AB21</f>
        <v/>
      </c>
      <c r="AC22" s="17">
        <f>AC13+AC18+AC19+AC20+AC21</f>
        <v/>
      </c>
      <c r="AD22" s="17">
        <f>AD13+AD18+AD19+AD20+AD21</f>
        <v/>
      </c>
      <c r="AE22" s="17">
        <f>AE13+AE18+AE19+AE20+AE21</f>
        <v/>
      </c>
      <c r="AF22" s="17">
        <f>AF13+AF18+AF19+AF20+AF21</f>
        <v/>
      </c>
      <c r="AG22" s="17">
        <f>AG13+AG18+AG19+AG20+AG21</f>
        <v/>
      </c>
      <c r="AH22" s="17">
        <f>AH13+AH18+AH19+AH20+AH21</f>
        <v/>
      </c>
      <c r="AI22" s="17">
        <f>AI13+AI18+AI19+AI20+AI21</f>
        <v/>
      </c>
      <c r="AJ22" s="17">
        <f>AJ13+AJ18+AJ19+AJ20+AJ21</f>
        <v/>
      </c>
      <c r="AK22" s="17">
        <f>AK13+AK18+AK19+AK20+AK21</f>
        <v/>
      </c>
      <c r="AL22" s="17">
        <f>AL13+AL18+AL19+AL20+AL21</f>
        <v/>
      </c>
      <c r="AM22" s="17">
        <f>AM13+AM18+AM19+AM20+AM21</f>
        <v/>
      </c>
      <c r="AN22" s="17">
        <f>AN13+AN18+AN19+AN20+AN21</f>
        <v/>
      </c>
      <c r="AO22" s="17">
        <f>AO13+AO18+AO19+AO20+AO21</f>
        <v/>
      </c>
      <c r="AP22" s="17">
        <f>AP13+AP18+AP19+AP20+AP21</f>
        <v/>
      </c>
      <c r="AQ22" s="17">
        <f>AQ13+AQ18+AQ19+AQ20+AQ21</f>
        <v/>
      </c>
      <c r="AR22" s="17">
        <f>AR13+AR18+AR19+AR20+AR21</f>
        <v/>
      </c>
      <c r="AS22" s="17">
        <f>AS13+AS18+AS19+AS20+AS21</f>
        <v/>
      </c>
      <c r="AT22" s="17">
        <f>AT13+AT18+AT19+AT20+AT21</f>
        <v/>
      </c>
      <c r="AU22" s="17">
        <f>AU13+AU18+AU19+AU20+AU21</f>
        <v/>
      </c>
      <c r="AV22" s="17">
        <f>AV13+AV18+AV19+AV20+AV21</f>
        <v/>
      </c>
      <c r="AW22" s="17">
        <f>AW13+AW18+AW19+AW20+AW21</f>
        <v/>
      </c>
      <c r="AX22" s="17">
        <f>AX13+AX18+AX19+AX20+AX21</f>
        <v/>
      </c>
      <c r="AY22" s="17">
        <f>AY13+AY18+AY19+AY20+AY21</f>
        <v/>
      </c>
      <c r="BA22" s="307">
        <f>SUM(I22:T22)</f>
        <v/>
      </c>
      <c r="BB22" s="276">
        <f>SUM(BB7:BB21)</f>
        <v/>
      </c>
    </row>
    <row r="23" ht="16" customHeight="1" s="282">
      <c r="B23" s="10" t="inlineStr">
        <is>
          <t>COST OF GOODS SOLD</t>
        </is>
      </c>
      <c r="C23" s="11" t="n"/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</row>
    <row r="24">
      <c r="B24" s="33" t="inlineStr">
        <is>
          <t>501000 Product Cost (incl Inventory Shrinkage)</t>
        </is>
      </c>
      <c r="D24" s="19" t="n">
        <v>868</v>
      </c>
      <c r="E24" s="19" t="n">
        <v>1006</v>
      </c>
      <c r="F24" s="19" t="n">
        <v>757.5</v>
      </c>
      <c r="G24" s="19" t="n">
        <v>988.5</v>
      </c>
      <c r="H24" s="19" t="n">
        <v>943</v>
      </c>
      <c r="I24" s="19" t="n">
        <v>786</v>
      </c>
      <c r="J24" s="19" t="n">
        <v>652</v>
      </c>
      <c r="K24" s="19" t="n">
        <v>494.6</v>
      </c>
      <c r="L24" s="19" t="n">
        <v>779.85</v>
      </c>
      <c r="M24" s="19" t="n">
        <v>813.6</v>
      </c>
      <c r="N24" s="19" t="n">
        <v>612.35</v>
      </c>
      <c r="O24" s="19" t="n">
        <v>3405.99</v>
      </c>
      <c r="P24" s="19" t="n">
        <v>835</v>
      </c>
      <c r="Q24" s="19" t="n">
        <v>1074.6</v>
      </c>
      <c r="R24" s="19" t="n">
        <v>705.1</v>
      </c>
      <c r="S24" s="19" t="n">
        <v>624.5</v>
      </c>
      <c r="T24" s="83" t="n">
        <v>598</v>
      </c>
      <c r="U24" s="83" t="n">
        <v>552</v>
      </c>
      <c r="V24" s="83" t="n">
        <v>540.6</v>
      </c>
      <c r="W24" s="20">
        <f>W22*Assumptions!$C$20</f>
        <v/>
      </c>
      <c r="X24" s="20">
        <f>X22*Assumptions!$C$20</f>
        <v/>
      </c>
      <c r="Y24" s="20">
        <f>Y22*Assumptions!$C$20</f>
        <v/>
      </c>
      <c r="Z24" s="20">
        <f>Z22*Assumptions!$C$20</f>
        <v/>
      </c>
      <c r="AA24" s="20">
        <f>AA22*Assumptions!$C$20</f>
        <v/>
      </c>
      <c r="AB24" s="20">
        <f>AB22*Assumptions!$C$20</f>
        <v/>
      </c>
      <c r="AC24" s="20">
        <f>AC22*Assumptions!$C$20</f>
        <v/>
      </c>
      <c r="AD24" s="20">
        <f>AD22*Assumptions!$C$20</f>
        <v/>
      </c>
      <c r="AE24" s="20">
        <f>AE22*Assumptions!$C$20</f>
        <v/>
      </c>
      <c r="AF24" s="20">
        <f>AF22*Assumptions!$C$20</f>
        <v/>
      </c>
      <c r="AG24" s="20">
        <f>AG22*Assumptions!$C$20</f>
        <v/>
      </c>
      <c r="AH24" s="20">
        <f>AH22*Assumptions!$C$20</f>
        <v/>
      </c>
      <c r="AI24" s="20">
        <f>AI22*Assumptions!$C$20</f>
        <v/>
      </c>
      <c r="AJ24" s="20">
        <f>AJ22*Assumptions!$C$20</f>
        <v/>
      </c>
      <c r="AK24" s="20">
        <f>AK22*Assumptions!$C$20</f>
        <v/>
      </c>
      <c r="AL24" s="20">
        <f>AL22*Assumptions!$C$20</f>
        <v/>
      </c>
      <c r="AM24" s="20">
        <f>AM22*Assumptions!$C$20</f>
        <v/>
      </c>
      <c r="AN24" s="20">
        <f>AN22*Assumptions!$C$20</f>
        <v/>
      </c>
      <c r="AO24" s="20">
        <f>AO22*Assumptions!$C$20</f>
        <v/>
      </c>
      <c r="AP24" s="20">
        <f>AP22*Assumptions!$C$20</f>
        <v/>
      </c>
      <c r="AQ24" s="20">
        <f>AQ22*Assumptions!$C$20</f>
        <v/>
      </c>
      <c r="AR24" s="20">
        <f>AR22*Assumptions!$C$20</f>
        <v/>
      </c>
      <c r="AS24" s="20">
        <f>AS22*Assumptions!$C$20</f>
        <v/>
      </c>
      <c r="AT24" s="20">
        <f>AT22*Assumptions!$C$20</f>
        <v/>
      </c>
      <c r="AU24" s="20">
        <f>AU22*Assumptions!$C$20</f>
        <v/>
      </c>
      <c r="AV24" s="20">
        <f>AV22*Assumptions!$C$20</f>
        <v/>
      </c>
      <c r="AW24" s="20">
        <f>AW22*Assumptions!$C$20</f>
        <v/>
      </c>
      <c r="AX24" s="20">
        <f>AX22*Assumptions!$C$20</f>
        <v/>
      </c>
      <c r="AY24" s="20">
        <f>AY22*Assumptions!$C$20</f>
        <v/>
      </c>
    </row>
    <row r="25">
      <c r="B25" s="33" t="inlineStr">
        <is>
          <t xml:space="preserve">  506000 Merchant Account Fees</t>
        </is>
      </c>
      <c r="D25" s="19" t="n">
        <v>2780.1</v>
      </c>
      <c r="E25" s="19" t="n">
        <v>2587.14</v>
      </c>
      <c r="F25" s="19" t="n">
        <v>2646.78</v>
      </c>
      <c r="G25" s="19" t="n">
        <v>3783.05</v>
      </c>
      <c r="H25" s="19" t="n">
        <v>2303.02</v>
      </c>
      <c r="I25" s="19" t="n">
        <v>2415.42</v>
      </c>
      <c r="J25" s="19" t="n">
        <v>2043.91</v>
      </c>
      <c r="K25" s="19" t="n">
        <v>2963.76</v>
      </c>
      <c r="L25" s="19" t="n">
        <v>1918.86</v>
      </c>
      <c r="M25" s="19" t="n">
        <v>2196.94</v>
      </c>
      <c r="N25" s="19" t="n">
        <v>2544.83</v>
      </c>
      <c r="O25" s="19" t="n">
        <v>2269.22</v>
      </c>
      <c r="P25" s="19" t="n">
        <v>2579.82</v>
      </c>
      <c r="Q25" s="19" t="n">
        <v>3530.53</v>
      </c>
      <c r="R25" s="19" t="n">
        <v>2373.25</v>
      </c>
      <c r="S25" s="19" t="n">
        <v>2899.72</v>
      </c>
      <c r="T25" s="83" t="n">
        <v>1998.34</v>
      </c>
      <c r="U25" s="83" t="n">
        <v>2297.38</v>
      </c>
      <c r="V25" s="83" t="n">
        <v>2542.73</v>
      </c>
      <c r="W25" s="20">
        <f>W22*Assumptions!$C$19</f>
        <v/>
      </c>
      <c r="X25" s="20">
        <f>X22*Assumptions!$C$19</f>
        <v/>
      </c>
      <c r="Y25" s="20">
        <f>Y22*Assumptions!$C$19</f>
        <v/>
      </c>
      <c r="Z25" s="20">
        <f>Z22*Assumptions!$C$19</f>
        <v/>
      </c>
      <c r="AA25" s="20">
        <f>AA22*Assumptions!$C$19</f>
        <v/>
      </c>
      <c r="AB25" s="20">
        <f>AB22*Assumptions!$C$19</f>
        <v/>
      </c>
      <c r="AC25" s="20">
        <f>AC22*Assumptions!$C$19</f>
        <v/>
      </c>
      <c r="AD25" s="20">
        <f>AD22*Assumptions!$C$19</f>
        <v/>
      </c>
      <c r="AE25" s="20">
        <f>AE22*Assumptions!$C$19</f>
        <v/>
      </c>
      <c r="AF25" s="20">
        <f>AF22*Assumptions!$C$19</f>
        <v/>
      </c>
      <c r="AG25" s="20">
        <f>AG22*Assumptions!$C$19</f>
        <v/>
      </c>
      <c r="AH25" s="20">
        <f>AH22*Assumptions!$C$19</f>
        <v/>
      </c>
      <c r="AI25" s="20">
        <f>AI22*Assumptions!$C$19</f>
        <v/>
      </c>
      <c r="AJ25" s="20">
        <f>AJ22*Assumptions!$C$19</f>
        <v/>
      </c>
      <c r="AK25" s="20">
        <f>AK22*Assumptions!$C$19</f>
        <v/>
      </c>
      <c r="AL25" s="20">
        <f>AL22*Assumptions!$C$19</f>
        <v/>
      </c>
      <c r="AM25" s="20">
        <f>AM22*Assumptions!$C$19</f>
        <v/>
      </c>
      <c r="AN25" s="20">
        <f>AN22*Assumptions!$C$19</f>
        <v/>
      </c>
      <c r="AO25" s="20">
        <f>AO22*Assumptions!$C$19</f>
        <v/>
      </c>
      <c r="AP25" s="20">
        <f>AP22*Assumptions!$C$19</f>
        <v/>
      </c>
      <c r="AQ25" s="20">
        <f>AQ22*Assumptions!$C$19</f>
        <v/>
      </c>
      <c r="AR25" s="20">
        <f>AR22*Assumptions!$C$19</f>
        <v/>
      </c>
      <c r="AS25" s="20">
        <f>AS22*Assumptions!$C$19</f>
        <v/>
      </c>
      <c r="AT25" s="20">
        <f>AT22*Assumptions!$C$19</f>
        <v/>
      </c>
      <c r="AU25" s="20">
        <f>AU22*Assumptions!$C$19</f>
        <v/>
      </c>
      <c r="AV25" s="20">
        <f>AV22*Assumptions!$C$19</f>
        <v/>
      </c>
      <c r="AW25" s="20">
        <f>AW22*Assumptions!$C$19</f>
        <v/>
      </c>
      <c r="AX25" s="20">
        <f>AX22*Assumptions!$C$19</f>
        <v/>
      </c>
      <c r="AY25" s="20">
        <f>AY22*Assumptions!$C$19</f>
        <v/>
      </c>
    </row>
    <row r="26">
      <c r="B26" s="32" t="inlineStr">
        <is>
          <t>Total Cost of Goods Sold</t>
        </is>
      </c>
      <c r="C26" s="34" t="n"/>
      <c r="D26" s="35">
        <f>SUM(D24:D25)</f>
        <v/>
      </c>
      <c r="E26" s="35">
        <f>SUM(E24:E25)</f>
        <v/>
      </c>
      <c r="F26" s="35">
        <f>SUM(F24:F25)</f>
        <v/>
      </c>
      <c r="G26" s="35">
        <f>SUM(G24:G25)</f>
        <v/>
      </c>
      <c r="H26" s="35">
        <f>SUM(H24:H25)</f>
        <v/>
      </c>
      <c r="I26" s="35">
        <f>SUM(I24:I25)</f>
        <v/>
      </c>
      <c r="J26" s="35">
        <f>SUM(J24:J25)</f>
        <v/>
      </c>
      <c r="K26" s="35">
        <f>SUM(K24:K25)</f>
        <v/>
      </c>
      <c r="L26" s="35">
        <f>SUM(L24:L25)</f>
        <v/>
      </c>
      <c r="M26" s="35">
        <f>SUM(M24:M25)</f>
        <v/>
      </c>
      <c r="N26" s="35">
        <f>SUM(N24:N25)</f>
        <v/>
      </c>
      <c r="O26" s="35">
        <f>SUM(O24:O25)</f>
        <v/>
      </c>
      <c r="P26" s="35">
        <f>P24+P25</f>
        <v/>
      </c>
      <c r="Q26" s="35">
        <f>Q24+Q25</f>
        <v/>
      </c>
      <c r="R26" s="35">
        <f>R24+R25</f>
        <v/>
      </c>
      <c r="S26" s="35">
        <f>S24+S25</f>
        <v/>
      </c>
      <c r="T26" s="84">
        <f>T24+T25</f>
        <v/>
      </c>
      <c r="U26" s="84">
        <f>U24+U25</f>
        <v/>
      </c>
      <c r="V26" s="84">
        <f>V24+V25</f>
        <v/>
      </c>
      <c r="W26" s="17">
        <f>W24+W25</f>
        <v/>
      </c>
      <c r="X26" s="17">
        <f>X24+X25</f>
        <v/>
      </c>
      <c r="Y26" s="17">
        <f>Y24+Y25</f>
        <v/>
      </c>
      <c r="Z26" s="17">
        <f>Z24+Z25</f>
        <v/>
      </c>
      <c r="AA26" s="17">
        <f>AA24+AA25</f>
        <v/>
      </c>
      <c r="AB26" s="17">
        <f>AB24+AB25</f>
        <v/>
      </c>
      <c r="AC26" s="17">
        <f>AC24+AC25</f>
        <v/>
      </c>
      <c r="AD26" s="17">
        <f>AD24+AD25</f>
        <v/>
      </c>
      <c r="AE26" s="17">
        <f>AE24+AE25</f>
        <v/>
      </c>
      <c r="AF26" s="17">
        <f>AF24+AF25</f>
        <v/>
      </c>
      <c r="AG26" s="17">
        <f>AG24+AG25</f>
        <v/>
      </c>
      <c r="AH26" s="17">
        <f>AH24+AH25</f>
        <v/>
      </c>
      <c r="AI26" s="17">
        <f>AI24+AI25</f>
        <v/>
      </c>
      <c r="AJ26" s="17">
        <f>AJ24+AJ25</f>
        <v/>
      </c>
      <c r="AK26" s="17">
        <f>AK24+AK25</f>
        <v/>
      </c>
      <c r="AL26" s="17">
        <f>AL24+AL25</f>
        <v/>
      </c>
      <c r="AM26" s="17">
        <f>AM24+AM25</f>
        <v/>
      </c>
      <c r="AN26" s="17">
        <f>AN24+AN25</f>
        <v/>
      </c>
      <c r="AO26" s="17">
        <f>AO24+AO25</f>
        <v/>
      </c>
      <c r="AP26" s="17">
        <f>AP24+AP25</f>
        <v/>
      </c>
      <c r="AQ26" s="17">
        <f>AQ24+AQ25</f>
        <v/>
      </c>
      <c r="AR26" s="17">
        <f>AR24+AR25</f>
        <v/>
      </c>
      <c r="AS26" s="17">
        <f>AS24+AS25</f>
        <v/>
      </c>
      <c r="AT26" s="17">
        <f>AT24+AT25</f>
        <v/>
      </c>
      <c r="AU26" s="17">
        <f>AU24+AU25</f>
        <v/>
      </c>
      <c r="AV26" s="17">
        <f>AV24+AV25</f>
        <v/>
      </c>
      <c r="AW26" s="17">
        <f>AW24+AW25</f>
        <v/>
      </c>
      <c r="AX26" s="17">
        <f>AX24+AX25</f>
        <v/>
      </c>
      <c r="AY26" s="17">
        <f>AY24+AY25</f>
        <v/>
      </c>
    </row>
    <row r="27">
      <c r="B27" s="32" t="inlineStr">
        <is>
          <t>GROSS PROFIT</t>
        </is>
      </c>
      <c r="C27" s="34" t="n"/>
      <c r="D27" s="35">
        <f>D22-D26</f>
        <v/>
      </c>
      <c r="E27" s="35">
        <f>E22-E26</f>
        <v/>
      </c>
      <c r="F27" s="35">
        <f>F22-F26</f>
        <v/>
      </c>
      <c r="G27" s="35">
        <f>G22-G26</f>
        <v/>
      </c>
      <c r="H27" s="35">
        <f>H22-H26</f>
        <v/>
      </c>
      <c r="I27" s="35">
        <f>I22-I26</f>
        <v/>
      </c>
      <c r="J27" s="35">
        <f>J22-J26</f>
        <v/>
      </c>
      <c r="K27" s="35">
        <f>K22-K26</f>
        <v/>
      </c>
      <c r="L27" s="35">
        <f>L22-L26</f>
        <v/>
      </c>
      <c r="M27" s="35">
        <f>M22-M26</f>
        <v/>
      </c>
      <c r="N27" s="35">
        <f>N22-N26</f>
        <v/>
      </c>
      <c r="O27" s="35">
        <f>O22-O26</f>
        <v/>
      </c>
      <c r="P27" s="35">
        <f>P22-P26</f>
        <v/>
      </c>
      <c r="Q27" s="35">
        <f>Q22-Q26</f>
        <v/>
      </c>
      <c r="R27" s="35">
        <f>R22-R26</f>
        <v/>
      </c>
      <c r="S27" s="35">
        <f>S22-S26</f>
        <v/>
      </c>
      <c r="T27" s="84">
        <f>T22-T26</f>
        <v/>
      </c>
      <c r="U27" s="84">
        <f>U22-U26</f>
        <v/>
      </c>
      <c r="V27" s="84">
        <f>V22-V26</f>
        <v/>
      </c>
      <c r="W27" s="17">
        <f>W22-W26</f>
        <v/>
      </c>
      <c r="X27" s="17">
        <f>X22-X26</f>
        <v/>
      </c>
      <c r="Y27" s="17">
        <f>Y22-Y26</f>
        <v/>
      </c>
      <c r="Z27" s="17">
        <f>Z22-Z26</f>
        <v/>
      </c>
      <c r="AA27" s="17">
        <f>AA22-AA26</f>
        <v/>
      </c>
      <c r="AB27" s="17">
        <f>AB22-AB26</f>
        <v/>
      </c>
      <c r="AC27" s="17">
        <f>AC22-AC26</f>
        <v/>
      </c>
      <c r="AD27" s="17">
        <f>AD22-AD26</f>
        <v/>
      </c>
      <c r="AE27" s="17">
        <f>AE22-AE26</f>
        <v/>
      </c>
      <c r="AF27" s="17">
        <f>AF22-AF26</f>
        <v/>
      </c>
      <c r="AG27" s="17">
        <f>AG22-AG26</f>
        <v/>
      </c>
      <c r="AH27" s="17">
        <f>AH22-AH26</f>
        <v/>
      </c>
      <c r="AI27" s="17">
        <f>AI22-AI26</f>
        <v/>
      </c>
      <c r="AJ27" s="17">
        <f>AJ22-AJ26</f>
        <v/>
      </c>
      <c r="AK27" s="17">
        <f>AK22-AK26</f>
        <v/>
      </c>
      <c r="AL27" s="17">
        <f>AL22-AL26</f>
        <v/>
      </c>
      <c r="AM27" s="17">
        <f>AM22-AM26</f>
        <v/>
      </c>
      <c r="AN27" s="17">
        <f>AN22-AN26</f>
        <v/>
      </c>
      <c r="AO27" s="17">
        <f>AO22-AO26</f>
        <v/>
      </c>
      <c r="AP27" s="17">
        <f>AP22-AP26</f>
        <v/>
      </c>
      <c r="AQ27" s="17">
        <f>AQ22-AQ26</f>
        <v/>
      </c>
      <c r="AR27" s="17">
        <f>AR22-AR26</f>
        <v/>
      </c>
      <c r="AS27" s="17">
        <f>AS22-AS26</f>
        <v/>
      </c>
      <c r="AT27" s="17">
        <f>AT22-AT26</f>
        <v/>
      </c>
      <c r="AU27" s="17">
        <f>AU22-AU26</f>
        <v/>
      </c>
      <c r="AV27" s="17">
        <f>AV22-AV26</f>
        <v/>
      </c>
      <c r="AW27" s="17">
        <f>AW22-AW26</f>
        <v/>
      </c>
      <c r="AX27" s="17">
        <f>AX22-AX26</f>
        <v/>
      </c>
      <c r="AY27" s="17">
        <f>AY22-AY26</f>
        <v/>
      </c>
    </row>
    <row r="28" ht="16" customHeight="1" s="282">
      <c r="B28" s="10" t="inlineStr">
        <is>
          <t>OPERATING EXPENSES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</row>
    <row r="29">
      <c r="B29" s="33" t="inlineStr">
        <is>
          <t xml:space="preserve">  601001 Paid Ads</t>
        </is>
      </c>
      <c r="D29" s="19" t="n">
        <v>0</v>
      </c>
      <c r="E29" s="19" t="n">
        <v>300</v>
      </c>
      <c r="F29" s="19" t="n">
        <v>0</v>
      </c>
      <c r="G29" s="19" t="n">
        <v>0</v>
      </c>
      <c r="H29" s="19" t="n">
        <v>779.53</v>
      </c>
      <c r="I29" s="19" t="n">
        <v>5394.25</v>
      </c>
      <c r="J29" s="19" t="n">
        <v>2830.72</v>
      </c>
      <c r="K29" s="19" t="n">
        <v>3687.29</v>
      </c>
      <c r="L29" s="19" t="n">
        <v>2385.33</v>
      </c>
      <c r="M29" s="19" t="n">
        <v>2405.57</v>
      </c>
      <c r="N29" s="19" t="n">
        <v>3314.58</v>
      </c>
      <c r="O29" s="19" t="n">
        <v>1940.91</v>
      </c>
      <c r="P29" s="19" t="n">
        <v>1741.1</v>
      </c>
      <c r="Q29" s="19" t="n">
        <v>451.8</v>
      </c>
      <c r="R29" s="19" t="n">
        <v>0</v>
      </c>
      <c r="S29" s="19" t="n">
        <v>0</v>
      </c>
      <c r="T29" s="83" t="n">
        <v>0</v>
      </c>
      <c r="U29" s="83" t="n">
        <v>0</v>
      </c>
      <c r="V29" s="83" t="n">
        <v>0</v>
      </c>
      <c r="W29" s="20" t="n">
        <v>196.71</v>
      </c>
      <c r="X29" s="20" t="n">
        <v>196.71</v>
      </c>
      <c r="Y29" s="20" t="n">
        <v>196.71</v>
      </c>
      <c r="Z29" s="20" t="n">
        <v>196.71</v>
      </c>
      <c r="AA29" s="20" t="n">
        <v>196.71</v>
      </c>
      <c r="AB29" s="20" t="n">
        <v>196.71</v>
      </c>
      <c r="AC29" s="20" t="n">
        <v>196.71</v>
      </c>
      <c r="AD29" s="20" t="n">
        <v>196.71</v>
      </c>
      <c r="AE29" s="20" t="n">
        <v>196.71</v>
      </c>
      <c r="AF29" s="20" t="n">
        <v>196.71</v>
      </c>
      <c r="AG29" s="20" t="n">
        <v>196.71</v>
      </c>
      <c r="AH29" s="20" t="n">
        <v>196.71</v>
      </c>
      <c r="AI29" s="20" t="n">
        <v>196.71</v>
      </c>
      <c r="AJ29" s="20" t="n">
        <v>196.71</v>
      </c>
      <c r="AK29" s="20" t="n">
        <v>196.71</v>
      </c>
      <c r="AL29" s="20" t="n">
        <v>196.71</v>
      </c>
      <c r="AM29" s="20" t="n">
        <v>196.71</v>
      </c>
      <c r="AN29" s="20" t="n">
        <v>196.71</v>
      </c>
      <c r="AO29" s="20" t="n">
        <v>196.71</v>
      </c>
      <c r="AP29" s="20" t="n">
        <v>196.71</v>
      </c>
      <c r="AQ29" s="20" t="n">
        <v>196.71</v>
      </c>
      <c r="AR29" s="20" t="n">
        <v>196.71</v>
      </c>
      <c r="AS29" s="20" t="n">
        <v>196.71</v>
      </c>
      <c r="AT29" s="20" t="n">
        <v>196.71</v>
      </c>
      <c r="AU29" s="20" t="n">
        <v>196.71</v>
      </c>
      <c r="AV29" s="20" t="n">
        <v>196.71</v>
      </c>
      <c r="AW29" s="20" t="n">
        <v>196.71</v>
      </c>
      <c r="AX29" s="20" t="n">
        <v>196.71</v>
      </c>
      <c r="AY29" s="20" t="n">
        <v>196.71</v>
      </c>
    </row>
    <row r="30">
      <c r="B30" s="33" t="inlineStr">
        <is>
          <t xml:space="preserve">  601005 Content Creation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0</v>
      </c>
      <c r="P30" s="19" t="n">
        <v>0</v>
      </c>
      <c r="Q30" s="19" t="n">
        <v>0</v>
      </c>
      <c r="R30" s="19" t="n">
        <v>0</v>
      </c>
      <c r="S30" s="19" t="n">
        <v>0</v>
      </c>
      <c r="T30" s="83" t="n">
        <v>0</v>
      </c>
      <c r="U30" s="83" t="n">
        <v>0</v>
      </c>
      <c r="V30" s="83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>601006 General Marketing (incl Affiliate, PR, Trade Shows)</t>
        </is>
      </c>
      <c r="D31" s="19" t="n">
        <v>0</v>
      </c>
      <c r="E31" s="19" t="n">
        <v>107.64</v>
      </c>
      <c r="F31" s="19" t="n">
        <v>0</v>
      </c>
      <c r="G31" s="19" t="n">
        <v>0</v>
      </c>
      <c r="H31" s="19" t="n">
        <v>0</v>
      </c>
      <c r="I31" s="19" t="n">
        <v>226.6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3000</v>
      </c>
      <c r="O31" s="19" t="n">
        <v>1778.77</v>
      </c>
      <c r="P31" s="19" t="n">
        <v>1545</v>
      </c>
      <c r="Q31" s="19" t="n">
        <v>1545</v>
      </c>
      <c r="R31" s="19" t="n">
        <v>1545</v>
      </c>
      <c r="S31" s="19" t="n">
        <v>1500</v>
      </c>
      <c r="T31" s="83" t="n">
        <v>1545</v>
      </c>
      <c r="U31" s="83" t="n">
        <v>1742.05</v>
      </c>
      <c r="V31" s="83" t="n">
        <v>1500</v>
      </c>
      <c r="W31" s="20" t="n">
        <v>571.67</v>
      </c>
      <c r="X31" s="20" t="n">
        <v>571.67</v>
      </c>
      <c r="Y31" s="20" t="n">
        <v>571.67</v>
      </c>
      <c r="Z31" s="20" t="n">
        <v>571.67</v>
      </c>
      <c r="AA31" s="20" t="n">
        <v>571.67</v>
      </c>
      <c r="AB31" s="20" t="n">
        <v>571.67</v>
      </c>
      <c r="AC31" s="20" t="n">
        <v>571.67</v>
      </c>
      <c r="AD31" s="20" t="n">
        <v>571.67</v>
      </c>
      <c r="AE31" s="20" t="n">
        <v>571.67</v>
      </c>
      <c r="AF31" s="20" t="n">
        <v>571.67</v>
      </c>
      <c r="AG31" s="20" t="n">
        <v>571.67</v>
      </c>
      <c r="AH31" s="20" t="n">
        <v>571.67</v>
      </c>
      <c r="AI31" s="20" t="n">
        <v>571.67</v>
      </c>
      <c r="AJ31" s="20" t="n">
        <v>571.67</v>
      </c>
      <c r="AK31" s="20" t="n">
        <v>571.67</v>
      </c>
      <c r="AL31" s="20" t="n">
        <v>571.67</v>
      </c>
      <c r="AM31" s="20" t="n">
        <v>571.67</v>
      </c>
      <c r="AN31" s="20" t="n">
        <v>571.67</v>
      </c>
      <c r="AO31" s="20" t="n">
        <v>571.67</v>
      </c>
      <c r="AP31" s="20" t="n">
        <v>571.67</v>
      </c>
      <c r="AQ31" s="20" t="n">
        <v>571.67</v>
      </c>
      <c r="AR31" s="20" t="n">
        <v>571.67</v>
      </c>
      <c r="AS31" s="20" t="n">
        <v>571.67</v>
      </c>
      <c r="AT31" s="20" t="n">
        <v>571.67</v>
      </c>
      <c r="AU31" s="20" t="n">
        <v>571.67</v>
      </c>
      <c r="AV31" s="20" t="n">
        <v>571.67</v>
      </c>
      <c r="AW31" s="20" t="n">
        <v>571.67</v>
      </c>
      <c r="AX31" s="20" t="n">
        <v>571.67</v>
      </c>
      <c r="AY31" s="20" t="n">
        <v>571.67</v>
      </c>
    </row>
    <row r="32">
      <c r="B32" s="33" t="inlineStr">
        <is>
          <t xml:space="preserve">  601007 Contractors/Agencies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83" t="n">
        <v>0</v>
      </c>
      <c r="U32" s="83" t="n">
        <v>0</v>
      </c>
      <c r="V32" s="83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3" t="inlineStr">
        <is>
          <t xml:space="preserve">  601010 Website Development</t>
        </is>
      </c>
      <c r="D33" s="19" t="n">
        <v>0</v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0</v>
      </c>
      <c r="N33" s="19" t="n">
        <v>0</v>
      </c>
      <c r="O33" s="19" t="n">
        <v>0</v>
      </c>
      <c r="P33" s="19" t="n">
        <v>0</v>
      </c>
      <c r="Q33" s="19" t="n">
        <v>0</v>
      </c>
      <c r="R33" s="19" t="n">
        <v>0</v>
      </c>
      <c r="S33" s="19" t="n">
        <v>0</v>
      </c>
      <c r="T33" s="83" t="n">
        <v>0</v>
      </c>
      <c r="U33" s="83" t="n">
        <v>0</v>
      </c>
      <c r="V33" s="83" t="n">
        <v>180</v>
      </c>
      <c r="W33" s="20" t="n">
        <v>0</v>
      </c>
      <c r="X33" s="20" t="n">
        <v>0</v>
      </c>
      <c r="Y33" s="20" t="n">
        <v>0</v>
      </c>
      <c r="Z33" s="20" t="n">
        <v>0</v>
      </c>
      <c r="AA33" s="20" t="n">
        <v>0</v>
      </c>
      <c r="AB33" s="20" t="n">
        <v>0</v>
      </c>
      <c r="AC33" s="20" t="n">
        <v>0</v>
      </c>
      <c r="AD33" s="20" t="n">
        <v>0</v>
      </c>
      <c r="AE33" s="20" t="n">
        <v>0</v>
      </c>
      <c r="AF33" s="20" t="n">
        <v>0</v>
      </c>
      <c r="AG33" s="20" t="n">
        <v>0</v>
      </c>
      <c r="AH33" s="20" t="n">
        <v>0</v>
      </c>
      <c r="AI33" s="20" t="n">
        <v>0</v>
      </c>
      <c r="AJ33" s="20" t="n">
        <v>0</v>
      </c>
      <c r="AK33" s="20" t="n">
        <v>0</v>
      </c>
      <c r="AL33" s="20" t="n">
        <v>0</v>
      </c>
      <c r="AM33" s="20" t="n">
        <v>0</v>
      </c>
      <c r="AN33" s="20" t="n">
        <v>0</v>
      </c>
      <c r="AO33" s="20" t="n">
        <v>0</v>
      </c>
      <c r="AP33" s="20" t="n">
        <v>0</v>
      </c>
      <c r="AQ33" s="20" t="n">
        <v>0</v>
      </c>
      <c r="AR33" s="20" t="n">
        <v>0</v>
      </c>
      <c r="AS33" s="20" t="n">
        <v>0</v>
      </c>
      <c r="AT33" s="20" t="n">
        <v>0</v>
      </c>
      <c r="AU33" s="20" t="n">
        <v>0</v>
      </c>
      <c r="AV33" s="20" t="n">
        <v>0</v>
      </c>
      <c r="AW33" s="20" t="n">
        <v>0</v>
      </c>
      <c r="AX33" s="20" t="n">
        <v>0</v>
      </c>
      <c r="AY33" s="20" t="n">
        <v>0</v>
      </c>
    </row>
    <row r="34">
      <c r="B34" s="32" t="inlineStr">
        <is>
          <t>Total Marketing</t>
        </is>
      </c>
      <c r="C34" s="34" t="n"/>
      <c r="D34" s="35">
        <f>SUM(D29:D33)</f>
        <v/>
      </c>
      <c r="E34" s="35">
        <f>SUM(E29:E33)</f>
        <v/>
      </c>
      <c r="F34" s="35">
        <f>SUM(F29:F33)</f>
        <v/>
      </c>
      <c r="G34" s="35">
        <f>SUM(G29:G33)</f>
        <v/>
      </c>
      <c r="H34" s="35">
        <f>SUM(H29:H33)</f>
        <v/>
      </c>
      <c r="I34" s="35">
        <f>SUM(I29:I33)</f>
        <v/>
      </c>
      <c r="J34" s="35">
        <f>SUM(J29:J33)</f>
        <v/>
      </c>
      <c r="K34" s="35">
        <f>SUM(K29:K33)</f>
        <v/>
      </c>
      <c r="L34" s="35">
        <f>SUM(L29:L33)</f>
        <v/>
      </c>
      <c r="M34" s="35">
        <f>SUM(M29:M33)</f>
        <v/>
      </c>
      <c r="N34" s="35">
        <f>SUM(N29:N33)</f>
        <v/>
      </c>
      <c r="O34" s="35">
        <f>SUM(O29:O33)</f>
        <v/>
      </c>
      <c r="P34" s="35">
        <f>P29+P30+P31+P32+P33</f>
        <v/>
      </c>
      <c r="Q34" s="35">
        <f>Q29+Q30+Q31+Q32+Q33</f>
        <v/>
      </c>
      <c r="R34" s="35">
        <f>R29+R30+R31+R32+R33</f>
        <v/>
      </c>
      <c r="S34" s="35">
        <f>S29+S30+S31+S32+S33</f>
        <v/>
      </c>
      <c r="T34" s="84">
        <f>T29+T30+T31+T32+T33</f>
        <v/>
      </c>
      <c r="U34" s="84">
        <f>U29+U30+U31+U32+U33</f>
        <v/>
      </c>
      <c r="V34" s="84">
        <f>V29+V30+V31+V32+V33</f>
        <v/>
      </c>
      <c r="W34" s="17">
        <f>W29+W30+W31+W32+W33</f>
        <v/>
      </c>
      <c r="X34" s="17">
        <f>X29+X30+X31+X32+X33</f>
        <v/>
      </c>
      <c r="Y34" s="17">
        <f>Y29+Y30+Y31+Y32+Y33</f>
        <v/>
      </c>
      <c r="Z34" s="17">
        <f>Z29+Z30+Z31+Z32+Z33</f>
        <v/>
      </c>
      <c r="AA34" s="17">
        <f>AA29+AA30+AA31+AA32+AA33</f>
        <v/>
      </c>
      <c r="AB34" s="17">
        <f>AB29+AB30+AB31+AB32+AB33</f>
        <v/>
      </c>
      <c r="AC34" s="17">
        <f>AC29+AC30+AC31+AC32+AC33</f>
        <v/>
      </c>
      <c r="AD34" s="17">
        <f>AD29+AD30+AD31+AD32+AD33</f>
        <v/>
      </c>
      <c r="AE34" s="17">
        <f>AE29+AE30+AE31+AE32+AE33</f>
        <v/>
      </c>
      <c r="AF34" s="17">
        <f>AF29+AF30+AF31+AF32+AF33</f>
        <v/>
      </c>
      <c r="AG34" s="17">
        <f>AG29+AG30+AG31+AG32+AG33</f>
        <v/>
      </c>
      <c r="AH34" s="17">
        <f>AH29+AH30+AH31+AH32+AH33</f>
        <v/>
      </c>
      <c r="AI34" s="17">
        <f>AI29+AI30+AI31+AI32+AI33</f>
        <v/>
      </c>
      <c r="AJ34" s="17">
        <f>AJ29+AJ30+AJ31+AJ32+AJ33</f>
        <v/>
      </c>
      <c r="AK34" s="17">
        <f>AK29+AK30+AK31+AK32+AK33</f>
        <v/>
      </c>
      <c r="AL34" s="17">
        <f>AL29+AL30+AL31+AL32+AL33</f>
        <v/>
      </c>
      <c r="AM34" s="17">
        <f>AM29+AM30+AM31+AM32+AM33</f>
        <v/>
      </c>
      <c r="AN34" s="17">
        <f>AN29+AN30+AN31+AN32+AN33</f>
        <v/>
      </c>
      <c r="AO34" s="17">
        <f>AO29+AO30+AO31+AO32+AO33</f>
        <v/>
      </c>
      <c r="AP34" s="17">
        <f>AP29+AP30+AP31+AP32+AP33</f>
        <v/>
      </c>
      <c r="AQ34" s="17">
        <f>AQ29+AQ30+AQ31+AQ32+AQ33</f>
        <v/>
      </c>
      <c r="AR34" s="17">
        <f>AR29+AR30+AR31+AR32+AR33</f>
        <v/>
      </c>
      <c r="AS34" s="17">
        <f>AS29+AS30+AS31+AS32+AS33</f>
        <v/>
      </c>
      <c r="AT34" s="17">
        <f>AT29+AT30+AT31+AT32+AT33</f>
        <v/>
      </c>
      <c r="AU34" s="17">
        <f>AU29+AU30+AU31+AU32+AU33</f>
        <v/>
      </c>
      <c r="AV34" s="17">
        <f>AV29+AV30+AV31+AV32+AV33</f>
        <v/>
      </c>
      <c r="AW34" s="17">
        <f>AW29+AW30+AW31+AW32+AW33</f>
        <v/>
      </c>
      <c r="AX34" s="17">
        <f>AX29+AX30+AX31+AX32+AX33</f>
        <v/>
      </c>
      <c r="AY34" s="17">
        <f>AY29+AY30+AY31+AY32+AY33</f>
        <v/>
      </c>
    </row>
    <row r="35">
      <c r="B35" s="33" t="inlineStr">
        <is>
          <t>602001 Wages (incl 1099 &amp; Bonus)</t>
        </is>
      </c>
      <c r="D35" s="19" t="n">
        <v>38223.29</v>
      </c>
      <c r="E35" s="19" t="n">
        <v>34192.22</v>
      </c>
      <c r="F35" s="19" t="n">
        <v>36070.2</v>
      </c>
      <c r="G35" s="19" t="n">
        <v>31739.6</v>
      </c>
      <c r="H35" s="19" t="n">
        <v>39338.44</v>
      </c>
      <c r="I35" s="19" t="n">
        <v>39522.19</v>
      </c>
      <c r="J35" s="19" t="n">
        <v>42942.1</v>
      </c>
      <c r="K35" s="19" t="n">
        <v>41813.22</v>
      </c>
      <c r="L35" s="19" t="n">
        <v>60728.46</v>
      </c>
      <c r="M35" s="19" t="n">
        <v>42046.86</v>
      </c>
      <c r="N35" s="19" t="n">
        <v>40516.48</v>
      </c>
      <c r="O35" s="19" t="n">
        <v>22881.15</v>
      </c>
      <c r="P35" s="19" t="n">
        <v>21165.95</v>
      </c>
      <c r="Q35" s="19" t="n">
        <v>21061.06</v>
      </c>
      <c r="R35" s="19" t="n">
        <v>23273</v>
      </c>
      <c r="S35" s="19" t="n">
        <v>21721.66</v>
      </c>
      <c r="T35" s="83" t="n">
        <v>24021.38</v>
      </c>
      <c r="U35" s="83" t="n">
        <v>27999.96</v>
      </c>
      <c r="V35" s="83" t="n">
        <v>26088.99</v>
      </c>
      <c r="W35" s="20" t="n">
        <v>20892.82</v>
      </c>
      <c r="X35" s="20" t="n">
        <v>20893.15</v>
      </c>
      <c r="Y35" s="20" t="n">
        <v>25064.56</v>
      </c>
      <c r="Z35" s="20" t="n">
        <v>28427.82</v>
      </c>
      <c r="AA35" s="20" t="n">
        <v>33492.2</v>
      </c>
      <c r="AB35" s="20" t="n">
        <v>32207.21</v>
      </c>
      <c r="AC35" s="20" t="n">
        <v>34133.24</v>
      </c>
      <c r="AD35" s="20" t="n">
        <v>32209.54</v>
      </c>
      <c r="AE35" s="20" t="n">
        <v>32170.29</v>
      </c>
      <c r="AF35" s="20" t="n">
        <v>32385.91</v>
      </c>
      <c r="AG35" s="20" t="n">
        <v>32179.51</v>
      </c>
      <c r="AH35" s="20" t="n">
        <v>32132.91</v>
      </c>
      <c r="AI35" s="20" t="n">
        <v>32117.34</v>
      </c>
      <c r="AJ35" s="20" t="n">
        <v>32117.69</v>
      </c>
      <c r="AK35" s="20" t="n">
        <v>32132.37</v>
      </c>
      <c r="AL35" s="20" t="n">
        <v>32171.54</v>
      </c>
      <c r="AM35" s="20" t="n">
        <v>32339.7</v>
      </c>
      <c r="AN35" s="20" t="n">
        <v>32207.21</v>
      </c>
      <c r="AO35" s="20" t="n">
        <v>34133.24</v>
      </c>
      <c r="AP35" s="20" t="n">
        <v>32209.54</v>
      </c>
      <c r="AQ35" s="20" t="n">
        <v>32170.29</v>
      </c>
      <c r="AR35" s="20" t="n">
        <v>32385.91</v>
      </c>
      <c r="AS35" s="20" t="n">
        <v>32179.51</v>
      </c>
      <c r="AT35" s="20" t="n">
        <v>32132.91</v>
      </c>
      <c r="AU35" s="20" t="n">
        <v>32117.34</v>
      </c>
      <c r="AV35" s="20" t="n">
        <v>32117.69</v>
      </c>
      <c r="AW35" s="20" t="n">
        <v>32132.37</v>
      </c>
      <c r="AX35" s="20" t="n">
        <v>32171.54</v>
      </c>
      <c r="AY35" s="20" t="n">
        <v>32339.7</v>
      </c>
    </row>
    <row r="36">
      <c r="B36" s="33" t="inlineStr">
        <is>
          <t xml:space="preserve">  602004 Payroll Taxes</t>
        </is>
      </c>
      <c r="D36" s="19" t="n">
        <v>4485.5</v>
      </c>
      <c r="E36" s="19" t="n">
        <v>3456.78</v>
      </c>
      <c r="F36" s="19" t="n">
        <v>3436.32</v>
      </c>
      <c r="G36" s="19" t="n">
        <v>2833.52</v>
      </c>
      <c r="H36" s="19" t="n">
        <v>3415.37</v>
      </c>
      <c r="I36" s="19" t="n">
        <v>3375.32</v>
      </c>
      <c r="J36" s="19" t="n">
        <v>3803.23</v>
      </c>
      <c r="K36" s="19" t="n">
        <v>3476.16</v>
      </c>
      <c r="L36" s="19" t="n">
        <v>5147.97</v>
      </c>
      <c r="M36" s="19" t="n">
        <v>3575.57</v>
      </c>
      <c r="N36" s="19" t="n">
        <v>3408.19</v>
      </c>
      <c r="O36" s="19" t="n">
        <v>2232.48</v>
      </c>
      <c r="P36" s="19" t="n">
        <v>4835.4</v>
      </c>
      <c r="Q36" s="19" t="n">
        <v>2642.34</v>
      </c>
      <c r="R36" s="19" t="n">
        <v>2753.25</v>
      </c>
      <c r="S36" s="19" t="n">
        <v>2243.53</v>
      </c>
      <c r="T36" s="83" t="n">
        <v>2224.47</v>
      </c>
      <c r="U36" s="83" t="n">
        <v>2505.18</v>
      </c>
      <c r="V36" s="83" t="n">
        <v>2270.31</v>
      </c>
      <c r="W36" s="20" t="n">
        <v>2988.11</v>
      </c>
      <c r="X36" s="20" t="n">
        <v>2988.16</v>
      </c>
      <c r="Y36" s="20" t="n">
        <v>3584.76</v>
      </c>
      <c r="Z36" s="20" t="n">
        <v>4065.77</v>
      </c>
      <c r="AA36" s="20" t="n">
        <v>4790.08</v>
      </c>
      <c r="AB36" s="20" t="n">
        <v>4606.3</v>
      </c>
      <c r="AC36" s="20" t="n">
        <v>4881.77</v>
      </c>
      <c r="AD36" s="20" t="n">
        <v>4606.64</v>
      </c>
      <c r="AE36" s="20" t="n">
        <v>4601.02</v>
      </c>
      <c r="AF36" s="20" t="n">
        <v>4631.86</v>
      </c>
      <c r="AG36" s="20" t="n">
        <v>4602.34</v>
      </c>
      <c r="AH36" s="20" t="n">
        <v>4595.68</v>
      </c>
      <c r="AI36" s="20" t="n">
        <v>4593.45</v>
      </c>
      <c r="AJ36" s="20" t="n">
        <v>4593.5</v>
      </c>
      <c r="AK36" s="20" t="n">
        <v>4595.6</v>
      </c>
      <c r="AL36" s="20" t="n">
        <v>4601.2</v>
      </c>
      <c r="AM36" s="20" t="n">
        <v>4625.25</v>
      </c>
      <c r="AN36" s="20" t="n">
        <v>4606.3</v>
      </c>
      <c r="AO36" s="20" t="n">
        <v>4881.77</v>
      </c>
      <c r="AP36" s="20" t="n">
        <v>4606.64</v>
      </c>
      <c r="AQ36" s="20" t="n">
        <v>4601.02</v>
      </c>
      <c r="AR36" s="20" t="n">
        <v>4631.86</v>
      </c>
      <c r="AS36" s="20" t="n">
        <v>4602.34</v>
      </c>
      <c r="AT36" s="20" t="n">
        <v>4595.68</v>
      </c>
      <c r="AU36" s="20" t="n">
        <v>4593.45</v>
      </c>
      <c r="AV36" s="20" t="n">
        <v>4593.5</v>
      </c>
      <c r="AW36" s="20" t="n">
        <v>4595.6</v>
      </c>
      <c r="AX36" s="20" t="n">
        <v>4601.2</v>
      </c>
      <c r="AY36" s="20" t="n">
        <v>4625.25</v>
      </c>
    </row>
    <row r="37">
      <c r="B37" s="33" t="inlineStr">
        <is>
          <t>602005 Employee Benefits (incl Workers Comp)</t>
        </is>
      </c>
      <c r="D37" s="19" t="n">
        <v>368.06</v>
      </c>
      <c r="E37" s="19" t="n">
        <v>282.18</v>
      </c>
      <c r="F37" s="19" t="n">
        <v>733.5</v>
      </c>
      <c r="G37" s="19" t="n">
        <v>-832.55</v>
      </c>
      <c r="H37" s="19" t="n">
        <v>-875.87</v>
      </c>
      <c r="I37" s="19" t="n">
        <v>-864.4</v>
      </c>
      <c r="J37" s="19" t="n">
        <v>1154.2</v>
      </c>
      <c r="K37" s="19" t="n">
        <v>-545.95</v>
      </c>
      <c r="L37" s="19" t="n">
        <v>-359.31</v>
      </c>
      <c r="M37" s="19" t="n">
        <v>442.46</v>
      </c>
      <c r="N37" s="19" t="n">
        <v>350.46</v>
      </c>
      <c r="O37" s="19" t="n">
        <v>1027.56</v>
      </c>
      <c r="P37" s="19" t="n">
        <v>80</v>
      </c>
      <c r="Q37" s="19" t="n">
        <v>206</v>
      </c>
      <c r="R37" s="19" t="n">
        <v>0</v>
      </c>
      <c r="S37" s="19" t="n">
        <v>287.84</v>
      </c>
      <c r="T37" s="83" t="n">
        <v>80</v>
      </c>
      <c r="U37" s="83" t="n">
        <v>198.05</v>
      </c>
      <c r="V37" s="83" t="n">
        <v>0</v>
      </c>
      <c r="W37" s="20" t="n">
        <v>201.29</v>
      </c>
      <c r="X37" s="20" t="n">
        <v>201.29</v>
      </c>
      <c r="Y37" s="20" t="n">
        <v>241.48</v>
      </c>
      <c r="Z37" s="20" t="n">
        <v>273.89</v>
      </c>
      <c r="AA37" s="20" t="n">
        <v>322.68</v>
      </c>
      <c r="AB37" s="20" t="n">
        <v>310.3</v>
      </c>
      <c r="AC37" s="20" t="n">
        <v>328.85</v>
      </c>
      <c r="AD37" s="20" t="n">
        <v>310.32</v>
      </c>
      <c r="AE37" s="20" t="n">
        <v>309.94</v>
      </c>
      <c r="AF37" s="20" t="n">
        <v>312.02</v>
      </c>
      <c r="AG37" s="20" t="n">
        <v>310.03</v>
      </c>
      <c r="AH37" s="20" t="n">
        <v>309.58</v>
      </c>
      <c r="AI37" s="20" t="n">
        <v>309.43</v>
      </c>
      <c r="AJ37" s="20" t="n">
        <v>309.44</v>
      </c>
      <c r="AK37" s="20" t="n">
        <v>309.58</v>
      </c>
      <c r="AL37" s="20" t="n">
        <v>309.95</v>
      </c>
      <c r="AM37" s="20" t="n">
        <v>311.57</v>
      </c>
      <c r="AN37" s="20" t="n">
        <v>310.3</v>
      </c>
      <c r="AO37" s="20" t="n">
        <v>328.85</v>
      </c>
      <c r="AP37" s="20" t="n">
        <v>310.32</v>
      </c>
      <c r="AQ37" s="20" t="n">
        <v>309.94</v>
      </c>
      <c r="AR37" s="20" t="n">
        <v>312.02</v>
      </c>
      <c r="AS37" s="20" t="n">
        <v>310.03</v>
      </c>
      <c r="AT37" s="20" t="n">
        <v>309.58</v>
      </c>
      <c r="AU37" s="20" t="n">
        <v>309.43</v>
      </c>
      <c r="AV37" s="20" t="n">
        <v>309.44</v>
      </c>
      <c r="AW37" s="20" t="n">
        <v>309.58</v>
      </c>
      <c r="AX37" s="20" t="n">
        <v>309.95</v>
      </c>
      <c r="AY37" s="20" t="n">
        <v>311.57</v>
      </c>
    </row>
    <row r="38">
      <c r="B38" s="33" t="inlineStr">
        <is>
          <t xml:space="preserve">  602010 Payroll Processing Fees</t>
        </is>
      </c>
      <c r="D38" s="19" t="n">
        <v>1024.36</v>
      </c>
      <c r="E38" s="19" t="n">
        <v>529.7</v>
      </c>
      <c r="F38" s="19" t="n">
        <v>522.12</v>
      </c>
      <c r="G38" s="19" t="n">
        <v>529.7</v>
      </c>
      <c r="H38" s="19" t="n">
        <v>522.12</v>
      </c>
      <c r="I38" s="19" t="n">
        <v>541.05</v>
      </c>
      <c r="J38" s="19" t="n">
        <v>537.27</v>
      </c>
      <c r="K38" s="19" t="n">
        <v>802.11</v>
      </c>
      <c r="L38" s="19" t="n">
        <v>548.63</v>
      </c>
      <c r="M38" s="19" t="n">
        <v>548.63</v>
      </c>
      <c r="N38" s="19" t="n">
        <v>560</v>
      </c>
      <c r="O38" s="19" t="n">
        <v>771.55</v>
      </c>
      <c r="P38" s="19" t="n">
        <v>818.09</v>
      </c>
      <c r="Q38" s="19" t="n">
        <v>1030.17</v>
      </c>
      <c r="R38" s="19" t="n">
        <v>1515.78</v>
      </c>
      <c r="S38" s="19" t="n">
        <v>997.83</v>
      </c>
      <c r="T38" s="83" t="n">
        <v>1015.54</v>
      </c>
      <c r="U38" s="83" t="n">
        <v>1309.37</v>
      </c>
      <c r="V38" s="83" t="n">
        <v>1178.8</v>
      </c>
      <c r="W38" s="20" t="n">
        <v>1044.83</v>
      </c>
      <c r="X38" s="20" t="n">
        <v>1044.85</v>
      </c>
      <c r="Y38" s="20" t="n">
        <v>1253.45</v>
      </c>
      <c r="Z38" s="20" t="n">
        <v>1421.65</v>
      </c>
      <c r="AA38" s="20" t="n">
        <v>1674.91</v>
      </c>
      <c r="AB38" s="20" t="n">
        <v>1610.65</v>
      </c>
      <c r="AC38" s="20" t="n">
        <v>1706.97</v>
      </c>
      <c r="AD38" s="20" t="n">
        <v>1610.77</v>
      </c>
      <c r="AE38" s="20" t="n">
        <v>1608.8</v>
      </c>
      <c r="AF38" s="20" t="n">
        <v>1619.59</v>
      </c>
      <c r="AG38" s="20" t="n">
        <v>1609.27</v>
      </c>
      <c r="AH38" s="20" t="n">
        <v>1606.94</v>
      </c>
      <c r="AI38" s="20" t="n">
        <v>1606.16</v>
      </c>
      <c r="AJ38" s="20" t="n">
        <v>1606.17</v>
      </c>
      <c r="AK38" s="20" t="n">
        <v>1606.91</v>
      </c>
      <c r="AL38" s="20" t="n">
        <v>1608.87</v>
      </c>
      <c r="AM38" s="20" t="n">
        <v>1617.28</v>
      </c>
      <c r="AN38" s="20" t="n">
        <v>1610.65</v>
      </c>
      <c r="AO38" s="20" t="n">
        <v>1706.97</v>
      </c>
      <c r="AP38" s="20" t="n">
        <v>1610.77</v>
      </c>
      <c r="AQ38" s="20" t="n">
        <v>1608.8</v>
      </c>
      <c r="AR38" s="20" t="n">
        <v>1619.59</v>
      </c>
      <c r="AS38" s="20" t="n">
        <v>1609.27</v>
      </c>
      <c r="AT38" s="20" t="n">
        <v>1606.94</v>
      </c>
      <c r="AU38" s="20" t="n">
        <v>1606.16</v>
      </c>
      <c r="AV38" s="20" t="n">
        <v>1606.17</v>
      </c>
      <c r="AW38" s="20" t="n">
        <v>1606.91</v>
      </c>
      <c r="AX38" s="20" t="n">
        <v>1608.87</v>
      </c>
      <c r="AY38" s="20" t="n">
        <v>1617.28</v>
      </c>
    </row>
    <row r="39">
      <c r="B39" s="32" t="inlineStr">
        <is>
          <t>Total Payroll</t>
        </is>
      </c>
      <c r="C39" s="34" t="n"/>
      <c r="D39" s="35">
        <f>SUM(D35:D38)</f>
        <v/>
      </c>
      <c r="E39" s="35">
        <f>SUM(E35:E38)</f>
        <v/>
      </c>
      <c r="F39" s="35">
        <f>SUM(F35:F38)</f>
        <v/>
      </c>
      <c r="G39" s="35">
        <f>SUM(G35:G38)</f>
        <v/>
      </c>
      <c r="H39" s="35">
        <f>SUM(H35:H38)</f>
        <v/>
      </c>
      <c r="I39" s="35">
        <f>SUM(I35:I38)</f>
        <v/>
      </c>
      <c r="J39" s="35">
        <f>SUM(J35:J38)</f>
        <v/>
      </c>
      <c r="K39" s="35">
        <f>SUM(K35:K38)</f>
        <v/>
      </c>
      <c r="L39" s="35">
        <f>SUM(L35:L38)</f>
        <v/>
      </c>
      <c r="M39" s="35">
        <f>SUM(M35:M38)</f>
        <v/>
      </c>
      <c r="N39" s="35">
        <f>SUM(N35:N38)</f>
        <v/>
      </c>
      <c r="O39" s="35">
        <f>SUM(O35:O38)</f>
        <v/>
      </c>
      <c r="P39" s="35">
        <f>P35+P36+P37+P38</f>
        <v/>
      </c>
      <c r="Q39" s="35">
        <f>Q35+Q36+Q37+Q38</f>
        <v/>
      </c>
      <c r="R39" s="35">
        <f>R35+R36+R37+R38</f>
        <v/>
      </c>
      <c r="S39" s="35">
        <f>S35+S36+S37+S38</f>
        <v/>
      </c>
      <c r="T39" s="84">
        <f>T35+T36+T37+T38</f>
        <v/>
      </c>
      <c r="U39" s="84">
        <f>U35+U36+U37+U38</f>
        <v/>
      </c>
      <c r="V39" s="84">
        <f>V35+V36+V37+V38</f>
        <v/>
      </c>
      <c r="W39" s="17">
        <f>W35+W36+W37+W38</f>
        <v/>
      </c>
      <c r="X39" s="17">
        <f>X35+X36+X37+X38</f>
        <v/>
      </c>
      <c r="Y39" s="17">
        <f>Y35+Y36+Y37+Y38</f>
        <v/>
      </c>
      <c r="Z39" s="17">
        <f>Z35+Z36+Z37+Z38</f>
        <v/>
      </c>
      <c r="AA39" s="17">
        <f>AA35+AA36+AA37+AA38</f>
        <v/>
      </c>
      <c r="AB39" s="17">
        <f>AB35+AB36+AB37+AB38</f>
        <v/>
      </c>
      <c r="AC39" s="17">
        <f>AC35+AC36+AC37+AC38</f>
        <v/>
      </c>
      <c r="AD39" s="17">
        <f>AD35+AD36+AD37+AD38</f>
        <v/>
      </c>
      <c r="AE39" s="17">
        <f>AE35+AE36+AE37+AE38</f>
        <v/>
      </c>
      <c r="AF39" s="17">
        <f>AF35+AF36+AF37+AF38</f>
        <v/>
      </c>
      <c r="AG39" s="17">
        <f>AG35+AG36+AG37+AG38</f>
        <v/>
      </c>
      <c r="AH39" s="17">
        <f>AH35+AH36+AH37+AH38</f>
        <v/>
      </c>
      <c r="AI39" s="17">
        <f>AI35+AI36+AI37+AI38</f>
        <v/>
      </c>
      <c r="AJ39" s="17">
        <f>AJ35+AJ36+AJ37+AJ38</f>
        <v/>
      </c>
      <c r="AK39" s="17">
        <f>AK35+AK36+AK37+AK38</f>
        <v/>
      </c>
      <c r="AL39" s="17">
        <f>AL35+AL36+AL37+AL38</f>
        <v/>
      </c>
      <c r="AM39" s="17">
        <f>AM35+AM36+AM37+AM38</f>
        <v/>
      </c>
      <c r="AN39" s="17">
        <f>AN35+AN36+AN37+AN38</f>
        <v/>
      </c>
      <c r="AO39" s="17">
        <f>AO35+AO36+AO37+AO38</f>
        <v/>
      </c>
      <c r="AP39" s="17">
        <f>AP35+AP36+AP37+AP38</f>
        <v/>
      </c>
      <c r="AQ39" s="17">
        <f>AQ35+AQ36+AQ37+AQ38</f>
        <v/>
      </c>
      <c r="AR39" s="17">
        <f>AR35+AR36+AR37+AR38</f>
        <v/>
      </c>
      <c r="AS39" s="17">
        <f>AS35+AS36+AS37+AS38</f>
        <v/>
      </c>
      <c r="AT39" s="17">
        <f>AT35+AT36+AT37+AT38</f>
        <v/>
      </c>
      <c r="AU39" s="17">
        <f>AU35+AU36+AU37+AU38</f>
        <v/>
      </c>
      <c r="AV39" s="17">
        <f>AV35+AV36+AV37+AV38</f>
        <v/>
      </c>
      <c r="AW39" s="17">
        <f>AW35+AW36+AW37+AW38</f>
        <v/>
      </c>
      <c r="AX39" s="17">
        <f>AX35+AX36+AX37+AX38</f>
        <v/>
      </c>
      <c r="AY39" s="17">
        <f>AY35+AY36+AY37+AY38</f>
        <v/>
      </c>
    </row>
    <row r="40">
      <c r="B40" s="33" t="inlineStr">
        <is>
          <t xml:space="preserve">  603000 Software &amp; Web Services</t>
        </is>
      </c>
      <c r="D40" s="19" t="n">
        <v>773.87</v>
      </c>
      <c r="E40" s="19" t="n">
        <v>803.91</v>
      </c>
      <c r="F40" s="19" t="n">
        <v>593.3</v>
      </c>
      <c r="G40" s="19" t="n">
        <v>1237.3</v>
      </c>
      <c r="H40" s="19" t="n">
        <v>1228</v>
      </c>
      <c r="I40" s="19" t="n">
        <v>430.5</v>
      </c>
      <c r="J40" s="19" t="n">
        <v>854.87</v>
      </c>
      <c r="K40" s="19" t="n">
        <v>1719.77</v>
      </c>
      <c r="L40" s="19" t="n">
        <v>625.99</v>
      </c>
      <c r="M40" s="19" t="n">
        <v>735.08</v>
      </c>
      <c r="N40" s="19" t="n">
        <v>735.08</v>
      </c>
      <c r="O40" s="19" t="n">
        <v>735.08</v>
      </c>
      <c r="P40" s="19" t="n">
        <v>792.58</v>
      </c>
      <c r="Q40" s="19" t="n">
        <v>1366.94</v>
      </c>
      <c r="R40" s="19" t="n">
        <v>755.88</v>
      </c>
      <c r="S40" s="19" t="n">
        <v>1563.1</v>
      </c>
      <c r="T40" s="83" t="n">
        <v>761.26</v>
      </c>
      <c r="U40" s="83" t="n">
        <v>770.66</v>
      </c>
      <c r="V40" s="83" t="n">
        <v>861.25</v>
      </c>
      <c r="W40" s="20" t="n">
        <v>759.13</v>
      </c>
      <c r="X40" s="20" t="n">
        <v>759.13</v>
      </c>
      <c r="Y40" s="20" t="n">
        <v>759.13</v>
      </c>
      <c r="Z40" s="20" t="n">
        <v>759.13</v>
      </c>
      <c r="AA40" s="20" t="n">
        <v>759.13</v>
      </c>
      <c r="AB40" s="20" t="n">
        <v>759.13</v>
      </c>
      <c r="AC40" s="20" t="n">
        <v>759.13</v>
      </c>
      <c r="AD40" s="20" t="n">
        <v>759.13</v>
      </c>
      <c r="AE40" s="20" t="n">
        <v>759.13</v>
      </c>
      <c r="AF40" s="20" t="n">
        <v>759.13</v>
      </c>
      <c r="AG40" s="20" t="n">
        <v>759.13</v>
      </c>
      <c r="AH40" s="20" t="n">
        <v>759.13</v>
      </c>
      <c r="AI40" s="20" t="n">
        <v>759.13</v>
      </c>
      <c r="AJ40" s="20" t="n">
        <v>759.13</v>
      </c>
      <c r="AK40" s="20" t="n">
        <v>759.13</v>
      </c>
      <c r="AL40" s="20" t="n">
        <v>759.13</v>
      </c>
      <c r="AM40" s="20" t="n">
        <v>759.13</v>
      </c>
      <c r="AN40" s="20" t="n">
        <v>759.13</v>
      </c>
      <c r="AO40" s="20" t="n">
        <v>759.13</v>
      </c>
      <c r="AP40" s="20" t="n">
        <v>759.13</v>
      </c>
      <c r="AQ40" s="20" t="n">
        <v>759.13</v>
      </c>
      <c r="AR40" s="20" t="n">
        <v>759.13</v>
      </c>
      <c r="AS40" s="20" t="n">
        <v>759.13</v>
      </c>
      <c r="AT40" s="20" t="n">
        <v>759.13</v>
      </c>
      <c r="AU40" s="20" t="n">
        <v>759.13</v>
      </c>
      <c r="AV40" s="20" t="n">
        <v>759.13</v>
      </c>
      <c r="AW40" s="20" t="n">
        <v>759.13</v>
      </c>
      <c r="AX40" s="20" t="n">
        <v>759.13</v>
      </c>
      <c r="AY40" s="20" t="n">
        <v>759.13</v>
      </c>
    </row>
    <row r="41">
      <c r="B41" s="33" t="inlineStr">
        <is>
          <t xml:space="preserve">  608000 Insurance</t>
        </is>
      </c>
      <c r="D41" s="19" t="n">
        <v>204.93</v>
      </c>
      <c r="E41" s="19" t="n">
        <v>204.93</v>
      </c>
      <c r="F41" s="19" t="n">
        <v>204.93</v>
      </c>
      <c r="G41" s="19" t="n">
        <v>204.93</v>
      </c>
      <c r="H41" s="19" t="n">
        <v>204.93</v>
      </c>
      <c r="I41" s="19" t="n">
        <v>204.93</v>
      </c>
      <c r="J41" s="19" t="n">
        <v>204.93</v>
      </c>
      <c r="K41" s="19" t="n">
        <v>204.93</v>
      </c>
      <c r="L41" s="19" t="n">
        <v>204.93</v>
      </c>
      <c r="M41" s="19" t="n">
        <v>356.16</v>
      </c>
      <c r="N41" s="19" t="n">
        <v>356.16</v>
      </c>
      <c r="O41" s="19" t="n">
        <v>356.16</v>
      </c>
      <c r="P41" s="19" t="n">
        <v>67.5</v>
      </c>
      <c r="Q41" s="19" t="n">
        <v>67.5</v>
      </c>
      <c r="R41" s="19" t="n">
        <v>164.59</v>
      </c>
      <c r="S41" s="19" t="n">
        <v>164.59</v>
      </c>
      <c r="T41" s="83" t="n">
        <v>294.83</v>
      </c>
      <c r="U41" s="83" t="n">
        <v>290.82</v>
      </c>
      <c r="V41" s="83" t="n">
        <v>290.82</v>
      </c>
      <c r="W41" s="20" t="n">
        <v>95.59999999999999</v>
      </c>
      <c r="X41" s="20" t="n">
        <v>95.59999999999999</v>
      </c>
      <c r="Y41" s="20" t="n">
        <v>95.59999999999999</v>
      </c>
      <c r="Z41" s="20" t="n">
        <v>95.59999999999999</v>
      </c>
      <c r="AA41" s="20" t="n">
        <v>95.59999999999999</v>
      </c>
      <c r="AB41" s="20" t="n">
        <v>95.59999999999999</v>
      </c>
      <c r="AC41" s="20" t="n">
        <v>95.59999999999999</v>
      </c>
      <c r="AD41" s="20" t="n">
        <v>95.59999999999999</v>
      </c>
      <c r="AE41" s="20" t="n">
        <v>95.59999999999999</v>
      </c>
      <c r="AF41" s="20" t="n">
        <v>95.59999999999999</v>
      </c>
      <c r="AG41" s="20" t="n">
        <v>95.59999999999999</v>
      </c>
      <c r="AH41" s="20" t="n">
        <v>95.59999999999999</v>
      </c>
      <c r="AI41" s="20" t="n">
        <v>95.59999999999999</v>
      </c>
      <c r="AJ41" s="20" t="n">
        <v>95.59999999999999</v>
      </c>
      <c r="AK41" s="20" t="n">
        <v>95.59999999999999</v>
      </c>
      <c r="AL41" s="20" t="n">
        <v>95.59999999999999</v>
      </c>
      <c r="AM41" s="20" t="n">
        <v>95.59999999999999</v>
      </c>
      <c r="AN41" s="20" t="n">
        <v>95.59999999999999</v>
      </c>
      <c r="AO41" s="20" t="n">
        <v>95.59999999999999</v>
      </c>
      <c r="AP41" s="20" t="n">
        <v>95.59999999999999</v>
      </c>
      <c r="AQ41" s="20" t="n">
        <v>95.59999999999999</v>
      </c>
      <c r="AR41" s="20" t="n">
        <v>95.59999999999999</v>
      </c>
      <c r="AS41" s="20" t="n">
        <v>95.59999999999999</v>
      </c>
      <c r="AT41" s="20" t="n">
        <v>95.59999999999999</v>
      </c>
      <c r="AU41" s="20" t="n">
        <v>95.59999999999999</v>
      </c>
      <c r="AV41" s="20" t="n">
        <v>95.59999999999999</v>
      </c>
      <c r="AW41" s="20" t="n">
        <v>95.59999999999999</v>
      </c>
      <c r="AX41" s="20" t="n">
        <v>95.59999999999999</v>
      </c>
      <c r="AY41" s="20" t="n">
        <v>95.59999999999999</v>
      </c>
    </row>
    <row r="42">
      <c r="B42" s="33" t="inlineStr">
        <is>
          <t>610000 Office Supplies &amp; GE (incl Licenses, Furniture, Shipping, Bank Fees, Start-Up Costs)</t>
        </is>
      </c>
      <c r="D42" s="19" t="n">
        <v>891.13</v>
      </c>
      <c r="E42" s="19" t="n">
        <v>1058.37</v>
      </c>
      <c r="F42" s="19" t="n">
        <v>874.1900000000001</v>
      </c>
      <c r="G42" s="19" t="n">
        <v>824.3099999999999</v>
      </c>
      <c r="H42" s="19" t="n">
        <v>535.37</v>
      </c>
      <c r="I42" s="19" t="n">
        <v>452.69</v>
      </c>
      <c r="J42" s="19" t="n">
        <v>307.3</v>
      </c>
      <c r="K42" s="19" t="n">
        <v>1190.97</v>
      </c>
      <c r="L42" s="19" t="n">
        <v>570.59</v>
      </c>
      <c r="M42" s="19" t="n">
        <v>642.71</v>
      </c>
      <c r="N42" s="19" t="n">
        <v>432.09</v>
      </c>
      <c r="O42" s="19" t="n">
        <v>1249.08</v>
      </c>
      <c r="P42" s="19" t="n">
        <v>532.15</v>
      </c>
      <c r="Q42" s="19" t="n">
        <v>864.35</v>
      </c>
      <c r="R42" s="19" t="n">
        <v>707.47</v>
      </c>
      <c r="S42" s="19" t="n">
        <v>1234.71</v>
      </c>
      <c r="T42" s="83" t="n">
        <v>902.6900000000001</v>
      </c>
      <c r="U42" s="83" t="n">
        <v>399.31</v>
      </c>
      <c r="V42" s="83" t="n">
        <v>373.43</v>
      </c>
      <c r="W42" s="20" t="n">
        <v>539.63</v>
      </c>
      <c r="X42" s="20" t="n">
        <v>539.63</v>
      </c>
      <c r="Y42" s="20" t="n">
        <v>539.63</v>
      </c>
      <c r="Z42" s="20" t="n">
        <v>539.63</v>
      </c>
      <c r="AA42" s="20" t="n">
        <v>539.63</v>
      </c>
      <c r="AB42" s="20" t="n">
        <v>539.63</v>
      </c>
      <c r="AC42" s="20" t="n">
        <v>539.63</v>
      </c>
      <c r="AD42" s="20" t="n">
        <v>539.63</v>
      </c>
      <c r="AE42" s="20" t="n">
        <v>539.63</v>
      </c>
      <c r="AF42" s="20" t="n">
        <v>539.63</v>
      </c>
      <c r="AG42" s="20" t="n">
        <v>539.63</v>
      </c>
      <c r="AH42" s="20" t="n">
        <v>539.63</v>
      </c>
      <c r="AI42" s="20" t="n">
        <v>539.63</v>
      </c>
      <c r="AJ42" s="20" t="n">
        <v>539.63</v>
      </c>
      <c r="AK42" s="20" t="n">
        <v>539.63</v>
      </c>
      <c r="AL42" s="20" t="n">
        <v>539.63</v>
      </c>
      <c r="AM42" s="20" t="n">
        <v>539.63</v>
      </c>
      <c r="AN42" s="20" t="n">
        <v>539.63</v>
      </c>
      <c r="AO42" s="20" t="n">
        <v>539.63</v>
      </c>
      <c r="AP42" s="20" t="n">
        <v>539.63</v>
      </c>
      <c r="AQ42" s="20" t="n">
        <v>539.63</v>
      </c>
      <c r="AR42" s="20" t="n">
        <v>539.63</v>
      </c>
      <c r="AS42" s="20" t="n">
        <v>539.63</v>
      </c>
      <c r="AT42" s="20" t="n">
        <v>539.63</v>
      </c>
      <c r="AU42" s="20" t="n">
        <v>539.63</v>
      </c>
      <c r="AV42" s="20" t="n">
        <v>539.63</v>
      </c>
      <c r="AW42" s="20" t="n">
        <v>539.63</v>
      </c>
      <c r="AX42" s="20" t="n">
        <v>539.63</v>
      </c>
      <c r="AY42" s="20" t="n">
        <v>539.63</v>
      </c>
    </row>
    <row r="43">
      <c r="B43" s="32" t="inlineStr">
        <is>
          <t>Total Software &amp; Admin</t>
        </is>
      </c>
      <c r="C43" s="34" t="n"/>
      <c r="D43" s="35">
        <f>D40+D41+D42</f>
        <v/>
      </c>
      <c r="E43" s="35">
        <f>E40+E41+E42</f>
        <v/>
      </c>
      <c r="F43" s="35">
        <f>F40+F41+F42</f>
        <v/>
      </c>
      <c r="G43" s="35">
        <f>G40+G41+G42</f>
        <v/>
      </c>
      <c r="H43" s="35">
        <f>H40+H41+H42</f>
        <v/>
      </c>
      <c r="I43" s="35">
        <f>I40+I41+I42</f>
        <v/>
      </c>
      <c r="J43" s="35">
        <f>J40+J41+J42</f>
        <v/>
      </c>
      <c r="K43" s="35">
        <f>K40+K41+K42</f>
        <v/>
      </c>
      <c r="L43" s="35">
        <f>L40+L41+L42</f>
        <v/>
      </c>
      <c r="M43" s="35">
        <f>M40+M41+M42</f>
        <v/>
      </c>
      <c r="N43" s="35">
        <f>N40+N41+N42</f>
        <v/>
      </c>
      <c r="O43" s="35">
        <f>O40+O41+O42</f>
        <v/>
      </c>
      <c r="P43" s="35">
        <f>P40+P41+P42</f>
        <v/>
      </c>
      <c r="Q43" s="35">
        <f>Q40+Q41+Q42</f>
        <v/>
      </c>
      <c r="R43" s="35">
        <f>R40+R41+R42</f>
        <v/>
      </c>
      <c r="S43" s="35">
        <f>S40+S41+S42</f>
        <v/>
      </c>
      <c r="T43" s="17">
        <f>T40+T41+T42</f>
        <v/>
      </c>
      <c r="U43" s="17">
        <f>U40+U41+U42</f>
        <v/>
      </c>
      <c r="V43" s="17">
        <f>V40+V41+V42</f>
        <v/>
      </c>
      <c r="W43" s="17">
        <f>W40+W41+W42</f>
        <v/>
      </c>
      <c r="X43" s="17">
        <f>X40+X41+X42</f>
        <v/>
      </c>
      <c r="Y43" s="17">
        <f>Y40+Y41+Y42</f>
        <v/>
      </c>
      <c r="Z43" s="17">
        <f>Z40+Z41+Z42</f>
        <v/>
      </c>
      <c r="AA43" s="17">
        <f>AA40+AA41+AA42</f>
        <v/>
      </c>
      <c r="AB43" s="17">
        <f>AB40+AB41+AB42</f>
        <v/>
      </c>
      <c r="AC43" s="17">
        <f>AC40+AC41+AC42</f>
        <v/>
      </c>
      <c r="AD43" s="17">
        <f>AD40+AD41+AD42</f>
        <v/>
      </c>
      <c r="AE43" s="17">
        <f>AE40+AE41+AE42</f>
        <v/>
      </c>
      <c r="AF43" s="17">
        <f>AF40+AF41+AF42</f>
        <v/>
      </c>
      <c r="AG43" s="17">
        <f>AG40+AG41+AG42</f>
        <v/>
      </c>
      <c r="AH43" s="17">
        <f>AH40+AH41+AH42</f>
        <v/>
      </c>
      <c r="AI43" s="17">
        <f>AI40+AI41+AI42</f>
        <v/>
      </c>
      <c r="AJ43" s="17">
        <f>AJ40+AJ41+AJ42</f>
        <v/>
      </c>
      <c r="AK43" s="17">
        <f>AK40+AK41+AK42</f>
        <v/>
      </c>
      <c r="AL43" s="17">
        <f>AL40+AL41+AL42</f>
        <v/>
      </c>
      <c r="AM43" s="17">
        <f>AM40+AM41+AM42</f>
        <v/>
      </c>
      <c r="AN43" s="17">
        <f>AN40+AN41+AN42</f>
        <v/>
      </c>
      <c r="AO43" s="17">
        <f>AO40+AO41+AO42</f>
        <v/>
      </c>
      <c r="AP43" s="17">
        <f>AP40+AP41+AP42</f>
        <v/>
      </c>
      <c r="AQ43" s="17">
        <f>AQ40+AQ41+AQ42</f>
        <v/>
      </c>
      <c r="AR43" s="17">
        <f>AR40+AR41+AR42</f>
        <v/>
      </c>
      <c r="AS43" s="17">
        <f>AS40+AS41+AS42</f>
        <v/>
      </c>
      <c r="AT43" s="17">
        <f>AT40+AT41+AT42</f>
        <v/>
      </c>
      <c r="AU43" s="17">
        <f>AU40+AU41+AU42</f>
        <v/>
      </c>
      <c r="AV43" s="17">
        <f>AV40+AV41+AV42</f>
        <v/>
      </c>
      <c r="AW43" s="17">
        <f>AW40+AW41+AW42</f>
        <v/>
      </c>
      <c r="AX43" s="17">
        <f>AX40+AX41+AX42</f>
        <v/>
      </c>
      <c r="AY43" s="17">
        <f>AY40+AY41+AY42</f>
        <v/>
      </c>
    </row>
    <row r="44">
      <c r="B44" s="33" t="inlineStr">
        <is>
          <t xml:space="preserve">  604100 Legal Fees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0</v>
      </c>
      <c r="O44" s="19" t="n">
        <v>0</v>
      </c>
      <c r="P44" s="19" t="n">
        <v>0</v>
      </c>
      <c r="Q44" s="19" t="n">
        <v>0</v>
      </c>
      <c r="R44" s="19" t="n">
        <v>0</v>
      </c>
      <c r="S44" s="19" t="n">
        <v>0</v>
      </c>
      <c r="T44" s="83" t="n">
        <v>0</v>
      </c>
      <c r="U44" s="83" t="n">
        <v>0</v>
      </c>
      <c r="V44" s="83" t="n">
        <v>0</v>
      </c>
      <c r="W44" s="20" t="n">
        <v>0</v>
      </c>
      <c r="X44" s="20" t="n">
        <v>0</v>
      </c>
      <c r="Y44" s="20" t="n">
        <v>0</v>
      </c>
      <c r="Z44" s="20" t="n">
        <v>0</v>
      </c>
      <c r="AA44" s="20" t="n">
        <v>0</v>
      </c>
      <c r="AB44" s="20" t="n">
        <v>0</v>
      </c>
      <c r="AC44" s="20" t="n">
        <v>0</v>
      </c>
      <c r="AD44" s="20" t="n">
        <v>0</v>
      </c>
      <c r="AE44" s="20" t="n">
        <v>0</v>
      </c>
      <c r="AF44" s="20" t="n">
        <v>0</v>
      </c>
      <c r="AG44" s="20" t="n">
        <v>0</v>
      </c>
      <c r="AH44" s="20" t="n">
        <v>0</v>
      </c>
      <c r="AI44" s="20" t="n">
        <v>0</v>
      </c>
      <c r="AJ44" s="20" t="n">
        <v>0</v>
      </c>
      <c r="AK44" s="20" t="n">
        <v>0</v>
      </c>
      <c r="AL44" s="20" t="n">
        <v>0</v>
      </c>
      <c r="AM44" s="20" t="n">
        <v>0</v>
      </c>
      <c r="AN44" s="20" t="n">
        <v>0</v>
      </c>
      <c r="AO44" s="20" t="n">
        <v>0</v>
      </c>
      <c r="AP44" s="20" t="n">
        <v>0</v>
      </c>
      <c r="AQ44" s="20" t="n">
        <v>0</v>
      </c>
      <c r="AR44" s="20" t="n">
        <v>0</v>
      </c>
      <c r="AS44" s="20" t="n">
        <v>0</v>
      </c>
      <c r="AT44" s="20" t="n">
        <v>0</v>
      </c>
      <c r="AU44" s="20" t="n">
        <v>0</v>
      </c>
      <c r="AV44" s="20" t="n">
        <v>0</v>
      </c>
      <c r="AW44" s="20" t="n">
        <v>0</v>
      </c>
      <c r="AX44" s="20" t="n">
        <v>0</v>
      </c>
      <c r="AY44" s="20" t="n">
        <v>0</v>
      </c>
    </row>
    <row r="45">
      <c r="B45" s="33" t="inlineStr">
        <is>
          <t xml:space="preserve">  604200 Accounting</t>
        </is>
      </c>
      <c r="D45" s="19" t="n">
        <v>127.5</v>
      </c>
      <c r="E45" s="19" t="n">
        <v>2047</v>
      </c>
      <c r="F45" s="19" t="n">
        <v>135</v>
      </c>
      <c r="G45" s="19" t="n">
        <v>22.5</v>
      </c>
      <c r="H45" s="19" t="n">
        <v>1272.5</v>
      </c>
      <c r="I45" s="19" t="n">
        <v>0</v>
      </c>
      <c r="J45" s="19" t="n">
        <v>0</v>
      </c>
      <c r="K45" s="19" t="n">
        <v>906.25</v>
      </c>
      <c r="L45" s="19" t="n">
        <v>0</v>
      </c>
      <c r="M45" s="19" t="n">
        <v>0</v>
      </c>
      <c r="N45" s="19" t="n">
        <v>154.54</v>
      </c>
      <c r="O45" s="19" t="n">
        <v>101.59</v>
      </c>
      <c r="P45" s="19" t="n">
        <v>0</v>
      </c>
      <c r="Q45" s="19" t="n">
        <v>483.62</v>
      </c>
      <c r="R45" s="19" t="n">
        <v>0</v>
      </c>
      <c r="S45" s="19" t="n">
        <v>0</v>
      </c>
      <c r="T45" s="83" t="n">
        <v>1116.82</v>
      </c>
      <c r="U45" s="83" t="n">
        <v>0</v>
      </c>
      <c r="V45" s="83" t="n">
        <v>0</v>
      </c>
      <c r="W45" s="20" t="n">
        <v>97.95</v>
      </c>
      <c r="X45" s="20" t="n">
        <v>97.95</v>
      </c>
      <c r="Y45" s="20" t="n">
        <v>97.95</v>
      </c>
      <c r="Z45" s="20" t="n">
        <v>97.95</v>
      </c>
      <c r="AA45" s="20" t="n">
        <v>97.95</v>
      </c>
      <c r="AB45" s="20" t="n">
        <v>97.95</v>
      </c>
      <c r="AC45" s="20" t="n">
        <v>97.95</v>
      </c>
      <c r="AD45" s="20" t="n">
        <v>97.95</v>
      </c>
      <c r="AE45" s="20" t="n">
        <v>97.95</v>
      </c>
      <c r="AF45" s="20" t="n">
        <v>97.95</v>
      </c>
      <c r="AG45" s="20" t="n">
        <v>97.95</v>
      </c>
      <c r="AH45" s="20" t="n">
        <v>97.95</v>
      </c>
      <c r="AI45" s="20" t="n">
        <v>97.95</v>
      </c>
      <c r="AJ45" s="20" t="n">
        <v>97.95</v>
      </c>
      <c r="AK45" s="20" t="n">
        <v>97.95</v>
      </c>
      <c r="AL45" s="20" t="n">
        <v>97.95</v>
      </c>
      <c r="AM45" s="20" t="n">
        <v>97.95</v>
      </c>
      <c r="AN45" s="20" t="n">
        <v>97.95</v>
      </c>
      <c r="AO45" s="20" t="n">
        <v>97.95</v>
      </c>
      <c r="AP45" s="20" t="n">
        <v>97.95</v>
      </c>
      <c r="AQ45" s="20" t="n">
        <v>97.95</v>
      </c>
      <c r="AR45" s="20" t="n">
        <v>97.95</v>
      </c>
      <c r="AS45" s="20" t="n">
        <v>97.95</v>
      </c>
      <c r="AT45" s="20" t="n">
        <v>97.95</v>
      </c>
      <c r="AU45" s="20" t="n">
        <v>97.95</v>
      </c>
      <c r="AV45" s="20" t="n">
        <v>97.95</v>
      </c>
      <c r="AW45" s="20" t="n">
        <v>97.95</v>
      </c>
      <c r="AX45" s="20" t="n">
        <v>97.95</v>
      </c>
      <c r="AY45" s="20" t="n">
        <v>97.95</v>
      </c>
    </row>
    <row r="46">
      <c r="B46" s="33" t="inlineStr">
        <is>
          <t xml:space="preserve">  604300 Recruiting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0</v>
      </c>
      <c r="N46" s="19" t="n">
        <v>0</v>
      </c>
      <c r="O46" s="19" t="n">
        <v>0</v>
      </c>
      <c r="P46" s="19" t="n">
        <v>0</v>
      </c>
      <c r="Q46" s="19" t="n">
        <v>0</v>
      </c>
      <c r="R46" s="19" t="n">
        <v>0</v>
      </c>
      <c r="S46" s="19" t="n">
        <v>0</v>
      </c>
      <c r="T46" s="83" t="n">
        <v>0</v>
      </c>
      <c r="U46" s="83" t="n">
        <v>0</v>
      </c>
      <c r="V46" s="83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</row>
    <row r="47">
      <c r="B47" s="33" t="inlineStr">
        <is>
          <t xml:space="preserve">  604400 Other Professional Fees</t>
        </is>
      </c>
      <c r="D47" s="19" t="n">
        <v>0</v>
      </c>
      <c r="E47" s="19" t="n">
        <v>0</v>
      </c>
      <c r="F47" s="19" t="n">
        <v>0</v>
      </c>
      <c r="G47" s="19" t="n">
        <v>564</v>
      </c>
      <c r="H47" s="19" t="n">
        <v>0</v>
      </c>
      <c r="I47" s="19" t="n">
        <v>0</v>
      </c>
      <c r="J47" s="19" t="n">
        <v>479.1</v>
      </c>
      <c r="K47" s="19" t="n">
        <v>479.1</v>
      </c>
      <c r="L47" s="19" t="n">
        <v>479.1</v>
      </c>
      <c r="M47" s="19" t="n">
        <v>481</v>
      </c>
      <c r="N47" s="19" t="n">
        <v>481</v>
      </c>
      <c r="O47" s="19" t="n">
        <v>497.18</v>
      </c>
      <c r="P47" s="19" t="n">
        <v>516</v>
      </c>
      <c r="Q47" s="19" t="n">
        <v>516</v>
      </c>
      <c r="R47" s="19" t="n">
        <v>516</v>
      </c>
      <c r="S47" s="19" t="n">
        <v>516</v>
      </c>
      <c r="T47" s="83" t="n">
        <v>516</v>
      </c>
      <c r="U47" s="83" t="n">
        <v>516</v>
      </c>
      <c r="V47" s="83" t="n">
        <v>516</v>
      </c>
      <c r="W47" s="20" t="n">
        <v>418.05</v>
      </c>
      <c r="X47" s="20" t="n">
        <v>418.05</v>
      </c>
      <c r="Y47" s="20" t="n">
        <v>418.05</v>
      </c>
      <c r="Z47" s="20" t="n">
        <v>418.05</v>
      </c>
      <c r="AA47" s="20" t="n">
        <v>418.05</v>
      </c>
      <c r="AB47" s="20" t="n">
        <v>418.05</v>
      </c>
      <c r="AC47" s="20" t="n">
        <v>418.05</v>
      </c>
      <c r="AD47" s="20" t="n">
        <v>418.05</v>
      </c>
      <c r="AE47" s="20" t="n">
        <v>418.05</v>
      </c>
      <c r="AF47" s="20" t="n">
        <v>418.05</v>
      </c>
      <c r="AG47" s="20" t="n">
        <v>418.05</v>
      </c>
      <c r="AH47" s="20" t="n">
        <v>418.05</v>
      </c>
      <c r="AI47" s="20" t="n">
        <v>418.05</v>
      </c>
      <c r="AJ47" s="20" t="n">
        <v>418.05</v>
      </c>
      <c r="AK47" s="20" t="n">
        <v>418.05</v>
      </c>
      <c r="AL47" s="20" t="n">
        <v>418.05</v>
      </c>
      <c r="AM47" s="20" t="n">
        <v>418.05</v>
      </c>
      <c r="AN47" s="20" t="n">
        <v>418.05</v>
      </c>
      <c r="AO47" s="20" t="n">
        <v>418.05</v>
      </c>
      <c r="AP47" s="20" t="n">
        <v>418.05</v>
      </c>
      <c r="AQ47" s="20" t="n">
        <v>418.05</v>
      </c>
      <c r="AR47" s="20" t="n">
        <v>418.05</v>
      </c>
      <c r="AS47" s="20" t="n">
        <v>418.05</v>
      </c>
      <c r="AT47" s="20" t="n">
        <v>418.05</v>
      </c>
      <c r="AU47" s="20" t="n">
        <v>418.05</v>
      </c>
      <c r="AV47" s="20" t="n">
        <v>418.05</v>
      </c>
      <c r="AW47" s="20" t="n">
        <v>418.05</v>
      </c>
      <c r="AX47" s="20" t="n">
        <v>418.05</v>
      </c>
      <c r="AY47" s="20" t="n">
        <v>418.05</v>
      </c>
    </row>
    <row r="48">
      <c r="B48" s="32" t="inlineStr">
        <is>
          <t>Total Professional Fees</t>
        </is>
      </c>
      <c r="C48" s="34" t="n"/>
      <c r="D48" s="35">
        <f>SUM(D44:D47)</f>
        <v/>
      </c>
      <c r="E48" s="35">
        <f>SUM(E44:E47)</f>
        <v/>
      </c>
      <c r="F48" s="35">
        <f>SUM(F44:F47)</f>
        <v/>
      </c>
      <c r="G48" s="35">
        <f>SUM(G44:G47)</f>
        <v/>
      </c>
      <c r="H48" s="35">
        <f>SUM(H44:H47)</f>
        <v/>
      </c>
      <c r="I48" s="35">
        <f>SUM(I44:I47)</f>
        <v/>
      </c>
      <c r="J48" s="35">
        <f>SUM(J44:J47)</f>
        <v/>
      </c>
      <c r="K48" s="35">
        <f>SUM(K44:K47)</f>
        <v/>
      </c>
      <c r="L48" s="35">
        <f>SUM(L44:L47)</f>
        <v/>
      </c>
      <c r="M48" s="35">
        <f>SUM(M44:M47)</f>
        <v/>
      </c>
      <c r="N48" s="35">
        <f>SUM(N44:N47)</f>
        <v/>
      </c>
      <c r="O48" s="35">
        <f>SUM(O44:O47)</f>
        <v/>
      </c>
      <c r="P48" s="35">
        <f>P44+P45+P46+P47</f>
        <v/>
      </c>
      <c r="Q48" s="35">
        <f>Q44+Q45+Q46+Q47</f>
        <v/>
      </c>
      <c r="R48" s="35">
        <f>R44+R45+R46+R47</f>
        <v/>
      </c>
      <c r="S48" s="35">
        <f>S44+S45+S46+S47</f>
        <v/>
      </c>
      <c r="T48" s="84">
        <f>T44+T45+T46+T47</f>
        <v/>
      </c>
      <c r="U48" s="84">
        <f>U44+U45+U46+U47</f>
        <v/>
      </c>
      <c r="V48" s="84">
        <f>V44+V45+V46+V47</f>
        <v/>
      </c>
      <c r="W48" s="17">
        <f>W44+W45+W46+W47</f>
        <v/>
      </c>
      <c r="X48" s="17">
        <f>X44+X45+X46+X47</f>
        <v/>
      </c>
      <c r="Y48" s="17">
        <f>Y44+Y45+Y46+Y47</f>
        <v/>
      </c>
      <c r="Z48" s="17">
        <f>Z44+Z45+Z46+Z47</f>
        <v/>
      </c>
      <c r="AA48" s="17">
        <f>AA44+AA45+AA46+AA47</f>
        <v/>
      </c>
      <c r="AB48" s="17">
        <f>AB44+AB45+AB46+AB47</f>
        <v/>
      </c>
      <c r="AC48" s="17">
        <f>AC44+AC45+AC46+AC47</f>
        <v/>
      </c>
      <c r="AD48" s="17">
        <f>AD44+AD45+AD46+AD47</f>
        <v/>
      </c>
      <c r="AE48" s="17">
        <f>AE44+AE45+AE46+AE47</f>
        <v/>
      </c>
      <c r="AF48" s="17">
        <f>AF44+AF45+AF46+AF47</f>
        <v/>
      </c>
      <c r="AG48" s="17">
        <f>AG44+AG45+AG46+AG47</f>
        <v/>
      </c>
      <c r="AH48" s="17">
        <f>AH44+AH45+AH46+AH47</f>
        <v/>
      </c>
      <c r="AI48" s="17">
        <f>AI44+AI45+AI46+AI47</f>
        <v/>
      </c>
      <c r="AJ48" s="17">
        <f>AJ44+AJ45+AJ46+AJ47</f>
        <v/>
      </c>
      <c r="AK48" s="17">
        <f>AK44+AK45+AK46+AK47</f>
        <v/>
      </c>
      <c r="AL48" s="17">
        <f>AL44+AL45+AL46+AL47</f>
        <v/>
      </c>
      <c r="AM48" s="17">
        <f>AM44+AM45+AM46+AM47</f>
        <v/>
      </c>
      <c r="AN48" s="17">
        <f>AN44+AN45+AN46+AN47</f>
        <v/>
      </c>
      <c r="AO48" s="17">
        <f>AO44+AO45+AO46+AO47</f>
        <v/>
      </c>
      <c r="AP48" s="17">
        <f>AP44+AP45+AP46+AP47</f>
        <v/>
      </c>
      <c r="AQ48" s="17">
        <f>AQ44+AQ45+AQ46+AQ47</f>
        <v/>
      </c>
      <c r="AR48" s="17">
        <f>AR44+AR45+AR46+AR47</f>
        <v/>
      </c>
      <c r="AS48" s="17">
        <f>AS44+AS45+AS46+AS47</f>
        <v/>
      </c>
      <c r="AT48" s="17">
        <f>AT44+AT45+AT46+AT47</f>
        <v/>
      </c>
      <c r="AU48" s="17">
        <f>AU44+AU45+AU46+AU47</f>
        <v/>
      </c>
      <c r="AV48" s="17">
        <f>AV44+AV45+AV46+AV47</f>
        <v/>
      </c>
      <c r="AW48" s="17">
        <f>AW44+AW45+AW46+AW47</f>
        <v/>
      </c>
      <c r="AX48" s="17">
        <f>AX44+AX45+AX46+AX47</f>
        <v/>
      </c>
      <c r="AY48" s="17">
        <f>AY44+AY45+AY46+AY47</f>
        <v/>
      </c>
    </row>
    <row r="49">
      <c r="B49" s="33" t="inlineStr">
        <is>
          <t xml:space="preserve">  605000 Travel</t>
        </is>
      </c>
      <c r="D49" s="19" t="n">
        <v>98</v>
      </c>
      <c r="E49" s="19" t="n">
        <v>112</v>
      </c>
      <c r="F49" s="19" t="n">
        <v>0</v>
      </c>
      <c r="G49" s="19" t="n">
        <v>0</v>
      </c>
      <c r="H49" s="19" t="n">
        <v>4.25</v>
      </c>
      <c r="I49" s="19" t="n">
        <v>20.75</v>
      </c>
      <c r="J49" s="19" t="n">
        <v>0</v>
      </c>
      <c r="K49" s="19" t="n">
        <v>0</v>
      </c>
      <c r="L49" s="19" t="n">
        <v>22</v>
      </c>
      <c r="M49" s="19" t="n">
        <v>12</v>
      </c>
      <c r="N49" s="19" t="n">
        <v>12</v>
      </c>
      <c r="O49" s="19" t="n">
        <v>0</v>
      </c>
      <c r="P49" s="19" t="n">
        <v>0</v>
      </c>
      <c r="Q49" s="19" t="n">
        <v>0</v>
      </c>
      <c r="R49" s="19" t="n">
        <v>0</v>
      </c>
      <c r="S49" s="19" t="n">
        <v>0</v>
      </c>
      <c r="T49" s="83" t="n">
        <v>2.25</v>
      </c>
      <c r="U49" s="83" t="n">
        <v>8.5</v>
      </c>
      <c r="V49" s="83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3" t="inlineStr">
        <is>
          <t>606000 Meals (incl Entertainment)</t>
        </is>
      </c>
      <c r="D50" s="19" t="n">
        <v>0</v>
      </c>
      <c r="E50" s="19" t="n">
        <v>44.04</v>
      </c>
      <c r="F50" s="19" t="n">
        <v>38.61</v>
      </c>
      <c r="G50" s="19" t="n">
        <v>0</v>
      </c>
      <c r="H50" s="19" t="n">
        <v>193.63</v>
      </c>
      <c r="I50" s="19" t="n">
        <v>12.5</v>
      </c>
      <c r="J50" s="19" t="n">
        <v>0</v>
      </c>
      <c r="K50" s="19" t="n">
        <v>127.12</v>
      </c>
      <c r="L50" s="19" t="n">
        <v>296.49</v>
      </c>
      <c r="M50" s="19" t="n">
        <v>47.71</v>
      </c>
      <c r="N50" s="19" t="n">
        <v>0</v>
      </c>
      <c r="O50" s="19" t="n">
        <v>30.79</v>
      </c>
      <c r="P50" s="19" t="n">
        <v>16.6</v>
      </c>
      <c r="Q50" s="19" t="n">
        <v>56.29</v>
      </c>
      <c r="R50" s="19" t="n">
        <v>154.91</v>
      </c>
      <c r="S50" s="19" t="n">
        <v>39.75</v>
      </c>
      <c r="T50" s="83" t="n">
        <v>106.43</v>
      </c>
      <c r="U50" s="83" t="n">
        <v>15.38</v>
      </c>
      <c r="V50" s="83" t="n">
        <v>45.09</v>
      </c>
      <c r="W50" s="20" t="n">
        <v>16.6</v>
      </c>
      <c r="X50" s="20" t="n">
        <v>16.6</v>
      </c>
      <c r="Y50" s="20" t="n">
        <v>16.6</v>
      </c>
      <c r="Z50" s="20" t="n">
        <v>16.6</v>
      </c>
      <c r="AA50" s="20" t="n">
        <v>16.6</v>
      </c>
      <c r="AB50" s="20" t="n">
        <v>16.6</v>
      </c>
      <c r="AC50" s="20" t="n">
        <v>16.6</v>
      </c>
      <c r="AD50" s="20" t="n">
        <v>16.6</v>
      </c>
      <c r="AE50" s="20" t="n">
        <v>16.6</v>
      </c>
      <c r="AF50" s="20" t="n">
        <v>16.6</v>
      </c>
      <c r="AG50" s="20" t="n">
        <v>16.6</v>
      </c>
      <c r="AH50" s="20" t="n">
        <v>16.6</v>
      </c>
      <c r="AI50" s="20" t="n">
        <v>16.6</v>
      </c>
      <c r="AJ50" s="20" t="n">
        <v>16.6</v>
      </c>
      <c r="AK50" s="20" t="n">
        <v>16.6</v>
      </c>
      <c r="AL50" s="20" t="n">
        <v>16.6</v>
      </c>
      <c r="AM50" s="20" t="n">
        <v>16.6</v>
      </c>
      <c r="AN50" s="20" t="n">
        <v>16.6</v>
      </c>
      <c r="AO50" s="20" t="n">
        <v>16.6</v>
      </c>
      <c r="AP50" s="20" t="n">
        <v>16.6</v>
      </c>
      <c r="AQ50" s="20" t="n">
        <v>16.6</v>
      </c>
      <c r="AR50" s="20" t="n">
        <v>16.6</v>
      </c>
      <c r="AS50" s="20" t="n">
        <v>16.6</v>
      </c>
      <c r="AT50" s="20" t="n">
        <v>16.6</v>
      </c>
      <c r="AU50" s="20" t="n">
        <v>16.6</v>
      </c>
      <c r="AV50" s="20" t="n">
        <v>16.6</v>
      </c>
      <c r="AW50" s="20" t="n">
        <v>16.6</v>
      </c>
      <c r="AX50" s="20" t="n">
        <v>16.6</v>
      </c>
      <c r="AY50" s="20" t="n">
        <v>16.6</v>
      </c>
    </row>
    <row r="51">
      <c r="B51" s="32" t="inlineStr">
        <is>
          <t>Total Travel &amp; Meals</t>
        </is>
      </c>
      <c r="C51" s="34" t="n"/>
      <c r="D51" s="35">
        <f>D49+D50</f>
        <v/>
      </c>
      <c r="E51" s="35">
        <f>E49+E50</f>
        <v/>
      </c>
      <c r="F51" s="35">
        <f>F49+F50</f>
        <v/>
      </c>
      <c r="G51" s="35">
        <f>G49+G50</f>
        <v/>
      </c>
      <c r="H51" s="35">
        <f>H49+H50</f>
        <v/>
      </c>
      <c r="I51" s="35">
        <f>I49+I50</f>
        <v/>
      </c>
      <c r="J51" s="35">
        <f>J49+J50</f>
        <v/>
      </c>
      <c r="K51" s="35">
        <f>K49+K50</f>
        <v/>
      </c>
      <c r="L51" s="35">
        <f>L49+L50</f>
        <v/>
      </c>
      <c r="M51" s="35">
        <f>M49+M50</f>
        <v/>
      </c>
      <c r="N51" s="35">
        <f>N49+N50</f>
        <v/>
      </c>
      <c r="O51" s="35">
        <f>O49+O50</f>
        <v/>
      </c>
      <c r="P51" s="35">
        <f>P49+P50</f>
        <v/>
      </c>
      <c r="Q51" s="35">
        <f>Q49+Q50</f>
        <v/>
      </c>
      <c r="R51" s="35">
        <f>R49+R50</f>
        <v/>
      </c>
      <c r="S51" s="35">
        <f>S49+S50</f>
        <v/>
      </c>
      <c r="T51" s="17">
        <f>T49+T50</f>
        <v/>
      </c>
      <c r="U51" s="17">
        <f>U49+U50</f>
        <v/>
      </c>
      <c r="V51" s="17">
        <f>V49+V50</f>
        <v/>
      </c>
      <c r="W51" s="17">
        <f>W49+W50</f>
        <v/>
      </c>
      <c r="X51" s="17">
        <f>X49+X50</f>
        <v/>
      </c>
      <c r="Y51" s="17">
        <f>Y49+Y50</f>
        <v/>
      </c>
      <c r="Z51" s="17">
        <f>Z49+Z50</f>
        <v/>
      </c>
      <c r="AA51" s="17">
        <f>AA49+AA50</f>
        <v/>
      </c>
      <c r="AB51" s="17">
        <f>AB49+AB50</f>
        <v/>
      </c>
      <c r="AC51" s="17">
        <f>AC49+AC50</f>
        <v/>
      </c>
      <c r="AD51" s="17">
        <f>AD49+AD50</f>
        <v/>
      </c>
      <c r="AE51" s="17">
        <f>AE49+AE50</f>
        <v/>
      </c>
      <c r="AF51" s="17">
        <f>AF49+AF50</f>
        <v/>
      </c>
      <c r="AG51" s="17">
        <f>AG49+AG50</f>
        <v/>
      </c>
      <c r="AH51" s="17">
        <f>AH49+AH50</f>
        <v/>
      </c>
      <c r="AI51" s="17">
        <f>AI49+AI50</f>
        <v/>
      </c>
      <c r="AJ51" s="17">
        <f>AJ49+AJ50</f>
        <v/>
      </c>
      <c r="AK51" s="17">
        <f>AK49+AK50</f>
        <v/>
      </c>
      <c r="AL51" s="17">
        <f>AL49+AL50</f>
        <v/>
      </c>
      <c r="AM51" s="17">
        <f>AM49+AM50</f>
        <v/>
      </c>
      <c r="AN51" s="17">
        <f>AN49+AN50</f>
        <v/>
      </c>
      <c r="AO51" s="17">
        <f>AO49+AO50</f>
        <v/>
      </c>
      <c r="AP51" s="17">
        <f>AP49+AP50</f>
        <v/>
      </c>
      <c r="AQ51" s="17">
        <f>AQ49+AQ50</f>
        <v/>
      </c>
      <c r="AR51" s="17">
        <f>AR49+AR50</f>
        <v/>
      </c>
      <c r="AS51" s="17">
        <f>AS49+AS50</f>
        <v/>
      </c>
      <c r="AT51" s="17">
        <f>AT49+AT50</f>
        <v/>
      </c>
      <c r="AU51" s="17">
        <f>AU49+AU50</f>
        <v/>
      </c>
      <c r="AV51" s="17">
        <f>AV49+AV50</f>
        <v/>
      </c>
      <c r="AW51" s="17">
        <f>AW49+AW50</f>
        <v/>
      </c>
      <c r="AX51" s="17">
        <f>AX49+AX50</f>
        <v/>
      </c>
      <c r="AY51" s="17">
        <f>AY49+AY50</f>
        <v/>
      </c>
    </row>
    <row r="52">
      <c r="B52" s="33" t="inlineStr">
        <is>
          <t xml:space="preserve">  616001 Electricity</t>
        </is>
      </c>
      <c r="D52" s="19" t="n">
        <v>495.07</v>
      </c>
      <c r="E52" s="19" t="n">
        <v>495.07</v>
      </c>
      <c r="F52" s="19" t="n">
        <v>510.48</v>
      </c>
      <c r="G52" s="19" t="n">
        <v>407.22</v>
      </c>
      <c r="H52" s="19" t="n">
        <v>422.2</v>
      </c>
      <c r="I52" s="19" t="n">
        <v>542.4400000000001</v>
      </c>
      <c r="J52" s="19" t="n">
        <v>584.33</v>
      </c>
      <c r="K52" s="19" t="n">
        <v>605.97</v>
      </c>
      <c r="L52" s="19" t="n">
        <v>1140.1</v>
      </c>
      <c r="M52" s="19" t="n">
        <v>552.11</v>
      </c>
      <c r="N52" s="19" t="n">
        <v>442.93</v>
      </c>
      <c r="O52" s="19" t="n">
        <v>448.87</v>
      </c>
      <c r="P52" s="19" t="n">
        <v>448.53</v>
      </c>
      <c r="Q52" s="19" t="n">
        <v>579.83</v>
      </c>
      <c r="R52" s="19" t="n">
        <v>441.58</v>
      </c>
      <c r="S52" s="19" t="n">
        <v>418.22</v>
      </c>
      <c r="T52" s="83" t="n">
        <v>387.4</v>
      </c>
      <c r="U52" s="83" t="n">
        <v>470.84</v>
      </c>
      <c r="V52" s="83" t="n">
        <v>520.55</v>
      </c>
      <c r="W52" s="20" t="n">
        <v>459.2</v>
      </c>
      <c r="X52" s="20" t="n">
        <v>459.2</v>
      </c>
      <c r="Y52" s="20" t="n">
        <v>459.2</v>
      </c>
      <c r="Z52" s="20" t="n">
        <v>459.2</v>
      </c>
      <c r="AA52" s="20" t="n">
        <v>459.2</v>
      </c>
      <c r="AB52" s="20" t="n">
        <v>459.2</v>
      </c>
      <c r="AC52" s="20" t="n">
        <v>459.2</v>
      </c>
      <c r="AD52" s="20" t="n">
        <v>459.2</v>
      </c>
      <c r="AE52" s="20" t="n">
        <v>459.2</v>
      </c>
      <c r="AF52" s="20" t="n">
        <v>459.2</v>
      </c>
      <c r="AG52" s="20" t="n">
        <v>459.2</v>
      </c>
      <c r="AH52" s="20" t="n">
        <v>459.2</v>
      </c>
      <c r="AI52" s="20" t="n">
        <v>459.2</v>
      </c>
      <c r="AJ52" s="20" t="n">
        <v>459.2</v>
      </c>
      <c r="AK52" s="20" t="n">
        <v>459.2</v>
      </c>
      <c r="AL52" s="20" t="n">
        <v>459.2</v>
      </c>
      <c r="AM52" s="20" t="n">
        <v>459.2</v>
      </c>
      <c r="AN52" s="20" t="n">
        <v>459.2</v>
      </c>
      <c r="AO52" s="20" t="n">
        <v>459.2</v>
      </c>
      <c r="AP52" s="20" t="n">
        <v>459.2</v>
      </c>
      <c r="AQ52" s="20" t="n">
        <v>459.2</v>
      </c>
      <c r="AR52" s="20" t="n">
        <v>459.2</v>
      </c>
      <c r="AS52" s="20" t="n">
        <v>459.2</v>
      </c>
      <c r="AT52" s="20" t="n">
        <v>459.2</v>
      </c>
      <c r="AU52" s="20" t="n">
        <v>459.2</v>
      </c>
      <c r="AV52" s="20" t="n">
        <v>459.2</v>
      </c>
      <c r="AW52" s="20" t="n">
        <v>459.2</v>
      </c>
      <c r="AX52" s="20" t="n">
        <v>459.2</v>
      </c>
      <c r="AY52" s="20" t="n">
        <v>459.2</v>
      </c>
    </row>
    <row r="53">
      <c r="B53" s="33" t="inlineStr">
        <is>
          <t xml:space="preserve">  616002 Internet &amp; TV</t>
        </is>
      </c>
      <c r="D53" s="19" t="n">
        <v>140.83</v>
      </c>
      <c r="E53" s="19" t="n">
        <v>251.39</v>
      </c>
      <c r="F53" s="19" t="n">
        <v>138.44</v>
      </c>
      <c r="G53" s="19" t="n">
        <v>293.3</v>
      </c>
      <c r="H53" s="19" t="n">
        <v>303.5</v>
      </c>
      <c r="I53" s="19" t="n">
        <v>303.5</v>
      </c>
      <c r="J53" s="19" t="n">
        <v>303.5</v>
      </c>
      <c r="K53" s="19" t="n">
        <v>303.5</v>
      </c>
      <c r="L53" s="19" t="n">
        <v>303.5</v>
      </c>
      <c r="M53" s="19" t="n">
        <v>303.5</v>
      </c>
      <c r="N53" s="19" t="n">
        <v>303.5</v>
      </c>
      <c r="O53" s="19" t="n">
        <v>303.5</v>
      </c>
      <c r="P53" s="19" t="n">
        <v>306.79</v>
      </c>
      <c r="Q53" s="19" t="n">
        <v>306.79</v>
      </c>
      <c r="R53" s="19" t="n">
        <v>306.79</v>
      </c>
      <c r="S53" s="19" t="n">
        <v>306.79</v>
      </c>
      <c r="T53" s="83" t="n">
        <v>306.79</v>
      </c>
      <c r="U53" s="83" t="n">
        <v>306.79</v>
      </c>
      <c r="V53" s="83" t="n">
        <v>306.79</v>
      </c>
      <c r="W53" s="20" t="n">
        <v>298.45</v>
      </c>
      <c r="X53" s="20" t="n">
        <v>298.45</v>
      </c>
      <c r="Y53" s="20" t="n">
        <v>298.45</v>
      </c>
      <c r="Z53" s="20" t="n">
        <v>298.45</v>
      </c>
      <c r="AA53" s="20" t="n">
        <v>298.45</v>
      </c>
      <c r="AB53" s="20" t="n">
        <v>298.45</v>
      </c>
      <c r="AC53" s="20" t="n">
        <v>298.45</v>
      </c>
      <c r="AD53" s="20" t="n">
        <v>298.45</v>
      </c>
      <c r="AE53" s="20" t="n">
        <v>298.45</v>
      </c>
      <c r="AF53" s="20" t="n">
        <v>298.45</v>
      </c>
      <c r="AG53" s="20" t="n">
        <v>298.45</v>
      </c>
      <c r="AH53" s="20" t="n">
        <v>298.45</v>
      </c>
      <c r="AI53" s="20" t="n">
        <v>298.45</v>
      </c>
      <c r="AJ53" s="20" t="n">
        <v>298.45</v>
      </c>
      <c r="AK53" s="20" t="n">
        <v>298.45</v>
      </c>
      <c r="AL53" s="20" t="n">
        <v>298.45</v>
      </c>
      <c r="AM53" s="20" t="n">
        <v>298.45</v>
      </c>
      <c r="AN53" s="20" t="n">
        <v>298.45</v>
      </c>
      <c r="AO53" s="20" t="n">
        <v>298.45</v>
      </c>
      <c r="AP53" s="20" t="n">
        <v>298.45</v>
      </c>
      <c r="AQ53" s="20" t="n">
        <v>298.45</v>
      </c>
      <c r="AR53" s="20" t="n">
        <v>298.45</v>
      </c>
      <c r="AS53" s="20" t="n">
        <v>298.45</v>
      </c>
      <c r="AT53" s="20" t="n">
        <v>298.45</v>
      </c>
      <c r="AU53" s="20" t="n">
        <v>298.45</v>
      </c>
      <c r="AV53" s="20" t="n">
        <v>298.45</v>
      </c>
      <c r="AW53" s="20" t="n">
        <v>298.45</v>
      </c>
      <c r="AX53" s="20" t="n">
        <v>298.45</v>
      </c>
      <c r="AY53" s="20" t="n">
        <v>298.45</v>
      </c>
    </row>
    <row r="54">
      <c r="B54" s="33" t="inlineStr">
        <is>
          <t xml:space="preserve">  616003 Phone service</t>
        </is>
      </c>
      <c r="D54" s="19" t="n">
        <v>69.75</v>
      </c>
      <c r="E54" s="19" t="n">
        <v>69.75</v>
      </c>
      <c r="F54" s="19" t="n">
        <v>66.97</v>
      </c>
      <c r="G54" s="19" t="n">
        <v>66.95999999999999</v>
      </c>
      <c r="H54" s="19" t="n">
        <v>66.75</v>
      </c>
      <c r="I54" s="19" t="n">
        <v>66.75</v>
      </c>
      <c r="J54" s="19" t="n">
        <v>66.73999999999999</v>
      </c>
      <c r="K54" s="19" t="n">
        <v>66.73999999999999</v>
      </c>
      <c r="L54" s="19" t="n">
        <v>67.06999999999999</v>
      </c>
      <c r="M54" s="19" t="n">
        <v>67.09999999999999</v>
      </c>
      <c r="N54" s="19" t="n">
        <v>49.1</v>
      </c>
      <c r="O54" s="19" t="n">
        <v>89.15000000000001</v>
      </c>
      <c r="P54" s="19" t="n">
        <v>86.95</v>
      </c>
      <c r="Q54" s="19" t="n">
        <v>87.11</v>
      </c>
      <c r="R54" s="19" t="n">
        <v>86.36</v>
      </c>
      <c r="S54" s="19" t="n">
        <v>87.53</v>
      </c>
      <c r="T54" s="83" t="n">
        <v>81.05</v>
      </c>
      <c r="U54" s="83" t="n">
        <v>81.05</v>
      </c>
      <c r="V54" s="83" t="n">
        <v>81.05</v>
      </c>
      <c r="W54" s="20" t="n">
        <v>84.62</v>
      </c>
      <c r="X54" s="20" t="n">
        <v>84.62</v>
      </c>
      <c r="Y54" s="20" t="n">
        <v>84.62</v>
      </c>
      <c r="Z54" s="20" t="n">
        <v>84.62</v>
      </c>
      <c r="AA54" s="20" t="n">
        <v>84.62</v>
      </c>
      <c r="AB54" s="20" t="n">
        <v>84.62</v>
      </c>
      <c r="AC54" s="20" t="n">
        <v>84.62</v>
      </c>
      <c r="AD54" s="20" t="n">
        <v>84.62</v>
      </c>
      <c r="AE54" s="20" t="n">
        <v>84.62</v>
      </c>
      <c r="AF54" s="20" t="n">
        <v>84.62</v>
      </c>
      <c r="AG54" s="20" t="n">
        <v>84.62</v>
      </c>
      <c r="AH54" s="20" t="n">
        <v>84.62</v>
      </c>
      <c r="AI54" s="20" t="n">
        <v>84.62</v>
      </c>
      <c r="AJ54" s="20" t="n">
        <v>84.62</v>
      </c>
      <c r="AK54" s="20" t="n">
        <v>84.62</v>
      </c>
      <c r="AL54" s="20" t="n">
        <v>84.62</v>
      </c>
      <c r="AM54" s="20" t="n">
        <v>84.62</v>
      </c>
      <c r="AN54" s="20" t="n">
        <v>84.62</v>
      </c>
      <c r="AO54" s="20" t="n">
        <v>84.62</v>
      </c>
      <c r="AP54" s="20" t="n">
        <v>84.62</v>
      </c>
      <c r="AQ54" s="20" t="n">
        <v>84.62</v>
      </c>
      <c r="AR54" s="20" t="n">
        <v>84.62</v>
      </c>
      <c r="AS54" s="20" t="n">
        <v>84.62</v>
      </c>
      <c r="AT54" s="20" t="n">
        <v>84.62</v>
      </c>
      <c r="AU54" s="20" t="n">
        <v>84.62</v>
      </c>
      <c r="AV54" s="20" t="n">
        <v>84.62</v>
      </c>
      <c r="AW54" s="20" t="n">
        <v>84.62</v>
      </c>
      <c r="AX54" s="20" t="n">
        <v>84.62</v>
      </c>
      <c r="AY54" s="20" t="n">
        <v>84.62</v>
      </c>
    </row>
    <row r="55">
      <c r="B55" s="33" t="inlineStr">
        <is>
          <t xml:space="preserve">  616004 Water &amp; sewer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390.15</v>
      </c>
      <c r="O55" s="19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3" t="n">
        <v>0</v>
      </c>
      <c r="U55" s="83" t="n">
        <v>0</v>
      </c>
      <c r="V55" s="83" t="n">
        <v>315.93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3" t="inlineStr">
        <is>
          <t xml:space="preserve">  616005 Disposal Services</t>
        </is>
      </c>
      <c r="D56" s="19" t="n">
        <v>0</v>
      </c>
      <c r="E56" s="19" t="n">
        <v>362.25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83" t="n">
        <v>0</v>
      </c>
      <c r="U56" s="83" t="n">
        <v>0</v>
      </c>
      <c r="V56" s="83" t="n">
        <v>0</v>
      </c>
      <c r="W56" s="20" t="n">
        <v>0</v>
      </c>
      <c r="X56" s="20" t="n">
        <v>0</v>
      </c>
      <c r="Y56" s="20" t="n">
        <v>0</v>
      </c>
      <c r="Z56" s="20" t="n">
        <v>0</v>
      </c>
      <c r="AA56" s="20" t="n">
        <v>0</v>
      </c>
      <c r="AB56" s="20" t="n">
        <v>0</v>
      </c>
      <c r="AC56" s="20" t="n">
        <v>0</v>
      </c>
      <c r="AD56" s="20" t="n">
        <v>0</v>
      </c>
      <c r="AE56" s="20" t="n">
        <v>0</v>
      </c>
      <c r="AF56" s="20" t="n">
        <v>0</v>
      </c>
      <c r="AG56" s="20" t="n">
        <v>0</v>
      </c>
      <c r="AH56" s="20" t="n">
        <v>0</v>
      </c>
      <c r="AI56" s="20" t="n">
        <v>0</v>
      </c>
      <c r="AJ56" s="20" t="n">
        <v>0</v>
      </c>
      <c r="AK56" s="20" t="n">
        <v>0</v>
      </c>
      <c r="AL56" s="20" t="n">
        <v>0</v>
      </c>
      <c r="AM56" s="20" t="n">
        <v>0</v>
      </c>
      <c r="AN56" s="20" t="n">
        <v>0</v>
      </c>
      <c r="AO56" s="20" t="n">
        <v>0</v>
      </c>
      <c r="AP56" s="20" t="n">
        <v>0</v>
      </c>
      <c r="AQ56" s="20" t="n">
        <v>0</v>
      </c>
      <c r="AR56" s="20" t="n">
        <v>0</v>
      </c>
      <c r="AS56" s="20" t="n">
        <v>0</v>
      </c>
      <c r="AT56" s="20" t="n">
        <v>0</v>
      </c>
      <c r="AU56" s="20" t="n">
        <v>0</v>
      </c>
      <c r="AV56" s="20" t="n">
        <v>0</v>
      </c>
      <c r="AW56" s="20" t="n">
        <v>0</v>
      </c>
      <c r="AX56" s="20" t="n">
        <v>0</v>
      </c>
      <c r="AY56" s="20" t="n">
        <v>0</v>
      </c>
    </row>
    <row r="57">
      <c r="B57" s="32" t="inlineStr">
        <is>
          <t>Total Utilities</t>
        </is>
      </c>
      <c r="C57" s="34" t="n"/>
      <c r="D57" s="35">
        <f>SUM(D52:D56)</f>
        <v/>
      </c>
      <c r="E57" s="35">
        <f>SUM(E52:E56)</f>
        <v/>
      </c>
      <c r="F57" s="35">
        <f>SUM(F52:F56)</f>
        <v/>
      </c>
      <c r="G57" s="35">
        <f>SUM(G52:G56)</f>
        <v/>
      </c>
      <c r="H57" s="35">
        <f>SUM(H52:H56)</f>
        <v/>
      </c>
      <c r="I57" s="35">
        <f>SUM(I52:I56)</f>
        <v/>
      </c>
      <c r="J57" s="35">
        <f>SUM(J52:J56)</f>
        <v/>
      </c>
      <c r="K57" s="35">
        <f>SUM(K52:K56)</f>
        <v/>
      </c>
      <c r="L57" s="35">
        <f>SUM(L52:L56)</f>
        <v/>
      </c>
      <c r="M57" s="35">
        <f>SUM(M52:M56)</f>
        <v/>
      </c>
      <c r="N57" s="35">
        <f>SUM(N52:N56)</f>
        <v/>
      </c>
      <c r="O57" s="35">
        <f>SUM(O52:O56)</f>
        <v/>
      </c>
      <c r="P57" s="35">
        <f>P52+P53+P54+P55+P56</f>
        <v/>
      </c>
      <c r="Q57" s="35">
        <f>Q52+Q53+Q54+Q55+Q56</f>
        <v/>
      </c>
      <c r="R57" s="35">
        <f>R52+R53+R54+R55+R56</f>
        <v/>
      </c>
      <c r="S57" s="35">
        <f>S52+S53+S54+S55+S56</f>
        <v/>
      </c>
      <c r="T57" s="84">
        <f>T52+T53+T54+T55+T56</f>
        <v/>
      </c>
      <c r="U57" s="84">
        <f>U52+U53+U54+U55+U56</f>
        <v/>
      </c>
      <c r="V57" s="84">
        <f>V52+V53+V54+V55+V56</f>
        <v/>
      </c>
      <c r="W57" s="17">
        <f>W52+W53+W54+W55+W56</f>
        <v/>
      </c>
      <c r="X57" s="17">
        <f>X52+X53+X54+X55+X56</f>
        <v/>
      </c>
      <c r="Y57" s="17">
        <f>Y52+Y53+Y54+Y55+Y56</f>
        <v/>
      </c>
      <c r="Z57" s="17">
        <f>Z52+Z53+Z54+Z55+Z56</f>
        <v/>
      </c>
      <c r="AA57" s="17">
        <f>AA52+AA53+AA54+AA55+AA56</f>
        <v/>
      </c>
      <c r="AB57" s="17">
        <f>AB52+AB53+AB54+AB55+AB56</f>
        <v/>
      </c>
      <c r="AC57" s="17">
        <f>AC52+AC53+AC54+AC55+AC56</f>
        <v/>
      </c>
      <c r="AD57" s="17">
        <f>AD52+AD53+AD54+AD55+AD56</f>
        <v/>
      </c>
      <c r="AE57" s="17">
        <f>AE52+AE53+AE54+AE55+AE56</f>
        <v/>
      </c>
      <c r="AF57" s="17">
        <f>AF52+AF53+AF54+AF55+AF56</f>
        <v/>
      </c>
      <c r="AG57" s="17">
        <f>AG52+AG53+AG54+AG55+AG56</f>
        <v/>
      </c>
      <c r="AH57" s="17">
        <f>AH52+AH53+AH54+AH55+AH56</f>
        <v/>
      </c>
      <c r="AI57" s="17">
        <f>AI52+AI53+AI54+AI55+AI56</f>
        <v/>
      </c>
      <c r="AJ57" s="17">
        <f>AJ52+AJ53+AJ54+AJ55+AJ56</f>
        <v/>
      </c>
      <c r="AK57" s="17">
        <f>AK52+AK53+AK54+AK55+AK56</f>
        <v/>
      </c>
      <c r="AL57" s="17">
        <f>AL52+AL53+AL54+AL55+AL56</f>
        <v/>
      </c>
      <c r="AM57" s="17">
        <f>AM52+AM53+AM54+AM55+AM56</f>
        <v/>
      </c>
      <c r="AN57" s="17">
        <f>AN52+AN53+AN54+AN55+AN56</f>
        <v/>
      </c>
      <c r="AO57" s="17">
        <f>AO52+AO53+AO54+AO55+AO56</f>
        <v/>
      </c>
      <c r="AP57" s="17">
        <f>AP52+AP53+AP54+AP55+AP56</f>
        <v/>
      </c>
      <c r="AQ57" s="17">
        <f>AQ52+AQ53+AQ54+AQ55+AQ56</f>
        <v/>
      </c>
      <c r="AR57" s="17">
        <f>AR52+AR53+AR54+AR55+AR56</f>
        <v/>
      </c>
      <c r="AS57" s="17">
        <f>AS52+AS53+AS54+AS55+AS56</f>
        <v/>
      </c>
      <c r="AT57" s="17">
        <f>AT52+AT53+AT54+AT55+AT56</f>
        <v/>
      </c>
      <c r="AU57" s="17">
        <f>AU52+AU53+AU54+AU55+AU56</f>
        <v/>
      </c>
      <c r="AV57" s="17">
        <f>AV52+AV53+AV54+AV55+AV56</f>
        <v/>
      </c>
      <c r="AW57" s="17">
        <f>AW52+AW53+AW54+AW55+AW56</f>
        <v/>
      </c>
      <c r="AX57" s="17">
        <f>AX52+AX53+AX54+AX55+AX56</f>
        <v/>
      </c>
      <c r="AY57" s="17">
        <f>AY52+AY53+AY54+AY55+AY56</f>
        <v/>
      </c>
    </row>
    <row r="58">
      <c r="B58" s="33" t="inlineStr">
        <is>
          <t xml:space="preserve">  701000 Rent</t>
        </is>
      </c>
      <c r="D58" s="19" t="n">
        <v>7977.11</v>
      </c>
      <c r="E58" s="19" t="n">
        <v>7977.11</v>
      </c>
      <c r="F58" s="19" t="n">
        <v>7977.11</v>
      </c>
      <c r="G58" s="19" t="n">
        <v>7977.11</v>
      </c>
      <c r="H58" s="19" t="n">
        <v>7977.11</v>
      </c>
      <c r="I58" s="19" t="n">
        <v>7977.11</v>
      </c>
      <c r="J58" s="19" t="n">
        <v>7977.11</v>
      </c>
      <c r="K58" s="19" t="n">
        <v>7977.11</v>
      </c>
      <c r="L58" s="19" t="n">
        <v>7977.11</v>
      </c>
      <c r="M58" s="19" t="n">
        <v>7977.11</v>
      </c>
      <c r="N58" s="19" t="n">
        <v>7977.11</v>
      </c>
      <c r="O58" s="19" t="n">
        <v>7977.11</v>
      </c>
      <c r="P58" s="19" t="n">
        <v>7977.11</v>
      </c>
      <c r="Q58" s="19" t="n">
        <v>7977.11</v>
      </c>
      <c r="R58" s="19" t="n">
        <v>7977.11</v>
      </c>
      <c r="S58" s="19" t="n">
        <v>7977.11</v>
      </c>
      <c r="T58" s="83" t="n">
        <v>8175.32</v>
      </c>
      <c r="U58" s="83" t="n">
        <v>7977.11</v>
      </c>
      <c r="V58" s="83" t="n">
        <v>7977.11</v>
      </c>
      <c r="W58" s="20" t="n">
        <v>7745.76</v>
      </c>
      <c r="X58" s="20" t="n">
        <v>7745.76</v>
      </c>
      <c r="Y58" s="20" t="n">
        <v>7745.76</v>
      </c>
      <c r="Z58" s="20" t="n">
        <v>7745.76</v>
      </c>
      <c r="AA58" s="20" t="n">
        <v>7745.76</v>
      </c>
      <c r="AB58" s="20" t="n">
        <v>7745.76</v>
      </c>
      <c r="AC58" s="20" t="n">
        <v>7745.76</v>
      </c>
      <c r="AD58" s="20" t="n">
        <v>7745.76</v>
      </c>
      <c r="AE58" s="20" t="n">
        <v>7745.76</v>
      </c>
      <c r="AF58" s="20" t="n">
        <v>7745.76</v>
      </c>
      <c r="AG58" s="20" t="n">
        <v>7745.76</v>
      </c>
      <c r="AH58" s="20" t="n">
        <v>7745.76</v>
      </c>
      <c r="AI58" s="20" t="n">
        <v>7745.76</v>
      </c>
      <c r="AJ58" s="20" t="n">
        <v>7745.76</v>
      </c>
      <c r="AK58" s="20" t="n">
        <v>7745.76</v>
      </c>
      <c r="AL58" s="20" t="n">
        <v>7745.76</v>
      </c>
      <c r="AM58" s="20" t="n">
        <v>7745.76</v>
      </c>
      <c r="AN58" s="20" t="n">
        <v>7745.76</v>
      </c>
      <c r="AO58" s="20" t="n">
        <v>7745.76</v>
      </c>
      <c r="AP58" s="20" t="n">
        <v>7745.76</v>
      </c>
      <c r="AQ58" s="20" t="n">
        <v>7745.76</v>
      </c>
      <c r="AR58" s="20" t="n">
        <v>7745.76</v>
      </c>
      <c r="AS58" s="20" t="n">
        <v>7745.76</v>
      </c>
      <c r="AT58" s="20" t="n">
        <v>7745.76</v>
      </c>
      <c r="AU58" s="20" t="n">
        <v>7745.76</v>
      </c>
      <c r="AV58" s="20" t="n">
        <v>7745.76</v>
      </c>
      <c r="AW58" s="20" t="n">
        <v>7745.76</v>
      </c>
      <c r="AX58" s="20" t="n">
        <v>7745.76</v>
      </c>
      <c r="AY58" s="20" t="n">
        <v>7745.76</v>
      </c>
    </row>
    <row r="59">
      <c r="B59" s="33" t="inlineStr">
        <is>
          <t xml:space="preserve">  702000 Security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9" t="n">
        <v>0</v>
      </c>
      <c r="M59" s="19" t="n">
        <v>0</v>
      </c>
      <c r="N59" s="19" t="n">
        <v>0</v>
      </c>
      <c r="O59" s="19" t="n">
        <v>0</v>
      </c>
      <c r="P59" s="19" t="n">
        <v>0</v>
      </c>
      <c r="Q59" s="19" t="n">
        <v>0</v>
      </c>
      <c r="R59" s="19" t="n">
        <v>0</v>
      </c>
      <c r="S59" s="19" t="n">
        <v>0</v>
      </c>
      <c r="T59" s="83" t="n">
        <v>0</v>
      </c>
      <c r="U59" s="83" t="n">
        <v>0</v>
      </c>
      <c r="V59" s="83" t="n">
        <v>0</v>
      </c>
      <c r="W59" s="20" t="n">
        <v>0</v>
      </c>
      <c r="X59" s="20" t="n">
        <v>0</v>
      </c>
      <c r="Y59" s="20" t="n">
        <v>0</v>
      </c>
      <c r="Z59" s="20" t="n">
        <v>0</v>
      </c>
      <c r="AA59" s="20" t="n">
        <v>0</v>
      </c>
      <c r="AB59" s="20" t="n">
        <v>0</v>
      </c>
      <c r="AC59" s="20" t="n">
        <v>0</v>
      </c>
      <c r="AD59" s="20" t="n">
        <v>0</v>
      </c>
      <c r="AE59" s="20" t="n">
        <v>0</v>
      </c>
      <c r="AF59" s="20" t="n">
        <v>0</v>
      </c>
      <c r="AG59" s="20" t="n">
        <v>0</v>
      </c>
      <c r="AH59" s="20" t="n">
        <v>0</v>
      </c>
      <c r="AI59" s="20" t="n">
        <v>0</v>
      </c>
      <c r="AJ59" s="20" t="n">
        <v>0</v>
      </c>
      <c r="AK59" s="20" t="n">
        <v>0</v>
      </c>
      <c r="AL59" s="20" t="n">
        <v>0</v>
      </c>
      <c r="AM59" s="20" t="n">
        <v>0</v>
      </c>
      <c r="AN59" s="20" t="n">
        <v>0</v>
      </c>
      <c r="AO59" s="20" t="n">
        <v>0</v>
      </c>
      <c r="AP59" s="20" t="n">
        <v>0</v>
      </c>
      <c r="AQ59" s="20" t="n">
        <v>0</v>
      </c>
      <c r="AR59" s="20" t="n">
        <v>0</v>
      </c>
      <c r="AS59" s="20" t="n">
        <v>0</v>
      </c>
      <c r="AT59" s="20" t="n">
        <v>0</v>
      </c>
      <c r="AU59" s="20" t="n">
        <v>0</v>
      </c>
      <c r="AV59" s="20" t="n">
        <v>0</v>
      </c>
      <c r="AW59" s="20" t="n">
        <v>0</v>
      </c>
      <c r="AX59" s="20" t="n">
        <v>0</v>
      </c>
      <c r="AY59" s="20" t="n">
        <v>0</v>
      </c>
    </row>
    <row r="60">
      <c r="B60" s="33" t="inlineStr">
        <is>
          <t xml:space="preserve">  703000 Cleaning</t>
        </is>
      </c>
      <c r="D60" s="19" t="n">
        <v>18.84</v>
      </c>
      <c r="E60" s="19" t="n">
        <v>0</v>
      </c>
      <c r="F60" s="19" t="n">
        <v>83</v>
      </c>
      <c r="G60" s="19" t="n">
        <v>0</v>
      </c>
      <c r="H60" s="19" t="n">
        <v>208.54</v>
      </c>
      <c r="I60" s="19" t="n">
        <v>32.44</v>
      </c>
      <c r="J60" s="19" t="n">
        <v>57.56</v>
      </c>
      <c r="K60" s="19" t="n">
        <v>148.23</v>
      </c>
      <c r="L60" s="19" t="n">
        <v>120.44</v>
      </c>
      <c r="M60" s="19" t="n">
        <v>179.17</v>
      </c>
      <c r="N60" s="19" t="n">
        <v>65.73999999999999</v>
      </c>
      <c r="O60" s="19" t="n">
        <v>127.19</v>
      </c>
      <c r="P60" s="19" t="n">
        <v>101.24</v>
      </c>
      <c r="Q60" s="19" t="n">
        <v>-3.41</v>
      </c>
      <c r="R60" s="19" t="n">
        <v>652.9299999999999</v>
      </c>
      <c r="S60" s="19" t="n">
        <v>434.78</v>
      </c>
      <c r="T60" s="83" t="n">
        <v>385.42</v>
      </c>
      <c r="U60" s="83" t="n">
        <v>379.66</v>
      </c>
      <c r="V60" s="83" t="n">
        <v>333.84</v>
      </c>
      <c r="W60" s="20" t="n">
        <v>289.44</v>
      </c>
      <c r="X60" s="20" t="n">
        <v>289.44</v>
      </c>
      <c r="Y60" s="20" t="n">
        <v>289.44</v>
      </c>
      <c r="Z60" s="20" t="n">
        <v>289.44</v>
      </c>
      <c r="AA60" s="20" t="n">
        <v>289.44</v>
      </c>
      <c r="AB60" s="20" t="n">
        <v>289.44</v>
      </c>
      <c r="AC60" s="20" t="n">
        <v>289.44</v>
      </c>
      <c r="AD60" s="20" t="n">
        <v>289.44</v>
      </c>
      <c r="AE60" s="20" t="n">
        <v>289.44</v>
      </c>
      <c r="AF60" s="20" t="n">
        <v>289.44</v>
      </c>
      <c r="AG60" s="20" t="n">
        <v>289.44</v>
      </c>
      <c r="AH60" s="20" t="n">
        <v>289.44</v>
      </c>
      <c r="AI60" s="20" t="n">
        <v>289.44</v>
      </c>
      <c r="AJ60" s="20" t="n">
        <v>289.44</v>
      </c>
      <c r="AK60" s="20" t="n">
        <v>289.44</v>
      </c>
      <c r="AL60" s="20" t="n">
        <v>289.44</v>
      </c>
      <c r="AM60" s="20" t="n">
        <v>289.44</v>
      </c>
      <c r="AN60" s="20" t="n">
        <v>289.44</v>
      </c>
      <c r="AO60" s="20" t="n">
        <v>289.44</v>
      </c>
      <c r="AP60" s="20" t="n">
        <v>289.44</v>
      </c>
      <c r="AQ60" s="20" t="n">
        <v>289.44</v>
      </c>
      <c r="AR60" s="20" t="n">
        <v>289.44</v>
      </c>
      <c r="AS60" s="20" t="n">
        <v>289.44</v>
      </c>
      <c r="AT60" s="20" t="n">
        <v>289.44</v>
      </c>
      <c r="AU60" s="20" t="n">
        <v>289.44</v>
      </c>
      <c r="AV60" s="20" t="n">
        <v>289.44</v>
      </c>
      <c r="AW60" s="20" t="n">
        <v>289.44</v>
      </c>
      <c r="AX60" s="20" t="n">
        <v>289.44</v>
      </c>
      <c r="AY60" s="20" t="n">
        <v>289.44</v>
      </c>
    </row>
    <row r="61">
      <c r="B61" s="33" t="inlineStr">
        <is>
          <t>705000 Property Maintenance (incl Repairs &amp; Parking)</t>
        </is>
      </c>
      <c r="D61" s="19" t="n">
        <v>8465.57</v>
      </c>
      <c r="E61" s="19" t="n">
        <v>2889.56</v>
      </c>
      <c r="F61" s="19" t="n">
        <v>2889.56</v>
      </c>
      <c r="G61" s="19" t="n">
        <v>3084.4</v>
      </c>
      <c r="H61" s="19" t="n">
        <v>3082.94</v>
      </c>
      <c r="I61" s="19" t="n">
        <v>2889.56</v>
      </c>
      <c r="J61" s="19" t="n">
        <v>2889.56</v>
      </c>
      <c r="K61" s="19" t="n">
        <v>3625.14</v>
      </c>
      <c r="L61" s="19" t="n">
        <v>2889.56</v>
      </c>
      <c r="M61" s="19" t="n">
        <v>2889.56</v>
      </c>
      <c r="N61" s="19" t="n">
        <v>2889.56</v>
      </c>
      <c r="O61" s="19" t="n">
        <v>2889.56</v>
      </c>
      <c r="P61" s="19" t="n">
        <v>2889.56</v>
      </c>
      <c r="Q61" s="19" t="n">
        <v>2889.56</v>
      </c>
      <c r="R61" s="19" t="n">
        <v>3151.05</v>
      </c>
      <c r="S61" s="19" t="n">
        <v>3151.05</v>
      </c>
      <c r="T61" s="83" t="n">
        <v>3151.05</v>
      </c>
      <c r="U61" s="83" t="n">
        <v>3151.05</v>
      </c>
      <c r="V61" s="83" t="n">
        <v>4497.98</v>
      </c>
      <c r="W61" s="20" t="n">
        <v>2932.71</v>
      </c>
      <c r="X61" s="20" t="n">
        <v>2932.71</v>
      </c>
      <c r="Y61" s="20" t="n">
        <v>2932.71</v>
      </c>
      <c r="Z61" s="20" t="n">
        <v>2932.71</v>
      </c>
      <c r="AA61" s="20" t="n">
        <v>2932.71</v>
      </c>
      <c r="AB61" s="20" t="n">
        <v>2932.71</v>
      </c>
      <c r="AC61" s="20" t="n">
        <v>2932.71</v>
      </c>
      <c r="AD61" s="20" t="n">
        <v>2932.71</v>
      </c>
      <c r="AE61" s="20" t="n">
        <v>2932.71</v>
      </c>
      <c r="AF61" s="20" t="n">
        <v>2932.71</v>
      </c>
      <c r="AG61" s="20" t="n">
        <v>2932.71</v>
      </c>
      <c r="AH61" s="20" t="n">
        <v>2932.71</v>
      </c>
      <c r="AI61" s="20" t="n">
        <v>2932.71</v>
      </c>
      <c r="AJ61" s="20" t="n">
        <v>2932.71</v>
      </c>
      <c r="AK61" s="20" t="n">
        <v>2932.71</v>
      </c>
      <c r="AL61" s="20" t="n">
        <v>2932.71</v>
      </c>
      <c r="AM61" s="20" t="n">
        <v>2932.71</v>
      </c>
      <c r="AN61" s="20" t="n">
        <v>2932.71</v>
      </c>
      <c r="AO61" s="20" t="n">
        <v>2932.71</v>
      </c>
      <c r="AP61" s="20" t="n">
        <v>2932.71</v>
      </c>
      <c r="AQ61" s="20" t="n">
        <v>2932.71</v>
      </c>
      <c r="AR61" s="20" t="n">
        <v>2932.71</v>
      </c>
      <c r="AS61" s="20" t="n">
        <v>2932.71</v>
      </c>
      <c r="AT61" s="20" t="n">
        <v>2932.71</v>
      </c>
      <c r="AU61" s="20" t="n">
        <v>2932.71</v>
      </c>
      <c r="AV61" s="20" t="n">
        <v>2932.71</v>
      </c>
      <c r="AW61" s="20" t="n">
        <v>2932.71</v>
      </c>
      <c r="AX61" s="20" t="n">
        <v>2932.71</v>
      </c>
      <c r="AY61" s="20" t="n">
        <v>2932.71</v>
      </c>
    </row>
    <row r="62">
      <c r="B62" s="32" t="inlineStr">
        <is>
          <t>Total Property Costs</t>
        </is>
      </c>
      <c r="C62" s="34" t="n"/>
      <c r="D62" s="35">
        <f>SUM(D58:D61)</f>
        <v/>
      </c>
      <c r="E62" s="35">
        <f>SUM(E58:E61)</f>
        <v/>
      </c>
      <c r="F62" s="35">
        <f>SUM(F58:F61)</f>
        <v/>
      </c>
      <c r="G62" s="35">
        <f>SUM(G58:G61)</f>
        <v/>
      </c>
      <c r="H62" s="35">
        <f>SUM(H58:H61)</f>
        <v/>
      </c>
      <c r="I62" s="35">
        <f>SUM(I58:I61)</f>
        <v/>
      </c>
      <c r="J62" s="35">
        <f>SUM(J58:J61)</f>
        <v/>
      </c>
      <c r="K62" s="35">
        <f>SUM(K58:K61)</f>
        <v/>
      </c>
      <c r="L62" s="35">
        <f>SUM(L58:L61)</f>
        <v/>
      </c>
      <c r="M62" s="35">
        <f>SUM(M58:M61)</f>
        <v/>
      </c>
      <c r="N62" s="35">
        <f>SUM(N58:N61)</f>
        <v/>
      </c>
      <c r="O62" s="35">
        <f>SUM(O58:O61)</f>
        <v/>
      </c>
      <c r="P62" s="35">
        <f>P58+P59+P60+P61</f>
        <v/>
      </c>
      <c r="Q62" s="35">
        <f>Q58+Q59+Q60+Q61</f>
        <v/>
      </c>
      <c r="R62" s="35">
        <f>R58+R59+R60+R61</f>
        <v/>
      </c>
      <c r="S62" s="35">
        <f>S58+S59+S60+S61</f>
        <v/>
      </c>
      <c r="T62" s="84">
        <f>T58+T59+T60+T61</f>
        <v/>
      </c>
      <c r="U62" s="84">
        <f>U58+U59+U60+U61</f>
        <v/>
      </c>
      <c r="V62" s="84">
        <f>V58+V59+V60+V61</f>
        <v/>
      </c>
      <c r="W62" s="17">
        <f>W58+W59+W60+W61</f>
        <v/>
      </c>
      <c r="X62" s="17">
        <f>X58+X59+X60+X61</f>
        <v/>
      </c>
      <c r="Y62" s="17">
        <f>Y58+Y59+Y60+Y61</f>
        <v/>
      </c>
      <c r="Z62" s="17">
        <f>Z58+Z59+Z60+Z61</f>
        <v/>
      </c>
      <c r="AA62" s="17">
        <f>AA58+AA59+AA60+AA61</f>
        <v/>
      </c>
      <c r="AB62" s="17">
        <f>AB58+AB59+AB60+AB61</f>
        <v/>
      </c>
      <c r="AC62" s="17">
        <f>AC58+AC59+AC60+AC61</f>
        <v/>
      </c>
      <c r="AD62" s="17">
        <f>AD58+AD59+AD60+AD61</f>
        <v/>
      </c>
      <c r="AE62" s="17">
        <f>AE58+AE59+AE60+AE61</f>
        <v/>
      </c>
      <c r="AF62" s="17">
        <f>AF58+AF59+AF60+AF61</f>
        <v/>
      </c>
      <c r="AG62" s="17">
        <f>AG58+AG59+AG60+AG61</f>
        <v/>
      </c>
      <c r="AH62" s="17">
        <f>AH58+AH59+AH60+AH61</f>
        <v/>
      </c>
      <c r="AI62" s="17">
        <f>AI58+AI59+AI60+AI61</f>
        <v/>
      </c>
      <c r="AJ62" s="17">
        <f>AJ58+AJ59+AJ60+AJ61</f>
        <v/>
      </c>
      <c r="AK62" s="17">
        <f>AK58+AK59+AK60+AK61</f>
        <v/>
      </c>
      <c r="AL62" s="17">
        <f>AL58+AL59+AL60+AL61</f>
        <v/>
      </c>
      <c r="AM62" s="17">
        <f>AM58+AM59+AM60+AM61</f>
        <v/>
      </c>
      <c r="AN62" s="17">
        <f>AN58+AN59+AN60+AN61</f>
        <v/>
      </c>
      <c r="AO62" s="17">
        <f>AO58+AO59+AO60+AO61</f>
        <v/>
      </c>
      <c r="AP62" s="17">
        <f>AP58+AP59+AP60+AP61</f>
        <v/>
      </c>
      <c r="AQ62" s="17">
        <f>AQ58+AQ59+AQ60+AQ61</f>
        <v/>
      </c>
      <c r="AR62" s="17">
        <f>AR58+AR59+AR60+AR61</f>
        <v/>
      </c>
      <c r="AS62" s="17">
        <f>AS58+AS59+AS60+AS61</f>
        <v/>
      </c>
      <c r="AT62" s="17">
        <f>AT58+AT59+AT60+AT61</f>
        <v/>
      </c>
      <c r="AU62" s="17">
        <f>AU58+AU59+AU60+AU61</f>
        <v/>
      </c>
      <c r="AV62" s="17">
        <f>AV58+AV59+AV60+AV61</f>
        <v/>
      </c>
      <c r="AW62" s="17">
        <f>AW58+AW59+AW60+AW61</f>
        <v/>
      </c>
      <c r="AX62" s="17">
        <f>AX58+AX59+AX60+AX61</f>
        <v/>
      </c>
      <c r="AY62" s="17">
        <f>AY58+AY59+AY60+AY61</f>
        <v/>
      </c>
    </row>
    <row r="63">
      <c r="B63" s="32" t="inlineStr">
        <is>
          <t>TOTAL OPERATING EXPENSES</t>
        </is>
      </c>
      <c r="C63" s="34" t="n"/>
      <c r="D63" s="35">
        <f>D34+D39+D43+D48+D51+D57+D62</f>
        <v/>
      </c>
      <c r="E63" s="35">
        <f>E34+E39+E43+E48+E51+E57+E62</f>
        <v/>
      </c>
      <c r="F63" s="35">
        <f>F34+F39+F43+F48+F51+F57+F62</f>
        <v/>
      </c>
      <c r="G63" s="35">
        <f>G34+G39+G43+G48+G51+G57+G62</f>
        <v/>
      </c>
      <c r="H63" s="35">
        <f>H34+H39+H43+H48+H51+H57+H62</f>
        <v/>
      </c>
      <c r="I63" s="35">
        <f>I34+I39+I43+I48+I51+I57+I62</f>
        <v/>
      </c>
      <c r="J63" s="35">
        <f>J34+J39+J43+J48+J51+J57+J62</f>
        <v/>
      </c>
      <c r="K63" s="35">
        <f>K34+K39+K43+K48+K51+K57+K62</f>
        <v/>
      </c>
      <c r="L63" s="35">
        <f>L34+L39+L43+L48+L51+L57+L62</f>
        <v/>
      </c>
      <c r="M63" s="35">
        <f>M34+M39+M43+M48+M51+M57+M62</f>
        <v/>
      </c>
      <c r="N63" s="35">
        <f>N34+N39+N43+N48+N51+N57+N62</f>
        <v/>
      </c>
      <c r="O63" s="35">
        <f>O34+O39+O43+O48+O51+O57+O62</f>
        <v/>
      </c>
      <c r="P63" s="35">
        <f>P34+P39+P43+P48+P51+P57+P62</f>
        <v/>
      </c>
      <c r="Q63" s="35">
        <f>Q34+Q39+Q43+Q48+Q51+Q57+Q62</f>
        <v/>
      </c>
      <c r="R63" s="35">
        <f>R34+R39+R43+R48+R51+R57+R62</f>
        <v/>
      </c>
      <c r="S63" s="35">
        <f>S34+S39+S43+S48+S51+S57+S62</f>
        <v/>
      </c>
      <c r="T63" s="84">
        <f>T34+T39+T43+T48+T51+T57+T62</f>
        <v/>
      </c>
      <c r="U63" s="84">
        <f>U34+U39+U43+U48+U51+U57+U62</f>
        <v/>
      </c>
      <c r="V63" s="84">
        <f>V34+V39+V43+V48+V51+V57+V62</f>
        <v/>
      </c>
      <c r="W63" s="17">
        <f>W34+W39+W43+W48+W51+W57+W62</f>
        <v/>
      </c>
      <c r="X63" s="17">
        <f>X34+X39+X43+X48+X51+X57+X62</f>
        <v/>
      </c>
      <c r="Y63" s="17">
        <f>Y34+Y39+Y43+Y48+Y51+Y57+Y62</f>
        <v/>
      </c>
      <c r="Z63" s="17">
        <f>Z34+Z39+Z43+Z48+Z51+Z57+Z62</f>
        <v/>
      </c>
      <c r="AA63" s="17">
        <f>AA34+AA39+AA43+AA48+AA51+AA57+AA62</f>
        <v/>
      </c>
      <c r="AB63" s="17">
        <f>AB34+AB39+AB43+AB48+AB51+AB57+AB62</f>
        <v/>
      </c>
      <c r="AC63" s="17">
        <f>AC34+AC39+AC43+AC48+AC51+AC57+AC62</f>
        <v/>
      </c>
      <c r="AD63" s="17">
        <f>AD34+AD39+AD43+AD48+AD51+AD57+AD62</f>
        <v/>
      </c>
      <c r="AE63" s="17">
        <f>AE34+AE39+AE43+AE48+AE51+AE57+AE62</f>
        <v/>
      </c>
      <c r="AF63" s="17">
        <f>AF34+AF39+AF43+AF48+AF51+AF57+AF62</f>
        <v/>
      </c>
      <c r="AG63" s="17">
        <f>AG34+AG39+AG43+AG48+AG51+AG57+AG62</f>
        <v/>
      </c>
      <c r="AH63" s="17">
        <f>AH34+AH39+AH43+AH48+AH51+AH57+AH62</f>
        <v/>
      </c>
      <c r="AI63" s="17">
        <f>AI34+AI39+AI43+AI48+AI51+AI57+AI62</f>
        <v/>
      </c>
      <c r="AJ63" s="17">
        <f>AJ34+AJ39+AJ43+AJ48+AJ51+AJ57+AJ62</f>
        <v/>
      </c>
      <c r="AK63" s="17">
        <f>AK34+AK39+AK43+AK48+AK51+AK57+AK62</f>
        <v/>
      </c>
      <c r="AL63" s="17">
        <f>AL34+AL39+AL43+AL48+AL51+AL57+AL62</f>
        <v/>
      </c>
      <c r="AM63" s="17">
        <f>AM34+AM39+AM43+AM48+AM51+AM57+AM62</f>
        <v/>
      </c>
      <c r="AN63" s="17">
        <f>AN34+AN39+AN43+AN48+AN51+AN57+AN62</f>
        <v/>
      </c>
      <c r="AO63" s="17">
        <f>AO34+AO39+AO43+AO48+AO51+AO57+AO62</f>
        <v/>
      </c>
      <c r="AP63" s="17">
        <f>AP34+AP39+AP43+AP48+AP51+AP57+AP62</f>
        <v/>
      </c>
      <c r="AQ63" s="17">
        <f>AQ34+AQ39+AQ43+AQ48+AQ51+AQ57+AQ62</f>
        <v/>
      </c>
      <c r="AR63" s="17">
        <f>AR34+AR39+AR43+AR48+AR51+AR57+AR62</f>
        <v/>
      </c>
      <c r="AS63" s="17">
        <f>AS34+AS39+AS43+AS48+AS51+AS57+AS62</f>
        <v/>
      </c>
      <c r="AT63" s="17">
        <f>AT34+AT39+AT43+AT48+AT51+AT57+AT62</f>
        <v/>
      </c>
      <c r="AU63" s="17">
        <f>AU34+AU39+AU43+AU48+AU51+AU57+AU62</f>
        <v/>
      </c>
      <c r="AV63" s="17">
        <f>AV34+AV39+AV43+AV48+AV51+AV57+AV62</f>
        <v/>
      </c>
      <c r="AW63" s="17">
        <f>AW34+AW39+AW43+AW48+AW51+AW57+AW62</f>
        <v/>
      </c>
      <c r="AX63" s="17">
        <f>AX34+AX39+AX43+AX48+AX51+AX57+AX62</f>
        <v/>
      </c>
      <c r="AY63" s="17">
        <f>AY34+AY39+AY43+AY48+AY51+AY57+AY62</f>
        <v/>
      </c>
    </row>
    <row r="64">
      <c r="B64" s="32" t="inlineStr">
        <is>
          <t>NET OPERATING INCOME (EBITDA)</t>
        </is>
      </c>
      <c r="C64" s="34" t="n"/>
      <c r="D64" s="35">
        <f>D27-D63</f>
        <v/>
      </c>
      <c r="E64" s="35">
        <f>E27-E63</f>
        <v/>
      </c>
      <c r="F64" s="35">
        <f>F27-F63</f>
        <v/>
      </c>
      <c r="G64" s="35">
        <f>G27-G63</f>
        <v/>
      </c>
      <c r="H64" s="35">
        <f>H27-H63</f>
        <v/>
      </c>
      <c r="I64" s="35">
        <f>I27-I63</f>
        <v/>
      </c>
      <c r="J64" s="35">
        <f>J27-J63</f>
        <v/>
      </c>
      <c r="K64" s="35">
        <f>K27-K63</f>
        <v/>
      </c>
      <c r="L64" s="35">
        <f>L27-L63</f>
        <v/>
      </c>
      <c r="M64" s="35">
        <f>M27-M63</f>
        <v/>
      </c>
      <c r="N64" s="35">
        <f>N27-N63</f>
        <v/>
      </c>
      <c r="O64" s="35">
        <f>O27-O63</f>
        <v/>
      </c>
      <c r="P64" s="35">
        <f>P27-P63</f>
        <v/>
      </c>
      <c r="Q64" s="35">
        <f>Q27-Q63</f>
        <v/>
      </c>
      <c r="R64" s="35">
        <f>R27-R63</f>
        <v/>
      </c>
      <c r="S64" s="35">
        <f>S27-S63</f>
        <v/>
      </c>
      <c r="T64" s="84">
        <f>T27-T63</f>
        <v/>
      </c>
      <c r="U64" s="84">
        <f>U27-U63</f>
        <v/>
      </c>
      <c r="V64" s="84">
        <f>V27-V63</f>
        <v/>
      </c>
      <c r="W64" s="17">
        <f>W27-W63</f>
        <v/>
      </c>
      <c r="X64" s="17">
        <f>X27-X63</f>
        <v/>
      </c>
      <c r="Y64" s="17">
        <f>Y27-Y63</f>
        <v/>
      </c>
      <c r="Z64" s="17">
        <f>Z27-Z63</f>
        <v/>
      </c>
      <c r="AA64" s="17">
        <f>AA27-AA63</f>
        <v/>
      </c>
      <c r="AB64" s="17">
        <f>AB27-AB63</f>
        <v/>
      </c>
      <c r="AC64" s="17">
        <f>AC27-AC63</f>
        <v/>
      </c>
      <c r="AD64" s="17">
        <f>AD27-AD63</f>
        <v/>
      </c>
      <c r="AE64" s="17">
        <f>AE27-AE63</f>
        <v/>
      </c>
      <c r="AF64" s="17">
        <f>AF27-AF63</f>
        <v/>
      </c>
      <c r="AG64" s="17">
        <f>AG27-AG63</f>
        <v/>
      </c>
      <c r="AH64" s="17">
        <f>AH27-AH63</f>
        <v/>
      </c>
      <c r="AI64" s="17">
        <f>AI27-AI63</f>
        <v/>
      </c>
      <c r="AJ64" s="17">
        <f>AJ27-AJ63</f>
        <v/>
      </c>
      <c r="AK64" s="17">
        <f>AK27-AK63</f>
        <v/>
      </c>
      <c r="AL64" s="17">
        <f>AL27-AL63</f>
        <v/>
      </c>
      <c r="AM64" s="17">
        <f>AM27-AM63</f>
        <v/>
      </c>
      <c r="AN64" s="17">
        <f>AN27-AN63</f>
        <v/>
      </c>
      <c r="AO64" s="17">
        <f>AO27-AO63</f>
        <v/>
      </c>
      <c r="AP64" s="17">
        <f>AP27-AP63</f>
        <v/>
      </c>
      <c r="AQ64" s="17">
        <f>AQ27-AQ63</f>
        <v/>
      </c>
      <c r="AR64" s="17">
        <f>AR27-AR63</f>
        <v/>
      </c>
      <c r="AS64" s="17">
        <f>AS27-AS63</f>
        <v/>
      </c>
      <c r="AT64" s="17">
        <f>AT27-AT63</f>
        <v/>
      </c>
      <c r="AU64" s="17">
        <f>AU27-AU63</f>
        <v/>
      </c>
      <c r="AV64" s="17">
        <f>AV27-AV63</f>
        <v/>
      </c>
      <c r="AW64" s="17">
        <f>AW27-AW63</f>
        <v/>
      </c>
      <c r="AX64" s="17">
        <f>AX27-AX63</f>
        <v/>
      </c>
      <c r="AY64" s="17">
        <f>AY27-AY63</f>
        <v/>
      </c>
    </row>
    <row r="65" ht="16" customHeight="1" s="282">
      <c r="B65" s="10" t="inlineStr">
        <is>
          <t>OTHER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</row>
    <row r="66">
      <c r="B66" s="33" t="inlineStr">
        <is>
          <t xml:space="preserve">  810000 Depreciation</t>
        </is>
      </c>
      <c r="D66" s="19" t="n">
        <v>5752.95</v>
      </c>
      <c r="E66" s="19" t="n">
        <v>5752.95</v>
      </c>
      <c r="F66" s="19" t="n">
        <v>5752.95</v>
      </c>
      <c r="G66" s="19" t="n">
        <v>5752.95</v>
      </c>
      <c r="H66" s="19" t="n">
        <v>5755.1</v>
      </c>
      <c r="I66" s="19" t="n">
        <v>5755.1</v>
      </c>
      <c r="J66" s="19" t="n">
        <v>5755.1</v>
      </c>
      <c r="K66" s="19" t="n">
        <v>5755.1</v>
      </c>
      <c r="L66" s="19" t="n">
        <v>5755.1</v>
      </c>
      <c r="M66" s="19" t="n">
        <v>5755.1</v>
      </c>
      <c r="N66" s="19" t="n">
        <v>5755.1</v>
      </c>
      <c r="O66" s="19" t="n">
        <v>-5630.1</v>
      </c>
      <c r="P66" s="19" t="n">
        <v>4879.31</v>
      </c>
      <c r="Q66" s="19" t="n">
        <v>4879.31</v>
      </c>
      <c r="R66" s="19" t="n">
        <v>4879.31</v>
      </c>
      <c r="S66" s="19" t="n">
        <v>4879.31</v>
      </c>
      <c r="T66" s="83" t="n">
        <v>4879.31</v>
      </c>
      <c r="U66" s="83" t="n">
        <v>4879.31</v>
      </c>
      <c r="V66" s="83" t="n">
        <v>4879.31</v>
      </c>
      <c r="W66" s="20" t="n">
        <v>4879.31</v>
      </c>
      <c r="X66" s="20" t="n">
        <v>4879.31</v>
      </c>
      <c r="Y66" s="20" t="n">
        <v>4879.31</v>
      </c>
      <c r="Z66" s="20" t="n">
        <v>4879.31</v>
      </c>
      <c r="AA66" s="20" t="n">
        <v>4879.31</v>
      </c>
      <c r="AB66" s="20" t="n">
        <v>4879.31</v>
      </c>
      <c r="AC66" s="20" t="n">
        <v>4879.31</v>
      </c>
      <c r="AD66" s="20" t="n">
        <v>4879.31</v>
      </c>
      <c r="AE66" s="20" t="n">
        <v>4879.31</v>
      </c>
      <c r="AF66" s="20" t="n">
        <v>4879.31</v>
      </c>
      <c r="AG66" s="20" t="n">
        <v>4879.31</v>
      </c>
      <c r="AH66" s="20" t="n">
        <v>4879.31</v>
      </c>
      <c r="AI66" s="20" t="n">
        <v>4879.31</v>
      </c>
      <c r="AJ66" s="20" t="n">
        <v>4879.31</v>
      </c>
      <c r="AK66" s="20" t="n">
        <v>4879.31</v>
      </c>
      <c r="AL66" s="20" t="n">
        <v>4879.31</v>
      </c>
      <c r="AM66" s="20" t="n">
        <v>4879.31</v>
      </c>
      <c r="AN66" s="20" t="n">
        <v>4879.31</v>
      </c>
      <c r="AO66" s="20" t="n">
        <v>4879.31</v>
      </c>
      <c r="AP66" s="20" t="n">
        <v>4879.31</v>
      </c>
      <c r="AQ66" s="20" t="n">
        <v>4879.31</v>
      </c>
      <c r="AR66" s="20" t="n">
        <v>4879.31</v>
      </c>
      <c r="AS66" s="20" t="n">
        <v>4879.31</v>
      </c>
      <c r="AT66" s="20" t="n">
        <v>4879.31</v>
      </c>
      <c r="AU66" s="20" t="n">
        <v>4879.31</v>
      </c>
      <c r="AV66" s="20" t="n">
        <v>4879.31</v>
      </c>
      <c r="AW66" s="20" t="n">
        <v>4879.31</v>
      </c>
      <c r="AX66" s="20" t="n">
        <v>4879.31</v>
      </c>
      <c r="AY66" s="20" t="n">
        <v>4879.31</v>
      </c>
    </row>
    <row r="67">
      <c r="B67" s="33" t="inlineStr">
        <is>
          <t>901000 Interest Expense (incl Other Exp/Inc)</t>
        </is>
      </c>
      <c r="D67" s="19" t="n">
        <v>0</v>
      </c>
      <c r="E67" s="19" t="n">
        <v>0</v>
      </c>
      <c r="F67" s="19" t="n">
        <v>0</v>
      </c>
      <c r="G67" s="19" t="n">
        <v>0</v>
      </c>
      <c r="H67" s="19" t="n">
        <v>0</v>
      </c>
      <c r="I67" s="19" t="n">
        <v>0</v>
      </c>
      <c r="J67" s="19" t="n">
        <v>0</v>
      </c>
      <c r="K67" s="19" t="n">
        <v>0</v>
      </c>
      <c r="L67" s="19" t="n">
        <v>0</v>
      </c>
      <c r="M67" s="19" t="n">
        <v>1397.63</v>
      </c>
      <c r="N67" s="19" t="n">
        <v>1397.63</v>
      </c>
      <c r="O67" s="19" t="n">
        <v>1397.63</v>
      </c>
      <c r="P67" s="19" t="n">
        <v>1397.63</v>
      </c>
      <c r="Q67" s="19" t="n">
        <v>1397.63</v>
      </c>
      <c r="R67" s="19" t="n">
        <v>1397.63</v>
      </c>
      <c r="S67" s="19" t="n">
        <v>2795.22</v>
      </c>
      <c r="T67" s="83" t="n">
        <v>0</v>
      </c>
      <c r="U67" s="83" t="n">
        <v>0</v>
      </c>
      <c r="V67" s="83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AN70*0.259451</f>
        <v/>
      </c>
      <c r="AO67" s="20">
        <f>AO70*0.259451</f>
        <v/>
      </c>
      <c r="AP67" s="20">
        <f>AP70*0.259451</f>
        <v/>
      </c>
      <c r="AQ67" s="20">
        <f>AQ70*0.259451</f>
        <v/>
      </c>
      <c r="AR67" s="20">
        <f>AR70*0.259451</f>
        <v/>
      </c>
      <c r="AS67" s="20">
        <f>AS70*0.259451</f>
        <v/>
      </c>
      <c r="AT67" s="20">
        <f>AT70*0.259451</f>
        <v/>
      </c>
      <c r="AU67" s="20">
        <f>AU70*0.259451</f>
        <v/>
      </c>
      <c r="AV67" s="20">
        <f>AV70*0.259451</f>
        <v/>
      </c>
      <c r="AW67" s="20">
        <f>AW70*0.259451</f>
        <v/>
      </c>
      <c r="AX67" s="20">
        <f>AX70*0.259451</f>
        <v/>
      </c>
      <c r="AY67" s="20">
        <f>AY70*0.259451</f>
        <v/>
      </c>
    </row>
    <row r="68">
      <c r="B68" s="33" t="inlineStr">
        <is>
          <t xml:space="preserve">  902000 Taxes Paid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3" t="n">
        <v>0</v>
      </c>
      <c r="U68" s="83" t="n">
        <v>0</v>
      </c>
      <c r="V68" s="83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>
        <f>AN70*0.015924</f>
        <v/>
      </c>
      <c r="AO68" s="20">
        <f>AO70*0.015924</f>
        <v/>
      </c>
      <c r="AP68" s="20">
        <f>AP70*0.015924</f>
        <v/>
      </c>
      <c r="AQ68" s="20">
        <f>AQ70*0.015924</f>
        <v/>
      </c>
      <c r="AR68" s="20">
        <f>AR70*0.015924</f>
        <v/>
      </c>
      <c r="AS68" s="20">
        <f>AS70*0.015924</f>
        <v/>
      </c>
      <c r="AT68" s="20">
        <f>AT70*0.015924</f>
        <v/>
      </c>
      <c r="AU68" s="20">
        <f>AU70*0.015924</f>
        <v/>
      </c>
      <c r="AV68" s="20">
        <f>AV70*0.015924</f>
        <v/>
      </c>
      <c r="AW68" s="20">
        <f>AW70*0.015924</f>
        <v/>
      </c>
      <c r="AX68" s="20">
        <f>AX70*0.015924</f>
        <v/>
      </c>
      <c r="AY68" s="20">
        <f>AY70*0.015924</f>
        <v/>
      </c>
    </row>
    <row r="69">
      <c r="B69" s="33" t="inlineStr">
        <is>
          <t xml:space="preserve">  903000 Property taxes</t>
        </is>
      </c>
      <c r="D69" s="19" t="n">
        <v>0</v>
      </c>
      <c r="E69" s="19" t="n">
        <v>0</v>
      </c>
      <c r="F69" s="19" t="n">
        <v>0</v>
      </c>
      <c r="G69" s="19" t="n">
        <v>0</v>
      </c>
      <c r="H69" s="19" t="n">
        <v>0</v>
      </c>
      <c r="I69" s="19" t="n">
        <v>0</v>
      </c>
      <c r="J69" s="19" t="n">
        <v>0</v>
      </c>
      <c r="K69" s="19" t="n">
        <v>0</v>
      </c>
      <c r="L69" s="19" t="n">
        <v>0</v>
      </c>
      <c r="M69" s="19" t="n">
        <v>1016.12</v>
      </c>
      <c r="N69" s="19" t="n">
        <v>0</v>
      </c>
      <c r="O69" s="19" t="n">
        <v>0</v>
      </c>
      <c r="P69" s="19" t="n">
        <v>0</v>
      </c>
      <c r="Q69" s="19" t="n">
        <v>0</v>
      </c>
      <c r="R69" s="19" t="n">
        <v>0</v>
      </c>
      <c r="S69" s="19" t="n">
        <v>0</v>
      </c>
      <c r="T69" s="83" t="n">
        <v>0</v>
      </c>
      <c r="U69" s="83" t="n">
        <v>0</v>
      </c>
      <c r="V69" s="83" t="n">
        <v>58.02</v>
      </c>
      <c r="W69" s="20" t="n">
        <v>0</v>
      </c>
      <c r="X69" s="20" t="n">
        <v>0</v>
      </c>
      <c r="Y69" s="20" t="n">
        <v>0</v>
      </c>
      <c r="Z69" s="20" t="n">
        <v>0</v>
      </c>
      <c r="AA69" s="20" t="n">
        <v>0</v>
      </c>
      <c r="AB69" s="20" t="n">
        <v>0</v>
      </c>
      <c r="AC69" s="20" t="n">
        <v>0</v>
      </c>
      <c r="AD69" s="20" t="n">
        <v>0</v>
      </c>
      <c r="AE69" s="20" t="n">
        <v>0</v>
      </c>
      <c r="AF69" s="20" t="n">
        <v>0</v>
      </c>
      <c r="AG69" s="20" t="n">
        <v>0</v>
      </c>
      <c r="AH69" s="20" t="n">
        <v>0</v>
      </c>
      <c r="AI69" s="20" t="n">
        <v>0</v>
      </c>
      <c r="AJ69" s="20" t="n">
        <v>0</v>
      </c>
      <c r="AK69" s="20" t="n">
        <v>0</v>
      </c>
      <c r="AL69" s="20" t="n">
        <v>0</v>
      </c>
      <c r="AM69" s="20" t="n">
        <v>0</v>
      </c>
      <c r="AN69" s="20" t="n">
        <v>0</v>
      </c>
      <c r="AO69" s="20" t="n">
        <v>0</v>
      </c>
      <c r="AP69" s="20" t="n">
        <v>0</v>
      </c>
      <c r="AQ69" s="20" t="n">
        <v>0</v>
      </c>
      <c r="AR69" s="20" t="n">
        <v>0</v>
      </c>
      <c r="AS69" s="20" t="n">
        <v>0</v>
      </c>
      <c r="AT69" s="20" t="n">
        <v>0</v>
      </c>
      <c r="AU69" s="20" t="n">
        <v>0</v>
      </c>
      <c r="AV69" s="20" t="n">
        <v>0</v>
      </c>
      <c r="AW69" s="20" t="n">
        <v>0</v>
      </c>
      <c r="AX69" s="20" t="n">
        <v>0</v>
      </c>
      <c r="AY69" s="20" t="n">
        <v>0</v>
      </c>
    </row>
    <row r="70">
      <c r="B70" s="32" t="inlineStr">
        <is>
          <t>Total Other Expenses</t>
        </is>
      </c>
      <c r="C70" s="34" t="n"/>
      <c r="D70" s="35">
        <f>SUM(D66:D69)</f>
        <v/>
      </c>
      <c r="E70" s="35">
        <f>SUM(E66:E69)</f>
        <v/>
      </c>
      <c r="F70" s="35">
        <f>SUM(F66:F69)</f>
        <v/>
      </c>
      <c r="G70" s="35">
        <f>SUM(G66:G69)</f>
        <v/>
      </c>
      <c r="H70" s="35">
        <f>SUM(H66:H69)</f>
        <v/>
      </c>
      <c r="I70" s="35">
        <f>SUM(I66:I69)</f>
        <v/>
      </c>
      <c r="J70" s="35">
        <f>SUM(J66:J69)</f>
        <v/>
      </c>
      <c r="K70" s="35">
        <f>SUM(K66:K69)</f>
        <v/>
      </c>
      <c r="L70" s="35">
        <f>SUM(L66:L69)</f>
        <v/>
      </c>
      <c r="M70" s="35">
        <f>SUM(M66:M69)</f>
        <v/>
      </c>
      <c r="N70" s="35">
        <f>SUM(N66:N69)</f>
        <v/>
      </c>
      <c r="O70" s="35">
        <f>SUM(O66:O69)</f>
        <v/>
      </c>
      <c r="P70" s="35">
        <f>P66+P67+P68+P69</f>
        <v/>
      </c>
      <c r="Q70" s="35">
        <f>Q66+Q67+Q68+Q69</f>
        <v/>
      </c>
      <c r="R70" s="35">
        <f>R66+R67+R68+R69</f>
        <v/>
      </c>
      <c r="S70" s="35">
        <f>S66+S67+S68+S69</f>
        <v/>
      </c>
      <c r="T70" s="84">
        <f>T66+T67+T68+T69</f>
        <v/>
      </c>
      <c r="U70" s="84">
        <f>U66+U67+U68+U69</f>
        <v/>
      </c>
      <c r="V70" s="84">
        <f>V66+V67+V68+V69</f>
        <v/>
      </c>
      <c r="W70" s="17">
        <f>SUM(W66:W69)</f>
        <v/>
      </c>
      <c r="X70" s="17">
        <f>SUM(X66:X69)</f>
        <v/>
      </c>
      <c r="Y70" s="17">
        <f>SUM(Y66:Y69)</f>
        <v/>
      </c>
      <c r="Z70" s="17">
        <f>SUM(Z66:Z69)</f>
        <v/>
      </c>
      <c r="AA70" s="17">
        <f>SUM(AA66:AA69)</f>
        <v/>
      </c>
      <c r="AB70" s="17">
        <f>SUM(AB66:AB69)</f>
        <v/>
      </c>
      <c r="AC70" s="17">
        <f>SUM(AC66:AC69)</f>
        <v/>
      </c>
      <c r="AD70" s="17">
        <f>SUM(AD66:AD69)</f>
        <v/>
      </c>
      <c r="AE70" s="17">
        <f>SUM(AE66:AE69)</f>
        <v/>
      </c>
      <c r="AF70" s="17">
        <f>SUM(AF66:AF69)</f>
        <v/>
      </c>
      <c r="AG70" s="17">
        <f>SUM(AG66:AG69)</f>
        <v/>
      </c>
      <c r="AH70" s="17">
        <f>SUM(AH66:AH69)</f>
        <v/>
      </c>
      <c r="AI70" s="17">
        <f>SUM(AI66:AI69)</f>
        <v/>
      </c>
      <c r="AJ70" s="17">
        <f>SUM(AJ66:AJ69)</f>
        <v/>
      </c>
      <c r="AK70" s="17">
        <f>SUM(AK66:AK69)</f>
        <v/>
      </c>
      <c r="AL70" s="17">
        <f>SUM(AL66:AL69)</f>
        <v/>
      </c>
      <c r="AM70" s="17">
        <f>SUM(AM66:AM69)</f>
        <v/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</row>
    <row r="71">
      <c r="B71" s="32" t="inlineStr">
        <is>
          <t>NET INCOME</t>
        </is>
      </c>
      <c r="C71" s="34" t="n"/>
      <c r="D71" s="35">
        <f>D64-D70</f>
        <v/>
      </c>
      <c r="E71" s="35">
        <f>E64-E70</f>
        <v/>
      </c>
      <c r="F71" s="35">
        <f>F64-F70</f>
        <v/>
      </c>
      <c r="G71" s="35">
        <f>G64-G70</f>
        <v/>
      </c>
      <c r="H71" s="35">
        <f>H64-H70</f>
        <v/>
      </c>
      <c r="I71" s="35">
        <f>I64-I70</f>
        <v/>
      </c>
      <c r="J71" s="35">
        <f>J64-J70</f>
        <v/>
      </c>
      <c r="K71" s="35">
        <f>K64-K70</f>
        <v/>
      </c>
      <c r="L71" s="35">
        <f>L64-L70</f>
        <v/>
      </c>
      <c r="M71" s="35">
        <f>M64-M70</f>
        <v/>
      </c>
      <c r="N71" s="35">
        <f>N64-N70</f>
        <v/>
      </c>
      <c r="O71" s="35">
        <f>O64-O70</f>
        <v/>
      </c>
      <c r="P71" s="35">
        <f>P64-P70</f>
        <v/>
      </c>
      <c r="Q71" s="35">
        <f>Q64-Q70</f>
        <v/>
      </c>
      <c r="R71" s="35">
        <f>R64-R70</f>
        <v/>
      </c>
      <c r="S71" s="35">
        <f>S64-S70</f>
        <v/>
      </c>
      <c r="T71" s="84">
        <f>T64-T70</f>
        <v/>
      </c>
      <c r="U71" s="84">
        <f>U64-U70</f>
        <v/>
      </c>
      <c r="V71" s="84">
        <f>V64-V70</f>
        <v/>
      </c>
      <c r="W71" s="17">
        <f>W64-W70</f>
        <v/>
      </c>
      <c r="X71" s="17">
        <f>X64-X70</f>
        <v/>
      </c>
      <c r="Y71" s="17">
        <f>Y64-Y70</f>
        <v/>
      </c>
      <c r="Z71" s="17">
        <f>Z64-Z70</f>
        <v/>
      </c>
      <c r="AA71" s="17">
        <f>AA64-AA70</f>
        <v/>
      </c>
      <c r="AB71" s="17">
        <f>AB64-AB70</f>
        <v/>
      </c>
      <c r="AC71" s="17">
        <f>AC64-AC70</f>
        <v/>
      </c>
      <c r="AD71" s="17">
        <f>AD64-AD70</f>
        <v/>
      </c>
      <c r="AE71" s="17">
        <f>AE64-AE70</f>
        <v/>
      </c>
      <c r="AF71" s="17">
        <f>AF64-AF70</f>
        <v/>
      </c>
      <c r="AG71" s="17">
        <f>AG64-AG70</f>
        <v/>
      </c>
      <c r="AH71" s="17">
        <f>AH64-AH70</f>
        <v/>
      </c>
      <c r="AI71" s="17">
        <f>AI64-AI70</f>
        <v/>
      </c>
      <c r="AJ71" s="17">
        <f>AJ64-AJ70</f>
        <v/>
      </c>
      <c r="AK71" s="17">
        <f>AK64-AK70</f>
        <v/>
      </c>
      <c r="AL71" s="17">
        <f>AL64-AL70</f>
        <v/>
      </c>
      <c r="AM71" s="17">
        <f>AM64-AM70</f>
        <v/>
      </c>
      <c r="AN71" s="17">
        <f>AN64-AN70</f>
        <v/>
      </c>
      <c r="AO71" s="17">
        <f>AO64-AO70</f>
        <v/>
      </c>
      <c r="AP71" s="17">
        <f>AP64-AP70</f>
        <v/>
      </c>
      <c r="AQ71" s="17">
        <f>AQ64-AQ70</f>
        <v/>
      </c>
      <c r="AR71" s="17">
        <f>AR64-AR70</f>
        <v/>
      </c>
      <c r="AS71" s="17">
        <f>AS64-AS70</f>
        <v/>
      </c>
      <c r="AT71" s="17">
        <f>AT64-AT70</f>
        <v/>
      </c>
      <c r="AU71" s="17">
        <f>AU64-AU70</f>
        <v/>
      </c>
      <c r="AV71" s="17">
        <f>AV64-AV70</f>
        <v/>
      </c>
      <c r="AW71" s="17">
        <f>AW64-AW70</f>
        <v/>
      </c>
      <c r="AX71" s="17">
        <f>AX64-AX70</f>
        <v/>
      </c>
      <c r="AY71" s="17">
        <f>AY64-AY70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ED7D31"/>
    <outlinePr summaryBelow="1" summaryRight="1"/>
    <pageSetUpPr/>
  </sheetPr>
  <dimension ref="B2:BB70"/>
  <sheetViews>
    <sheetView showGridLines="0" workbookViewId="0">
      <pane xSplit="3" ySplit="5" topLeftCell="AK6" activePane="bottomRight" state="frozen"/>
      <selection activeCell="W21" sqref="W21"/>
      <selection pane="topRight" activeCell="W21" sqref="W21"/>
      <selection pane="bottomLeft" activeCell="W21" sqref="W21"/>
      <selection pane="bottomRight" activeCell="AY13" sqref="AY13"/>
    </sheetView>
  </sheetViews>
  <sheetFormatPr baseColWidth="10" defaultColWidth="8.83203125" defaultRowHeight="15"/>
  <cols>
    <col hidden="1" width="2" customWidth="1" style="282" min="1" max="1"/>
    <col width="32" customWidth="1" style="282" min="2" max="2"/>
    <col width="10" customWidth="1" style="282" min="3" max="3"/>
    <col width="12" customWidth="1" style="282" min="4" max="39"/>
    <col width="13.33203125" customWidth="1" style="282" min="53" max="53"/>
  </cols>
  <sheetData>
    <row r="2" ht="21" customHeight="1" s="282">
      <c r="B2" s="9" t="inlineStr">
        <is>
          <t>Marin (MR) — Profit &amp; Loss</t>
        </is>
      </c>
      <c r="T2" s="24" t="n"/>
      <c r="U2" s="24" t="n"/>
    </row>
    <row r="4" ht="16" customHeight="1" s="28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01" t="inlineStr">
        <is>
          <t>Revenue Segments as % of Total (LTM)</t>
        </is>
      </c>
    </row>
    <row r="6" ht="16" customHeight="1" s="28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BA6" s="272" t="inlineStr">
        <is>
          <t>LTM May 2026</t>
        </is>
      </c>
    </row>
    <row r="7">
      <c r="B7" s="33" t="inlineStr">
        <is>
          <t xml:space="preserve">  401001 Machine</t>
        </is>
      </c>
      <c r="D7" s="19" t="n">
        <v>41</v>
      </c>
      <c r="E7" s="19" t="n">
        <v>0</v>
      </c>
      <c r="F7" s="19" t="n">
        <v>0</v>
      </c>
      <c r="G7" s="19" t="n">
        <v>2253.89</v>
      </c>
      <c r="H7" s="19" t="n">
        <v>28861.02</v>
      </c>
      <c r="I7" s="19" t="n">
        <v>43872.6</v>
      </c>
      <c r="J7" s="19" t="n">
        <v>43488.24</v>
      </c>
      <c r="K7" s="19" t="n">
        <v>48689.39</v>
      </c>
      <c r="L7" s="19" t="n">
        <v>52237.45</v>
      </c>
      <c r="M7" s="19" t="n">
        <v>52310.79</v>
      </c>
      <c r="N7" s="19" t="n">
        <v>52232.59</v>
      </c>
      <c r="O7" s="19" t="n">
        <v>53926.73</v>
      </c>
      <c r="P7" s="19" t="n">
        <v>66390.10000000001</v>
      </c>
      <c r="Q7" s="19" t="n">
        <v>57638.22</v>
      </c>
      <c r="R7" s="19" t="n">
        <v>61907.98</v>
      </c>
      <c r="S7" s="19" t="n">
        <v>57698.67</v>
      </c>
      <c r="T7" s="83" t="n">
        <v>58826.6</v>
      </c>
      <c r="U7" s="83" t="n">
        <v>53816.21</v>
      </c>
      <c r="V7" s="83" t="n">
        <v>51729.97</v>
      </c>
      <c r="W7" s="20">
        <f>W13*0.654758</f>
        <v/>
      </c>
      <c r="X7" s="20">
        <f>X13*0.654758</f>
        <v/>
      </c>
      <c r="Y7" s="20">
        <f>Y13*0.654758</f>
        <v/>
      </c>
      <c r="Z7" s="20">
        <f>Z13*0.654758</f>
        <v/>
      </c>
      <c r="AA7" s="20">
        <f>AA13*0.654758</f>
        <v/>
      </c>
      <c r="AB7" s="20">
        <f>AB13*0.654758</f>
        <v/>
      </c>
      <c r="AC7" s="20">
        <f>AC13*0.654758</f>
        <v/>
      </c>
      <c r="AD7" s="20">
        <f>AD13*0.654758</f>
        <v/>
      </c>
      <c r="AE7" s="20">
        <f>AE13*0.654758</f>
        <v/>
      </c>
      <c r="AF7" s="20">
        <f>AF13*0.654758</f>
        <v/>
      </c>
      <c r="AG7" s="20">
        <f>AG13*0.654758</f>
        <v/>
      </c>
      <c r="AH7" s="20">
        <f>AH13*0.654758</f>
        <v/>
      </c>
      <c r="AI7" s="20">
        <f>AI13*0.654758</f>
        <v/>
      </c>
      <c r="AJ7" s="20">
        <f>AJ13*0.654758</f>
        <v/>
      </c>
      <c r="AK7" s="20">
        <f>AK13*0.654758</f>
        <v/>
      </c>
      <c r="AL7" s="20">
        <f>AL13*0.654758</f>
        <v/>
      </c>
      <c r="AM7" s="20">
        <f>AM13*0.654758</f>
        <v/>
      </c>
      <c r="AN7" s="20">
        <f>AN13*0.654758</f>
        <v/>
      </c>
      <c r="AO7" s="20">
        <f>AO13*0.654758</f>
        <v/>
      </c>
      <c r="AP7" s="20">
        <f>AP13*0.654758</f>
        <v/>
      </c>
      <c r="AQ7" s="20">
        <f>AQ13*0.654758</f>
        <v/>
      </c>
      <c r="AR7" s="20">
        <f>AR13*0.654758</f>
        <v/>
      </c>
      <c r="AS7" s="20">
        <f>AS13*0.654758</f>
        <v/>
      </c>
      <c r="AT7" s="20">
        <f>AT13*0.654758</f>
        <v/>
      </c>
      <c r="AU7" s="20">
        <f>AU13*0.654758</f>
        <v/>
      </c>
      <c r="AV7" s="20">
        <f>AV13*0.654758</f>
        <v/>
      </c>
      <c r="AW7" s="20">
        <f>AW13*0.654758</f>
        <v/>
      </c>
      <c r="AX7" s="20">
        <f>AX13*0.654758</f>
        <v/>
      </c>
      <c r="AY7" s="20">
        <f>AY13*0.654758</f>
        <v/>
      </c>
      <c r="BA7" s="288">
        <f>SUM(I7:T7)</f>
        <v/>
      </c>
      <c r="BB7" s="274">
        <f>BA7/$BA$21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1482</v>
      </c>
      <c r="H8" s="19" t="n">
        <v>3928</v>
      </c>
      <c r="I8" s="19" t="n">
        <v>6650</v>
      </c>
      <c r="J8" s="19" t="n">
        <v>9431</v>
      </c>
      <c r="K8" s="19" t="n">
        <v>10491.11</v>
      </c>
      <c r="L8" s="19" t="n">
        <v>11501.74</v>
      </c>
      <c r="M8" s="19" t="n">
        <v>12151.47</v>
      </c>
      <c r="N8" s="19" t="n">
        <v>9104.370000000001</v>
      </c>
      <c r="O8" s="19" t="n">
        <v>9766</v>
      </c>
      <c r="P8" s="19" t="n">
        <v>13459.2</v>
      </c>
      <c r="Q8" s="19" t="n">
        <v>12282.8</v>
      </c>
      <c r="R8" s="19" t="n">
        <v>19346.2</v>
      </c>
      <c r="S8" s="19" t="n">
        <v>18371.4</v>
      </c>
      <c r="T8" s="83" t="n">
        <v>13628</v>
      </c>
      <c r="U8" s="83" t="n">
        <v>12226.4</v>
      </c>
      <c r="V8" s="83" t="n">
        <v>11587.4</v>
      </c>
      <c r="W8" s="20">
        <f>W13*0.170545</f>
        <v/>
      </c>
      <c r="X8" s="20">
        <f>X13*0.170545</f>
        <v/>
      </c>
      <c r="Y8" s="20">
        <f>Y13*0.170545</f>
        <v/>
      </c>
      <c r="Z8" s="20">
        <f>Z13*0.170545</f>
        <v/>
      </c>
      <c r="AA8" s="20">
        <f>AA13*0.170545</f>
        <v/>
      </c>
      <c r="AB8" s="20">
        <f>AB13*0.170545</f>
        <v/>
      </c>
      <c r="AC8" s="20">
        <f>AC13*0.170545</f>
        <v/>
      </c>
      <c r="AD8" s="20">
        <f>AD13*0.170545</f>
        <v/>
      </c>
      <c r="AE8" s="20">
        <f>AE13*0.170545</f>
        <v/>
      </c>
      <c r="AF8" s="20">
        <f>AF13*0.170545</f>
        <v/>
      </c>
      <c r="AG8" s="20">
        <f>AG13*0.170545</f>
        <v/>
      </c>
      <c r="AH8" s="20">
        <f>AH13*0.170545</f>
        <v/>
      </c>
      <c r="AI8" s="20">
        <f>AI13*0.170545</f>
        <v/>
      </c>
      <c r="AJ8" s="20">
        <f>AJ13*0.170545</f>
        <v/>
      </c>
      <c r="AK8" s="20">
        <f>AK13*0.170545</f>
        <v/>
      </c>
      <c r="AL8" s="20">
        <f>AL13*0.170545</f>
        <v/>
      </c>
      <c r="AM8" s="20">
        <f>AM13*0.170545</f>
        <v/>
      </c>
      <c r="AN8" s="20">
        <f>AN13*0.170545</f>
        <v/>
      </c>
      <c r="AO8" s="20">
        <f>AO13*0.170545</f>
        <v/>
      </c>
      <c r="AP8" s="20">
        <f>AP13*0.170545</f>
        <v/>
      </c>
      <c r="AQ8" s="20">
        <f>AQ13*0.170545</f>
        <v/>
      </c>
      <c r="AR8" s="20">
        <f>AR13*0.170545</f>
        <v/>
      </c>
      <c r="AS8" s="20">
        <f>AS13*0.170545</f>
        <v/>
      </c>
      <c r="AT8" s="20">
        <f>AT13*0.170545</f>
        <v/>
      </c>
      <c r="AU8" s="20">
        <f>AU13*0.170545</f>
        <v/>
      </c>
      <c r="AV8" s="20">
        <f>AV13*0.170545</f>
        <v/>
      </c>
      <c r="AW8" s="20">
        <f>AW13*0.170545</f>
        <v/>
      </c>
      <c r="AX8" s="20">
        <f>AX13*0.170545</f>
        <v/>
      </c>
      <c r="AY8" s="20">
        <f>AY13*0.170545</f>
        <v/>
      </c>
      <c r="BA8" s="288">
        <f>SUM(I8:T8)</f>
        <v/>
      </c>
      <c r="BB8" s="274">
        <f>BA8/$BA$21</f>
        <v/>
      </c>
    </row>
    <row r="9">
      <c r="B9" s="33" t="inlineStr">
        <is>
          <t xml:space="preserve">  401003 Class Pass</t>
        </is>
      </c>
      <c r="D9" s="19" t="n">
        <v>14810.8</v>
      </c>
      <c r="E9" s="19" t="n">
        <v>13784.12</v>
      </c>
      <c r="F9" s="19" t="n">
        <v>15759.03</v>
      </c>
      <c r="G9" s="19" t="n">
        <v>12950.11</v>
      </c>
      <c r="H9" s="19" t="n">
        <v>15157.7</v>
      </c>
      <c r="I9" s="19" t="n">
        <v>13042.36</v>
      </c>
      <c r="J9" s="19" t="n">
        <v>13417.1</v>
      </c>
      <c r="K9" s="19" t="n">
        <v>13646.89</v>
      </c>
      <c r="L9" s="19" t="n">
        <v>13218.05</v>
      </c>
      <c r="M9" s="19" t="n">
        <v>14113.32</v>
      </c>
      <c r="N9" s="19" t="n">
        <v>13727.82</v>
      </c>
      <c r="O9" s="19" t="n">
        <v>13226.33</v>
      </c>
      <c r="P9" s="19" t="n">
        <v>16446.44</v>
      </c>
      <c r="Q9" s="19" t="n">
        <v>14096.07</v>
      </c>
      <c r="R9" s="19" t="n">
        <v>15599.46</v>
      </c>
      <c r="S9" s="19" t="n">
        <v>15734</v>
      </c>
      <c r="T9" s="83" t="n">
        <v>13231.37</v>
      </c>
      <c r="U9" s="83" t="n">
        <v>14325.38</v>
      </c>
      <c r="V9" s="83" t="n">
        <v>13483</v>
      </c>
      <c r="W9" s="20">
        <f>W13*0.166289</f>
        <v/>
      </c>
      <c r="X9" s="20">
        <f>X13*0.166289</f>
        <v/>
      </c>
      <c r="Y9" s="20">
        <f>Y13*0.166289</f>
        <v/>
      </c>
      <c r="Z9" s="20">
        <f>Z13*0.166289</f>
        <v/>
      </c>
      <c r="AA9" s="20">
        <f>AA13*0.166289</f>
        <v/>
      </c>
      <c r="AB9" s="20">
        <f>AB13*0.166289</f>
        <v/>
      </c>
      <c r="AC9" s="20">
        <f>AC13*0.166289</f>
        <v/>
      </c>
      <c r="AD9" s="20">
        <f>AD13*0.166289</f>
        <v/>
      </c>
      <c r="AE9" s="20">
        <f>AE13*0.166289</f>
        <v/>
      </c>
      <c r="AF9" s="20">
        <f>AF13*0.166289</f>
        <v/>
      </c>
      <c r="AG9" s="20">
        <f>AG13*0.166289</f>
        <v/>
      </c>
      <c r="AH9" s="20">
        <f>AH13*0.166289</f>
        <v/>
      </c>
      <c r="AI9" s="20">
        <f>AI13*0.166289</f>
        <v/>
      </c>
      <c r="AJ9" s="20">
        <f>AJ13*0.166289</f>
        <v/>
      </c>
      <c r="AK9" s="20">
        <f>AK13*0.166289</f>
        <v/>
      </c>
      <c r="AL9" s="20">
        <f>AL13*0.166289</f>
        <v/>
      </c>
      <c r="AM9" s="20">
        <f>AM13*0.166289</f>
        <v/>
      </c>
      <c r="AN9" s="20">
        <f>AN13*0.166289</f>
        <v/>
      </c>
      <c r="AO9" s="20">
        <f>AO13*0.166289</f>
        <v/>
      </c>
      <c r="AP9" s="20">
        <f>AP13*0.166289</f>
        <v/>
      </c>
      <c r="AQ9" s="20">
        <f>AQ13*0.166289</f>
        <v/>
      </c>
      <c r="AR9" s="20">
        <f>AR13*0.166289</f>
        <v/>
      </c>
      <c r="AS9" s="20">
        <f>AS13*0.166289</f>
        <v/>
      </c>
      <c r="AT9" s="20">
        <f>AT13*0.166289</f>
        <v/>
      </c>
      <c r="AU9" s="20">
        <f>AU13*0.166289</f>
        <v/>
      </c>
      <c r="AV9" s="20">
        <f>AV13*0.166289</f>
        <v/>
      </c>
      <c r="AW9" s="20">
        <f>AW13*0.166289</f>
        <v/>
      </c>
      <c r="AX9" s="20">
        <f>AX13*0.166289</f>
        <v/>
      </c>
      <c r="AY9" s="20">
        <f>AY13*0.166289</f>
        <v/>
      </c>
      <c r="BA9" s="288">
        <f>SUM(I9:T9)</f>
        <v/>
      </c>
      <c r="BB9" s="274">
        <f>BA9/$BA$21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960</v>
      </c>
      <c r="I10" s="19" t="n">
        <v>1000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34358.32</v>
      </c>
      <c r="R10" s="19" t="n">
        <v>959.6799999999999</v>
      </c>
      <c r="S10" s="19" t="n">
        <v>0</v>
      </c>
      <c r="T10" s="83" t="n">
        <v>17744.69</v>
      </c>
      <c r="U10" s="83" t="n">
        <v>1930.5</v>
      </c>
      <c r="V10" s="83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0" t="n">
        <v>0</v>
      </c>
      <c r="AP10" s="20" t="n">
        <v>0</v>
      </c>
      <c r="AQ10" s="20" t="n">
        <v>0</v>
      </c>
      <c r="AR10" s="20" t="n">
        <v>0</v>
      </c>
      <c r="AS10" s="20" t="n">
        <v>0</v>
      </c>
      <c r="AT10" s="20" t="n">
        <v>0</v>
      </c>
      <c r="AU10" s="20" t="n">
        <v>0</v>
      </c>
      <c r="AV10" s="20" t="n">
        <v>0</v>
      </c>
      <c r="AW10" s="20" t="n">
        <v>0</v>
      </c>
      <c r="AX10" s="20" t="n">
        <v>0</v>
      </c>
      <c r="AY10" s="20" t="n">
        <v>0</v>
      </c>
      <c r="BA10" s="288">
        <f>SUM(I10:T10)</f>
        <v/>
      </c>
      <c r="BB10" s="274">
        <f>BA10/$BA$21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241.29</v>
      </c>
      <c r="J11" s="19" t="n">
        <v>101.45</v>
      </c>
      <c r="K11" s="19" t="n">
        <v>57.59</v>
      </c>
      <c r="L11" s="19" t="n">
        <v>54.07</v>
      </c>
      <c r="M11" s="19" t="n">
        <v>16.13</v>
      </c>
      <c r="N11" s="19" t="n">
        <v>22.86</v>
      </c>
      <c r="O11" s="19" t="n">
        <v>30.18</v>
      </c>
      <c r="P11" s="19" t="n">
        <v>58.96</v>
      </c>
      <c r="Q11" s="19" t="n">
        <v>124.33</v>
      </c>
      <c r="R11" s="19" t="n">
        <v>48.89</v>
      </c>
      <c r="S11" s="19" t="n">
        <v>48.07</v>
      </c>
      <c r="T11" s="83" t="n">
        <v>35.16</v>
      </c>
      <c r="U11" s="83" t="n">
        <v>4.2</v>
      </c>
      <c r="V11" s="83" t="n">
        <v>2.67</v>
      </c>
      <c r="W11" s="20">
        <f>W13*0.000753</f>
        <v/>
      </c>
      <c r="X11" s="20">
        <f>X13*0.000753</f>
        <v/>
      </c>
      <c r="Y11" s="20">
        <f>Y13*0.000753</f>
        <v/>
      </c>
      <c r="Z11" s="20">
        <f>Z13*0.000753</f>
        <v/>
      </c>
      <c r="AA11" s="20">
        <f>AA13*0.000753</f>
        <v/>
      </c>
      <c r="AB11" s="20">
        <f>AB13*0.000753</f>
        <v/>
      </c>
      <c r="AC11" s="20">
        <f>AC13*0.000753</f>
        <v/>
      </c>
      <c r="AD11" s="20">
        <f>AD13*0.000753</f>
        <v/>
      </c>
      <c r="AE11" s="20">
        <f>AE13*0.000753</f>
        <v/>
      </c>
      <c r="AF11" s="20">
        <f>AF13*0.000753</f>
        <v/>
      </c>
      <c r="AG11" s="20">
        <f>AG13*0.000753</f>
        <v/>
      </c>
      <c r="AH11" s="20">
        <f>AH13*0.000753</f>
        <v/>
      </c>
      <c r="AI11" s="20">
        <f>AI13*0.000753</f>
        <v/>
      </c>
      <c r="AJ11" s="20">
        <f>AJ13*0.000753</f>
        <v/>
      </c>
      <c r="AK11" s="20">
        <f>AK13*0.000753</f>
        <v/>
      </c>
      <c r="AL11" s="20">
        <f>AL13*0.000753</f>
        <v/>
      </c>
      <c r="AM11" s="20">
        <f>AM13*0.000753</f>
        <v/>
      </c>
      <c r="AN11" s="20">
        <f>AN13*0.000753</f>
        <v/>
      </c>
      <c r="AO11" s="20">
        <f>AO13*0.000753</f>
        <v/>
      </c>
      <c r="AP11" s="20">
        <f>AP13*0.000753</f>
        <v/>
      </c>
      <c r="AQ11" s="20">
        <f>AQ13*0.000753</f>
        <v/>
      </c>
      <c r="AR11" s="20">
        <f>AR13*0.000753</f>
        <v/>
      </c>
      <c r="AS11" s="20">
        <f>AS13*0.000753</f>
        <v/>
      </c>
      <c r="AT11" s="20">
        <f>AT13*0.000753</f>
        <v/>
      </c>
      <c r="AU11" s="20">
        <f>AU13*0.000753</f>
        <v/>
      </c>
      <c r="AV11" s="20">
        <f>AV13*0.000753</f>
        <v/>
      </c>
      <c r="AW11" s="20">
        <f>AW13*0.000753</f>
        <v/>
      </c>
      <c r="AX11" s="20">
        <f>AX13*0.000753</f>
        <v/>
      </c>
      <c r="AY11" s="20">
        <f>AY13*0.000753</f>
        <v/>
      </c>
      <c r="BA11" s="288">
        <f>SUM(I11:T11)</f>
        <v/>
      </c>
      <c r="BB11" s="274">
        <f>BA11/$BA$21</f>
        <v/>
      </c>
    </row>
    <row r="12">
      <c r="B12" s="33" t="inlineStr">
        <is>
          <t xml:space="preserve">  401006 Wellhub</t>
        </is>
      </c>
      <c r="D12" s="19" t="n">
        <v>511.88</v>
      </c>
      <c r="E12" s="19" t="n">
        <v>436.77</v>
      </c>
      <c r="F12" s="19" t="n">
        <v>612.02</v>
      </c>
      <c r="G12" s="19" t="n">
        <v>642.61</v>
      </c>
      <c r="H12" s="19" t="n">
        <v>556.4</v>
      </c>
      <c r="I12" s="19" t="n">
        <v>798.4299999999999</v>
      </c>
      <c r="J12" s="19" t="n">
        <v>575.87</v>
      </c>
      <c r="K12" s="19" t="n">
        <v>826.23</v>
      </c>
      <c r="L12" s="19" t="n">
        <v>826.25</v>
      </c>
      <c r="M12" s="19" t="n">
        <v>333.84</v>
      </c>
      <c r="N12" s="19" t="n">
        <v>445.12</v>
      </c>
      <c r="O12" s="19" t="n">
        <v>500.76</v>
      </c>
      <c r="P12" s="19" t="n">
        <v>973.6799999999999</v>
      </c>
      <c r="Q12" s="19" t="n">
        <v>603.6900000000001</v>
      </c>
      <c r="R12" s="19" t="n">
        <v>687.15</v>
      </c>
      <c r="S12" s="19" t="n">
        <v>584.2</v>
      </c>
      <c r="T12" s="83" t="n">
        <v>556.38</v>
      </c>
      <c r="U12" s="83" t="n">
        <v>770.59</v>
      </c>
      <c r="V12" s="83" t="n">
        <v>751.12</v>
      </c>
      <c r="W12" s="20">
        <f>W13*0.007656</f>
        <v/>
      </c>
      <c r="X12" s="20">
        <f>X13*0.007656</f>
        <v/>
      </c>
      <c r="Y12" s="20">
        <f>Y13*0.007656</f>
        <v/>
      </c>
      <c r="Z12" s="20">
        <f>Z13*0.007656</f>
        <v/>
      </c>
      <c r="AA12" s="20">
        <f>AA13*0.007656</f>
        <v/>
      </c>
      <c r="AB12" s="20">
        <f>AB13*0.007656</f>
        <v/>
      </c>
      <c r="AC12" s="20">
        <f>AC13*0.007656</f>
        <v/>
      </c>
      <c r="AD12" s="20">
        <f>AD13*0.007656</f>
        <v/>
      </c>
      <c r="AE12" s="20">
        <f>AE13*0.007656</f>
        <v/>
      </c>
      <c r="AF12" s="20">
        <f>AF13*0.007656</f>
        <v/>
      </c>
      <c r="AG12" s="20">
        <f>AG13*0.007656</f>
        <v/>
      </c>
      <c r="AH12" s="20">
        <f>AH13*0.007656</f>
        <v/>
      </c>
      <c r="AI12" s="20">
        <f>AI13*0.007656</f>
        <v/>
      </c>
      <c r="AJ12" s="20">
        <f>AJ13*0.007656</f>
        <v/>
      </c>
      <c r="AK12" s="20">
        <f>AK13*0.007656</f>
        <v/>
      </c>
      <c r="AL12" s="20">
        <f>AL13*0.007656</f>
        <v/>
      </c>
      <c r="AM12" s="20">
        <f>AM13*0.007656</f>
        <v/>
      </c>
      <c r="AN12" s="20">
        <f>AN13*0.007656</f>
        <v/>
      </c>
      <c r="AO12" s="20">
        <f>AO13*0.007656</f>
        <v/>
      </c>
      <c r="AP12" s="20">
        <f>AP13*0.007656</f>
        <v/>
      </c>
      <c r="AQ12" s="20">
        <f>AQ13*0.007656</f>
        <v/>
      </c>
      <c r="AR12" s="20">
        <f>AR13*0.007656</f>
        <v/>
      </c>
      <c r="AS12" s="20">
        <f>AS13*0.007656</f>
        <v/>
      </c>
      <c r="AT12" s="20">
        <f>AT13*0.007656</f>
        <v/>
      </c>
      <c r="AU12" s="20">
        <f>AU13*0.007656</f>
        <v/>
      </c>
      <c r="AV12" s="20">
        <f>AV13*0.007656</f>
        <v/>
      </c>
      <c r="AW12" s="20">
        <f>AW13*0.007656</f>
        <v/>
      </c>
      <c r="AX12" s="20">
        <f>AX13*0.007656</f>
        <v/>
      </c>
      <c r="AY12" s="20">
        <f>AY13*0.007656</f>
        <v/>
      </c>
      <c r="BA12" s="288">
        <f>SUM(I12:T12)</f>
        <v/>
      </c>
      <c r="BB12" s="274">
        <f>BA12/$BA$21</f>
        <v/>
      </c>
    </row>
    <row r="13">
      <c r="B13" s="32" t="inlineStr">
        <is>
          <t>Total Sessions</t>
        </is>
      </c>
      <c r="C13" s="34" t="n"/>
      <c r="D13" s="35">
        <f>SUM(D7:D12)</f>
        <v/>
      </c>
      <c r="E13" s="35">
        <f>SUM(E7:E12)</f>
        <v/>
      </c>
      <c r="F13" s="35">
        <f>SUM(F7:F12)</f>
        <v/>
      </c>
      <c r="G13" s="35">
        <f>SUM(G7:G12)</f>
        <v/>
      </c>
      <c r="H13" s="35">
        <f>SUM(H7:H12)</f>
        <v/>
      </c>
      <c r="I13" s="35">
        <f>SUM(I7:I12)</f>
        <v/>
      </c>
      <c r="J13" s="35">
        <f>SUM(J7:J12)</f>
        <v/>
      </c>
      <c r="K13" s="35">
        <f>SUM(K7:K12)</f>
        <v/>
      </c>
      <c r="L13" s="35">
        <f>SUM(L7:L12)</f>
        <v/>
      </c>
      <c r="M13" s="35">
        <f>SUM(M7:M12)</f>
        <v/>
      </c>
      <c r="N13" s="35">
        <f>SUM(N7:N12)</f>
        <v/>
      </c>
      <c r="O13" s="35">
        <f>SUM(O7:O12)</f>
        <v/>
      </c>
      <c r="P13" s="35">
        <f>P7+P8+P9+P10+P11+P12</f>
        <v/>
      </c>
      <c r="Q13" s="35">
        <f>Q7+Q8+Q9+Q10+Q11+Q12</f>
        <v/>
      </c>
      <c r="R13" s="35">
        <f>R7+R8+R9+R10+R11+R12</f>
        <v/>
      </c>
      <c r="S13" s="35">
        <f>S7+S8+S9+S10+S11+S12</f>
        <v/>
      </c>
      <c r="T13" s="84">
        <f>T7+T8+T9+T10+T11+T12</f>
        <v/>
      </c>
      <c r="U13" s="84">
        <f>U7+U8+U9+U10+U11+U12</f>
        <v/>
      </c>
      <c r="V13" s="84">
        <f>V7+V8+V9+V10+V11+V12</f>
        <v/>
      </c>
      <c r="W13" s="17">
        <f>'Sales Forecast'!W10*Assumptions!$C$12+'Sales Forecast'!V10*Assumptions!$D$12+'Sales Forecast'!U10*Assumptions!$E$12+'Sales Forecast'!T10*Assumptions!$F$12+'Sales Forecast'!S10*Assumptions!$G$12+'Sales Forecast'!R10*Assumptions!$H$12+'Sales Forecast'!Q10*Assumptions!$I$12</f>
        <v/>
      </c>
      <c r="X13" s="17">
        <f>'Sales Forecast'!X10*Assumptions!$C$12+'Sales Forecast'!W10*Assumptions!$D$12+'Sales Forecast'!V10*Assumptions!$E$12+'Sales Forecast'!U10*Assumptions!$F$12+'Sales Forecast'!T10*Assumptions!$G$12+'Sales Forecast'!S10*Assumptions!$H$12+'Sales Forecast'!R10*Assumptions!$I$12</f>
        <v/>
      </c>
      <c r="Y13" s="17">
        <f>'Sales Forecast'!Y10*Assumptions!$C$12+'Sales Forecast'!X10*Assumptions!$D$12+'Sales Forecast'!W10*Assumptions!$E$12+'Sales Forecast'!V10*Assumptions!$F$12+'Sales Forecast'!U10*Assumptions!$G$12+'Sales Forecast'!T10*Assumptions!$H$12+'Sales Forecast'!S10*Assumptions!$I$12</f>
        <v/>
      </c>
      <c r="Z13" s="17">
        <f>'Sales Forecast'!Z10*Assumptions!$C$12+'Sales Forecast'!Y10*Assumptions!$D$12+'Sales Forecast'!X10*Assumptions!$E$12+'Sales Forecast'!W10*Assumptions!$F$12+'Sales Forecast'!V10*Assumptions!$G$12+'Sales Forecast'!U10*Assumptions!$H$12+'Sales Forecast'!T10*Assumptions!$I$12</f>
        <v/>
      </c>
      <c r="AA13" s="17">
        <f>'Sales Forecast'!AA10*Assumptions!$C$12+'Sales Forecast'!Z10*Assumptions!$D$12+'Sales Forecast'!Y10*Assumptions!$E$12+'Sales Forecast'!X10*Assumptions!$F$12+'Sales Forecast'!W10*Assumptions!$G$12+'Sales Forecast'!V10*Assumptions!$H$12+'Sales Forecast'!U10*Assumptions!$I$12</f>
        <v/>
      </c>
      <c r="AB13" s="17">
        <f>'Sales Forecast'!AB10*Assumptions!$C$12+'Sales Forecast'!AA10*Assumptions!$D$12+'Sales Forecast'!Z10*Assumptions!$E$12+'Sales Forecast'!Y10*Assumptions!$F$12+'Sales Forecast'!X10*Assumptions!$G$12+'Sales Forecast'!W10*Assumptions!$H$12+'Sales Forecast'!V10*Assumptions!$I$12</f>
        <v/>
      </c>
      <c r="AC13" s="17">
        <f>'Sales Forecast'!AC10*Assumptions!$C$12+'Sales Forecast'!AB10*Assumptions!$D$12+'Sales Forecast'!AA10*Assumptions!$E$12+'Sales Forecast'!Z10*Assumptions!$F$12+'Sales Forecast'!Y10*Assumptions!$G$12+'Sales Forecast'!X10*Assumptions!$H$12+'Sales Forecast'!W10*Assumptions!$I$12</f>
        <v/>
      </c>
      <c r="AD13" s="17">
        <f>'Sales Forecast'!AD10*Assumptions!$C$12+'Sales Forecast'!AC10*Assumptions!$D$12+'Sales Forecast'!AB10*Assumptions!$E$12+'Sales Forecast'!AA10*Assumptions!$F$12+'Sales Forecast'!Z10*Assumptions!$G$12+'Sales Forecast'!Y10*Assumptions!$H$12+'Sales Forecast'!X10*Assumptions!$I$12</f>
        <v/>
      </c>
      <c r="AE13" s="17">
        <f>'Sales Forecast'!AE10*Assumptions!$C$12+'Sales Forecast'!AD10*Assumptions!$D$12+'Sales Forecast'!AC10*Assumptions!$E$12+'Sales Forecast'!AB10*Assumptions!$F$12+'Sales Forecast'!AA10*Assumptions!$G$12+'Sales Forecast'!Z10*Assumptions!$H$12+'Sales Forecast'!Y10*Assumptions!$I$12</f>
        <v/>
      </c>
      <c r="AF13" s="17">
        <f>'Sales Forecast'!AF10*Assumptions!$C$12+'Sales Forecast'!AE10*Assumptions!$D$12+'Sales Forecast'!AD10*Assumptions!$E$12+'Sales Forecast'!AC10*Assumptions!$F$12+'Sales Forecast'!AB10*Assumptions!$G$12+'Sales Forecast'!AA10*Assumptions!$H$12+'Sales Forecast'!Z10*Assumptions!$I$12</f>
        <v/>
      </c>
      <c r="AG13" s="17">
        <f>'Sales Forecast'!AG10*Assumptions!$C$12+'Sales Forecast'!AF10*Assumptions!$D$12+'Sales Forecast'!AE10*Assumptions!$E$12+'Sales Forecast'!AD10*Assumptions!$F$12+'Sales Forecast'!AC10*Assumptions!$G$12+'Sales Forecast'!AB10*Assumptions!$H$12+'Sales Forecast'!AA10*Assumptions!$I$12</f>
        <v/>
      </c>
      <c r="AH13" s="17">
        <f>'Sales Forecast'!AH10*Assumptions!$C$12+'Sales Forecast'!AG10*Assumptions!$D$12+'Sales Forecast'!AF10*Assumptions!$E$12+'Sales Forecast'!AE10*Assumptions!$F$12+'Sales Forecast'!AD10*Assumptions!$G$12+'Sales Forecast'!AC10*Assumptions!$H$12+'Sales Forecast'!AB10*Assumptions!$I$12</f>
        <v/>
      </c>
      <c r="AI13" s="17">
        <f>'Sales Forecast'!AI10*Assumptions!$C$12+'Sales Forecast'!AH10*Assumptions!$D$12+'Sales Forecast'!AG10*Assumptions!$E$12+'Sales Forecast'!AF10*Assumptions!$F$12+'Sales Forecast'!AE10*Assumptions!$G$12+'Sales Forecast'!AD10*Assumptions!$H$12+'Sales Forecast'!AC10*Assumptions!$I$12</f>
        <v/>
      </c>
      <c r="AJ13" s="17">
        <f>'Sales Forecast'!AJ10*Assumptions!$C$12+'Sales Forecast'!AI10*Assumptions!$D$12+'Sales Forecast'!AH10*Assumptions!$E$12+'Sales Forecast'!AG10*Assumptions!$F$12+'Sales Forecast'!AF10*Assumptions!$G$12+'Sales Forecast'!AE10*Assumptions!$H$12+'Sales Forecast'!AD10*Assumptions!$I$12</f>
        <v/>
      </c>
      <c r="AK13" s="17">
        <f>'Sales Forecast'!AK10*Assumptions!$C$12+'Sales Forecast'!AJ10*Assumptions!$D$12+'Sales Forecast'!AI10*Assumptions!$E$12+'Sales Forecast'!AH10*Assumptions!$F$12+'Sales Forecast'!AG10*Assumptions!$G$12+'Sales Forecast'!AF10*Assumptions!$H$12+'Sales Forecast'!AE10*Assumptions!$I$12</f>
        <v/>
      </c>
      <c r="AL13" s="17">
        <f>'Sales Forecast'!AL10*Assumptions!$C$12+'Sales Forecast'!AK10*Assumptions!$D$12+'Sales Forecast'!AJ10*Assumptions!$E$12+'Sales Forecast'!AI10*Assumptions!$F$12+'Sales Forecast'!AH10*Assumptions!$G$12+'Sales Forecast'!AG10*Assumptions!$H$12+'Sales Forecast'!AF10*Assumptions!$I$12</f>
        <v/>
      </c>
      <c r="AM13" s="17">
        <f>'Sales Forecast'!AM10*Assumptions!$C$12+'Sales Forecast'!AL10*Assumptions!$D$12+'Sales Forecast'!AK10*Assumptions!$E$12+'Sales Forecast'!AJ10*Assumptions!$F$12+'Sales Forecast'!AI10*Assumptions!$G$12+'Sales Forecast'!AH10*Assumptions!$H$12+'Sales Forecast'!AG10*Assumptions!$I$12</f>
        <v/>
      </c>
      <c r="AN13" s="17">
        <f>'Sales Forecast'!AN10*Assumptions!$C$12+'Sales Forecast'!AM10*Assumptions!$D$12+'Sales Forecast'!AL10*Assumptions!$E$12+'Sales Forecast'!AK10*Assumptions!$F$12+'Sales Forecast'!AJ10*Assumptions!$G$12+'Sales Forecast'!AI10*Assumptions!$H$12+'Sales Forecast'!AH10*Assumptions!$I$12</f>
        <v/>
      </c>
      <c r="AO13" s="17">
        <f>'Sales Forecast'!AO10*Assumptions!$C$12+'Sales Forecast'!AN10*Assumptions!$D$12+'Sales Forecast'!AM10*Assumptions!$E$12+'Sales Forecast'!AL10*Assumptions!$F$12+'Sales Forecast'!AK10*Assumptions!$G$12+'Sales Forecast'!AJ10*Assumptions!$H$12+'Sales Forecast'!AI10*Assumptions!$I$12</f>
        <v/>
      </c>
      <c r="AP13" s="17">
        <f>'Sales Forecast'!AP10*Assumptions!$C$12+'Sales Forecast'!AO10*Assumptions!$D$12+'Sales Forecast'!AN10*Assumptions!$E$12+'Sales Forecast'!AM10*Assumptions!$F$12+'Sales Forecast'!AL10*Assumptions!$G$12+'Sales Forecast'!AK10*Assumptions!$H$12+'Sales Forecast'!AJ10*Assumptions!$I$12</f>
        <v/>
      </c>
      <c r="AQ13" s="17">
        <f>'Sales Forecast'!AQ10*Assumptions!$C$12+'Sales Forecast'!AP10*Assumptions!$D$12+'Sales Forecast'!AO10*Assumptions!$E$12+'Sales Forecast'!AN10*Assumptions!$F$12+'Sales Forecast'!AM10*Assumptions!$G$12+'Sales Forecast'!AL10*Assumptions!$H$12+'Sales Forecast'!AK10*Assumptions!$I$12</f>
        <v/>
      </c>
      <c r="AR13" s="17">
        <f>'Sales Forecast'!AR10*Assumptions!$C$12+'Sales Forecast'!AQ10*Assumptions!$D$12+'Sales Forecast'!AP10*Assumptions!$E$12+'Sales Forecast'!AO10*Assumptions!$F$12+'Sales Forecast'!AN10*Assumptions!$G$12+'Sales Forecast'!AM10*Assumptions!$H$12+'Sales Forecast'!AL10*Assumptions!$I$12</f>
        <v/>
      </c>
      <c r="AS13" s="17">
        <f>'Sales Forecast'!AS10*Assumptions!$C$12+'Sales Forecast'!AR10*Assumptions!$D$12+'Sales Forecast'!AQ10*Assumptions!$E$12+'Sales Forecast'!AP10*Assumptions!$F$12+'Sales Forecast'!AO10*Assumptions!$G$12+'Sales Forecast'!AN10*Assumptions!$H$12+'Sales Forecast'!AM10*Assumptions!$I$12</f>
        <v/>
      </c>
      <c r="AT13" s="17">
        <f>'Sales Forecast'!AT10*Assumptions!$C$12+'Sales Forecast'!AS10*Assumptions!$D$12+'Sales Forecast'!AR10*Assumptions!$E$12+'Sales Forecast'!AQ10*Assumptions!$F$12+'Sales Forecast'!AP10*Assumptions!$G$12+'Sales Forecast'!AO10*Assumptions!$H$12+'Sales Forecast'!AN10*Assumptions!$I$12</f>
        <v/>
      </c>
      <c r="AU13" s="17">
        <f>'Sales Forecast'!AU10*Assumptions!$C$12+'Sales Forecast'!AT10*Assumptions!$D$12+'Sales Forecast'!AS10*Assumptions!$E$12+'Sales Forecast'!AR10*Assumptions!$F$12+'Sales Forecast'!AQ10*Assumptions!$G$12+'Sales Forecast'!AP10*Assumptions!$H$12+'Sales Forecast'!AO10*Assumptions!$I$12</f>
        <v/>
      </c>
      <c r="AV13" s="17">
        <f>'Sales Forecast'!AV10*Assumptions!$C$12+'Sales Forecast'!AU10*Assumptions!$D$12+'Sales Forecast'!AT10*Assumptions!$E$12+'Sales Forecast'!AS10*Assumptions!$F$12+'Sales Forecast'!AR10*Assumptions!$G$12+'Sales Forecast'!AQ10*Assumptions!$H$12+'Sales Forecast'!AP10*Assumptions!$I$12</f>
        <v/>
      </c>
      <c r="AW13" s="17">
        <f>'Sales Forecast'!AW10*Assumptions!$C$12+'Sales Forecast'!AV10*Assumptions!$D$12+'Sales Forecast'!AU10*Assumptions!$E$12+'Sales Forecast'!AT10*Assumptions!$F$12+'Sales Forecast'!AS10*Assumptions!$G$12+'Sales Forecast'!AR10*Assumptions!$H$12+'Sales Forecast'!AQ10*Assumptions!$I$12</f>
        <v/>
      </c>
      <c r="AX13" s="17">
        <f>'Sales Forecast'!AX10*Assumptions!$C$12+'Sales Forecast'!AW10*Assumptions!$D$12+'Sales Forecast'!AV10*Assumptions!$E$12+'Sales Forecast'!AU10*Assumptions!$F$12+'Sales Forecast'!AT10*Assumptions!$G$12+'Sales Forecast'!AS10*Assumptions!$H$12+'Sales Forecast'!AR10*Assumptions!$I$12</f>
        <v/>
      </c>
      <c r="AY13" s="17">
        <f>'Sales Forecast'!AY10*Assumptions!$C$12+'Sales Forecast'!AX10*Assumptions!$D$12+'Sales Forecast'!AW10*Assumptions!$E$12+'Sales Forecast'!AV10*Assumptions!$F$12+'Sales Forecast'!AU10*Assumptions!$G$12+'Sales Forecast'!AT10*Assumptions!$H$12+'Sales Forecast'!AS10*Assumptions!$I$12</f>
        <v/>
      </c>
      <c r="BA13" s="288" t="n"/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1190</v>
      </c>
      <c r="G14" s="19" t="n">
        <v>780</v>
      </c>
      <c r="H14" s="19" t="n">
        <v>6079.59</v>
      </c>
      <c r="I14" s="19" t="n">
        <v>16686.83</v>
      </c>
      <c r="J14" s="19" t="n">
        <v>15403.58</v>
      </c>
      <c r="K14" s="19" t="n">
        <v>15353.83</v>
      </c>
      <c r="L14" s="19" t="n">
        <v>30305.34</v>
      </c>
      <c r="M14" s="19" t="n">
        <v>19086.85</v>
      </c>
      <c r="N14" s="19" t="n">
        <v>28614.27</v>
      </c>
      <c r="O14" s="19" t="n">
        <v>26723.09</v>
      </c>
      <c r="P14" s="19" t="n">
        <v>13301.42</v>
      </c>
      <c r="Q14" s="19" t="n">
        <v>17324.87</v>
      </c>
      <c r="R14" s="19" t="n">
        <v>11911.35</v>
      </c>
      <c r="S14" s="19" t="n">
        <v>14342.63</v>
      </c>
      <c r="T14" s="83" t="n">
        <v>14912.82</v>
      </c>
      <c r="U14" s="83" t="n">
        <v>13298.73</v>
      </c>
      <c r="V14" s="83" t="n">
        <v>15937.6</v>
      </c>
      <c r="W14" s="20">
        <f>W17*0.882312</f>
        <v/>
      </c>
      <c r="X14" s="20">
        <f>X17*0.882312</f>
        <v/>
      </c>
      <c r="Y14" s="20">
        <f>Y17*0.882312</f>
        <v/>
      </c>
      <c r="Z14" s="20">
        <f>Z17*0.882312</f>
        <v/>
      </c>
      <c r="AA14" s="20">
        <f>AA17*0.882312</f>
        <v/>
      </c>
      <c r="AB14" s="20">
        <f>AB17*0.882312</f>
        <v/>
      </c>
      <c r="AC14" s="20">
        <f>AC17*0.882312</f>
        <v/>
      </c>
      <c r="AD14" s="20">
        <f>AD17*0.882312</f>
        <v/>
      </c>
      <c r="AE14" s="20">
        <f>AE17*0.882312</f>
        <v/>
      </c>
      <c r="AF14" s="20">
        <f>AF17*0.882312</f>
        <v/>
      </c>
      <c r="AG14" s="20">
        <f>AG17*0.882312</f>
        <v/>
      </c>
      <c r="AH14" s="20">
        <f>AH17*0.882312</f>
        <v/>
      </c>
      <c r="AI14" s="20">
        <f>AI17*0.882312</f>
        <v/>
      </c>
      <c r="AJ14" s="20">
        <f>AJ17*0.882312</f>
        <v/>
      </c>
      <c r="AK14" s="20">
        <f>AK17*0.882312</f>
        <v/>
      </c>
      <c r="AL14" s="20">
        <f>AL17*0.882312</f>
        <v/>
      </c>
      <c r="AM14" s="20">
        <f>AM17*0.882312</f>
        <v/>
      </c>
      <c r="AN14" s="20">
        <f>AN17*0.882312</f>
        <v/>
      </c>
      <c r="AO14" s="20">
        <f>AO17*0.882312</f>
        <v/>
      </c>
      <c r="AP14" s="20">
        <f>AP17*0.882312</f>
        <v/>
      </c>
      <c r="AQ14" s="20">
        <f>AQ17*0.882312</f>
        <v/>
      </c>
      <c r="AR14" s="20">
        <f>AR17*0.882312</f>
        <v/>
      </c>
      <c r="AS14" s="20">
        <f>AS17*0.882312</f>
        <v/>
      </c>
      <c r="AT14" s="20">
        <f>AT17*0.882312</f>
        <v/>
      </c>
      <c r="AU14" s="20">
        <f>AU17*0.882312</f>
        <v/>
      </c>
      <c r="AV14" s="20">
        <f>AV17*0.882312</f>
        <v/>
      </c>
      <c r="AW14" s="20">
        <f>AW17*0.882312</f>
        <v/>
      </c>
      <c r="AX14" s="20">
        <f>AX17*0.882312</f>
        <v/>
      </c>
      <c r="AY14" s="20">
        <f>AY17*0.882312</f>
        <v/>
      </c>
      <c r="BA14" s="288">
        <f>SUM(I14:T14)</f>
        <v/>
      </c>
      <c r="BB14" s="274">
        <f>BA14/$BA$21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660</v>
      </c>
      <c r="H15" s="19" t="n">
        <v>75</v>
      </c>
      <c r="I15" s="19" t="n">
        <v>2090</v>
      </c>
      <c r="J15" s="19" t="n">
        <v>1671</v>
      </c>
      <c r="K15" s="19" t="n">
        <v>2879</v>
      </c>
      <c r="L15" s="19" t="n">
        <v>2865.32</v>
      </c>
      <c r="M15" s="19" t="n">
        <v>4048</v>
      </c>
      <c r="N15" s="19" t="n">
        <v>5166</v>
      </c>
      <c r="O15" s="19" t="n">
        <v>8038</v>
      </c>
      <c r="P15" s="19" t="n">
        <v>1986</v>
      </c>
      <c r="Q15" s="19" t="n">
        <v>858</v>
      </c>
      <c r="R15" s="19" t="n">
        <v>1941</v>
      </c>
      <c r="S15" s="19" t="n">
        <v>2802</v>
      </c>
      <c r="T15" s="83" t="n">
        <v>1856</v>
      </c>
      <c r="U15" s="83" t="n">
        <v>2817</v>
      </c>
      <c r="V15" s="83" t="n">
        <v>4776</v>
      </c>
      <c r="W15" s="20">
        <f>W17*0.117688</f>
        <v/>
      </c>
      <c r="X15" s="20">
        <f>X17*0.117688</f>
        <v/>
      </c>
      <c r="Y15" s="20">
        <f>Y17*0.117688</f>
        <v/>
      </c>
      <c r="Z15" s="20">
        <f>Z17*0.117688</f>
        <v/>
      </c>
      <c r="AA15" s="20">
        <f>AA17*0.117688</f>
        <v/>
      </c>
      <c r="AB15" s="20">
        <f>AB17*0.117688</f>
        <v/>
      </c>
      <c r="AC15" s="20">
        <f>AC17*0.117688</f>
        <v/>
      </c>
      <c r="AD15" s="20">
        <f>AD17*0.117688</f>
        <v/>
      </c>
      <c r="AE15" s="20">
        <f>AE17*0.117688</f>
        <v/>
      </c>
      <c r="AF15" s="20">
        <f>AF17*0.117688</f>
        <v/>
      </c>
      <c r="AG15" s="20">
        <f>AG17*0.117688</f>
        <v/>
      </c>
      <c r="AH15" s="20">
        <f>AH17*0.117688</f>
        <v/>
      </c>
      <c r="AI15" s="20">
        <f>AI17*0.117688</f>
        <v/>
      </c>
      <c r="AJ15" s="20">
        <f>AJ17*0.117688</f>
        <v/>
      </c>
      <c r="AK15" s="20">
        <f>AK17*0.117688</f>
        <v/>
      </c>
      <c r="AL15" s="20">
        <f>AL17*0.117688</f>
        <v/>
      </c>
      <c r="AM15" s="20">
        <f>AM17*0.117688</f>
        <v/>
      </c>
      <c r="AN15" s="20">
        <f>AN17*0.117688</f>
        <v/>
      </c>
      <c r="AO15" s="20">
        <f>AO17*0.117688</f>
        <v/>
      </c>
      <c r="AP15" s="20">
        <f>AP17*0.117688</f>
        <v/>
      </c>
      <c r="AQ15" s="20">
        <f>AQ17*0.117688</f>
        <v/>
      </c>
      <c r="AR15" s="20">
        <f>AR17*0.117688</f>
        <v/>
      </c>
      <c r="AS15" s="20">
        <f>AS17*0.117688</f>
        <v/>
      </c>
      <c r="AT15" s="20">
        <f>AT17*0.117688</f>
        <v/>
      </c>
      <c r="AU15" s="20">
        <f>AU17*0.117688</f>
        <v/>
      </c>
      <c r="AV15" s="20">
        <f>AV17*0.117688</f>
        <v/>
      </c>
      <c r="AW15" s="20">
        <f>AW17*0.117688</f>
        <v/>
      </c>
      <c r="AX15" s="20">
        <f>AX17*0.117688</f>
        <v/>
      </c>
      <c r="AY15" s="20">
        <f>AY17*0.117688</f>
        <v/>
      </c>
      <c r="BA15" s="288">
        <f>SUM(I15:T15)</f>
        <v/>
      </c>
      <c r="BB15" s="274">
        <f>BA15/$BA$21</f>
        <v/>
      </c>
    </row>
    <row r="16">
      <c r="B16" s="33" t="inlineStr">
        <is>
          <t>403004 Other Breakage (incl MTT Breakage)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5040</v>
      </c>
      <c r="O16" s="19" t="n">
        <v>5400</v>
      </c>
      <c r="P16" s="19" t="n">
        <v>0</v>
      </c>
      <c r="Q16" s="19" t="n">
        <v>0</v>
      </c>
      <c r="R16" s="19" t="n">
        <v>0</v>
      </c>
      <c r="S16" s="19" t="n">
        <v>0</v>
      </c>
      <c r="T16" s="83" t="n">
        <v>0</v>
      </c>
      <c r="U16" s="83" t="n">
        <v>0</v>
      </c>
      <c r="V16" s="83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  <c r="BA16" s="288">
        <f>SUM(I16:T16)</f>
        <v/>
      </c>
      <c r="BB16" s="274">
        <f>BA16/$BA$21</f>
        <v/>
      </c>
    </row>
    <row r="17">
      <c r="B17" s="32" t="inlineStr">
        <is>
          <t>Total Breakage Revenue</t>
        </is>
      </c>
      <c r="C17" s="34" t="n"/>
      <c r="D17" s="35">
        <f>SUM(D14:D16)</f>
        <v/>
      </c>
      <c r="E17" s="35">
        <f>SUM(E14:E16)</f>
        <v/>
      </c>
      <c r="F17" s="35">
        <f>SUM(F14:F16)</f>
        <v/>
      </c>
      <c r="G17" s="35">
        <f>SUM(G14:G16)</f>
        <v/>
      </c>
      <c r="H17" s="35">
        <f>SUM(H14:H16)</f>
        <v/>
      </c>
      <c r="I17" s="35">
        <f>SUM(I14:I16)</f>
        <v/>
      </c>
      <c r="J17" s="35">
        <f>SUM(J14:J16)</f>
        <v/>
      </c>
      <c r="K17" s="35">
        <f>SUM(K14:K16)</f>
        <v/>
      </c>
      <c r="L17" s="35">
        <f>SUM(L14:L16)</f>
        <v/>
      </c>
      <c r="M17" s="35">
        <f>SUM(M14:M16)</f>
        <v/>
      </c>
      <c r="N17" s="35">
        <f>SUM(N14:N16)</f>
        <v/>
      </c>
      <c r="O17" s="35">
        <f>SUM(O14:O16)</f>
        <v/>
      </c>
      <c r="P17" s="35">
        <f>P14+P15+P16</f>
        <v/>
      </c>
      <c r="Q17" s="35">
        <f>Q14+Q15+Q16</f>
        <v/>
      </c>
      <c r="R17" s="35">
        <f>R14+R15+R16</f>
        <v/>
      </c>
      <c r="S17" s="35">
        <f>S14+S15+S16</f>
        <v/>
      </c>
      <c r="T17" s="84">
        <f>T14+T15+T16</f>
        <v/>
      </c>
      <c r="U17" s="84">
        <f>U14+U15+U16</f>
        <v/>
      </c>
      <c r="V17" s="84">
        <f>V14+V15+V16</f>
        <v/>
      </c>
      <c r="W17" s="17">
        <f>'Sales Forecast'!W10*Assumptions!$C$13+'Sales Forecast'!V10*Assumptions!$D$13+'Sales Forecast'!U10*Assumptions!$E$13+'Sales Forecast'!T10*Assumptions!$F$13+'Sales Forecast'!S10*Assumptions!$G$13+'Sales Forecast'!R10*Assumptions!$H$13+'Sales Forecast'!Q10*Assumptions!$I$13</f>
        <v/>
      </c>
      <c r="X17" s="17">
        <f>'Sales Forecast'!X10*Assumptions!$C$13+'Sales Forecast'!W10*Assumptions!$D$13+'Sales Forecast'!V10*Assumptions!$E$13+'Sales Forecast'!U10*Assumptions!$F$13+'Sales Forecast'!T10*Assumptions!$G$13+'Sales Forecast'!S10*Assumptions!$H$13+'Sales Forecast'!R10*Assumptions!$I$13</f>
        <v/>
      </c>
      <c r="Y17" s="17">
        <f>'Sales Forecast'!Y10*Assumptions!$C$13+'Sales Forecast'!X10*Assumptions!$D$13+'Sales Forecast'!W10*Assumptions!$E$13+'Sales Forecast'!V10*Assumptions!$F$13+'Sales Forecast'!U10*Assumptions!$G$13+'Sales Forecast'!T10*Assumptions!$H$13+'Sales Forecast'!S10*Assumptions!$I$13</f>
        <v/>
      </c>
      <c r="Z17" s="17">
        <f>'Sales Forecast'!Z10*Assumptions!$C$13+'Sales Forecast'!Y10*Assumptions!$D$13+'Sales Forecast'!X10*Assumptions!$E$13+'Sales Forecast'!W10*Assumptions!$F$13+'Sales Forecast'!V10*Assumptions!$G$13+'Sales Forecast'!U10*Assumptions!$H$13+'Sales Forecast'!T10*Assumptions!$I$13</f>
        <v/>
      </c>
      <c r="AA17" s="17">
        <f>'Sales Forecast'!AA10*Assumptions!$C$13+'Sales Forecast'!Z10*Assumptions!$D$13+'Sales Forecast'!Y10*Assumptions!$E$13+'Sales Forecast'!X10*Assumptions!$F$13+'Sales Forecast'!W10*Assumptions!$G$13+'Sales Forecast'!V10*Assumptions!$H$13+'Sales Forecast'!U10*Assumptions!$I$13</f>
        <v/>
      </c>
      <c r="AB17" s="17">
        <f>'Sales Forecast'!AB10*Assumptions!$C$13+'Sales Forecast'!AA10*Assumptions!$D$13+'Sales Forecast'!Z10*Assumptions!$E$13+'Sales Forecast'!Y10*Assumptions!$F$13+'Sales Forecast'!X10*Assumptions!$G$13+'Sales Forecast'!W10*Assumptions!$H$13+'Sales Forecast'!V10*Assumptions!$I$13</f>
        <v/>
      </c>
      <c r="AC17" s="17">
        <f>'Sales Forecast'!AC10*Assumptions!$C$13+'Sales Forecast'!AB10*Assumptions!$D$13+'Sales Forecast'!AA10*Assumptions!$E$13+'Sales Forecast'!Z10*Assumptions!$F$13+'Sales Forecast'!Y10*Assumptions!$G$13+'Sales Forecast'!X10*Assumptions!$H$13+'Sales Forecast'!W10*Assumptions!$I$13</f>
        <v/>
      </c>
      <c r="AD17" s="17">
        <f>'Sales Forecast'!AD10*Assumptions!$C$13+'Sales Forecast'!AC10*Assumptions!$D$13+'Sales Forecast'!AB10*Assumptions!$E$13+'Sales Forecast'!AA10*Assumptions!$F$13+'Sales Forecast'!Z10*Assumptions!$G$13+'Sales Forecast'!Y10*Assumptions!$H$13+'Sales Forecast'!X10*Assumptions!$I$13</f>
        <v/>
      </c>
      <c r="AE17" s="17">
        <f>'Sales Forecast'!AE10*Assumptions!$C$13+'Sales Forecast'!AD10*Assumptions!$D$13+'Sales Forecast'!AC10*Assumptions!$E$13+'Sales Forecast'!AB10*Assumptions!$F$13+'Sales Forecast'!AA10*Assumptions!$G$13+'Sales Forecast'!Z10*Assumptions!$H$13+'Sales Forecast'!Y10*Assumptions!$I$13</f>
        <v/>
      </c>
      <c r="AF17" s="17">
        <f>'Sales Forecast'!AF10*Assumptions!$C$13+'Sales Forecast'!AE10*Assumptions!$D$13+'Sales Forecast'!AD10*Assumptions!$E$13+'Sales Forecast'!AC10*Assumptions!$F$13+'Sales Forecast'!AB10*Assumptions!$G$13+'Sales Forecast'!AA10*Assumptions!$H$13+'Sales Forecast'!Z10*Assumptions!$I$13</f>
        <v/>
      </c>
      <c r="AG17" s="17">
        <f>'Sales Forecast'!AG10*Assumptions!$C$13+'Sales Forecast'!AF10*Assumptions!$D$13+'Sales Forecast'!AE10*Assumptions!$E$13+'Sales Forecast'!AD10*Assumptions!$F$13+'Sales Forecast'!AC10*Assumptions!$G$13+'Sales Forecast'!AB10*Assumptions!$H$13+'Sales Forecast'!AA10*Assumptions!$I$13</f>
        <v/>
      </c>
      <c r="AH17" s="17">
        <f>'Sales Forecast'!AH10*Assumptions!$C$13+'Sales Forecast'!AG10*Assumptions!$D$13+'Sales Forecast'!AF10*Assumptions!$E$13+'Sales Forecast'!AE10*Assumptions!$F$13+'Sales Forecast'!AD10*Assumptions!$G$13+'Sales Forecast'!AC10*Assumptions!$H$13+'Sales Forecast'!AB10*Assumptions!$I$13</f>
        <v/>
      </c>
      <c r="AI17" s="17">
        <f>'Sales Forecast'!AI10*Assumptions!$C$13+'Sales Forecast'!AH10*Assumptions!$D$13+'Sales Forecast'!AG10*Assumptions!$E$13+'Sales Forecast'!AF10*Assumptions!$F$13+'Sales Forecast'!AE10*Assumptions!$G$13+'Sales Forecast'!AD10*Assumptions!$H$13+'Sales Forecast'!AC10*Assumptions!$I$13</f>
        <v/>
      </c>
      <c r="AJ17" s="17">
        <f>'Sales Forecast'!AJ10*Assumptions!$C$13+'Sales Forecast'!AI10*Assumptions!$D$13+'Sales Forecast'!AH10*Assumptions!$E$13+'Sales Forecast'!AG10*Assumptions!$F$13+'Sales Forecast'!AF10*Assumptions!$G$13+'Sales Forecast'!AE10*Assumptions!$H$13+'Sales Forecast'!AD10*Assumptions!$I$13</f>
        <v/>
      </c>
      <c r="AK17" s="17">
        <f>'Sales Forecast'!AK10*Assumptions!$C$13+'Sales Forecast'!AJ10*Assumptions!$D$13+'Sales Forecast'!AI10*Assumptions!$E$13+'Sales Forecast'!AH10*Assumptions!$F$13+'Sales Forecast'!AG10*Assumptions!$G$13+'Sales Forecast'!AF10*Assumptions!$H$13+'Sales Forecast'!AE10*Assumptions!$I$13</f>
        <v/>
      </c>
      <c r="AL17" s="17">
        <f>'Sales Forecast'!AL10*Assumptions!$C$13+'Sales Forecast'!AK10*Assumptions!$D$13+'Sales Forecast'!AJ10*Assumptions!$E$13+'Sales Forecast'!AI10*Assumptions!$F$13+'Sales Forecast'!AH10*Assumptions!$G$13+'Sales Forecast'!AG10*Assumptions!$H$13+'Sales Forecast'!AF10*Assumptions!$I$13</f>
        <v/>
      </c>
      <c r="AM17" s="17">
        <f>'Sales Forecast'!AM10*Assumptions!$C$13+'Sales Forecast'!AL10*Assumptions!$D$13+'Sales Forecast'!AK10*Assumptions!$E$13+'Sales Forecast'!AJ10*Assumptions!$F$13+'Sales Forecast'!AI10*Assumptions!$G$13+'Sales Forecast'!AH10*Assumptions!$H$13+'Sales Forecast'!AG10*Assumptions!$I$13</f>
        <v/>
      </c>
      <c r="AN17" s="17">
        <f>'Sales Forecast'!AN10*Assumptions!$C$13+'Sales Forecast'!AM10*Assumptions!$D$13+'Sales Forecast'!AL10*Assumptions!$E$13+'Sales Forecast'!AK10*Assumptions!$F$13+'Sales Forecast'!AJ10*Assumptions!$G$13+'Sales Forecast'!AI10*Assumptions!$H$13+'Sales Forecast'!AH10*Assumptions!$I$13</f>
        <v/>
      </c>
      <c r="AO17" s="17">
        <f>'Sales Forecast'!AO10*Assumptions!$C$13+'Sales Forecast'!AN10*Assumptions!$D$13+'Sales Forecast'!AM10*Assumptions!$E$13+'Sales Forecast'!AL10*Assumptions!$F$13+'Sales Forecast'!AK10*Assumptions!$G$13+'Sales Forecast'!AJ10*Assumptions!$H$13+'Sales Forecast'!AI10*Assumptions!$I$13</f>
        <v/>
      </c>
      <c r="AP17" s="17">
        <f>'Sales Forecast'!AP10*Assumptions!$C$13+'Sales Forecast'!AO10*Assumptions!$D$13+'Sales Forecast'!AN10*Assumptions!$E$13+'Sales Forecast'!AM10*Assumptions!$F$13+'Sales Forecast'!AL10*Assumptions!$G$13+'Sales Forecast'!AK10*Assumptions!$H$13+'Sales Forecast'!AJ10*Assumptions!$I$13</f>
        <v/>
      </c>
      <c r="AQ17" s="17">
        <f>'Sales Forecast'!AQ10*Assumptions!$C$13+'Sales Forecast'!AP10*Assumptions!$D$13+'Sales Forecast'!AO10*Assumptions!$E$13+'Sales Forecast'!AN10*Assumptions!$F$13+'Sales Forecast'!AM10*Assumptions!$G$13+'Sales Forecast'!AL10*Assumptions!$H$13+'Sales Forecast'!AK10*Assumptions!$I$13</f>
        <v/>
      </c>
      <c r="AR17" s="17">
        <f>'Sales Forecast'!AR10*Assumptions!$C$13+'Sales Forecast'!AQ10*Assumptions!$D$13+'Sales Forecast'!AP10*Assumptions!$E$13+'Sales Forecast'!AO10*Assumptions!$F$13+'Sales Forecast'!AN10*Assumptions!$G$13+'Sales Forecast'!AM10*Assumptions!$H$13+'Sales Forecast'!AL10*Assumptions!$I$13</f>
        <v/>
      </c>
      <c r="AS17" s="17">
        <f>'Sales Forecast'!AS10*Assumptions!$C$13+'Sales Forecast'!AR10*Assumptions!$D$13+'Sales Forecast'!AQ10*Assumptions!$E$13+'Sales Forecast'!AP10*Assumptions!$F$13+'Sales Forecast'!AO10*Assumptions!$G$13+'Sales Forecast'!AN10*Assumptions!$H$13+'Sales Forecast'!AM10*Assumptions!$I$13</f>
        <v/>
      </c>
      <c r="AT17" s="17">
        <f>'Sales Forecast'!AT10*Assumptions!$C$13+'Sales Forecast'!AS10*Assumptions!$D$13+'Sales Forecast'!AR10*Assumptions!$E$13+'Sales Forecast'!AQ10*Assumptions!$F$13+'Sales Forecast'!AP10*Assumptions!$G$13+'Sales Forecast'!AO10*Assumptions!$H$13+'Sales Forecast'!AN10*Assumptions!$I$13</f>
        <v/>
      </c>
      <c r="AU17" s="17">
        <f>'Sales Forecast'!AU10*Assumptions!$C$13+'Sales Forecast'!AT10*Assumptions!$D$13+'Sales Forecast'!AS10*Assumptions!$E$13+'Sales Forecast'!AR10*Assumptions!$F$13+'Sales Forecast'!AQ10*Assumptions!$G$13+'Sales Forecast'!AP10*Assumptions!$H$13+'Sales Forecast'!AO10*Assumptions!$I$13</f>
        <v/>
      </c>
      <c r="AV17" s="17">
        <f>'Sales Forecast'!AV10*Assumptions!$C$13+'Sales Forecast'!AU10*Assumptions!$D$13+'Sales Forecast'!AT10*Assumptions!$E$13+'Sales Forecast'!AS10*Assumptions!$F$13+'Sales Forecast'!AR10*Assumptions!$G$13+'Sales Forecast'!AQ10*Assumptions!$H$13+'Sales Forecast'!AP10*Assumptions!$I$13</f>
        <v/>
      </c>
      <c r="AW17" s="17">
        <f>'Sales Forecast'!AW10*Assumptions!$C$13+'Sales Forecast'!AV10*Assumptions!$D$13+'Sales Forecast'!AU10*Assumptions!$E$13+'Sales Forecast'!AT10*Assumptions!$F$13+'Sales Forecast'!AS10*Assumptions!$G$13+'Sales Forecast'!AR10*Assumptions!$H$13+'Sales Forecast'!AQ10*Assumptions!$I$13</f>
        <v/>
      </c>
      <c r="AX17" s="17">
        <f>'Sales Forecast'!AX10*Assumptions!$C$13+'Sales Forecast'!AW10*Assumptions!$D$13+'Sales Forecast'!AV10*Assumptions!$E$13+'Sales Forecast'!AU10*Assumptions!$F$13+'Sales Forecast'!AT10*Assumptions!$G$13+'Sales Forecast'!AS10*Assumptions!$H$13+'Sales Forecast'!AR10*Assumptions!$I$13</f>
        <v/>
      </c>
      <c r="AY17" s="17">
        <f>'Sales Forecast'!AY10*Assumptions!$C$13+'Sales Forecast'!AX10*Assumptions!$D$13+'Sales Forecast'!AW10*Assumptions!$E$13+'Sales Forecast'!AV10*Assumptions!$F$13+'Sales Forecast'!AU10*Assumptions!$G$13+'Sales Forecast'!AT10*Assumptions!$H$13+'Sales Forecast'!AS10*Assumptions!$I$13</f>
        <v/>
      </c>
      <c r="BA17" s="288" t="n"/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334</v>
      </c>
      <c r="H18" s="19" t="n">
        <v>1653</v>
      </c>
      <c r="I18" s="19" t="n">
        <v>2621</v>
      </c>
      <c r="J18" s="19" t="n">
        <v>2456</v>
      </c>
      <c r="K18" s="19" t="n">
        <v>2240</v>
      </c>
      <c r="L18" s="19" t="n">
        <v>2159.98</v>
      </c>
      <c r="M18" s="19" t="n">
        <v>2223</v>
      </c>
      <c r="N18" s="19" t="n">
        <v>3442</v>
      </c>
      <c r="O18" s="19" t="n">
        <v>1989</v>
      </c>
      <c r="P18" s="19" t="n">
        <v>2390</v>
      </c>
      <c r="Q18" s="19" t="n">
        <v>1878</v>
      </c>
      <c r="R18" s="19" t="n">
        <v>1668</v>
      </c>
      <c r="S18" s="19" t="n">
        <v>2116</v>
      </c>
      <c r="T18" s="83" t="n">
        <v>1433.81</v>
      </c>
      <c r="U18" s="83" t="n">
        <v>1860</v>
      </c>
      <c r="V18" s="83" t="n">
        <v>1306</v>
      </c>
      <c r="W18" s="20">
        <f>2013</f>
        <v/>
      </c>
      <c r="X18" s="20">
        <f>2013</f>
        <v/>
      </c>
      <c r="Y18" s="20">
        <f>2013</f>
        <v/>
      </c>
      <c r="Z18" s="20">
        <f>2013</f>
        <v/>
      </c>
      <c r="AA18" s="20">
        <f>2013</f>
        <v/>
      </c>
      <c r="AB18" s="20">
        <f>2013</f>
        <v/>
      </c>
      <c r="AC18" s="20">
        <f>2013</f>
        <v/>
      </c>
      <c r="AD18" s="20">
        <f>2013</f>
        <v/>
      </c>
      <c r="AE18" s="20">
        <f>2013</f>
        <v/>
      </c>
      <c r="AF18" s="20">
        <f>2013</f>
        <v/>
      </c>
      <c r="AG18" s="20">
        <f>2013</f>
        <v/>
      </c>
      <c r="AH18" s="20">
        <f>2013</f>
        <v/>
      </c>
      <c r="AI18" s="20">
        <f>2013</f>
        <v/>
      </c>
      <c r="AJ18" s="20">
        <f>2013</f>
        <v/>
      </c>
      <c r="AK18" s="20">
        <f>2013</f>
        <v/>
      </c>
      <c r="AL18" s="20">
        <f>2013</f>
        <v/>
      </c>
      <c r="AM18" s="20">
        <f>2013</f>
        <v/>
      </c>
      <c r="AN18" s="20">
        <f>2013</f>
        <v/>
      </c>
      <c r="AO18" s="20">
        <f>2013</f>
        <v/>
      </c>
      <c r="AP18" s="20">
        <f>2013</f>
        <v/>
      </c>
      <c r="AQ18" s="20">
        <f>2013</f>
        <v/>
      </c>
      <c r="AR18" s="20">
        <f>2013</f>
        <v/>
      </c>
      <c r="AS18" s="20">
        <f>2013</f>
        <v/>
      </c>
      <c r="AT18" s="20">
        <f>2013</f>
        <v/>
      </c>
      <c r="AU18" s="20">
        <f>2013</f>
        <v/>
      </c>
      <c r="AV18" s="20">
        <f>2013</f>
        <v/>
      </c>
      <c r="AW18" s="20">
        <f>2013</f>
        <v/>
      </c>
      <c r="AX18" s="20">
        <f>2013</f>
        <v/>
      </c>
      <c r="AY18" s="20">
        <f>2013</f>
        <v/>
      </c>
      <c r="BA18" s="288">
        <f>SUM(I18:T18)</f>
        <v/>
      </c>
      <c r="BB18" s="274">
        <f>BA18/$BA$21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-597</v>
      </c>
      <c r="F19" s="19" t="n">
        <v>0</v>
      </c>
      <c r="G19" s="19" t="n">
        <v>-522.5</v>
      </c>
      <c r="H19" s="19" t="n">
        <v>-1576</v>
      </c>
      <c r="I19" s="19" t="n">
        <v>-1138</v>
      </c>
      <c r="J19" s="19" t="n">
        <v>-1174</v>
      </c>
      <c r="K19" s="19" t="n">
        <v>-2434.01</v>
      </c>
      <c r="L19" s="19" t="n">
        <v>-3460</v>
      </c>
      <c r="M19" s="19" t="n">
        <v>-5552</v>
      </c>
      <c r="N19" s="19" t="n">
        <v>-996.01</v>
      </c>
      <c r="O19" s="19" t="n">
        <v>-2607</v>
      </c>
      <c r="P19" s="19" t="n">
        <v>-1329</v>
      </c>
      <c r="Q19" s="19" t="n">
        <v>-2148</v>
      </c>
      <c r="R19" s="19" t="n">
        <v>-1701</v>
      </c>
      <c r="S19" s="19" t="n">
        <v>-956</v>
      </c>
      <c r="T19" s="19" t="n">
        <v>-414.81</v>
      </c>
      <c r="U19" s="19" t="n">
        <v>-3275</v>
      </c>
      <c r="V19" s="19" t="n">
        <v>-7368</v>
      </c>
      <c r="W19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Forecast'!Q10*Assumptions!$I$13+2013)*Assumptions!$C$17</f>
        <v/>
      </c>
      <c r="X19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Forecast'!R10*Assumptions!$I$13+2013)*Assumptions!$C$17</f>
        <v/>
      </c>
      <c r="Y19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Forecast'!S10*Assumptions!$I$13+2013)*Assumptions!$C$17</f>
        <v/>
      </c>
      <c r="Z19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Forecast'!T10*Assumptions!$I$13+2013)*Assumptions!$C$17</f>
        <v/>
      </c>
      <c r="AA19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Forecast'!U10*Assumptions!$I$13+2013)*Assumptions!$C$17</f>
        <v/>
      </c>
      <c r="AB19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Forecast'!V10*Assumptions!$I$13+2013)*Assumptions!$C$17</f>
        <v/>
      </c>
      <c r="AC19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Forecast'!W10*Assumptions!$I$13+2013)*Assumptions!$C$17</f>
        <v/>
      </c>
      <c r="AD19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Forecast'!X10*Assumptions!$I$13+2013)*Assumptions!$C$17</f>
        <v/>
      </c>
      <c r="AE19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Forecast'!Y10*Assumptions!$I$13+2013)*Assumptions!$C$17</f>
        <v/>
      </c>
      <c r="AF19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Forecast'!Z10*Assumptions!$I$13+2013)*Assumptions!$C$17</f>
        <v/>
      </c>
      <c r="AG19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Forecast'!AA10*Assumptions!$I$13+2013)*Assumptions!$C$17</f>
        <v/>
      </c>
      <c r="AH19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Forecast'!AB10*Assumptions!$I$13+2013)*Assumptions!$C$17</f>
        <v/>
      </c>
      <c r="AI19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Forecast'!AC10*Assumptions!$I$13+2013)*Assumptions!$C$17</f>
        <v/>
      </c>
      <c r="AJ19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Forecast'!AD10*Assumptions!$I$13+2013)*Assumptions!$C$17</f>
        <v/>
      </c>
      <c r="AK19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Forecast'!AE10*Assumptions!$I$13+2013)*Assumptions!$C$17</f>
        <v/>
      </c>
      <c r="AL19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Forecast'!AF10*Assumptions!$I$13+2013)*Assumptions!$C$17</f>
        <v/>
      </c>
      <c r="AM19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Forecast'!AG10*Assumptions!$I$13+2013)*Assumptions!$C$17</f>
        <v/>
      </c>
      <c r="AN19" s="20">
        <f>('Sales Forecast'!AN10*Assumptions!$C$12+'Sales Forecast'!AM10*Assumptions!$D$12+'Sales Forecast'!AL10*Assumptions!$E$12+'Sales Forecast'!AK10*Assumptions!$F$12+'Sales Forecast'!AJ10*Assumptions!$G$12+'Sales Forecast'!AI10*Assumptions!$H$12+'Sales Forecast'!AH10*Assumptions!$I$12+'Sales Forecast'!AN10*Assumptions!$C$13+'Sales Forecast'!AM10*Assumptions!$D$13+'Sales Forecast'!AL10*Assumptions!$E$13+'Sales Forecast'!AK10*Assumptions!$F$13+'Sales Forecast'!AJ10*Assumptions!$G$13+'Sales Forecast'!AI10*Assumptions!$H$13+'Sales Forecast'!AH10*Assumptions!$I$13+2013)*Assumptions!$C$17</f>
        <v/>
      </c>
      <c r="AO19" s="20">
        <f>('Sales Forecast'!AO10*Assumptions!$C$12+'Sales Forecast'!AN10*Assumptions!$D$12+'Sales Forecast'!AM10*Assumptions!$E$12+'Sales Forecast'!AL10*Assumptions!$F$12+'Sales Forecast'!AK10*Assumptions!$G$12+'Sales Forecast'!AJ10*Assumptions!$H$12+'Sales Forecast'!AI10*Assumptions!$I$12+'Sales Forecast'!AO10*Assumptions!$C$13+'Sales Forecast'!AN10*Assumptions!$D$13+'Sales Forecast'!AM10*Assumptions!$E$13+'Sales Forecast'!AL10*Assumptions!$F$13+'Sales Forecast'!AK10*Assumptions!$G$13+'Sales Forecast'!AJ10*Assumptions!$H$13+'Sales Forecast'!AI10*Assumptions!$I$13+2013)*Assumptions!$C$17</f>
        <v/>
      </c>
      <c r="AP19" s="20">
        <f>('Sales Forecast'!AP10*Assumptions!$C$12+'Sales Forecast'!AO10*Assumptions!$D$12+'Sales Forecast'!AN10*Assumptions!$E$12+'Sales Forecast'!AM10*Assumptions!$F$12+'Sales Forecast'!AL10*Assumptions!$G$12+'Sales Forecast'!AK10*Assumptions!$H$12+'Sales Forecast'!AJ10*Assumptions!$I$12+'Sales Forecast'!AP10*Assumptions!$C$13+'Sales Forecast'!AO10*Assumptions!$D$13+'Sales Forecast'!AN10*Assumptions!$E$13+'Sales Forecast'!AM10*Assumptions!$F$13+'Sales Forecast'!AL10*Assumptions!$G$13+'Sales Forecast'!AK10*Assumptions!$H$13+'Sales Forecast'!AJ10*Assumptions!$I$13+2013)*Assumptions!$C$17</f>
        <v/>
      </c>
      <c r="AQ19" s="20">
        <f>('Sales Forecast'!AQ10*Assumptions!$C$12+'Sales Forecast'!AP10*Assumptions!$D$12+'Sales Forecast'!AO10*Assumptions!$E$12+'Sales Forecast'!AN10*Assumptions!$F$12+'Sales Forecast'!AM10*Assumptions!$G$12+'Sales Forecast'!AL10*Assumptions!$H$12+'Sales Forecast'!AK10*Assumptions!$I$12+'Sales Forecast'!AQ10*Assumptions!$C$13+'Sales Forecast'!AP10*Assumptions!$D$13+'Sales Forecast'!AO10*Assumptions!$E$13+'Sales Forecast'!AN10*Assumptions!$F$13+'Sales Forecast'!AM10*Assumptions!$G$13+'Sales Forecast'!AL10*Assumptions!$H$13+'Sales Forecast'!AK10*Assumptions!$I$13+2013)*Assumptions!$C$17</f>
        <v/>
      </c>
      <c r="AR19" s="20">
        <f>('Sales Forecast'!AR10*Assumptions!$C$12+'Sales Forecast'!AQ10*Assumptions!$D$12+'Sales Forecast'!AP10*Assumptions!$E$12+'Sales Forecast'!AO10*Assumptions!$F$12+'Sales Forecast'!AN10*Assumptions!$G$12+'Sales Forecast'!AM10*Assumptions!$H$12+'Sales Forecast'!AL10*Assumptions!$I$12+'Sales Forecast'!AR10*Assumptions!$C$13+'Sales Forecast'!AQ10*Assumptions!$D$13+'Sales Forecast'!AP10*Assumptions!$E$13+'Sales Forecast'!AO10*Assumptions!$F$13+'Sales Forecast'!AN10*Assumptions!$G$13+'Sales Forecast'!AM10*Assumptions!$H$13+'Sales Forecast'!AL10*Assumptions!$I$13+2013)*Assumptions!$C$17</f>
        <v/>
      </c>
      <c r="AS19" s="20">
        <f>('Sales Forecast'!AS10*Assumptions!$C$12+'Sales Forecast'!AR10*Assumptions!$D$12+'Sales Forecast'!AQ10*Assumptions!$E$12+'Sales Forecast'!AP10*Assumptions!$F$12+'Sales Forecast'!AO10*Assumptions!$G$12+'Sales Forecast'!AN10*Assumptions!$H$12+'Sales Forecast'!AM10*Assumptions!$I$12+'Sales Forecast'!AS10*Assumptions!$C$13+'Sales Forecast'!AR10*Assumptions!$D$13+'Sales Forecast'!AQ10*Assumptions!$E$13+'Sales Forecast'!AP10*Assumptions!$F$13+'Sales Forecast'!AO10*Assumptions!$G$13+'Sales Forecast'!AN10*Assumptions!$H$13+'Sales Forecast'!AM10*Assumptions!$I$13+2013)*Assumptions!$C$17</f>
        <v/>
      </c>
      <c r="AT19" s="20">
        <f>('Sales Forecast'!AT10*Assumptions!$C$12+'Sales Forecast'!AS10*Assumptions!$D$12+'Sales Forecast'!AR10*Assumptions!$E$12+'Sales Forecast'!AQ10*Assumptions!$F$12+'Sales Forecast'!AP10*Assumptions!$G$12+'Sales Forecast'!AO10*Assumptions!$H$12+'Sales Forecast'!AN10*Assumptions!$I$12+'Sales Forecast'!AT10*Assumptions!$C$13+'Sales Forecast'!AS10*Assumptions!$D$13+'Sales Forecast'!AR10*Assumptions!$E$13+'Sales Forecast'!AQ10*Assumptions!$F$13+'Sales Forecast'!AP10*Assumptions!$G$13+'Sales Forecast'!AO10*Assumptions!$H$13+'Sales Forecast'!AN10*Assumptions!$I$13+2013)*Assumptions!$C$17</f>
        <v/>
      </c>
      <c r="AU19" s="20">
        <f>('Sales Forecast'!AU10*Assumptions!$C$12+'Sales Forecast'!AT10*Assumptions!$D$12+'Sales Forecast'!AS10*Assumptions!$E$12+'Sales Forecast'!AR10*Assumptions!$F$12+'Sales Forecast'!AQ10*Assumptions!$G$12+'Sales Forecast'!AP10*Assumptions!$H$12+'Sales Forecast'!AO10*Assumptions!$I$12+'Sales Forecast'!AU10*Assumptions!$C$13+'Sales Forecast'!AT10*Assumptions!$D$13+'Sales Forecast'!AS10*Assumptions!$E$13+'Sales Forecast'!AR10*Assumptions!$F$13+'Sales Forecast'!AQ10*Assumptions!$G$13+'Sales Forecast'!AP10*Assumptions!$H$13+'Sales Forecast'!AO10*Assumptions!$I$13+2013)*Assumptions!$C$17</f>
        <v/>
      </c>
      <c r="AV19" s="20">
        <f>('Sales Forecast'!AV10*Assumptions!$C$12+'Sales Forecast'!AU10*Assumptions!$D$12+'Sales Forecast'!AT10*Assumptions!$E$12+'Sales Forecast'!AS10*Assumptions!$F$12+'Sales Forecast'!AR10*Assumptions!$G$12+'Sales Forecast'!AQ10*Assumptions!$H$12+'Sales Forecast'!AP10*Assumptions!$I$12+'Sales Forecast'!AV10*Assumptions!$C$13+'Sales Forecast'!AU10*Assumptions!$D$13+'Sales Forecast'!AT10*Assumptions!$E$13+'Sales Forecast'!AS10*Assumptions!$F$13+'Sales Forecast'!AR10*Assumptions!$G$13+'Sales Forecast'!AQ10*Assumptions!$H$13+'Sales Forecast'!AP10*Assumptions!$I$13+2013)*Assumptions!$C$17</f>
        <v/>
      </c>
      <c r="AW19" s="20">
        <f>('Sales Forecast'!AW10*Assumptions!$C$12+'Sales Forecast'!AV10*Assumptions!$D$12+'Sales Forecast'!AU10*Assumptions!$E$12+'Sales Forecast'!AT10*Assumptions!$F$12+'Sales Forecast'!AS10*Assumptions!$G$12+'Sales Forecast'!AR10*Assumptions!$H$12+'Sales Forecast'!AQ10*Assumptions!$I$12+'Sales Forecast'!AW10*Assumptions!$C$13+'Sales Forecast'!AV10*Assumptions!$D$13+'Sales Forecast'!AU10*Assumptions!$E$13+'Sales Forecast'!AT10*Assumptions!$F$13+'Sales Forecast'!AS10*Assumptions!$G$13+'Sales Forecast'!AR10*Assumptions!$H$13+'Sales Forecast'!AQ10*Assumptions!$I$13+2013)*Assumptions!$C$17</f>
        <v/>
      </c>
      <c r="AX19" s="20">
        <f>('Sales Forecast'!AX10*Assumptions!$C$12+'Sales Forecast'!AW10*Assumptions!$D$12+'Sales Forecast'!AV10*Assumptions!$E$12+'Sales Forecast'!AU10*Assumptions!$F$12+'Sales Forecast'!AT10*Assumptions!$G$12+'Sales Forecast'!AS10*Assumptions!$H$12+'Sales Forecast'!AR10*Assumptions!$I$12+'Sales Forecast'!AX10*Assumptions!$C$13+'Sales Forecast'!AW10*Assumptions!$D$13+'Sales Forecast'!AV10*Assumptions!$E$13+'Sales Forecast'!AU10*Assumptions!$F$13+'Sales Forecast'!AT10*Assumptions!$G$13+'Sales Forecast'!AS10*Assumptions!$H$13+'Sales Forecast'!AR10*Assumptions!$I$13+2013)*Assumptions!$C$17</f>
        <v/>
      </c>
      <c r="AY19" s="20">
        <f>('Sales Forecast'!AY10*Assumptions!$C$12+'Sales Forecast'!AX10*Assumptions!$D$12+'Sales Forecast'!AW10*Assumptions!$E$12+'Sales Forecast'!AV10*Assumptions!$F$12+'Sales Forecast'!AU10*Assumptions!$G$12+'Sales Forecast'!AT10*Assumptions!$H$12+'Sales Forecast'!AS10*Assumptions!$I$12+'Sales Forecast'!AY10*Assumptions!$C$13+'Sales Forecast'!AX10*Assumptions!$D$13+'Sales Forecast'!AW10*Assumptions!$E$13+'Sales Forecast'!AV10*Assumptions!$F$13+'Sales Forecast'!AU10*Assumptions!$G$13+'Sales Forecast'!AT10*Assumptions!$H$13+'Sales Forecast'!AS10*Assumptions!$I$13+2013)*Assumptions!$C$17</f>
        <v/>
      </c>
      <c r="BA19" s="288">
        <f>SUM(I19:T19)</f>
        <v/>
      </c>
      <c r="BB19" s="274">
        <f>BA19/$BA$21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-1278.6</v>
      </c>
      <c r="H20" s="19" t="n">
        <v>-5291.36</v>
      </c>
      <c r="I20" s="19" t="n">
        <v>-8194.5</v>
      </c>
      <c r="J20" s="19" t="n">
        <v>-4160.12</v>
      </c>
      <c r="K20" s="19" t="n">
        <v>-4675.46</v>
      </c>
      <c r="L20" s="19" t="n">
        <v>-2806.52</v>
      </c>
      <c r="M20" s="19" t="n">
        <v>-3802.2</v>
      </c>
      <c r="N20" s="19" t="n">
        <v>-3118.72</v>
      </c>
      <c r="O20" s="19" t="n">
        <v>-3715.56</v>
      </c>
      <c r="P20" s="19" t="n">
        <v>-6273.12</v>
      </c>
      <c r="Q20" s="19" t="n">
        <v>-5689.39</v>
      </c>
      <c r="R20" s="19" t="n">
        <v>-3614.58</v>
      </c>
      <c r="S20" s="19" t="n">
        <v>-3156.57</v>
      </c>
      <c r="T20" s="19" t="n">
        <v>-3166</v>
      </c>
      <c r="U20" s="19" t="n">
        <v>-3459.65</v>
      </c>
      <c r="V20" s="19" t="n">
        <v>-3020.55</v>
      </c>
      <c r="W20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Forecast'!Q10*Assumptions!$I$13+2013)*Assumptions!$C$18</f>
        <v/>
      </c>
      <c r="X20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Forecast'!R10*Assumptions!$I$13+2013)*Assumptions!$C$18</f>
        <v/>
      </c>
      <c r="Y20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Forecast'!S10*Assumptions!$I$13+2013)*Assumptions!$C$18</f>
        <v/>
      </c>
      <c r="Z20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Forecast'!T10*Assumptions!$I$13+2013)*Assumptions!$C$18</f>
        <v/>
      </c>
      <c r="AA20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Forecast'!U10*Assumptions!$I$13+2013)*Assumptions!$C$18</f>
        <v/>
      </c>
      <c r="AB20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Forecast'!V10*Assumptions!$I$13+2013)*Assumptions!$C$18</f>
        <v/>
      </c>
      <c r="AC20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Forecast'!W10*Assumptions!$I$13+2013)*Assumptions!$C$18</f>
        <v/>
      </c>
      <c r="AD20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Forecast'!X10*Assumptions!$I$13+2013)*Assumptions!$C$18</f>
        <v/>
      </c>
      <c r="AE20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Forecast'!Y10*Assumptions!$I$13+2013)*Assumptions!$C$18</f>
        <v/>
      </c>
      <c r="AF20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Forecast'!Z10*Assumptions!$I$13+2013)*Assumptions!$C$18</f>
        <v/>
      </c>
      <c r="AG20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Forecast'!AA10*Assumptions!$I$13+2013)*Assumptions!$C$18</f>
        <v/>
      </c>
      <c r="AH20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Forecast'!AB10*Assumptions!$I$13+2013)*Assumptions!$C$18</f>
        <v/>
      </c>
      <c r="AI20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Forecast'!AC10*Assumptions!$I$13+2013)*Assumptions!$C$18</f>
        <v/>
      </c>
      <c r="AJ20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Forecast'!AD10*Assumptions!$I$13+2013)*Assumptions!$C$18</f>
        <v/>
      </c>
      <c r="AK20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Forecast'!AE10*Assumptions!$I$13+2013)*Assumptions!$C$18</f>
        <v/>
      </c>
      <c r="AL20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Forecast'!AF10*Assumptions!$I$13+2013)*Assumptions!$C$18</f>
        <v/>
      </c>
      <c r="AM20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Forecast'!AG10*Assumptions!$I$13+2013)*Assumptions!$C$18</f>
        <v/>
      </c>
      <c r="AN20" s="20">
        <f>('Sales Forecast'!AN10*Assumptions!$C$12+'Sales Forecast'!AM10*Assumptions!$D$12+'Sales Forecast'!AL10*Assumptions!$E$12+'Sales Forecast'!AK10*Assumptions!$F$12+'Sales Forecast'!AJ10*Assumptions!$G$12+'Sales Forecast'!AI10*Assumptions!$H$12+'Sales Forecast'!AH10*Assumptions!$I$12+'Sales Forecast'!AN10*Assumptions!$C$13+'Sales Forecast'!AM10*Assumptions!$D$13+'Sales Forecast'!AL10*Assumptions!$E$13+'Sales Forecast'!AK10*Assumptions!$F$13+'Sales Forecast'!AJ10*Assumptions!$G$13+'Sales Forecast'!AI10*Assumptions!$H$13+'Sales Forecast'!AH10*Assumptions!$I$13+2013)*Assumptions!$C$18</f>
        <v/>
      </c>
      <c r="AO20" s="20">
        <f>('Sales Forecast'!AO10*Assumptions!$C$12+'Sales Forecast'!AN10*Assumptions!$D$12+'Sales Forecast'!AM10*Assumptions!$E$12+'Sales Forecast'!AL10*Assumptions!$F$12+'Sales Forecast'!AK10*Assumptions!$G$12+'Sales Forecast'!AJ10*Assumptions!$H$12+'Sales Forecast'!AI10*Assumptions!$I$12+'Sales Forecast'!AO10*Assumptions!$C$13+'Sales Forecast'!AN10*Assumptions!$D$13+'Sales Forecast'!AM10*Assumptions!$E$13+'Sales Forecast'!AL10*Assumptions!$F$13+'Sales Forecast'!AK10*Assumptions!$G$13+'Sales Forecast'!AJ10*Assumptions!$H$13+'Sales Forecast'!AI10*Assumptions!$I$13+2013)*Assumptions!$C$18</f>
        <v/>
      </c>
      <c r="AP20" s="20">
        <f>('Sales Forecast'!AP10*Assumptions!$C$12+'Sales Forecast'!AO10*Assumptions!$D$12+'Sales Forecast'!AN10*Assumptions!$E$12+'Sales Forecast'!AM10*Assumptions!$F$12+'Sales Forecast'!AL10*Assumptions!$G$12+'Sales Forecast'!AK10*Assumptions!$H$12+'Sales Forecast'!AJ10*Assumptions!$I$12+'Sales Forecast'!AP10*Assumptions!$C$13+'Sales Forecast'!AO10*Assumptions!$D$13+'Sales Forecast'!AN10*Assumptions!$E$13+'Sales Forecast'!AM10*Assumptions!$F$13+'Sales Forecast'!AL10*Assumptions!$G$13+'Sales Forecast'!AK10*Assumptions!$H$13+'Sales Forecast'!AJ10*Assumptions!$I$13+2013)*Assumptions!$C$18</f>
        <v/>
      </c>
      <c r="AQ20" s="20">
        <f>('Sales Forecast'!AQ10*Assumptions!$C$12+'Sales Forecast'!AP10*Assumptions!$D$12+'Sales Forecast'!AO10*Assumptions!$E$12+'Sales Forecast'!AN10*Assumptions!$F$12+'Sales Forecast'!AM10*Assumptions!$G$12+'Sales Forecast'!AL10*Assumptions!$H$12+'Sales Forecast'!AK10*Assumptions!$I$12+'Sales Forecast'!AQ10*Assumptions!$C$13+'Sales Forecast'!AP10*Assumptions!$D$13+'Sales Forecast'!AO10*Assumptions!$E$13+'Sales Forecast'!AN10*Assumptions!$F$13+'Sales Forecast'!AM10*Assumptions!$G$13+'Sales Forecast'!AL10*Assumptions!$H$13+'Sales Forecast'!AK10*Assumptions!$I$13+2013)*Assumptions!$C$18</f>
        <v/>
      </c>
      <c r="AR20" s="20">
        <f>('Sales Forecast'!AR10*Assumptions!$C$12+'Sales Forecast'!AQ10*Assumptions!$D$12+'Sales Forecast'!AP10*Assumptions!$E$12+'Sales Forecast'!AO10*Assumptions!$F$12+'Sales Forecast'!AN10*Assumptions!$G$12+'Sales Forecast'!AM10*Assumptions!$H$12+'Sales Forecast'!AL10*Assumptions!$I$12+'Sales Forecast'!AR10*Assumptions!$C$13+'Sales Forecast'!AQ10*Assumptions!$D$13+'Sales Forecast'!AP10*Assumptions!$E$13+'Sales Forecast'!AO10*Assumptions!$F$13+'Sales Forecast'!AN10*Assumptions!$G$13+'Sales Forecast'!AM10*Assumptions!$H$13+'Sales Forecast'!AL10*Assumptions!$I$13+2013)*Assumptions!$C$18</f>
        <v/>
      </c>
      <c r="AS20" s="20">
        <f>('Sales Forecast'!AS10*Assumptions!$C$12+'Sales Forecast'!AR10*Assumptions!$D$12+'Sales Forecast'!AQ10*Assumptions!$E$12+'Sales Forecast'!AP10*Assumptions!$F$12+'Sales Forecast'!AO10*Assumptions!$G$12+'Sales Forecast'!AN10*Assumptions!$H$12+'Sales Forecast'!AM10*Assumptions!$I$12+'Sales Forecast'!AS10*Assumptions!$C$13+'Sales Forecast'!AR10*Assumptions!$D$13+'Sales Forecast'!AQ10*Assumptions!$E$13+'Sales Forecast'!AP10*Assumptions!$F$13+'Sales Forecast'!AO10*Assumptions!$G$13+'Sales Forecast'!AN10*Assumptions!$H$13+'Sales Forecast'!AM10*Assumptions!$I$13+2013)*Assumptions!$C$18</f>
        <v/>
      </c>
      <c r="AT20" s="20">
        <f>('Sales Forecast'!AT10*Assumptions!$C$12+'Sales Forecast'!AS10*Assumptions!$D$12+'Sales Forecast'!AR10*Assumptions!$E$12+'Sales Forecast'!AQ10*Assumptions!$F$12+'Sales Forecast'!AP10*Assumptions!$G$12+'Sales Forecast'!AO10*Assumptions!$H$12+'Sales Forecast'!AN10*Assumptions!$I$12+'Sales Forecast'!AT10*Assumptions!$C$13+'Sales Forecast'!AS10*Assumptions!$D$13+'Sales Forecast'!AR10*Assumptions!$E$13+'Sales Forecast'!AQ10*Assumptions!$F$13+'Sales Forecast'!AP10*Assumptions!$G$13+'Sales Forecast'!AO10*Assumptions!$H$13+'Sales Forecast'!AN10*Assumptions!$I$13+2013)*Assumptions!$C$18</f>
        <v/>
      </c>
      <c r="AU20" s="20">
        <f>('Sales Forecast'!AU10*Assumptions!$C$12+'Sales Forecast'!AT10*Assumptions!$D$12+'Sales Forecast'!AS10*Assumptions!$E$12+'Sales Forecast'!AR10*Assumptions!$F$12+'Sales Forecast'!AQ10*Assumptions!$G$12+'Sales Forecast'!AP10*Assumptions!$H$12+'Sales Forecast'!AO10*Assumptions!$I$12+'Sales Forecast'!AU10*Assumptions!$C$13+'Sales Forecast'!AT10*Assumptions!$D$13+'Sales Forecast'!AS10*Assumptions!$E$13+'Sales Forecast'!AR10*Assumptions!$F$13+'Sales Forecast'!AQ10*Assumptions!$G$13+'Sales Forecast'!AP10*Assumptions!$H$13+'Sales Forecast'!AO10*Assumptions!$I$13+2013)*Assumptions!$C$18</f>
        <v/>
      </c>
      <c r="AV20" s="20">
        <f>('Sales Forecast'!AV10*Assumptions!$C$12+'Sales Forecast'!AU10*Assumptions!$D$12+'Sales Forecast'!AT10*Assumptions!$E$12+'Sales Forecast'!AS10*Assumptions!$F$12+'Sales Forecast'!AR10*Assumptions!$G$12+'Sales Forecast'!AQ10*Assumptions!$H$12+'Sales Forecast'!AP10*Assumptions!$I$12+'Sales Forecast'!AV10*Assumptions!$C$13+'Sales Forecast'!AU10*Assumptions!$D$13+'Sales Forecast'!AT10*Assumptions!$E$13+'Sales Forecast'!AS10*Assumptions!$F$13+'Sales Forecast'!AR10*Assumptions!$G$13+'Sales Forecast'!AQ10*Assumptions!$H$13+'Sales Forecast'!AP10*Assumptions!$I$13+2013)*Assumptions!$C$18</f>
        <v/>
      </c>
      <c r="AW20" s="20">
        <f>('Sales Forecast'!AW10*Assumptions!$C$12+'Sales Forecast'!AV10*Assumptions!$D$12+'Sales Forecast'!AU10*Assumptions!$E$12+'Sales Forecast'!AT10*Assumptions!$F$12+'Sales Forecast'!AS10*Assumptions!$G$12+'Sales Forecast'!AR10*Assumptions!$H$12+'Sales Forecast'!AQ10*Assumptions!$I$12+'Sales Forecast'!AW10*Assumptions!$C$13+'Sales Forecast'!AV10*Assumptions!$D$13+'Sales Forecast'!AU10*Assumptions!$E$13+'Sales Forecast'!AT10*Assumptions!$F$13+'Sales Forecast'!AS10*Assumptions!$G$13+'Sales Forecast'!AR10*Assumptions!$H$13+'Sales Forecast'!AQ10*Assumptions!$I$13+2013)*Assumptions!$C$18</f>
        <v/>
      </c>
      <c r="AX20" s="20">
        <f>('Sales Forecast'!AX10*Assumptions!$C$12+'Sales Forecast'!AW10*Assumptions!$D$12+'Sales Forecast'!AV10*Assumptions!$E$12+'Sales Forecast'!AU10*Assumptions!$F$12+'Sales Forecast'!AT10*Assumptions!$G$12+'Sales Forecast'!AS10*Assumptions!$H$12+'Sales Forecast'!AR10*Assumptions!$I$12+'Sales Forecast'!AX10*Assumptions!$C$13+'Sales Forecast'!AW10*Assumptions!$D$13+'Sales Forecast'!AV10*Assumptions!$E$13+'Sales Forecast'!AU10*Assumptions!$F$13+'Sales Forecast'!AT10*Assumptions!$G$13+'Sales Forecast'!AS10*Assumptions!$H$13+'Sales Forecast'!AR10*Assumptions!$I$13+2013)*Assumptions!$C$18</f>
        <v/>
      </c>
      <c r="AY20" s="20">
        <f>('Sales Forecast'!AY10*Assumptions!$C$12+'Sales Forecast'!AX10*Assumptions!$D$12+'Sales Forecast'!AW10*Assumptions!$E$12+'Sales Forecast'!AV10*Assumptions!$F$12+'Sales Forecast'!AU10*Assumptions!$G$12+'Sales Forecast'!AT10*Assumptions!$H$12+'Sales Forecast'!AS10*Assumptions!$I$12+'Sales Forecast'!AY10*Assumptions!$C$13+'Sales Forecast'!AX10*Assumptions!$D$13+'Sales Forecast'!AW10*Assumptions!$E$13+'Sales Forecast'!AV10*Assumptions!$F$13+'Sales Forecast'!AU10*Assumptions!$G$13+'Sales Forecast'!AT10*Assumptions!$H$13+'Sales Forecast'!AS10*Assumptions!$I$13+2013)*Assumptions!$C$18</f>
        <v/>
      </c>
      <c r="BA20" s="288">
        <f>SUM(I20:T20)</f>
        <v/>
      </c>
      <c r="BB20" s="274">
        <f>BA20/$BA$21</f>
        <v/>
      </c>
    </row>
    <row r="21">
      <c r="B21" s="32" t="inlineStr">
        <is>
          <t>TOTAL REVENUE</t>
        </is>
      </c>
      <c r="C21" s="34" t="n"/>
      <c r="D21" s="35">
        <f>D13+D17+D18+D19+D20</f>
        <v/>
      </c>
      <c r="E21" s="35">
        <f>E13+E17+E18+E19+E20</f>
        <v/>
      </c>
      <c r="F21" s="35">
        <f>F13+F17+F18+F19+F20</f>
        <v/>
      </c>
      <c r="G21" s="35">
        <f>G13+G17+G18+G19+G20</f>
        <v/>
      </c>
      <c r="H21" s="35">
        <f>H13+H17+H18+H19+H20</f>
        <v/>
      </c>
      <c r="I21" s="35">
        <f>I13+I17+I18+I19+I20</f>
        <v/>
      </c>
      <c r="J21" s="35">
        <f>J13+J17+J18+J19+J20</f>
        <v/>
      </c>
      <c r="K21" s="35">
        <f>K13+K17+K18+K19+K20</f>
        <v/>
      </c>
      <c r="L21" s="35">
        <f>L13+L17+L18+L19+L20</f>
        <v/>
      </c>
      <c r="M21" s="35">
        <f>M13+M17+M18+M19+M20</f>
        <v/>
      </c>
      <c r="N21" s="35">
        <f>N13+N17+N18+N19+N20</f>
        <v/>
      </c>
      <c r="O21" s="35">
        <f>O13+O17+O18+O19+O20</f>
        <v/>
      </c>
      <c r="P21" s="35">
        <f>P13+P17+P18+P19+P20</f>
        <v/>
      </c>
      <c r="Q21" s="35">
        <f>Q13+Q17+Q18+Q19+Q20</f>
        <v/>
      </c>
      <c r="R21" s="35">
        <f>R13+R17+R18+R19+R20</f>
        <v/>
      </c>
      <c r="S21" s="35">
        <f>S13+S17+S18+S19+S20</f>
        <v/>
      </c>
      <c r="T21" s="35">
        <f>T13+T17+T18+T19+T20</f>
        <v/>
      </c>
      <c r="U21" s="35">
        <f>U13+U17+U18+U19+U20</f>
        <v/>
      </c>
      <c r="V21" s="35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  <c r="BA21" s="307">
        <f>SUM(I21:T21)</f>
        <v/>
      </c>
      <c r="BB21" s="276">
        <f>SUM(BB7:BB20)</f>
        <v/>
      </c>
    </row>
    <row r="22" ht="16" customHeight="1" s="28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>501000 Product Cost (incl Inventory Shrinkage)</t>
        </is>
      </c>
      <c r="D23" s="19" t="n">
        <v>0</v>
      </c>
      <c r="E23" s="19" t="n">
        <v>0</v>
      </c>
      <c r="F23" s="19" t="n">
        <v>0</v>
      </c>
      <c r="G23" s="19" t="n">
        <v>148</v>
      </c>
      <c r="H23" s="19" t="n">
        <v>722</v>
      </c>
      <c r="I23" s="19" t="n">
        <v>1152</v>
      </c>
      <c r="J23" s="19" t="n">
        <v>1039.25</v>
      </c>
      <c r="K23" s="19" t="n">
        <v>826</v>
      </c>
      <c r="L23" s="19" t="n">
        <v>903</v>
      </c>
      <c r="M23" s="19" t="n">
        <v>901</v>
      </c>
      <c r="N23" s="19" t="n">
        <v>1580.5</v>
      </c>
      <c r="O23" s="19" t="n">
        <v>2892.26</v>
      </c>
      <c r="P23" s="19" t="n">
        <v>976</v>
      </c>
      <c r="Q23" s="19" t="n">
        <v>858.75</v>
      </c>
      <c r="R23" s="19" t="n">
        <v>742</v>
      </c>
      <c r="S23" s="19" t="n">
        <v>921</v>
      </c>
      <c r="T23" s="83" t="n">
        <v>660.25</v>
      </c>
      <c r="U23" s="83" t="n">
        <v>882</v>
      </c>
      <c r="V23" s="83" t="n">
        <v>648</v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4862.31</v>
      </c>
      <c r="E24" s="19" t="n">
        <v>3411.93</v>
      </c>
      <c r="F24" s="19" t="n">
        <v>4208.5</v>
      </c>
      <c r="G24" s="19" t="n">
        <v>5619.07</v>
      </c>
      <c r="H24" s="19" t="n">
        <v>4090.87</v>
      </c>
      <c r="I24" s="19" t="n">
        <v>4312.04</v>
      </c>
      <c r="J24" s="19" t="n">
        <v>3932.73</v>
      </c>
      <c r="K24" s="19" t="n">
        <v>5432.74</v>
      </c>
      <c r="L24" s="19" t="n">
        <v>4004.01</v>
      </c>
      <c r="M24" s="19" t="n">
        <v>4248.85</v>
      </c>
      <c r="N24" s="19" t="n">
        <v>2602.26</v>
      </c>
      <c r="O24" s="19" t="n">
        <v>2984.63</v>
      </c>
      <c r="P24" s="19" t="n">
        <v>2883.94</v>
      </c>
      <c r="Q24" s="19" t="n">
        <v>3492.89</v>
      </c>
      <c r="R24" s="19" t="n">
        <v>2723.17</v>
      </c>
      <c r="S24" s="19" t="n">
        <v>4195.19</v>
      </c>
      <c r="T24" s="83" t="n">
        <v>1898.15</v>
      </c>
      <c r="U24" s="83" t="n">
        <v>2784.06</v>
      </c>
      <c r="V24" s="83" t="n">
        <v>3232.53</v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>
        <f>SUM(D23:D24)</f>
        <v/>
      </c>
      <c r="E25" s="35">
        <f>SUM(E23:E24)</f>
        <v/>
      </c>
      <c r="F25" s="35">
        <f>SUM(F23:F24)</f>
        <v/>
      </c>
      <c r="G25" s="35">
        <f>SUM(G23:G24)</f>
        <v/>
      </c>
      <c r="H25" s="35">
        <f>SUM(H23:H24)</f>
        <v/>
      </c>
      <c r="I25" s="35">
        <f>SUM(I23:I24)</f>
        <v/>
      </c>
      <c r="J25" s="35">
        <f>SUM(J23:J24)</f>
        <v/>
      </c>
      <c r="K25" s="35">
        <f>SUM(K23:K24)</f>
        <v/>
      </c>
      <c r="L25" s="35">
        <f>SUM(L23:L24)</f>
        <v/>
      </c>
      <c r="M25" s="35">
        <f>SUM(M23:M24)</f>
        <v/>
      </c>
      <c r="N25" s="35">
        <f>SUM(N23:N24)</f>
        <v/>
      </c>
      <c r="O25" s="35">
        <f>SUM(O23:O24)</f>
        <v/>
      </c>
      <c r="P25" s="35">
        <f>P23+P24</f>
        <v/>
      </c>
      <c r="Q25" s="35">
        <f>Q23+Q24</f>
        <v/>
      </c>
      <c r="R25" s="35">
        <f>R23+R24</f>
        <v/>
      </c>
      <c r="S25" s="35">
        <f>S23+S24</f>
        <v/>
      </c>
      <c r="T25" s="84">
        <f>T23+T24</f>
        <v/>
      </c>
      <c r="U25" s="84">
        <f>U23+U24</f>
        <v/>
      </c>
      <c r="V25" s="84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>
        <f>D21-D25</f>
        <v/>
      </c>
      <c r="E26" s="35">
        <f>E21-E25</f>
        <v/>
      </c>
      <c r="F26" s="35">
        <f>F21-F25</f>
        <v/>
      </c>
      <c r="G26" s="35">
        <f>G21-G25</f>
        <v/>
      </c>
      <c r="H26" s="35">
        <f>H21-H25</f>
        <v/>
      </c>
      <c r="I26" s="35">
        <f>I21-I25</f>
        <v/>
      </c>
      <c r="J26" s="35">
        <f>J21-J25</f>
        <v/>
      </c>
      <c r="K26" s="35">
        <f>K21-K25</f>
        <v/>
      </c>
      <c r="L26" s="35">
        <f>L21-L25</f>
        <v/>
      </c>
      <c r="M26" s="35">
        <f>M21-M25</f>
        <v/>
      </c>
      <c r="N26" s="35">
        <f>N21-N25</f>
        <v/>
      </c>
      <c r="O26" s="35">
        <f>O21-O25</f>
        <v/>
      </c>
      <c r="P26" s="35">
        <f>P21-P25</f>
        <v/>
      </c>
      <c r="Q26" s="35">
        <f>Q21-Q25</f>
        <v/>
      </c>
      <c r="R26" s="35">
        <f>R21-R25</f>
        <v/>
      </c>
      <c r="S26" s="35">
        <f>S21-S25</f>
        <v/>
      </c>
      <c r="T26" s="84">
        <f>T21-T25</f>
        <v/>
      </c>
      <c r="U26" s="84">
        <f>U21-U25</f>
        <v/>
      </c>
      <c r="V26" s="84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" customHeight="1" s="28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300</v>
      </c>
      <c r="F28" s="19" t="n">
        <v>0</v>
      </c>
      <c r="G28" s="19" t="n">
        <v>0</v>
      </c>
      <c r="H28" s="19" t="n">
        <v>0</v>
      </c>
      <c r="I28" s="19" t="n">
        <v>3050</v>
      </c>
      <c r="J28" s="19" t="n">
        <v>300</v>
      </c>
      <c r="K28" s="19" t="n">
        <v>1083.33</v>
      </c>
      <c r="L28" s="19" t="n">
        <v>2274.45</v>
      </c>
      <c r="M28" s="19" t="n">
        <v>2513.09</v>
      </c>
      <c r="N28" s="19" t="n">
        <v>3262.57</v>
      </c>
      <c r="O28" s="19" t="n">
        <v>1935.08</v>
      </c>
      <c r="P28" s="19" t="n">
        <v>2841.51</v>
      </c>
      <c r="Q28" s="19" t="n">
        <v>3576.18</v>
      </c>
      <c r="R28" s="19" t="n">
        <v>2381.63</v>
      </c>
      <c r="S28" s="19" t="n">
        <v>755.14</v>
      </c>
      <c r="T28" s="83" t="n">
        <v>747.4299999999999</v>
      </c>
      <c r="U28" s="83" t="n">
        <v>844.75</v>
      </c>
      <c r="V28" s="83" t="n">
        <v>753.25</v>
      </c>
      <c r="W28" s="20" t="n">
        <v>2000</v>
      </c>
      <c r="X28" s="20" t="n">
        <v>2000</v>
      </c>
      <c r="Y28" s="20" t="n">
        <v>2000</v>
      </c>
      <c r="Z28" s="20" t="n">
        <v>2000</v>
      </c>
      <c r="AA28" s="20" t="n">
        <v>2000</v>
      </c>
      <c r="AB28" s="20" t="n">
        <v>2000</v>
      </c>
      <c r="AC28" s="20" t="n">
        <v>2000</v>
      </c>
      <c r="AD28" s="20" t="n">
        <v>2000</v>
      </c>
      <c r="AE28" s="20" t="n">
        <v>2000</v>
      </c>
      <c r="AF28" s="20" t="n">
        <v>2000</v>
      </c>
      <c r="AG28" s="20" t="n">
        <v>2000</v>
      </c>
      <c r="AH28" s="20" t="n">
        <v>2000</v>
      </c>
      <c r="AI28" s="20" t="n">
        <v>2000</v>
      </c>
      <c r="AJ28" s="20" t="n">
        <v>2000</v>
      </c>
      <c r="AK28" s="20" t="n">
        <v>2000</v>
      </c>
      <c r="AL28" s="20" t="n">
        <v>2000</v>
      </c>
      <c r="AM28" s="20" t="n">
        <v>2000</v>
      </c>
      <c r="AN28" s="20" t="n">
        <v>2000</v>
      </c>
      <c r="AO28" s="20" t="n">
        <v>2000</v>
      </c>
      <c r="AP28" s="20" t="n">
        <v>2000</v>
      </c>
      <c r="AQ28" s="20" t="n">
        <v>2000</v>
      </c>
      <c r="AR28" s="20" t="n">
        <v>2000</v>
      </c>
      <c r="AS28" s="20" t="n">
        <v>2000</v>
      </c>
      <c r="AT28" s="20" t="n">
        <v>2000</v>
      </c>
      <c r="AU28" s="20" t="n">
        <v>2000</v>
      </c>
      <c r="AV28" s="20" t="n">
        <v>2000</v>
      </c>
      <c r="AW28" s="20" t="n">
        <v>2000</v>
      </c>
      <c r="AX28" s="20" t="n">
        <v>2000</v>
      </c>
      <c r="AY28" s="20" t="n">
        <v>2000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0</v>
      </c>
      <c r="O29" s="19" t="n">
        <v>0</v>
      </c>
      <c r="P29" s="19" t="n">
        <v>0</v>
      </c>
      <c r="Q29" s="19" t="n">
        <v>0</v>
      </c>
      <c r="R29" s="19" t="n">
        <v>0</v>
      </c>
      <c r="S29" s="19" t="n">
        <v>0</v>
      </c>
      <c r="T29" s="83" t="n">
        <v>0</v>
      </c>
      <c r="U29" s="83" t="n">
        <v>0</v>
      </c>
      <c r="V29" s="83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>601006 General Marketing (incl Affiliate, PR, Trade Shows)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122.35</v>
      </c>
      <c r="I30" s="19" t="n">
        <v>0</v>
      </c>
      <c r="J30" s="19" t="n">
        <v>0</v>
      </c>
      <c r="K30" s="19" t="n">
        <v>109.69</v>
      </c>
      <c r="L30" s="19" t="n">
        <v>0</v>
      </c>
      <c r="M30" s="19" t="n">
        <v>0</v>
      </c>
      <c r="N30" s="19" t="n">
        <v>0</v>
      </c>
      <c r="O30" s="19" t="n">
        <v>127.81</v>
      </c>
      <c r="P30" s="19" t="n">
        <v>0</v>
      </c>
      <c r="Q30" s="19" t="n">
        <v>0</v>
      </c>
      <c r="R30" s="19" t="n">
        <v>0</v>
      </c>
      <c r="S30" s="19" t="n">
        <v>0</v>
      </c>
      <c r="T30" s="83" t="n">
        <v>0</v>
      </c>
      <c r="U30" s="83" t="n">
        <v>0</v>
      </c>
      <c r="V30" s="83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  <c r="Q31" s="19" t="n">
        <v>0</v>
      </c>
      <c r="R31" s="19" t="n">
        <v>0</v>
      </c>
      <c r="S31" s="19" t="n">
        <v>0</v>
      </c>
      <c r="T31" s="83" t="n">
        <v>0</v>
      </c>
      <c r="U31" s="83" t="n">
        <v>0</v>
      </c>
      <c r="V31" s="83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83" t="n">
        <v>0</v>
      </c>
      <c r="U32" s="83" t="n">
        <v>0</v>
      </c>
      <c r="V32" s="83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>
        <f>SUM(D28:D32)</f>
        <v/>
      </c>
      <c r="E33" s="35">
        <f>SUM(E28:E32)</f>
        <v/>
      </c>
      <c r="F33" s="35">
        <f>SUM(F28:F32)</f>
        <v/>
      </c>
      <c r="G33" s="35">
        <f>SUM(G28:G32)</f>
        <v/>
      </c>
      <c r="H33" s="35">
        <f>SUM(H28:H32)</f>
        <v/>
      </c>
      <c r="I33" s="35">
        <f>SUM(I28:I32)</f>
        <v/>
      </c>
      <c r="J33" s="35">
        <f>SUM(J28:J32)</f>
        <v/>
      </c>
      <c r="K33" s="35">
        <f>SUM(K28:K32)</f>
        <v/>
      </c>
      <c r="L33" s="35">
        <f>SUM(L28:L32)</f>
        <v/>
      </c>
      <c r="M33" s="35">
        <f>SUM(M28:M32)</f>
        <v/>
      </c>
      <c r="N33" s="35">
        <f>SUM(N28:N32)</f>
        <v/>
      </c>
      <c r="O33" s="35">
        <f>SUM(O28:O32)</f>
        <v/>
      </c>
      <c r="P33" s="35">
        <f>P28+P29+P30+P31+P32</f>
        <v/>
      </c>
      <c r="Q33" s="35">
        <f>Q28+Q29+Q30+Q31+Q32</f>
        <v/>
      </c>
      <c r="R33" s="35">
        <f>R28+R29+R30+R31+R32</f>
        <v/>
      </c>
      <c r="S33" s="35">
        <f>S28+S29+S30+S31+S32</f>
        <v/>
      </c>
      <c r="T33" s="84">
        <f>T28+T29+T30+T31+T32</f>
        <v/>
      </c>
      <c r="U33" s="84">
        <f>U28+U29+U30+U31+U32</f>
        <v/>
      </c>
      <c r="V33" s="84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>602001 Wages (incl 1099 &amp; Bonus)</t>
        </is>
      </c>
      <c r="D34" s="19" t="n">
        <v>42522.4</v>
      </c>
      <c r="E34" s="19" t="n">
        <v>37203.22</v>
      </c>
      <c r="F34" s="19" t="n">
        <v>47955.7</v>
      </c>
      <c r="G34" s="19" t="n">
        <v>42035.39</v>
      </c>
      <c r="H34" s="19" t="n">
        <v>45562.87</v>
      </c>
      <c r="I34" s="19" t="n">
        <v>41163.53</v>
      </c>
      <c r="J34" s="19" t="n">
        <v>43153.33</v>
      </c>
      <c r="K34" s="19" t="n">
        <v>43836.22</v>
      </c>
      <c r="L34" s="19" t="n">
        <v>25073.46</v>
      </c>
      <c r="M34" s="19" t="n">
        <v>49552.91</v>
      </c>
      <c r="N34" s="19" t="n">
        <v>42207.92</v>
      </c>
      <c r="O34" s="19" t="n">
        <v>58494.02</v>
      </c>
      <c r="P34" s="19" t="n">
        <v>65040.98</v>
      </c>
      <c r="Q34" s="19" t="n">
        <v>56557.6</v>
      </c>
      <c r="R34" s="19" t="n">
        <v>59612.66</v>
      </c>
      <c r="S34" s="19" t="n">
        <v>58991.83</v>
      </c>
      <c r="T34" s="83" t="n">
        <v>55154.53</v>
      </c>
      <c r="U34" s="83" t="n">
        <v>47495.99</v>
      </c>
      <c r="V34" s="83" t="n">
        <v>43171.6</v>
      </c>
      <c r="W34" s="20" t="n">
        <v>42718.28</v>
      </c>
      <c r="X34" s="20" t="n">
        <v>42078.82</v>
      </c>
      <c r="Y34" s="20" t="n">
        <v>42355.44</v>
      </c>
      <c r="Z34" s="20" t="n">
        <v>43854.28</v>
      </c>
      <c r="AA34" s="20" t="n">
        <v>44310.06</v>
      </c>
      <c r="AB34" s="20" t="n">
        <v>42694.48</v>
      </c>
      <c r="AC34" s="20" t="n">
        <v>43869.02</v>
      </c>
      <c r="AD34" s="20" t="n">
        <v>41469.19</v>
      </c>
      <c r="AE34" s="20" t="n">
        <v>42303.21</v>
      </c>
      <c r="AF34" s="20" t="n">
        <v>42048.64</v>
      </c>
      <c r="AG34" s="20" t="n">
        <v>41809.08</v>
      </c>
      <c r="AH34" s="20" t="n">
        <v>41623.62</v>
      </c>
      <c r="AI34" s="20" t="n">
        <v>44075.27</v>
      </c>
      <c r="AJ34" s="20" t="n">
        <v>42709.72</v>
      </c>
      <c r="AK34" s="20" t="n">
        <v>43000.18</v>
      </c>
      <c r="AL34" s="20" t="n">
        <v>46007.96</v>
      </c>
      <c r="AM34" s="20" t="n">
        <v>46490.59</v>
      </c>
      <c r="AN34" s="20" t="n">
        <v>42694.48</v>
      </c>
      <c r="AO34" s="20" t="n">
        <v>43869.02</v>
      </c>
      <c r="AP34" s="20" t="n">
        <v>41469.19</v>
      </c>
      <c r="AQ34" s="20" t="n">
        <v>42303.21</v>
      </c>
      <c r="AR34" s="20" t="n">
        <v>42048.64</v>
      </c>
      <c r="AS34" s="20" t="n">
        <v>41809.08</v>
      </c>
      <c r="AT34" s="20" t="n">
        <v>41623.62</v>
      </c>
      <c r="AU34" s="20" t="n">
        <v>44075.27</v>
      </c>
      <c r="AV34" s="20" t="n">
        <v>42709.72</v>
      </c>
      <c r="AW34" s="20" t="n">
        <v>43000.18</v>
      </c>
      <c r="AX34" s="20" t="n">
        <v>46007.96</v>
      </c>
      <c r="AY34" s="20" t="n">
        <v>46490.59</v>
      </c>
    </row>
    <row r="35">
      <c r="B35" s="33" t="inlineStr">
        <is>
          <t xml:space="preserve">  602004 Payroll Taxes</t>
        </is>
      </c>
      <c r="D35" s="19" t="n">
        <v>5050.15</v>
      </c>
      <c r="E35" s="19" t="n">
        <v>3793.11</v>
      </c>
      <c r="F35" s="19" t="n">
        <v>4458.8</v>
      </c>
      <c r="G35" s="19" t="n">
        <v>3762.66</v>
      </c>
      <c r="H35" s="19" t="n">
        <v>3996.17</v>
      </c>
      <c r="I35" s="19" t="n">
        <v>3656.38</v>
      </c>
      <c r="J35" s="19" t="n">
        <v>3815.03</v>
      </c>
      <c r="K35" s="19" t="n">
        <v>3728.36</v>
      </c>
      <c r="L35" s="19" t="n">
        <v>2095.35</v>
      </c>
      <c r="M35" s="19" t="n">
        <v>4374.39</v>
      </c>
      <c r="N35" s="19" t="n">
        <v>3788</v>
      </c>
      <c r="O35" s="19" t="n">
        <v>6441.1</v>
      </c>
      <c r="P35" s="19" t="n">
        <v>10305.19</v>
      </c>
      <c r="Q35" s="19" t="n">
        <v>5333.86</v>
      </c>
      <c r="R35" s="19" t="n">
        <v>5347.31</v>
      </c>
      <c r="S35" s="19" t="n">
        <v>5135.8</v>
      </c>
      <c r="T35" s="83" t="n">
        <v>4708.74</v>
      </c>
      <c r="U35" s="83" t="n">
        <v>4042.46</v>
      </c>
      <c r="V35" s="83" t="n">
        <v>3655.03</v>
      </c>
      <c r="W35" s="20" t="n">
        <v>4645.63</v>
      </c>
      <c r="X35" s="20" t="n">
        <v>4576.09</v>
      </c>
      <c r="Y35" s="20" t="n">
        <v>4606.17</v>
      </c>
      <c r="Z35" s="20" t="n">
        <v>4769.17</v>
      </c>
      <c r="AA35" s="20" t="n">
        <v>4818.73</v>
      </c>
      <c r="AB35" s="20" t="n">
        <v>4643.04</v>
      </c>
      <c r="AC35" s="20" t="n">
        <v>4770.77</v>
      </c>
      <c r="AD35" s="20" t="n">
        <v>4509.79</v>
      </c>
      <c r="AE35" s="20" t="n">
        <v>4600.49</v>
      </c>
      <c r="AF35" s="20" t="n">
        <v>4572.8</v>
      </c>
      <c r="AG35" s="20" t="n">
        <v>4546.75</v>
      </c>
      <c r="AH35" s="20" t="n">
        <v>4526.58</v>
      </c>
      <c r="AI35" s="20" t="n">
        <v>4793.2</v>
      </c>
      <c r="AJ35" s="20" t="n">
        <v>4644.7</v>
      </c>
      <c r="AK35" s="20" t="n">
        <v>4676.28</v>
      </c>
      <c r="AL35" s="20" t="n">
        <v>5003.38</v>
      </c>
      <c r="AM35" s="20" t="n">
        <v>5055.87</v>
      </c>
      <c r="AN35" s="20" t="n">
        <v>4643.04</v>
      </c>
      <c r="AO35" s="20" t="n">
        <v>4770.77</v>
      </c>
      <c r="AP35" s="20" t="n">
        <v>4509.79</v>
      </c>
      <c r="AQ35" s="20" t="n">
        <v>4600.49</v>
      </c>
      <c r="AR35" s="20" t="n">
        <v>4572.8</v>
      </c>
      <c r="AS35" s="20" t="n">
        <v>4546.75</v>
      </c>
      <c r="AT35" s="20" t="n">
        <v>4526.58</v>
      </c>
      <c r="AU35" s="20" t="n">
        <v>4793.2</v>
      </c>
      <c r="AV35" s="20" t="n">
        <v>4644.7</v>
      </c>
      <c r="AW35" s="20" t="n">
        <v>4676.28</v>
      </c>
      <c r="AX35" s="20" t="n">
        <v>5003.38</v>
      </c>
      <c r="AY35" s="20" t="n">
        <v>5055.87</v>
      </c>
    </row>
    <row r="36">
      <c r="B36" s="33" t="inlineStr">
        <is>
          <t>602005 Employee Benefits (incl Workers Comp)</t>
        </is>
      </c>
      <c r="D36" s="19" t="n">
        <v>1311.58</v>
      </c>
      <c r="E36" s="19" t="n">
        <v>1479.98</v>
      </c>
      <c r="F36" s="19" t="n">
        <v>1452.67</v>
      </c>
      <c r="G36" s="19" t="n">
        <v>2021.06</v>
      </c>
      <c r="H36" s="19" t="n">
        <v>1664.8</v>
      </c>
      <c r="I36" s="19" t="n">
        <v>968.46</v>
      </c>
      <c r="J36" s="19" t="n">
        <v>839.98</v>
      </c>
      <c r="K36" s="19" t="n">
        <v>882.34</v>
      </c>
      <c r="L36" s="19" t="n">
        <v>899.08</v>
      </c>
      <c r="M36" s="19" t="n">
        <v>1107.32</v>
      </c>
      <c r="N36" s="19" t="n">
        <v>468.02</v>
      </c>
      <c r="O36" s="19" t="n">
        <v>214.02</v>
      </c>
      <c r="P36" s="19" t="n">
        <v>323.31</v>
      </c>
      <c r="Q36" s="19" t="n">
        <v>280.41</v>
      </c>
      <c r="R36" s="19" t="n">
        <v>585.11</v>
      </c>
      <c r="S36" s="19" t="n">
        <v>420.96</v>
      </c>
      <c r="T36" s="83" t="n">
        <v>155.48</v>
      </c>
      <c r="U36" s="83" t="n">
        <v>753.21</v>
      </c>
      <c r="V36" s="83" t="n">
        <v>623.3200000000001</v>
      </c>
      <c r="W36" s="20" t="n">
        <v>263.53</v>
      </c>
      <c r="X36" s="20" t="n">
        <v>259.58</v>
      </c>
      <c r="Y36" s="20" t="n">
        <v>261.29</v>
      </c>
      <c r="Z36" s="20" t="n">
        <v>270.53</v>
      </c>
      <c r="AA36" s="20" t="n">
        <v>273.34</v>
      </c>
      <c r="AB36" s="20" t="n">
        <v>263.38</v>
      </c>
      <c r="AC36" s="20" t="n">
        <v>270.62</v>
      </c>
      <c r="AD36" s="20" t="n">
        <v>255.82</v>
      </c>
      <c r="AE36" s="20" t="n">
        <v>260.96</v>
      </c>
      <c r="AF36" s="20" t="n">
        <v>259.39</v>
      </c>
      <c r="AG36" s="20" t="n">
        <v>257.92</v>
      </c>
      <c r="AH36" s="20" t="n">
        <v>256.77</v>
      </c>
      <c r="AI36" s="20" t="n">
        <v>271.9</v>
      </c>
      <c r="AJ36" s="20" t="n">
        <v>263.47</v>
      </c>
      <c r="AK36" s="20" t="n">
        <v>265.26</v>
      </c>
      <c r="AL36" s="20" t="n">
        <v>283.82</v>
      </c>
      <c r="AM36" s="20" t="n">
        <v>286.8</v>
      </c>
      <c r="AN36" s="20" t="n">
        <v>263.38</v>
      </c>
      <c r="AO36" s="20" t="n">
        <v>270.62</v>
      </c>
      <c r="AP36" s="20" t="n">
        <v>255.82</v>
      </c>
      <c r="AQ36" s="20" t="n">
        <v>260.96</v>
      </c>
      <c r="AR36" s="20" t="n">
        <v>259.39</v>
      </c>
      <c r="AS36" s="20" t="n">
        <v>257.92</v>
      </c>
      <c r="AT36" s="20" t="n">
        <v>256.77</v>
      </c>
      <c r="AU36" s="20" t="n">
        <v>271.9</v>
      </c>
      <c r="AV36" s="20" t="n">
        <v>263.47</v>
      </c>
      <c r="AW36" s="20" t="n">
        <v>265.26</v>
      </c>
      <c r="AX36" s="20" t="n">
        <v>283.82</v>
      </c>
      <c r="AY36" s="20" t="n">
        <v>286.8</v>
      </c>
    </row>
    <row r="37">
      <c r="B37" s="33" t="inlineStr">
        <is>
          <t xml:space="preserve">  602010 Payroll Processing Fees</t>
        </is>
      </c>
      <c r="D37" s="19" t="n">
        <v>1275.79</v>
      </c>
      <c r="E37" s="19" t="n">
        <v>586.17</v>
      </c>
      <c r="F37" s="19" t="n">
        <v>563.67</v>
      </c>
      <c r="G37" s="19" t="n">
        <v>578.67</v>
      </c>
      <c r="H37" s="19" t="n">
        <v>586.17</v>
      </c>
      <c r="I37" s="19" t="n">
        <v>616.17</v>
      </c>
      <c r="J37" s="19" t="n">
        <v>604.92</v>
      </c>
      <c r="K37" s="19" t="n">
        <v>907.38</v>
      </c>
      <c r="L37" s="19" t="n">
        <v>612.42</v>
      </c>
      <c r="M37" s="19" t="n">
        <v>604.92</v>
      </c>
      <c r="N37" s="19" t="n">
        <v>597.42</v>
      </c>
      <c r="O37" s="19" t="n">
        <v>1816.04</v>
      </c>
      <c r="P37" s="19" t="n">
        <v>2835.3</v>
      </c>
      <c r="Q37" s="19" t="n">
        <v>2814.84</v>
      </c>
      <c r="R37" s="19" t="n">
        <v>3875.32</v>
      </c>
      <c r="S37" s="19" t="n">
        <v>2734.27</v>
      </c>
      <c r="T37" s="83" t="n">
        <v>2537.58</v>
      </c>
      <c r="U37" s="83" t="n">
        <v>2232.71</v>
      </c>
      <c r="V37" s="83" t="n">
        <v>2143.98</v>
      </c>
      <c r="W37" s="20" t="n">
        <v>2180.3</v>
      </c>
      <c r="X37" s="20" t="n">
        <v>2147.66</v>
      </c>
      <c r="Y37" s="20" t="n">
        <v>2161.78</v>
      </c>
      <c r="Z37" s="20" t="n">
        <v>2238.28</v>
      </c>
      <c r="AA37" s="20" t="n">
        <v>2261.54</v>
      </c>
      <c r="AB37" s="20" t="n">
        <v>2179.08</v>
      </c>
      <c r="AC37" s="20" t="n">
        <v>2239.03</v>
      </c>
      <c r="AD37" s="20" t="n">
        <v>2116.55</v>
      </c>
      <c r="AE37" s="20" t="n">
        <v>2159.11</v>
      </c>
      <c r="AF37" s="20" t="n">
        <v>2146.12</v>
      </c>
      <c r="AG37" s="20" t="n">
        <v>2133.89</v>
      </c>
      <c r="AH37" s="20" t="n">
        <v>2124.43</v>
      </c>
      <c r="AI37" s="20" t="n">
        <v>2249.56</v>
      </c>
      <c r="AJ37" s="20" t="n">
        <v>2179.86</v>
      </c>
      <c r="AK37" s="20" t="n">
        <v>2194.69</v>
      </c>
      <c r="AL37" s="20" t="n">
        <v>2348.2</v>
      </c>
      <c r="AM37" s="20" t="n">
        <v>2372.83</v>
      </c>
      <c r="AN37" s="20" t="n">
        <v>2179.08</v>
      </c>
      <c r="AO37" s="20" t="n">
        <v>2239.03</v>
      </c>
      <c r="AP37" s="20" t="n">
        <v>2116.55</v>
      </c>
      <c r="AQ37" s="20" t="n">
        <v>2159.11</v>
      </c>
      <c r="AR37" s="20" t="n">
        <v>2146.12</v>
      </c>
      <c r="AS37" s="20" t="n">
        <v>2133.89</v>
      </c>
      <c r="AT37" s="20" t="n">
        <v>2124.43</v>
      </c>
      <c r="AU37" s="20" t="n">
        <v>2249.56</v>
      </c>
      <c r="AV37" s="20" t="n">
        <v>2179.86</v>
      </c>
      <c r="AW37" s="20" t="n">
        <v>2194.69</v>
      </c>
      <c r="AX37" s="20" t="n">
        <v>2348.2</v>
      </c>
      <c r="AY37" s="20" t="n">
        <v>2372.83</v>
      </c>
    </row>
    <row r="38">
      <c r="B38" s="32" t="inlineStr">
        <is>
          <t>Total Payroll</t>
        </is>
      </c>
      <c r="C38" s="34" t="n"/>
      <c r="D38" s="35">
        <f>SUM(D34:D37)</f>
        <v/>
      </c>
      <c r="E38" s="35">
        <f>SUM(E34:E37)</f>
        <v/>
      </c>
      <c r="F38" s="35">
        <f>SUM(F34:F37)</f>
        <v/>
      </c>
      <c r="G38" s="35">
        <f>SUM(G34:G37)</f>
        <v/>
      </c>
      <c r="H38" s="35">
        <f>SUM(H34:H37)</f>
        <v/>
      </c>
      <c r="I38" s="35">
        <f>SUM(I34:I37)</f>
        <v/>
      </c>
      <c r="J38" s="35">
        <f>SUM(J34:J37)</f>
        <v/>
      </c>
      <c r="K38" s="35">
        <f>SUM(K34:K37)</f>
        <v/>
      </c>
      <c r="L38" s="35">
        <f>SUM(L34:L37)</f>
        <v/>
      </c>
      <c r="M38" s="35">
        <f>SUM(M34:M37)</f>
        <v/>
      </c>
      <c r="N38" s="35">
        <f>SUM(N34:N37)</f>
        <v/>
      </c>
      <c r="O38" s="35">
        <f>SUM(O34:O37)</f>
        <v/>
      </c>
      <c r="P38" s="35">
        <f>P34+P35+P36+P37</f>
        <v/>
      </c>
      <c r="Q38" s="35">
        <f>Q34+Q35+Q36+Q37</f>
        <v/>
      </c>
      <c r="R38" s="35">
        <f>R34+R35+R36+R37</f>
        <v/>
      </c>
      <c r="S38" s="35">
        <f>S34+S35+S36+S37</f>
        <v/>
      </c>
      <c r="T38" s="84">
        <f>T34+T35+T36+T37</f>
        <v/>
      </c>
      <c r="U38" s="84">
        <f>U34+U35+U36+U37</f>
        <v/>
      </c>
      <c r="V38" s="84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1456.64</v>
      </c>
      <c r="E39" s="19" t="n">
        <v>593.3</v>
      </c>
      <c r="F39" s="19" t="n">
        <v>1189.6</v>
      </c>
      <c r="G39" s="19" t="n">
        <v>1207.3</v>
      </c>
      <c r="H39" s="19" t="n">
        <v>1228</v>
      </c>
      <c r="I39" s="19" t="n">
        <v>430.5</v>
      </c>
      <c r="J39" s="19" t="n">
        <v>747.79</v>
      </c>
      <c r="K39" s="19" t="n">
        <v>1689.79</v>
      </c>
      <c r="L39" s="19" t="n">
        <v>614</v>
      </c>
      <c r="M39" s="19" t="n">
        <v>723.09</v>
      </c>
      <c r="N39" s="19" t="n">
        <v>723.09</v>
      </c>
      <c r="O39" s="19" t="n">
        <v>773.08</v>
      </c>
      <c r="P39" s="19" t="n">
        <v>870.24</v>
      </c>
      <c r="Q39" s="19" t="n">
        <v>1220.43</v>
      </c>
      <c r="R39" s="19" t="n">
        <v>723.09</v>
      </c>
      <c r="S39" s="19" t="n">
        <v>1540.71</v>
      </c>
      <c r="T39" s="83" t="n">
        <v>748.27</v>
      </c>
      <c r="U39" s="83" t="n">
        <v>748.27</v>
      </c>
      <c r="V39" s="83" t="n">
        <v>748.27</v>
      </c>
      <c r="W39" s="20" t="n">
        <v>794.02</v>
      </c>
      <c r="X39" s="20" t="n">
        <v>794.02</v>
      </c>
      <c r="Y39" s="20" t="n">
        <v>794.02</v>
      </c>
      <c r="Z39" s="20" t="n">
        <v>794.02</v>
      </c>
      <c r="AA39" s="20" t="n">
        <v>794.02</v>
      </c>
      <c r="AB39" s="20" t="n">
        <v>794.02</v>
      </c>
      <c r="AC39" s="20" t="n">
        <v>794.02</v>
      </c>
      <c r="AD39" s="20" t="n">
        <v>794.02</v>
      </c>
      <c r="AE39" s="20" t="n">
        <v>794.02</v>
      </c>
      <c r="AF39" s="20" t="n">
        <v>794.02</v>
      </c>
      <c r="AG39" s="20" t="n">
        <v>794.02</v>
      </c>
      <c r="AH39" s="20" t="n">
        <v>794.02</v>
      </c>
      <c r="AI39" s="20" t="n">
        <v>794.02</v>
      </c>
      <c r="AJ39" s="20" t="n">
        <v>794.02</v>
      </c>
      <c r="AK39" s="20" t="n">
        <v>794.02</v>
      </c>
      <c r="AL39" s="20" t="n">
        <v>794.02</v>
      </c>
      <c r="AM39" s="20" t="n">
        <v>794.02</v>
      </c>
      <c r="AN39" s="20" t="n">
        <v>794.02</v>
      </c>
      <c r="AO39" s="20" t="n">
        <v>794.02</v>
      </c>
      <c r="AP39" s="20" t="n">
        <v>794.02</v>
      </c>
      <c r="AQ39" s="20" t="n">
        <v>794.02</v>
      </c>
      <c r="AR39" s="20" t="n">
        <v>794.02</v>
      </c>
      <c r="AS39" s="20" t="n">
        <v>794.02</v>
      </c>
      <c r="AT39" s="20" t="n">
        <v>794.02</v>
      </c>
      <c r="AU39" s="20" t="n">
        <v>794.02</v>
      </c>
      <c r="AV39" s="20" t="n">
        <v>794.02</v>
      </c>
      <c r="AW39" s="20" t="n">
        <v>794.02</v>
      </c>
      <c r="AX39" s="20" t="n">
        <v>794.02</v>
      </c>
      <c r="AY39" s="20" t="n">
        <v>794.02</v>
      </c>
    </row>
    <row r="40">
      <c r="B40" s="33" t="inlineStr">
        <is>
          <t xml:space="preserve">  608000 Insurance</t>
        </is>
      </c>
      <c r="D40" s="19" t="n">
        <v>252.85</v>
      </c>
      <c r="E40" s="19" t="n">
        <v>252.85</v>
      </c>
      <c r="F40" s="19" t="n">
        <v>252.85</v>
      </c>
      <c r="G40" s="19" t="n">
        <v>252.85</v>
      </c>
      <c r="H40" s="19" t="n">
        <v>252.85</v>
      </c>
      <c r="I40" s="19" t="n">
        <v>252.85</v>
      </c>
      <c r="J40" s="19" t="n">
        <v>252.85</v>
      </c>
      <c r="K40" s="19" t="n">
        <v>252.85</v>
      </c>
      <c r="L40" s="19" t="n">
        <v>252.85</v>
      </c>
      <c r="M40" s="19" t="n">
        <v>452.46</v>
      </c>
      <c r="N40" s="19" t="n">
        <v>452.46</v>
      </c>
      <c r="O40" s="19" t="n">
        <v>587.98</v>
      </c>
      <c r="P40" s="19" t="n">
        <v>224.61</v>
      </c>
      <c r="Q40" s="19" t="n">
        <v>224.61</v>
      </c>
      <c r="R40" s="19" t="n">
        <v>352.77</v>
      </c>
      <c r="S40" s="19" t="n">
        <v>352.77</v>
      </c>
      <c r="T40" s="83" t="n">
        <v>294.83</v>
      </c>
      <c r="U40" s="83" t="n">
        <v>290.82</v>
      </c>
      <c r="V40" s="83" t="n">
        <v>290.82</v>
      </c>
      <c r="W40" s="20" t="n">
        <v>166.78</v>
      </c>
      <c r="X40" s="20" t="n">
        <v>166.78</v>
      </c>
      <c r="Y40" s="20" t="n">
        <v>166.78</v>
      </c>
      <c r="Z40" s="20" t="n">
        <v>166.78</v>
      </c>
      <c r="AA40" s="20" t="n">
        <v>166.78</v>
      </c>
      <c r="AB40" s="20" t="n">
        <v>166.78</v>
      </c>
      <c r="AC40" s="20" t="n">
        <v>166.78</v>
      </c>
      <c r="AD40" s="20" t="n">
        <v>166.78</v>
      </c>
      <c r="AE40" s="20" t="n">
        <v>166.78</v>
      </c>
      <c r="AF40" s="20" t="n">
        <v>166.78</v>
      </c>
      <c r="AG40" s="20" t="n">
        <v>166.78</v>
      </c>
      <c r="AH40" s="20" t="n">
        <v>166.78</v>
      </c>
      <c r="AI40" s="20" t="n">
        <v>166.78</v>
      </c>
      <c r="AJ40" s="20" t="n">
        <v>166.78</v>
      </c>
      <c r="AK40" s="20" t="n">
        <v>166.78</v>
      </c>
      <c r="AL40" s="20" t="n">
        <v>166.78</v>
      </c>
      <c r="AM40" s="20" t="n">
        <v>166.78</v>
      </c>
      <c r="AN40" s="20" t="n">
        <v>166.78</v>
      </c>
      <c r="AO40" s="20" t="n">
        <v>166.78</v>
      </c>
      <c r="AP40" s="20" t="n">
        <v>166.78</v>
      </c>
      <c r="AQ40" s="20" t="n">
        <v>166.78</v>
      </c>
      <c r="AR40" s="20" t="n">
        <v>166.78</v>
      </c>
      <c r="AS40" s="20" t="n">
        <v>166.78</v>
      </c>
      <c r="AT40" s="20" t="n">
        <v>166.78</v>
      </c>
      <c r="AU40" s="20" t="n">
        <v>166.78</v>
      </c>
      <c r="AV40" s="20" t="n">
        <v>166.78</v>
      </c>
      <c r="AW40" s="20" t="n">
        <v>166.78</v>
      </c>
      <c r="AX40" s="20" t="n">
        <v>166.78</v>
      </c>
      <c r="AY40" s="20" t="n">
        <v>166.78</v>
      </c>
    </row>
    <row r="41">
      <c r="B41" s="33" t="inlineStr">
        <is>
          <t>610000 Office Supplies &amp; GE (incl Licenses, Furniture, Shipping, Bank Fees, Start-Up Costs)</t>
        </is>
      </c>
      <c r="D41" s="19" t="n">
        <v>1337.28</v>
      </c>
      <c r="E41" s="19" t="n">
        <v>1331.12</v>
      </c>
      <c r="F41" s="19" t="n">
        <v>987.58</v>
      </c>
      <c r="G41" s="19" t="n">
        <v>1333.5</v>
      </c>
      <c r="H41" s="19" t="n">
        <v>320.83</v>
      </c>
      <c r="I41" s="19" t="n">
        <v>450.68</v>
      </c>
      <c r="J41" s="19" t="n">
        <v>403.73</v>
      </c>
      <c r="K41" s="19" t="n">
        <v>86.64</v>
      </c>
      <c r="L41" s="19" t="n">
        <v>308.94</v>
      </c>
      <c r="M41" s="19" t="n">
        <v>847.86</v>
      </c>
      <c r="N41" s="19" t="n">
        <v>167.96</v>
      </c>
      <c r="O41" s="19" t="n">
        <v>382.07</v>
      </c>
      <c r="P41" s="19" t="n">
        <v>336.9</v>
      </c>
      <c r="Q41" s="19" t="n">
        <v>1220.44</v>
      </c>
      <c r="R41" s="19" t="n">
        <v>1327.16</v>
      </c>
      <c r="S41" s="19" t="n">
        <v>232.04</v>
      </c>
      <c r="T41" s="83" t="n">
        <v>921.88</v>
      </c>
      <c r="U41" s="83" t="n">
        <v>95.48999999999999</v>
      </c>
      <c r="V41" s="83" t="n">
        <v>597.71</v>
      </c>
      <c r="W41" s="20" t="n">
        <v>470.94</v>
      </c>
      <c r="X41" s="20" t="n">
        <v>470.94</v>
      </c>
      <c r="Y41" s="20" t="n">
        <v>470.94</v>
      </c>
      <c r="Z41" s="20" t="n">
        <v>470.94</v>
      </c>
      <c r="AA41" s="20" t="n">
        <v>470.94</v>
      </c>
      <c r="AB41" s="20" t="n">
        <v>470.94</v>
      </c>
      <c r="AC41" s="20" t="n">
        <v>470.94</v>
      </c>
      <c r="AD41" s="20" t="n">
        <v>470.94</v>
      </c>
      <c r="AE41" s="20" t="n">
        <v>470.94</v>
      </c>
      <c r="AF41" s="20" t="n">
        <v>470.94</v>
      </c>
      <c r="AG41" s="20" t="n">
        <v>470.94</v>
      </c>
      <c r="AH41" s="20" t="n">
        <v>470.94</v>
      </c>
      <c r="AI41" s="20" t="n">
        <v>470.94</v>
      </c>
      <c r="AJ41" s="20" t="n">
        <v>470.94</v>
      </c>
      <c r="AK41" s="20" t="n">
        <v>470.94</v>
      </c>
      <c r="AL41" s="20" t="n">
        <v>470.94</v>
      </c>
      <c r="AM41" s="20" t="n">
        <v>470.94</v>
      </c>
      <c r="AN41" s="20" t="n">
        <v>470.94</v>
      </c>
      <c r="AO41" s="20" t="n">
        <v>470.94</v>
      </c>
      <c r="AP41" s="20" t="n">
        <v>470.94</v>
      </c>
      <c r="AQ41" s="20" t="n">
        <v>470.94</v>
      </c>
      <c r="AR41" s="20" t="n">
        <v>470.94</v>
      </c>
      <c r="AS41" s="20" t="n">
        <v>470.94</v>
      </c>
      <c r="AT41" s="20" t="n">
        <v>470.94</v>
      </c>
      <c r="AU41" s="20" t="n">
        <v>470.94</v>
      </c>
      <c r="AV41" s="20" t="n">
        <v>470.94</v>
      </c>
      <c r="AW41" s="20" t="n">
        <v>470.94</v>
      </c>
      <c r="AX41" s="20" t="n">
        <v>470.94</v>
      </c>
      <c r="AY41" s="20" t="n">
        <v>470.94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3" t="n">
        <v>0</v>
      </c>
      <c r="U43" s="83" t="n">
        <v>0</v>
      </c>
      <c r="V43" s="83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36</v>
      </c>
      <c r="H44" s="19" t="n">
        <v>1250</v>
      </c>
      <c r="I44" s="19" t="n">
        <v>0</v>
      </c>
      <c r="J44" s="19" t="n">
        <v>0</v>
      </c>
      <c r="K44" s="19" t="n">
        <v>906.25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1190.62</v>
      </c>
      <c r="R44" s="19" t="n">
        <v>0</v>
      </c>
      <c r="S44" s="19" t="n">
        <v>0</v>
      </c>
      <c r="T44" s="83" t="n">
        <v>1116.82</v>
      </c>
      <c r="U44" s="83" t="n">
        <v>0</v>
      </c>
      <c r="V44" s="83" t="n">
        <v>0</v>
      </c>
      <c r="W44" s="20" t="n">
        <v>188.77</v>
      </c>
      <c r="X44" s="20" t="n">
        <v>188.77</v>
      </c>
      <c r="Y44" s="20" t="n">
        <v>188.77</v>
      </c>
      <c r="Z44" s="20" t="n">
        <v>188.77</v>
      </c>
      <c r="AA44" s="20" t="n">
        <v>188.77</v>
      </c>
      <c r="AB44" s="20" t="n">
        <v>188.77</v>
      </c>
      <c r="AC44" s="20" t="n">
        <v>188.77</v>
      </c>
      <c r="AD44" s="20" t="n">
        <v>188.77</v>
      </c>
      <c r="AE44" s="20" t="n">
        <v>188.77</v>
      </c>
      <c r="AF44" s="20" t="n">
        <v>188.77</v>
      </c>
      <c r="AG44" s="20" t="n">
        <v>188.77</v>
      </c>
      <c r="AH44" s="20" t="n">
        <v>188.77</v>
      </c>
      <c r="AI44" s="20" t="n">
        <v>188.77</v>
      </c>
      <c r="AJ44" s="20" t="n">
        <v>188.77</v>
      </c>
      <c r="AK44" s="20" t="n">
        <v>188.77</v>
      </c>
      <c r="AL44" s="20" t="n">
        <v>188.77</v>
      </c>
      <c r="AM44" s="20" t="n">
        <v>188.77</v>
      </c>
      <c r="AN44" s="20" t="n">
        <v>188.77</v>
      </c>
      <c r="AO44" s="20" t="n">
        <v>188.77</v>
      </c>
      <c r="AP44" s="20" t="n">
        <v>188.77</v>
      </c>
      <c r="AQ44" s="20" t="n">
        <v>188.77</v>
      </c>
      <c r="AR44" s="20" t="n">
        <v>188.77</v>
      </c>
      <c r="AS44" s="20" t="n">
        <v>188.77</v>
      </c>
      <c r="AT44" s="20" t="n">
        <v>188.77</v>
      </c>
      <c r="AU44" s="20" t="n">
        <v>188.77</v>
      </c>
      <c r="AV44" s="20" t="n">
        <v>188.77</v>
      </c>
      <c r="AW44" s="20" t="n">
        <v>188.77</v>
      </c>
      <c r="AX44" s="20" t="n">
        <v>188.77</v>
      </c>
      <c r="AY44" s="20" t="n">
        <v>188.77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3" t="n">
        <v>0</v>
      </c>
      <c r="U45" s="83" t="n">
        <v>0</v>
      </c>
      <c r="V45" s="83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3" t="n">
        <v>516</v>
      </c>
      <c r="U46" s="83" t="n">
        <v>516</v>
      </c>
      <c r="V46" s="83" t="n">
        <v>516</v>
      </c>
      <c r="W46" s="20" t="n">
        <v>327.23</v>
      </c>
      <c r="X46" s="20" t="n">
        <v>327.23</v>
      </c>
      <c r="Y46" s="20" t="n">
        <v>327.23</v>
      </c>
      <c r="Z46" s="20" t="n">
        <v>327.23</v>
      </c>
      <c r="AA46" s="20" t="n">
        <v>327.23</v>
      </c>
      <c r="AB46" s="20" t="n">
        <v>327.23</v>
      </c>
      <c r="AC46" s="20" t="n">
        <v>327.23</v>
      </c>
      <c r="AD46" s="20" t="n">
        <v>327.23</v>
      </c>
      <c r="AE46" s="20" t="n">
        <v>327.23</v>
      </c>
      <c r="AF46" s="20" t="n">
        <v>327.23</v>
      </c>
      <c r="AG46" s="20" t="n">
        <v>327.23</v>
      </c>
      <c r="AH46" s="20" t="n">
        <v>327.23</v>
      </c>
      <c r="AI46" s="20" t="n">
        <v>327.23</v>
      </c>
      <c r="AJ46" s="20" t="n">
        <v>327.23</v>
      </c>
      <c r="AK46" s="20" t="n">
        <v>327.23</v>
      </c>
      <c r="AL46" s="20" t="n">
        <v>327.23</v>
      </c>
      <c r="AM46" s="20" t="n">
        <v>327.23</v>
      </c>
      <c r="AN46" s="20" t="n">
        <v>327.23</v>
      </c>
      <c r="AO46" s="20" t="n">
        <v>327.23</v>
      </c>
      <c r="AP46" s="20" t="n">
        <v>327.23</v>
      </c>
      <c r="AQ46" s="20" t="n">
        <v>327.23</v>
      </c>
      <c r="AR46" s="20" t="n">
        <v>327.23</v>
      </c>
      <c r="AS46" s="20" t="n">
        <v>327.23</v>
      </c>
      <c r="AT46" s="20" t="n">
        <v>327.23</v>
      </c>
      <c r="AU46" s="20" t="n">
        <v>327.23</v>
      </c>
      <c r="AV46" s="20" t="n">
        <v>327.23</v>
      </c>
      <c r="AW46" s="20" t="n">
        <v>327.23</v>
      </c>
      <c r="AX46" s="20" t="n">
        <v>327.23</v>
      </c>
      <c r="AY46" s="20" t="n">
        <v>327.23</v>
      </c>
    </row>
    <row r="47">
      <c r="B47" s="32" t="inlineStr">
        <is>
          <t>Total Professional Fees</t>
        </is>
      </c>
      <c r="C47" s="34" t="n"/>
      <c r="D47" s="35">
        <f>SUM(D43:D46)</f>
        <v/>
      </c>
      <c r="E47" s="35">
        <f>SUM(E43:E46)</f>
        <v/>
      </c>
      <c r="F47" s="35">
        <f>SUM(F43:F46)</f>
        <v/>
      </c>
      <c r="G47" s="35">
        <f>SUM(G43:G46)</f>
        <v/>
      </c>
      <c r="H47" s="35">
        <f>SUM(H43:H46)</f>
        <v/>
      </c>
      <c r="I47" s="35">
        <f>SUM(I43:I46)</f>
        <v/>
      </c>
      <c r="J47" s="35">
        <f>SUM(J43:J46)</f>
        <v/>
      </c>
      <c r="K47" s="35">
        <f>SUM(K43:K46)</f>
        <v/>
      </c>
      <c r="L47" s="35">
        <f>SUM(L43:L46)</f>
        <v/>
      </c>
      <c r="M47" s="35">
        <f>SUM(M43:M46)</f>
        <v/>
      </c>
      <c r="N47" s="35">
        <f>SUM(N43:N46)</f>
        <v/>
      </c>
      <c r="O47" s="35">
        <f>SUM(O43:O46)</f>
        <v/>
      </c>
      <c r="P47" s="35">
        <f>P43+P44+P45+P46</f>
        <v/>
      </c>
      <c r="Q47" s="35">
        <f>Q43+Q44+Q45+Q46</f>
        <v/>
      </c>
      <c r="R47" s="35">
        <f>R43+R44+R45+R46</f>
        <v/>
      </c>
      <c r="S47" s="35">
        <f>S43+S44+S45+S46</f>
        <v/>
      </c>
      <c r="T47" s="84">
        <f>T43+T44+T45+T46</f>
        <v/>
      </c>
      <c r="U47" s="84">
        <f>U43+U44+U45+U46</f>
        <v/>
      </c>
      <c r="V47" s="84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>
        <v>420.13</v>
      </c>
      <c r="E48" s="19" t="n">
        <v>811.1</v>
      </c>
      <c r="F48" s="19" t="n">
        <v>546.98</v>
      </c>
      <c r="G48" s="19" t="n">
        <v>91.75</v>
      </c>
      <c r="H48" s="19" t="n">
        <v>162.75</v>
      </c>
      <c r="I48" s="19" t="n">
        <v>325.35</v>
      </c>
      <c r="J48" s="19" t="n">
        <v>74</v>
      </c>
      <c r="K48" s="19" t="n">
        <v>291.25</v>
      </c>
      <c r="L48" s="19" t="n">
        <v>1546.42</v>
      </c>
      <c r="M48" s="19" t="n">
        <v>367.4</v>
      </c>
      <c r="N48" s="19" t="n">
        <v>172.5</v>
      </c>
      <c r="O48" s="19" t="n">
        <v>68.25</v>
      </c>
      <c r="P48" s="19" t="n">
        <v>379.75</v>
      </c>
      <c r="Q48" s="19" t="n">
        <v>356.58</v>
      </c>
      <c r="R48" s="19" t="n">
        <v>322</v>
      </c>
      <c r="S48" s="19" t="n">
        <v>162</v>
      </c>
      <c r="T48" s="83" t="n">
        <v>303.25</v>
      </c>
      <c r="U48" s="83" t="n">
        <v>303.5</v>
      </c>
      <c r="V48" s="83" t="n">
        <v>0</v>
      </c>
      <c r="W48" s="20" t="n">
        <v>331.01</v>
      </c>
      <c r="X48" s="20" t="n">
        <v>331.01</v>
      </c>
      <c r="Y48" s="20" t="n">
        <v>331.01</v>
      </c>
      <c r="Z48" s="20" t="n">
        <v>331.01</v>
      </c>
      <c r="AA48" s="20" t="n">
        <v>331.01</v>
      </c>
      <c r="AB48" s="20" t="n">
        <v>331.01</v>
      </c>
      <c r="AC48" s="20" t="n">
        <v>331.01</v>
      </c>
      <c r="AD48" s="20" t="n">
        <v>331.01</v>
      </c>
      <c r="AE48" s="20" t="n">
        <v>331.01</v>
      </c>
      <c r="AF48" s="20" t="n">
        <v>331.01</v>
      </c>
      <c r="AG48" s="20" t="n">
        <v>331.01</v>
      </c>
      <c r="AH48" s="20" t="n">
        <v>331.01</v>
      </c>
      <c r="AI48" s="20" t="n">
        <v>331.01</v>
      </c>
      <c r="AJ48" s="20" t="n">
        <v>331.01</v>
      </c>
      <c r="AK48" s="20" t="n">
        <v>331.01</v>
      </c>
      <c r="AL48" s="20" t="n">
        <v>331.01</v>
      </c>
      <c r="AM48" s="20" t="n">
        <v>331.01</v>
      </c>
      <c r="AN48" s="20" t="n">
        <v>331.01</v>
      </c>
      <c r="AO48" s="20" t="n">
        <v>331.01</v>
      </c>
      <c r="AP48" s="20" t="n">
        <v>331.01</v>
      </c>
      <c r="AQ48" s="20" t="n">
        <v>331.01</v>
      </c>
      <c r="AR48" s="20" t="n">
        <v>331.01</v>
      </c>
      <c r="AS48" s="20" t="n">
        <v>331.01</v>
      </c>
      <c r="AT48" s="20" t="n">
        <v>331.01</v>
      </c>
      <c r="AU48" s="20" t="n">
        <v>331.01</v>
      </c>
      <c r="AV48" s="20" t="n">
        <v>331.01</v>
      </c>
      <c r="AW48" s="20" t="n">
        <v>331.01</v>
      </c>
      <c r="AX48" s="20" t="n">
        <v>331.01</v>
      </c>
      <c r="AY48" s="20" t="n">
        <v>331.01</v>
      </c>
    </row>
    <row r="49">
      <c r="B49" s="33" t="inlineStr">
        <is>
          <t>606000 Meals (incl Entertainment)</t>
        </is>
      </c>
      <c r="D49" s="19" t="n">
        <v>190.53</v>
      </c>
      <c r="E49" s="19" t="n">
        <v>511.56</v>
      </c>
      <c r="F49" s="19" t="n">
        <v>210.15</v>
      </c>
      <c r="G49" s="19" t="n">
        <v>0</v>
      </c>
      <c r="H49" s="19" t="n">
        <v>121.21</v>
      </c>
      <c r="I49" s="19" t="n">
        <v>100</v>
      </c>
      <c r="J49" s="19" t="n">
        <v>0</v>
      </c>
      <c r="K49" s="19" t="n">
        <v>0</v>
      </c>
      <c r="L49" s="19" t="n">
        <v>301.2</v>
      </c>
      <c r="M49" s="19" t="n">
        <v>0</v>
      </c>
      <c r="N49" s="19" t="n">
        <v>375.32</v>
      </c>
      <c r="O49" s="19" t="n">
        <v>127.19</v>
      </c>
      <c r="P49" s="19" t="n">
        <v>0</v>
      </c>
      <c r="Q49" s="19" t="n">
        <v>20</v>
      </c>
      <c r="R49" s="19" t="n">
        <v>135.83</v>
      </c>
      <c r="S49" s="19" t="n">
        <v>0</v>
      </c>
      <c r="T49" s="83" t="n">
        <v>70.55</v>
      </c>
      <c r="U49" s="83" t="n">
        <v>0</v>
      </c>
      <c r="V49" s="83" t="n">
        <v>0</v>
      </c>
      <c r="W49" s="20" t="n">
        <v>48.74</v>
      </c>
      <c r="X49" s="20" t="n">
        <v>48.74</v>
      </c>
      <c r="Y49" s="20" t="n">
        <v>48.74</v>
      </c>
      <c r="Z49" s="20" t="n">
        <v>48.74</v>
      </c>
      <c r="AA49" s="20" t="n">
        <v>48.74</v>
      </c>
      <c r="AB49" s="20" t="n">
        <v>48.74</v>
      </c>
      <c r="AC49" s="20" t="n">
        <v>48.74</v>
      </c>
      <c r="AD49" s="20" t="n">
        <v>48.74</v>
      </c>
      <c r="AE49" s="20" t="n">
        <v>48.74</v>
      </c>
      <c r="AF49" s="20" t="n">
        <v>48.74</v>
      </c>
      <c r="AG49" s="20" t="n">
        <v>48.74</v>
      </c>
      <c r="AH49" s="20" t="n">
        <v>48.74</v>
      </c>
      <c r="AI49" s="20" t="n">
        <v>48.74</v>
      </c>
      <c r="AJ49" s="20" t="n">
        <v>48.74</v>
      </c>
      <c r="AK49" s="20" t="n">
        <v>48.74</v>
      </c>
      <c r="AL49" s="20" t="n">
        <v>48.74</v>
      </c>
      <c r="AM49" s="20" t="n">
        <v>48.74</v>
      </c>
      <c r="AN49" s="20" t="n">
        <v>48.74</v>
      </c>
      <c r="AO49" s="20" t="n">
        <v>48.74</v>
      </c>
      <c r="AP49" s="20" t="n">
        <v>48.74</v>
      </c>
      <c r="AQ49" s="20" t="n">
        <v>48.74</v>
      </c>
      <c r="AR49" s="20" t="n">
        <v>48.74</v>
      </c>
      <c r="AS49" s="20" t="n">
        <v>48.74</v>
      </c>
      <c r="AT49" s="20" t="n">
        <v>48.74</v>
      </c>
      <c r="AU49" s="20" t="n">
        <v>48.74</v>
      </c>
      <c r="AV49" s="20" t="n">
        <v>48.74</v>
      </c>
      <c r="AW49" s="20" t="n">
        <v>48.74</v>
      </c>
      <c r="AX49" s="20" t="n">
        <v>48.74</v>
      </c>
      <c r="AY49" s="20" t="n">
        <v>48.74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0</v>
      </c>
      <c r="O51" s="19" t="n">
        <v>0</v>
      </c>
      <c r="P51" s="19" t="n">
        <v>0</v>
      </c>
      <c r="Q51" s="19" t="n">
        <v>0</v>
      </c>
      <c r="R51" s="19" t="n">
        <v>0</v>
      </c>
      <c r="S51" s="19" t="n">
        <v>0</v>
      </c>
      <c r="T51" s="83" t="n">
        <v>0</v>
      </c>
      <c r="U51" s="83" t="n">
        <v>0</v>
      </c>
      <c r="V51" s="83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>
        <v>85.59999999999999</v>
      </c>
      <c r="E52" s="19" t="n">
        <v>85.59999999999999</v>
      </c>
      <c r="F52" s="19" t="n">
        <v>85.59999999999999</v>
      </c>
      <c r="G52" s="19" t="n">
        <v>85.59999999999999</v>
      </c>
      <c r="H52" s="19" t="n">
        <v>85.59999999999999</v>
      </c>
      <c r="I52" s="19" t="n">
        <v>85.59999999999999</v>
      </c>
      <c r="J52" s="19" t="n">
        <v>85.59999999999999</v>
      </c>
      <c r="K52" s="19" t="n">
        <v>85.59999999999999</v>
      </c>
      <c r="L52" s="19" t="n">
        <v>0</v>
      </c>
      <c r="M52" s="19" t="n">
        <v>0</v>
      </c>
      <c r="N52" s="19" t="n">
        <v>0</v>
      </c>
      <c r="O52" s="19" t="n">
        <v>0</v>
      </c>
      <c r="P52" s="19" t="n">
        <v>0</v>
      </c>
      <c r="Q52" s="19" t="n">
        <v>0</v>
      </c>
      <c r="R52" s="19" t="n">
        <v>0</v>
      </c>
      <c r="S52" s="19" t="n">
        <v>0</v>
      </c>
      <c r="T52" s="83" t="n">
        <v>0</v>
      </c>
      <c r="U52" s="83" t="n">
        <v>0</v>
      </c>
      <c r="V52" s="83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85.59999999999999</v>
      </c>
      <c r="M53" s="19" t="n">
        <v>85.59999999999999</v>
      </c>
      <c r="N53" s="19" t="n">
        <v>229.21</v>
      </c>
      <c r="O53" s="19" t="n">
        <v>345.54</v>
      </c>
      <c r="P53" s="19" t="n">
        <v>178.32</v>
      </c>
      <c r="Q53" s="19" t="n">
        <v>172.71</v>
      </c>
      <c r="R53" s="19" t="n">
        <v>171.96</v>
      </c>
      <c r="S53" s="19" t="n">
        <v>173.13</v>
      </c>
      <c r="T53" s="83" t="n">
        <v>166.63</v>
      </c>
      <c r="U53" s="83" t="n">
        <v>166.65</v>
      </c>
      <c r="V53" s="83" t="n">
        <v>166.65</v>
      </c>
      <c r="W53" s="20" t="n">
        <v>178.32</v>
      </c>
      <c r="X53" s="20" t="n">
        <v>178.32</v>
      </c>
      <c r="Y53" s="20" t="n">
        <v>178.32</v>
      </c>
      <c r="Z53" s="20" t="n">
        <v>178.32</v>
      </c>
      <c r="AA53" s="20" t="n">
        <v>178.32</v>
      </c>
      <c r="AB53" s="20" t="n">
        <v>178.32</v>
      </c>
      <c r="AC53" s="20" t="n">
        <v>178.32</v>
      </c>
      <c r="AD53" s="20" t="n">
        <v>178.32</v>
      </c>
      <c r="AE53" s="20" t="n">
        <v>178.32</v>
      </c>
      <c r="AF53" s="20" t="n">
        <v>178.32</v>
      </c>
      <c r="AG53" s="20" t="n">
        <v>178.32</v>
      </c>
      <c r="AH53" s="20" t="n">
        <v>178.32</v>
      </c>
      <c r="AI53" s="20" t="n">
        <v>178.32</v>
      </c>
      <c r="AJ53" s="20" t="n">
        <v>178.32</v>
      </c>
      <c r="AK53" s="20" t="n">
        <v>178.32</v>
      </c>
      <c r="AL53" s="20" t="n">
        <v>178.32</v>
      </c>
      <c r="AM53" s="20" t="n">
        <v>178.32</v>
      </c>
      <c r="AN53" s="20" t="n">
        <v>178.32</v>
      </c>
      <c r="AO53" s="20" t="n">
        <v>178.32</v>
      </c>
      <c r="AP53" s="20" t="n">
        <v>178.32</v>
      </c>
      <c r="AQ53" s="20" t="n">
        <v>178.32</v>
      </c>
      <c r="AR53" s="20" t="n">
        <v>178.32</v>
      </c>
      <c r="AS53" s="20" t="n">
        <v>178.32</v>
      </c>
      <c r="AT53" s="20" t="n">
        <v>178.32</v>
      </c>
      <c r="AU53" s="20" t="n">
        <v>178.32</v>
      </c>
      <c r="AV53" s="20" t="n">
        <v>178.32</v>
      </c>
      <c r="AW53" s="20" t="n">
        <v>178.32</v>
      </c>
      <c r="AX53" s="20" t="n">
        <v>178.32</v>
      </c>
      <c r="AY53" s="20" t="n">
        <v>178.32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N54" s="19" t="n">
        <v>0</v>
      </c>
      <c r="O54" s="19" t="n">
        <v>0</v>
      </c>
      <c r="P54" s="19" t="n">
        <v>0</v>
      </c>
      <c r="Q54" s="19" t="n">
        <v>0</v>
      </c>
      <c r="R54" s="19" t="n">
        <v>0</v>
      </c>
      <c r="S54" s="19" t="n">
        <v>0</v>
      </c>
      <c r="T54" s="83" t="n">
        <v>0</v>
      </c>
      <c r="U54" s="83" t="n">
        <v>0</v>
      </c>
      <c r="V54" s="83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3" t="n">
        <v>0</v>
      </c>
      <c r="U55" s="83" t="n">
        <v>0</v>
      </c>
      <c r="V55" s="83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>
        <f>SUM(D51:D55)</f>
        <v/>
      </c>
      <c r="E56" s="35">
        <f>SUM(E51:E55)</f>
        <v/>
      </c>
      <c r="F56" s="35">
        <f>SUM(F51:F55)</f>
        <v/>
      </c>
      <c r="G56" s="35">
        <f>SUM(G51:G55)</f>
        <v/>
      </c>
      <c r="H56" s="35">
        <f>SUM(H51:H55)</f>
        <v/>
      </c>
      <c r="I56" s="35">
        <f>SUM(I51:I55)</f>
        <v/>
      </c>
      <c r="J56" s="35">
        <f>SUM(J51:J55)</f>
        <v/>
      </c>
      <c r="K56" s="35">
        <f>SUM(K51:K55)</f>
        <v/>
      </c>
      <c r="L56" s="35">
        <f>SUM(L51:L55)</f>
        <v/>
      </c>
      <c r="M56" s="35">
        <f>SUM(M51:M55)</f>
        <v/>
      </c>
      <c r="N56" s="35">
        <f>SUM(N51:N55)</f>
        <v/>
      </c>
      <c r="O56" s="35">
        <f>SUM(O51:O55)</f>
        <v/>
      </c>
      <c r="P56" s="35">
        <f>P51+P52+P53+P54+P55</f>
        <v/>
      </c>
      <c r="Q56" s="35">
        <f>Q51+Q52+Q53+Q54+Q55</f>
        <v/>
      </c>
      <c r="R56" s="35">
        <f>R51+R52+R53+R54+R55</f>
        <v/>
      </c>
      <c r="S56" s="35">
        <f>S51+S52+S53+S54+S55</f>
        <v/>
      </c>
      <c r="T56" s="84">
        <f>T51+T52+T53+T54+T55</f>
        <v/>
      </c>
      <c r="U56" s="84">
        <f>U51+U52+U53+U54+U55</f>
        <v/>
      </c>
      <c r="V56" s="84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12632.81</v>
      </c>
      <c r="E57" s="19" t="n">
        <v>12632.81</v>
      </c>
      <c r="F57" s="19" t="n">
        <v>12632.81</v>
      </c>
      <c r="G57" s="19" t="n">
        <v>12632.81</v>
      </c>
      <c r="H57" s="19" t="n">
        <v>12632.81</v>
      </c>
      <c r="I57" s="19" t="n">
        <v>12632.81</v>
      </c>
      <c r="J57" s="19" t="n">
        <v>12632.81</v>
      </c>
      <c r="K57" s="19" t="n">
        <v>12632.81</v>
      </c>
      <c r="L57" s="19" t="n">
        <v>12632.81</v>
      </c>
      <c r="M57" s="19" t="n">
        <v>12632.81</v>
      </c>
      <c r="N57" s="19" t="n">
        <v>12632.81</v>
      </c>
      <c r="O57" s="19" t="n">
        <v>12632.81</v>
      </c>
      <c r="P57" s="19" t="n">
        <v>12632.81</v>
      </c>
      <c r="Q57" s="19" t="n">
        <v>12632.81</v>
      </c>
      <c r="R57" s="19" t="n">
        <v>12632.81</v>
      </c>
      <c r="S57" s="19" t="n">
        <v>12632.81</v>
      </c>
      <c r="T57" s="83" t="n">
        <v>12632.81</v>
      </c>
      <c r="U57" s="83" t="n">
        <v>12632.81</v>
      </c>
      <c r="V57" s="83" t="n">
        <v>12632.81</v>
      </c>
      <c r="W57" s="20" t="n">
        <v>12268.43</v>
      </c>
      <c r="X57" s="20" t="n">
        <v>12268.43</v>
      </c>
      <c r="Y57" s="20" t="n">
        <v>12268.43</v>
      </c>
      <c r="Z57" s="20" t="n">
        <v>12268.43</v>
      </c>
      <c r="AA57" s="20" t="n">
        <v>12268.43</v>
      </c>
      <c r="AB57" s="20" t="n">
        <v>12268.43</v>
      </c>
      <c r="AC57" s="20" t="n">
        <v>12268.43</v>
      </c>
      <c r="AD57" s="20" t="n">
        <v>12268.43</v>
      </c>
      <c r="AE57" s="20" t="n">
        <v>12268.43</v>
      </c>
      <c r="AF57" s="20" t="n">
        <v>12268.43</v>
      </c>
      <c r="AG57" s="20" t="n">
        <v>12268.43</v>
      </c>
      <c r="AH57" s="20" t="n">
        <v>12268.43</v>
      </c>
      <c r="AI57" s="20" t="n">
        <v>12268.43</v>
      </c>
      <c r="AJ57" s="20" t="n">
        <v>12268.43</v>
      </c>
      <c r="AK57" s="20" t="n">
        <v>12268.43</v>
      </c>
      <c r="AL57" s="20" t="n">
        <v>12268.43</v>
      </c>
      <c r="AM57" s="20" t="n">
        <v>12268.43</v>
      </c>
      <c r="AN57" s="20" t="n">
        <v>12268.43</v>
      </c>
      <c r="AO57" s="20" t="n">
        <v>12268.43</v>
      </c>
      <c r="AP57" s="20" t="n">
        <v>12268.43</v>
      </c>
      <c r="AQ57" s="20" t="n">
        <v>12268.43</v>
      </c>
      <c r="AR57" s="20" t="n">
        <v>12268.43</v>
      </c>
      <c r="AS57" s="20" t="n">
        <v>12268.43</v>
      </c>
      <c r="AT57" s="20" t="n">
        <v>12268.43</v>
      </c>
      <c r="AU57" s="20" t="n">
        <v>12268.43</v>
      </c>
      <c r="AV57" s="20" t="n">
        <v>12268.43</v>
      </c>
      <c r="AW57" s="20" t="n">
        <v>12268.43</v>
      </c>
      <c r="AX57" s="20" t="n">
        <v>12268.43</v>
      </c>
      <c r="AY57" s="20" t="n">
        <v>12268.43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19" t="n">
        <v>0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83" t="n">
        <v>0</v>
      </c>
      <c r="U58" s="83" t="n">
        <v>0</v>
      </c>
      <c r="V58" s="83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200</v>
      </c>
      <c r="G59" s="19" t="n">
        <v>389</v>
      </c>
      <c r="H59" s="19" t="n">
        <v>95.70999999999999</v>
      </c>
      <c r="I59" s="19" t="n">
        <v>589.58</v>
      </c>
      <c r="J59" s="19" t="n">
        <v>246.07</v>
      </c>
      <c r="K59" s="19" t="n">
        <v>365.53</v>
      </c>
      <c r="L59" s="19" t="n">
        <v>263.08</v>
      </c>
      <c r="M59" s="19" t="n">
        <v>285.79</v>
      </c>
      <c r="N59" s="19" t="n">
        <v>579.77</v>
      </c>
      <c r="O59" s="19" t="n">
        <v>603.7</v>
      </c>
      <c r="P59" s="19" t="n">
        <v>-3.41</v>
      </c>
      <c r="Q59" s="19" t="n">
        <v>200</v>
      </c>
      <c r="R59" s="19" t="n">
        <v>747.51</v>
      </c>
      <c r="S59" s="19" t="n">
        <v>200.83</v>
      </c>
      <c r="T59" s="83" t="n">
        <v>774.37</v>
      </c>
      <c r="U59" s="83" t="n">
        <v>718.54</v>
      </c>
      <c r="V59" s="83" t="n">
        <v>472.29</v>
      </c>
      <c r="W59" s="20" t="n">
        <v>279.63</v>
      </c>
      <c r="X59" s="20" t="n">
        <v>279.63</v>
      </c>
      <c r="Y59" s="20" t="n">
        <v>279.63</v>
      </c>
      <c r="Z59" s="20" t="n">
        <v>279.63</v>
      </c>
      <c r="AA59" s="20" t="n">
        <v>279.63</v>
      </c>
      <c r="AB59" s="20" t="n">
        <v>279.63</v>
      </c>
      <c r="AC59" s="20" t="n">
        <v>279.63</v>
      </c>
      <c r="AD59" s="20" t="n">
        <v>279.63</v>
      </c>
      <c r="AE59" s="20" t="n">
        <v>279.63</v>
      </c>
      <c r="AF59" s="20" t="n">
        <v>279.63</v>
      </c>
      <c r="AG59" s="20" t="n">
        <v>279.63</v>
      </c>
      <c r="AH59" s="20" t="n">
        <v>279.63</v>
      </c>
      <c r="AI59" s="20" t="n">
        <v>279.63</v>
      </c>
      <c r="AJ59" s="20" t="n">
        <v>279.63</v>
      </c>
      <c r="AK59" s="20" t="n">
        <v>279.63</v>
      </c>
      <c r="AL59" s="20" t="n">
        <v>279.63</v>
      </c>
      <c r="AM59" s="20" t="n">
        <v>279.63</v>
      </c>
      <c r="AN59" s="20" t="n">
        <v>279.63</v>
      </c>
      <c r="AO59" s="20" t="n">
        <v>279.63</v>
      </c>
      <c r="AP59" s="20" t="n">
        <v>279.63</v>
      </c>
      <c r="AQ59" s="20" t="n">
        <v>279.63</v>
      </c>
      <c r="AR59" s="20" t="n">
        <v>279.63</v>
      </c>
      <c r="AS59" s="20" t="n">
        <v>279.63</v>
      </c>
      <c r="AT59" s="20" t="n">
        <v>279.63</v>
      </c>
      <c r="AU59" s="20" t="n">
        <v>279.63</v>
      </c>
      <c r="AV59" s="20" t="n">
        <v>279.63</v>
      </c>
      <c r="AW59" s="20" t="n">
        <v>279.63</v>
      </c>
      <c r="AX59" s="20" t="n">
        <v>279.63</v>
      </c>
      <c r="AY59" s="20" t="n">
        <v>279.63</v>
      </c>
    </row>
    <row r="60">
      <c r="B60" s="33" t="inlineStr">
        <is>
          <t>705000 Property Maintenance (incl Repairs &amp; Parking)</t>
        </is>
      </c>
      <c r="D60" s="19" t="n">
        <v>0</v>
      </c>
      <c r="E60" s="19" t="n">
        <v>20.84</v>
      </c>
      <c r="F60" s="19" t="n">
        <v>0</v>
      </c>
      <c r="G60" s="19" t="n">
        <v>0</v>
      </c>
      <c r="H60" s="19" t="n">
        <v>0</v>
      </c>
      <c r="I60" s="19" t="n">
        <v>325</v>
      </c>
      <c r="J60" s="19" t="n">
        <v>0</v>
      </c>
      <c r="K60" s="19" t="n">
        <v>1503.45</v>
      </c>
      <c r="L60" s="19" t="n">
        <v>615</v>
      </c>
      <c r="M60" s="19" t="n">
        <v>0</v>
      </c>
      <c r="N60" s="19" t="n">
        <v>335</v>
      </c>
      <c r="O60" s="19" t="n">
        <v>0</v>
      </c>
      <c r="P60" s="19" t="n">
        <v>0</v>
      </c>
      <c r="Q60" s="19" t="n">
        <v>335</v>
      </c>
      <c r="R60" s="19" t="n">
        <v>0</v>
      </c>
      <c r="S60" s="19" t="n">
        <v>0</v>
      </c>
      <c r="T60" s="83" t="n">
        <v>335</v>
      </c>
      <c r="U60" s="83" t="n">
        <v>0</v>
      </c>
      <c r="V60" s="83" t="n">
        <v>0</v>
      </c>
      <c r="W60" s="20" t="n">
        <v>81.33</v>
      </c>
      <c r="X60" s="20" t="n">
        <v>81.33</v>
      </c>
      <c r="Y60" s="20" t="n">
        <v>81.33</v>
      </c>
      <c r="Z60" s="20" t="n">
        <v>81.33</v>
      </c>
      <c r="AA60" s="20" t="n">
        <v>81.33</v>
      </c>
      <c r="AB60" s="20" t="n">
        <v>81.33</v>
      </c>
      <c r="AC60" s="20" t="n">
        <v>81.33</v>
      </c>
      <c r="AD60" s="20" t="n">
        <v>81.33</v>
      </c>
      <c r="AE60" s="20" t="n">
        <v>81.33</v>
      </c>
      <c r="AF60" s="20" t="n">
        <v>81.33</v>
      </c>
      <c r="AG60" s="20" t="n">
        <v>81.33</v>
      </c>
      <c r="AH60" s="20" t="n">
        <v>81.33</v>
      </c>
      <c r="AI60" s="20" t="n">
        <v>81.33</v>
      </c>
      <c r="AJ60" s="20" t="n">
        <v>81.33</v>
      </c>
      <c r="AK60" s="20" t="n">
        <v>81.33</v>
      </c>
      <c r="AL60" s="20" t="n">
        <v>81.33</v>
      </c>
      <c r="AM60" s="20" t="n">
        <v>81.33</v>
      </c>
      <c r="AN60" s="20" t="n">
        <v>81.33</v>
      </c>
      <c r="AO60" s="20" t="n">
        <v>81.33</v>
      </c>
      <c r="AP60" s="20" t="n">
        <v>81.33</v>
      </c>
      <c r="AQ60" s="20" t="n">
        <v>81.33</v>
      </c>
      <c r="AR60" s="20" t="n">
        <v>81.33</v>
      </c>
      <c r="AS60" s="20" t="n">
        <v>81.33</v>
      </c>
      <c r="AT60" s="20" t="n">
        <v>81.33</v>
      </c>
      <c r="AU60" s="20" t="n">
        <v>81.33</v>
      </c>
      <c r="AV60" s="20" t="n">
        <v>81.33</v>
      </c>
      <c r="AW60" s="20" t="n">
        <v>81.33</v>
      </c>
      <c r="AX60" s="20" t="n">
        <v>81.33</v>
      </c>
      <c r="AY60" s="20" t="n">
        <v>81.33</v>
      </c>
    </row>
    <row r="61">
      <c r="B61" s="32" t="inlineStr">
        <is>
          <t>Total Property Costs</t>
        </is>
      </c>
      <c r="C61" s="34" t="n"/>
      <c r="D61" s="35">
        <f>SUM(D57:D60)</f>
        <v/>
      </c>
      <c r="E61" s="35">
        <f>SUM(E57:E60)</f>
        <v/>
      </c>
      <c r="F61" s="35">
        <f>SUM(F57:F60)</f>
        <v/>
      </c>
      <c r="G61" s="35">
        <f>SUM(G57:G60)</f>
        <v/>
      </c>
      <c r="H61" s="35">
        <f>SUM(H57:H60)</f>
        <v/>
      </c>
      <c r="I61" s="35">
        <f>SUM(I57:I60)</f>
        <v/>
      </c>
      <c r="J61" s="35">
        <f>SUM(J57:J60)</f>
        <v/>
      </c>
      <c r="K61" s="35">
        <f>SUM(K57:K60)</f>
        <v/>
      </c>
      <c r="L61" s="35">
        <f>SUM(L57:L60)</f>
        <v/>
      </c>
      <c r="M61" s="35">
        <f>SUM(M57:M60)</f>
        <v/>
      </c>
      <c r="N61" s="35">
        <f>SUM(N57:N60)</f>
        <v/>
      </c>
      <c r="O61" s="35">
        <f>SUM(O57:O60)</f>
        <v/>
      </c>
      <c r="P61" s="35">
        <f>P57+P58+P59+P60</f>
        <v/>
      </c>
      <c r="Q61" s="35">
        <f>Q57+Q58+Q59+Q60</f>
        <v/>
      </c>
      <c r="R61" s="35">
        <f>R57+R58+R59+R60</f>
        <v/>
      </c>
      <c r="S61" s="35">
        <f>S57+S58+S59+S60</f>
        <v/>
      </c>
      <c r="T61" s="84">
        <f>T57+T58+T59+T60</f>
        <v/>
      </c>
      <c r="U61" s="84">
        <f>U57+U58+U59+U60</f>
        <v/>
      </c>
      <c r="V61" s="84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>
        <f>D33+D38+D42+D47+D50+D56+D61</f>
        <v/>
      </c>
      <c r="E62" s="35">
        <f>E33+E38+E42+E47+E50+E56+E61</f>
        <v/>
      </c>
      <c r="F62" s="35">
        <f>F33+F38+F42+F47+F50+F56+F61</f>
        <v/>
      </c>
      <c r="G62" s="35">
        <f>G33+G38+G42+G47+G50+G56+G61</f>
        <v/>
      </c>
      <c r="H62" s="35">
        <f>H33+H38+H42+H47+H50+H56+H61</f>
        <v/>
      </c>
      <c r="I62" s="35">
        <f>I33+I38+I42+I47+I50+I56+I61</f>
        <v/>
      </c>
      <c r="J62" s="35">
        <f>J33+J38+J42+J47+J50+J56+J61</f>
        <v/>
      </c>
      <c r="K62" s="35">
        <f>K33+K38+K42+K47+K50+K56+K61</f>
        <v/>
      </c>
      <c r="L62" s="35">
        <f>L33+L38+L42+L47+L50+L56+L61</f>
        <v/>
      </c>
      <c r="M62" s="35">
        <f>M33+M38+M42+M47+M50+M56+M61</f>
        <v/>
      </c>
      <c r="N62" s="35">
        <f>N33+N38+N42+N47+N50+N56+N61</f>
        <v/>
      </c>
      <c r="O62" s="35">
        <f>O33+O38+O42+O47+O50+O56+O61</f>
        <v/>
      </c>
      <c r="P62" s="35">
        <f>P33+P38+P42+P47+P50+P56+P61</f>
        <v/>
      </c>
      <c r="Q62" s="35">
        <f>Q33+Q38+Q42+Q47+Q50+Q56+Q61</f>
        <v/>
      </c>
      <c r="R62" s="35">
        <f>R33+R38+R42+R47+R50+R56+R61</f>
        <v/>
      </c>
      <c r="S62" s="35">
        <f>S33+S38+S42+S47+S50+S56+S61</f>
        <v/>
      </c>
      <c r="T62" s="84">
        <f>T33+T38+T42+T47+T50+T56+T61</f>
        <v/>
      </c>
      <c r="U62" s="84">
        <f>U33+U38+U42+U47+U50+U56+U61</f>
        <v/>
      </c>
      <c r="V62" s="84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>
        <f>D26-D62</f>
        <v/>
      </c>
      <c r="E63" s="35">
        <f>E26-E62</f>
        <v/>
      </c>
      <c r="F63" s="35">
        <f>F26-F62</f>
        <v/>
      </c>
      <c r="G63" s="35">
        <f>G26-G62</f>
        <v/>
      </c>
      <c r="H63" s="35">
        <f>H26-H62</f>
        <v/>
      </c>
      <c r="I63" s="35">
        <f>I26-I62</f>
        <v/>
      </c>
      <c r="J63" s="35">
        <f>J26-J62</f>
        <v/>
      </c>
      <c r="K63" s="35">
        <f>K26-K62</f>
        <v/>
      </c>
      <c r="L63" s="35">
        <f>L26-L62</f>
        <v/>
      </c>
      <c r="M63" s="35">
        <f>M26-M62</f>
        <v/>
      </c>
      <c r="N63" s="35">
        <f>N26-N62</f>
        <v/>
      </c>
      <c r="O63" s="35">
        <f>O26-O62</f>
        <v/>
      </c>
      <c r="P63" s="35">
        <f>P26-P62</f>
        <v/>
      </c>
      <c r="Q63" s="35">
        <f>Q26-Q62</f>
        <v/>
      </c>
      <c r="R63" s="35">
        <f>R26-R62</f>
        <v/>
      </c>
      <c r="S63" s="35">
        <f>S26-S62</f>
        <v/>
      </c>
      <c r="T63" s="84">
        <f>T26-T62</f>
        <v/>
      </c>
      <c r="U63" s="84">
        <f>U26-U62</f>
        <v/>
      </c>
      <c r="V63" s="84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" customHeight="1" s="28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2839.96</v>
      </c>
      <c r="E65" s="19" t="n">
        <v>2857.96</v>
      </c>
      <c r="F65" s="19" t="n">
        <v>2857.96</v>
      </c>
      <c r="G65" s="19" t="n">
        <v>2857.96</v>
      </c>
      <c r="H65" s="19" t="n">
        <v>2860.18</v>
      </c>
      <c r="I65" s="19" t="n">
        <v>2860.18</v>
      </c>
      <c r="J65" s="19" t="n">
        <v>2860.18</v>
      </c>
      <c r="K65" s="19" t="n">
        <v>2860.18</v>
      </c>
      <c r="L65" s="19" t="n">
        <v>2860.18</v>
      </c>
      <c r="M65" s="19" t="n">
        <v>2860.18</v>
      </c>
      <c r="N65" s="19" t="n">
        <v>2860.18</v>
      </c>
      <c r="O65" s="19" t="n">
        <v>1124.75</v>
      </c>
      <c r="P65" s="19" t="n">
        <v>2726.68</v>
      </c>
      <c r="Q65" s="19" t="n">
        <v>2726.68</v>
      </c>
      <c r="R65" s="19" t="n">
        <v>2726.68</v>
      </c>
      <c r="S65" s="19" t="n">
        <v>2726.68</v>
      </c>
      <c r="T65" s="83" t="n">
        <v>2726.68</v>
      </c>
      <c r="U65" s="83" t="n">
        <v>2726.68</v>
      </c>
      <c r="V65" s="83" t="n">
        <v>2726.68</v>
      </c>
      <c r="W65" s="20" t="n">
        <v>2726.68</v>
      </c>
      <c r="X65" s="20" t="n">
        <v>2726.68</v>
      </c>
      <c r="Y65" s="20" t="n">
        <v>2726.68</v>
      </c>
      <c r="Z65" s="20" t="n">
        <v>2726.68</v>
      </c>
      <c r="AA65" s="20" t="n">
        <v>2726.68</v>
      </c>
      <c r="AB65" s="20" t="n">
        <v>2726.68</v>
      </c>
      <c r="AC65" s="20" t="n">
        <v>2726.68</v>
      </c>
      <c r="AD65" s="20" t="n">
        <v>2726.68</v>
      </c>
      <c r="AE65" s="20" t="n">
        <v>2726.68</v>
      </c>
      <c r="AF65" s="20" t="n">
        <v>2726.68</v>
      </c>
      <c r="AG65" s="20" t="n">
        <v>2726.68</v>
      </c>
      <c r="AH65" s="20" t="n">
        <v>2726.68</v>
      </c>
      <c r="AI65" s="20" t="n">
        <v>2726.68</v>
      </c>
      <c r="AJ65" s="20" t="n">
        <v>2726.68</v>
      </c>
      <c r="AK65" s="20" t="n">
        <v>2726.68</v>
      </c>
      <c r="AL65" s="20" t="n">
        <v>2726.68</v>
      </c>
      <c r="AM65" s="20" t="n">
        <v>2726.68</v>
      </c>
      <c r="AN65" s="20" t="n">
        <v>2726.68</v>
      </c>
      <c r="AO65" s="20" t="n">
        <v>2726.68</v>
      </c>
      <c r="AP65" s="20" t="n">
        <v>2726.68</v>
      </c>
      <c r="AQ65" s="20" t="n">
        <v>2726.68</v>
      </c>
      <c r="AR65" s="20" t="n">
        <v>2726.68</v>
      </c>
      <c r="AS65" s="20" t="n">
        <v>2726.68</v>
      </c>
      <c r="AT65" s="20" t="n">
        <v>2726.68</v>
      </c>
      <c r="AU65" s="20" t="n">
        <v>2726.68</v>
      </c>
      <c r="AV65" s="20" t="n">
        <v>2726.68</v>
      </c>
      <c r="AW65" s="20" t="n">
        <v>2726.68</v>
      </c>
      <c r="AX65" s="20" t="n">
        <v>2726.68</v>
      </c>
      <c r="AY65" s="20" t="n">
        <v>2726.68</v>
      </c>
    </row>
    <row r="66">
      <c r="B66" s="33" t="inlineStr">
        <is>
          <t>901000 Interest Expense (incl Other Exp/Inc)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19" t="n">
        <v>0</v>
      </c>
      <c r="I66" s="19" t="n">
        <v>0</v>
      </c>
      <c r="J66" s="19" t="n">
        <v>0</v>
      </c>
      <c r="K66" s="19" t="n">
        <v>0</v>
      </c>
      <c r="L66" s="19" t="n">
        <v>0</v>
      </c>
      <c r="M66" s="19" t="n">
        <v>683.38</v>
      </c>
      <c r="N66" s="19" t="n">
        <v>1366.75</v>
      </c>
      <c r="O66" s="19" t="n">
        <v>1366.75</v>
      </c>
      <c r="P66" s="19" t="n">
        <v>1366.75</v>
      </c>
      <c r="Q66" s="19" t="n">
        <v>1366.75</v>
      </c>
      <c r="R66" s="19" t="n">
        <v>1366.75</v>
      </c>
      <c r="S66" s="19" t="n">
        <v>3416.87</v>
      </c>
      <c r="T66" s="83" t="n">
        <v>0</v>
      </c>
      <c r="U66" s="83" t="n">
        <v>0</v>
      </c>
      <c r="V66" s="83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>
        <f>AN69*0.395554</f>
        <v/>
      </c>
      <c r="AO66" s="20">
        <f>AO69*0.395554</f>
        <v/>
      </c>
      <c r="AP66" s="20">
        <f>AP69*0.395554</f>
        <v/>
      </c>
      <c r="AQ66" s="20">
        <f>AQ69*0.395554</f>
        <v/>
      </c>
      <c r="AR66" s="20">
        <f>AR69*0.395554</f>
        <v/>
      </c>
      <c r="AS66" s="20">
        <f>AS69*0.395554</f>
        <v/>
      </c>
      <c r="AT66" s="20">
        <f>AT69*0.395554</f>
        <v/>
      </c>
      <c r="AU66" s="20">
        <f>AU69*0.395554</f>
        <v/>
      </c>
      <c r="AV66" s="20">
        <f>AV69*0.395554</f>
        <v/>
      </c>
      <c r="AW66" s="20">
        <f>AW69*0.395554</f>
        <v/>
      </c>
      <c r="AX66" s="20">
        <f>AX69*0.395554</f>
        <v/>
      </c>
      <c r="AY66" s="20">
        <f>AY69*0.395554</f>
        <v/>
      </c>
    </row>
    <row r="67">
      <c r="B67" s="33" t="inlineStr">
        <is>
          <t xml:space="preserve">  902000 Taxes Paid</t>
        </is>
      </c>
      <c r="D67" s="19" t="n">
        <v>0</v>
      </c>
      <c r="E67" s="19" t="n">
        <v>0</v>
      </c>
      <c r="F67" s="19" t="n">
        <v>0</v>
      </c>
      <c r="G67" s="19" t="n">
        <v>0</v>
      </c>
      <c r="H67" s="19" t="n">
        <v>0</v>
      </c>
      <c r="I67" s="19" t="n">
        <v>0</v>
      </c>
      <c r="J67" s="19" t="n">
        <v>0</v>
      </c>
      <c r="K67" s="19" t="n">
        <v>0</v>
      </c>
      <c r="L67" s="19" t="n">
        <v>0</v>
      </c>
      <c r="M67" s="19" t="n">
        <v>0</v>
      </c>
      <c r="N67" s="19" t="n">
        <v>0</v>
      </c>
      <c r="O67" s="19" t="n">
        <v>0</v>
      </c>
      <c r="P67" s="19" t="n">
        <v>0</v>
      </c>
      <c r="Q67" s="19" t="n">
        <v>0</v>
      </c>
      <c r="R67" s="19" t="n">
        <v>0</v>
      </c>
      <c r="S67" s="19" t="n">
        <v>0</v>
      </c>
      <c r="T67" s="83" t="n">
        <v>0</v>
      </c>
      <c r="U67" s="83" t="n">
        <v>0</v>
      </c>
      <c r="V67" s="83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AN69*0.030529</f>
        <v/>
      </c>
      <c r="AO67" s="20">
        <f>AO69*0.030529</f>
        <v/>
      </c>
      <c r="AP67" s="20">
        <f>AP69*0.030529</f>
        <v/>
      </c>
      <c r="AQ67" s="20">
        <f>AQ69*0.030529</f>
        <v/>
      </c>
      <c r="AR67" s="20">
        <f>AR69*0.030529</f>
        <v/>
      </c>
      <c r="AS67" s="20">
        <f>AS69*0.030529</f>
        <v/>
      </c>
      <c r="AT67" s="20">
        <f>AT69*0.030529</f>
        <v/>
      </c>
      <c r="AU67" s="20">
        <f>AU69*0.030529</f>
        <v/>
      </c>
      <c r="AV67" s="20">
        <f>AV69*0.030529</f>
        <v/>
      </c>
      <c r="AW67" s="20">
        <f>AW69*0.030529</f>
        <v/>
      </c>
      <c r="AX67" s="20">
        <f>AX69*0.030529</f>
        <v/>
      </c>
      <c r="AY67" s="20">
        <f>AY69*0.030529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3" t="n">
        <v>0</v>
      </c>
      <c r="U68" s="83" t="n">
        <v>1880.93</v>
      </c>
      <c r="V68" s="83" t="n">
        <v>185.52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P65+P66+P67+P68</f>
        <v/>
      </c>
      <c r="Q69" s="35">
        <f>Q65+Q66+Q67+Q68</f>
        <v/>
      </c>
      <c r="R69" s="35">
        <f>R65+R66+R67+R68</f>
        <v/>
      </c>
      <c r="S69" s="35">
        <f>S65+S66+S67+S68</f>
        <v/>
      </c>
      <c r="T69" s="84">
        <f>T65+T66+T67+T68</f>
        <v/>
      </c>
      <c r="U69" s="84">
        <f>U65+U66+U67+U68</f>
        <v/>
      </c>
      <c r="V69" s="84">
        <f>V65+V66+V67+V68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>
        <f>D63-D69</f>
        <v/>
      </c>
      <c r="E70" s="35">
        <f>E63-E69</f>
        <v/>
      </c>
      <c r="F70" s="35">
        <f>F63-F69</f>
        <v/>
      </c>
      <c r="G70" s="35">
        <f>G63-G69</f>
        <v/>
      </c>
      <c r="H70" s="35">
        <f>H63-H69</f>
        <v/>
      </c>
      <c r="I70" s="35">
        <f>I63-I69</f>
        <v/>
      </c>
      <c r="J70" s="35">
        <f>J63-J69</f>
        <v/>
      </c>
      <c r="K70" s="35">
        <f>K63-K69</f>
        <v/>
      </c>
      <c r="L70" s="35">
        <f>L63-L69</f>
        <v/>
      </c>
      <c r="M70" s="35">
        <f>M63-M69</f>
        <v/>
      </c>
      <c r="N70" s="35">
        <f>N63-N69</f>
        <v/>
      </c>
      <c r="O70" s="35">
        <f>O63-O69</f>
        <v/>
      </c>
      <c r="P70" s="35">
        <f>P63-P69</f>
        <v/>
      </c>
      <c r="Q70" s="35">
        <f>Q63-Q69</f>
        <v/>
      </c>
      <c r="R70" s="35">
        <f>R63-R69</f>
        <v/>
      </c>
      <c r="S70" s="35">
        <f>S63-S69</f>
        <v/>
      </c>
      <c r="T70" s="84">
        <f>T63-T69</f>
        <v/>
      </c>
      <c r="U70" s="84">
        <f>U63-U69</f>
        <v/>
      </c>
      <c r="V70" s="84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ED7D31"/>
    <outlinePr summaryBelow="1" summaryRight="1"/>
    <pageSetUpPr/>
  </sheetPr>
  <dimension ref="B2:BB70"/>
  <sheetViews>
    <sheetView showGridLines="0" workbookViewId="0">
      <pane xSplit="3" ySplit="5" topLeftCell="AL6" activePane="bottomRight" state="frozen"/>
      <selection activeCell="W21" sqref="W21"/>
      <selection pane="topRight" activeCell="W21" sqref="W21"/>
      <selection pane="bottomLeft" activeCell="W21" sqref="W21"/>
      <selection pane="bottomRight" activeCell="AY13" sqref="AY13"/>
    </sheetView>
  </sheetViews>
  <sheetFormatPr baseColWidth="10" defaultColWidth="8.83203125" defaultRowHeight="15"/>
  <cols>
    <col hidden="1" width="2" customWidth="1" style="282" min="1" max="1"/>
    <col width="32" customWidth="1" style="282" min="2" max="2"/>
    <col width="10" customWidth="1" style="282" min="3" max="3"/>
    <col width="12" customWidth="1" style="282" min="4" max="39"/>
    <col width="13.33203125" customWidth="1" style="282" min="53" max="53"/>
  </cols>
  <sheetData>
    <row r="2" ht="21" customHeight="1" s="282">
      <c r="B2" s="9" t="inlineStr">
        <is>
          <t>Ocean Park (OP) — Profit &amp; Loss</t>
        </is>
      </c>
      <c r="T2" s="24" t="n"/>
      <c r="U2" s="24" t="n"/>
    </row>
    <row r="4" ht="16" customHeight="1" s="28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01" t="inlineStr">
        <is>
          <t>Revenue Segments as % of Total (LTM)</t>
        </is>
      </c>
    </row>
    <row r="6" ht="16" customHeight="1" s="28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BA6" s="272" t="inlineStr">
        <is>
          <t>LTM May 2026</t>
        </is>
      </c>
    </row>
    <row r="7">
      <c r="B7" s="33" t="inlineStr">
        <is>
          <t xml:space="preserve">  401001 Machine</t>
        </is>
      </c>
      <c r="D7" s="19" t="n">
        <v>0</v>
      </c>
      <c r="E7" s="19" t="n">
        <v>75</v>
      </c>
      <c r="F7" s="19" t="n">
        <v>70</v>
      </c>
      <c r="G7" s="19" t="n">
        <v>13776.77</v>
      </c>
      <c r="H7" s="19" t="n">
        <v>27877.3</v>
      </c>
      <c r="I7" s="19" t="n">
        <v>27699.66</v>
      </c>
      <c r="J7" s="19" t="n">
        <v>32751.01</v>
      </c>
      <c r="K7" s="19" t="n">
        <v>30364.82</v>
      </c>
      <c r="L7" s="19" t="n">
        <v>28592.1</v>
      </c>
      <c r="M7" s="19" t="n">
        <v>28413.88</v>
      </c>
      <c r="N7" s="19" t="n">
        <v>28743.73</v>
      </c>
      <c r="O7" s="19" t="n">
        <v>28190.46</v>
      </c>
      <c r="P7" s="19" t="n">
        <v>33656.75</v>
      </c>
      <c r="Q7" s="19" t="n">
        <v>30028.27</v>
      </c>
      <c r="R7" s="19" t="n">
        <v>31271</v>
      </c>
      <c r="S7" s="19" t="n">
        <v>31015.02</v>
      </c>
      <c r="T7" s="83" t="n">
        <v>37715.61</v>
      </c>
      <c r="U7" s="83" t="n">
        <v>34668.57</v>
      </c>
      <c r="V7" s="83" t="n">
        <v>32535.33</v>
      </c>
      <c r="W7" s="20">
        <f>W13*0.577355</f>
        <v/>
      </c>
      <c r="X7" s="20">
        <f>X13*0.577355</f>
        <v/>
      </c>
      <c r="Y7" s="20">
        <f>Y13*0.577355</f>
        <v/>
      </c>
      <c r="Z7" s="20">
        <f>Z13*0.577355</f>
        <v/>
      </c>
      <c r="AA7" s="20">
        <f>AA13*0.577355</f>
        <v/>
      </c>
      <c r="AB7" s="20">
        <f>AB13*0.577355</f>
        <v/>
      </c>
      <c r="AC7" s="20">
        <f>AC13*0.577355</f>
        <v/>
      </c>
      <c r="AD7" s="20">
        <f>AD13*0.577355</f>
        <v/>
      </c>
      <c r="AE7" s="20">
        <f>AE13*0.577355</f>
        <v/>
      </c>
      <c r="AF7" s="20">
        <f>AF13*0.577355</f>
        <v/>
      </c>
      <c r="AG7" s="20">
        <f>AG13*0.577355</f>
        <v/>
      </c>
      <c r="AH7" s="20">
        <f>AH13*0.577355</f>
        <v/>
      </c>
      <c r="AI7" s="20">
        <f>AI13*0.577355</f>
        <v/>
      </c>
      <c r="AJ7" s="20">
        <f>AJ13*0.577355</f>
        <v/>
      </c>
      <c r="AK7" s="20">
        <f>AK13*0.577355</f>
        <v/>
      </c>
      <c r="AL7" s="20">
        <f>AL13*0.577355</f>
        <v/>
      </c>
      <c r="AM7" s="20">
        <f>AM13*0.577355</f>
        <v/>
      </c>
      <c r="AN7" s="20">
        <f>AN13*0.577355</f>
        <v/>
      </c>
      <c r="AO7" s="20">
        <f>AO13*0.577355</f>
        <v/>
      </c>
      <c r="AP7" s="20">
        <f>AP13*0.577355</f>
        <v/>
      </c>
      <c r="AQ7" s="20">
        <f>AQ13*0.577355</f>
        <v/>
      </c>
      <c r="AR7" s="20">
        <f>AR13*0.577355</f>
        <v/>
      </c>
      <c r="AS7" s="20">
        <f>AS13*0.577355</f>
        <v/>
      </c>
      <c r="AT7" s="20">
        <f>AT13*0.577355</f>
        <v/>
      </c>
      <c r="AU7" s="20">
        <f>AU13*0.577355</f>
        <v/>
      </c>
      <c r="AV7" s="20">
        <f>AV13*0.577355</f>
        <v/>
      </c>
      <c r="AW7" s="20">
        <f>AW13*0.577355</f>
        <v/>
      </c>
      <c r="AX7" s="20">
        <f>AX13*0.577355</f>
        <v/>
      </c>
      <c r="AY7" s="20">
        <f>AY13*0.577355</f>
        <v/>
      </c>
      <c r="BA7" s="288">
        <f>SUM(I7:T7)</f>
        <v/>
      </c>
      <c r="BB7" s="274">
        <f>BA7/$BA$21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1610</v>
      </c>
      <c r="H8" s="19" t="n">
        <v>4055</v>
      </c>
      <c r="I8" s="19" t="n">
        <v>5105</v>
      </c>
      <c r="J8" s="19" t="n">
        <v>5975</v>
      </c>
      <c r="K8" s="19" t="n">
        <v>7076.88</v>
      </c>
      <c r="L8" s="19" t="n">
        <v>5585</v>
      </c>
      <c r="M8" s="19" t="n">
        <v>4211.67</v>
      </c>
      <c r="N8" s="19" t="n">
        <v>4114.37</v>
      </c>
      <c r="O8" s="19" t="n">
        <v>3845.63</v>
      </c>
      <c r="P8" s="19" t="n">
        <v>5661.3</v>
      </c>
      <c r="Q8" s="19" t="n">
        <v>6470</v>
      </c>
      <c r="R8" s="19" t="n">
        <v>5699.46</v>
      </c>
      <c r="S8" s="19" t="n">
        <v>4246.88</v>
      </c>
      <c r="T8" s="83" t="n">
        <v>4943</v>
      </c>
      <c r="U8" s="83" t="n">
        <v>7540.67</v>
      </c>
      <c r="V8" s="83" t="n">
        <v>6472.67</v>
      </c>
      <c r="W8" s="20">
        <f>W13*0.101187</f>
        <v/>
      </c>
      <c r="X8" s="20">
        <f>X13*0.101187</f>
        <v/>
      </c>
      <c r="Y8" s="20">
        <f>Y13*0.101187</f>
        <v/>
      </c>
      <c r="Z8" s="20">
        <f>Z13*0.101187</f>
        <v/>
      </c>
      <c r="AA8" s="20">
        <f>AA13*0.101187</f>
        <v/>
      </c>
      <c r="AB8" s="20">
        <f>AB13*0.101187</f>
        <v/>
      </c>
      <c r="AC8" s="20">
        <f>AC13*0.101187</f>
        <v/>
      </c>
      <c r="AD8" s="20">
        <f>AD13*0.101187</f>
        <v/>
      </c>
      <c r="AE8" s="20">
        <f>AE13*0.101187</f>
        <v/>
      </c>
      <c r="AF8" s="20">
        <f>AF13*0.101187</f>
        <v/>
      </c>
      <c r="AG8" s="20">
        <f>AG13*0.101187</f>
        <v/>
      </c>
      <c r="AH8" s="20">
        <f>AH13*0.101187</f>
        <v/>
      </c>
      <c r="AI8" s="20">
        <f>AI13*0.101187</f>
        <v/>
      </c>
      <c r="AJ8" s="20">
        <f>AJ13*0.101187</f>
        <v/>
      </c>
      <c r="AK8" s="20">
        <f>AK13*0.101187</f>
        <v/>
      </c>
      <c r="AL8" s="20">
        <f>AL13*0.101187</f>
        <v/>
      </c>
      <c r="AM8" s="20">
        <f>AM13*0.101187</f>
        <v/>
      </c>
      <c r="AN8" s="20">
        <f>AN13*0.101187</f>
        <v/>
      </c>
      <c r="AO8" s="20">
        <f>AO13*0.101187</f>
        <v/>
      </c>
      <c r="AP8" s="20">
        <f>AP13*0.101187</f>
        <v/>
      </c>
      <c r="AQ8" s="20">
        <f>AQ13*0.101187</f>
        <v/>
      </c>
      <c r="AR8" s="20">
        <f>AR13*0.101187</f>
        <v/>
      </c>
      <c r="AS8" s="20">
        <f>AS13*0.101187</f>
        <v/>
      </c>
      <c r="AT8" s="20">
        <f>AT13*0.101187</f>
        <v/>
      </c>
      <c r="AU8" s="20">
        <f>AU13*0.101187</f>
        <v/>
      </c>
      <c r="AV8" s="20">
        <f>AV13*0.101187</f>
        <v/>
      </c>
      <c r="AW8" s="20">
        <f>AW13*0.101187</f>
        <v/>
      </c>
      <c r="AX8" s="20">
        <f>AX13*0.101187</f>
        <v/>
      </c>
      <c r="AY8" s="20">
        <f>AY13*0.101187</f>
        <v/>
      </c>
      <c r="BA8" s="288">
        <f>SUM(I8:T8)</f>
        <v/>
      </c>
      <c r="BB8" s="274">
        <f>BA8/$BA$21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8128.28</v>
      </c>
      <c r="H9" s="19" t="n">
        <v>13624.22</v>
      </c>
      <c r="I9" s="19" t="n">
        <v>15749.1</v>
      </c>
      <c r="J9" s="19" t="n">
        <v>18156.56</v>
      </c>
      <c r="K9" s="19" t="n">
        <v>18214.66</v>
      </c>
      <c r="L9" s="19" t="n">
        <v>16575.67</v>
      </c>
      <c r="M9" s="19" t="n">
        <v>17352.08</v>
      </c>
      <c r="N9" s="19" t="n">
        <v>16819.48</v>
      </c>
      <c r="O9" s="19" t="n">
        <v>15032.09</v>
      </c>
      <c r="P9" s="19" t="n">
        <v>18924.97</v>
      </c>
      <c r="Q9" s="19" t="n">
        <v>15460.98</v>
      </c>
      <c r="R9" s="19" t="n">
        <v>18153.6</v>
      </c>
      <c r="S9" s="19" t="n">
        <v>16356</v>
      </c>
      <c r="T9" s="83" t="n">
        <v>14493.87</v>
      </c>
      <c r="U9" s="83" t="n">
        <v>14201.18</v>
      </c>
      <c r="V9" s="83" t="n">
        <v>14609</v>
      </c>
      <c r="W9" s="20">
        <f>W13*0.315765</f>
        <v/>
      </c>
      <c r="X9" s="20">
        <f>X13*0.315765</f>
        <v/>
      </c>
      <c r="Y9" s="20">
        <f>Y13*0.315765</f>
        <v/>
      </c>
      <c r="Z9" s="20">
        <f>Z13*0.315765</f>
        <v/>
      </c>
      <c r="AA9" s="20">
        <f>AA13*0.315765</f>
        <v/>
      </c>
      <c r="AB9" s="20">
        <f>AB13*0.315765</f>
        <v/>
      </c>
      <c r="AC9" s="20">
        <f>AC13*0.315765</f>
        <v/>
      </c>
      <c r="AD9" s="20">
        <f>AD13*0.315765</f>
        <v/>
      </c>
      <c r="AE9" s="20">
        <f>AE13*0.315765</f>
        <v/>
      </c>
      <c r="AF9" s="20">
        <f>AF13*0.315765</f>
        <v/>
      </c>
      <c r="AG9" s="20">
        <f>AG13*0.315765</f>
        <v/>
      </c>
      <c r="AH9" s="20">
        <f>AH13*0.315765</f>
        <v/>
      </c>
      <c r="AI9" s="20">
        <f>AI13*0.315765</f>
        <v/>
      </c>
      <c r="AJ9" s="20">
        <f>AJ13*0.315765</f>
        <v/>
      </c>
      <c r="AK9" s="20">
        <f>AK13*0.315765</f>
        <v/>
      </c>
      <c r="AL9" s="20">
        <f>AL13*0.315765</f>
        <v/>
      </c>
      <c r="AM9" s="20">
        <f>AM13*0.315765</f>
        <v/>
      </c>
      <c r="AN9" s="20">
        <f>AN13*0.315765</f>
        <v/>
      </c>
      <c r="AO9" s="20">
        <f>AO13*0.315765</f>
        <v/>
      </c>
      <c r="AP9" s="20">
        <f>AP13*0.315765</f>
        <v/>
      </c>
      <c r="AQ9" s="20">
        <f>AQ13*0.315765</f>
        <v/>
      </c>
      <c r="AR9" s="20">
        <f>AR13*0.315765</f>
        <v/>
      </c>
      <c r="AS9" s="20">
        <f>AS13*0.315765</f>
        <v/>
      </c>
      <c r="AT9" s="20">
        <f>AT13*0.315765</f>
        <v/>
      </c>
      <c r="AU9" s="20">
        <f>AU13*0.315765</f>
        <v/>
      </c>
      <c r="AV9" s="20">
        <f>AV13*0.315765</f>
        <v/>
      </c>
      <c r="AW9" s="20">
        <f>AW13*0.315765</f>
        <v/>
      </c>
      <c r="AX9" s="20">
        <f>AX13*0.315765</f>
        <v/>
      </c>
      <c r="AY9" s="20">
        <f>AY13*0.315765</f>
        <v/>
      </c>
      <c r="BA9" s="288">
        <f>SUM(I9:T9)</f>
        <v/>
      </c>
      <c r="BB9" s="274">
        <f>BA9/$BA$21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320</v>
      </c>
      <c r="I10" s="19" t="n">
        <v>500</v>
      </c>
      <c r="J10" s="19" t="n">
        <v>2013.33</v>
      </c>
      <c r="K10" s="19" t="n">
        <v>600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600</v>
      </c>
      <c r="Q10" s="19" t="n">
        <v>0</v>
      </c>
      <c r="R10" s="19" t="n">
        <v>0</v>
      </c>
      <c r="S10" s="19" t="n">
        <v>0</v>
      </c>
      <c r="T10" s="83" t="n">
        <v>0</v>
      </c>
      <c r="U10" s="83" t="n">
        <v>0</v>
      </c>
      <c r="V10" s="83" t="n">
        <v>0</v>
      </c>
      <c r="W10" s="20">
        <f>W13*0.00275</f>
        <v/>
      </c>
      <c r="X10" s="20">
        <f>X13*0.00275</f>
        <v/>
      </c>
      <c r="Y10" s="20">
        <f>Y13*0.00275</f>
        <v/>
      </c>
      <c r="Z10" s="20">
        <f>Z13*0.00275</f>
        <v/>
      </c>
      <c r="AA10" s="20">
        <f>AA13*0.00275</f>
        <v/>
      </c>
      <c r="AB10" s="20">
        <f>AB13*0.00275</f>
        <v/>
      </c>
      <c r="AC10" s="20">
        <f>AC13*0.00275</f>
        <v/>
      </c>
      <c r="AD10" s="20">
        <f>AD13*0.00275</f>
        <v/>
      </c>
      <c r="AE10" s="20">
        <f>AE13*0.00275</f>
        <v/>
      </c>
      <c r="AF10" s="20">
        <f>AF13*0.00275</f>
        <v/>
      </c>
      <c r="AG10" s="20">
        <f>AG13*0.00275</f>
        <v/>
      </c>
      <c r="AH10" s="20">
        <f>AH13*0.00275</f>
        <v/>
      </c>
      <c r="AI10" s="20">
        <f>AI13*0.00275</f>
        <v/>
      </c>
      <c r="AJ10" s="20">
        <f>AJ13*0.00275</f>
        <v/>
      </c>
      <c r="AK10" s="20">
        <f>AK13*0.00275</f>
        <v/>
      </c>
      <c r="AL10" s="20">
        <f>AL13*0.00275</f>
        <v/>
      </c>
      <c r="AM10" s="20">
        <f>AM13*0.00275</f>
        <v/>
      </c>
      <c r="AN10" s="20">
        <f>AN13*0.00275</f>
        <v/>
      </c>
      <c r="AO10" s="20">
        <f>AO13*0.00275</f>
        <v/>
      </c>
      <c r="AP10" s="20">
        <f>AP13*0.00275</f>
        <v/>
      </c>
      <c r="AQ10" s="20">
        <f>AQ13*0.00275</f>
        <v/>
      </c>
      <c r="AR10" s="20">
        <f>AR13*0.00275</f>
        <v/>
      </c>
      <c r="AS10" s="20">
        <f>AS13*0.00275</f>
        <v/>
      </c>
      <c r="AT10" s="20">
        <f>AT13*0.00275</f>
        <v/>
      </c>
      <c r="AU10" s="20">
        <f>AU13*0.00275</f>
        <v/>
      </c>
      <c r="AV10" s="20">
        <f>AV13*0.00275</f>
        <v/>
      </c>
      <c r="AW10" s="20">
        <f>AW13*0.00275</f>
        <v/>
      </c>
      <c r="AX10" s="20">
        <f>AX13*0.00275</f>
        <v/>
      </c>
      <c r="AY10" s="20">
        <f>AY13*0.00275</f>
        <v/>
      </c>
      <c r="BA10" s="288">
        <f>SUM(I10:T10)</f>
        <v/>
      </c>
      <c r="BB10" s="274">
        <f>BA10/$BA$21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14</v>
      </c>
      <c r="O11" s="19" t="n">
        <v>0</v>
      </c>
      <c r="P11" s="19" t="n">
        <v>0</v>
      </c>
      <c r="Q11" s="19" t="n">
        <v>14</v>
      </c>
      <c r="R11" s="19" t="n">
        <v>75.33</v>
      </c>
      <c r="S11" s="19" t="n">
        <v>107.61</v>
      </c>
      <c r="T11" s="83" t="n">
        <v>182.4</v>
      </c>
      <c r="U11" s="83" t="n">
        <v>0</v>
      </c>
      <c r="V11" s="83" t="n">
        <v>11.8</v>
      </c>
      <c r="W11" s="20">
        <f>W13*0.000903</f>
        <v/>
      </c>
      <c r="X11" s="20">
        <f>X13*0.000903</f>
        <v/>
      </c>
      <c r="Y11" s="20">
        <f>Y13*0.000903</f>
        <v/>
      </c>
      <c r="Z11" s="20">
        <f>Z13*0.000903</f>
        <v/>
      </c>
      <c r="AA11" s="20">
        <f>AA13*0.000903</f>
        <v/>
      </c>
      <c r="AB11" s="20">
        <f>AB13*0.000903</f>
        <v/>
      </c>
      <c r="AC11" s="20">
        <f>AC13*0.000903</f>
        <v/>
      </c>
      <c r="AD11" s="20">
        <f>AD13*0.000903</f>
        <v/>
      </c>
      <c r="AE11" s="20">
        <f>AE13*0.000903</f>
        <v/>
      </c>
      <c r="AF11" s="20">
        <f>AF13*0.000903</f>
        <v/>
      </c>
      <c r="AG11" s="20">
        <f>AG13*0.000903</f>
        <v/>
      </c>
      <c r="AH11" s="20">
        <f>AH13*0.000903</f>
        <v/>
      </c>
      <c r="AI11" s="20">
        <f>AI13*0.000903</f>
        <v/>
      </c>
      <c r="AJ11" s="20">
        <f>AJ13*0.000903</f>
        <v/>
      </c>
      <c r="AK11" s="20">
        <f>AK13*0.000903</f>
        <v/>
      </c>
      <c r="AL11" s="20">
        <f>AL13*0.000903</f>
        <v/>
      </c>
      <c r="AM11" s="20">
        <f>AM13*0.000903</f>
        <v/>
      </c>
      <c r="AN11" s="20">
        <f>AN13*0.000903</f>
        <v/>
      </c>
      <c r="AO11" s="20">
        <f>AO13*0.000903</f>
        <v/>
      </c>
      <c r="AP11" s="20">
        <f>AP13*0.000903</f>
        <v/>
      </c>
      <c r="AQ11" s="20">
        <f>AQ13*0.000903</f>
        <v/>
      </c>
      <c r="AR11" s="20">
        <f>AR13*0.000903</f>
        <v/>
      </c>
      <c r="AS11" s="20">
        <f>AS13*0.000903</f>
        <v/>
      </c>
      <c r="AT11" s="20">
        <f>AT13*0.000903</f>
        <v/>
      </c>
      <c r="AU11" s="20">
        <f>AU13*0.000903</f>
        <v/>
      </c>
      <c r="AV11" s="20">
        <f>AV13*0.000903</f>
        <v/>
      </c>
      <c r="AW11" s="20">
        <f>AW13*0.000903</f>
        <v/>
      </c>
      <c r="AX11" s="20">
        <f>AX13*0.000903</f>
        <v/>
      </c>
      <c r="AY11" s="20">
        <f>AY13*0.000903</f>
        <v/>
      </c>
      <c r="BA11" s="288">
        <f>SUM(I11:T11)</f>
        <v/>
      </c>
      <c r="BB11" s="274">
        <f>BA11/$BA$21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27.82</v>
      </c>
      <c r="H12" s="19" t="n">
        <v>111.28</v>
      </c>
      <c r="I12" s="19" t="n">
        <v>166.92</v>
      </c>
      <c r="J12" s="19" t="n">
        <v>139.1</v>
      </c>
      <c r="K12" s="19" t="n">
        <v>139.1</v>
      </c>
      <c r="L12" s="19" t="n">
        <v>242.03</v>
      </c>
      <c r="M12" s="19" t="n">
        <v>158.57</v>
      </c>
      <c r="N12" s="19" t="n">
        <v>166.92</v>
      </c>
      <c r="O12" s="19" t="n">
        <v>139.1</v>
      </c>
      <c r="P12" s="19" t="n">
        <v>111.28</v>
      </c>
      <c r="Q12" s="19" t="n">
        <v>55.64</v>
      </c>
      <c r="R12" s="19" t="n">
        <v>278.2</v>
      </c>
      <c r="S12" s="19" t="n">
        <v>0</v>
      </c>
      <c r="T12" s="83" t="n">
        <v>83.45999999999999</v>
      </c>
      <c r="U12" s="83" t="n">
        <v>0</v>
      </c>
      <c r="V12" s="83" t="n">
        <v>55.64</v>
      </c>
      <c r="W12" s="20">
        <f>W13*0.00204</f>
        <v/>
      </c>
      <c r="X12" s="20">
        <f>X13*0.00204</f>
        <v/>
      </c>
      <c r="Y12" s="20">
        <f>Y13*0.00204</f>
        <v/>
      </c>
      <c r="Z12" s="20">
        <f>Z13*0.00204</f>
        <v/>
      </c>
      <c r="AA12" s="20">
        <f>AA13*0.00204</f>
        <v/>
      </c>
      <c r="AB12" s="20">
        <f>AB13*0.00204</f>
        <v/>
      </c>
      <c r="AC12" s="20">
        <f>AC13*0.00204</f>
        <v/>
      </c>
      <c r="AD12" s="20">
        <f>AD13*0.00204</f>
        <v/>
      </c>
      <c r="AE12" s="20">
        <f>AE13*0.00204</f>
        <v/>
      </c>
      <c r="AF12" s="20">
        <f>AF13*0.00204</f>
        <v/>
      </c>
      <c r="AG12" s="20">
        <f>AG13*0.00204</f>
        <v/>
      </c>
      <c r="AH12" s="20">
        <f>AH13*0.00204</f>
        <v/>
      </c>
      <c r="AI12" s="20">
        <f>AI13*0.00204</f>
        <v/>
      </c>
      <c r="AJ12" s="20">
        <f>AJ13*0.00204</f>
        <v/>
      </c>
      <c r="AK12" s="20">
        <f>AK13*0.00204</f>
        <v/>
      </c>
      <c r="AL12" s="20">
        <f>AL13*0.00204</f>
        <v/>
      </c>
      <c r="AM12" s="20">
        <f>AM13*0.00204</f>
        <v/>
      </c>
      <c r="AN12" s="20">
        <f>AN13*0.00204</f>
        <v/>
      </c>
      <c r="AO12" s="20">
        <f>AO13*0.00204</f>
        <v/>
      </c>
      <c r="AP12" s="20">
        <f>AP13*0.00204</f>
        <v/>
      </c>
      <c r="AQ12" s="20">
        <f>AQ13*0.00204</f>
        <v/>
      </c>
      <c r="AR12" s="20">
        <f>AR13*0.00204</f>
        <v/>
      </c>
      <c r="AS12" s="20">
        <f>AS13*0.00204</f>
        <v/>
      </c>
      <c r="AT12" s="20">
        <f>AT13*0.00204</f>
        <v/>
      </c>
      <c r="AU12" s="20">
        <f>AU13*0.00204</f>
        <v/>
      </c>
      <c r="AV12" s="20">
        <f>AV13*0.00204</f>
        <v/>
      </c>
      <c r="AW12" s="20">
        <f>AW13*0.00204</f>
        <v/>
      </c>
      <c r="AX12" s="20">
        <f>AX13*0.00204</f>
        <v/>
      </c>
      <c r="AY12" s="20">
        <f>AY13*0.00204</f>
        <v/>
      </c>
      <c r="BA12" s="288">
        <f>SUM(I12:T12)</f>
        <v/>
      </c>
      <c r="BB12" s="274">
        <f>BA12/$BA$21</f>
        <v/>
      </c>
    </row>
    <row r="13">
      <c r="B13" s="32" t="inlineStr">
        <is>
          <t>Total Sessions</t>
        </is>
      </c>
      <c r="C13" s="34" t="n"/>
      <c r="D13" s="35">
        <f>SUM(D7:D12)</f>
        <v/>
      </c>
      <c r="E13" s="35">
        <f>SUM(E7:E12)</f>
        <v/>
      </c>
      <c r="F13" s="35">
        <f>SUM(F7:F12)</f>
        <v/>
      </c>
      <c r="G13" s="35">
        <f>SUM(G7:G12)</f>
        <v/>
      </c>
      <c r="H13" s="35">
        <f>SUM(H7:H12)</f>
        <v/>
      </c>
      <c r="I13" s="35">
        <f>SUM(I7:I12)</f>
        <v/>
      </c>
      <c r="J13" s="35">
        <f>SUM(J7:J12)</f>
        <v/>
      </c>
      <c r="K13" s="35">
        <f>SUM(K7:K12)</f>
        <v/>
      </c>
      <c r="L13" s="35">
        <f>SUM(L7:L12)</f>
        <v/>
      </c>
      <c r="M13" s="35">
        <f>SUM(M7:M12)</f>
        <v/>
      </c>
      <c r="N13" s="35">
        <f>SUM(N7:N12)</f>
        <v/>
      </c>
      <c r="O13" s="35">
        <f>SUM(O7:O12)</f>
        <v/>
      </c>
      <c r="P13" s="35">
        <f>P7+P8+P9+P10+P11+P12</f>
        <v/>
      </c>
      <c r="Q13" s="35">
        <f>Q7+Q8+Q9+Q10+Q11+Q12</f>
        <v/>
      </c>
      <c r="R13" s="35">
        <f>R7+R8+R9+R10+R11+R12</f>
        <v/>
      </c>
      <c r="S13" s="35">
        <f>S7+S8+S9+S10+S11+S12</f>
        <v/>
      </c>
      <c r="T13" s="84">
        <f>T7+T8+T9+T10+T11+T12</f>
        <v/>
      </c>
      <c r="U13" s="84">
        <f>U7+U8+U9+U10+U11+U12</f>
        <v/>
      </c>
      <c r="V13" s="84">
        <f>V7+V8+V9+V10+V11+V12</f>
        <v/>
      </c>
      <c r="W13" s="17">
        <f>'Sales Forecast'!W11*Assumptions!$C$12+'Sales Forecast'!V11*Assumptions!$D$12+'Sales Forecast'!U11*Assumptions!$E$12+'Sales Forecast'!T11*Assumptions!$F$12+'Sales Forecast'!S11*Assumptions!$G$12+'Sales Forecast'!R11*Assumptions!$H$12+'Sales Forecast'!Q11*Assumptions!$I$12</f>
        <v/>
      </c>
      <c r="X13" s="17">
        <f>'Sales Forecast'!X11*Assumptions!$C$12+'Sales Forecast'!W11*Assumptions!$D$12+'Sales Forecast'!V11*Assumptions!$E$12+'Sales Forecast'!U11*Assumptions!$F$12+'Sales Forecast'!T11*Assumptions!$G$12+'Sales Forecast'!S11*Assumptions!$H$12+'Sales Forecast'!R11*Assumptions!$I$12</f>
        <v/>
      </c>
      <c r="Y13" s="17">
        <f>'Sales Forecast'!Y11*Assumptions!$C$12+'Sales Forecast'!X11*Assumptions!$D$12+'Sales Forecast'!W11*Assumptions!$E$12+'Sales Forecast'!V11*Assumptions!$F$12+'Sales Forecast'!U11*Assumptions!$G$12+'Sales Forecast'!T11*Assumptions!$H$12+'Sales Forecast'!S11*Assumptions!$I$12</f>
        <v/>
      </c>
      <c r="Z13" s="17">
        <f>'Sales Forecast'!Z11*Assumptions!$C$12+'Sales Forecast'!Y11*Assumptions!$D$12+'Sales Forecast'!X11*Assumptions!$E$12+'Sales Forecast'!W11*Assumptions!$F$12+'Sales Forecast'!V11*Assumptions!$G$12+'Sales Forecast'!U11*Assumptions!$H$12+'Sales Forecast'!T11*Assumptions!$I$12</f>
        <v/>
      </c>
      <c r="AA13" s="17">
        <f>'Sales Forecast'!AA11*Assumptions!$C$12+'Sales Forecast'!Z11*Assumptions!$D$12+'Sales Forecast'!Y11*Assumptions!$E$12+'Sales Forecast'!X11*Assumptions!$F$12+'Sales Forecast'!W11*Assumptions!$G$12+'Sales Forecast'!V11*Assumptions!$H$12+'Sales Forecast'!U11*Assumptions!$I$12</f>
        <v/>
      </c>
      <c r="AB13" s="17">
        <f>'Sales Forecast'!AB11*Assumptions!$C$12+'Sales Forecast'!AA11*Assumptions!$D$12+'Sales Forecast'!Z11*Assumptions!$E$12+'Sales Forecast'!Y11*Assumptions!$F$12+'Sales Forecast'!X11*Assumptions!$G$12+'Sales Forecast'!W11*Assumptions!$H$12+'Sales Forecast'!V11*Assumptions!$I$12</f>
        <v/>
      </c>
      <c r="AC13" s="17">
        <f>'Sales Forecast'!AC11*Assumptions!$C$12+'Sales Forecast'!AB11*Assumptions!$D$12+'Sales Forecast'!AA11*Assumptions!$E$12+'Sales Forecast'!Z11*Assumptions!$F$12+'Sales Forecast'!Y11*Assumptions!$G$12+'Sales Forecast'!X11*Assumptions!$H$12+'Sales Forecast'!W11*Assumptions!$I$12</f>
        <v/>
      </c>
      <c r="AD13" s="17">
        <f>'Sales Forecast'!AD11*Assumptions!$C$12+'Sales Forecast'!AC11*Assumptions!$D$12+'Sales Forecast'!AB11*Assumptions!$E$12+'Sales Forecast'!AA11*Assumptions!$F$12+'Sales Forecast'!Z11*Assumptions!$G$12+'Sales Forecast'!Y11*Assumptions!$H$12+'Sales Forecast'!X11*Assumptions!$I$12</f>
        <v/>
      </c>
      <c r="AE13" s="17">
        <f>'Sales Forecast'!AE11*Assumptions!$C$12+'Sales Forecast'!AD11*Assumptions!$D$12+'Sales Forecast'!AC11*Assumptions!$E$12+'Sales Forecast'!AB11*Assumptions!$F$12+'Sales Forecast'!AA11*Assumptions!$G$12+'Sales Forecast'!Z11*Assumptions!$H$12+'Sales Forecast'!Y11*Assumptions!$I$12</f>
        <v/>
      </c>
      <c r="AF13" s="17">
        <f>'Sales Forecast'!AF11*Assumptions!$C$12+'Sales Forecast'!AE11*Assumptions!$D$12+'Sales Forecast'!AD11*Assumptions!$E$12+'Sales Forecast'!AC11*Assumptions!$F$12+'Sales Forecast'!AB11*Assumptions!$G$12+'Sales Forecast'!AA11*Assumptions!$H$12+'Sales Forecast'!Z11*Assumptions!$I$12</f>
        <v/>
      </c>
      <c r="AG13" s="17">
        <f>'Sales Forecast'!AG11*Assumptions!$C$12+'Sales Forecast'!AF11*Assumptions!$D$12+'Sales Forecast'!AE11*Assumptions!$E$12+'Sales Forecast'!AD11*Assumptions!$F$12+'Sales Forecast'!AC11*Assumptions!$G$12+'Sales Forecast'!AB11*Assumptions!$H$12+'Sales Forecast'!AA11*Assumptions!$I$12</f>
        <v/>
      </c>
      <c r="AH13" s="17">
        <f>'Sales Forecast'!AH11*Assumptions!$C$12+'Sales Forecast'!AG11*Assumptions!$D$12+'Sales Forecast'!AF11*Assumptions!$E$12+'Sales Forecast'!AE11*Assumptions!$F$12+'Sales Forecast'!AD11*Assumptions!$G$12+'Sales Forecast'!AC11*Assumptions!$H$12+'Sales Forecast'!AB11*Assumptions!$I$12</f>
        <v/>
      </c>
      <c r="AI13" s="17">
        <f>'Sales Forecast'!AI11*Assumptions!$C$12+'Sales Forecast'!AH11*Assumptions!$D$12+'Sales Forecast'!AG11*Assumptions!$E$12+'Sales Forecast'!AF11*Assumptions!$F$12+'Sales Forecast'!AE11*Assumptions!$G$12+'Sales Forecast'!AD11*Assumptions!$H$12+'Sales Forecast'!AC11*Assumptions!$I$12</f>
        <v/>
      </c>
      <c r="AJ13" s="17">
        <f>'Sales Forecast'!AJ11*Assumptions!$C$12+'Sales Forecast'!AI11*Assumptions!$D$12+'Sales Forecast'!AH11*Assumptions!$E$12+'Sales Forecast'!AG11*Assumptions!$F$12+'Sales Forecast'!AF11*Assumptions!$G$12+'Sales Forecast'!AE11*Assumptions!$H$12+'Sales Forecast'!AD11*Assumptions!$I$12</f>
        <v/>
      </c>
      <c r="AK13" s="17">
        <f>'Sales Forecast'!AK11*Assumptions!$C$12+'Sales Forecast'!AJ11*Assumptions!$D$12+'Sales Forecast'!AI11*Assumptions!$E$12+'Sales Forecast'!AH11*Assumptions!$F$12+'Sales Forecast'!AG11*Assumptions!$G$12+'Sales Forecast'!AF11*Assumptions!$H$12+'Sales Forecast'!AE11*Assumptions!$I$12</f>
        <v/>
      </c>
      <c r="AL13" s="17">
        <f>'Sales Forecast'!AL11*Assumptions!$C$12+'Sales Forecast'!AK11*Assumptions!$D$12+'Sales Forecast'!AJ11*Assumptions!$E$12+'Sales Forecast'!AI11*Assumptions!$F$12+'Sales Forecast'!AH11*Assumptions!$G$12+'Sales Forecast'!AG11*Assumptions!$H$12+'Sales Forecast'!AF11*Assumptions!$I$12</f>
        <v/>
      </c>
      <c r="AM13" s="17">
        <f>'Sales Forecast'!AM11*Assumptions!$C$12+'Sales Forecast'!AL11*Assumptions!$D$12+'Sales Forecast'!AK11*Assumptions!$E$12+'Sales Forecast'!AJ11*Assumptions!$F$12+'Sales Forecast'!AI11*Assumptions!$G$12+'Sales Forecast'!AH11*Assumptions!$H$12+'Sales Forecast'!AG11*Assumptions!$I$12</f>
        <v/>
      </c>
      <c r="AN13" s="17">
        <f>'Sales Forecast'!AN11*Assumptions!$C$12+'Sales Forecast'!AM11*Assumptions!$D$12+'Sales Forecast'!AL11*Assumptions!$E$12+'Sales Forecast'!AK11*Assumptions!$F$12+'Sales Forecast'!AJ11*Assumptions!$G$12+'Sales Forecast'!AI11*Assumptions!$H$12+'Sales Forecast'!AH11*Assumptions!$I$12</f>
        <v/>
      </c>
      <c r="AO13" s="17">
        <f>'Sales Forecast'!AO11*Assumptions!$C$12+'Sales Forecast'!AN11*Assumptions!$D$12+'Sales Forecast'!AM11*Assumptions!$E$12+'Sales Forecast'!AL11*Assumptions!$F$12+'Sales Forecast'!AK11*Assumptions!$G$12+'Sales Forecast'!AJ11*Assumptions!$H$12+'Sales Forecast'!AI11*Assumptions!$I$12</f>
        <v/>
      </c>
      <c r="AP13" s="17">
        <f>'Sales Forecast'!AP11*Assumptions!$C$12+'Sales Forecast'!AO11*Assumptions!$D$12+'Sales Forecast'!AN11*Assumptions!$E$12+'Sales Forecast'!AM11*Assumptions!$F$12+'Sales Forecast'!AL11*Assumptions!$G$12+'Sales Forecast'!AK11*Assumptions!$H$12+'Sales Forecast'!AJ11*Assumptions!$I$12</f>
        <v/>
      </c>
      <c r="AQ13" s="17">
        <f>'Sales Forecast'!AQ11*Assumptions!$C$12+'Sales Forecast'!AP11*Assumptions!$D$12+'Sales Forecast'!AO11*Assumptions!$E$12+'Sales Forecast'!AN11*Assumptions!$F$12+'Sales Forecast'!AM11*Assumptions!$G$12+'Sales Forecast'!AL11*Assumptions!$H$12+'Sales Forecast'!AK11*Assumptions!$I$12</f>
        <v/>
      </c>
      <c r="AR13" s="17">
        <f>'Sales Forecast'!AR11*Assumptions!$C$12+'Sales Forecast'!AQ11*Assumptions!$D$12+'Sales Forecast'!AP11*Assumptions!$E$12+'Sales Forecast'!AO11*Assumptions!$F$12+'Sales Forecast'!AN11*Assumptions!$G$12+'Sales Forecast'!AM11*Assumptions!$H$12+'Sales Forecast'!AL11*Assumptions!$I$12</f>
        <v/>
      </c>
      <c r="AS13" s="17">
        <f>'Sales Forecast'!AS11*Assumptions!$C$12+'Sales Forecast'!AR11*Assumptions!$D$12+'Sales Forecast'!AQ11*Assumptions!$E$12+'Sales Forecast'!AP11*Assumptions!$F$12+'Sales Forecast'!AO11*Assumptions!$G$12+'Sales Forecast'!AN11*Assumptions!$H$12+'Sales Forecast'!AM11*Assumptions!$I$12</f>
        <v/>
      </c>
      <c r="AT13" s="17">
        <f>'Sales Forecast'!AT11*Assumptions!$C$12+'Sales Forecast'!AS11*Assumptions!$D$12+'Sales Forecast'!AR11*Assumptions!$E$12+'Sales Forecast'!AQ11*Assumptions!$F$12+'Sales Forecast'!AP11*Assumptions!$G$12+'Sales Forecast'!AO11*Assumptions!$H$12+'Sales Forecast'!AN11*Assumptions!$I$12</f>
        <v/>
      </c>
      <c r="AU13" s="17">
        <f>'Sales Forecast'!AU11*Assumptions!$C$12+'Sales Forecast'!AT11*Assumptions!$D$12+'Sales Forecast'!AS11*Assumptions!$E$12+'Sales Forecast'!AR11*Assumptions!$F$12+'Sales Forecast'!AQ11*Assumptions!$G$12+'Sales Forecast'!AP11*Assumptions!$H$12+'Sales Forecast'!AO11*Assumptions!$I$12</f>
        <v/>
      </c>
      <c r="AV13" s="17">
        <f>'Sales Forecast'!AV11*Assumptions!$C$12+'Sales Forecast'!AU11*Assumptions!$D$12+'Sales Forecast'!AT11*Assumptions!$E$12+'Sales Forecast'!AS11*Assumptions!$F$12+'Sales Forecast'!AR11*Assumptions!$G$12+'Sales Forecast'!AQ11*Assumptions!$H$12+'Sales Forecast'!AP11*Assumptions!$I$12</f>
        <v/>
      </c>
      <c r="AW13" s="17">
        <f>'Sales Forecast'!AW11*Assumptions!$C$12+'Sales Forecast'!AV11*Assumptions!$D$12+'Sales Forecast'!AU11*Assumptions!$E$12+'Sales Forecast'!AT11*Assumptions!$F$12+'Sales Forecast'!AS11*Assumptions!$G$12+'Sales Forecast'!AR11*Assumptions!$H$12+'Sales Forecast'!AQ11*Assumptions!$I$12</f>
        <v/>
      </c>
      <c r="AX13" s="17">
        <f>'Sales Forecast'!AX11*Assumptions!$C$12+'Sales Forecast'!AW11*Assumptions!$D$12+'Sales Forecast'!AV11*Assumptions!$E$12+'Sales Forecast'!AU11*Assumptions!$F$12+'Sales Forecast'!AT11*Assumptions!$G$12+'Sales Forecast'!AS11*Assumptions!$H$12+'Sales Forecast'!AR11*Assumptions!$I$12</f>
        <v/>
      </c>
      <c r="AY13" s="17">
        <f>'Sales Forecast'!AY11*Assumptions!$C$12+'Sales Forecast'!AX11*Assumptions!$D$12+'Sales Forecast'!AW11*Assumptions!$E$12+'Sales Forecast'!AV11*Assumptions!$F$12+'Sales Forecast'!AU11*Assumptions!$G$12+'Sales Forecast'!AT11*Assumptions!$H$12+'Sales Forecast'!AS11*Assumptions!$I$12</f>
        <v/>
      </c>
      <c r="BA13" s="288" t="n"/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99</v>
      </c>
      <c r="H14" s="19" t="n">
        <v>3800.92</v>
      </c>
      <c r="I14" s="19" t="n">
        <v>4451.12</v>
      </c>
      <c r="J14" s="19" t="n">
        <v>6788.27</v>
      </c>
      <c r="K14" s="19" t="n">
        <v>9331.309999999999</v>
      </c>
      <c r="L14" s="19" t="n">
        <v>7508.05</v>
      </c>
      <c r="M14" s="19" t="n">
        <v>8204.91</v>
      </c>
      <c r="N14" s="19" t="n">
        <v>8263.42</v>
      </c>
      <c r="O14" s="19" t="n">
        <v>13964.62</v>
      </c>
      <c r="P14" s="19" t="n">
        <v>9500.950000000001</v>
      </c>
      <c r="Q14" s="19" t="n">
        <v>7536.03</v>
      </c>
      <c r="R14" s="19" t="n">
        <v>6801.83</v>
      </c>
      <c r="S14" s="19" t="n">
        <v>6492.85</v>
      </c>
      <c r="T14" s="83" t="n">
        <v>10977.55</v>
      </c>
      <c r="U14" s="83" t="n">
        <v>5807.4</v>
      </c>
      <c r="V14" s="83" t="n">
        <v>7139.6</v>
      </c>
      <c r="W14" s="20">
        <f>W17*0.934564</f>
        <v/>
      </c>
      <c r="X14" s="20">
        <f>X17*0.934564</f>
        <v/>
      </c>
      <c r="Y14" s="20">
        <f>Y17*0.934564</f>
        <v/>
      </c>
      <c r="Z14" s="20">
        <f>Z17*0.934564</f>
        <v/>
      </c>
      <c r="AA14" s="20">
        <f>AA17*0.934564</f>
        <v/>
      </c>
      <c r="AB14" s="20">
        <f>AB17*0.934564</f>
        <v/>
      </c>
      <c r="AC14" s="20">
        <f>AC17*0.934564</f>
        <v/>
      </c>
      <c r="AD14" s="20">
        <f>AD17*0.934564</f>
        <v/>
      </c>
      <c r="AE14" s="20">
        <f>AE17*0.934564</f>
        <v/>
      </c>
      <c r="AF14" s="20">
        <f>AF17*0.934564</f>
        <v/>
      </c>
      <c r="AG14" s="20">
        <f>AG17*0.934564</f>
        <v/>
      </c>
      <c r="AH14" s="20">
        <f>AH17*0.934564</f>
        <v/>
      </c>
      <c r="AI14" s="20">
        <f>AI17*0.934564</f>
        <v/>
      </c>
      <c r="AJ14" s="20">
        <f>AJ17*0.934564</f>
        <v/>
      </c>
      <c r="AK14" s="20">
        <f>AK17*0.934564</f>
        <v/>
      </c>
      <c r="AL14" s="20">
        <f>AL17*0.934564</f>
        <v/>
      </c>
      <c r="AM14" s="20">
        <f>AM17*0.934564</f>
        <v/>
      </c>
      <c r="AN14" s="20">
        <f>AN17*0.934564</f>
        <v/>
      </c>
      <c r="AO14" s="20">
        <f>AO17*0.934564</f>
        <v/>
      </c>
      <c r="AP14" s="20">
        <f>AP17*0.934564</f>
        <v/>
      </c>
      <c r="AQ14" s="20">
        <f>AQ17*0.934564</f>
        <v/>
      </c>
      <c r="AR14" s="20">
        <f>AR17*0.934564</f>
        <v/>
      </c>
      <c r="AS14" s="20">
        <f>AS17*0.934564</f>
        <v/>
      </c>
      <c r="AT14" s="20">
        <f>AT17*0.934564</f>
        <v/>
      </c>
      <c r="AU14" s="20">
        <f>AU17*0.934564</f>
        <v/>
      </c>
      <c r="AV14" s="20">
        <f>AV17*0.934564</f>
        <v/>
      </c>
      <c r="AW14" s="20">
        <f>AW17*0.934564</f>
        <v/>
      </c>
      <c r="AX14" s="20">
        <f>AX17*0.934564</f>
        <v/>
      </c>
      <c r="AY14" s="20">
        <f>AY17*0.934564</f>
        <v/>
      </c>
      <c r="BA14" s="288">
        <f>SUM(I14:T14)</f>
        <v/>
      </c>
      <c r="BB14" s="274">
        <f>BA14/$BA$21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510</v>
      </c>
      <c r="I15" s="19" t="n">
        <v>1460</v>
      </c>
      <c r="J15" s="19" t="n">
        <v>620</v>
      </c>
      <c r="K15" s="19" t="n">
        <v>380</v>
      </c>
      <c r="L15" s="19" t="n">
        <v>1003.13</v>
      </c>
      <c r="M15" s="19" t="n">
        <v>1730</v>
      </c>
      <c r="N15" s="19" t="n">
        <v>2243.96</v>
      </c>
      <c r="O15" s="19" t="n">
        <v>2610</v>
      </c>
      <c r="P15" s="19" t="n">
        <v>220</v>
      </c>
      <c r="Q15" s="19" t="n">
        <v>93.12</v>
      </c>
      <c r="R15" s="19" t="n">
        <v>1195</v>
      </c>
      <c r="S15" s="19" t="n">
        <v>615.63</v>
      </c>
      <c r="T15" s="83" t="n">
        <v>534.38</v>
      </c>
      <c r="U15" s="83" t="n">
        <v>300</v>
      </c>
      <c r="V15" s="83" t="n">
        <v>1198</v>
      </c>
      <c r="W15" s="20">
        <f>W17*0.065436</f>
        <v/>
      </c>
      <c r="X15" s="20">
        <f>X17*0.065436</f>
        <v/>
      </c>
      <c r="Y15" s="20">
        <f>Y17*0.065436</f>
        <v/>
      </c>
      <c r="Z15" s="20">
        <f>Z17*0.065436</f>
        <v/>
      </c>
      <c r="AA15" s="20">
        <f>AA17*0.065436</f>
        <v/>
      </c>
      <c r="AB15" s="20">
        <f>AB17*0.065436</f>
        <v/>
      </c>
      <c r="AC15" s="20">
        <f>AC17*0.065436</f>
        <v/>
      </c>
      <c r="AD15" s="20">
        <f>AD17*0.065436</f>
        <v/>
      </c>
      <c r="AE15" s="20">
        <f>AE17*0.065436</f>
        <v/>
      </c>
      <c r="AF15" s="20">
        <f>AF17*0.065436</f>
        <v/>
      </c>
      <c r="AG15" s="20">
        <f>AG17*0.065436</f>
        <v/>
      </c>
      <c r="AH15" s="20">
        <f>AH17*0.065436</f>
        <v/>
      </c>
      <c r="AI15" s="20">
        <f>AI17*0.065436</f>
        <v/>
      </c>
      <c r="AJ15" s="20">
        <f>AJ17*0.065436</f>
        <v/>
      </c>
      <c r="AK15" s="20">
        <f>AK17*0.065436</f>
        <v/>
      </c>
      <c r="AL15" s="20">
        <f>AL17*0.065436</f>
        <v/>
      </c>
      <c r="AM15" s="20">
        <f>AM17*0.065436</f>
        <v/>
      </c>
      <c r="AN15" s="20">
        <f>AN17*0.065436</f>
        <v/>
      </c>
      <c r="AO15" s="20">
        <f>AO17*0.065436</f>
        <v/>
      </c>
      <c r="AP15" s="20">
        <f>AP17*0.065436</f>
        <v/>
      </c>
      <c r="AQ15" s="20">
        <f>AQ17*0.065436</f>
        <v/>
      </c>
      <c r="AR15" s="20">
        <f>AR17*0.065436</f>
        <v/>
      </c>
      <c r="AS15" s="20">
        <f>AS17*0.065436</f>
        <v/>
      </c>
      <c r="AT15" s="20">
        <f>AT17*0.065436</f>
        <v/>
      </c>
      <c r="AU15" s="20">
        <f>AU17*0.065436</f>
        <v/>
      </c>
      <c r="AV15" s="20">
        <f>AV17*0.065436</f>
        <v/>
      </c>
      <c r="AW15" s="20">
        <f>AW17*0.065436</f>
        <v/>
      </c>
      <c r="AX15" s="20">
        <f>AX17*0.065436</f>
        <v/>
      </c>
      <c r="AY15" s="20">
        <f>AY17*0.065436</f>
        <v/>
      </c>
      <c r="BA15" s="288">
        <f>SUM(I15:T15)</f>
        <v/>
      </c>
      <c r="BB15" s="274">
        <f>BA15/$BA$21</f>
        <v/>
      </c>
    </row>
    <row r="16">
      <c r="B16" s="33" t="inlineStr">
        <is>
          <t>403004 Other Breakage (incl MTT Breakage)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666.67</v>
      </c>
      <c r="P16" s="19" t="n">
        <v>0</v>
      </c>
      <c r="Q16" s="19" t="n">
        <v>0</v>
      </c>
      <c r="R16" s="19" t="n">
        <v>0</v>
      </c>
      <c r="S16" s="19" t="n">
        <v>0</v>
      </c>
      <c r="T16" s="83" t="n">
        <v>0</v>
      </c>
      <c r="U16" s="83" t="n">
        <v>0</v>
      </c>
      <c r="V16" s="83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  <c r="BA16" s="288">
        <f>SUM(I16:T16)</f>
        <v/>
      </c>
      <c r="BB16" s="274">
        <f>BA16/$BA$21</f>
        <v/>
      </c>
    </row>
    <row r="17">
      <c r="B17" s="32" t="inlineStr">
        <is>
          <t>Total Breakage Revenue</t>
        </is>
      </c>
      <c r="C17" s="34" t="n"/>
      <c r="D17" s="35">
        <f>SUM(D14:D16)</f>
        <v/>
      </c>
      <c r="E17" s="35">
        <f>SUM(E14:E16)</f>
        <v/>
      </c>
      <c r="F17" s="35">
        <f>SUM(F14:F16)</f>
        <v/>
      </c>
      <c r="G17" s="35">
        <f>SUM(G14:G16)</f>
        <v/>
      </c>
      <c r="H17" s="35">
        <f>SUM(H14:H16)</f>
        <v/>
      </c>
      <c r="I17" s="35">
        <f>SUM(I14:I16)</f>
        <v/>
      </c>
      <c r="J17" s="35">
        <f>SUM(J14:J16)</f>
        <v/>
      </c>
      <c r="K17" s="35">
        <f>SUM(K14:K16)</f>
        <v/>
      </c>
      <c r="L17" s="35">
        <f>SUM(L14:L16)</f>
        <v/>
      </c>
      <c r="M17" s="35">
        <f>SUM(M14:M16)</f>
        <v/>
      </c>
      <c r="N17" s="35">
        <f>SUM(N14:N16)</f>
        <v/>
      </c>
      <c r="O17" s="35">
        <f>SUM(O14:O16)</f>
        <v/>
      </c>
      <c r="P17" s="35">
        <f>P14+P15+P16</f>
        <v/>
      </c>
      <c r="Q17" s="35">
        <f>Q14+Q15+Q16</f>
        <v/>
      </c>
      <c r="R17" s="35">
        <f>R14+R15+R16</f>
        <v/>
      </c>
      <c r="S17" s="35">
        <f>S14+S15+S16</f>
        <v/>
      </c>
      <c r="T17" s="84">
        <f>T14+T15+T16</f>
        <v/>
      </c>
      <c r="U17" s="84">
        <f>U14+U15+U16</f>
        <v/>
      </c>
      <c r="V17" s="84">
        <f>V14+V15+V16</f>
        <v/>
      </c>
      <c r="W17" s="17">
        <f>'Sales Forecast'!W11*Assumptions!$C$13+'Sales Forecast'!V11*Assumptions!$D$13+'Sales Forecast'!U11*Assumptions!$E$13+'Sales Forecast'!T11*Assumptions!$F$13+'Sales Forecast'!S11*Assumptions!$G$13+'Sales Forecast'!R11*Assumptions!$H$13+'Sales Forecast'!Q11*Assumptions!$I$13</f>
        <v/>
      </c>
      <c r="X17" s="17">
        <f>'Sales Forecast'!X11*Assumptions!$C$13+'Sales Forecast'!W11*Assumptions!$D$13+'Sales Forecast'!V11*Assumptions!$E$13+'Sales Forecast'!U11*Assumptions!$F$13+'Sales Forecast'!T11*Assumptions!$G$13+'Sales Forecast'!S11*Assumptions!$H$13+'Sales Forecast'!R11*Assumptions!$I$13</f>
        <v/>
      </c>
      <c r="Y17" s="17">
        <f>'Sales Forecast'!Y11*Assumptions!$C$13+'Sales Forecast'!X11*Assumptions!$D$13+'Sales Forecast'!W11*Assumptions!$E$13+'Sales Forecast'!V11*Assumptions!$F$13+'Sales Forecast'!U11*Assumptions!$G$13+'Sales Forecast'!T11*Assumptions!$H$13+'Sales Forecast'!S11*Assumptions!$I$13</f>
        <v/>
      </c>
      <c r="Z17" s="17">
        <f>'Sales Forecast'!Z11*Assumptions!$C$13+'Sales Forecast'!Y11*Assumptions!$D$13+'Sales Forecast'!X11*Assumptions!$E$13+'Sales Forecast'!W11*Assumptions!$F$13+'Sales Forecast'!V11*Assumptions!$G$13+'Sales Forecast'!U11*Assumptions!$H$13+'Sales Forecast'!T11*Assumptions!$I$13</f>
        <v/>
      </c>
      <c r="AA17" s="17">
        <f>'Sales Forecast'!AA11*Assumptions!$C$13+'Sales Forecast'!Z11*Assumptions!$D$13+'Sales Forecast'!Y11*Assumptions!$E$13+'Sales Forecast'!X11*Assumptions!$F$13+'Sales Forecast'!W11*Assumptions!$G$13+'Sales Forecast'!V11*Assumptions!$H$13+'Sales Forecast'!U11*Assumptions!$I$13</f>
        <v/>
      </c>
      <c r="AB17" s="17">
        <f>'Sales Forecast'!AB11*Assumptions!$C$13+'Sales Forecast'!AA11*Assumptions!$D$13+'Sales Forecast'!Z11*Assumptions!$E$13+'Sales Forecast'!Y11*Assumptions!$F$13+'Sales Forecast'!X11*Assumptions!$G$13+'Sales Forecast'!W11*Assumptions!$H$13+'Sales Forecast'!V11*Assumptions!$I$13</f>
        <v/>
      </c>
      <c r="AC17" s="17">
        <f>'Sales Forecast'!AC11*Assumptions!$C$13+'Sales Forecast'!AB11*Assumptions!$D$13+'Sales Forecast'!AA11*Assumptions!$E$13+'Sales Forecast'!Z11*Assumptions!$F$13+'Sales Forecast'!Y11*Assumptions!$G$13+'Sales Forecast'!X11*Assumptions!$H$13+'Sales Forecast'!W11*Assumptions!$I$13</f>
        <v/>
      </c>
      <c r="AD17" s="17">
        <f>'Sales Forecast'!AD11*Assumptions!$C$13+'Sales Forecast'!AC11*Assumptions!$D$13+'Sales Forecast'!AB11*Assumptions!$E$13+'Sales Forecast'!AA11*Assumptions!$F$13+'Sales Forecast'!Z11*Assumptions!$G$13+'Sales Forecast'!Y11*Assumptions!$H$13+'Sales Forecast'!X11*Assumptions!$I$13</f>
        <v/>
      </c>
      <c r="AE17" s="17">
        <f>'Sales Forecast'!AE11*Assumptions!$C$13+'Sales Forecast'!AD11*Assumptions!$D$13+'Sales Forecast'!AC11*Assumptions!$E$13+'Sales Forecast'!AB11*Assumptions!$F$13+'Sales Forecast'!AA11*Assumptions!$G$13+'Sales Forecast'!Z11*Assumptions!$H$13+'Sales Forecast'!Y11*Assumptions!$I$13</f>
        <v/>
      </c>
      <c r="AF17" s="17">
        <f>'Sales Forecast'!AF11*Assumptions!$C$13+'Sales Forecast'!AE11*Assumptions!$D$13+'Sales Forecast'!AD11*Assumptions!$E$13+'Sales Forecast'!AC11*Assumptions!$F$13+'Sales Forecast'!AB11*Assumptions!$G$13+'Sales Forecast'!AA11*Assumptions!$H$13+'Sales Forecast'!Z11*Assumptions!$I$13</f>
        <v/>
      </c>
      <c r="AG17" s="17">
        <f>'Sales Forecast'!AG11*Assumptions!$C$13+'Sales Forecast'!AF11*Assumptions!$D$13+'Sales Forecast'!AE11*Assumptions!$E$13+'Sales Forecast'!AD11*Assumptions!$F$13+'Sales Forecast'!AC11*Assumptions!$G$13+'Sales Forecast'!AB11*Assumptions!$H$13+'Sales Forecast'!AA11*Assumptions!$I$13</f>
        <v/>
      </c>
      <c r="AH17" s="17">
        <f>'Sales Forecast'!AH11*Assumptions!$C$13+'Sales Forecast'!AG11*Assumptions!$D$13+'Sales Forecast'!AF11*Assumptions!$E$13+'Sales Forecast'!AE11*Assumptions!$F$13+'Sales Forecast'!AD11*Assumptions!$G$13+'Sales Forecast'!AC11*Assumptions!$H$13+'Sales Forecast'!AB11*Assumptions!$I$13</f>
        <v/>
      </c>
      <c r="AI17" s="17">
        <f>'Sales Forecast'!AI11*Assumptions!$C$13+'Sales Forecast'!AH11*Assumptions!$D$13+'Sales Forecast'!AG11*Assumptions!$E$13+'Sales Forecast'!AF11*Assumptions!$F$13+'Sales Forecast'!AE11*Assumptions!$G$13+'Sales Forecast'!AD11*Assumptions!$H$13+'Sales Forecast'!AC11*Assumptions!$I$13</f>
        <v/>
      </c>
      <c r="AJ17" s="17">
        <f>'Sales Forecast'!AJ11*Assumptions!$C$13+'Sales Forecast'!AI11*Assumptions!$D$13+'Sales Forecast'!AH11*Assumptions!$E$13+'Sales Forecast'!AG11*Assumptions!$F$13+'Sales Forecast'!AF11*Assumptions!$G$13+'Sales Forecast'!AE11*Assumptions!$H$13+'Sales Forecast'!AD11*Assumptions!$I$13</f>
        <v/>
      </c>
      <c r="AK17" s="17">
        <f>'Sales Forecast'!AK11*Assumptions!$C$13+'Sales Forecast'!AJ11*Assumptions!$D$13+'Sales Forecast'!AI11*Assumptions!$E$13+'Sales Forecast'!AH11*Assumptions!$F$13+'Sales Forecast'!AG11*Assumptions!$G$13+'Sales Forecast'!AF11*Assumptions!$H$13+'Sales Forecast'!AE11*Assumptions!$I$13</f>
        <v/>
      </c>
      <c r="AL17" s="17">
        <f>'Sales Forecast'!AL11*Assumptions!$C$13+'Sales Forecast'!AK11*Assumptions!$D$13+'Sales Forecast'!AJ11*Assumptions!$E$13+'Sales Forecast'!AI11*Assumptions!$F$13+'Sales Forecast'!AH11*Assumptions!$G$13+'Sales Forecast'!AG11*Assumptions!$H$13+'Sales Forecast'!AF11*Assumptions!$I$13</f>
        <v/>
      </c>
      <c r="AM17" s="17">
        <f>'Sales Forecast'!AM11*Assumptions!$C$13+'Sales Forecast'!AL11*Assumptions!$D$13+'Sales Forecast'!AK11*Assumptions!$E$13+'Sales Forecast'!AJ11*Assumptions!$F$13+'Sales Forecast'!AI11*Assumptions!$G$13+'Sales Forecast'!AH11*Assumptions!$H$13+'Sales Forecast'!AG11*Assumptions!$I$13</f>
        <v/>
      </c>
      <c r="AN17" s="17">
        <f>'Sales Forecast'!AN11*Assumptions!$C$13+'Sales Forecast'!AM11*Assumptions!$D$13+'Sales Forecast'!AL11*Assumptions!$E$13+'Sales Forecast'!AK11*Assumptions!$F$13+'Sales Forecast'!AJ11*Assumptions!$G$13+'Sales Forecast'!AI11*Assumptions!$H$13+'Sales Forecast'!AH11*Assumptions!$I$13</f>
        <v/>
      </c>
      <c r="AO17" s="17">
        <f>'Sales Forecast'!AO11*Assumptions!$C$13+'Sales Forecast'!AN11*Assumptions!$D$13+'Sales Forecast'!AM11*Assumptions!$E$13+'Sales Forecast'!AL11*Assumptions!$F$13+'Sales Forecast'!AK11*Assumptions!$G$13+'Sales Forecast'!AJ11*Assumptions!$H$13+'Sales Forecast'!AI11*Assumptions!$I$13</f>
        <v/>
      </c>
      <c r="AP17" s="17">
        <f>'Sales Forecast'!AP11*Assumptions!$C$13+'Sales Forecast'!AO11*Assumptions!$D$13+'Sales Forecast'!AN11*Assumptions!$E$13+'Sales Forecast'!AM11*Assumptions!$F$13+'Sales Forecast'!AL11*Assumptions!$G$13+'Sales Forecast'!AK11*Assumptions!$H$13+'Sales Forecast'!AJ11*Assumptions!$I$13</f>
        <v/>
      </c>
      <c r="AQ17" s="17">
        <f>'Sales Forecast'!AQ11*Assumptions!$C$13+'Sales Forecast'!AP11*Assumptions!$D$13+'Sales Forecast'!AO11*Assumptions!$E$13+'Sales Forecast'!AN11*Assumptions!$F$13+'Sales Forecast'!AM11*Assumptions!$G$13+'Sales Forecast'!AL11*Assumptions!$H$13+'Sales Forecast'!AK11*Assumptions!$I$13</f>
        <v/>
      </c>
      <c r="AR17" s="17">
        <f>'Sales Forecast'!AR11*Assumptions!$C$13+'Sales Forecast'!AQ11*Assumptions!$D$13+'Sales Forecast'!AP11*Assumptions!$E$13+'Sales Forecast'!AO11*Assumptions!$F$13+'Sales Forecast'!AN11*Assumptions!$G$13+'Sales Forecast'!AM11*Assumptions!$H$13+'Sales Forecast'!AL11*Assumptions!$I$13</f>
        <v/>
      </c>
      <c r="AS17" s="17">
        <f>'Sales Forecast'!AS11*Assumptions!$C$13+'Sales Forecast'!AR11*Assumptions!$D$13+'Sales Forecast'!AQ11*Assumptions!$E$13+'Sales Forecast'!AP11*Assumptions!$F$13+'Sales Forecast'!AO11*Assumptions!$G$13+'Sales Forecast'!AN11*Assumptions!$H$13+'Sales Forecast'!AM11*Assumptions!$I$13</f>
        <v/>
      </c>
      <c r="AT17" s="17">
        <f>'Sales Forecast'!AT11*Assumptions!$C$13+'Sales Forecast'!AS11*Assumptions!$D$13+'Sales Forecast'!AR11*Assumptions!$E$13+'Sales Forecast'!AQ11*Assumptions!$F$13+'Sales Forecast'!AP11*Assumptions!$G$13+'Sales Forecast'!AO11*Assumptions!$H$13+'Sales Forecast'!AN11*Assumptions!$I$13</f>
        <v/>
      </c>
      <c r="AU17" s="17">
        <f>'Sales Forecast'!AU11*Assumptions!$C$13+'Sales Forecast'!AT11*Assumptions!$D$13+'Sales Forecast'!AS11*Assumptions!$E$13+'Sales Forecast'!AR11*Assumptions!$F$13+'Sales Forecast'!AQ11*Assumptions!$G$13+'Sales Forecast'!AP11*Assumptions!$H$13+'Sales Forecast'!AO11*Assumptions!$I$13</f>
        <v/>
      </c>
      <c r="AV17" s="17">
        <f>'Sales Forecast'!AV11*Assumptions!$C$13+'Sales Forecast'!AU11*Assumptions!$D$13+'Sales Forecast'!AT11*Assumptions!$E$13+'Sales Forecast'!AS11*Assumptions!$F$13+'Sales Forecast'!AR11*Assumptions!$G$13+'Sales Forecast'!AQ11*Assumptions!$H$13+'Sales Forecast'!AP11*Assumptions!$I$13</f>
        <v/>
      </c>
      <c r="AW17" s="17">
        <f>'Sales Forecast'!AW11*Assumptions!$C$13+'Sales Forecast'!AV11*Assumptions!$D$13+'Sales Forecast'!AU11*Assumptions!$E$13+'Sales Forecast'!AT11*Assumptions!$F$13+'Sales Forecast'!AS11*Assumptions!$G$13+'Sales Forecast'!AR11*Assumptions!$H$13+'Sales Forecast'!AQ11*Assumptions!$I$13</f>
        <v/>
      </c>
      <c r="AX17" s="17">
        <f>'Sales Forecast'!AX11*Assumptions!$C$13+'Sales Forecast'!AW11*Assumptions!$D$13+'Sales Forecast'!AV11*Assumptions!$E$13+'Sales Forecast'!AU11*Assumptions!$F$13+'Sales Forecast'!AT11*Assumptions!$G$13+'Sales Forecast'!AS11*Assumptions!$H$13+'Sales Forecast'!AR11*Assumptions!$I$13</f>
        <v/>
      </c>
      <c r="AY17" s="17">
        <f>'Sales Forecast'!AY11*Assumptions!$C$13+'Sales Forecast'!AX11*Assumptions!$D$13+'Sales Forecast'!AW11*Assumptions!$E$13+'Sales Forecast'!AV11*Assumptions!$F$13+'Sales Forecast'!AU11*Assumptions!$G$13+'Sales Forecast'!AT11*Assumptions!$H$13+'Sales Forecast'!AS11*Assumptions!$I$13</f>
        <v/>
      </c>
      <c r="BA17" s="288" t="n"/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2130</v>
      </c>
      <c r="H18" s="19" t="n">
        <v>2650</v>
      </c>
      <c r="I18" s="19" t="n">
        <v>2234</v>
      </c>
      <c r="J18" s="19" t="n">
        <v>2434</v>
      </c>
      <c r="K18" s="19" t="n">
        <v>2400</v>
      </c>
      <c r="L18" s="19" t="n">
        <v>1329</v>
      </c>
      <c r="M18" s="19" t="n">
        <v>1182</v>
      </c>
      <c r="N18" s="19" t="n">
        <v>2195</v>
      </c>
      <c r="O18" s="19" t="n">
        <v>1262</v>
      </c>
      <c r="P18" s="19" t="n">
        <v>1443</v>
      </c>
      <c r="Q18" s="19" t="n">
        <v>1360</v>
      </c>
      <c r="R18" s="19" t="n">
        <v>1184</v>
      </c>
      <c r="S18" s="19" t="n">
        <v>994</v>
      </c>
      <c r="T18" s="83" t="n">
        <v>1714</v>
      </c>
      <c r="U18" s="83" t="n">
        <v>1367</v>
      </c>
      <c r="V18" s="83" t="n">
        <v>1853</v>
      </c>
      <c r="W18" s="20">
        <f>1245.25</f>
        <v/>
      </c>
      <c r="X18" s="20">
        <f>1245.25</f>
        <v/>
      </c>
      <c r="Y18" s="20">
        <f>1245.25</f>
        <v/>
      </c>
      <c r="Z18" s="20">
        <f>1245.25</f>
        <v/>
      </c>
      <c r="AA18" s="20">
        <f>1245.25</f>
        <v/>
      </c>
      <c r="AB18" s="20">
        <f>1245.25</f>
        <v/>
      </c>
      <c r="AC18" s="20">
        <f>1245.25</f>
        <v/>
      </c>
      <c r="AD18" s="20">
        <f>1245.25</f>
        <v/>
      </c>
      <c r="AE18" s="20">
        <f>1245.25</f>
        <v/>
      </c>
      <c r="AF18" s="20">
        <f>1245.25</f>
        <v/>
      </c>
      <c r="AG18" s="20">
        <f>1245.25</f>
        <v/>
      </c>
      <c r="AH18" s="20">
        <f>1245.25</f>
        <v/>
      </c>
      <c r="AI18" s="20">
        <f>1245.25</f>
        <v/>
      </c>
      <c r="AJ18" s="20">
        <f>1245.25</f>
        <v/>
      </c>
      <c r="AK18" s="20">
        <f>1245.25</f>
        <v/>
      </c>
      <c r="AL18" s="20">
        <f>1245.25</f>
        <v/>
      </c>
      <c r="AM18" s="20">
        <f>1245.25</f>
        <v/>
      </c>
      <c r="AN18" s="20">
        <f>1245.25</f>
        <v/>
      </c>
      <c r="AO18" s="20">
        <f>1245.25</f>
        <v/>
      </c>
      <c r="AP18" s="20">
        <f>1245.25</f>
        <v/>
      </c>
      <c r="AQ18" s="20">
        <f>1245.25</f>
        <v/>
      </c>
      <c r="AR18" s="20">
        <f>1245.25</f>
        <v/>
      </c>
      <c r="AS18" s="20">
        <f>1245.25</f>
        <v/>
      </c>
      <c r="AT18" s="20">
        <f>1245.25</f>
        <v/>
      </c>
      <c r="AU18" s="20">
        <f>1245.25</f>
        <v/>
      </c>
      <c r="AV18" s="20">
        <f>1245.25</f>
        <v/>
      </c>
      <c r="AW18" s="20">
        <f>1245.25</f>
        <v/>
      </c>
      <c r="AX18" s="20">
        <f>1245.25</f>
        <v/>
      </c>
      <c r="AY18" s="20">
        <f>1245.25</f>
        <v/>
      </c>
      <c r="BA18" s="288">
        <f>SUM(I18:T18)</f>
        <v/>
      </c>
      <c r="BB18" s="274">
        <f>BA18/$BA$21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-219.01</v>
      </c>
      <c r="I19" s="19" t="n">
        <v>-846</v>
      </c>
      <c r="J19" s="19" t="n">
        <v>-697</v>
      </c>
      <c r="K19" s="19" t="n">
        <v>0</v>
      </c>
      <c r="L19" s="19" t="n">
        <v>-245.01</v>
      </c>
      <c r="M19" s="19" t="n">
        <v>-509</v>
      </c>
      <c r="N19" s="19" t="n">
        <v>-1612</v>
      </c>
      <c r="O19" s="19" t="n">
        <v>-1447.21</v>
      </c>
      <c r="P19" s="19" t="n">
        <v>-897.45</v>
      </c>
      <c r="Q19" s="19" t="n">
        <v>-875</v>
      </c>
      <c r="R19" s="19" t="n">
        <v>-1683.6</v>
      </c>
      <c r="S19" s="19" t="n">
        <v>-2190</v>
      </c>
      <c r="T19" s="19" t="n">
        <v>-160</v>
      </c>
      <c r="U19" s="19" t="n">
        <v>-192</v>
      </c>
      <c r="V19" s="19" t="n">
        <v>-550</v>
      </c>
      <c r="W19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Forecast'!Q11*Assumptions!$I$13+1245.25)*Assumptions!$C$17</f>
        <v/>
      </c>
      <c r="X19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Forecast'!R11*Assumptions!$I$13+1245.25)*Assumptions!$C$17</f>
        <v/>
      </c>
      <c r="Y19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Forecast'!S11*Assumptions!$I$13+1245.25)*Assumptions!$C$17</f>
        <v/>
      </c>
      <c r="Z19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Forecast'!T11*Assumptions!$I$13+1245.25)*Assumptions!$C$17</f>
        <v/>
      </c>
      <c r="AA19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Forecast'!U11*Assumptions!$I$13+1245.25)*Assumptions!$C$17</f>
        <v/>
      </c>
      <c r="AB19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Forecast'!V11*Assumptions!$I$13+1245.25)*Assumptions!$C$17</f>
        <v/>
      </c>
      <c r="AC19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Forecast'!W11*Assumptions!$I$13+1245.25)*Assumptions!$C$17</f>
        <v/>
      </c>
      <c r="AD19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Forecast'!X11*Assumptions!$I$13+1245.25)*Assumptions!$C$17</f>
        <v/>
      </c>
      <c r="AE19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Forecast'!Y11*Assumptions!$I$13+1245.25)*Assumptions!$C$17</f>
        <v/>
      </c>
      <c r="AF19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Forecast'!Z11*Assumptions!$I$13+1245.25)*Assumptions!$C$17</f>
        <v/>
      </c>
      <c r="AG19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Forecast'!AA11*Assumptions!$I$13+1245.25)*Assumptions!$C$17</f>
        <v/>
      </c>
      <c r="AH19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Forecast'!AB11*Assumptions!$I$13+1245.25)*Assumptions!$C$17</f>
        <v/>
      </c>
      <c r="AI19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Forecast'!AC11*Assumptions!$I$13+1245.25)*Assumptions!$C$17</f>
        <v/>
      </c>
      <c r="AJ19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Forecast'!AD11*Assumptions!$I$13+1245.25)*Assumptions!$C$17</f>
        <v/>
      </c>
      <c r="AK19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Forecast'!AE11*Assumptions!$I$13+1245.25)*Assumptions!$C$17</f>
        <v/>
      </c>
      <c r="AL19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Forecast'!AF11*Assumptions!$I$13+1245.25)*Assumptions!$C$17</f>
        <v/>
      </c>
      <c r="AM19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Forecast'!AG11*Assumptions!$I$13+1245.25)*Assumptions!$C$17</f>
        <v/>
      </c>
      <c r="AN19" s="20">
        <f>('Sales Forecast'!AN11*Assumptions!$C$12+'Sales Forecast'!AM11*Assumptions!$D$12+'Sales Forecast'!AL11*Assumptions!$E$12+'Sales Forecast'!AK11*Assumptions!$F$12+'Sales Forecast'!AJ11*Assumptions!$G$12+'Sales Forecast'!AI11*Assumptions!$H$12+'Sales Forecast'!AH11*Assumptions!$I$12+'Sales Forecast'!AN11*Assumptions!$C$13+'Sales Forecast'!AM11*Assumptions!$D$13+'Sales Forecast'!AL11*Assumptions!$E$13+'Sales Forecast'!AK11*Assumptions!$F$13+'Sales Forecast'!AJ11*Assumptions!$G$13+'Sales Forecast'!AI11*Assumptions!$H$13+'Sales Forecast'!AH11*Assumptions!$I$13+1245.25)*Assumptions!$C$17</f>
        <v/>
      </c>
      <c r="AO19" s="20">
        <f>('Sales Forecast'!AO11*Assumptions!$C$12+'Sales Forecast'!AN11*Assumptions!$D$12+'Sales Forecast'!AM11*Assumptions!$E$12+'Sales Forecast'!AL11*Assumptions!$F$12+'Sales Forecast'!AK11*Assumptions!$G$12+'Sales Forecast'!AJ11*Assumptions!$H$12+'Sales Forecast'!AI11*Assumptions!$I$12+'Sales Forecast'!AO11*Assumptions!$C$13+'Sales Forecast'!AN11*Assumptions!$D$13+'Sales Forecast'!AM11*Assumptions!$E$13+'Sales Forecast'!AL11*Assumptions!$F$13+'Sales Forecast'!AK11*Assumptions!$G$13+'Sales Forecast'!AJ11*Assumptions!$H$13+'Sales Forecast'!AI11*Assumptions!$I$13+1245.25)*Assumptions!$C$17</f>
        <v/>
      </c>
      <c r="AP19" s="20">
        <f>('Sales Forecast'!AP11*Assumptions!$C$12+'Sales Forecast'!AO11*Assumptions!$D$12+'Sales Forecast'!AN11*Assumptions!$E$12+'Sales Forecast'!AM11*Assumptions!$F$12+'Sales Forecast'!AL11*Assumptions!$G$12+'Sales Forecast'!AK11*Assumptions!$H$12+'Sales Forecast'!AJ11*Assumptions!$I$12+'Sales Forecast'!AP11*Assumptions!$C$13+'Sales Forecast'!AO11*Assumptions!$D$13+'Sales Forecast'!AN11*Assumptions!$E$13+'Sales Forecast'!AM11*Assumptions!$F$13+'Sales Forecast'!AL11*Assumptions!$G$13+'Sales Forecast'!AK11*Assumptions!$H$13+'Sales Forecast'!AJ11*Assumptions!$I$13+1245.25)*Assumptions!$C$17</f>
        <v/>
      </c>
      <c r="AQ19" s="20">
        <f>('Sales Forecast'!AQ11*Assumptions!$C$12+'Sales Forecast'!AP11*Assumptions!$D$12+'Sales Forecast'!AO11*Assumptions!$E$12+'Sales Forecast'!AN11*Assumptions!$F$12+'Sales Forecast'!AM11*Assumptions!$G$12+'Sales Forecast'!AL11*Assumptions!$H$12+'Sales Forecast'!AK11*Assumptions!$I$12+'Sales Forecast'!AQ11*Assumptions!$C$13+'Sales Forecast'!AP11*Assumptions!$D$13+'Sales Forecast'!AO11*Assumptions!$E$13+'Sales Forecast'!AN11*Assumptions!$F$13+'Sales Forecast'!AM11*Assumptions!$G$13+'Sales Forecast'!AL11*Assumptions!$H$13+'Sales Forecast'!AK11*Assumptions!$I$13+1245.25)*Assumptions!$C$17</f>
        <v/>
      </c>
      <c r="AR19" s="20">
        <f>('Sales Forecast'!AR11*Assumptions!$C$12+'Sales Forecast'!AQ11*Assumptions!$D$12+'Sales Forecast'!AP11*Assumptions!$E$12+'Sales Forecast'!AO11*Assumptions!$F$12+'Sales Forecast'!AN11*Assumptions!$G$12+'Sales Forecast'!AM11*Assumptions!$H$12+'Sales Forecast'!AL11*Assumptions!$I$12+'Sales Forecast'!AR11*Assumptions!$C$13+'Sales Forecast'!AQ11*Assumptions!$D$13+'Sales Forecast'!AP11*Assumptions!$E$13+'Sales Forecast'!AO11*Assumptions!$F$13+'Sales Forecast'!AN11*Assumptions!$G$13+'Sales Forecast'!AM11*Assumptions!$H$13+'Sales Forecast'!AL11*Assumptions!$I$13+1245.25)*Assumptions!$C$17</f>
        <v/>
      </c>
      <c r="AS19" s="20">
        <f>('Sales Forecast'!AS11*Assumptions!$C$12+'Sales Forecast'!AR11*Assumptions!$D$12+'Sales Forecast'!AQ11*Assumptions!$E$12+'Sales Forecast'!AP11*Assumptions!$F$12+'Sales Forecast'!AO11*Assumptions!$G$12+'Sales Forecast'!AN11*Assumptions!$H$12+'Sales Forecast'!AM11*Assumptions!$I$12+'Sales Forecast'!AS11*Assumptions!$C$13+'Sales Forecast'!AR11*Assumptions!$D$13+'Sales Forecast'!AQ11*Assumptions!$E$13+'Sales Forecast'!AP11*Assumptions!$F$13+'Sales Forecast'!AO11*Assumptions!$G$13+'Sales Forecast'!AN11*Assumptions!$H$13+'Sales Forecast'!AM11*Assumptions!$I$13+1245.25)*Assumptions!$C$17</f>
        <v/>
      </c>
      <c r="AT19" s="20">
        <f>('Sales Forecast'!AT11*Assumptions!$C$12+'Sales Forecast'!AS11*Assumptions!$D$12+'Sales Forecast'!AR11*Assumptions!$E$12+'Sales Forecast'!AQ11*Assumptions!$F$12+'Sales Forecast'!AP11*Assumptions!$G$12+'Sales Forecast'!AO11*Assumptions!$H$12+'Sales Forecast'!AN11*Assumptions!$I$12+'Sales Forecast'!AT11*Assumptions!$C$13+'Sales Forecast'!AS11*Assumptions!$D$13+'Sales Forecast'!AR11*Assumptions!$E$13+'Sales Forecast'!AQ11*Assumptions!$F$13+'Sales Forecast'!AP11*Assumptions!$G$13+'Sales Forecast'!AO11*Assumptions!$H$13+'Sales Forecast'!AN11*Assumptions!$I$13+1245.25)*Assumptions!$C$17</f>
        <v/>
      </c>
      <c r="AU19" s="20">
        <f>('Sales Forecast'!AU11*Assumptions!$C$12+'Sales Forecast'!AT11*Assumptions!$D$12+'Sales Forecast'!AS11*Assumptions!$E$12+'Sales Forecast'!AR11*Assumptions!$F$12+'Sales Forecast'!AQ11*Assumptions!$G$12+'Sales Forecast'!AP11*Assumptions!$H$12+'Sales Forecast'!AO11*Assumptions!$I$12+'Sales Forecast'!AU11*Assumptions!$C$13+'Sales Forecast'!AT11*Assumptions!$D$13+'Sales Forecast'!AS11*Assumptions!$E$13+'Sales Forecast'!AR11*Assumptions!$F$13+'Sales Forecast'!AQ11*Assumptions!$G$13+'Sales Forecast'!AP11*Assumptions!$H$13+'Sales Forecast'!AO11*Assumptions!$I$13+1245.25)*Assumptions!$C$17</f>
        <v/>
      </c>
      <c r="AV19" s="20">
        <f>('Sales Forecast'!AV11*Assumptions!$C$12+'Sales Forecast'!AU11*Assumptions!$D$12+'Sales Forecast'!AT11*Assumptions!$E$12+'Sales Forecast'!AS11*Assumptions!$F$12+'Sales Forecast'!AR11*Assumptions!$G$12+'Sales Forecast'!AQ11*Assumptions!$H$12+'Sales Forecast'!AP11*Assumptions!$I$12+'Sales Forecast'!AV11*Assumptions!$C$13+'Sales Forecast'!AU11*Assumptions!$D$13+'Sales Forecast'!AT11*Assumptions!$E$13+'Sales Forecast'!AS11*Assumptions!$F$13+'Sales Forecast'!AR11*Assumptions!$G$13+'Sales Forecast'!AQ11*Assumptions!$H$13+'Sales Forecast'!AP11*Assumptions!$I$13+1245.25)*Assumptions!$C$17</f>
        <v/>
      </c>
      <c r="AW19" s="20">
        <f>('Sales Forecast'!AW11*Assumptions!$C$12+'Sales Forecast'!AV11*Assumptions!$D$12+'Sales Forecast'!AU11*Assumptions!$E$12+'Sales Forecast'!AT11*Assumptions!$F$12+'Sales Forecast'!AS11*Assumptions!$G$12+'Sales Forecast'!AR11*Assumptions!$H$12+'Sales Forecast'!AQ11*Assumptions!$I$12+'Sales Forecast'!AW11*Assumptions!$C$13+'Sales Forecast'!AV11*Assumptions!$D$13+'Sales Forecast'!AU11*Assumptions!$E$13+'Sales Forecast'!AT11*Assumptions!$F$13+'Sales Forecast'!AS11*Assumptions!$G$13+'Sales Forecast'!AR11*Assumptions!$H$13+'Sales Forecast'!AQ11*Assumptions!$I$13+1245.25)*Assumptions!$C$17</f>
        <v/>
      </c>
      <c r="AX19" s="20">
        <f>('Sales Forecast'!AX11*Assumptions!$C$12+'Sales Forecast'!AW11*Assumptions!$D$12+'Sales Forecast'!AV11*Assumptions!$E$12+'Sales Forecast'!AU11*Assumptions!$F$12+'Sales Forecast'!AT11*Assumptions!$G$12+'Sales Forecast'!AS11*Assumptions!$H$12+'Sales Forecast'!AR11*Assumptions!$I$12+'Sales Forecast'!AX11*Assumptions!$C$13+'Sales Forecast'!AW11*Assumptions!$D$13+'Sales Forecast'!AV11*Assumptions!$E$13+'Sales Forecast'!AU11*Assumptions!$F$13+'Sales Forecast'!AT11*Assumptions!$G$13+'Sales Forecast'!AS11*Assumptions!$H$13+'Sales Forecast'!AR11*Assumptions!$I$13+1245.25)*Assumptions!$C$17</f>
        <v/>
      </c>
      <c r="AY19" s="20">
        <f>('Sales Forecast'!AY11*Assumptions!$C$12+'Sales Forecast'!AX11*Assumptions!$D$12+'Sales Forecast'!AW11*Assumptions!$E$12+'Sales Forecast'!AV11*Assumptions!$F$12+'Sales Forecast'!AU11*Assumptions!$G$12+'Sales Forecast'!AT11*Assumptions!$H$12+'Sales Forecast'!AS11*Assumptions!$I$12+'Sales Forecast'!AY11*Assumptions!$C$13+'Sales Forecast'!AX11*Assumptions!$D$13+'Sales Forecast'!AW11*Assumptions!$E$13+'Sales Forecast'!AV11*Assumptions!$F$13+'Sales Forecast'!AU11*Assumptions!$G$13+'Sales Forecast'!AT11*Assumptions!$H$13+'Sales Forecast'!AS11*Assumptions!$I$13+1245.25)*Assumptions!$C$17</f>
        <v/>
      </c>
      <c r="BA19" s="288">
        <f>SUM(I19:T19)</f>
        <v/>
      </c>
      <c r="BB19" s="274">
        <f>BA19/$BA$21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-840</v>
      </c>
      <c r="G20" s="19" t="n">
        <v>-13162.85</v>
      </c>
      <c r="H20" s="19" t="n">
        <v>-11789.3</v>
      </c>
      <c r="I20" s="19" t="n">
        <v>-8132.8</v>
      </c>
      <c r="J20" s="19" t="n">
        <v>-11151</v>
      </c>
      <c r="K20" s="19" t="n">
        <v>-7268.6</v>
      </c>
      <c r="L20" s="19" t="n">
        <v>-4290.4</v>
      </c>
      <c r="M20" s="19" t="n">
        <v>-5537.9</v>
      </c>
      <c r="N20" s="19" t="n">
        <v>-5153.1</v>
      </c>
      <c r="O20" s="19" t="n">
        <v>-3651.5</v>
      </c>
      <c r="P20" s="19" t="n">
        <v>-3636.6</v>
      </c>
      <c r="Q20" s="19" t="n">
        <v>-4956.2</v>
      </c>
      <c r="R20" s="19" t="n">
        <v>-3425.7</v>
      </c>
      <c r="S20" s="19" t="n">
        <v>-8456.1</v>
      </c>
      <c r="T20" s="19" t="n">
        <v>-3538.4</v>
      </c>
      <c r="U20" s="19" t="n">
        <v>-3071.2</v>
      </c>
      <c r="V20" s="19" t="n">
        <v>-4544.45</v>
      </c>
      <c r="W20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Forecast'!Q11*Assumptions!$I$13+1245.25)*Assumptions!$C$18</f>
        <v/>
      </c>
      <c r="X20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Forecast'!R11*Assumptions!$I$13+1245.25)*Assumptions!$C$18</f>
        <v/>
      </c>
      <c r="Y20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Forecast'!S11*Assumptions!$I$13+1245.25)*Assumptions!$C$18</f>
        <v/>
      </c>
      <c r="Z20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Forecast'!T11*Assumptions!$I$13+1245.25)*Assumptions!$C$18</f>
        <v/>
      </c>
      <c r="AA20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Forecast'!U11*Assumptions!$I$13+1245.25)*Assumptions!$C$18</f>
        <v/>
      </c>
      <c r="AB20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Forecast'!V11*Assumptions!$I$13+1245.25)*Assumptions!$C$18</f>
        <v/>
      </c>
      <c r="AC20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Forecast'!W11*Assumptions!$I$13+1245.25)*Assumptions!$C$18</f>
        <v/>
      </c>
      <c r="AD20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Forecast'!X11*Assumptions!$I$13+1245.25)*Assumptions!$C$18</f>
        <v/>
      </c>
      <c r="AE20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Forecast'!Y11*Assumptions!$I$13+1245.25)*Assumptions!$C$18</f>
        <v/>
      </c>
      <c r="AF20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Forecast'!Z11*Assumptions!$I$13+1245.25)*Assumptions!$C$18</f>
        <v/>
      </c>
      <c r="AG20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Forecast'!AA11*Assumptions!$I$13+1245.25)*Assumptions!$C$18</f>
        <v/>
      </c>
      <c r="AH20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Forecast'!AB11*Assumptions!$I$13+1245.25)*Assumptions!$C$18</f>
        <v/>
      </c>
      <c r="AI20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Forecast'!AC11*Assumptions!$I$13+1245.25)*Assumptions!$C$18</f>
        <v/>
      </c>
      <c r="AJ20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Forecast'!AD11*Assumptions!$I$13+1245.25)*Assumptions!$C$18</f>
        <v/>
      </c>
      <c r="AK20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Forecast'!AE11*Assumptions!$I$13+1245.25)*Assumptions!$C$18</f>
        <v/>
      </c>
      <c r="AL20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Forecast'!AF11*Assumptions!$I$13+1245.25)*Assumptions!$C$18</f>
        <v/>
      </c>
      <c r="AM20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Forecast'!AG11*Assumptions!$I$13+1245.25)*Assumptions!$C$18</f>
        <v/>
      </c>
      <c r="AN20" s="20">
        <f>('Sales Forecast'!AN11*Assumptions!$C$12+'Sales Forecast'!AM11*Assumptions!$D$12+'Sales Forecast'!AL11*Assumptions!$E$12+'Sales Forecast'!AK11*Assumptions!$F$12+'Sales Forecast'!AJ11*Assumptions!$G$12+'Sales Forecast'!AI11*Assumptions!$H$12+'Sales Forecast'!AH11*Assumptions!$I$12+'Sales Forecast'!AN11*Assumptions!$C$13+'Sales Forecast'!AM11*Assumptions!$D$13+'Sales Forecast'!AL11*Assumptions!$E$13+'Sales Forecast'!AK11*Assumptions!$F$13+'Sales Forecast'!AJ11*Assumptions!$G$13+'Sales Forecast'!AI11*Assumptions!$H$13+'Sales Forecast'!AH11*Assumptions!$I$13+1245.25)*Assumptions!$C$18</f>
        <v/>
      </c>
      <c r="AO20" s="20">
        <f>('Sales Forecast'!AO11*Assumptions!$C$12+'Sales Forecast'!AN11*Assumptions!$D$12+'Sales Forecast'!AM11*Assumptions!$E$12+'Sales Forecast'!AL11*Assumptions!$F$12+'Sales Forecast'!AK11*Assumptions!$G$12+'Sales Forecast'!AJ11*Assumptions!$H$12+'Sales Forecast'!AI11*Assumptions!$I$12+'Sales Forecast'!AO11*Assumptions!$C$13+'Sales Forecast'!AN11*Assumptions!$D$13+'Sales Forecast'!AM11*Assumptions!$E$13+'Sales Forecast'!AL11*Assumptions!$F$13+'Sales Forecast'!AK11*Assumptions!$G$13+'Sales Forecast'!AJ11*Assumptions!$H$13+'Sales Forecast'!AI11*Assumptions!$I$13+1245.25)*Assumptions!$C$18</f>
        <v/>
      </c>
      <c r="AP20" s="20">
        <f>('Sales Forecast'!AP11*Assumptions!$C$12+'Sales Forecast'!AO11*Assumptions!$D$12+'Sales Forecast'!AN11*Assumptions!$E$12+'Sales Forecast'!AM11*Assumptions!$F$12+'Sales Forecast'!AL11*Assumptions!$G$12+'Sales Forecast'!AK11*Assumptions!$H$12+'Sales Forecast'!AJ11*Assumptions!$I$12+'Sales Forecast'!AP11*Assumptions!$C$13+'Sales Forecast'!AO11*Assumptions!$D$13+'Sales Forecast'!AN11*Assumptions!$E$13+'Sales Forecast'!AM11*Assumptions!$F$13+'Sales Forecast'!AL11*Assumptions!$G$13+'Sales Forecast'!AK11*Assumptions!$H$13+'Sales Forecast'!AJ11*Assumptions!$I$13+1245.25)*Assumptions!$C$18</f>
        <v/>
      </c>
      <c r="AQ20" s="20">
        <f>('Sales Forecast'!AQ11*Assumptions!$C$12+'Sales Forecast'!AP11*Assumptions!$D$12+'Sales Forecast'!AO11*Assumptions!$E$12+'Sales Forecast'!AN11*Assumptions!$F$12+'Sales Forecast'!AM11*Assumptions!$G$12+'Sales Forecast'!AL11*Assumptions!$H$12+'Sales Forecast'!AK11*Assumptions!$I$12+'Sales Forecast'!AQ11*Assumptions!$C$13+'Sales Forecast'!AP11*Assumptions!$D$13+'Sales Forecast'!AO11*Assumptions!$E$13+'Sales Forecast'!AN11*Assumptions!$F$13+'Sales Forecast'!AM11*Assumptions!$G$13+'Sales Forecast'!AL11*Assumptions!$H$13+'Sales Forecast'!AK11*Assumptions!$I$13+1245.25)*Assumptions!$C$18</f>
        <v/>
      </c>
      <c r="AR20" s="20">
        <f>('Sales Forecast'!AR11*Assumptions!$C$12+'Sales Forecast'!AQ11*Assumptions!$D$12+'Sales Forecast'!AP11*Assumptions!$E$12+'Sales Forecast'!AO11*Assumptions!$F$12+'Sales Forecast'!AN11*Assumptions!$G$12+'Sales Forecast'!AM11*Assumptions!$H$12+'Sales Forecast'!AL11*Assumptions!$I$12+'Sales Forecast'!AR11*Assumptions!$C$13+'Sales Forecast'!AQ11*Assumptions!$D$13+'Sales Forecast'!AP11*Assumptions!$E$13+'Sales Forecast'!AO11*Assumptions!$F$13+'Sales Forecast'!AN11*Assumptions!$G$13+'Sales Forecast'!AM11*Assumptions!$H$13+'Sales Forecast'!AL11*Assumptions!$I$13+1245.25)*Assumptions!$C$18</f>
        <v/>
      </c>
      <c r="AS20" s="20">
        <f>('Sales Forecast'!AS11*Assumptions!$C$12+'Sales Forecast'!AR11*Assumptions!$D$12+'Sales Forecast'!AQ11*Assumptions!$E$12+'Sales Forecast'!AP11*Assumptions!$F$12+'Sales Forecast'!AO11*Assumptions!$G$12+'Sales Forecast'!AN11*Assumptions!$H$12+'Sales Forecast'!AM11*Assumptions!$I$12+'Sales Forecast'!AS11*Assumptions!$C$13+'Sales Forecast'!AR11*Assumptions!$D$13+'Sales Forecast'!AQ11*Assumptions!$E$13+'Sales Forecast'!AP11*Assumptions!$F$13+'Sales Forecast'!AO11*Assumptions!$G$13+'Sales Forecast'!AN11*Assumptions!$H$13+'Sales Forecast'!AM11*Assumptions!$I$13+1245.25)*Assumptions!$C$18</f>
        <v/>
      </c>
      <c r="AT20" s="20">
        <f>('Sales Forecast'!AT11*Assumptions!$C$12+'Sales Forecast'!AS11*Assumptions!$D$12+'Sales Forecast'!AR11*Assumptions!$E$12+'Sales Forecast'!AQ11*Assumptions!$F$12+'Sales Forecast'!AP11*Assumptions!$G$12+'Sales Forecast'!AO11*Assumptions!$H$12+'Sales Forecast'!AN11*Assumptions!$I$12+'Sales Forecast'!AT11*Assumptions!$C$13+'Sales Forecast'!AS11*Assumptions!$D$13+'Sales Forecast'!AR11*Assumptions!$E$13+'Sales Forecast'!AQ11*Assumptions!$F$13+'Sales Forecast'!AP11*Assumptions!$G$13+'Sales Forecast'!AO11*Assumptions!$H$13+'Sales Forecast'!AN11*Assumptions!$I$13+1245.25)*Assumptions!$C$18</f>
        <v/>
      </c>
      <c r="AU20" s="20">
        <f>('Sales Forecast'!AU11*Assumptions!$C$12+'Sales Forecast'!AT11*Assumptions!$D$12+'Sales Forecast'!AS11*Assumptions!$E$12+'Sales Forecast'!AR11*Assumptions!$F$12+'Sales Forecast'!AQ11*Assumptions!$G$12+'Sales Forecast'!AP11*Assumptions!$H$12+'Sales Forecast'!AO11*Assumptions!$I$12+'Sales Forecast'!AU11*Assumptions!$C$13+'Sales Forecast'!AT11*Assumptions!$D$13+'Sales Forecast'!AS11*Assumptions!$E$13+'Sales Forecast'!AR11*Assumptions!$F$13+'Sales Forecast'!AQ11*Assumptions!$G$13+'Sales Forecast'!AP11*Assumptions!$H$13+'Sales Forecast'!AO11*Assumptions!$I$13+1245.25)*Assumptions!$C$18</f>
        <v/>
      </c>
      <c r="AV20" s="20">
        <f>('Sales Forecast'!AV11*Assumptions!$C$12+'Sales Forecast'!AU11*Assumptions!$D$12+'Sales Forecast'!AT11*Assumptions!$E$12+'Sales Forecast'!AS11*Assumptions!$F$12+'Sales Forecast'!AR11*Assumptions!$G$12+'Sales Forecast'!AQ11*Assumptions!$H$12+'Sales Forecast'!AP11*Assumptions!$I$12+'Sales Forecast'!AV11*Assumptions!$C$13+'Sales Forecast'!AU11*Assumptions!$D$13+'Sales Forecast'!AT11*Assumptions!$E$13+'Sales Forecast'!AS11*Assumptions!$F$13+'Sales Forecast'!AR11*Assumptions!$G$13+'Sales Forecast'!AQ11*Assumptions!$H$13+'Sales Forecast'!AP11*Assumptions!$I$13+1245.25)*Assumptions!$C$18</f>
        <v/>
      </c>
      <c r="AW20" s="20">
        <f>('Sales Forecast'!AW11*Assumptions!$C$12+'Sales Forecast'!AV11*Assumptions!$D$12+'Sales Forecast'!AU11*Assumptions!$E$12+'Sales Forecast'!AT11*Assumptions!$F$12+'Sales Forecast'!AS11*Assumptions!$G$12+'Sales Forecast'!AR11*Assumptions!$H$12+'Sales Forecast'!AQ11*Assumptions!$I$12+'Sales Forecast'!AW11*Assumptions!$C$13+'Sales Forecast'!AV11*Assumptions!$D$13+'Sales Forecast'!AU11*Assumptions!$E$13+'Sales Forecast'!AT11*Assumptions!$F$13+'Sales Forecast'!AS11*Assumptions!$G$13+'Sales Forecast'!AR11*Assumptions!$H$13+'Sales Forecast'!AQ11*Assumptions!$I$13+1245.25)*Assumptions!$C$18</f>
        <v/>
      </c>
      <c r="AX20" s="20">
        <f>('Sales Forecast'!AX11*Assumptions!$C$12+'Sales Forecast'!AW11*Assumptions!$D$12+'Sales Forecast'!AV11*Assumptions!$E$12+'Sales Forecast'!AU11*Assumptions!$F$12+'Sales Forecast'!AT11*Assumptions!$G$12+'Sales Forecast'!AS11*Assumptions!$H$12+'Sales Forecast'!AR11*Assumptions!$I$12+'Sales Forecast'!AX11*Assumptions!$C$13+'Sales Forecast'!AW11*Assumptions!$D$13+'Sales Forecast'!AV11*Assumptions!$E$13+'Sales Forecast'!AU11*Assumptions!$F$13+'Sales Forecast'!AT11*Assumptions!$G$13+'Sales Forecast'!AS11*Assumptions!$H$13+'Sales Forecast'!AR11*Assumptions!$I$13+1245.25)*Assumptions!$C$18</f>
        <v/>
      </c>
      <c r="AY20" s="20">
        <f>('Sales Forecast'!AY11*Assumptions!$C$12+'Sales Forecast'!AX11*Assumptions!$D$12+'Sales Forecast'!AW11*Assumptions!$E$12+'Sales Forecast'!AV11*Assumptions!$F$12+'Sales Forecast'!AU11*Assumptions!$G$12+'Sales Forecast'!AT11*Assumptions!$H$12+'Sales Forecast'!AS11*Assumptions!$I$12+'Sales Forecast'!AY11*Assumptions!$C$13+'Sales Forecast'!AX11*Assumptions!$D$13+'Sales Forecast'!AW11*Assumptions!$E$13+'Sales Forecast'!AV11*Assumptions!$F$13+'Sales Forecast'!AU11*Assumptions!$G$13+'Sales Forecast'!AT11*Assumptions!$H$13+'Sales Forecast'!AS11*Assumptions!$I$13+1245.25)*Assumptions!$C$18</f>
        <v/>
      </c>
      <c r="BA20" s="288">
        <f>SUM(I20:T20)</f>
        <v/>
      </c>
      <c r="BB20" s="274">
        <f>BA20/$BA$21</f>
        <v/>
      </c>
    </row>
    <row r="21">
      <c r="B21" s="32" t="inlineStr">
        <is>
          <t>TOTAL REVENUE</t>
        </is>
      </c>
      <c r="C21" s="34" t="n"/>
      <c r="D21" s="35" t="n">
        <v>0</v>
      </c>
      <c r="E21" s="35">
        <f>E13+E17+E18+E19+E20</f>
        <v/>
      </c>
      <c r="F21" s="35">
        <f>F13+F17+F18+F19+F20</f>
        <v/>
      </c>
      <c r="G21" s="35">
        <f>G13+G17+G18+G19+G20</f>
        <v/>
      </c>
      <c r="H21" s="35">
        <f>H13+H17+H18+H19+H20</f>
        <v/>
      </c>
      <c r="I21" s="35">
        <f>I13+I17+I18+I19+I20</f>
        <v/>
      </c>
      <c r="J21" s="35">
        <f>J13+J17+J18+J19+J20</f>
        <v/>
      </c>
      <c r="K21" s="35">
        <f>K13+K17+K18+K19+K20</f>
        <v/>
      </c>
      <c r="L21" s="35">
        <f>L13+L17+L18+L19+L20</f>
        <v/>
      </c>
      <c r="M21" s="35">
        <f>M13+M17+M18+M19+M20</f>
        <v/>
      </c>
      <c r="N21" s="35">
        <f>N13+N17+N18+N19+N20</f>
        <v/>
      </c>
      <c r="O21" s="35">
        <f>O13+O17+O18+O19+O20</f>
        <v/>
      </c>
      <c r="P21" s="35">
        <f>P13+P17+P18+P19+P20</f>
        <v/>
      </c>
      <c r="Q21" s="35">
        <f>Q13+Q17+Q18+Q19+Q20</f>
        <v/>
      </c>
      <c r="R21" s="35">
        <f>R13+R17+R18+R19+R20</f>
        <v/>
      </c>
      <c r="S21" s="35">
        <f>S13+S17+S18+S19+S20</f>
        <v/>
      </c>
      <c r="T21" s="35">
        <f>T13+T17+T18+T19+T20</f>
        <v/>
      </c>
      <c r="U21" s="35">
        <f>U13+U17+U18+U19+U20</f>
        <v/>
      </c>
      <c r="V21" s="35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  <c r="BA21" s="307">
        <f>SUM(I21:T21)</f>
        <v/>
      </c>
      <c r="BB21" s="276">
        <f>SUM(BB7:BB20)</f>
        <v/>
      </c>
    </row>
    <row r="22" ht="16" customHeight="1" s="28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>501000 Product Cost (incl Inventory Shrinkage)</t>
        </is>
      </c>
      <c r="D23" s="19" t="n">
        <v>0</v>
      </c>
      <c r="E23" s="19" t="n">
        <v>0</v>
      </c>
      <c r="F23" s="19" t="n">
        <v>0</v>
      </c>
      <c r="G23" s="19" t="n">
        <v>961</v>
      </c>
      <c r="H23" s="19" t="n">
        <v>1153.25</v>
      </c>
      <c r="I23" s="19" t="n">
        <v>855</v>
      </c>
      <c r="J23" s="19" t="n">
        <v>1077</v>
      </c>
      <c r="K23" s="19" t="n">
        <v>1059.75</v>
      </c>
      <c r="L23" s="19" t="n">
        <v>594.75</v>
      </c>
      <c r="M23" s="19" t="n">
        <v>540.5</v>
      </c>
      <c r="N23" s="19" t="n">
        <v>940</v>
      </c>
      <c r="O23" s="19" t="n">
        <v>2776.82</v>
      </c>
      <c r="P23" s="19" t="n">
        <v>677</v>
      </c>
      <c r="Q23" s="19" t="n">
        <v>658</v>
      </c>
      <c r="R23" s="19" t="n">
        <v>539.5</v>
      </c>
      <c r="S23" s="19" t="n">
        <v>447.5</v>
      </c>
      <c r="T23" s="83" t="n">
        <v>812</v>
      </c>
      <c r="U23" s="83" t="n">
        <v>636</v>
      </c>
      <c r="V23" s="83" t="n">
        <v>870</v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9.359999999999999</v>
      </c>
      <c r="G24" s="19" t="n">
        <v>724.24</v>
      </c>
      <c r="H24" s="19" t="n">
        <v>953.4</v>
      </c>
      <c r="I24" s="19" t="n">
        <v>1344.54</v>
      </c>
      <c r="J24" s="19" t="n">
        <v>1510.61</v>
      </c>
      <c r="K24" s="19" t="n">
        <v>1497.09</v>
      </c>
      <c r="L24" s="19" t="n">
        <v>1372.01</v>
      </c>
      <c r="M24" s="19" t="n">
        <v>1207.66</v>
      </c>
      <c r="N24" s="19" t="n">
        <v>1492.23</v>
      </c>
      <c r="O24" s="19" t="n">
        <v>1412.28</v>
      </c>
      <c r="P24" s="19" t="n">
        <v>1715.61</v>
      </c>
      <c r="Q24" s="19" t="n">
        <v>1406.78</v>
      </c>
      <c r="R24" s="19" t="n">
        <v>2075.29</v>
      </c>
      <c r="S24" s="19" t="n">
        <v>1857.48</v>
      </c>
      <c r="T24" s="83" t="n">
        <v>1479.56</v>
      </c>
      <c r="U24" s="83" t="n">
        <v>1367.3</v>
      </c>
      <c r="V24" s="83" t="n">
        <v>1404.33</v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>
        <f>SUM(D23:D24)</f>
        <v/>
      </c>
      <c r="E25" s="35">
        <f>SUM(E23:E24)</f>
        <v/>
      </c>
      <c r="F25" s="35">
        <f>SUM(F23:F24)</f>
        <v/>
      </c>
      <c r="G25" s="35">
        <f>SUM(G23:G24)</f>
        <v/>
      </c>
      <c r="H25" s="35">
        <f>SUM(H23:H24)</f>
        <v/>
      </c>
      <c r="I25" s="35">
        <f>SUM(I23:I24)</f>
        <v/>
      </c>
      <c r="J25" s="35">
        <f>SUM(J23:J24)</f>
        <v/>
      </c>
      <c r="K25" s="35">
        <f>SUM(K23:K24)</f>
        <v/>
      </c>
      <c r="L25" s="35">
        <f>SUM(L23:L24)</f>
        <v/>
      </c>
      <c r="M25" s="35">
        <f>SUM(M23:M24)</f>
        <v/>
      </c>
      <c r="N25" s="35">
        <f>SUM(N23:N24)</f>
        <v/>
      </c>
      <c r="O25" s="35">
        <f>SUM(O23:O24)</f>
        <v/>
      </c>
      <c r="P25" s="35">
        <f>P23+P24</f>
        <v/>
      </c>
      <c r="Q25" s="35">
        <f>Q23+Q24</f>
        <v/>
      </c>
      <c r="R25" s="35">
        <f>R23+R24</f>
        <v/>
      </c>
      <c r="S25" s="35">
        <f>S23+S24</f>
        <v/>
      </c>
      <c r="T25" s="84">
        <f>T23+T24</f>
        <v/>
      </c>
      <c r="U25" s="84">
        <f>U23+U24</f>
        <v/>
      </c>
      <c r="V25" s="84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>
        <f>D21-D25</f>
        <v/>
      </c>
      <c r="E26" s="35">
        <f>E21-E25</f>
        <v/>
      </c>
      <c r="F26" s="35">
        <f>F21-F25</f>
        <v/>
      </c>
      <c r="G26" s="35">
        <f>G21-G25</f>
        <v/>
      </c>
      <c r="H26" s="35">
        <f>H21-H25</f>
        <v/>
      </c>
      <c r="I26" s="35">
        <f>I21-I25</f>
        <v/>
      </c>
      <c r="J26" s="35">
        <f>J21-J25</f>
        <v/>
      </c>
      <c r="K26" s="35">
        <f>K21-K25</f>
        <v/>
      </c>
      <c r="L26" s="35">
        <f>L21-L25</f>
        <v/>
      </c>
      <c r="M26" s="35">
        <f>M21-M25</f>
        <v/>
      </c>
      <c r="N26" s="35">
        <f>N21-N25</f>
        <v/>
      </c>
      <c r="O26" s="35">
        <f>O21-O25</f>
        <v/>
      </c>
      <c r="P26" s="35">
        <f>P21-P25</f>
        <v/>
      </c>
      <c r="Q26" s="35">
        <f>Q21-Q25</f>
        <v/>
      </c>
      <c r="R26" s="35">
        <f>R21-R25</f>
        <v/>
      </c>
      <c r="S26" s="35">
        <f>S21-S25</f>
        <v/>
      </c>
      <c r="T26" s="84">
        <f>T21-T25</f>
        <v/>
      </c>
      <c r="U26" s="84">
        <f>U21-U25</f>
        <v/>
      </c>
      <c r="V26" s="84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" customHeight="1" s="28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1725.84</v>
      </c>
      <c r="G28" s="19" t="n">
        <v>2925.87</v>
      </c>
      <c r="H28" s="19" t="n">
        <v>1641.09</v>
      </c>
      <c r="I28" s="19" t="n">
        <v>5557.44</v>
      </c>
      <c r="J28" s="19" t="n">
        <v>3065.41</v>
      </c>
      <c r="K28" s="19" t="n">
        <v>4177.75</v>
      </c>
      <c r="L28" s="19" t="n">
        <v>2780.35</v>
      </c>
      <c r="M28" s="19" t="n">
        <v>2878.99</v>
      </c>
      <c r="N28" s="19" t="n">
        <v>3452.7</v>
      </c>
      <c r="O28" s="19" t="n">
        <v>2268.97</v>
      </c>
      <c r="P28" s="19" t="n">
        <v>2591.85</v>
      </c>
      <c r="Q28" s="19" t="n">
        <v>3470.63</v>
      </c>
      <c r="R28" s="19" t="n">
        <v>2384.28</v>
      </c>
      <c r="S28" s="19" t="n">
        <v>755.11</v>
      </c>
      <c r="T28" s="83" t="n">
        <v>747.4299999999999</v>
      </c>
      <c r="U28" s="83" t="n">
        <v>844.75</v>
      </c>
      <c r="V28" s="83" t="n">
        <v>753.25</v>
      </c>
      <c r="W28" s="20" t="n">
        <v>745.3</v>
      </c>
      <c r="X28" s="20" t="n">
        <v>745.3</v>
      </c>
      <c r="Y28" s="20" t="n">
        <v>745.3</v>
      </c>
      <c r="Z28" s="20" t="n">
        <v>745.3</v>
      </c>
      <c r="AA28" s="20" t="n">
        <v>745.3</v>
      </c>
      <c r="AB28" s="20" t="n">
        <v>745.3</v>
      </c>
      <c r="AC28" s="20" t="n">
        <v>745.3</v>
      </c>
      <c r="AD28" s="20" t="n">
        <v>745.3</v>
      </c>
      <c r="AE28" s="20" t="n">
        <v>745.3</v>
      </c>
      <c r="AF28" s="20" t="n">
        <v>745.3</v>
      </c>
      <c r="AG28" s="20" t="n">
        <v>745.3</v>
      </c>
      <c r="AH28" s="20" t="n">
        <v>745.3</v>
      </c>
      <c r="AI28" s="20" t="n">
        <v>745.3</v>
      </c>
      <c r="AJ28" s="20" t="n">
        <v>745.3</v>
      </c>
      <c r="AK28" s="20" t="n">
        <v>745.3</v>
      </c>
      <c r="AL28" s="20" t="n">
        <v>745.3</v>
      </c>
      <c r="AM28" s="20" t="n">
        <v>745.3</v>
      </c>
      <c r="AN28" s="20" t="n">
        <v>745.3</v>
      </c>
      <c r="AO28" s="20" t="n">
        <v>745.3</v>
      </c>
      <c r="AP28" s="20" t="n">
        <v>745.3</v>
      </c>
      <c r="AQ28" s="20" t="n">
        <v>745.3</v>
      </c>
      <c r="AR28" s="20" t="n">
        <v>745.3</v>
      </c>
      <c r="AS28" s="20" t="n">
        <v>745.3</v>
      </c>
      <c r="AT28" s="20" t="n">
        <v>745.3</v>
      </c>
      <c r="AU28" s="20" t="n">
        <v>745.3</v>
      </c>
      <c r="AV28" s="20" t="n">
        <v>745.3</v>
      </c>
      <c r="AW28" s="20" t="n">
        <v>745.3</v>
      </c>
      <c r="AX28" s="20" t="n">
        <v>745.3</v>
      </c>
      <c r="AY28" s="20" t="n">
        <v>745.3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0</v>
      </c>
      <c r="O29" s="19" t="n">
        <v>0</v>
      </c>
      <c r="P29" s="19" t="n">
        <v>0</v>
      </c>
      <c r="Q29" s="19" t="n">
        <v>0</v>
      </c>
      <c r="R29" s="19" t="n">
        <v>0</v>
      </c>
      <c r="S29" s="19" t="n">
        <v>0</v>
      </c>
      <c r="T29" s="83" t="n">
        <v>0</v>
      </c>
      <c r="U29" s="83" t="n">
        <v>0</v>
      </c>
      <c r="V29" s="83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>601006 General Marketing (incl Affiliate, PR, Trade Shows)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144.63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236.99</v>
      </c>
      <c r="P30" s="19" t="n">
        <v>0</v>
      </c>
      <c r="Q30" s="19" t="n">
        <v>0</v>
      </c>
      <c r="R30" s="19" t="n">
        <v>0</v>
      </c>
      <c r="S30" s="19" t="n">
        <v>0</v>
      </c>
      <c r="T30" s="83" t="n">
        <v>0</v>
      </c>
      <c r="U30" s="83" t="n">
        <v>165.83</v>
      </c>
      <c r="V30" s="83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  <c r="Q31" s="19" t="n">
        <v>0</v>
      </c>
      <c r="R31" s="19" t="n">
        <v>0</v>
      </c>
      <c r="S31" s="19" t="n">
        <v>0</v>
      </c>
      <c r="T31" s="83" t="n">
        <v>0</v>
      </c>
      <c r="U31" s="83" t="n">
        <v>0</v>
      </c>
      <c r="V31" s="83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83" t="n">
        <v>0</v>
      </c>
      <c r="U32" s="83" t="n">
        <v>0</v>
      </c>
      <c r="V32" s="83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>
        <f>SUM(D28:D32)</f>
        <v/>
      </c>
      <c r="E33" s="35">
        <f>SUM(E28:E32)</f>
        <v/>
      </c>
      <c r="F33" s="35">
        <f>SUM(F28:F32)</f>
        <v/>
      </c>
      <c r="G33" s="35">
        <f>SUM(G28:G32)</f>
        <v/>
      </c>
      <c r="H33" s="35">
        <f>SUM(H28:H32)</f>
        <v/>
      </c>
      <c r="I33" s="35">
        <f>SUM(I28:I32)</f>
        <v/>
      </c>
      <c r="J33" s="35">
        <f>SUM(J28:J32)</f>
        <v/>
      </c>
      <c r="K33" s="35">
        <f>SUM(K28:K32)</f>
        <v/>
      </c>
      <c r="L33" s="35">
        <f>SUM(L28:L32)</f>
        <v/>
      </c>
      <c r="M33" s="35">
        <f>SUM(M28:M32)</f>
        <v/>
      </c>
      <c r="N33" s="35">
        <f>SUM(N28:N32)</f>
        <v/>
      </c>
      <c r="O33" s="35">
        <f>SUM(O28:O32)</f>
        <v/>
      </c>
      <c r="P33" s="35">
        <f>P28+P29+P30+P31+P32</f>
        <v/>
      </c>
      <c r="Q33" s="35">
        <f>Q28+Q29+Q30+Q31+Q32</f>
        <v/>
      </c>
      <c r="R33" s="35">
        <f>R28+R29+R30+R31+R32</f>
        <v/>
      </c>
      <c r="S33" s="35">
        <f>S28+S29+S30+S31+S32</f>
        <v/>
      </c>
      <c r="T33" s="84">
        <f>T28+T29+T30+T31+T32</f>
        <v/>
      </c>
      <c r="U33" s="84">
        <f>U28+U29+U30+U31+U32</f>
        <v/>
      </c>
      <c r="V33" s="84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>602001 Wages (incl 1099 &amp; Bonus)</t>
        </is>
      </c>
      <c r="D34" s="19" t="n">
        <v>0</v>
      </c>
      <c r="E34" s="19" t="n">
        <v>2127.14</v>
      </c>
      <c r="F34" s="19" t="n">
        <v>6890.03</v>
      </c>
      <c r="G34" s="19" t="n">
        <v>26018.59</v>
      </c>
      <c r="H34" s="19" t="n">
        <v>39755.97</v>
      </c>
      <c r="I34" s="19" t="n">
        <v>40736.02</v>
      </c>
      <c r="J34" s="19" t="n">
        <v>43691.37</v>
      </c>
      <c r="K34" s="19" t="n">
        <v>42495.68</v>
      </c>
      <c r="L34" s="19" t="n">
        <v>39149.87</v>
      </c>
      <c r="M34" s="19" t="n">
        <v>38439.22</v>
      </c>
      <c r="N34" s="19" t="n">
        <v>35566.01</v>
      </c>
      <c r="O34" s="19" t="n">
        <v>33864.42</v>
      </c>
      <c r="P34" s="19" t="n">
        <v>35409.42</v>
      </c>
      <c r="Q34" s="19" t="n">
        <v>26156.73</v>
      </c>
      <c r="R34" s="19" t="n">
        <v>25492.34</v>
      </c>
      <c r="S34" s="19" t="n">
        <v>27833.95</v>
      </c>
      <c r="T34" s="83" t="n">
        <v>31196.49</v>
      </c>
      <c r="U34" s="83" t="n">
        <v>31278.62</v>
      </c>
      <c r="V34" s="83" t="n">
        <v>31816.83</v>
      </c>
      <c r="W34" s="20" t="n">
        <v>30881.22</v>
      </c>
      <c r="X34" s="20" t="n">
        <v>29201.96</v>
      </c>
      <c r="Y34" s="20" t="n">
        <v>34241.29</v>
      </c>
      <c r="Z34" s="20" t="n">
        <v>35953</v>
      </c>
      <c r="AA34" s="20" t="n">
        <v>30883.16</v>
      </c>
      <c r="AB34" s="20" t="n">
        <v>32745.81</v>
      </c>
      <c r="AC34" s="20" t="n">
        <v>32741.88</v>
      </c>
      <c r="AD34" s="20" t="n">
        <v>32750.16</v>
      </c>
      <c r="AE34" s="20" t="n">
        <v>32842.24</v>
      </c>
      <c r="AF34" s="20" t="n">
        <v>32796.73</v>
      </c>
      <c r="AG34" s="20" t="n">
        <v>32772.32</v>
      </c>
      <c r="AH34" s="20" t="n">
        <v>32822.6</v>
      </c>
      <c r="AI34" s="20" t="n">
        <v>32767.26</v>
      </c>
      <c r="AJ34" s="20" t="n">
        <v>32760.01</v>
      </c>
      <c r="AK34" s="20" t="n">
        <v>32788.91</v>
      </c>
      <c r="AL34" s="20" t="n">
        <v>32835.21</v>
      </c>
      <c r="AM34" s="20" t="n">
        <v>32769.3</v>
      </c>
      <c r="AN34" s="20" t="n">
        <v>32745.81</v>
      </c>
      <c r="AO34" s="20" t="n">
        <v>32741.88</v>
      </c>
      <c r="AP34" s="20" t="n">
        <v>32750.16</v>
      </c>
      <c r="AQ34" s="20" t="n">
        <v>32842.24</v>
      </c>
      <c r="AR34" s="20" t="n">
        <v>32796.73</v>
      </c>
      <c r="AS34" s="20" t="n">
        <v>32772.32</v>
      </c>
      <c r="AT34" s="20" t="n">
        <v>32822.6</v>
      </c>
      <c r="AU34" s="20" t="n">
        <v>32767.26</v>
      </c>
      <c r="AV34" s="20" t="n">
        <v>32760.01</v>
      </c>
      <c r="AW34" s="20" t="n">
        <v>32788.91</v>
      </c>
      <c r="AX34" s="20" t="n">
        <v>32835.21</v>
      </c>
      <c r="AY34" s="20" t="n">
        <v>32769.3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132.44</v>
      </c>
      <c r="F35" s="19" t="n">
        <v>363.09</v>
      </c>
      <c r="G35" s="19" t="n">
        <v>2648.05</v>
      </c>
      <c r="H35" s="19" t="n">
        <v>4135.13</v>
      </c>
      <c r="I35" s="19" t="n">
        <v>4325.51</v>
      </c>
      <c r="J35" s="19" t="n">
        <v>4447.71</v>
      </c>
      <c r="K35" s="19" t="n">
        <v>4220.95</v>
      </c>
      <c r="L35" s="19" t="n">
        <v>3771.52</v>
      </c>
      <c r="M35" s="19" t="n">
        <v>3570.24</v>
      </c>
      <c r="N35" s="19" t="n">
        <v>3282.15</v>
      </c>
      <c r="O35" s="19" t="n">
        <v>3811.68</v>
      </c>
      <c r="P35" s="19" t="n">
        <v>6729.67</v>
      </c>
      <c r="Q35" s="19" t="n">
        <v>2781.43</v>
      </c>
      <c r="R35" s="19" t="n">
        <v>2571.2</v>
      </c>
      <c r="S35" s="19" t="n">
        <v>2506.64</v>
      </c>
      <c r="T35" s="83" t="n">
        <v>2852.56</v>
      </c>
      <c r="U35" s="83" t="n">
        <v>2784.83</v>
      </c>
      <c r="V35" s="83" t="n">
        <v>2766.48</v>
      </c>
      <c r="W35" s="20" t="n">
        <v>3921.27</v>
      </c>
      <c r="X35" s="20" t="n">
        <v>3708.04</v>
      </c>
      <c r="Y35" s="20" t="n">
        <v>4347.93</v>
      </c>
      <c r="Z35" s="20" t="n">
        <v>4565.28</v>
      </c>
      <c r="AA35" s="20" t="n">
        <v>3921.52</v>
      </c>
      <c r="AB35" s="20" t="n">
        <v>4158.03</v>
      </c>
      <c r="AC35" s="20" t="n">
        <v>4157.54</v>
      </c>
      <c r="AD35" s="20" t="n">
        <v>4158.59</v>
      </c>
      <c r="AE35" s="20" t="n">
        <v>4170.28</v>
      </c>
      <c r="AF35" s="20" t="n">
        <v>4164.5</v>
      </c>
      <c r="AG35" s="20" t="n">
        <v>4161.4</v>
      </c>
      <c r="AH35" s="20" t="n">
        <v>4167.78</v>
      </c>
      <c r="AI35" s="20" t="n">
        <v>4160.76</v>
      </c>
      <c r="AJ35" s="20" t="n">
        <v>4159.84</v>
      </c>
      <c r="AK35" s="20" t="n">
        <v>4163.51</v>
      </c>
      <c r="AL35" s="20" t="n">
        <v>4169.39</v>
      </c>
      <c r="AM35" s="20" t="n">
        <v>4161.02</v>
      </c>
      <c r="AN35" s="20" t="n">
        <v>4158.03</v>
      </c>
      <c r="AO35" s="20" t="n">
        <v>4157.54</v>
      </c>
      <c r="AP35" s="20" t="n">
        <v>4158.59</v>
      </c>
      <c r="AQ35" s="20" t="n">
        <v>4170.28</v>
      </c>
      <c r="AR35" s="20" t="n">
        <v>4164.5</v>
      </c>
      <c r="AS35" s="20" t="n">
        <v>4161.4</v>
      </c>
      <c r="AT35" s="20" t="n">
        <v>4167.78</v>
      </c>
      <c r="AU35" s="20" t="n">
        <v>4160.76</v>
      </c>
      <c r="AV35" s="20" t="n">
        <v>4159.84</v>
      </c>
      <c r="AW35" s="20" t="n">
        <v>4163.51</v>
      </c>
      <c r="AX35" s="20" t="n">
        <v>4169.39</v>
      </c>
      <c r="AY35" s="20" t="n">
        <v>4161.02</v>
      </c>
    </row>
    <row r="36">
      <c r="B36" s="33" t="inlineStr">
        <is>
          <t>602005 Employee Benefits (incl Workers Comp)</t>
        </is>
      </c>
      <c r="D36" s="19" t="n">
        <v>0</v>
      </c>
      <c r="E36" s="19" t="n">
        <v>0</v>
      </c>
      <c r="F36" s="19" t="n">
        <v>25.29</v>
      </c>
      <c r="G36" s="19" t="n">
        <v>110.45</v>
      </c>
      <c r="H36" s="19" t="n">
        <v>345.3</v>
      </c>
      <c r="I36" s="19" t="n">
        <v>76.98</v>
      </c>
      <c r="J36" s="19" t="n">
        <v>-213.91</v>
      </c>
      <c r="K36" s="19" t="n">
        <v>-56.22</v>
      </c>
      <c r="L36" s="19" t="n">
        <v>233.9</v>
      </c>
      <c r="M36" s="19" t="n">
        <v>473.8</v>
      </c>
      <c r="N36" s="19" t="n">
        <v>381.96</v>
      </c>
      <c r="O36" s="19" t="n">
        <v>150.51</v>
      </c>
      <c r="P36" s="19" t="n">
        <v>239.97</v>
      </c>
      <c r="Q36" s="19" t="n">
        <v>826.6799999999999</v>
      </c>
      <c r="R36" s="19" t="n">
        <v>372.93</v>
      </c>
      <c r="S36" s="19" t="n">
        <v>729.11</v>
      </c>
      <c r="T36" s="83" t="n">
        <v>183.39</v>
      </c>
      <c r="U36" s="83" t="n">
        <v>213.97</v>
      </c>
      <c r="V36" s="83" t="n">
        <v>265.66</v>
      </c>
      <c r="W36" s="20" t="n">
        <v>550.65</v>
      </c>
      <c r="X36" s="20" t="n">
        <v>520.71</v>
      </c>
      <c r="Y36" s="20" t="n">
        <v>610.5700000000001</v>
      </c>
      <c r="Z36" s="20" t="n">
        <v>641.09</v>
      </c>
      <c r="AA36" s="20" t="n">
        <v>550.6900000000001</v>
      </c>
      <c r="AB36" s="20" t="n">
        <v>583.9</v>
      </c>
      <c r="AC36" s="20" t="n">
        <v>583.83</v>
      </c>
      <c r="AD36" s="20" t="n">
        <v>583.98</v>
      </c>
      <c r="AE36" s="20" t="n">
        <v>585.62</v>
      </c>
      <c r="AF36" s="20" t="n">
        <v>584.8099999999999</v>
      </c>
      <c r="AG36" s="20" t="n">
        <v>584.38</v>
      </c>
      <c r="AH36" s="20" t="n">
        <v>585.27</v>
      </c>
      <c r="AI36" s="20" t="n">
        <v>584.29</v>
      </c>
      <c r="AJ36" s="20" t="n">
        <v>584.16</v>
      </c>
      <c r="AK36" s="20" t="n">
        <v>584.67</v>
      </c>
      <c r="AL36" s="20" t="n">
        <v>585.5</v>
      </c>
      <c r="AM36" s="20" t="n">
        <v>584.3200000000001</v>
      </c>
      <c r="AN36" s="20" t="n">
        <v>583.9</v>
      </c>
      <c r="AO36" s="20" t="n">
        <v>583.83</v>
      </c>
      <c r="AP36" s="20" t="n">
        <v>583.98</v>
      </c>
      <c r="AQ36" s="20" t="n">
        <v>585.62</v>
      </c>
      <c r="AR36" s="20" t="n">
        <v>584.8099999999999</v>
      </c>
      <c r="AS36" s="20" t="n">
        <v>584.38</v>
      </c>
      <c r="AT36" s="20" t="n">
        <v>585.27</v>
      </c>
      <c r="AU36" s="20" t="n">
        <v>584.29</v>
      </c>
      <c r="AV36" s="20" t="n">
        <v>584.16</v>
      </c>
      <c r="AW36" s="20" t="n">
        <v>584.67</v>
      </c>
      <c r="AX36" s="20" t="n">
        <v>585.5</v>
      </c>
      <c r="AY36" s="20" t="n">
        <v>584.3200000000001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234.56</v>
      </c>
      <c r="F37" s="19" t="n">
        <v>451.12</v>
      </c>
      <c r="G37" s="19" t="n">
        <v>543.12</v>
      </c>
      <c r="H37" s="19" t="n">
        <v>647.12</v>
      </c>
      <c r="I37" s="19" t="n">
        <v>32</v>
      </c>
      <c r="J37" s="19" t="n">
        <v>32</v>
      </c>
      <c r="K37" s="19" t="n">
        <v>32</v>
      </c>
      <c r="L37" s="19" t="n">
        <v>32</v>
      </c>
      <c r="M37" s="19" t="n">
        <v>691.12</v>
      </c>
      <c r="N37" s="19" t="n">
        <v>691.12</v>
      </c>
      <c r="O37" s="19" t="n">
        <v>1075.4</v>
      </c>
      <c r="P37" s="19" t="n">
        <v>1522.1</v>
      </c>
      <c r="Q37" s="19" t="n">
        <v>1389.44</v>
      </c>
      <c r="R37" s="19" t="n">
        <v>1686.84</v>
      </c>
      <c r="S37" s="19" t="n">
        <v>1273.04</v>
      </c>
      <c r="T37" s="83" t="n">
        <v>1396.67</v>
      </c>
      <c r="U37" s="83" t="n">
        <v>1418.61</v>
      </c>
      <c r="V37" s="83" t="n">
        <v>1463.8</v>
      </c>
      <c r="W37" s="20" t="n">
        <v>1578.14</v>
      </c>
      <c r="X37" s="20" t="n">
        <v>1492.33</v>
      </c>
      <c r="Y37" s="20" t="n">
        <v>1749.85</v>
      </c>
      <c r="Z37" s="20" t="n">
        <v>1837.33</v>
      </c>
      <c r="AA37" s="20" t="n">
        <v>1578.24</v>
      </c>
      <c r="AB37" s="20" t="n">
        <v>1673.43</v>
      </c>
      <c r="AC37" s="20" t="n">
        <v>1673.23</v>
      </c>
      <c r="AD37" s="20" t="n">
        <v>1673.65</v>
      </c>
      <c r="AE37" s="20" t="n">
        <v>1678.36</v>
      </c>
      <c r="AF37" s="20" t="n">
        <v>1676.03</v>
      </c>
      <c r="AG37" s="20" t="n">
        <v>1674.78</v>
      </c>
      <c r="AH37" s="20" t="n">
        <v>1677.35</v>
      </c>
      <c r="AI37" s="20" t="n">
        <v>1674.53</v>
      </c>
      <c r="AJ37" s="20" t="n">
        <v>1674.16</v>
      </c>
      <c r="AK37" s="20" t="n">
        <v>1675.63</v>
      </c>
      <c r="AL37" s="20" t="n">
        <v>1678</v>
      </c>
      <c r="AM37" s="20" t="n">
        <v>1674.63</v>
      </c>
      <c r="AN37" s="20" t="n">
        <v>1673.43</v>
      </c>
      <c r="AO37" s="20" t="n">
        <v>1673.23</v>
      </c>
      <c r="AP37" s="20" t="n">
        <v>1673.65</v>
      </c>
      <c r="AQ37" s="20" t="n">
        <v>1678.36</v>
      </c>
      <c r="AR37" s="20" t="n">
        <v>1676.03</v>
      </c>
      <c r="AS37" s="20" t="n">
        <v>1674.78</v>
      </c>
      <c r="AT37" s="20" t="n">
        <v>1677.35</v>
      </c>
      <c r="AU37" s="20" t="n">
        <v>1674.53</v>
      </c>
      <c r="AV37" s="20" t="n">
        <v>1674.16</v>
      </c>
      <c r="AW37" s="20" t="n">
        <v>1675.63</v>
      </c>
      <c r="AX37" s="20" t="n">
        <v>1678</v>
      </c>
      <c r="AY37" s="20" t="n">
        <v>1674.63</v>
      </c>
    </row>
    <row r="38">
      <c r="B38" s="32" t="inlineStr">
        <is>
          <t>Total Payroll</t>
        </is>
      </c>
      <c r="C38" s="34" t="n"/>
      <c r="D38" s="35">
        <f>SUM(D34:D37)</f>
        <v/>
      </c>
      <c r="E38" s="35">
        <f>SUM(E34:E37)</f>
        <v/>
      </c>
      <c r="F38" s="35">
        <f>SUM(F34:F37)</f>
        <v/>
      </c>
      <c r="G38" s="35">
        <f>SUM(G34:G37)</f>
        <v/>
      </c>
      <c r="H38" s="35">
        <f>SUM(H34:H37)</f>
        <v/>
      </c>
      <c r="I38" s="35">
        <f>SUM(I34:I37)</f>
        <v/>
      </c>
      <c r="J38" s="35">
        <f>SUM(J34:J37)</f>
        <v/>
      </c>
      <c r="K38" s="35">
        <f>SUM(K34:K37)</f>
        <v/>
      </c>
      <c r="L38" s="35">
        <f>SUM(L34:L37)</f>
        <v/>
      </c>
      <c r="M38" s="35">
        <f>SUM(M34:M37)</f>
        <v/>
      </c>
      <c r="N38" s="35">
        <f>SUM(N34:N37)</f>
        <v/>
      </c>
      <c r="O38" s="35">
        <f>SUM(O34:O37)</f>
        <v/>
      </c>
      <c r="P38" s="35">
        <f>P34+P35+P36+P37</f>
        <v/>
      </c>
      <c r="Q38" s="35">
        <f>Q34+Q35+Q36+Q37</f>
        <v/>
      </c>
      <c r="R38" s="35">
        <f>R34+R35+R36+R37</f>
        <v/>
      </c>
      <c r="S38" s="35">
        <f>S34+S35+S36+S37</f>
        <v/>
      </c>
      <c r="T38" s="84">
        <f>T34+T35+T36+T37</f>
        <v/>
      </c>
      <c r="U38" s="84">
        <f>U34+U35+U36+U37</f>
        <v/>
      </c>
      <c r="V38" s="84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2346.58</v>
      </c>
      <c r="G39" s="19" t="n">
        <v>1165</v>
      </c>
      <c r="H39" s="19" t="n">
        <v>1239.99</v>
      </c>
      <c r="I39" s="19" t="n">
        <v>1351.25</v>
      </c>
      <c r="J39" s="19" t="n">
        <v>704.99</v>
      </c>
      <c r="K39" s="19" t="n">
        <v>1847.15</v>
      </c>
      <c r="L39" s="19" t="n">
        <v>625.99</v>
      </c>
      <c r="M39" s="19" t="n">
        <v>743.48</v>
      </c>
      <c r="N39" s="19" t="n">
        <v>881</v>
      </c>
      <c r="O39" s="19" t="n">
        <v>778.8200000000001</v>
      </c>
      <c r="P39" s="19" t="n">
        <v>743.08</v>
      </c>
      <c r="Q39" s="19" t="n">
        <v>1330.01</v>
      </c>
      <c r="R39" s="19" t="n">
        <v>1227.37</v>
      </c>
      <c r="S39" s="19" t="n">
        <v>1584.69</v>
      </c>
      <c r="T39" s="83" t="n">
        <v>770.26</v>
      </c>
      <c r="U39" s="83" t="n">
        <v>770.26</v>
      </c>
      <c r="V39" s="83" t="n">
        <v>770.26</v>
      </c>
      <c r="W39" s="20" t="n">
        <v>607.87</v>
      </c>
      <c r="X39" s="20" t="n">
        <v>607.87</v>
      </c>
      <c r="Y39" s="20" t="n">
        <v>607.87</v>
      </c>
      <c r="Z39" s="20" t="n">
        <v>607.87</v>
      </c>
      <c r="AA39" s="20" t="n">
        <v>607.87</v>
      </c>
      <c r="AB39" s="20" t="n">
        <v>607.87</v>
      </c>
      <c r="AC39" s="20" t="n">
        <v>607.87</v>
      </c>
      <c r="AD39" s="20" t="n">
        <v>607.87</v>
      </c>
      <c r="AE39" s="20" t="n">
        <v>607.87</v>
      </c>
      <c r="AF39" s="20" t="n">
        <v>607.87</v>
      </c>
      <c r="AG39" s="20" t="n">
        <v>607.87</v>
      </c>
      <c r="AH39" s="20" t="n">
        <v>607.87</v>
      </c>
      <c r="AI39" s="20" t="n">
        <v>607.87</v>
      </c>
      <c r="AJ39" s="20" t="n">
        <v>607.87</v>
      </c>
      <c r="AK39" s="20" t="n">
        <v>607.87</v>
      </c>
      <c r="AL39" s="20" t="n">
        <v>607.87</v>
      </c>
      <c r="AM39" s="20" t="n">
        <v>607.87</v>
      </c>
      <c r="AN39" s="20" t="n">
        <v>607.87</v>
      </c>
      <c r="AO39" s="20" t="n">
        <v>607.87</v>
      </c>
      <c r="AP39" s="20" t="n">
        <v>607.87</v>
      </c>
      <c r="AQ39" s="20" t="n">
        <v>607.87</v>
      </c>
      <c r="AR39" s="20" t="n">
        <v>607.87</v>
      </c>
      <c r="AS39" s="20" t="n">
        <v>607.87</v>
      </c>
      <c r="AT39" s="20" t="n">
        <v>607.87</v>
      </c>
      <c r="AU39" s="20" t="n">
        <v>607.87</v>
      </c>
      <c r="AV39" s="20" t="n">
        <v>607.87</v>
      </c>
      <c r="AW39" s="20" t="n">
        <v>607.87</v>
      </c>
      <c r="AX39" s="20" t="n">
        <v>607.87</v>
      </c>
      <c r="AY39" s="20" t="n">
        <v>607.87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583.98</v>
      </c>
      <c r="M40" s="19" t="n">
        <v>306.16</v>
      </c>
      <c r="N40" s="19" t="n">
        <v>306.16</v>
      </c>
      <c r="O40" s="19" t="n">
        <v>306.16</v>
      </c>
      <c r="P40" s="19" t="n">
        <v>163.59</v>
      </c>
      <c r="Q40" s="19" t="n">
        <v>163.59</v>
      </c>
      <c r="R40" s="19" t="n">
        <v>328.9</v>
      </c>
      <c r="S40" s="19" t="n">
        <v>280.23</v>
      </c>
      <c r="T40" s="83" t="n">
        <v>294.83</v>
      </c>
      <c r="U40" s="83" t="n">
        <v>290.82</v>
      </c>
      <c r="V40" s="83" t="n">
        <v>290.82</v>
      </c>
      <c r="W40" s="20" t="n">
        <v>139.06</v>
      </c>
      <c r="X40" s="20" t="n">
        <v>139.06</v>
      </c>
      <c r="Y40" s="20" t="n">
        <v>139.06</v>
      </c>
      <c r="Z40" s="20" t="n">
        <v>139.06</v>
      </c>
      <c r="AA40" s="20" t="n">
        <v>139.06</v>
      </c>
      <c r="AB40" s="20" t="n">
        <v>139.06</v>
      </c>
      <c r="AC40" s="20" t="n">
        <v>139.06</v>
      </c>
      <c r="AD40" s="20" t="n">
        <v>139.06</v>
      </c>
      <c r="AE40" s="20" t="n">
        <v>139.06</v>
      </c>
      <c r="AF40" s="20" t="n">
        <v>139.06</v>
      </c>
      <c r="AG40" s="20" t="n">
        <v>139.06</v>
      </c>
      <c r="AH40" s="20" t="n">
        <v>139.06</v>
      </c>
      <c r="AI40" s="20" t="n">
        <v>139.06</v>
      </c>
      <c r="AJ40" s="20" t="n">
        <v>139.06</v>
      </c>
      <c r="AK40" s="20" t="n">
        <v>139.06</v>
      </c>
      <c r="AL40" s="20" t="n">
        <v>139.06</v>
      </c>
      <c r="AM40" s="20" t="n">
        <v>139.06</v>
      </c>
      <c r="AN40" s="20" t="n">
        <v>139.06</v>
      </c>
      <c r="AO40" s="20" t="n">
        <v>139.06</v>
      </c>
      <c r="AP40" s="20" t="n">
        <v>139.06</v>
      </c>
      <c r="AQ40" s="20" t="n">
        <v>139.06</v>
      </c>
      <c r="AR40" s="20" t="n">
        <v>139.06</v>
      </c>
      <c r="AS40" s="20" t="n">
        <v>139.06</v>
      </c>
      <c r="AT40" s="20" t="n">
        <v>139.06</v>
      </c>
      <c r="AU40" s="20" t="n">
        <v>139.06</v>
      </c>
      <c r="AV40" s="20" t="n">
        <v>139.06</v>
      </c>
      <c r="AW40" s="20" t="n">
        <v>139.06</v>
      </c>
      <c r="AX40" s="20" t="n">
        <v>139.06</v>
      </c>
      <c r="AY40" s="20" t="n">
        <v>139.06</v>
      </c>
    </row>
    <row r="41">
      <c r="B41" s="33" t="inlineStr">
        <is>
          <t>610000 Office Supplies &amp; GE (incl Licenses, Furniture, Shipping, Bank Fees, Start-Up Costs)</t>
        </is>
      </c>
      <c r="D41" s="19" t="n">
        <v>169.87</v>
      </c>
      <c r="E41" s="19" t="n">
        <v>549.0700000000001</v>
      </c>
      <c r="F41" s="19" t="n">
        <v>1924.68</v>
      </c>
      <c r="G41" s="19" t="n">
        <v>9987.27</v>
      </c>
      <c r="H41" s="19" t="n">
        <v>1441.63</v>
      </c>
      <c r="I41" s="19" t="n">
        <v>1014.77</v>
      </c>
      <c r="J41" s="19" t="n">
        <v>741.9400000000001</v>
      </c>
      <c r="K41" s="19" t="n">
        <v>2414.05</v>
      </c>
      <c r="L41" s="19" t="n">
        <v>1026.87</v>
      </c>
      <c r="M41" s="19" t="n">
        <v>849.7</v>
      </c>
      <c r="N41" s="19" t="n">
        <v>822.0599999999999</v>
      </c>
      <c r="O41" s="19" t="n">
        <v>364.99</v>
      </c>
      <c r="P41" s="19" t="n">
        <v>247.73</v>
      </c>
      <c r="Q41" s="19" t="n">
        <v>1522.25</v>
      </c>
      <c r="R41" s="19" t="n">
        <v>1246.09</v>
      </c>
      <c r="S41" s="19" t="n">
        <v>744.77</v>
      </c>
      <c r="T41" s="83" t="n">
        <v>1148.83</v>
      </c>
      <c r="U41" s="83" t="n">
        <v>413.49</v>
      </c>
      <c r="V41" s="83" t="n">
        <v>510.28</v>
      </c>
      <c r="W41" s="20" t="n">
        <v>395.41</v>
      </c>
      <c r="X41" s="20" t="n">
        <v>395.41</v>
      </c>
      <c r="Y41" s="20" t="n">
        <v>395.41</v>
      </c>
      <c r="Z41" s="20" t="n">
        <v>395.41</v>
      </c>
      <c r="AA41" s="20" t="n">
        <v>395.41</v>
      </c>
      <c r="AB41" s="20" t="n">
        <v>395.41</v>
      </c>
      <c r="AC41" s="20" t="n">
        <v>395.41</v>
      </c>
      <c r="AD41" s="20" t="n">
        <v>395.41</v>
      </c>
      <c r="AE41" s="20" t="n">
        <v>395.41</v>
      </c>
      <c r="AF41" s="20" t="n">
        <v>395.41</v>
      </c>
      <c r="AG41" s="20" t="n">
        <v>395.41</v>
      </c>
      <c r="AH41" s="20" t="n">
        <v>395.41</v>
      </c>
      <c r="AI41" s="20" t="n">
        <v>395.41</v>
      </c>
      <c r="AJ41" s="20" t="n">
        <v>395.41</v>
      </c>
      <c r="AK41" s="20" t="n">
        <v>395.41</v>
      </c>
      <c r="AL41" s="20" t="n">
        <v>395.41</v>
      </c>
      <c r="AM41" s="20" t="n">
        <v>395.41</v>
      </c>
      <c r="AN41" s="20" t="n">
        <v>395.41</v>
      </c>
      <c r="AO41" s="20" t="n">
        <v>395.41</v>
      </c>
      <c r="AP41" s="20" t="n">
        <v>395.41</v>
      </c>
      <c r="AQ41" s="20" t="n">
        <v>395.41</v>
      </c>
      <c r="AR41" s="20" t="n">
        <v>395.41</v>
      </c>
      <c r="AS41" s="20" t="n">
        <v>395.41</v>
      </c>
      <c r="AT41" s="20" t="n">
        <v>395.41</v>
      </c>
      <c r="AU41" s="20" t="n">
        <v>395.41</v>
      </c>
      <c r="AV41" s="20" t="n">
        <v>395.41</v>
      </c>
      <c r="AW41" s="20" t="n">
        <v>395.41</v>
      </c>
      <c r="AX41" s="20" t="n">
        <v>395.41</v>
      </c>
      <c r="AY41" s="20" t="n">
        <v>395.41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3" t="n">
        <v>0</v>
      </c>
      <c r="U43" s="83" t="n">
        <v>0</v>
      </c>
      <c r="V43" s="83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850</v>
      </c>
      <c r="H44" s="19" t="n">
        <v>320</v>
      </c>
      <c r="I44" s="19" t="n">
        <v>0</v>
      </c>
      <c r="J44" s="19" t="n">
        <v>0</v>
      </c>
      <c r="K44" s="19" t="n">
        <v>1706.25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3" t="n">
        <v>1116.82</v>
      </c>
      <c r="U44" s="83" t="n">
        <v>0</v>
      </c>
      <c r="V44" s="83" t="n">
        <v>0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3" t="n">
        <v>0</v>
      </c>
      <c r="U45" s="83" t="n">
        <v>0</v>
      </c>
      <c r="V45" s="83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879.1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3" t="n">
        <v>516</v>
      </c>
      <c r="U46" s="83" t="n">
        <v>516</v>
      </c>
      <c r="V46" s="83" t="n">
        <v>516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>
        <f>SUM(D43:D46)</f>
        <v/>
      </c>
      <c r="E47" s="35">
        <f>SUM(E43:E46)</f>
        <v/>
      </c>
      <c r="F47" s="35">
        <f>SUM(F43:F46)</f>
        <v/>
      </c>
      <c r="G47" s="35">
        <f>SUM(G43:G46)</f>
        <v/>
      </c>
      <c r="H47" s="35">
        <f>SUM(H43:H46)</f>
        <v/>
      </c>
      <c r="I47" s="35">
        <f>SUM(I43:I46)</f>
        <v/>
      </c>
      <c r="J47" s="35">
        <f>SUM(J43:J46)</f>
        <v/>
      </c>
      <c r="K47" s="35">
        <f>SUM(K43:K46)</f>
        <v/>
      </c>
      <c r="L47" s="35">
        <f>SUM(L43:L46)</f>
        <v/>
      </c>
      <c r="M47" s="35">
        <f>SUM(M43:M46)</f>
        <v/>
      </c>
      <c r="N47" s="35">
        <f>SUM(N43:N46)</f>
        <v/>
      </c>
      <c r="O47" s="35">
        <f>SUM(O43:O46)</f>
        <v/>
      </c>
      <c r="P47" s="35">
        <f>P43+P44+P45+P46</f>
        <v/>
      </c>
      <c r="Q47" s="35">
        <f>Q43+Q44+Q45+Q46</f>
        <v/>
      </c>
      <c r="R47" s="35">
        <f>R43+R44+R45+R46</f>
        <v/>
      </c>
      <c r="S47" s="35">
        <f>S43+S44+S45+S46</f>
        <v/>
      </c>
      <c r="T47" s="84">
        <f>T43+T44+T45+T46</f>
        <v/>
      </c>
      <c r="U47" s="84">
        <f>U43+U44+U45+U46</f>
        <v/>
      </c>
      <c r="V47" s="84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>
        <v>0</v>
      </c>
      <c r="E48" s="19" t="n">
        <v>0</v>
      </c>
      <c r="F48" s="19" t="n">
        <v>0</v>
      </c>
      <c r="G48" s="19" t="n">
        <v>0</v>
      </c>
      <c r="H48" s="19" t="n">
        <v>0</v>
      </c>
      <c r="I48" s="19" t="n">
        <v>0</v>
      </c>
      <c r="J48" s="19" t="n">
        <v>0</v>
      </c>
      <c r="K48" s="19" t="n">
        <v>0</v>
      </c>
      <c r="L48" s="19" t="n">
        <v>0</v>
      </c>
      <c r="M48" s="19" t="n">
        <v>0</v>
      </c>
      <c r="N48" s="19" t="n">
        <v>0</v>
      </c>
      <c r="O48" s="19" t="n">
        <v>0</v>
      </c>
      <c r="P48" s="19" t="n">
        <v>0</v>
      </c>
      <c r="Q48" s="19" t="n">
        <v>0</v>
      </c>
      <c r="R48" s="19" t="n">
        <v>0</v>
      </c>
      <c r="S48" s="19" t="n">
        <v>0</v>
      </c>
      <c r="T48" s="83" t="n">
        <v>0</v>
      </c>
      <c r="U48" s="83" t="n">
        <v>0</v>
      </c>
      <c r="V48" s="83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>606000 Meals (incl Entertainment)</t>
        </is>
      </c>
      <c r="D49" s="19" t="n">
        <v>0</v>
      </c>
      <c r="E49" s="19" t="n">
        <v>0</v>
      </c>
      <c r="F49" s="19" t="n">
        <v>0</v>
      </c>
      <c r="G49" s="19" t="n">
        <v>262.32</v>
      </c>
      <c r="H49" s="19" t="n">
        <v>3000.75</v>
      </c>
      <c r="I49" s="19" t="n">
        <v>16.54</v>
      </c>
      <c r="J49" s="19" t="n">
        <v>244.89</v>
      </c>
      <c r="K49" s="19" t="n">
        <v>34.66</v>
      </c>
      <c r="L49" s="19" t="n">
        <v>185.79</v>
      </c>
      <c r="M49" s="19" t="n">
        <v>112.74</v>
      </c>
      <c r="N49" s="19" t="n">
        <v>108.89</v>
      </c>
      <c r="O49" s="19" t="n">
        <v>72.27</v>
      </c>
      <c r="P49" s="19" t="n">
        <v>31.2</v>
      </c>
      <c r="Q49" s="19" t="n">
        <v>277.42</v>
      </c>
      <c r="R49" s="19" t="n">
        <v>36.73</v>
      </c>
      <c r="S49" s="19" t="n">
        <v>269.26</v>
      </c>
      <c r="T49" s="83" t="n">
        <v>-15.6</v>
      </c>
      <c r="U49" s="83" t="n">
        <v>50.29</v>
      </c>
      <c r="V49" s="83" t="n">
        <v>0</v>
      </c>
      <c r="W49" s="20" t="n">
        <v>15.6</v>
      </c>
      <c r="X49" s="20" t="n">
        <v>15.6</v>
      </c>
      <c r="Y49" s="20" t="n">
        <v>15.6</v>
      </c>
      <c r="Z49" s="20" t="n">
        <v>15.6</v>
      </c>
      <c r="AA49" s="20" t="n">
        <v>15.6</v>
      </c>
      <c r="AB49" s="20" t="n">
        <v>15.6</v>
      </c>
      <c r="AC49" s="20" t="n">
        <v>15.6</v>
      </c>
      <c r="AD49" s="20" t="n">
        <v>15.6</v>
      </c>
      <c r="AE49" s="20" t="n">
        <v>15.6</v>
      </c>
      <c r="AF49" s="20" t="n">
        <v>15.6</v>
      </c>
      <c r="AG49" s="20" t="n">
        <v>15.6</v>
      </c>
      <c r="AH49" s="20" t="n">
        <v>15.6</v>
      </c>
      <c r="AI49" s="20" t="n">
        <v>15.6</v>
      </c>
      <c r="AJ49" s="20" t="n">
        <v>15.6</v>
      </c>
      <c r="AK49" s="20" t="n">
        <v>15.6</v>
      </c>
      <c r="AL49" s="20" t="n">
        <v>15.6</v>
      </c>
      <c r="AM49" s="20" t="n">
        <v>15.6</v>
      </c>
      <c r="AN49" s="20" t="n">
        <v>15.6</v>
      </c>
      <c r="AO49" s="20" t="n">
        <v>15.6</v>
      </c>
      <c r="AP49" s="20" t="n">
        <v>15.6</v>
      </c>
      <c r="AQ49" s="20" t="n">
        <v>15.6</v>
      </c>
      <c r="AR49" s="20" t="n">
        <v>15.6</v>
      </c>
      <c r="AS49" s="20" t="n">
        <v>15.6</v>
      </c>
      <c r="AT49" s="20" t="n">
        <v>15.6</v>
      </c>
      <c r="AU49" s="20" t="n">
        <v>15.6</v>
      </c>
      <c r="AV49" s="20" t="n">
        <v>15.6</v>
      </c>
      <c r="AW49" s="20" t="n">
        <v>15.6</v>
      </c>
      <c r="AX49" s="20" t="n">
        <v>15.6</v>
      </c>
      <c r="AY49" s="20" t="n">
        <v>15.6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202.24</v>
      </c>
      <c r="G51" s="19" t="n">
        <v>0</v>
      </c>
      <c r="H51" s="19" t="n">
        <v>848.61</v>
      </c>
      <c r="I51" s="19" t="n">
        <v>711.88</v>
      </c>
      <c r="J51" s="19" t="n">
        <v>639.22</v>
      </c>
      <c r="K51" s="19" t="n">
        <v>604.61</v>
      </c>
      <c r="L51" s="19" t="n">
        <v>670.6799999999999</v>
      </c>
      <c r="M51" s="19" t="n">
        <v>424.72</v>
      </c>
      <c r="N51" s="19" t="n">
        <v>321.89</v>
      </c>
      <c r="O51" s="19" t="n">
        <v>229.32</v>
      </c>
      <c r="P51" s="19" t="n">
        <v>213.53</v>
      </c>
      <c r="Q51" s="19" t="n">
        <v>246.19</v>
      </c>
      <c r="R51" s="19" t="n">
        <v>249.32</v>
      </c>
      <c r="S51" s="19" t="n">
        <v>293.03</v>
      </c>
      <c r="T51" s="83" t="n">
        <v>306.85</v>
      </c>
      <c r="U51" s="83" t="n">
        <v>395.27</v>
      </c>
      <c r="V51" s="83" t="n">
        <v>0</v>
      </c>
      <c r="W51" s="20" t="n">
        <v>170.07</v>
      </c>
      <c r="X51" s="20" t="n">
        <v>170.07</v>
      </c>
      <c r="Y51" s="20" t="n">
        <v>170.07</v>
      </c>
      <c r="Z51" s="20" t="n">
        <v>170.07</v>
      </c>
      <c r="AA51" s="20" t="n">
        <v>170.07</v>
      </c>
      <c r="AB51" s="20" t="n">
        <v>170.07</v>
      </c>
      <c r="AC51" s="20" t="n">
        <v>170.07</v>
      </c>
      <c r="AD51" s="20" t="n">
        <v>170.07</v>
      </c>
      <c r="AE51" s="20" t="n">
        <v>170.07</v>
      </c>
      <c r="AF51" s="20" t="n">
        <v>170.07</v>
      </c>
      <c r="AG51" s="20" t="n">
        <v>170.07</v>
      </c>
      <c r="AH51" s="20" t="n">
        <v>170.07</v>
      </c>
      <c r="AI51" s="20" t="n">
        <v>170.07</v>
      </c>
      <c r="AJ51" s="20" t="n">
        <v>170.07</v>
      </c>
      <c r="AK51" s="20" t="n">
        <v>170.07</v>
      </c>
      <c r="AL51" s="20" t="n">
        <v>170.07</v>
      </c>
      <c r="AM51" s="20" t="n">
        <v>170.07</v>
      </c>
      <c r="AN51" s="20" t="n">
        <v>170.07</v>
      </c>
      <c r="AO51" s="20" t="n">
        <v>170.07</v>
      </c>
      <c r="AP51" s="20" t="n">
        <v>170.07</v>
      </c>
      <c r="AQ51" s="20" t="n">
        <v>170.07</v>
      </c>
      <c r="AR51" s="20" t="n">
        <v>170.07</v>
      </c>
      <c r="AS51" s="20" t="n">
        <v>170.07</v>
      </c>
      <c r="AT51" s="20" t="n">
        <v>170.07</v>
      </c>
      <c r="AU51" s="20" t="n">
        <v>170.07</v>
      </c>
      <c r="AV51" s="20" t="n">
        <v>170.07</v>
      </c>
      <c r="AW51" s="20" t="n">
        <v>170.07</v>
      </c>
      <c r="AX51" s="20" t="n">
        <v>170.07</v>
      </c>
      <c r="AY51" s="20" t="n">
        <v>170.07</v>
      </c>
    </row>
    <row r="52">
      <c r="B52" s="33" t="inlineStr">
        <is>
          <t xml:space="preserve">  616002 Internet &amp; TV</t>
        </is>
      </c>
      <c r="D52" s="19" t="n">
        <v>0</v>
      </c>
      <c r="E52" s="19" t="n">
        <v>0</v>
      </c>
      <c r="F52" s="19" t="n">
        <v>210.24</v>
      </c>
      <c r="G52" s="19" t="n">
        <v>106.24</v>
      </c>
      <c r="H52" s="19" t="n">
        <v>106.24</v>
      </c>
      <c r="I52" s="19" t="n">
        <v>106.24</v>
      </c>
      <c r="J52" s="19" t="n">
        <v>106.24</v>
      </c>
      <c r="K52" s="19" t="n">
        <v>106.24</v>
      </c>
      <c r="L52" s="19" t="n">
        <v>106.24</v>
      </c>
      <c r="M52" s="19" t="n">
        <v>106.24</v>
      </c>
      <c r="N52" s="19" t="n">
        <v>106.24</v>
      </c>
      <c r="O52" s="19" t="n">
        <v>106.24</v>
      </c>
      <c r="P52" s="19" t="n">
        <v>106.24</v>
      </c>
      <c r="Q52" s="19" t="n">
        <v>106.24</v>
      </c>
      <c r="R52" s="19" t="n">
        <v>140.78</v>
      </c>
      <c r="S52" s="19" t="n">
        <v>140.78</v>
      </c>
      <c r="T52" s="83" t="n">
        <v>140.78</v>
      </c>
      <c r="U52" s="83" t="n">
        <v>140.78</v>
      </c>
      <c r="V52" s="83" t="n">
        <v>139.53</v>
      </c>
      <c r="W52" s="20" t="n">
        <v>83.84999999999999</v>
      </c>
      <c r="X52" s="20" t="n">
        <v>83.84999999999999</v>
      </c>
      <c r="Y52" s="20" t="n">
        <v>83.84999999999999</v>
      </c>
      <c r="Z52" s="20" t="n">
        <v>83.84999999999999</v>
      </c>
      <c r="AA52" s="20" t="n">
        <v>83.84999999999999</v>
      </c>
      <c r="AB52" s="20" t="n">
        <v>83.84999999999999</v>
      </c>
      <c r="AC52" s="20" t="n">
        <v>83.84999999999999</v>
      </c>
      <c r="AD52" s="20" t="n">
        <v>83.84999999999999</v>
      </c>
      <c r="AE52" s="20" t="n">
        <v>83.84999999999999</v>
      </c>
      <c r="AF52" s="20" t="n">
        <v>83.84999999999999</v>
      </c>
      <c r="AG52" s="20" t="n">
        <v>83.84999999999999</v>
      </c>
      <c r="AH52" s="20" t="n">
        <v>83.84999999999999</v>
      </c>
      <c r="AI52" s="20" t="n">
        <v>83.84999999999999</v>
      </c>
      <c r="AJ52" s="20" t="n">
        <v>83.84999999999999</v>
      </c>
      <c r="AK52" s="20" t="n">
        <v>83.84999999999999</v>
      </c>
      <c r="AL52" s="20" t="n">
        <v>83.84999999999999</v>
      </c>
      <c r="AM52" s="20" t="n">
        <v>83.84999999999999</v>
      </c>
      <c r="AN52" s="20" t="n">
        <v>83.84999999999999</v>
      </c>
      <c r="AO52" s="20" t="n">
        <v>83.84999999999999</v>
      </c>
      <c r="AP52" s="20" t="n">
        <v>83.84999999999999</v>
      </c>
      <c r="AQ52" s="20" t="n">
        <v>83.84999999999999</v>
      </c>
      <c r="AR52" s="20" t="n">
        <v>83.84999999999999</v>
      </c>
      <c r="AS52" s="20" t="n">
        <v>83.84999999999999</v>
      </c>
      <c r="AT52" s="20" t="n">
        <v>83.84999999999999</v>
      </c>
      <c r="AU52" s="20" t="n">
        <v>83.84999999999999</v>
      </c>
      <c r="AV52" s="20" t="n">
        <v>83.84999999999999</v>
      </c>
      <c r="AW52" s="20" t="n">
        <v>83.84999999999999</v>
      </c>
      <c r="AX52" s="20" t="n">
        <v>83.84999999999999</v>
      </c>
      <c r="AY52" s="20" t="n">
        <v>83.84999999999999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115.38</v>
      </c>
      <c r="F53" s="19" t="n">
        <v>115.46</v>
      </c>
      <c r="G53" s="19" t="n">
        <v>115.46</v>
      </c>
      <c r="H53" s="19" t="n">
        <v>115.45</v>
      </c>
      <c r="I53" s="19" t="n">
        <v>115.23</v>
      </c>
      <c r="J53" s="19" t="n">
        <v>115.23</v>
      </c>
      <c r="K53" s="19" t="n">
        <v>115.2</v>
      </c>
      <c r="L53" s="19" t="n">
        <v>115.2</v>
      </c>
      <c r="M53" s="19" t="n">
        <v>118.6</v>
      </c>
      <c r="N53" s="19" t="n">
        <v>283.81</v>
      </c>
      <c r="O53" s="19" t="n">
        <v>259.93</v>
      </c>
      <c r="P53" s="19" t="n">
        <v>113.82</v>
      </c>
      <c r="Q53" s="19" t="n">
        <v>87.11</v>
      </c>
      <c r="R53" s="19" t="n">
        <v>86.36</v>
      </c>
      <c r="S53" s="19" t="n">
        <v>87.53</v>
      </c>
      <c r="T53" s="83" t="n">
        <v>81.03</v>
      </c>
      <c r="U53" s="83" t="n">
        <v>81.05</v>
      </c>
      <c r="V53" s="83" t="n">
        <v>81.05</v>
      </c>
      <c r="W53" s="20" t="n">
        <v>63.61</v>
      </c>
      <c r="X53" s="20" t="n">
        <v>63.61</v>
      </c>
      <c r="Y53" s="20" t="n">
        <v>63.61</v>
      </c>
      <c r="Z53" s="20" t="n">
        <v>63.61</v>
      </c>
      <c r="AA53" s="20" t="n">
        <v>63.61</v>
      </c>
      <c r="AB53" s="20" t="n">
        <v>63.61</v>
      </c>
      <c r="AC53" s="20" t="n">
        <v>63.61</v>
      </c>
      <c r="AD53" s="20" t="n">
        <v>63.61</v>
      </c>
      <c r="AE53" s="20" t="n">
        <v>63.61</v>
      </c>
      <c r="AF53" s="20" t="n">
        <v>63.61</v>
      </c>
      <c r="AG53" s="20" t="n">
        <v>63.61</v>
      </c>
      <c r="AH53" s="20" t="n">
        <v>63.61</v>
      </c>
      <c r="AI53" s="20" t="n">
        <v>63.61</v>
      </c>
      <c r="AJ53" s="20" t="n">
        <v>63.61</v>
      </c>
      <c r="AK53" s="20" t="n">
        <v>63.61</v>
      </c>
      <c r="AL53" s="20" t="n">
        <v>63.61</v>
      </c>
      <c r="AM53" s="20" t="n">
        <v>63.61</v>
      </c>
      <c r="AN53" s="20" t="n">
        <v>63.61</v>
      </c>
      <c r="AO53" s="20" t="n">
        <v>63.61</v>
      </c>
      <c r="AP53" s="20" t="n">
        <v>63.61</v>
      </c>
      <c r="AQ53" s="20" t="n">
        <v>63.61</v>
      </c>
      <c r="AR53" s="20" t="n">
        <v>63.61</v>
      </c>
      <c r="AS53" s="20" t="n">
        <v>63.61</v>
      </c>
      <c r="AT53" s="20" t="n">
        <v>63.61</v>
      </c>
      <c r="AU53" s="20" t="n">
        <v>63.61</v>
      </c>
      <c r="AV53" s="20" t="n">
        <v>63.61</v>
      </c>
      <c r="AW53" s="20" t="n">
        <v>63.61</v>
      </c>
      <c r="AX53" s="20" t="n">
        <v>63.61</v>
      </c>
      <c r="AY53" s="20" t="n">
        <v>63.61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469</v>
      </c>
      <c r="G54" s="19" t="n">
        <v>431.6</v>
      </c>
      <c r="H54" s="19" t="n">
        <v>738.59</v>
      </c>
      <c r="I54" s="19" t="n">
        <v>207.67</v>
      </c>
      <c r="J54" s="19" t="n">
        <v>102.4</v>
      </c>
      <c r="K54" s="19" t="n">
        <v>325.4</v>
      </c>
      <c r="L54" s="19" t="n">
        <v>0</v>
      </c>
      <c r="M54" s="19" t="n">
        <v>345.31</v>
      </c>
      <c r="N54" s="19" t="n">
        <v>345.31</v>
      </c>
      <c r="O54" s="19" t="n">
        <v>0</v>
      </c>
      <c r="P54" s="19" t="n">
        <v>341.91</v>
      </c>
      <c r="Q54" s="19" t="n">
        <v>341.91</v>
      </c>
      <c r="R54" s="19" t="n">
        <v>0</v>
      </c>
      <c r="S54" s="19" t="n">
        <v>683.8099999999999</v>
      </c>
      <c r="T54" s="83" t="n">
        <v>0</v>
      </c>
      <c r="U54" s="83" t="n">
        <v>683.8099999999999</v>
      </c>
      <c r="V54" s="83" t="n">
        <v>0</v>
      </c>
      <c r="W54" s="20" t="n">
        <v>116.06</v>
      </c>
      <c r="X54" s="20" t="n">
        <v>116.06</v>
      </c>
      <c r="Y54" s="20" t="n">
        <v>116.06</v>
      </c>
      <c r="Z54" s="20" t="n">
        <v>116.06</v>
      </c>
      <c r="AA54" s="20" t="n">
        <v>116.06</v>
      </c>
      <c r="AB54" s="20" t="n">
        <v>116.06</v>
      </c>
      <c r="AC54" s="20" t="n">
        <v>116.06</v>
      </c>
      <c r="AD54" s="20" t="n">
        <v>116.06</v>
      </c>
      <c r="AE54" s="20" t="n">
        <v>116.06</v>
      </c>
      <c r="AF54" s="20" t="n">
        <v>116.06</v>
      </c>
      <c r="AG54" s="20" t="n">
        <v>116.06</v>
      </c>
      <c r="AH54" s="20" t="n">
        <v>116.06</v>
      </c>
      <c r="AI54" s="20" t="n">
        <v>116.06</v>
      </c>
      <c r="AJ54" s="20" t="n">
        <v>116.06</v>
      </c>
      <c r="AK54" s="20" t="n">
        <v>116.06</v>
      </c>
      <c r="AL54" s="20" t="n">
        <v>116.06</v>
      </c>
      <c r="AM54" s="20" t="n">
        <v>116.06</v>
      </c>
      <c r="AN54" s="20" t="n">
        <v>116.06</v>
      </c>
      <c r="AO54" s="20" t="n">
        <v>116.06</v>
      </c>
      <c r="AP54" s="20" t="n">
        <v>116.06</v>
      </c>
      <c r="AQ54" s="20" t="n">
        <v>116.06</v>
      </c>
      <c r="AR54" s="20" t="n">
        <v>116.06</v>
      </c>
      <c r="AS54" s="20" t="n">
        <v>116.06</v>
      </c>
      <c r="AT54" s="20" t="n">
        <v>116.06</v>
      </c>
      <c r="AU54" s="20" t="n">
        <v>116.06</v>
      </c>
      <c r="AV54" s="20" t="n">
        <v>116.06</v>
      </c>
      <c r="AW54" s="20" t="n">
        <v>116.06</v>
      </c>
      <c r="AX54" s="20" t="n">
        <v>116.06</v>
      </c>
      <c r="AY54" s="20" t="n">
        <v>116.06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3" t="n">
        <v>0</v>
      </c>
      <c r="U55" s="83" t="n">
        <v>0</v>
      </c>
      <c r="V55" s="83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>
        <f>SUM(D51:D55)</f>
        <v/>
      </c>
      <c r="E56" s="35">
        <f>SUM(E51:E55)</f>
        <v/>
      </c>
      <c r="F56" s="35">
        <f>SUM(F51:F55)</f>
        <v/>
      </c>
      <c r="G56" s="35">
        <f>SUM(G51:G55)</f>
        <v/>
      </c>
      <c r="H56" s="35">
        <f>SUM(H51:H55)</f>
        <v/>
      </c>
      <c r="I56" s="35">
        <f>SUM(I51:I55)</f>
        <v/>
      </c>
      <c r="J56" s="35">
        <f>SUM(J51:J55)</f>
        <v/>
      </c>
      <c r="K56" s="35">
        <f>SUM(K51:K55)</f>
        <v/>
      </c>
      <c r="L56" s="35">
        <f>SUM(L51:L55)</f>
        <v/>
      </c>
      <c r="M56" s="35">
        <f>SUM(M51:M55)</f>
        <v/>
      </c>
      <c r="N56" s="35">
        <f>SUM(N51:N55)</f>
        <v/>
      </c>
      <c r="O56" s="35">
        <f>SUM(O51:O55)</f>
        <v/>
      </c>
      <c r="P56" s="35">
        <f>P51+P52+P53+P54+P55</f>
        <v/>
      </c>
      <c r="Q56" s="35">
        <f>Q51+Q52+Q53+Q54+Q55</f>
        <v/>
      </c>
      <c r="R56" s="35">
        <f>R51+R52+R53+R54+R55</f>
        <v/>
      </c>
      <c r="S56" s="35">
        <f>S51+S52+S53+S54+S55</f>
        <v/>
      </c>
      <c r="T56" s="84">
        <f>T51+T52+T53+T54+T55</f>
        <v/>
      </c>
      <c r="U56" s="84">
        <f>U51+U52+U53+U54+U55</f>
        <v/>
      </c>
      <c r="V56" s="84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1950.89</v>
      </c>
      <c r="F57" s="19" t="n">
        <v>12524.29</v>
      </c>
      <c r="G57" s="19" t="n">
        <v>12524.29</v>
      </c>
      <c r="H57" s="19" t="n">
        <v>12524.29</v>
      </c>
      <c r="I57" s="19" t="n">
        <v>12524.29</v>
      </c>
      <c r="J57" s="19" t="n">
        <v>12524.29</v>
      </c>
      <c r="K57" s="19" t="n">
        <v>12524.29</v>
      </c>
      <c r="L57" s="19" t="n">
        <v>12524.29</v>
      </c>
      <c r="M57" s="19" t="n">
        <v>12524.29</v>
      </c>
      <c r="N57" s="19" t="n">
        <v>12524.29</v>
      </c>
      <c r="O57" s="19" t="n">
        <v>12524.29</v>
      </c>
      <c r="P57" s="19" t="n">
        <v>12524.29</v>
      </c>
      <c r="Q57" s="19" t="n">
        <v>12524.29</v>
      </c>
      <c r="R57" s="19" t="n">
        <v>12524.29</v>
      </c>
      <c r="S57" s="19" t="n">
        <v>12524.29</v>
      </c>
      <c r="T57" s="83" t="n">
        <v>12524.29</v>
      </c>
      <c r="U57" s="83" t="n">
        <v>12524.29</v>
      </c>
      <c r="V57" s="83" t="n">
        <v>12524.29</v>
      </c>
      <c r="W57" s="20" t="n">
        <v>12349.67</v>
      </c>
      <c r="X57" s="20" t="n">
        <v>12349.67</v>
      </c>
      <c r="Y57" s="20" t="n">
        <v>12349.67</v>
      </c>
      <c r="Z57" s="20" t="n">
        <v>12349.67</v>
      </c>
      <c r="AA57" s="20" t="n">
        <v>12349.67</v>
      </c>
      <c r="AB57" s="20" t="n">
        <v>12349.67</v>
      </c>
      <c r="AC57" s="20" t="n">
        <v>12349.67</v>
      </c>
      <c r="AD57" s="20" t="n">
        <v>12349.67</v>
      </c>
      <c r="AE57" s="20" t="n">
        <v>12349.67</v>
      </c>
      <c r="AF57" s="20" t="n">
        <v>12349.67</v>
      </c>
      <c r="AG57" s="20" t="n">
        <v>12349.67</v>
      </c>
      <c r="AH57" s="20" t="n">
        <v>12349.67</v>
      </c>
      <c r="AI57" s="20" t="n">
        <v>12349.67</v>
      </c>
      <c r="AJ57" s="20" t="n">
        <v>12349.67</v>
      </c>
      <c r="AK57" s="20" t="n">
        <v>12349.67</v>
      </c>
      <c r="AL57" s="20" t="n">
        <v>12349.67</v>
      </c>
      <c r="AM57" s="20" t="n">
        <v>12349.67</v>
      </c>
      <c r="AN57" s="20" t="n">
        <v>12349.67</v>
      </c>
      <c r="AO57" s="20" t="n">
        <v>12349.67</v>
      </c>
      <c r="AP57" s="20" t="n">
        <v>12349.67</v>
      </c>
      <c r="AQ57" s="20" t="n">
        <v>12349.67</v>
      </c>
      <c r="AR57" s="20" t="n">
        <v>12349.67</v>
      </c>
      <c r="AS57" s="20" t="n">
        <v>12349.67</v>
      </c>
      <c r="AT57" s="20" t="n">
        <v>12349.67</v>
      </c>
      <c r="AU57" s="20" t="n">
        <v>12349.67</v>
      </c>
      <c r="AV57" s="20" t="n">
        <v>12349.67</v>
      </c>
      <c r="AW57" s="20" t="n">
        <v>12349.67</v>
      </c>
      <c r="AX57" s="20" t="n">
        <v>12349.67</v>
      </c>
      <c r="AY57" s="20" t="n">
        <v>12349.67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19" t="n">
        <v>0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83" t="n">
        <v>0</v>
      </c>
      <c r="U58" s="83" t="n">
        <v>0</v>
      </c>
      <c r="V58" s="83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22.09</v>
      </c>
      <c r="I59" s="19" t="n">
        <v>70.17</v>
      </c>
      <c r="J59" s="19" t="n">
        <v>89.42</v>
      </c>
      <c r="K59" s="19" t="n">
        <v>322.12</v>
      </c>
      <c r="L59" s="19" t="n">
        <v>26.56</v>
      </c>
      <c r="M59" s="19" t="n">
        <v>679.5700000000001</v>
      </c>
      <c r="N59" s="19" t="n">
        <v>480.04</v>
      </c>
      <c r="O59" s="19" t="n">
        <v>335.75</v>
      </c>
      <c r="P59" s="19" t="n">
        <v>202.66</v>
      </c>
      <c r="Q59" s="19" t="n">
        <v>202.66</v>
      </c>
      <c r="R59" s="19" t="n">
        <v>651.03</v>
      </c>
      <c r="S59" s="19" t="n">
        <v>474.11</v>
      </c>
      <c r="T59" s="83" t="n">
        <v>392.58</v>
      </c>
      <c r="U59" s="83" t="n">
        <v>440.59</v>
      </c>
      <c r="V59" s="83" t="n">
        <v>312.97</v>
      </c>
      <c r="W59" s="20" t="n">
        <v>377.28</v>
      </c>
      <c r="X59" s="20" t="n">
        <v>377.28</v>
      </c>
      <c r="Y59" s="20" t="n">
        <v>377.28</v>
      </c>
      <c r="Z59" s="20" t="n">
        <v>377.28</v>
      </c>
      <c r="AA59" s="20" t="n">
        <v>377.28</v>
      </c>
      <c r="AB59" s="20" t="n">
        <v>377.28</v>
      </c>
      <c r="AC59" s="20" t="n">
        <v>377.28</v>
      </c>
      <c r="AD59" s="20" t="n">
        <v>377.28</v>
      </c>
      <c r="AE59" s="20" t="n">
        <v>377.28</v>
      </c>
      <c r="AF59" s="20" t="n">
        <v>377.28</v>
      </c>
      <c r="AG59" s="20" t="n">
        <v>377.28</v>
      </c>
      <c r="AH59" s="20" t="n">
        <v>377.28</v>
      </c>
      <c r="AI59" s="20" t="n">
        <v>377.28</v>
      </c>
      <c r="AJ59" s="20" t="n">
        <v>377.28</v>
      </c>
      <c r="AK59" s="20" t="n">
        <v>377.28</v>
      </c>
      <c r="AL59" s="20" t="n">
        <v>377.28</v>
      </c>
      <c r="AM59" s="20" t="n">
        <v>377.28</v>
      </c>
      <c r="AN59" s="20" t="n">
        <v>377.28</v>
      </c>
      <c r="AO59" s="20" t="n">
        <v>377.28</v>
      </c>
      <c r="AP59" s="20" t="n">
        <v>377.28</v>
      </c>
      <c r="AQ59" s="20" t="n">
        <v>377.28</v>
      </c>
      <c r="AR59" s="20" t="n">
        <v>377.28</v>
      </c>
      <c r="AS59" s="20" t="n">
        <v>377.28</v>
      </c>
      <c r="AT59" s="20" t="n">
        <v>377.28</v>
      </c>
      <c r="AU59" s="20" t="n">
        <v>377.28</v>
      </c>
      <c r="AV59" s="20" t="n">
        <v>377.28</v>
      </c>
      <c r="AW59" s="20" t="n">
        <v>377.28</v>
      </c>
      <c r="AX59" s="20" t="n">
        <v>377.28</v>
      </c>
      <c r="AY59" s="20" t="n">
        <v>377.28</v>
      </c>
    </row>
    <row r="60">
      <c r="B60" s="33" t="inlineStr">
        <is>
          <t>705000 Property Maintenance (incl Repairs &amp; Parking)</t>
        </is>
      </c>
      <c r="D60" s="19" t="n">
        <v>550</v>
      </c>
      <c r="E60" s="19" t="n">
        <v>80.34999999999999</v>
      </c>
      <c r="F60" s="19" t="n">
        <v>0</v>
      </c>
      <c r="G60" s="19" t="n">
        <v>1450</v>
      </c>
      <c r="H60" s="19" t="n">
        <v>1686.72</v>
      </c>
      <c r="I60" s="19" t="n">
        <v>2080.76</v>
      </c>
      <c r="J60" s="19" t="n">
        <v>1450</v>
      </c>
      <c r="K60" s="19" t="n">
        <v>1471.02</v>
      </c>
      <c r="L60" s="19" t="n">
        <v>1581.11</v>
      </c>
      <c r="M60" s="19" t="n">
        <v>1450</v>
      </c>
      <c r="N60" s="19" t="n">
        <v>1450</v>
      </c>
      <c r="O60" s="19" t="n">
        <v>1450</v>
      </c>
      <c r="P60" s="19" t="n">
        <v>1450</v>
      </c>
      <c r="Q60" s="19" t="n">
        <v>1450</v>
      </c>
      <c r="R60" s="19" t="n">
        <v>1450</v>
      </c>
      <c r="S60" s="19" t="n">
        <v>1450</v>
      </c>
      <c r="T60" s="83" t="n">
        <v>1450</v>
      </c>
      <c r="U60" s="83" t="n">
        <v>1450</v>
      </c>
      <c r="V60" s="83" t="n">
        <v>1450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>
        <f>SUM(D57:D60)</f>
        <v/>
      </c>
      <c r="E61" s="35">
        <f>SUM(E57:E60)</f>
        <v/>
      </c>
      <c r="F61" s="35">
        <f>SUM(F57:F60)</f>
        <v/>
      </c>
      <c r="G61" s="35">
        <f>SUM(G57:G60)</f>
        <v/>
      </c>
      <c r="H61" s="35">
        <f>SUM(H57:H60)</f>
        <v/>
      </c>
      <c r="I61" s="35">
        <f>SUM(I57:I60)</f>
        <v/>
      </c>
      <c r="J61" s="35">
        <f>SUM(J57:J60)</f>
        <v/>
      </c>
      <c r="K61" s="35">
        <f>SUM(K57:K60)</f>
        <v/>
      </c>
      <c r="L61" s="35">
        <f>SUM(L57:L60)</f>
        <v/>
      </c>
      <c r="M61" s="35">
        <f>SUM(M57:M60)</f>
        <v/>
      </c>
      <c r="N61" s="35">
        <f>SUM(N57:N60)</f>
        <v/>
      </c>
      <c r="O61" s="35">
        <f>SUM(O57:O60)</f>
        <v/>
      </c>
      <c r="P61" s="35">
        <f>P57+P58+P59+P60</f>
        <v/>
      </c>
      <c r="Q61" s="35">
        <f>Q57+Q58+Q59+Q60</f>
        <v/>
      </c>
      <c r="R61" s="35">
        <f>R57+R58+R59+R60</f>
        <v/>
      </c>
      <c r="S61" s="35">
        <f>S57+S58+S59+S60</f>
        <v/>
      </c>
      <c r="T61" s="84">
        <f>T57+T58+T59+T60</f>
        <v/>
      </c>
      <c r="U61" s="84">
        <f>U57+U58+U59+U60</f>
        <v/>
      </c>
      <c r="V61" s="84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>
        <f>D33+D38+D42+D47+D50+D56+D61</f>
        <v/>
      </c>
      <c r="E62" s="35">
        <f>E33+E38+E42+E47+E50+E56+E61</f>
        <v/>
      </c>
      <c r="F62" s="35">
        <f>F33+F38+F42+F47+F50+F56+F61</f>
        <v/>
      </c>
      <c r="G62" s="35">
        <f>G33+G38+G42+G47+G50+G56+G61</f>
        <v/>
      </c>
      <c r="H62" s="35">
        <f>H33+H38+H42+H47+H50+H56+H61</f>
        <v/>
      </c>
      <c r="I62" s="35">
        <f>I33+I38+I42+I47+I50+I56+I61</f>
        <v/>
      </c>
      <c r="J62" s="35">
        <f>J33+J38+J42+J47+J50+J56+J61</f>
        <v/>
      </c>
      <c r="K62" s="35">
        <f>K33+K38+K42+K47+K50+K56+K61</f>
        <v/>
      </c>
      <c r="L62" s="35">
        <f>L33+L38+L42+L47+L50+L56+L61</f>
        <v/>
      </c>
      <c r="M62" s="35">
        <f>M33+M38+M42+M47+M50+M56+M61</f>
        <v/>
      </c>
      <c r="N62" s="35">
        <f>N33+N38+N42+N47+N50+N56+N61</f>
        <v/>
      </c>
      <c r="O62" s="35">
        <f>O33+O38+O42+O47+O50+O56+O61</f>
        <v/>
      </c>
      <c r="P62" s="35">
        <f>P33+P38+P42+P47+P50+P56+P61</f>
        <v/>
      </c>
      <c r="Q62" s="35">
        <f>Q33+Q38+Q42+Q47+Q50+Q56+Q61</f>
        <v/>
      </c>
      <c r="R62" s="35">
        <f>R33+R38+R42+R47+R50+R56+R61</f>
        <v/>
      </c>
      <c r="S62" s="35">
        <f>S33+S38+S42+S47+S50+S56+S61</f>
        <v/>
      </c>
      <c r="T62" s="84">
        <f>T33+T38+T42+T47+T50+T56+T61</f>
        <v/>
      </c>
      <c r="U62" s="84">
        <f>U33+U38+U42+U47+U50+U56+U61</f>
        <v/>
      </c>
      <c r="V62" s="84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>
        <f>D26-D62</f>
        <v/>
      </c>
      <c r="E63" s="35">
        <f>E26-E62</f>
        <v/>
      </c>
      <c r="F63" s="35">
        <f>F26-F62</f>
        <v/>
      </c>
      <c r="G63" s="35">
        <f>G26-G62</f>
        <v/>
      </c>
      <c r="H63" s="35">
        <f>H26-H62</f>
        <v/>
      </c>
      <c r="I63" s="35">
        <f>I26-I62</f>
        <v/>
      </c>
      <c r="J63" s="35">
        <f>J26-J62</f>
        <v/>
      </c>
      <c r="K63" s="35">
        <f>K26-K62</f>
        <v/>
      </c>
      <c r="L63" s="35">
        <f>L26-L62</f>
        <v/>
      </c>
      <c r="M63" s="35">
        <f>M26-M62</f>
        <v/>
      </c>
      <c r="N63" s="35">
        <f>N26-N62</f>
        <v/>
      </c>
      <c r="O63" s="35">
        <f>O26-O62</f>
        <v/>
      </c>
      <c r="P63" s="35">
        <f>P26-P62</f>
        <v/>
      </c>
      <c r="Q63" s="35">
        <f>Q26-Q62</f>
        <v/>
      </c>
      <c r="R63" s="35">
        <f>R26-R62</f>
        <v/>
      </c>
      <c r="S63" s="35">
        <f>S26-S62</f>
        <v/>
      </c>
      <c r="T63" s="84">
        <f>T26-T62</f>
        <v/>
      </c>
      <c r="U63" s="84">
        <f>U26-U62</f>
        <v/>
      </c>
      <c r="V63" s="84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" customHeight="1" s="28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2084.22</v>
      </c>
      <c r="H65" s="19" t="n">
        <v>2089.47</v>
      </c>
      <c r="I65" s="19" t="n">
        <v>2112.72</v>
      </c>
      <c r="J65" s="19" t="n">
        <v>2062.49</v>
      </c>
      <c r="K65" s="19" t="n">
        <v>2104.17</v>
      </c>
      <c r="L65" s="19" t="n">
        <v>2105.9</v>
      </c>
      <c r="M65" s="19" t="n">
        <v>2095.37</v>
      </c>
      <c r="N65" s="19" t="n">
        <v>2105.9</v>
      </c>
      <c r="O65" s="19" t="n">
        <v>2023.81</v>
      </c>
      <c r="P65" s="19" t="n">
        <v>1996.64</v>
      </c>
      <c r="Q65" s="19" t="n">
        <v>1996.64</v>
      </c>
      <c r="R65" s="19" t="n">
        <v>1996.64</v>
      </c>
      <c r="S65" s="19" t="n">
        <v>1996.64</v>
      </c>
      <c r="T65" s="83" t="n">
        <v>1996.64</v>
      </c>
      <c r="U65" s="83" t="n">
        <v>1996.64</v>
      </c>
      <c r="V65" s="83" t="n">
        <v>1996.64</v>
      </c>
      <c r="W65" s="20" t="n">
        <v>1996.64</v>
      </c>
      <c r="X65" s="20" t="n">
        <v>1996.64</v>
      </c>
      <c r="Y65" s="20" t="n">
        <v>1996.64</v>
      </c>
      <c r="Z65" s="20" t="n">
        <v>1996.64</v>
      </c>
      <c r="AA65" s="20" t="n">
        <v>1996.64</v>
      </c>
      <c r="AB65" s="20" t="n">
        <v>1996.64</v>
      </c>
      <c r="AC65" s="20" t="n">
        <v>1996.64</v>
      </c>
      <c r="AD65" s="20" t="n">
        <v>1996.64</v>
      </c>
      <c r="AE65" s="20" t="n">
        <v>1996.64</v>
      </c>
      <c r="AF65" s="20" t="n">
        <v>1996.64</v>
      </c>
      <c r="AG65" s="20" t="n">
        <v>1996.64</v>
      </c>
      <c r="AH65" s="20" t="n">
        <v>1996.64</v>
      </c>
      <c r="AI65" s="20" t="n">
        <v>1996.64</v>
      </c>
      <c r="AJ65" s="20" t="n">
        <v>1996.64</v>
      </c>
      <c r="AK65" s="20" t="n">
        <v>1996.64</v>
      </c>
      <c r="AL65" s="20" t="n">
        <v>1996.64</v>
      </c>
      <c r="AM65" s="20" t="n">
        <v>1996.64</v>
      </c>
      <c r="AN65" s="20" t="n">
        <v>1996.64</v>
      </c>
      <c r="AO65" s="20" t="n">
        <v>1996.64</v>
      </c>
      <c r="AP65" s="20" t="n">
        <v>1996.64</v>
      </c>
      <c r="AQ65" s="20" t="n">
        <v>1996.64</v>
      </c>
      <c r="AR65" s="20" t="n">
        <v>1996.64</v>
      </c>
      <c r="AS65" s="20" t="n">
        <v>1996.64</v>
      </c>
      <c r="AT65" s="20" t="n">
        <v>1996.64</v>
      </c>
      <c r="AU65" s="20" t="n">
        <v>1996.64</v>
      </c>
      <c r="AV65" s="20" t="n">
        <v>1996.64</v>
      </c>
      <c r="AW65" s="20" t="n">
        <v>1996.64</v>
      </c>
      <c r="AX65" s="20" t="n">
        <v>1996.64</v>
      </c>
      <c r="AY65" s="20" t="n">
        <v>1996.64</v>
      </c>
    </row>
    <row r="66">
      <c r="B66" s="33" t="inlineStr">
        <is>
          <t>901000 Interest Expense (incl Other Exp/Inc)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19" t="n">
        <v>0</v>
      </c>
      <c r="I66" s="19" t="n">
        <v>0</v>
      </c>
      <c r="J66" s="19" t="n">
        <v>0</v>
      </c>
      <c r="K66" s="19" t="n">
        <v>0</v>
      </c>
      <c r="L66" s="19" t="n">
        <v>0</v>
      </c>
      <c r="M66" s="19" t="n">
        <v>0</v>
      </c>
      <c r="N66" s="19" t="n">
        <v>0</v>
      </c>
      <c r="O66" s="19" t="n">
        <v>0</v>
      </c>
      <c r="P66" s="19" t="n">
        <v>0</v>
      </c>
      <c r="Q66" s="19" t="n">
        <v>0</v>
      </c>
      <c r="R66" s="19" t="n">
        <v>0</v>
      </c>
      <c r="S66" s="19" t="n">
        <v>0</v>
      </c>
      <c r="T66" s="83" t="n">
        <v>0</v>
      </c>
      <c r="U66" s="83" t="n">
        <v>0</v>
      </c>
      <c r="V66" s="83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0</v>
      </c>
      <c r="F67" s="19" t="n">
        <v>0</v>
      </c>
      <c r="G67" s="19" t="n">
        <v>0</v>
      </c>
      <c r="H67" s="19" t="n">
        <v>0</v>
      </c>
      <c r="I67" s="19" t="n">
        <v>0</v>
      </c>
      <c r="J67" s="19" t="n">
        <v>0</v>
      </c>
      <c r="K67" s="19" t="n">
        <v>0</v>
      </c>
      <c r="L67" s="19" t="n">
        <v>0</v>
      </c>
      <c r="M67" s="19" t="n">
        <v>0</v>
      </c>
      <c r="N67" s="19" t="n">
        <v>0</v>
      </c>
      <c r="O67" s="19" t="n">
        <v>0</v>
      </c>
      <c r="P67" s="19" t="n">
        <v>0</v>
      </c>
      <c r="Q67" s="19" t="n">
        <v>0</v>
      </c>
      <c r="R67" s="19" t="n">
        <v>0</v>
      </c>
      <c r="S67" s="19" t="n">
        <v>0</v>
      </c>
      <c r="T67" s="83" t="n">
        <v>0</v>
      </c>
      <c r="U67" s="83" t="n">
        <v>0</v>
      </c>
      <c r="V67" s="83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0</v>
      </c>
      <c r="AP67" s="20" t="n">
        <v>0</v>
      </c>
      <c r="AQ67" s="20" t="n">
        <v>0</v>
      </c>
      <c r="AR67" s="20" t="n">
        <v>0</v>
      </c>
      <c r="AS67" s="20" t="n">
        <v>0</v>
      </c>
      <c r="AT67" s="20" t="n">
        <v>0</v>
      </c>
      <c r="AU67" s="20" t="n">
        <v>0</v>
      </c>
      <c r="AV67" s="20" t="n">
        <v>0</v>
      </c>
      <c r="AW67" s="20" t="n">
        <v>0</v>
      </c>
      <c r="AX67" s="20" t="n">
        <v>0</v>
      </c>
      <c r="AY67" s="20" t="n">
        <v>0</v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3" t="n">
        <v>0</v>
      </c>
      <c r="U68" s="83" t="n">
        <v>0</v>
      </c>
      <c r="V68" s="83" t="n">
        <v>108.38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P65+P66+P67+P68</f>
        <v/>
      </c>
      <c r="Q69" s="35">
        <f>Q65+Q66+Q67+Q68</f>
        <v/>
      </c>
      <c r="R69" s="35">
        <f>R65+R66+R67+R68</f>
        <v/>
      </c>
      <c r="S69" s="35">
        <f>S65+S66+S67+S68</f>
        <v/>
      </c>
      <c r="T69" s="84">
        <f>T65+T66+T67+T68</f>
        <v/>
      </c>
      <c r="U69" s="84">
        <f>U65+U66+U67+U68</f>
        <v/>
      </c>
      <c r="V69" s="84">
        <f>V65+V66+V67+V68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>
        <f>D63-D69</f>
        <v/>
      </c>
      <c r="E70" s="35">
        <f>E63-E69</f>
        <v/>
      </c>
      <c r="F70" s="35">
        <f>F63-F69</f>
        <v/>
      </c>
      <c r="G70" s="35">
        <f>G63-G69</f>
        <v/>
      </c>
      <c r="H70" s="35">
        <f>H63-H69</f>
        <v/>
      </c>
      <c r="I70" s="35">
        <f>I63-I69</f>
        <v/>
      </c>
      <c r="J70" s="35">
        <f>J63-J69</f>
        <v/>
      </c>
      <c r="K70" s="35">
        <f>K63-K69</f>
        <v/>
      </c>
      <c r="L70" s="35">
        <f>L63-L69</f>
        <v/>
      </c>
      <c r="M70" s="35">
        <f>M63-M69</f>
        <v/>
      </c>
      <c r="N70" s="35">
        <f>N63-N69</f>
        <v/>
      </c>
      <c r="O70" s="35">
        <f>O63-O69</f>
        <v/>
      </c>
      <c r="P70" s="35">
        <f>P63-P69</f>
        <v/>
      </c>
      <c r="Q70" s="35">
        <f>Q63-Q69</f>
        <v/>
      </c>
      <c r="R70" s="35">
        <f>R63-R69</f>
        <v/>
      </c>
      <c r="S70" s="35">
        <f>S63-S69</f>
        <v/>
      </c>
      <c r="T70" s="84">
        <f>T63-T69</f>
        <v/>
      </c>
      <c r="U70" s="84">
        <f>U63-U69</f>
        <v/>
      </c>
      <c r="V70" s="84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ED7D31"/>
    <outlinePr summaryBelow="1" summaryRight="1"/>
    <pageSetUpPr/>
  </sheetPr>
  <dimension ref="B2:BB71"/>
  <sheetViews>
    <sheetView showGridLines="0" workbookViewId="0">
      <pane xSplit="3" ySplit="5" topLeftCell="AD6" activePane="bottomRight" state="frozen"/>
      <selection activeCell="W21" sqref="W21"/>
      <selection pane="topRight" activeCell="W21" sqref="W21"/>
      <selection pane="bottomLeft" activeCell="W21" sqref="W21"/>
      <selection pane="bottomRight" activeCell="AY13" sqref="AY13"/>
    </sheetView>
  </sheetViews>
  <sheetFormatPr baseColWidth="10" defaultColWidth="8.83203125" defaultRowHeight="15"/>
  <cols>
    <col hidden="1" width="2" customWidth="1" style="282" min="1" max="1"/>
    <col width="32" customWidth="1" style="282" min="2" max="2"/>
    <col width="10" customWidth="1" style="282" min="3" max="3"/>
    <col width="12" customWidth="1" style="282" min="4" max="39"/>
    <col width="13.33203125" customWidth="1" style="282" min="53" max="53"/>
  </cols>
  <sheetData>
    <row r="2" ht="21" customHeight="1" s="282">
      <c r="B2" s="9" t="inlineStr">
        <is>
          <t>Presidio Heights (PH) — Profit &amp; Loss</t>
        </is>
      </c>
      <c r="T2" s="24" t="n"/>
      <c r="U2" s="24" t="n"/>
    </row>
    <row r="4" ht="16" customHeight="1" s="28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01" t="inlineStr">
        <is>
          <t>Revenue Segments as % of Total (LTM)</t>
        </is>
      </c>
    </row>
    <row r="6" ht="16" customHeight="1" s="28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BA6" s="272" t="inlineStr">
        <is>
          <t>LTM May 2026</t>
        </is>
      </c>
    </row>
    <row r="7">
      <c r="B7" s="33" t="inlineStr">
        <is>
          <t xml:space="preserve">  401001 Machine</t>
        </is>
      </c>
      <c r="D7" s="19" t="n">
        <v>108612.82</v>
      </c>
      <c r="E7" s="19" t="n">
        <v>121396.9</v>
      </c>
      <c r="F7" s="19" t="n">
        <v>145502.53</v>
      </c>
      <c r="G7" s="19" t="n">
        <v>135243.93</v>
      </c>
      <c r="H7" s="19" t="n">
        <v>121180.99</v>
      </c>
      <c r="I7" s="19" t="n">
        <v>107394.6</v>
      </c>
      <c r="J7" s="19" t="n">
        <v>81107.35000000001</v>
      </c>
      <c r="K7" s="19" t="n">
        <v>89385.37</v>
      </c>
      <c r="L7" s="19" t="n">
        <v>91441.91</v>
      </c>
      <c r="M7" s="19" t="n">
        <v>92019.48</v>
      </c>
      <c r="N7" s="19" t="n">
        <v>86227.21000000001</v>
      </c>
      <c r="O7" s="19" t="n">
        <v>77109.3</v>
      </c>
      <c r="P7" s="19" t="n">
        <v>94875.78999999999</v>
      </c>
      <c r="Q7" s="19" t="n">
        <v>90071.06</v>
      </c>
      <c r="R7" s="19" t="n">
        <v>94637.59</v>
      </c>
      <c r="S7" s="19" t="n">
        <v>88446.17999999999</v>
      </c>
      <c r="T7" s="83" t="n">
        <v>86849.96000000001</v>
      </c>
      <c r="U7" s="83" t="n">
        <v>74427.92999999999</v>
      </c>
      <c r="V7" s="83" t="n">
        <v>70565.05</v>
      </c>
      <c r="W7" s="20">
        <f>W13*0.662204</f>
        <v/>
      </c>
      <c r="X7" s="20">
        <f>X13*0.662204</f>
        <v/>
      </c>
      <c r="Y7" s="20">
        <f>Y13*0.662204</f>
        <v/>
      </c>
      <c r="Z7" s="20">
        <f>Z13*0.662204</f>
        <v/>
      </c>
      <c r="AA7" s="20">
        <f>AA13*0.662204</f>
        <v/>
      </c>
      <c r="AB7" s="20">
        <f>AB13*0.662204</f>
        <v/>
      </c>
      <c r="AC7" s="20">
        <f>AC13*0.662204</f>
        <v/>
      </c>
      <c r="AD7" s="20">
        <f>AD13*0.662204</f>
        <v/>
      </c>
      <c r="AE7" s="20">
        <f>AE13*0.662204</f>
        <v/>
      </c>
      <c r="AF7" s="20">
        <f>AF13*0.662204</f>
        <v/>
      </c>
      <c r="AG7" s="20">
        <f>AG13*0.662204</f>
        <v/>
      </c>
      <c r="AH7" s="20">
        <f>AH13*0.662204</f>
        <v/>
      </c>
      <c r="AI7" s="20">
        <f>AI13*0.662204</f>
        <v/>
      </c>
      <c r="AJ7" s="20">
        <f>AJ13*0.662204</f>
        <v/>
      </c>
      <c r="AK7" s="20">
        <f>AK13*0.662204</f>
        <v/>
      </c>
      <c r="AL7" s="20">
        <f>AL13*0.662204</f>
        <v/>
      </c>
      <c r="AM7" s="20">
        <f>AM13*0.662204</f>
        <v/>
      </c>
      <c r="AN7" s="20">
        <f>AN13*0.662204</f>
        <v/>
      </c>
      <c r="AO7" s="20">
        <f>AO13*0.662204</f>
        <v/>
      </c>
      <c r="AP7" s="20">
        <f>AP13*0.662204</f>
        <v/>
      </c>
      <c r="AQ7" s="20">
        <f>AQ13*0.662204</f>
        <v/>
      </c>
      <c r="AR7" s="20">
        <f>AR13*0.662204</f>
        <v/>
      </c>
      <c r="AS7" s="20">
        <f>AS13*0.662204</f>
        <v/>
      </c>
      <c r="AT7" s="20">
        <f>AT13*0.662204</f>
        <v/>
      </c>
      <c r="AU7" s="20">
        <f>AU13*0.662204</f>
        <v/>
      </c>
      <c r="AV7" s="20">
        <f>AV13*0.662204</f>
        <v/>
      </c>
      <c r="AW7" s="20">
        <f>AW13*0.662204</f>
        <v/>
      </c>
      <c r="AX7" s="20">
        <f>AX13*0.662204</f>
        <v/>
      </c>
      <c r="AY7" s="20">
        <f>AY13*0.662204</f>
        <v/>
      </c>
      <c r="BA7" s="288">
        <f>SUM(I7:T7)</f>
        <v/>
      </c>
      <c r="BB7" s="274">
        <f>BA7/$BA$22</f>
        <v/>
      </c>
    </row>
    <row r="8">
      <c r="B8" s="33" t="inlineStr">
        <is>
          <t xml:space="preserve">  401002 Private Pilates</t>
        </is>
      </c>
      <c r="D8" s="19" t="n">
        <v>14430.5</v>
      </c>
      <c r="E8" s="19" t="n">
        <v>16687.5</v>
      </c>
      <c r="F8" s="19" t="n">
        <v>21714</v>
      </c>
      <c r="G8" s="19" t="n">
        <v>22889</v>
      </c>
      <c r="H8" s="19" t="n">
        <v>15965</v>
      </c>
      <c r="I8" s="19" t="n">
        <v>11290</v>
      </c>
      <c r="J8" s="19" t="n">
        <v>7310.22</v>
      </c>
      <c r="K8" s="19" t="n">
        <v>8288.469999999999</v>
      </c>
      <c r="L8" s="19" t="n">
        <v>8184.83</v>
      </c>
      <c r="M8" s="19" t="n">
        <v>9139.110000000001</v>
      </c>
      <c r="N8" s="19" t="n">
        <v>5071</v>
      </c>
      <c r="O8" s="19" t="n">
        <v>5917.5</v>
      </c>
      <c r="P8" s="19" t="n">
        <v>7294.5</v>
      </c>
      <c r="Q8" s="19" t="n">
        <v>8852</v>
      </c>
      <c r="R8" s="19" t="n">
        <v>7516.6</v>
      </c>
      <c r="S8" s="19" t="n">
        <v>6803.2</v>
      </c>
      <c r="T8" s="83" t="n">
        <v>7098.06</v>
      </c>
      <c r="U8" s="83" t="n">
        <v>6804.67</v>
      </c>
      <c r="V8" s="83" t="n">
        <v>7800</v>
      </c>
      <c r="W8" s="20">
        <f>W13*0.054819</f>
        <v/>
      </c>
      <c r="X8" s="20">
        <f>X13*0.054819</f>
        <v/>
      </c>
      <c r="Y8" s="20">
        <f>Y13*0.054819</f>
        <v/>
      </c>
      <c r="Z8" s="20">
        <f>Z13*0.054819</f>
        <v/>
      </c>
      <c r="AA8" s="20">
        <f>AA13*0.054819</f>
        <v/>
      </c>
      <c r="AB8" s="20">
        <f>AB13*0.054819</f>
        <v/>
      </c>
      <c r="AC8" s="20">
        <f>AC13*0.054819</f>
        <v/>
      </c>
      <c r="AD8" s="20">
        <f>AD13*0.054819</f>
        <v/>
      </c>
      <c r="AE8" s="20">
        <f>AE13*0.054819</f>
        <v/>
      </c>
      <c r="AF8" s="20">
        <f>AF13*0.054819</f>
        <v/>
      </c>
      <c r="AG8" s="20">
        <f>AG13*0.054819</f>
        <v/>
      </c>
      <c r="AH8" s="20">
        <f>AH13*0.054819</f>
        <v/>
      </c>
      <c r="AI8" s="20">
        <f>AI13*0.054819</f>
        <v/>
      </c>
      <c r="AJ8" s="20">
        <f>AJ13*0.054819</f>
        <v/>
      </c>
      <c r="AK8" s="20">
        <f>AK13*0.054819</f>
        <v/>
      </c>
      <c r="AL8" s="20">
        <f>AL13*0.054819</f>
        <v/>
      </c>
      <c r="AM8" s="20">
        <f>AM13*0.054819</f>
        <v/>
      </c>
      <c r="AN8" s="20">
        <f>AN13*0.054819</f>
        <v/>
      </c>
      <c r="AO8" s="20">
        <f>AO13*0.054819</f>
        <v/>
      </c>
      <c r="AP8" s="20">
        <f>AP13*0.054819</f>
        <v/>
      </c>
      <c r="AQ8" s="20">
        <f>AQ13*0.054819</f>
        <v/>
      </c>
      <c r="AR8" s="20">
        <f>AR13*0.054819</f>
        <v/>
      </c>
      <c r="AS8" s="20">
        <f>AS13*0.054819</f>
        <v/>
      </c>
      <c r="AT8" s="20">
        <f>AT13*0.054819</f>
        <v/>
      </c>
      <c r="AU8" s="20">
        <f>AU13*0.054819</f>
        <v/>
      </c>
      <c r="AV8" s="20">
        <f>AV13*0.054819</f>
        <v/>
      </c>
      <c r="AW8" s="20">
        <f>AW13*0.054819</f>
        <v/>
      </c>
      <c r="AX8" s="20">
        <f>AX13*0.054819</f>
        <v/>
      </c>
      <c r="AY8" s="20">
        <f>AY13*0.054819</f>
        <v/>
      </c>
      <c r="BA8" s="288">
        <f>SUM(I8:T8)</f>
        <v/>
      </c>
      <c r="BB8" s="274">
        <f>BA8/$BA$22</f>
        <v/>
      </c>
    </row>
    <row r="9">
      <c r="B9" s="33" t="inlineStr">
        <is>
          <t xml:space="preserve">  401003 Class Pass</t>
        </is>
      </c>
      <c r="D9" s="19" t="n">
        <v>6706.19</v>
      </c>
      <c r="E9" s="19" t="n">
        <v>7881.09</v>
      </c>
      <c r="F9" s="19" t="n">
        <v>10700.77</v>
      </c>
      <c r="G9" s="19" t="n">
        <v>11779.51</v>
      </c>
      <c r="H9" s="19" t="n">
        <v>9311.790000000001</v>
      </c>
      <c r="I9" s="19" t="n">
        <v>11135.65</v>
      </c>
      <c r="J9" s="19" t="n">
        <v>10157.26</v>
      </c>
      <c r="K9" s="19" t="n">
        <v>12755.06</v>
      </c>
      <c r="L9" s="19" t="n">
        <v>13514.07</v>
      </c>
      <c r="M9" s="19" t="n">
        <v>14586.96</v>
      </c>
      <c r="N9" s="19" t="n">
        <v>15677.31</v>
      </c>
      <c r="O9" s="19" t="n">
        <v>15148</v>
      </c>
      <c r="P9" s="19" t="n">
        <v>19124.53</v>
      </c>
      <c r="Q9" s="19" t="n">
        <v>17656.36</v>
      </c>
      <c r="R9" s="19" t="n">
        <v>21495.08</v>
      </c>
      <c r="S9" s="19" t="n">
        <v>21146</v>
      </c>
      <c r="T9" s="83" t="n">
        <v>20464.52</v>
      </c>
      <c r="U9" s="83" t="n">
        <v>21219.13</v>
      </c>
      <c r="V9" s="83" t="n">
        <v>19210</v>
      </c>
      <c r="W9" s="20">
        <f>W13*0.142905</f>
        <v/>
      </c>
      <c r="X9" s="20">
        <f>X13*0.142905</f>
        <v/>
      </c>
      <c r="Y9" s="20">
        <f>Y13*0.142905</f>
        <v/>
      </c>
      <c r="Z9" s="20">
        <f>Z13*0.142905</f>
        <v/>
      </c>
      <c r="AA9" s="20">
        <f>AA13*0.142905</f>
        <v/>
      </c>
      <c r="AB9" s="20">
        <f>AB13*0.142905</f>
        <v/>
      </c>
      <c r="AC9" s="20">
        <f>AC13*0.142905</f>
        <v/>
      </c>
      <c r="AD9" s="20">
        <f>AD13*0.142905</f>
        <v/>
      </c>
      <c r="AE9" s="20">
        <f>AE13*0.142905</f>
        <v/>
      </c>
      <c r="AF9" s="20">
        <f>AF13*0.142905</f>
        <v/>
      </c>
      <c r="AG9" s="20">
        <f>AG13*0.142905</f>
        <v/>
      </c>
      <c r="AH9" s="20">
        <f>AH13*0.142905</f>
        <v/>
      </c>
      <c r="AI9" s="20">
        <f>AI13*0.142905</f>
        <v/>
      </c>
      <c r="AJ9" s="20">
        <f>AJ13*0.142905</f>
        <v/>
      </c>
      <c r="AK9" s="20">
        <f>AK13*0.142905</f>
        <v/>
      </c>
      <c r="AL9" s="20">
        <f>AL13*0.142905</f>
        <v/>
      </c>
      <c r="AM9" s="20">
        <f>AM13*0.142905</f>
        <v/>
      </c>
      <c r="AN9" s="20">
        <f>AN13*0.142905</f>
        <v/>
      </c>
      <c r="AO9" s="20">
        <f>AO13*0.142905</f>
        <v/>
      </c>
      <c r="AP9" s="20">
        <f>AP13*0.142905</f>
        <v/>
      </c>
      <c r="AQ9" s="20">
        <f>AQ13*0.142905</f>
        <v/>
      </c>
      <c r="AR9" s="20">
        <f>AR13*0.142905</f>
        <v/>
      </c>
      <c r="AS9" s="20">
        <f>AS13*0.142905</f>
        <v/>
      </c>
      <c r="AT9" s="20">
        <f>AT13*0.142905</f>
        <v/>
      </c>
      <c r="AU9" s="20">
        <f>AU13*0.142905</f>
        <v/>
      </c>
      <c r="AV9" s="20">
        <f>AV13*0.142905</f>
        <v/>
      </c>
      <c r="AW9" s="20">
        <f>AW13*0.142905</f>
        <v/>
      </c>
      <c r="AX9" s="20">
        <f>AX13*0.142905</f>
        <v/>
      </c>
      <c r="AY9" s="20">
        <f>AY13*0.142905</f>
        <v/>
      </c>
      <c r="BA9" s="288">
        <f>SUM(I9:T9)</f>
        <v/>
      </c>
      <c r="BB9" s="274">
        <f>BA9/$BA$22</f>
        <v/>
      </c>
    </row>
    <row r="10">
      <c r="B10" s="33" t="inlineStr">
        <is>
          <t xml:space="preserve">  401004 Mighty Teacher Training</t>
        </is>
      </c>
      <c r="D10" s="19" t="n">
        <v>2240</v>
      </c>
      <c r="E10" s="19" t="n">
        <v>960</v>
      </c>
      <c r="F10" s="19" t="n">
        <v>0</v>
      </c>
      <c r="G10" s="19" t="n">
        <v>0</v>
      </c>
      <c r="H10" s="19" t="n">
        <v>320</v>
      </c>
      <c r="I10" s="19" t="n">
        <v>1500</v>
      </c>
      <c r="J10" s="19" t="n">
        <v>4080</v>
      </c>
      <c r="K10" s="19" t="n">
        <v>640</v>
      </c>
      <c r="L10" s="19" t="n">
        <v>320</v>
      </c>
      <c r="M10" s="19" t="n">
        <v>160</v>
      </c>
      <c r="N10" s="19" t="n">
        <v>0</v>
      </c>
      <c r="O10" s="19" t="n">
        <v>0</v>
      </c>
      <c r="P10" s="19" t="n">
        <v>53914</v>
      </c>
      <c r="Q10" s="19" t="n">
        <v>0</v>
      </c>
      <c r="R10" s="19" t="n">
        <v>0</v>
      </c>
      <c r="S10" s="19" t="n">
        <v>0</v>
      </c>
      <c r="T10" s="83" t="n">
        <v>0</v>
      </c>
      <c r="U10" s="83" t="n">
        <v>0</v>
      </c>
      <c r="V10" s="83" t="n">
        <v>0</v>
      </c>
      <c r="W10" s="20">
        <f>W13*0.124223</f>
        <v/>
      </c>
      <c r="X10" s="20">
        <f>X13*0.124223</f>
        <v/>
      </c>
      <c r="Y10" s="20">
        <f>Y13*0.124223</f>
        <v/>
      </c>
      <c r="Z10" s="20">
        <f>Z13*0.124223</f>
        <v/>
      </c>
      <c r="AA10" s="20">
        <f>AA13*0.124223</f>
        <v/>
      </c>
      <c r="AB10" s="20">
        <f>AB13*0.124223</f>
        <v/>
      </c>
      <c r="AC10" s="20">
        <f>AC13*0.124223</f>
        <v/>
      </c>
      <c r="AD10" s="20">
        <f>AD13*0.124223</f>
        <v/>
      </c>
      <c r="AE10" s="20">
        <f>AE13*0.124223</f>
        <v/>
      </c>
      <c r="AF10" s="20">
        <f>AF13*0.124223</f>
        <v/>
      </c>
      <c r="AG10" s="20">
        <f>AG13*0.124223</f>
        <v/>
      </c>
      <c r="AH10" s="20">
        <f>AH13*0.124223</f>
        <v/>
      </c>
      <c r="AI10" s="20">
        <f>AI13*0.124223</f>
        <v/>
      </c>
      <c r="AJ10" s="20">
        <f>AJ13*0.124223</f>
        <v/>
      </c>
      <c r="AK10" s="20">
        <f>AK13*0.124223</f>
        <v/>
      </c>
      <c r="AL10" s="20">
        <f>AL13*0.124223</f>
        <v/>
      </c>
      <c r="AM10" s="20">
        <f>AM13*0.124223</f>
        <v/>
      </c>
      <c r="AN10" s="20">
        <f>AN13*0.124223</f>
        <v/>
      </c>
      <c r="AO10" s="20">
        <f>AO13*0.124223</f>
        <v/>
      </c>
      <c r="AP10" s="20">
        <f>AP13*0.124223</f>
        <v/>
      </c>
      <c r="AQ10" s="20">
        <f>AQ13*0.124223</f>
        <v/>
      </c>
      <c r="AR10" s="20">
        <f>AR13*0.124223</f>
        <v/>
      </c>
      <c r="AS10" s="20">
        <f>AS13*0.124223</f>
        <v/>
      </c>
      <c r="AT10" s="20">
        <f>AT13*0.124223</f>
        <v/>
      </c>
      <c r="AU10" s="20">
        <f>AU13*0.124223</f>
        <v/>
      </c>
      <c r="AV10" s="20">
        <f>AV13*0.124223</f>
        <v/>
      </c>
      <c r="AW10" s="20">
        <f>AW13*0.124223</f>
        <v/>
      </c>
      <c r="AX10" s="20">
        <f>AX13*0.124223</f>
        <v/>
      </c>
      <c r="AY10" s="20">
        <f>AY13*0.124223</f>
        <v/>
      </c>
      <c r="BA10" s="288">
        <f>SUM(I10:T10)</f>
        <v/>
      </c>
      <c r="BB10" s="274">
        <f>BA10/$BA$22</f>
        <v/>
      </c>
    </row>
    <row r="11">
      <c r="B11" s="33" t="inlineStr">
        <is>
          <t xml:space="preserve">  401005 Livestream Classes</t>
        </is>
      </c>
      <c r="D11" s="19" t="n">
        <v>1196.41</v>
      </c>
      <c r="E11" s="19" t="n">
        <v>934.02</v>
      </c>
      <c r="F11" s="19" t="n">
        <v>971</v>
      </c>
      <c r="G11" s="19" t="n">
        <v>790.86</v>
      </c>
      <c r="H11" s="19" t="n">
        <v>779.6</v>
      </c>
      <c r="I11" s="19" t="n">
        <v>747.34</v>
      </c>
      <c r="J11" s="19" t="n">
        <v>774.02</v>
      </c>
      <c r="K11" s="19" t="n">
        <v>930.26</v>
      </c>
      <c r="L11" s="19" t="n">
        <v>623.0599999999999</v>
      </c>
      <c r="M11" s="19" t="n">
        <v>446.54</v>
      </c>
      <c r="N11" s="19" t="n">
        <v>424.05</v>
      </c>
      <c r="O11" s="19" t="n">
        <v>498.36</v>
      </c>
      <c r="P11" s="19" t="n">
        <v>478.66</v>
      </c>
      <c r="Q11" s="19" t="n">
        <v>402.78</v>
      </c>
      <c r="R11" s="19" t="n">
        <v>434.62</v>
      </c>
      <c r="S11" s="19" t="n">
        <v>431.28</v>
      </c>
      <c r="T11" s="83" t="n">
        <v>419.47</v>
      </c>
      <c r="U11" s="83" t="n">
        <v>236.25</v>
      </c>
      <c r="V11" s="83" t="n">
        <v>220.46</v>
      </c>
      <c r="W11" s="20">
        <f>W13*0.003144</f>
        <v/>
      </c>
      <c r="X11" s="20">
        <f>X13*0.003144</f>
        <v/>
      </c>
      <c r="Y11" s="20">
        <f>Y13*0.003144</f>
        <v/>
      </c>
      <c r="Z11" s="20">
        <f>Z13*0.003144</f>
        <v/>
      </c>
      <c r="AA11" s="20">
        <f>AA13*0.003144</f>
        <v/>
      </c>
      <c r="AB11" s="20">
        <f>AB13*0.003144</f>
        <v/>
      </c>
      <c r="AC11" s="20">
        <f>AC13*0.003144</f>
        <v/>
      </c>
      <c r="AD11" s="20">
        <f>AD13*0.003144</f>
        <v/>
      </c>
      <c r="AE11" s="20">
        <f>AE13*0.003144</f>
        <v/>
      </c>
      <c r="AF11" s="20">
        <f>AF13*0.003144</f>
        <v/>
      </c>
      <c r="AG11" s="20">
        <f>AG13*0.003144</f>
        <v/>
      </c>
      <c r="AH11" s="20">
        <f>AH13*0.003144</f>
        <v/>
      </c>
      <c r="AI11" s="20">
        <f>AI13*0.003144</f>
        <v/>
      </c>
      <c r="AJ11" s="20">
        <f>AJ13*0.003144</f>
        <v/>
      </c>
      <c r="AK11" s="20">
        <f>AK13*0.003144</f>
        <v/>
      </c>
      <c r="AL11" s="20">
        <f>AL13*0.003144</f>
        <v/>
      </c>
      <c r="AM11" s="20">
        <f>AM13*0.003144</f>
        <v/>
      </c>
      <c r="AN11" s="20">
        <f>AN13*0.003144</f>
        <v/>
      </c>
      <c r="AO11" s="20">
        <f>AO13*0.003144</f>
        <v/>
      </c>
      <c r="AP11" s="20">
        <f>AP13*0.003144</f>
        <v/>
      </c>
      <c r="AQ11" s="20">
        <f>AQ13*0.003144</f>
        <v/>
      </c>
      <c r="AR11" s="20">
        <f>AR13*0.003144</f>
        <v/>
      </c>
      <c r="AS11" s="20">
        <f>AS13*0.003144</f>
        <v/>
      </c>
      <c r="AT11" s="20">
        <f>AT13*0.003144</f>
        <v/>
      </c>
      <c r="AU11" s="20">
        <f>AU13*0.003144</f>
        <v/>
      </c>
      <c r="AV11" s="20">
        <f>AV13*0.003144</f>
        <v/>
      </c>
      <c r="AW11" s="20">
        <f>AW13*0.003144</f>
        <v/>
      </c>
      <c r="AX11" s="20">
        <f>AX13*0.003144</f>
        <v/>
      </c>
      <c r="AY11" s="20">
        <f>AY13*0.003144</f>
        <v/>
      </c>
      <c r="BA11" s="288">
        <f>SUM(I11:T11)</f>
        <v/>
      </c>
      <c r="BB11" s="274">
        <f>BA11/$BA$22</f>
        <v/>
      </c>
    </row>
    <row r="12">
      <c r="B12" s="33" t="inlineStr">
        <is>
          <t xml:space="preserve">  401006 Wellhub</t>
        </is>
      </c>
      <c r="D12" s="19" t="n">
        <v>2706.85</v>
      </c>
      <c r="E12" s="19" t="n">
        <v>2826.44</v>
      </c>
      <c r="F12" s="19" t="n">
        <v>3686.01</v>
      </c>
      <c r="G12" s="19" t="n">
        <v>2840.33</v>
      </c>
      <c r="H12" s="19" t="n">
        <v>2094.79</v>
      </c>
      <c r="I12" s="19" t="n">
        <v>2278.41</v>
      </c>
      <c r="J12" s="19" t="n">
        <v>2092.04</v>
      </c>
      <c r="K12" s="19" t="n">
        <v>2592.8</v>
      </c>
      <c r="L12" s="19" t="n">
        <v>2041.96</v>
      </c>
      <c r="M12" s="19" t="n">
        <v>2172.73</v>
      </c>
      <c r="N12" s="19" t="n">
        <v>2061.45</v>
      </c>
      <c r="O12" s="19" t="n">
        <v>1493.93</v>
      </c>
      <c r="P12" s="19" t="n">
        <v>2016.91</v>
      </c>
      <c r="Q12" s="19" t="n">
        <v>920.83</v>
      </c>
      <c r="R12" s="19" t="n">
        <v>1855.57</v>
      </c>
      <c r="S12" s="19" t="n">
        <v>2267.29</v>
      </c>
      <c r="T12" s="83" t="n">
        <v>2108.74</v>
      </c>
      <c r="U12" s="83" t="n">
        <v>2175.48</v>
      </c>
      <c r="V12" s="83" t="n">
        <v>1708.12</v>
      </c>
      <c r="W12" s="20">
        <f>W13*0.012704</f>
        <v/>
      </c>
      <c r="X12" s="20">
        <f>X13*0.012704</f>
        <v/>
      </c>
      <c r="Y12" s="20">
        <f>Y13*0.012704</f>
        <v/>
      </c>
      <c r="Z12" s="20">
        <f>Z13*0.012704</f>
        <v/>
      </c>
      <c r="AA12" s="20">
        <f>AA13*0.012704</f>
        <v/>
      </c>
      <c r="AB12" s="20">
        <f>AB13*0.012704</f>
        <v/>
      </c>
      <c r="AC12" s="20">
        <f>AC13*0.012704</f>
        <v/>
      </c>
      <c r="AD12" s="20">
        <f>AD13*0.012704</f>
        <v/>
      </c>
      <c r="AE12" s="20">
        <f>AE13*0.012704</f>
        <v/>
      </c>
      <c r="AF12" s="20">
        <f>AF13*0.012704</f>
        <v/>
      </c>
      <c r="AG12" s="20">
        <f>AG13*0.012704</f>
        <v/>
      </c>
      <c r="AH12" s="20">
        <f>AH13*0.012704</f>
        <v/>
      </c>
      <c r="AI12" s="20">
        <f>AI13*0.012704</f>
        <v/>
      </c>
      <c r="AJ12" s="20">
        <f>AJ13*0.012704</f>
        <v/>
      </c>
      <c r="AK12" s="20">
        <f>AK13*0.012704</f>
        <v/>
      </c>
      <c r="AL12" s="20">
        <f>AL13*0.012704</f>
        <v/>
      </c>
      <c r="AM12" s="20">
        <f>AM13*0.012704</f>
        <v/>
      </c>
      <c r="AN12" s="20">
        <f>AN13*0.012704</f>
        <v/>
      </c>
      <c r="AO12" s="20">
        <f>AO13*0.012704</f>
        <v/>
      </c>
      <c r="AP12" s="20">
        <f>AP13*0.012704</f>
        <v/>
      </c>
      <c r="AQ12" s="20">
        <f>AQ13*0.012704</f>
        <v/>
      </c>
      <c r="AR12" s="20">
        <f>AR13*0.012704</f>
        <v/>
      </c>
      <c r="AS12" s="20">
        <f>AS13*0.012704</f>
        <v/>
      </c>
      <c r="AT12" s="20">
        <f>AT13*0.012704</f>
        <v/>
      </c>
      <c r="AU12" s="20">
        <f>AU13*0.012704</f>
        <v/>
      </c>
      <c r="AV12" s="20">
        <f>AV13*0.012704</f>
        <v/>
      </c>
      <c r="AW12" s="20">
        <f>AW13*0.012704</f>
        <v/>
      </c>
      <c r="AX12" s="20">
        <f>AX13*0.012704</f>
        <v/>
      </c>
      <c r="AY12" s="20">
        <f>AY13*0.012704</f>
        <v/>
      </c>
      <c r="BA12" s="288">
        <f>SUM(I12:T12)</f>
        <v/>
      </c>
      <c r="BB12" s="274">
        <f>BA12/$BA$22</f>
        <v/>
      </c>
    </row>
    <row r="13">
      <c r="B13" s="32" t="inlineStr">
        <is>
          <t>Total Sessions</t>
        </is>
      </c>
      <c r="C13" s="34" t="n"/>
      <c r="D13" s="35">
        <f>SUM(D7:D12)</f>
        <v/>
      </c>
      <c r="E13" s="35">
        <f>SUM(E7:E12)</f>
        <v/>
      </c>
      <c r="F13" s="35">
        <f>SUM(F7:F12)</f>
        <v/>
      </c>
      <c r="G13" s="35">
        <f>SUM(G7:G12)</f>
        <v/>
      </c>
      <c r="H13" s="35">
        <f>SUM(H7:H12)</f>
        <v/>
      </c>
      <c r="I13" s="35">
        <f>SUM(I7:I12)</f>
        <v/>
      </c>
      <c r="J13" s="35">
        <f>SUM(J7:J12)</f>
        <v/>
      </c>
      <c r="K13" s="35">
        <f>SUM(K7:K12)</f>
        <v/>
      </c>
      <c r="L13" s="35">
        <f>SUM(L7:L12)</f>
        <v/>
      </c>
      <c r="M13" s="35">
        <f>SUM(M7:M12)</f>
        <v/>
      </c>
      <c r="N13" s="35">
        <f>SUM(N7:N12)</f>
        <v/>
      </c>
      <c r="O13" s="35">
        <f>SUM(O7:O12)</f>
        <v/>
      </c>
      <c r="P13" s="35">
        <f>P7+P8+P9+P10+P11+P12</f>
        <v/>
      </c>
      <c r="Q13" s="35">
        <f>Q7+Q8+Q9+Q10+Q11+Q12</f>
        <v/>
      </c>
      <c r="R13" s="35">
        <f>R7+R8+R9+R10+R11+R12</f>
        <v/>
      </c>
      <c r="S13" s="35">
        <f>S7+S8+S9+S10+S11+S12</f>
        <v/>
      </c>
      <c r="T13" s="84">
        <f>T7+T8+T9+T10+T11+T12</f>
        <v/>
      </c>
      <c r="U13" s="84">
        <f>U7+U8+U9+U10+U11+U12</f>
        <v/>
      </c>
      <c r="V13" s="84">
        <f>V7+V8+V9+V10+V11+V12</f>
        <v/>
      </c>
      <c r="W13" s="17">
        <f>'Sales Forecast'!W12*Assumptions!$C$12+'Sales Forecast'!V12*Assumptions!$D$12+'Sales Forecast'!U12*Assumptions!$E$12+'Sales Forecast'!T12*Assumptions!$F$12+'Sales Forecast'!S12*Assumptions!$G$12+'Sales Forecast'!R12*Assumptions!$H$12+'Sales Forecast'!Q12*Assumptions!$I$12</f>
        <v/>
      </c>
      <c r="X13" s="17">
        <f>'Sales Forecast'!X12*Assumptions!$C$12+'Sales Forecast'!W12*Assumptions!$D$12+'Sales Forecast'!V12*Assumptions!$E$12+'Sales Forecast'!U12*Assumptions!$F$12+'Sales Forecast'!T12*Assumptions!$G$12+'Sales Forecast'!S12*Assumptions!$H$12+'Sales Forecast'!R12*Assumptions!$I$12</f>
        <v/>
      </c>
      <c r="Y13" s="17">
        <f>'Sales Forecast'!Y12*Assumptions!$C$12+'Sales Forecast'!X12*Assumptions!$D$12+'Sales Forecast'!W12*Assumptions!$E$12+'Sales Forecast'!V12*Assumptions!$F$12+'Sales Forecast'!U12*Assumptions!$G$12+'Sales Forecast'!T12*Assumptions!$H$12+'Sales Forecast'!S12*Assumptions!$I$12</f>
        <v/>
      </c>
      <c r="Z13" s="17">
        <f>'Sales Forecast'!Z12*Assumptions!$C$12+'Sales Forecast'!Y12*Assumptions!$D$12+'Sales Forecast'!X12*Assumptions!$E$12+'Sales Forecast'!W12*Assumptions!$F$12+'Sales Forecast'!V12*Assumptions!$G$12+'Sales Forecast'!U12*Assumptions!$H$12+'Sales Forecast'!T12*Assumptions!$I$12</f>
        <v/>
      </c>
      <c r="AA13" s="17">
        <f>'Sales Forecast'!AA12*Assumptions!$C$12+'Sales Forecast'!Z12*Assumptions!$D$12+'Sales Forecast'!Y12*Assumptions!$E$12+'Sales Forecast'!X12*Assumptions!$F$12+'Sales Forecast'!W12*Assumptions!$G$12+'Sales Forecast'!V12*Assumptions!$H$12+'Sales Forecast'!U12*Assumptions!$I$12</f>
        <v/>
      </c>
      <c r="AB13" s="17">
        <f>'Sales Forecast'!AB12*Assumptions!$C$12+'Sales Forecast'!AA12*Assumptions!$D$12+'Sales Forecast'!Z12*Assumptions!$E$12+'Sales Forecast'!Y12*Assumptions!$F$12+'Sales Forecast'!X12*Assumptions!$G$12+'Sales Forecast'!W12*Assumptions!$H$12+'Sales Forecast'!V12*Assumptions!$I$12</f>
        <v/>
      </c>
      <c r="AC13" s="17">
        <f>'Sales Forecast'!AC12*Assumptions!$C$12+'Sales Forecast'!AB12*Assumptions!$D$12+'Sales Forecast'!AA12*Assumptions!$E$12+'Sales Forecast'!Z12*Assumptions!$F$12+'Sales Forecast'!Y12*Assumptions!$G$12+'Sales Forecast'!X12*Assumptions!$H$12+'Sales Forecast'!W12*Assumptions!$I$12</f>
        <v/>
      </c>
      <c r="AD13" s="17">
        <f>'Sales Forecast'!AD12*Assumptions!$C$12+'Sales Forecast'!AC12*Assumptions!$D$12+'Sales Forecast'!AB12*Assumptions!$E$12+'Sales Forecast'!AA12*Assumptions!$F$12+'Sales Forecast'!Z12*Assumptions!$G$12+'Sales Forecast'!Y12*Assumptions!$H$12+'Sales Forecast'!X12*Assumptions!$I$12</f>
        <v/>
      </c>
      <c r="AE13" s="17">
        <f>'Sales Forecast'!AE12*Assumptions!$C$12+'Sales Forecast'!AD12*Assumptions!$D$12+'Sales Forecast'!AC12*Assumptions!$E$12+'Sales Forecast'!AB12*Assumptions!$F$12+'Sales Forecast'!AA12*Assumptions!$G$12+'Sales Forecast'!Z12*Assumptions!$H$12+'Sales Forecast'!Y12*Assumptions!$I$12</f>
        <v/>
      </c>
      <c r="AF13" s="17">
        <f>'Sales Forecast'!AF12*Assumptions!$C$12+'Sales Forecast'!AE12*Assumptions!$D$12+'Sales Forecast'!AD12*Assumptions!$E$12+'Sales Forecast'!AC12*Assumptions!$F$12+'Sales Forecast'!AB12*Assumptions!$G$12+'Sales Forecast'!AA12*Assumptions!$H$12+'Sales Forecast'!Z12*Assumptions!$I$12</f>
        <v/>
      </c>
      <c r="AG13" s="17">
        <f>'Sales Forecast'!AG12*Assumptions!$C$12+'Sales Forecast'!AF12*Assumptions!$D$12+'Sales Forecast'!AE12*Assumptions!$E$12+'Sales Forecast'!AD12*Assumptions!$F$12+'Sales Forecast'!AC12*Assumptions!$G$12+'Sales Forecast'!AB12*Assumptions!$H$12+'Sales Forecast'!AA12*Assumptions!$I$12</f>
        <v/>
      </c>
      <c r="AH13" s="17">
        <f>'Sales Forecast'!AH12*Assumptions!$C$12+'Sales Forecast'!AG12*Assumptions!$D$12+'Sales Forecast'!AF12*Assumptions!$E$12+'Sales Forecast'!AE12*Assumptions!$F$12+'Sales Forecast'!AD12*Assumptions!$G$12+'Sales Forecast'!AC12*Assumptions!$H$12+'Sales Forecast'!AB12*Assumptions!$I$12</f>
        <v/>
      </c>
      <c r="AI13" s="17">
        <f>'Sales Forecast'!AI12*Assumptions!$C$12+'Sales Forecast'!AH12*Assumptions!$D$12+'Sales Forecast'!AG12*Assumptions!$E$12+'Sales Forecast'!AF12*Assumptions!$F$12+'Sales Forecast'!AE12*Assumptions!$G$12+'Sales Forecast'!AD12*Assumptions!$H$12+'Sales Forecast'!AC12*Assumptions!$I$12</f>
        <v/>
      </c>
      <c r="AJ13" s="17">
        <f>'Sales Forecast'!AJ12*Assumptions!$C$12+'Sales Forecast'!AI12*Assumptions!$D$12+'Sales Forecast'!AH12*Assumptions!$E$12+'Sales Forecast'!AG12*Assumptions!$F$12+'Sales Forecast'!AF12*Assumptions!$G$12+'Sales Forecast'!AE12*Assumptions!$H$12+'Sales Forecast'!AD12*Assumptions!$I$12</f>
        <v/>
      </c>
      <c r="AK13" s="17">
        <f>'Sales Forecast'!AK12*Assumptions!$C$12+'Sales Forecast'!AJ12*Assumptions!$D$12+'Sales Forecast'!AI12*Assumptions!$E$12+'Sales Forecast'!AH12*Assumptions!$F$12+'Sales Forecast'!AG12*Assumptions!$G$12+'Sales Forecast'!AF12*Assumptions!$H$12+'Sales Forecast'!AE12*Assumptions!$I$12</f>
        <v/>
      </c>
      <c r="AL13" s="17">
        <f>'Sales Forecast'!AL12*Assumptions!$C$12+'Sales Forecast'!AK12*Assumptions!$D$12+'Sales Forecast'!AJ12*Assumptions!$E$12+'Sales Forecast'!AI12*Assumptions!$F$12+'Sales Forecast'!AH12*Assumptions!$G$12+'Sales Forecast'!AG12*Assumptions!$H$12+'Sales Forecast'!AF12*Assumptions!$I$12</f>
        <v/>
      </c>
      <c r="AM13" s="17">
        <f>'Sales Forecast'!AM12*Assumptions!$C$12+'Sales Forecast'!AL12*Assumptions!$D$12+'Sales Forecast'!AK12*Assumptions!$E$12+'Sales Forecast'!AJ12*Assumptions!$F$12+'Sales Forecast'!AI12*Assumptions!$G$12+'Sales Forecast'!AH12*Assumptions!$H$12+'Sales Forecast'!AG12*Assumptions!$I$12</f>
        <v/>
      </c>
      <c r="AN13" s="17">
        <f>'Sales Forecast'!AN12*Assumptions!$C$12+'Sales Forecast'!AM12*Assumptions!$D$12+'Sales Forecast'!AL12*Assumptions!$E$12+'Sales Forecast'!AK12*Assumptions!$F$12+'Sales Forecast'!AJ12*Assumptions!$G$12+'Sales Forecast'!AI12*Assumptions!$H$12+'Sales Forecast'!AH12*Assumptions!$I$12</f>
        <v/>
      </c>
      <c r="AO13" s="17">
        <f>'Sales Forecast'!AO12*Assumptions!$C$12+'Sales Forecast'!AN12*Assumptions!$D$12+'Sales Forecast'!AM12*Assumptions!$E$12+'Sales Forecast'!AL12*Assumptions!$F$12+'Sales Forecast'!AK12*Assumptions!$G$12+'Sales Forecast'!AJ12*Assumptions!$H$12+'Sales Forecast'!AI12*Assumptions!$I$12</f>
        <v/>
      </c>
      <c r="AP13" s="17">
        <f>'Sales Forecast'!AP12*Assumptions!$C$12+'Sales Forecast'!AO12*Assumptions!$D$12+'Sales Forecast'!AN12*Assumptions!$E$12+'Sales Forecast'!AM12*Assumptions!$F$12+'Sales Forecast'!AL12*Assumptions!$G$12+'Sales Forecast'!AK12*Assumptions!$H$12+'Sales Forecast'!AJ12*Assumptions!$I$12</f>
        <v/>
      </c>
      <c r="AQ13" s="17">
        <f>'Sales Forecast'!AQ12*Assumptions!$C$12+'Sales Forecast'!AP12*Assumptions!$D$12+'Sales Forecast'!AO12*Assumptions!$E$12+'Sales Forecast'!AN12*Assumptions!$F$12+'Sales Forecast'!AM12*Assumptions!$G$12+'Sales Forecast'!AL12*Assumptions!$H$12+'Sales Forecast'!AK12*Assumptions!$I$12</f>
        <v/>
      </c>
      <c r="AR13" s="17">
        <f>'Sales Forecast'!AR12*Assumptions!$C$12+'Sales Forecast'!AQ12*Assumptions!$D$12+'Sales Forecast'!AP12*Assumptions!$E$12+'Sales Forecast'!AO12*Assumptions!$F$12+'Sales Forecast'!AN12*Assumptions!$G$12+'Sales Forecast'!AM12*Assumptions!$H$12+'Sales Forecast'!AL12*Assumptions!$I$12</f>
        <v/>
      </c>
      <c r="AS13" s="17">
        <f>'Sales Forecast'!AS12*Assumptions!$C$12+'Sales Forecast'!AR12*Assumptions!$D$12+'Sales Forecast'!AQ12*Assumptions!$E$12+'Sales Forecast'!AP12*Assumptions!$F$12+'Sales Forecast'!AO12*Assumptions!$G$12+'Sales Forecast'!AN12*Assumptions!$H$12+'Sales Forecast'!AM12*Assumptions!$I$12</f>
        <v/>
      </c>
      <c r="AT13" s="17">
        <f>'Sales Forecast'!AT12*Assumptions!$C$12+'Sales Forecast'!AS12*Assumptions!$D$12+'Sales Forecast'!AR12*Assumptions!$E$12+'Sales Forecast'!AQ12*Assumptions!$F$12+'Sales Forecast'!AP12*Assumptions!$G$12+'Sales Forecast'!AO12*Assumptions!$H$12+'Sales Forecast'!AN12*Assumptions!$I$12</f>
        <v/>
      </c>
      <c r="AU13" s="17">
        <f>'Sales Forecast'!AU12*Assumptions!$C$12+'Sales Forecast'!AT12*Assumptions!$D$12+'Sales Forecast'!AS12*Assumptions!$E$12+'Sales Forecast'!AR12*Assumptions!$F$12+'Sales Forecast'!AQ12*Assumptions!$G$12+'Sales Forecast'!AP12*Assumptions!$H$12+'Sales Forecast'!AO12*Assumptions!$I$12</f>
        <v/>
      </c>
      <c r="AV13" s="17">
        <f>'Sales Forecast'!AV12*Assumptions!$C$12+'Sales Forecast'!AU12*Assumptions!$D$12+'Sales Forecast'!AT12*Assumptions!$E$12+'Sales Forecast'!AS12*Assumptions!$F$12+'Sales Forecast'!AR12*Assumptions!$G$12+'Sales Forecast'!AQ12*Assumptions!$H$12+'Sales Forecast'!AP12*Assumptions!$I$12</f>
        <v/>
      </c>
      <c r="AW13" s="17">
        <f>'Sales Forecast'!AW12*Assumptions!$C$12+'Sales Forecast'!AV12*Assumptions!$D$12+'Sales Forecast'!AU12*Assumptions!$E$12+'Sales Forecast'!AT12*Assumptions!$F$12+'Sales Forecast'!AS12*Assumptions!$G$12+'Sales Forecast'!AR12*Assumptions!$H$12+'Sales Forecast'!AQ12*Assumptions!$I$12</f>
        <v/>
      </c>
      <c r="AX13" s="17">
        <f>'Sales Forecast'!AX12*Assumptions!$C$12+'Sales Forecast'!AW12*Assumptions!$D$12+'Sales Forecast'!AV12*Assumptions!$E$12+'Sales Forecast'!AU12*Assumptions!$F$12+'Sales Forecast'!AT12*Assumptions!$G$12+'Sales Forecast'!AS12*Assumptions!$H$12+'Sales Forecast'!AR12*Assumptions!$I$12</f>
        <v/>
      </c>
      <c r="AY13" s="17">
        <f>'Sales Forecast'!AY12*Assumptions!$C$12+'Sales Forecast'!AX12*Assumptions!$D$12+'Sales Forecast'!AW12*Assumptions!$E$12+'Sales Forecast'!AV12*Assumptions!$F$12+'Sales Forecast'!AU12*Assumptions!$G$12+'Sales Forecast'!AT12*Assumptions!$H$12+'Sales Forecast'!AS12*Assumptions!$I$12</f>
        <v/>
      </c>
      <c r="BA13" s="288" t="n"/>
    </row>
    <row r="14">
      <c r="B14" s="32" t="inlineStr">
        <is>
          <t>Revenue from Old Mighty</t>
        </is>
      </c>
      <c r="C14" s="34" t="n"/>
      <c r="D14" s="278" t="n">
        <v>78726.36</v>
      </c>
      <c r="E14" s="278" t="n">
        <v>40832.02</v>
      </c>
      <c r="F14" s="278" t="n">
        <v>31592.59</v>
      </c>
      <c r="G14" s="278" t="n">
        <v>17907.08</v>
      </c>
      <c r="H14" s="278" t="n">
        <v>13020.96</v>
      </c>
      <c r="I14" s="278" t="n">
        <v>7630.59</v>
      </c>
      <c r="J14" s="278" t="n">
        <v>4740.75</v>
      </c>
      <c r="K14" s="278" t="n">
        <v>3400.8</v>
      </c>
      <c r="L14" s="278" t="n">
        <v>1092.5</v>
      </c>
      <c r="M14" s="278" t="n">
        <v>1366.17</v>
      </c>
      <c r="N14" s="278" t="n">
        <v>421.83</v>
      </c>
      <c r="O14" s="278" t="n">
        <v>344.5</v>
      </c>
      <c r="P14" s="278" t="n">
        <v>0</v>
      </c>
      <c r="Q14" s="278" t="n">
        <v>0</v>
      </c>
      <c r="R14" s="278" t="n">
        <v>0</v>
      </c>
      <c r="S14" s="278" t="n">
        <v>0</v>
      </c>
      <c r="T14" s="84" t="n">
        <v>0</v>
      </c>
      <c r="U14" s="84" t="n">
        <v>0</v>
      </c>
      <c r="V14" s="84" t="n">
        <v>0</v>
      </c>
      <c r="W14" s="279" t="n"/>
      <c r="X14" s="279" t="n"/>
      <c r="Y14" s="279" t="n"/>
      <c r="Z14" s="279" t="n"/>
      <c r="AA14" s="279" t="n"/>
      <c r="AB14" s="279" t="n"/>
      <c r="AC14" s="279" t="n"/>
      <c r="AD14" s="279" t="n"/>
      <c r="AE14" s="279" t="n"/>
      <c r="AF14" s="279" t="n"/>
      <c r="AG14" s="279" t="n"/>
      <c r="AH14" s="279" t="n"/>
      <c r="AI14" s="279" t="n"/>
      <c r="AJ14" s="279" t="n"/>
      <c r="AK14" s="279" t="n"/>
      <c r="AL14" s="279" t="n"/>
      <c r="AM14" s="279" t="n"/>
      <c r="AN14" s="279" t="n"/>
      <c r="AO14" s="279" t="n"/>
      <c r="AP14" s="279" t="n"/>
      <c r="AQ14" s="279" t="n"/>
      <c r="AR14" s="279" t="n"/>
      <c r="AS14" s="279" t="n"/>
      <c r="AT14" s="279" t="n"/>
      <c r="AU14" s="279" t="n"/>
      <c r="AV14" s="279" t="n"/>
      <c r="AW14" s="279" t="n"/>
      <c r="AX14" s="279" t="n"/>
      <c r="AY14" s="279" t="n"/>
      <c r="BA14" s="288" t="n"/>
    </row>
    <row r="15">
      <c r="B15" s="33" t="inlineStr">
        <is>
          <t xml:space="preserve">  403001 Machine Breakage</t>
        </is>
      </c>
      <c r="D15" s="19" t="n">
        <v>26052.42</v>
      </c>
      <c r="E15" s="19" t="n">
        <v>33426.68</v>
      </c>
      <c r="F15" s="19" t="n">
        <v>42033.67</v>
      </c>
      <c r="G15" s="19" t="n">
        <v>39838.56</v>
      </c>
      <c r="H15" s="19" t="n">
        <v>56368.79</v>
      </c>
      <c r="I15" s="19" t="n">
        <v>21114.07</v>
      </c>
      <c r="J15" s="19" t="n">
        <v>19741.14</v>
      </c>
      <c r="K15" s="19" t="n">
        <v>20496.73</v>
      </c>
      <c r="L15" s="19" t="n">
        <v>48446.86</v>
      </c>
      <c r="M15" s="19" t="n">
        <v>23971.63</v>
      </c>
      <c r="N15" s="19" t="n">
        <v>43753.14</v>
      </c>
      <c r="O15" s="19" t="n">
        <v>40568.98</v>
      </c>
      <c r="P15" s="19" t="n">
        <v>15436.25</v>
      </c>
      <c r="Q15" s="19" t="n">
        <v>26948.87</v>
      </c>
      <c r="R15" s="19" t="n">
        <v>17902.42</v>
      </c>
      <c r="S15" s="19" t="n">
        <v>22292.98</v>
      </c>
      <c r="T15" s="83" t="n">
        <v>17920.73</v>
      </c>
      <c r="U15" s="83" t="n">
        <v>17706.13</v>
      </c>
      <c r="V15" s="83" t="n">
        <v>22128.57</v>
      </c>
      <c r="W15" s="20">
        <f>W18*0.90148</f>
        <v/>
      </c>
      <c r="X15" s="20">
        <f>X18*0.90148</f>
        <v/>
      </c>
      <c r="Y15" s="20">
        <f>Y18*0.90148</f>
        <v/>
      </c>
      <c r="Z15" s="20">
        <f>Z18*0.90148</f>
        <v/>
      </c>
      <c r="AA15" s="20">
        <f>AA18*0.90148</f>
        <v/>
      </c>
      <c r="AB15" s="20">
        <f>AB18*0.90148</f>
        <v/>
      </c>
      <c r="AC15" s="20">
        <f>AC18*0.90148</f>
        <v/>
      </c>
      <c r="AD15" s="20">
        <f>AD18*0.90148</f>
        <v/>
      </c>
      <c r="AE15" s="20">
        <f>AE18*0.90148</f>
        <v/>
      </c>
      <c r="AF15" s="20">
        <f>AF18*0.90148</f>
        <v/>
      </c>
      <c r="AG15" s="20">
        <f>AG18*0.90148</f>
        <v/>
      </c>
      <c r="AH15" s="20">
        <f>AH18*0.90148</f>
        <v/>
      </c>
      <c r="AI15" s="20">
        <f>AI18*0.90148</f>
        <v/>
      </c>
      <c r="AJ15" s="20">
        <f>AJ18*0.90148</f>
        <v/>
      </c>
      <c r="AK15" s="20">
        <f>AK18*0.90148</f>
        <v/>
      </c>
      <c r="AL15" s="20">
        <f>AL18*0.90148</f>
        <v/>
      </c>
      <c r="AM15" s="20">
        <f>AM18*0.90148</f>
        <v/>
      </c>
      <c r="AN15" s="20">
        <f>AN18*0.90148</f>
        <v/>
      </c>
      <c r="AO15" s="20">
        <f>AO18*0.90148</f>
        <v/>
      </c>
      <c r="AP15" s="20">
        <f>AP18*0.90148</f>
        <v/>
      </c>
      <c r="AQ15" s="20">
        <f>AQ18*0.90148</f>
        <v/>
      </c>
      <c r="AR15" s="20">
        <f>AR18*0.90148</f>
        <v/>
      </c>
      <c r="AS15" s="20">
        <f>AS18*0.90148</f>
        <v/>
      </c>
      <c r="AT15" s="20">
        <f>AT18*0.90148</f>
        <v/>
      </c>
      <c r="AU15" s="20">
        <f>AU18*0.90148</f>
        <v/>
      </c>
      <c r="AV15" s="20">
        <f>AV18*0.90148</f>
        <v/>
      </c>
      <c r="AW15" s="20">
        <f>AW18*0.90148</f>
        <v/>
      </c>
      <c r="AX15" s="20">
        <f>AX18*0.90148</f>
        <v/>
      </c>
      <c r="AY15" s="20">
        <f>AY18*0.90148</f>
        <v/>
      </c>
      <c r="BA15" s="288">
        <f>SUM(I15:T15)</f>
        <v/>
      </c>
      <c r="BB15" s="274">
        <f>BA15/$BA$22</f>
        <v/>
      </c>
    </row>
    <row r="16">
      <c r="B16" s="33" t="inlineStr">
        <is>
          <t xml:space="preserve">  403003 Private Pilates Breakage</t>
        </is>
      </c>
      <c r="D16" s="19" t="n">
        <v>2297</v>
      </c>
      <c r="E16" s="19" t="n">
        <v>5063</v>
      </c>
      <c r="F16" s="19" t="n">
        <v>5768</v>
      </c>
      <c r="G16" s="19" t="n">
        <v>7109</v>
      </c>
      <c r="H16" s="19" t="n">
        <v>4954</v>
      </c>
      <c r="I16" s="19" t="n">
        <v>2964</v>
      </c>
      <c r="J16" s="19" t="n">
        <v>2042.11</v>
      </c>
      <c r="K16" s="19" t="n">
        <v>2230.5</v>
      </c>
      <c r="L16" s="19" t="n">
        <v>838</v>
      </c>
      <c r="M16" s="19" t="n">
        <v>4985</v>
      </c>
      <c r="N16" s="19" t="n">
        <v>5215</v>
      </c>
      <c r="O16" s="19" t="n">
        <v>1558</v>
      </c>
      <c r="P16" s="19" t="n">
        <v>1382</v>
      </c>
      <c r="Q16" s="19" t="n">
        <v>1380</v>
      </c>
      <c r="R16" s="19" t="n">
        <v>3105</v>
      </c>
      <c r="S16" s="19" t="n">
        <v>3041</v>
      </c>
      <c r="T16" s="83" t="n">
        <v>610</v>
      </c>
      <c r="U16" s="83" t="n">
        <v>6320</v>
      </c>
      <c r="V16" s="83" t="n">
        <v>1602</v>
      </c>
      <c r="W16" s="20">
        <f>W18*0.097243</f>
        <v/>
      </c>
      <c r="X16" s="20">
        <f>X18*0.097243</f>
        <v/>
      </c>
      <c r="Y16" s="20">
        <f>Y18*0.097243</f>
        <v/>
      </c>
      <c r="Z16" s="20">
        <f>Z18*0.097243</f>
        <v/>
      </c>
      <c r="AA16" s="20">
        <f>AA18*0.097243</f>
        <v/>
      </c>
      <c r="AB16" s="20">
        <f>AB18*0.097243</f>
        <v/>
      </c>
      <c r="AC16" s="20">
        <f>AC18*0.097243</f>
        <v/>
      </c>
      <c r="AD16" s="20">
        <f>AD18*0.097243</f>
        <v/>
      </c>
      <c r="AE16" s="20">
        <f>AE18*0.097243</f>
        <v/>
      </c>
      <c r="AF16" s="20">
        <f>AF18*0.097243</f>
        <v/>
      </c>
      <c r="AG16" s="20">
        <f>AG18*0.097243</f>
        <v/>
      </c>
      <c r="AH16" s="20">
        <f>AH18*0.097243</f>
        <v/>
      </c>
      <c r="AI16" s="20">
        <f>AI18*0.097243</f>
        <v/>
      </c>
      <c r="AJ16" s="20">
        <f>AJ18*0.097243</f>
        <v/>
      </c>
      <c r="AK16" s="20">
        <f>AK18*0.097243</f>
        <v/>
      </c>
      <c r="AL16" s="20">
        <f>AL18*0.097243</f>
        <v/>
      </c>
      <c r="AM16" s="20">
        <f>AM18*0.097243</f>
        <v/>
      </c>
      <c r="AN16" s="20">
        <f>AN18*0.097243</f>
        <v/>
      </c>
      <c r="AO16" s="20">
        <f>AO18*0.097243</f>
        <v/>
      </c>
      <c r="AP16" s="20">
        <f>AP18*0.097243</f>
        <v/>
      </c>
      <c r="AQ16" s="20">
        <f>AQ18*0.097243</f>
        <v/>
      </c>
      <c r="AR16" s="20">
        <f>AR18*0.097243</f>
        <v/>
      </c>
      <c r="AS16" s="20">
        <f>AS18*0.097243</f>
        <v/>
      </c>
      <c r="AT16" s="20">
        <f>AT18*0.097243</f>
        <v/>
      </c>
      <c r="AU16" s="20">
        <f>AU18*0.097243</f>
        <v/>
      </c>
      <c r="AV16" s="20">
        <f>AV18*0.097243</f>
        <v/>
      </c>
      <c r="AW16" s="20">
        <f>AW18*0.097243</f>
        <v/>
      </c>
      <c r="AX16" s="20">
        <f>AX18*0.097243</f>
        <v/>
      </c>
      <c r="AY16" s="20">
        <f>AY18*0.097243</f>
        <v/>
      </c>
      <c r="BA16" s="288">
        <f>SUM(I16:T16)</f>
        <v/>
      </c>
      <c r="BB16" s="274">
        <f>BA16/$BA$22</f>
        <v/>
      </c>
    </row>
    <row r="17">
      <c r="B17" s="33" t="inlineStr">
        <is>
          <t>403004 Other Breakage (incl MTT Breakage)</t>
        </is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  <c r="I17" s="19" t="n">
        <v>3000</v>
      </c>
      <c r="J17" s="19" t="n">
        <v>15440</v>
      </c>
      <c r="K17" s="19" t="n">
        <v>23360</v>
      </c>
      <c r="L17" s="19" t="n">
        <v>0</v>
      </c>
      <c r="M17" s="19" t="n">
        <v>800</v>
      </c>
      <c r="N17" s="19" t="n">
        <v>500</v>
      </c>
      <c r="O17" s="19" t="n">
        <v>0</v>
      </c>
      <c r="P17" s="19" t="n">
        <v>0</v>
      </c>
      <c r="Q17" s="19" t="n">
        <v>0</v>
      </c>
      <c r="R17" s="19" t="n">
        <v>0</v>
      </c>
      <c r="S17" s="19" t="n">
        <v>117</v>
      </c>
      <c r="T17" s="83" t="n">
        <v>0</v>
      </c>
      <c r="U17" s="83" t="n">
        <v>0</v>
      </c>
      <c r="V17" s="83" t="n">
        <v>0</v>
      </c>
      <c r="W17" s="20">
        <f>W18*0.001277</f>
        <v/>
      </c>
      <c r="X17" s="20">
        <f>X18*0.001277</f>
        <v/>
      </c>
      <c r="Y17" s="20">
        <f>Y18*0.001277</f>
        <v/>
      </c>
      <c r="Z17" s="20">
        <f>Z18*0.001277</f>
        <v/>
      </c>
      <c r="AA17" s="20">
        <f>AA18*0.001277</f>
        <v/>
      </c>
      <c r="AB17" s="20">
        <f>AB18*0.001277</f>
        <v/>
      </c>
      <c r="AC17" s="20">
        <f>AC18*0.001277</f>
        <v/>
      </c>
      <c r="AD17" s="20">
        <f>AD18*0.001277</f>
        <v/>
      </c>
      <c r="AE17" s="20">
        <f>AE18*0.001277</f>
        <v/>
      </c>
      <c r="AF17" s="20">
        <f>AF18*0.001277</f>
        <v/>
      </c>
      <c r="AG17" s="20">
        <f>AG18*0.001277</f>
        <v/>
      </c>
      <c r="AH17" s="20">
        <f>AH18*0.001277</f>
        <v/>
      </c>
      <c r="AI17" s="20">
        <f>AI18*0.001277</f>
        <v/>
      </c>
      <c r="AJ17" s="20">
        <f>AJ18*0.001277</f>
        <v/>
      </c>
      <c r="AK17" s="20">
        <f>AK18*0.001277</f>
        <v/>
      </c>
      <c r="AL17" s="20">
        <f>AL18*0.001277</f>
        <v/>
      </c>
      <c r="AM17" s="20">
        <f>AM18*0.001277</f>
        <v/>
      </c>
      <c r="AN17" s="20">
        <f>AN18*0.001277</f>
        <v/>
      </c>
      <c r="AO17" s="20">
        <f>AO18*0.001277</f>
        <v/>
      </c>
      <c r="AP17" s="20">
        <f>AP18*0.001277</f>
        <v/>
      </c>
      <c r="AQ17" s="20">
        <f>AQ18*0.001277</f>
        <v/>
      </c>
      <c r="AR17" s="20">
        <f>AR18*0.001277</f>
        <v/>
      </c>
      <c r="AS17" s="20">
        <f>AS18*0.001277</f>
        <v/>
      </c>
      <c r="AT17" s="20">
        <f>AT18*0.001277</f>
        <v/>
      </c>
      <c r="AU17" s="20">
        <f>AU18*0.001277</f>
        <v/>
      </c>
      <c r="AV17" s="20">
        <f>AV18*0.001277</f>
        <v/>
      </c>
      <c r="AW17" s="20">
        <f>AW18*0.001277</f>
        <v/>
      </c>
      <c r="AX17" s="20">
        <f>AX18*0.001277</f>
        <v/>
      </c>
      <c r="AY17" s="20">
        <f>AY18*0.001277</f>
        <v/>
      </c>
      <c r="BA17" s="288">
        <f>SUM(I17:T17)</f>
        <v/>
      </c>
      <c r="BB17" s="274">
        <f>BA17/$BA$22</f>
        <v/>
      </c>
    </row>
    <row r="18">
      <c r="B18" s="32" t="inlineStr">
        <is>
          <t>Total Breakage Revenue</t>
        </is>
      </c>
      <c r="C18" s="34" t="n"/>
      <c r="D18" s="35">
        <f>SUM(D15:D17)</f>
        <v/>
      </c>
      <c r="E18" s="35">
        <f>SUM(E15:E17)</f>
        <v/>
      </c>
      <c r="F18" s="35">
        <f>SUM(F15:F17)</f>
        <v/>
      </c>
      <c r="G18" s="35">
        <f>SUM(G15:G17)</f>
        <v/>
      </c>
      <c r="H18" s="35">
        <f>SUM(H15:H17)</f>
        <v/>
      </c>
      <c r="I18" s="35">
        <f>SUM(I15:I17)</f>
        <v/>
      </c>
      <c r="J18" s="35">
        <f>SUM(J15:J17)</f>
        <v/>
      </c>
      <c r="K18" s="35">
        <f>SUM(K15:K17)</f>
        <v/>
      </c>
      <c r="L18" s="35">
        <f>SUM(L15:L17)</f>
        <v/>
      </c>
      <c r="M18" s="35">
        <f>SUM(M15:M17)</f>
        <v/>
      </c>
      <c r="N18" s="35">
        <f>SUM(N15:N17)</f>
        <v/>
      </c>
      <c r="O18" s="35">
        <f>SUM(O15:O17)</f>
        <v/>
      </c>
      <c r="P18" s="35">
        <f>P15+P16+P17</f>
        <v/>
      </c>
      <c r="Q18" s="35">
        <f>Q15+Q16+Q17</f>
        <v/>
      </c>
      <c r="R18" s="35">
        <f>R15+R16+R17</f>
        <v/>
      </c>
      <c r="S18" s="35">
        <f>S15+S16+S17</f>
        <v/>
      </c>
      <c r="T18" s="84">
        <f>T15+T16+T17</f>
        <v/>
      </c>
      <c r="U18" s="84">
        <f>U15+U16+U17</f>
        <v/>
      </c>
      <c r="V18" s="84">
        <f>V15+V16+V17</f>
        <v/>
      </c>
      <c r="W18" s="17">
        <f>'Sales Forecast'!W12*Assumptions!$C$13+'Sales Forecast'!V12*Assumptions!$D$13+'Sales Forecast'!U12*Assumptions!$E$13+'Sales Forecast'!T12*Assumptions!$F$13+'Sales Forecast'!S12*Assumptions!$G$13+'Sales Forecast'!R12*Assumptions!$H$13+'Sales Forecast'!Q12*Assumptions!$I$13</f>
        <v/>
      </c>
      <c r="X18" s="17">
        <f>'Sales Forecast'!X12*Assumptions!$C$13+'Sales Forecast'!W12*Assumptions!$D$13+'Sales Forecast'!V12*Assumptions!$E$13+'Sales Forecast'!U12*Assumptions!$F$13+'Sales Forecast'!T12*Assumptions!$G$13+'Sales Forecast'!S12*Assumptions!$H$13+'Sales Forecast'!R12*Assumptions!$I$13</f>
        <v/>
      </c>
      <c r="Y18" s="17">
        <f>'Sales Forecast'!Y12*Assumptions!$C$13+'Sales Forecast'!X12*Assumptions!$D$13+'Sales Forecast'!W12*Assumptions!$E$13+'Sales Forecast'!V12*Assumptions!$F$13+'Sales Forecast'!U12*Assumptions!$G$13+'Sales Forecast'!T12*Assumptions!$H$13+'Sales Forecast'!S12*Assumptions!$I$13</f>
        <v/>
      </c>
      <c r="Z18" s="17">
        <f>'Sales Forecast'!Z12*Assumptions!$C$13+'Sales Forecast'!Y12*Assumptions!$D$13+'Sales Forecast'!X12*Assumptions!$E$13+'Sales Forecast'!W12*Assumptions!$F$13+'Sales Forecast'!V12*Assumptions!$G$13+'Sales Forecast'!U12*Assumptions!$H$13+'Sales Forecast'!T12*Assumptions!$I$13</f>
        <v/>
      </c>
      <c r="AA18" s="17">
        <f>'Sales Forecast'!AA12*Assumptions!$C$13+'Sales Forecast'!Z12*Assumptions!$D$13+'Sales Forecast'!Y12*Assumptions!$E$13+'Sales Forecast'!X12*Assumptions!$F$13+'Sales Forecast'!W12*Assumptions!$G$13+'Sales Forecast'!V12*Assumptions!$H$13+'Sales Forecast'!U12*Assumptions!$I$13</f>
        <v/>
      </c>
      <c r="AB18" s="17">
        <f>'Sales Forecast'!AB12*Assumptions!$C$13+'Sales Forecast'!AA12*Assumptions!$D$13+'Sales Forecast'!Z12*Assumptions!$E$13+'Sales Forecast'!Y12*Assumptions!$F$13+'Sales Forecast'!X12*Assumptions!$G$13+'Sales Forecast'!W12*Assumptions!$H$13+'Sales Forecast'!V12*Assumptions!$I$13</f>
        <v/>
      </c>
      <c r="AC18" s="17">
        <f>'Sales Forecast'!AC12*Assumptions!$C$13+'Sales Forecast'!AB12*Assumptions!$D$13+'Sales Forecast'!AA12*Assumptions!$E$13+'Sales Forecast'!Z12*Assumptions!$F$13+'Sales Forecast'!Y12*Assumptions!$G$13+'Sales Forecast'!X12*Assumptions!$H$13+'Sales Forecast'!W12*Assumptions!$I$13</f>
        <v/>
      </c>
      <c r="AD18" s="17">
        <f>'Sales Forecast'!AD12*Assumptions!$C$13+'Sales Forecast'!AC12*Assumptions!$D$13+'Sales Forecast'!AB12*Assumptions!$E$13+'Sales Forecast'!AA12*Assumptions!$F$13+'Sales Forecast'!Z12*Assumptions!$G$13+'Sales Forecast'!Y12*Assumptions!$H$13+'Sales Forecast'!X12*Assumptions!$I$13</f>
        <v/>
      </c>
      <c r="AE18" s="17">
        <f>'Sales Forecast'!AE12*Assumptions!$C$13+'Sales Forecast'!AD12*Assumptions!$D$13+'Sales Forecast'!AC12*Assumptions!$E$13+'Sales Forecast'!AB12*Assumptions!$F$13+'Sales Forecast'!AA12*Assumptions!$G$13+'Sales Forecast'!Z12*Assumptions!$H$13+'Sales Forecast'!Y12*Assumptions!$I$13</f>
        <v/>
      </c>
      <c r="AF18" s="17">
        <f>'Sales Forecast'!AF12*Assumptions!$C$13+'Sales Forecast'!AE12*Assumptions!$D$13+'Sales Forecast'!AD12*Assumptions!$E$13+'Sales Forecast'!AC12*Assumptions!$F$13+'Sales Forecast'!AB12*Assumptions!$G$13+'Sales Forecast'!AA12*Assumptions!$H$13+'Sales Forecast'!Z12*Assumptions!$I$13</f>
        <v/>
      </c>
      <c r="AG18" s="17">
        <f>'Sales Forecast'!AG12*Assumptions!$C$13+'Sales Forecast'!AF12*Assumptions!$D$13+'Sales Forecast'!AE12*Assumptions!$E$13+'Sales Forecast'!AD12*Assumptions!$F$13+'Sales Forecast'!AC12*Assumptions!$G$13+'Sales Forecast'!AB12*Assumptions!$H$13+'Sales Forecast'!AA12*Assumptions!$I$13</f>
        <v/>
      </c>
      <c r="AH18" s="17">
        <f>'Sales Forecast'!AH12*Assumptions!$C$13+'Sales Forecast'!AG12*Assumptions!$D$13+'Sales Forecast'!AF12*Assumptions!$E$13+'Sales Forecast'!AE12*Assumptions!$F$13+'Sales Forecast'!AD12*Assumptions!$G$13+'Sales Forecast'!AC12*Assumptions!$H$13+'Sales Forecast'!AB12*Assumptions!$I$13</f>
        <v/>
      </c>
      <c r="AI18" s="17">
        <f>'Sales Forecast'!AI12*Assumptions!$C$13+'Sales Forecast'!AH12*Assumptions!$D$13+'Sales Forecast'!AG12*Assumptions!$E$13+'Sales Forecast'!AF12*Assumptions!$F$13+'Sales Forecast'!AE12*Assumptions!$G$13+'Sales Forecast'!AD12*Assumptions!$H$13+'Sales Forecast'!AC12*Assumptions!$I$13</f>
        <v/>
      </c>
      <c r="AJ18" s="17">
        <f>'Sales Forecast'!AJ12*Assumptions!$C$13+'Sales Forecast'!AI12*Assumptions!$D$13+'Sales Forecast'!AH12*Assumptions!$E$13+'Sales Forecast'!AG12*Assumptions!$F$13+'Sales Forecast'!AF12*Assumptions!$G$13+'Sales Forecast'!AE12*Assumptions!$H$13+'Sales Forecast'!AD12*Assumptions!$I$13</f>
        <v/>
      </c>
      <c r="AK18" s="17">
        <f>'Sales Forecast'!AK12*Assumptions!$C$13+'Sales Forecast'!AJ12*Assumptions!$D$13+'Sales Forecast'!AI12*Assumptions!$E$13+'Sales Forecast'!AH12*Assumptions!$F$13+'Sales Forecast'!AG12*Assumptions!$G$13+'Sales Forecast'!AF12*Assumptions!$H$13+'Sales Forecast'!AE12*Assumptions!$I$13</f>
        <v/>
      </c>
      <c r="AL18" s="17">
        <f>'Sales Forecast'!AL12*Assumptions!$C$13+'Sales Forecast'!AK12*Assumptions!$D$13+'Sales Forecast'!AJ12*Assumptions!$E$13+'Sales Forecast'!AI12*Assumptions!$F$13+'Sales Forecast'!AH12*Assumptions!$G$13+'Sales Forecast'!AG12*Assumptions!$H$13+'Sales Forecast'!AF12*Assumptions!$I$13</f>
        <v/>
      </c>
      <c r="AM18" s="17">
        <f>'Sales Forecast'!AM12*Assumptions!$C$13+'Sales Forecast'!AL12*Assumptions!$D$13+'Sales Forecast'!AK12*Assumptions!$E$13+'Sales Forecast'!AJ12*Assumptions!$F$13+'Sales Forecast'!AI12*Assumptions!$G$13+'Sales Forecast'!AH12*Assumptions!$H$13+'Sales Forecast'!AG12*Assumptions!$I$13</f>
        <v/>
      </c>
      <c r="AN18" s="17">
        <f>'Sales Forecast'!AN12*Assumptions!$C$13+'Sales Forecast'!AM12*Assumptions!$D$13+'Sales Forecast'!AL12*Assumptions!$E$13+'Sales Forecast'!AK12*Assumptions!$F$13+'Sales Forecast'!AJ12*Assumptions!$G$13+'Sales Forecast'!AI12*Assumptions!$H$13+'Sales Forecast'!AH12*Assumptions!$I$13</f>
        <v/>
      </c>
      <c r="AO18" s="17">
        <f>'Sales Forecast'!AO12*Assumptions!$C$13+'Sales Forecast'!AN12*Assumptions!$D$13+'Sales Forecast'!AM12*Assumptions!$E$13+'Sales Forecast'!AL12*Assumptions!$F$13+'Sales Forecast'!AK12*Assumptions!$G$13+'Sales Forecast'!AJ12*Assumptions!$H$13+'Sales Forecast'!AI12*Assumptions!$I$13</f>
        <v/>
      </c>
      <c r="AP18" s="17">
        <f>'Sales Forecast'!AP12*Assumptions!$C$13+'Sales Forecast'!AO12*Assumptions!$D$13+'Sales Forecast'!AN12*Assumptions!$E$13+'Sales Forecast'!AM12*Assumptions!$F$13+'Sales Forecast'!AL12*Assumptions!$G$13+'Sales Forecast'!AK12*Assumptions!$H$13+'Sales Forecast'!AJ12*Assumptions!$I$13</f>
        <v/>
      </c>
      <c r="AQ18" s="17">
        <f>'Sales Forecast'!AQ12*Assumptions!$C$13+'Sales Forecast'!AP12*Assumptions!$D$13+'Sales Forecast'!AO12*Assumptions!$E$13+'Sales Forecast'!AN12*Assumptions!$F$13+'Sales Forecast'!AM12*Assumptions!$G$13+'Sales Forecast'!AL12*Assumptions!$H$13+'Sales Forecast'!AK12*Assumptions!$I$13</f>
        <v/>
      </c>
      <c r="AR18" s="17">
        <f>'Sales Forecast'!AR12*Assumptions!$C$13+'Sales Forecast'!AQ12*Assumptions!$D$13+'Sales Forecast'!AP12*Assumptions!$E$13+'Sales Forecast'!AO12*Assumptions!$F$13+'Sales Forecast'!AN12*Assumptions!$G$13+'Sales Forecast'!AM12*Assumptions!$H$13+'Sales Forecast'!AL12*Assumptions!$I$13</f>
        <v/>
      </c>
      <c r="AS18" s="17">
        <f>'Sales Forecast'!AS12*Assumptions!$C$13+'Sales Forecast'!AR12*Assumptions!$D$13+'Sales Forecast'!AQ12*Assumptions!$E$13+'Sales Forecast'!AP12*Assumptions!$F$13+'Sales Forecast'!AO12*Assumptions!$G$13+'Sales Forecast'!AN12*Assumptions!$H$13+'Sales Forecast'!AM12*Assumptions!$I$13</f>
        <v/>
      </c>
      <c r="AT18" s="17">
        <f>'Sales Forecast'!AT12*Assumptions!$C$13+'Sales Forecast'!AS12*Assumptions!$D$13+'Sales Forecast'!AR12*Assumptions!$E$13+'Sales Forecast'!AQ12*Assumptions!$F$13+'Sales Forecast'!AP12*Assumptions!$G$13+'Sales Forecast'!AO12*Assumptions!$H$13+'Sales Forecast'!AN12*Assumptions!$I$13</f>
        <v/>
      </c>
      <c r="AU18" s="17">
        <f>'Sales Forecast'!AU12*Assumptions!$C$13+'Sales Forecast'!AT12*Assumptions!$D$13+'Sales Forecast'!AS12*Assumptions!$E$13+'Sales Forecast'!AR12*Assumptions!$F$13+'Sales Forecast'!AQ12*Assumptions!$G$13+'Sales Forecast'!AP12*Assumptions!$H$13+'Sales Forecast'!AO12*Assumptions!$I$13</f>
        <v/>
      </c>
      <c r="AV18" s="17">
        <f>'Sales Forecast'!AV12*Assumptions!$C$13+'Sales Forecast'!AU12*Assumptions!$D$13+'Sales Forecast'!AT12*Assumptions!$E$13+'Sales Forecast'!AS12*Assumptions!$F$13+'Sales Forecast'!AR12*Assumptions!$G$13+'Sales Forecast'!AQ12*Assumptions!$H$13+'Sales Forecast'!AP12*Assumptions!$I$13</f>
        <v/>
      </c>
      <c r="AW18" s="17">
        <f>'Sales Forecast'!AW12*Assumptions!$C$13+'Sales Forecast'!AV12*Assumptions!$D$13+'Sales Forecast'!AU12*Assumptions!$E$13+'Sales Forecast'!AT12*Assumptions!$F$13+'Sales Forecast'!AS12*Assumptions!$G$13+'Sales Forecast'!AR12*Assumptions!$H$13+'Sales Forecast'!AQ12*Assumptions!$I$13</f>
        <v/>
      </c>
      <c r="AX18" s="17">
        <f>'Sales Forecast'!AX12*Assumptions!$C$13+'Sales Forecast'!AW12*Assumptions!$D$13+'Sales Forecast'!AV12*Assumptions!$E$13+'Sales Forecast'!AU12*Assumptions!$F$13+'Sales Forecast'!AT12*Assumptions!$G$13+'Sales Forecast'!AS12*Assumptions!$H$13+'Sales Forecast'!AR12*Assumptions!$I$13</f>
        <v/>
      </c>
      <c r="AY18" s="17">
        <f>'Sales Forecast'!AY12*Assumptions!$C$13+'Sales Forecast'!AX12*Assumptions!$D$13+'Sales Forecast'!AW12*Assumptions!$E$13+'Sales Forecast'!AV12*Assumptions!$F$13+'Sales Forecast'!AU12*Assumptions!$G$13+'Sales Forecast'!AT12*Assumptions!$H$13+'Sales Forecast'!AS12*Assumptions!$I$13</f>
        <v/>
      </c>
      <c r="BA18" s="288" t="n"/>
    </row>
    <row r="19">
      <c r="B19" s="33" t="inlineStr">
        <is>
          <t xml:space="preserve">  404000 Retail Sales</t>
        </is>
      </c>
      <c r="D19" s="19" t="n">
        <v>4902</v>
      </c>
      <c r="E19" s="19" t="n">
        <v>5269</v>
      </c>
      <c r="F19" s="19" t="n">
        <v>4583.03</v>
      </c>
      <c r="G19" s="19" t="n">
        <v>3785</v>
      </c>
      <c r="H19" s="19" t="n">
        <v>3612</v>
      </c>
      <c r="I19" s="19" t="n">
        <v>5066</v>
      </c>
      <c r="J19" s="19" t="n">
        <v>1728</v>
      </c>
      <c r="K19" s="19" t="n">
        <v>2013</v>
      </c>
      <c r="L19" s="19" t="n">
        <v>2656</v>
      </c>
      <c r="M19" s="19" t="n">
        <v>2412</v>
      </c>
      <c r="N19" s="19" t="n">
        <v>4019</v>
      </c>
      <c r="O19" s="19" t="n">
        <v>2948</v>
      </c>
      <c r="P19" s="19" t="n">
        <v>2985</v>
      </c>
      <c r="Q19" s="19" t="n">
        <v>2271</v>
      </c>
      <c r="R19" s="19" t="n">
        <v>2066</v>
      </c>
      <c r="S19" s="19" t="n">
        <v>2762</v>
      </c>
      <c r="T19" s="83" t="n">
        <v>1844</v>
      </c>
      <c r="U19" s="83" t="n">
        <v>2102</v>
      </c>
      <c r="V19" s="83" t="n">
        <v>1216</v>
      </c>
      <c r="W19" s="20">
        <f>2521</f>
        <v/>
      </c>
      <c r="X19" s="20">
        <f>2521</f>
        <v/>
      </c>
      <c r="Y19" s="20">
        <f>2521</f>
        <v/>
      </c>
      <c r="Z19" s="20">
        <f>2521</f>
        <v/>
      </c>
      <c r="AA19" s="20">
        <f>2521</f>
        <v/>
      </c>
      <c r="AB19" s="20">
        <f>2521</f>
        <v/>
      </c>
      <c r="AC19" s="20">
        <f>2521</f>
        <v/>
      </c>
      <c r="AD19" s="20">
        <f>2521</f>
        <v/>
      </c>
      <c r="AE19" s="20">
        <f>2521</f>
        <v/>
      </c>
      <c r="AF19" s="20">
        <f>2521</f>
        <v/>
      </c>
      <c r="AG19" s="20">
        <f>2521</f>
        <v/>
      </c>
      <c r="AH19" s="20">
        <f>2521</f>
        <v/>
      </c>
      <c r="AI19" s="20">
        <f>2521</f>
        <v/>
      </c>
      <c r="AJ19" s="20">
        <f>2521</f>
        <v/>
      </c>
      <c r="AK19" s="20">
        <f>2521</f>
        <v/>
      </c>
      <c r="AL19" s="20">
        <f>2521</f>
        <v/>
      </c>
      <c r="AM19" s="20">
        <f>2521</f>
        <v/>
      </c>
      <c r="AN19" s="20">
        <f>2521</f>
        <v/>
      </c>
      <c r="AO19" s="20">
        <f>2521</f>
        <v/>
      </c>
      <c r="AP19" s="20">
        <f>2521</f>
        <v/>
      </c>
      <c r="AQ19" s="20">
        <f>2521</f>
        <v/>
      </c>
      <c r="AR19" s="20">
        <f>2521</f>
        <v/>
      </c>
      <c r="AS19" s="20">
        <f>2521</f>
        <v/>
      </c>
      <c r="AT19" s="20">
        <f>2521</f>
        <v/>
      </c>
      <c r="AU19" s="20">
        <f>2521</f>
        <v/>
      </c>
      <c r="AV19" s="20">
        <f>2521</f>
        <v/>
      </c>
      <c r="AW19" s="20">
        <f>2521</f>
        <v/>
      </c>
      <c r="AX19" s="20">
        <f>2521</f>
        <v/>
      </c>
      <c r="AY19" s="20">
        <f>2521</f>
        <v/>
      </c>
      <c r="BA19" s="288">
        <f>SUM(I19:T19)</f>
        <v/>
      </c>
      <c r="BB19" s="274">
        <f>BA19/$BA$22</f>
        <v/>
      </c>
    </row>
    <row r="20">
      <c r="B20" s="33" t="inlineStr">
        <is>
          <t xml:space="preserve">  406000 Refunds</t>
        </is>
      </c>
      <c r="D20" s="19" t="n">
        <v>-8170</v>
      </c>
      <c r="E20" s="19" t="n">
        <v>-4404</v>
      </c>
      <c r="F20" s="19" t="n">
        <v>-2952.57</v>
      </c>
      <c r="G20" s="19" t="n">
        <v>-7293.01</v>
      </c>
      <c r="H20" s="19" t="n">
        <v>-1757.01</v>
      </c>
      <c r="I20" s="19" t="n">
        <v>-664</v>
      </c>
      <c r="J20" s="19" t="n">
        <v>-2238</v>
      </c>
      <c r="K20" s="19" t="n">
        <v>-1878</v>
      </c>
      <c r="L20" s="19" t="n">
        <v>-3656</v>
      </c>
      <c r="M20" s="19" t="n">
        <v>-6118.26</v>
      </c>
      <c r="N20" s="19" t="n">
        <v>-2754.9</v>
      </c>
      <c r="O20" s="19" t="n">
        <v>-4049.5</v>
      </c>
      <c r="P20" s="19" t="n">
        <v>-3855.2</v>
      </c>
      <c r="Q20" s="19" t="n">
        <v>-3810.96</v>
      </c>
      <c r="R20" s="19" t="n">
        <v>-2727.2</v>
      </c>
      <c r="S20" s="19" t="n">
        <v>-2085</v>
      </c>
      <c r="T20" s="19" t="n">
        <v>-2125</v>
      </c>
      <c r="U20" s="19" t="n">
        <v>-2463</v>
      </c>
      <c r="V20" s="19" t="n">
        <v>0</v>
      </c>
      <c r="W20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Forecast'!Q12*Assumptions!$I$13+2521)*Assumptions!$C$17</f>
        <v/>
      </c>
      <c r="X20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Forecast'!R12*Assumptions!$I$13+2521)*Assumptions!$C$17</f>
        <v/>
      </c>
      <c r="Y20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Forecast'!S12*Assumptions!$I$13+2521)*Assumptions!$C$17</f>
        <v/>
      </c>
      <c r="Z20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Forecast'!T12*Assumptions!$I$13+2521)*Assumptions!$C$17</f>
        <v/>
      </c>
      <c r="AA20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Forecast'!U12*Assumptions!$I$13+2521)*Assumptions!$C$17</f>
        <v/>
      </c>
      <c r="AB20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Forecast'!V12*Assumptions!$I$13+2521)*Assumptions!$C$17</f>
        <v/>
      </c>
      <c r="AC20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Forecast'!W12*Assumptions!$I$13+2521)*Assumptions!$C$17</f>
        <v/>
      </c>
      <c r="AD20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Forecast'!X12*Assumptions!$I$13+2521)*Assumptions!$C$17</f>
        <v/>
      </c>
      <c r="AE20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Forecast'!Y12*Assumptions!$I$13+2521)*Assumptions!$C$17</f>
        <v/>
      </c>
      <c r="AF20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Forecast'!Z12*Assumptions!$I$13+2521)*Assumptions!$C$17</f>
        <v/>
      </c>
      <c r="AG20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Forecast'!AA12*Assumptions!$I$13+2521)*Assumptions!$C$17</f>
        <v/>
      </c>
      <c r="AH20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Forecast'!AB12*Assumptions!$I$13+2521)*Assumptions!$C$17</f>
        <v/>
      </c>
      <c r="AI20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Forecast'!AC12*Assumptions!$I$13+2521)*Assumptions!$C$17</f>
        <v/>
      </c>
      <c r="AJ20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Forecast'!AD12*Assumptions!$I$13+2521)*Assumptions!$C$17</f>
        <v/>
      </c>
      <c r="AK20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Forecast'!AE12*Assumptions!$I$13+2521)*Assumptions!$C$17</f>
        <v/>
      </c>
      <c r="AL20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Forecast'!AF12*Assumptions!$I$13+2521)*Assumptions!$C$17</f>
        <v/>
      </c>
      <c r="AM20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Forecast'!AG12*Assumptions!$I$13+2521)*Assumptions!$C$17</f>
        <v/>
      </c>
      <c r="AN20" s="20">
        <f>('Sales Forecast'!AN12*Assumptions!$C$12+'Sales Forecast'!AM12*Assumptions!$D$12+'Sales Forecast'!AL12*Assumptions!$E$12+'Sales Forecast'!AK12*Assumptions!$F$12+'Sales Forecast'!AJ12*Assumptions!$G$12+'Sales Forecast'!AI12*Assumptions!$H$12+'Sales Forecast'!AH12*Assumptions!$I$12+'Sales Forecast'!AN12*Assumptions!$C$13+'Sales Forecast'!AM12*Assumptions!$D$13+'Sales Forecast'!AL12*Assumptions!$E$13+'Sales Forecast'!AK12*Assumptions!$F$13+'Sales Forecast'!AJ12*Assumptions!$G$13+'Sales Forecast'!AI12*Assumptions!$H$13+'Sales Forecast'!AH12*Assumptions!$I$13+2521)*Assumptions!$C$17</f>
        <v/>
      </c>
      <c r="AO20" s="20">
        <f>('Sales Forecast'!AO12*Assumptions!$C$12+'Sales Forecast'!AN12*Assumptions!$D$12+'Sales Forecast'!AM12*Assumptions!$E$12+'Sales Forecast'!AL12*Assumptions!$F$12+'Sales Forecast'!AK12*Assumptions!$G$12+'Sales Forecast'!AJ12*Assumptions!$H$12+'Sales Forecast'!AI12*Assumptions!$I$12+'Sales Forecast'!AO12*Assumptions!$C$13+'Sales Forecast'!AN12*Assumptions!$D$13+'Sales Forecast'!AM12*Assumptions!$E$13+'Sales Forecast'!AL12*Assumptions!$F$13+'Sales Forecast'!AK12*Assumptions!$G$13+'Sales Forecast'!AJ12*Assumptions!$H$13+'Sales Forecast'!AI12*Assumptions!$I$13+2521)*Assumptions!$C$17</f>
        <v/>
      </c>
      <c r="AP20" s="20">
        <f>('Sales Forecast'!AP12*Assumptions!$C$12+'Sales Forecast'!AO12*Assumptions!$D$12+'Sales Forecast'!AN12*Assumptions!$E$12+'Sales Forecast'!AM12*Assumptions!$F$12+'Sales Forecast'!AL12*Assumptions!$G$12+'Sales Forecast'!AK12*Assumptions!$H$12+'Sales Forecast'!AJ12*Assumptions!$I$12+'Sales Forecast'!AP12*Assumptions!$C$13+'Sales Forecast'!AO12*Assumptions!$D$13+'Sales Forecast'!AN12*Assumptions!$E$13+'Sales Forecast'!AM12*Assumptions!$F$13+'Sales Forecast'!AL12*Assumptions!$G$13+'Sales Forecast'!AK12*Assumptions!$H$13+'Sales Forecast'!AJ12*Assumptions!$I$13+2521)*Assumptions!$C$17</f>
        <v/>
      </c>
      <c r="AQ20" s="20">
        <f>('Sales Forecast'!AQ12*Assumptions!$C$12+'Sales Forecast'!AP12*Assumptions!$D$12+'Sales Forecast'!AO12*Assumptions!$E$12+'Sales Forecast'!AN12*Assumptions!$F$12+'Sales Forecast'!AM12*Assumptions!$G$12+'Sales Forecast'!AL12*Assumptions!$H$12+'Sales Forecast'!AK12*Assumptions!$I$12+'Sales Forecast'!AQ12*Assumptions!$C$13+'Sales Forecast'!AP12*Assumptions!$D$13+'Sales Forecast'!AO12*Assumptions!$E$13+'Sales Forecast'!AN12*Assumptions!$F$13+'Sales Forecast'!AM12*Assumptions!$G$13+'Sales Forecast'!AL12*Assumptions!$H$13+'Sales Forecast'!AK12*Assumptions!$I$13+2521)*Assumptions!$C$17</f>
        <v/>
      </c>
      <c r="AR20" s="20">
        <f>('Sales Forecast'!AR12*Assumptions!$C$12+'Sales Forecast'!AQ12*Assumptions!$D$12+'Sales Forecast'!AP12*Assumptions!$E$12+'Sales Forecast'!AO12*Assumptions!$F$12+'Sales Forecast'!AN12*Assumptions!$G$12+'Sales Forecast'!AM12*Assumptions!$H$12+'Sales Forecast'!AL12*Assumptions!$I$12+'Sales Forecast'!AR12*Assumptions!$C$13+'Sales Forecast'!AQ12*Assumptions!$D$13+'Sales Forecast'!AP12*Assumptions!$E$13+'Sales Forecast'!AO12*Assumptions!$F$13+'Sales Forecast'!AN12*Assumptions!$G$13+'Sales Forecast'!AM12*Assumptions!$H$13+'Sales Forecast'!AL12*Assumptions!$I$13+2521)*Assumptions!$C$17</f>
        <v/>
      </c>
      <c r="AS20" s="20">
        <f>('Sales Forecast'!AS12*Assumptions!$C$12+'Sales Forecast'!AR12*Assumptions!$D$12+'Sales Forecast'!AQ12*Assumptions!$E$12+'Sales Forecast'!AP12*Assumptions!$F$12+'Sales Forecast'!AO12*Assumptions!$G$12+'Sales Forecast'!AN12*Assumptions!$H$12+'Sales Forecast'!AM12*Assumptions!$I$12+'Sales Forecast'!AS12*Assumptions!$C$13+'Sales Forecast'!AR12*Assumptions!$D$13+'Sales Forecast'!AQ12*Assumptions!$E$13+'Sales Forecast'!AP12*Assumptions!$F$13+'Sales Forecast'!AO12*Assumptions!$G$13+'Sales Forecast'!AN12*Assumptions!$H$13+'Sales Forecast'!AM12*Assumptions!$I$13+2521)*Assumptions!$C$17</f>
        <v/>
      </c>
      <c r="AT20" s="20">
        <f>('Sales Forecast'!AT12*Assumptions!$C$12+'Sales Forecast'!AS12*Assumptions!$D$12+'Sales Forecast'!AR12*Assumptions!$E$12+'Sales Forecast'!AQ12*Assumptions!$F$12+'Sales Forecast'!AP12*Assumptions!$G$12+'Sales Forecast'!AO12*Assumptions!$H$12+'Sales Forecast'!AN12*Assumptions!$I$12+'Sales Forecast'!AT12*Assumptions!$C$13+'Sales Forecast'!AS12*Assumptions!$D$13+'Sales Forecast'!AR12*Assumptions!$E$13+'Sales Forecast'!AQ12*Assumptions!$F$13+'Sales Forecast'!AP12*Assumptions!$G$13+'Sales Forecast'!AO12*Assumptions!$H$13+'Sales Forecast'!AN12*Assumptions!$I$13+2521)*Assumptions!$C$17</f>
        <v/>
      </c>
      <c r="AU20" s="20">
        <f>('Sales Forecast'!AU12*Assumptions!$C$12+'Sales Forecast'!AT12*Assumptions!$D$12+'Sales Forecast'!AS12*Assumptions!$E$12+'Sales Forecast'!AR12*Assumptions!$F$12+'Sales Forecast'!AQ12*Assumptions!$G$12+'Sales Forecast'!AP12*Assumptions!$H$12+'Sales Forecast'!AO12*Assumptions!$I$12+'Sales Forecast'!AU12*Assumptions!$C$13+'Sales Forecast'!AT12*Assumptions!$D$13+'Sales Forecast'!AS12*Assumptions!$E$13+'Sales Forecast'!AR12*Assumptions!$F$13+'Sales Forecast'!AQ12*Assumptions!$G$13+'Sales Forecast'!AP12*Assumptions!$H$13+'Sales Forecast'!AO12*Assumptions!$I$13+2521)*Assumptions!$C$17</f>
        <v/>
      </c>
      <c r="AV20" s="20">
        <f>('Sales Forecast'!AV12*Assumptions!$C$12+'Sales Forecast'!AU12*Assumptions!$D$12+'Sales Forecast'!AT12*Assumptions!$E$12+'Sales Forecast'!AS12*Assumptions!$F$12+'Sales Forecast'!AR12*Assumptions!$G$12+'Sales Forecast'!AQ12*Assumptions!$H$12+'Sales Forecast'!AP12*Assumptions!$I$12+'Sales Forecast'!AV12*Assumptions!$C$13+'Sales Forecast'!AU12*Assumptions!$D$13+'Sales Forecast'!AT12*Assumptions!$E$13+'Sales Forecast'!AS12*Assumptions!$F$13+'Sales Forecast'!AR12*Assumptions!$G$13+'Sales Forecast'!AQ12*Assumptions!$H$13+'Sales Forecast'!AP12*Assumptions!$I$13+2521)*Assumptions!$C$17</f>
        <v/>
      </c>
      <c r="AW20" s="20">
        <f>('Sales Forecast'!AW12*Assumptions!$C$12+'Sales Forecast'!AV12*Assumptions!$D$12+'Sales Forecast'!AU12*Assumptions!$E$12+'Sales Forecast'!AT12*Assumptions!$F$12+'Sales Forecast'!AS12*Assumptions!$G$12+'Sales Forecast'!AR12*Assumptions!$H$12+'Sales Forecast'!AQ12*Assumptions!$I$12+'Sales Forecast'!AW12*Assumptions!$C$13+'Sales Forecast'!AV12*Assumptions!$D$13+'Sales Forecast'!AU12*Assumptions!$E$13+'Sales Forecast'!AT12*Assumptions!$F$13+'Sales Forecast'!AS12*Assumptions!$G$13+'Sales Forecast'!AR12*Assumptions!$H$13+'Sales Forecast'!AQ12*Assumptions!$I$13+2521)*Assumptions!$C$17</f>
        <v/>
      </c>
      <c r="AX20" s="20">
        <f>('Sales Forecast'!AX12*Assumptions!$C$12+'Sales Forecast'!AW12*Assumptions!$D$12+'Sales Forecast'!AV12*Assumptions!$E$12+'Sales Forecast'!AU12*Assumptions!$F$12+'Sales Forecast'!AT12*Assumptions!$G$12+'Sales Forecast'!AS12*Assumptions!$H$12+'Sales Forecast'!AR12*Assumptions!$I$12+'Sales Forecast'!AX12*Assumptions!$C$13+'Sales Forecast'!AW12*Assumptions!$D$13+'Sales Forecast'!AV12*Assumptions!$E$13+'Sales Forecast'!AU12*Assumptions!$F$13+'Sales Forecast'!AT12*Assumptions!$G$13+'Sales Forecast'!AS12*Assumptions!$H$13+'Sales Forecast'!AR12*Assumptions!$I$13+2521)*Assumptions!$C$17</f>
        <v/>
      </c>
      <c r="AY20" s="20">
        <f>('Sales Forecast'!AY12*Assumptions!$C$12+'Sales Forecast'!AX12*Assumptions!$D$12+'Sales Forecast'!AW12*Assumptions!$E$12+'Sales Forecast'!AV12*Assumptions!$F$12+'Sales Forecast'!AU12*Assumptions!$G$12+'Sales Forecast'!AT12*Assumptions!$H$12+'Sales Forecast'!AS12*Assumptions!$I$12+'Sales Forecast'!AY12*Assumptions!$C$13+'Sales Forecast'!AX12*Assumptions!$D$13+'Sales Forecast'!AW12*Assumptions!$E$13+'Sales Forecast'!AV12*Assumptions!$F$13+'Sales Forecast'!AU12*Assumptions!$G$13+'Sales Forecast'!AT12*Assumptions!$H$13+'Sales Forecast'!AS12*Assumptions!$I$13+2521)*Assumptions!$C$17</f>
        <v/>
      </c>
      <c r="BA20" s="288">
        <f>SUM(I20:T20)</f>
        <v/>
      </c>
      <c r="BB20" s="274">
        <f>BA20/$BA$22</f>
        <v/>
      </c>
    </row>
    <row r="21">
      <c r="B21" s="33" t="inlineStr">
        <is>
          <t xml:space="preserve">  407000 Discounts</t>
        </is>
      </c>
      <c r="D21" s="19" t="n">
        <v>-26234.94</v>
      </c>
      <c r="E21" s="19" t="n">
        <v>-16481.1</v>
      </c>
      <c r="F21" s="19" t="n">
        <v>-13539.94</v>
      </c>
      <c r="G21" s="19" t="n">
        <v>-9717.4</v>
      </c>
      <c r="H21" s="19" t="n">
        <v>-8531.459999999999</v>
      </c>
      <c r="I21" s="19" t="n">
        <v>-4593.62</v>
      </c>
      <c r="J21" s="19" t="n">
        <v>-5591.3</v>
      </c>
      <c r="K21" s="19" t="n">
        <v>-4636.24</v>
      </c>
      <c r="L21" s="19" t="n">
        <v>-6926.26</v>
      </c>
      <c r="M21" s="19" t="n">
        <v>-4991.98</v>
      </c>
      <c r="N21" s="19" t="n">
        <v>-4037.52</v>
      </c>
      <c r="O21" s="19" t="n">
        <v>-6027.28</v>
      </c>
      <c r="P21" s="19" t="n">
        <v>-5483.2</v>
      </c>
      <c r="Q21" s="19" t="n">
        <v>-6081.57</v>
      </c>
      <c r="R21" s="19" t="n">
        <v>-5421.12</v>
      </c>
      <c r="S21" s="19" t="n">
        <v>-10864.77</v>
      </c>
      <c r="T21" s="19" t="n">
        <v>-3527.02</v>
      </c>
      <c r="U21" s="19" t="n">
        <v>-2500.2</v>
      </c>
      <c r="V21" s="19" t="n">
        <v>-4444.3</v>
      </c>
      <c r="W21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Forecast'!Q12*Assumptions!$I$13+2521)*Assumptions!$C$18</f>
        <v/>
      </c>
      <c r="X21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Forecast'!R12*Assumptions!$I$13+2521)*Assumptions!$C$18</f>
        <v/>
      </c>
      <c r="Y21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Forecast'!S12*Assumptions!$I$13+2521)*Assumptions!$C$18</f>
        <v/>
      </c>
      <c r="Z21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Forecast'!T12*Assumptions!$I$13+2521)*Assumptions!$C$18</f>
        <v/>
      </c>
      <c r="AA21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Forecast'!U12*Assumptions!$I$13+2521)*Assumptions!$C$18</f>
        <v/>
      </c>
      <c r="AB21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Forecast'!V12*Assumptions!$I$13+2521)*Assumptions!$C$18</f>
        <v/>
      </c>
      <c r="AC21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Forecast'!W12*Assumptions!$I$13+2521)*Assumptions!$C$18</f>
        <v/>
      </c>
      <c r="AD21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Forecast'!X12*Assumptions!$I$13+2521)*Assumptions!$C$18</f>
        <v/>
      </c>
      <c r="AE21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Forecast'!Y12*Assumptions!$I$13+2521)*Assumptions!$C$18</f>
        <v/>
      </c>
      <c r="AF21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Forecast'!Z12*Assumptions!$I$13+2521)*Assumptions!$C$18</f>
        <v/>
      </c>
      <c r="AG21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Forecast'!AA12*Assumptions!$I$13+2521)*Assumptions!$C$18</f>
        <v/>
      </c>
      <c r="AH21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Forecast'!AB12*Assumptions!$I$13+2521)*Assumptions!$C$18</f>
        <v/>
      </c>
      <c r="AI21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Forecast'!AC12*Assumptions!$I$13+2521)*Assumptions!$C$18</f>
        <v/>
      </c>
      <c r="AJ21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Forecast'!AD12*Assumptions!$I$13+2521)*Assumptions!$C$18</f>
        <v/>
      </c>
      <c r="AK21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Forecast'!AE12*Assumptions!$I$13+2521)*Assumptions!$C$18</f>
        <v/>
      </c>
      <c r="AL21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Forecast'!AF12*Assumptions!$I$13+2521)*Assumptions!$C$18</f>
        <v/>
      </c>
      <c r="AM21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Forecast'!AG12*Assumptions!$I$13+2521)*Assumptions!$C$18</f>
        <v/>
      </c>
      <c r="AN21" s="20">
        <f>('Sales Forecast'!AN12*Assumptions!$C$12+'Sales Forecast'!AM12*Assumptions!$D$12+'Sales Forecast'!AL12*Assumptions!$E$12+'Sales Forecast'!AK12*Assumptions!$F$12+'Sales Forecast'!AJ12*Assumptions!$G$12+'Sales Forecast'!AI12*Assumptions!$H$12+'Sales Forecast'!AH12*Assumptions!$I$12+'Sales Forecast'!AN12*Assumptions!$C$13+'Sales Forecast'!AM12*Assumptions!$D$13+'Sales Forecast'!AL12*Assumptions!$E$13+'Sales Forecast'!AK12*Assumptions!$F$13+'Sales Forecast'!AJ12*Assumptions!$G$13+'Sales Forecast'!AI12*Assumptions!$H$13+'Sales Forecast'!AH12*Assumptions!$I$13+2521)*Assumptions!$C$18</f>
        <v/>
      </c>
      <c r="AO21" s="20">
        <f>('Sales Forecast'!AO12*Assumptions!$C$12+'Sales Forecast'!AN12*Assumptions!$D$12+'Sales Forecast'!AM12*Assumptions!$E$12+'Sales Forecast'!AL12*Assumptions!$F$12+'Sales Forecast'!AK12*Assumptions!$G$12+'Sales Forecast'!AJ12*Assumptions!$H$12+'Sales Forecast'!AI12*Assumptions!$I$12+'Sales Forecast'!AO12*Assumptions!$C$13+'Sales Forecast'!AN12*Assumptions!$D$13+'Sales Forecast'!AM12*Assumptions!$E$13+'Sales Forecast'!AL12*Assumptions!$F$13+'Sales Forecast'!AK12*Assumptions!$G$13+'Sales Forecast'!AJ12*Assumptions!$H$13+'Sales Forecast'!AI12*Assumptions!$I$13+2521)*Assumptions!$C$18</f>
        <v/>
      </c>
      <c r="AP21" s="20">
        <f>('Sales Forecast'!AP12*Assumptions!$C$12+'Sales Forecast'!AO12*Assumptions!$D$12+'Sales Forecast'!AN12*Assumptions!$E$12+'Sales Forecast'!AM12*Assumptions!$F$12+'Sales Forecast'!AL12*Assumptions!$G$12+'Sales Forecast'!AK12*Assumptions!$H$12+'Sales Forecast'!AJ12*Assumptions!$I$12+'Sales Forecast'!AP12*Assumptions!$C$13+'Sales Forecast'!AO12*Assumptions!$D$13+'Sales Forecast'!AN12*Assumptions!$E$13+'Sales Forecast'!AM12*Assumptions!$F$13+'Sales Forecast'!AL12*Assumptions!$G$13+'Sales Forecast'!AK12*Assumptions!$H$13+'Sales Forecast'!AJ12*Assumptions!$I$13+2521)*Assumptions!$C$18</f>
        <v/>
      </c>
      <c r="AQ21" s="20">
        <f>('Sales Forecast'!AQ12*Assumptions!$C$12+'Sales Forecast'!AP12*Assumptions!$D$12+'Sales Forecast'!AO12*Assumptions!$E$12+'Sales Forecast'!AN12*Assumptions!$F$12+'Sales Forecast'!AM12*Assumptions!$G$12+'Sales Forecast'!AL12*Assumptions!$H$12+'Sales Forecast'!AK12*Assumptions!$I$12+'Sales Forecast'!AQ12*Assumptions!$C$13+'Sales Forecast'!AP12*Assumptions!$D$13+'Sales Forecast'!AO12*Assumptions!$E$13+'Sales Forecast'!AN12*Assumptions!$F$13+'Sales Forecast'!AM12*Assumptions!$G$13+'Sales Forecast'!AL12*Assumptions!$H$13+'Sales Forecast'!AK12*Assumptions!$I$13+2521)*Assumptions!$C$18</f>
        <v/>
      </c>
      <c r="AR21" s="20">
        <f>('Sales Forecast'!AR12*Assumptions!$C$12+'Sales Forecast'!AQ12*Assumptions!$D$12+'Sales Forecast'!AP12*Assumptions!$E$12+'Sales Forecast'!AO12*Assumptions!$F$12+'Sales Forecast'!AN12*Assumptions!$G$12+'Sales Forecast'!AM12*Assumptions!$H$12+'Sales Forecast'!AL12*Assumptions!$I$12+'Sales Forecast'!AR12*Assumptions!$C$13+'Sales Forecast'!AQ12*Assumptions!$D$13+'Sales Forecast'!AP12*Assumptions!$E$13+'Sales Forecast'!AO12*Assumptions!$F$13+'Sales Forecast'!AN12*Assumptions!$G$13+'Sales Forecast'!AM12*Assumptions!$H$13+'Sales Forecast'!AL12*Assumptions!$I$13+2521)*Assumptions!$C$18</f>
        <v/>
      </c>
      <c r="AS21" s="20">
        <f>('Sales Forecast'!AS12*Assumptions!$C$12+'Sales Forecast'!AR12*Assumptions!$D$12+'Sales Forecast'!AQ12*Assumptions!$E$12+'Sales Forecast'!AP12*Assumptions!$F$12+'Sales Forecast'!AO12*Assumptions!$G$12+'Sales Forecast'!AN12*Assumptions!$H$12+'Sales Forecast'!AM12*Assumptions!$I$12+'Sales Forecast'!AS12*Assumptions!$C$13+'Sales Forecast'!AR12*Assumptions!$D$13+'Sales Forecast'!AQ12*Assumptions!$E$13+'Sales Forecast'!AP12*Assumptions!$F$13+'Sales Forecast'!AO12*Assumptions!$G$13+'Sales Forecast'!AN12*Assumptions!$H$13+'Sales Forecast'!AM12*Assumptions!$I$13+2521)*Assumptions!$C$18</f>
        <v/>
      </c>
      <c r="AT21" s="20">
        <f>('Sales Forecast'!AT12*Assumptions!$C$12+'Sales Forecast'!AS12*Assumptions!$D$12+'Sales Forecast'!AR12*Assumptions!$E$12+'Sales Forecast'!AQ12*Assumptions!$F$12+'Sales Forecast'!AP12*Assumptions!$G$12+'Sales Forecast'!AO12*Assumptions!$H$12+'Sales Forecast'!AN12*Assumptions!$I$12+'Sales Forecast'!AT12*Assumptions!$C$13+'Sales Forecast'!AS12*Assumptions!$D$13+'Sales Forecast'!AR12*Assumptions!$E$13+'Sales Forecast'!AQ12*Assumptions!$F$13+'Sales Forecast'!AP12*Assumptions!$G$13+'Sales Forecast'!AO12*Assumptions!$H$13+'Sales Forecast'!AN12*Assumptions!$I$13+2521)*Assumptions!$C$18</f>
        <v/>
      </c>
      <c r="AU21" s="20">
        <f>('Sales Forecast'!AU12*Assumptions!$C$12+'Sales Forecast'!AT12*Assumptions!$D$12+'Sales Forecast'!AS12*Assumptions!$E$12+'Sales Forecast'!AR12*Assumptions!$F$12+'Sales Forecast'!AQ12*Assumptions!$G$12+'Sales Forecast'!AP12*Assumptions!$H$12+'Sales Forecast'!AO12*Assumptions!$I$12+'Sales Forecast'!AU12*Assumptions!$C$13+'Sales Forecast'!AT12*Assumptions!$D$13+'Sales Forecast'!AS12*Assumptions!$E$13+'Sales Forecast'!AR12*Assumptions!$F$13+'Sales Forecast'!AQ12*Assumptions!$G$13+'Sales Forecast'!AP12*Assumptions!$H$13+'Sales Forecast'!AO12*Assumptions!$I$13+2521)*Assumptions!$C$18</f>
        <v/>
      </c>
      <c r="AV21" s="20">
        <f>('Sales Forecast'!AV12*Assumptions!$C$12+'Sales Forecast'!AU12*Assumptions!$D$12+'Sales Forecast'!AT12*Assumptions!$E$12+'Sales Forecast'!AS12*Assumptions!$F$12+'Sales Forecast'!AR12*Assumptions!$G$12+'Sales Forecast'!AQ12*Assumptions!$H$12+'Sales Forecast'!AP12*Assumptions!$I$12+'Sales Forecast'!AV12*Assumptions!$C$13+'Sales Forecast'!AU12*Assumptions!$D$13+'Sales Forecast'!AT12*Assumptions!$E$13+'Sales Forecast'!AS12*Assumptions!$F$13+'Sales Forecast'!AR12*Assumptions!$G$13+'Sales Forecast'!AQ12*Assumptions!$H$13+'Sales Forecast'!AP12*Assumptions!$I$13+2521)*Assumptions!$C$18</f>
        <v/>
      </c>
      <c r="AW21" s="20">
        <f>('Sales Forecast'!AW12*Assumptions!$C$12+'Sales Forecast'!AV12*Assumptions!$D$12+'Sales Forecast'!AU12*Assumptions!$E$12+'Sales Forecast'!AT12*Assumptions!$F$12+'Sales Forecast'!AS12*Assumptions!$G$12+'Sales Forecast'!AR12*Assumptions!$H$12+'Sales Forecast'!AQ12*Assumptions!$I$12+'Sales Forecast'!AW12*Assumptions!$C$13+'Sales Forecast'!AV12*Assumptions!$D$13+'Sales Forecast'!AU12*Assumptions!$E$13+'Sales Forecast'!AT12*Assumptions!$F$13+'Sales Forecast'!AS12*Assumptions!$G$13+'Sales Forecast'!AR12*Assumptions!$H$13+'Sales Forecast'!AQ12*Assumptions!$I$13+2521)*Assumptions!$C$18</f>
        <v/>
      </c>
      <c r="AX21" s="20">
        <f>('Sales Forecast'!AX12*Assumptions!$C$12+'Sales Forecast'!AW12*Assumptions!$D$12+'Sales Forecast'!AV12*Assumptions!$E$12+'Sales Forecast'!AU12*Assumptions!$F$12+'Sales Forecast'!AT12*Assumptions!$G$12+'Sales Forecast'!AS12*Assumptions!$H$12+'Sales Forecast'!AR12*Assumptions!$I$12+'Sales Forecast'!AX12*Assumptions!$C$13+'Sales Forecast'!AW12*Assumptions!$D$13+'Sales Forecast'!AV12*Assumptions!$E$13+'Sales Forecast'!AU12*Assumptions!$F$13+'Sales Forecast'!AT12*Assumptions!$G$13+'Sales Forecast'!AS12*Assumptions!$H$13+'Sales Forecast'!AR12*Assumptions!$I$13+2521)*Assumptions!$C$18</f>
        <v/>
      </c>
      <c r="AY21" s="20">
        <f>('Sales Forecast'!AY12*Assumptions!$C$12+'Sales Forecast'!AX12*Assumptions!$D$12+'Sales Forecast'!AW12*Assumptions!$E$12+'Sales Forecast'!AV12*Assumptions!$F$12+'Sales Forecast'!AU12*Assumptions!$G$12+'Sales Forecast'!AT12*Assumptions!$H$12+'Sales Forecast'!AS12*Assumptions!$I$12+'Sales Forecast'!AY12*Assumptions!$C$13+'Sales Forecast'!AX12*Assumptions!$D$13+'Sales Forecast'!AW12*Assumptions!$E$13+'Sales Forecast'!AV12*Assumptions!$F$13+'Sales Forecast'!AU12*Assumptions!$G$13+'Sales Forecast'!AT12*Assumptions!$H$13+'Sales Forecast'!AS12*Assumptions!$I$13+2521)*Assumptions!$C$18</f>
        <v/>
      </c>
      <c r="BA21" s="288">
        <f>SUM(I21:T21)</f>
        <v/>
      </c>
      <c r="BB21" s="274">
        <f>BA21/$BA$22</f>
        <v/>
      </c>
    </row>
    <row r="22">
      <c r="B22" s="32" t="inlineStr">
        <is>
          <t>TOTAL REVENUE</t>
        </is>
      </c>
      <c r="C22" s="34" t="n"/>
      <c r="D22" s="84">
        <f>SUM(D21,D20,D19,D18,D13,D14)</f>
        <v/>
      </c>
      <c r="E22" s="84">
        <f>SUM(E21,E20,E19,E18,E13,E14)</f>
        <v/>
      </c>
      <c r="F22" s="84">
        <f>SUM(F21,F20,F19,F18,F13,F14)</f>
        <v/>
      </c>
      <c r="G22" s="84">
        <f>SUM(G21,G20,G19,G18,G13,G14)</f>
        <v/>
      </c>
      <c r="H22" s="84">
        <f>SUM(H21,H20,H19,H18,H13,H14)</f>
        <v/>
      </c>
      <c r="I22" s="84">
        <f>SUM(I21,I20,I19,I18,I13,I14)</f>
        <v/>
      </c>
      <c r="J22" s="84">
        <f>SUM(J21,J20,J19,J18,J13,J14)</f>
        <v/>
      </c>
      <c r="K22" s="84">
        <f>SUM(K21,K20,K19,K18,K13,K14)</f>
        <v/>
      </c>
      <c r="L22" s="84">
        <f>SUM(L21,L20,L19,L18,L13,L14)</f>
        <v/>
      </c>
      <c r="M22" s="84">
        <f>SUM(M21,M20,M19,M18,M13,M14)</f>
        <v/>
      </c>
      <c r="N22" s="84">
        <f>SUM(N21,N20,N19,N18,N13,N14)</f>
        <v/>
      </c>
      <c r="O22" s="84">
        <f>SUM(O21,O20,O19,O18,O13,O14)</f>
        <v/>
      </c>
      <c r="P22" s="84">
        <f>P13+P14+P18+P19+P20+P21</f>
        <v/>
      </c>
      <c r="Q22" s="84">
        <f>Q13+Q14+Q18+Q19+Q20+Q21</f>
        <v/>
      </c>
      <c r="R22" s="84">
        <f>R13+R14+R18+R19+R20+R21</f>
        <v/>
      </c>
      <c r="S22" s="84">
        <f>S13+S14+S18+S19+S20+S21</f>
        <v/>
      </c>
      <c r="T22" s="84">
        <f>T13+T14+T18+T19+T20+T21</f>
        <v/>
      </c>
      <c r="U22" s="84">
        <f>U13+U14+U18+U19+U20+U21</f>
        <v/>
      </c>
      <c r="V22" s="84">
        <f>V13+V14+V18+V19+V20+V21</f>
        <v/>
      </c>
      <c r="W22" s="17">
        <f>W13+W18+W19+W20+W21</f>
        <v/>
      </c>
      <c r="X22" s="17">
        <f>X13+X18+X19+X20+X21</f>
        <v/>
      </c>
      <c r="Y22" s="17">
        <f>Y13+Y18+Y19+Y20+Y21</f>
        <v/>
      </c>
      <c r="Z22" s="17">
        <f>Z13+Z18+Z19+Z20+Z21</f>
        <v/>
      </c>
      <c r="AA22" s="17">
        <f>AA13+AA18+AA19+AA20+AA21</f>
        <v/>
      </c>
      <c r="AB22" s="17">
        <f>AB13+AB18+AB19+AB20+AB21</f>
        <v/>
      </c>
      <c r="AC22" s="17">
        <f>AC13+AC18+AC19+AC20+AC21</f>
        <v/>
      </c>
      <c r="AD22" s="17">
        <f>AD13+AD18+AD19+AD20+AD21</f>
        <v/>
      </c>
      <c r="AE22" s="17">
        <f>AE13+AE18+AE19+AE20+AE21</f>
        <v/>
      </c>
      <c r="AF22" s="17">
        <f>AF13+AF18+AF19+AF20+AF21</f>
        <v/>
      </c>
      <c r="AG22" s="17">
        <f>AG13+AG18+AG19+AG20+AG21</f>
        <v/>
      </c>
      <c r="AH22" s="17">
        <f>AH13+AH18+AH19+AH20+AH21</f>
        <v/>
      </c>
      <c r="AI22" s="17">
        <f>AI13+AI18+AI19+AI20+AI21</f>
        <v/>
      </c>
      <c r="AJ22" s="17">
        <f>AJ13+AJ18+AJ19+AJ20+AJ21</f>
        <v/>
      </c>
      <c r="AK22" s="17">
        <f>AK13+AK18+AK19+AK20+AK21</f>
        <v/>
      </c>
      <c r="AL22" s="17">
        <f>AL13+AL18+AL19+AL20+AL21</f>
        <v/>
      </c>
      <c r="AM22" s="17">
        <f>AM13+AM18+AM19+AM20+AM21</f>
        <v/>
      </c>
      <c r="AN22" s="17">
        <f>AN13+AN18+AN19+AN20+AN21</f>
        <v/>
      </c>
      <c r="AO22" s="17">
        <f>AO13+AO18+AO19+AO20+AO21</f>
        <v/>
      </c>
      <c r="AP22" s="17">
        <f>AP13+AP18+AP19+AP20+AP21</f>
        <v/>
      </c>
      <c r="AQ22" s="17">
        <f>AQ13+AQ18+AQ19+AQ20+AQ21</f>
        <v/>
      </c>
      <c r="AR22" s="17">
        <f>AR13+AR18+AR19+AR20+AR21</f>
        <v/>
      </c>
      <c r="AS22" s="17">
        <f>AS13+AS18+AS19+AS20+AS21</f>
        <v/>
      </c>
      <c r="AT22" s="17">
        <f>AT13+AT18+AT19+AT20+AT21</f>
        <v/>
      </c>
      <c r="AU22" s="17">
        <f>AU13+AU18+AU19+AU20+AU21</f>
        <v/>
      </c>
      <c r="AV22" s="17">
        <f>AV13+AV18+AV19+AV20+AV21</f>
        <v/>
      </c>
      <c r="AW22" s="17">
        <f>AW13+AW18+AW19+AW20+AW21</f>
        <v/>
      </c>
      <c r="AX22" s="17">
        <f>AX13+AX18+AX19+AX20+AX21</f>
        <v/>
      </c>
      <c r="AY22" s="17">
        <f>AY13+AY18+AY19+AY20+AY21</f>
        <v/>
      </c>
      <c r="BA22" s="307">
        <f>SUM(I22:T22)</f>
        <v/>
      </c>
      <c r="BB22" s="276">
        <f>SUM(BB7:BB21)</f>
        <v/>
      </c>
    </row>
    <row r="23" ht="16" customHeight="1" s="282">
      <c r="B23" s="10" t="inlineStr">
        <is>
          <t>COST OF GOODS SOLD</t>
        </is>
      </c>
      <c r="C23" s="11" t="n"/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</row>
    <row r="24">
      <c r="B24" s="33" t="inlineStr">
        <is>
          <t>501000 Product Cost (incl Inventory Shrinkage)</t>
        </is>
      </c>
      <c r="D24" s="19" t="n">
        <v>2206</v>
      </c>
      <c r="E24" s="19" t="n">
        <v>2445.25</v>
      </c>
      <c r="F24" s="19" t="n">
        <v>2083.25</v>
      </c>
      <c r="G24" s="19" t="n">
        <v>1763.25</v>
      </c>
      <c r="H24" s="19" t="n">
        <v>1421</v>
      </c>
      <c r="I24" s="19" t="n">
        <v>2156.5</v>
      </c>
      <c r="J24" s="19" t="n">
        <v>756.5</v>
      </c>
      <c r="K24" s="19" t="n">
        <v>1047.75</v>
      </c>
      <c r="L24" s="19" t="n">
        <v>1133</v>
      </c>
      <c r="M24" s="19" t="n">
        <v>1057</v>
      </c>
      <c r="N24" s="19" t="n">
        <v>1830</v>
      </c>
      <c r="O24" s="19" t="n">
        <v>2491.14</v>
      </c>
      <c r="P24" s="19" t="n">
        <v>1406.1</v>
      </c>
      <c r="Q24" s="19" t="n">
        <v>1101</v>
      </c>
      <c r="R24" s="19" t="n">
        <v>983.7</v>
      </c>
      <c r="S24" s="19" t="n">
        <v>1179</v>
      </c>
      <c r="T24" s="83" t="n">
        <v>915.5</v>
      </c>
      <c r="U24" s="83" t="n">
        <v>1031</v>
      </c>
      <c r="V24" s="83" t="n">
        <v>604</v>
      </c>
      <c r="W24" s="20">
        <f>W22*Assumptions!$C$20</f>
        <v/>
      </c>
      <c r="X24" s="20">
        <f>X22*Assumptions!$C$20</f>
        <v/>
      </c>
      <c r="Y24" s="20">
        <f>Y22*Assumptions!$C$20</f>
        <v/>
      </c>
      <c r="Z24" s="20">
        <f>Z22*Assumptions!$C$20</f>
        <v/>
      </c>
      <c r="AA24" s="20">
        <f>AA22*Assumptions!$C$20</f>
        <v/>
      </c>
      <c r="AB24" s="20">
        <f>AB22*Assumptions!$C$20</f>
        <v/>
      </c>
      <c r="AC24" s="20">
        <f>AC22*Assumptions!$C$20</f>
        <v/>
      </c>
      <c r="AD24" s="20">
        <f>AD22*Assumptions!$C$20</f>
        <v/>
      </c>
      <c r="AE24" s="20">
        <f>AE22*Assumptions!$C$20</f>
        <v/>
      </c>
      <c r="AF24" s="20">
        <f>AF22*Assumptions!$C$20</f>
        <v/>
      </c>
      <c r="AG24" s="20">
        <f>AG22*Assumptions!$C$20</f>
        <v/>
      </c>
      <c r="AH24" s="20">
        <f>AH22*Assumptions!$C$20</f>
        <v/>
      </c>
      <c r="AI24" s="20">
        <f>AI22*Assumptions!$C$20</f>
        <v/>
      </c>
      <c r="AJ24" s="20">
        <f>AJ22*Assumptions!$C$20</f>
        <v/>
      </c>
      <c r="AK24" s="20">
        <f>AK22*Assumptions!$C$20</f>
        <v/>
      </c>
      <c r="AL24" s="20">
        <f>AL22*Assumptions!$C$20</f>
        <v/>
      </c>
      <c r="AM24" s="20">
        <f>AM22*Assumptions!$C$20</f>
        <v/>
      </c>
      <c r="AN24" s="20">
        <f>AN22*Assumptions!$C$20</f>
        <v/>
      </c>
      <c r="AO24" s="20">
        <f>AO22*Assumptions!$C$20</f>
        <v/>
      </c>
      <c r="AP24" s="20">
        <f>AP22*Assumptions!$C$20</f>
        <v/>
      </c>
      <c r="AQ24" s="20">
        <f>AQ22*Assumptions!$C$20</f>
        <v/>
      </c>
      <c r="AR24" s="20">
        <f>AR22*Assumptions!$C$20</f>
        <v/>
      </c>
      <c r="AS24" s="20">
        <f>AS22*Assumptions!$C$20</f>
        <v/>
      </c>
      <c r="AT24" s="20">
        <f>AT22*Assumptions!$C$20</f>
        <v/>
      </c>
      <c r="AU24" s="20">
        <f>AU22*Assumptions!$C$20</f>
        <v/>
      </c>
      <c r="AV24" s="20">
        <f>AV22*Assumptions!$C$20</f>
        <v/>
      </c>
      <c r="AW24" s="20">
        <f>AW22*Assumptions!$C$20</f>
        <v/>
      </c>
      <c r="AX24" s="20">
        <f>AX22*Assumptions!$C$20</f>
        <v/>
      </c>
      <c r="AY24" s="20">
        <f>AY22*Assumptions!$C$20</f>
        <v/>
      </c>
    </row>
    <row r="25">
      <c r="B25" s="33" t="inlineStr">
        <is>
          <t xml:space="preserve">  506000 Merchant Account Fees</t>
        </is>
      </c>
      <c r="D25" s="19" t="n">
        <v>4213.5</v>
      </c>
      <c r="E25" s="19" t="n">
        <v>3350.43</v>
      </c>
      <c r="F25" s="19" t="n">
        <v>3273.36</v>
      </c>
      <c r="G25" s="19" t="n">
        <v>4750.86</v>
      </c>
      <c r="H25" s="19" t="n">
        <v>2092.9</v>
      </c>
      <c r="I25" s="19" t="n">
        <v>1897.33</v>
      </c>
      <c r="J25" s="19" t="n">
        <v>1592.6</v>
      </c>
      <c r="K25" s="19" t="n">
        <v>3066.33</v>
      </c>
      <c r="L25" s="19" t="n">
        <v>2059.69</v>
      </c>
      <c r="M25" s="19" t="n">
        <v>2259.66</v>
      </c>
      <c r="N25" s="19" t="n">
        <v>3398.29</v>
      </c>
      <c r="O25" s="19" t="n">
        <v>3822.85</v>
      </c>
      <c r="P25" s="19" t="n">
        <v>3354.93</v>
      </c>
      <c r="Q25" s="19" t="n">
        <v>5257.98</v>
      </c>
      <c r="R25" s="19" t="n">
        <v>3110.15</v>
      </c>
      <c r="S25" s="19" t="n">
        <v>4864.64</v>
      </c>
      <c r="T25" s="83" t="n">
        <v>2401.21</v>
      </c>
      <c r="U25" s="83" t="n">
        <v>2927.58</v>
      </c>
      <c r="V25" s="83" t="n">
        <v>3027</v>
      </c>
      <c r="W25" s="20">
        <f>W22*Assumptions!$C$19</f>
        <v/>
      </c>
      <c r="X25" s="20">
        <f>X22*Assumptions!$C$19</f>
        <v/>
      </c>
      <c r="Y25" s="20">
        <f>Y22*Assumptions!$C$19</f>
        <v/>
      </c>
      <c r="Z25" s="20">
        <f>Z22*Assumptions!$C$19</f>
        <v/>
      </c>
      <c r="AA25" s="20">
        <f>AA22*Assumptions!$C$19</f>
        <v/>
      </c>
      <c r="AB25" s="20">
        <f>AB22*Assumptions!$C$19</f>
        <v/>
      </c>
      <c r="AC25" s="20">
        <f>AC22*Assumptions!$C$19</f>
        <v/>
      </c>
      <c r="AD25" s="20">
        <f>AD22*Assumptions!$C$19</f>
        <v/>
      </c>
      <c r="AE25" s="20">
        <f>AE22*Assumptions!$C$19</f>
        <v/>
      </c>
      <c r="AF25" s="20">
        <f>AF22*Assumptions!$C$19</f>
        <v/>
      </c>
      <c r="AG25" s="20">
        <f>AG22*Assumptions!$C$19</f>
        <v/>
      </c>
      <c r="AH25" s="20">
        <f>AH22*Assumptions!$C$19</f>
        <v/>
      </c>
      <c r="AI25" s="20">
        <f>AI22*Assumptions!$C$19</f>
        <v/>
      </c>
      <c r="AJ25" s="20">
        <f>AJ22*Assumptions!$C$19</f>
        <v/>
      </c>
      <c r="AK25" s="20">
        <f>AK22*Assumptions!$C$19</f>
        <v/>
      </c>
      <c r="AL25" s="20">
        <f>AL22*Assumptions!$C$19</f>
        <v/>
      </c>
      <c r="AM25" s="20">
        <f>AM22*Assumptions!$C$19</f>
        <v/>
      </c>
      <c r="AN25" s="20">
        <f>AN22*Assumptions!$C$19</f>
        <v/>
      </c>
      <c r="AO25" s="20">
        <f>AO22*Assumptions!$C$19</f>
        <v/>
      </c>
      <c r="AP25" s="20">
        <f>AP22*Assumptions!$C$19</f>
        <v/>
      </c>
      <c r="AQ25" s="20">
        <f>AQ22*Assumptions!$C$19</f>
        <v/>
      </c>
      <c r="AR25" s="20">
        <f>AR22*Assumptions!$C$19</f>
        <v/>
      </c>
      <c r="AS25" s="20">
        <f>AS22*Assumptions!$C$19</f>
        <v/>
      </c>
      <c r="AT25" s="20">
        <f>AT22*Assumptions!$C$19</f>
        <v/>
      </c>
      <c r="AU25" s="20">
        <f>AU22*Assumptions!$C$19</f>
        <v/>
      </c>
      <c r="AV25" s="20">
        <f>AV22*Assumptions!$C$19</f>
        <v/>
      </c>
      <c r="AW25" s="20">
        <f>AW22*Assumptions!$C$19</f>
        <v/>
      </c>
      <c r="AX25" s="20">
        <f>AX22*Assumptions!$C$19</f>
        <v/>
      </c>
      <c r="AY25" s="20">
        <f>AY22*Assumptions!$C$19</f>
        <v/>
      </c>
    </row>
    <row r="26">
      <c r="B26" s="32" t="inlineStr">
        <is>
          <t>Total Cost of Goods Sold</t>
        </is>
      </c>
      <c r="C26" s="34" t="n"/>
      <c r="D26" s="35">
        <f>SUM(D24:D25)</f>
        <v/>
      </c>
      <c r="E26" s="35">
        <f>SUM(E24:E25)</f>
        <v/>
      </c>
      <c r="F26" s="35">
        <f>SUM(F24:F25)</f>
        <v/>
      </c>
      <c r="G26" s="35">
        <f>SUM(G24:G25)</f>
        <v/>
      </c>
      <c r="H26" s="35">
        <f>SUM(H24:H25)</f>
        <v/>
      </c>
      <c r="I26" s="35">
        <f>SUM(I24:I25)</f>
        <v/>
      </c>
      <c r="J26" s="35">
        <f>SUM(J24:J25)</f>
        <v/>
      </c>
      <c r="K26" s="35">
        <f>SUM(K24:K25)</f>
        <v/>
      </c>
      <c r="L26" s="35">
        <f>SUM(L24:L25)</f>
        <v/>
      </c>
      <c r="M26" s="35">
        <f>SUM(M24:M25)</f>
        <v/>
      </c>
      <c r="N26" s="35">
        <f>SUM(N24:N25)</f>
        <v/>
      </c>
      <c r="O26" s="35">
        <f>SUM(O24:O25)</f>
        <v/>
      </c>
      <c r="P26" s="35">
        <f>P24+P25</f>
        <v/>
      </c>
      <c r="Q26" s="35">
        <f>Q24+Q25</f>
        <v/>
      </c>
      <c r="R26" s="35">
        <f>R24+R25</f>
        <v/>
      </c>
      <c r="S26" s="35">
        <f>S24+S25</f>
        <v/>
      </c>
      <c r="T26" s="84">
        <f>T24+T25</f>
        <v/>
      </c>
      <c r="U26" s="84">
        <f>U24+U25</f>
        <v/>
      </c>
      <c r="V26" s="84">
        <f>V24+V25</f>
        <v/>
      </c>
      <c r="W26" s="17">
        <f>W24+W25</f>
        <v/>
      </c>
      <c r="X26" s="17">
        <f>X24+X25</f>
        <v/>
      </c>
      <c r="Y26" s="17">
        <f>Y24+Y25</f>
        <v/>
      </c>
      <c r="Z26" s="17">
        <f>Z24+Z25</f>
        <v/>
      </c>
      <c r="AA26" s="17">
        <f>AA24+AA25</f>
        <v/>
      </c>
      <c r="AB26" s="17">
        <f>AB24+AB25</f>
        <v/>
      </c>
      <c r="AC26" s="17">
        <f>AC24+AC25</f>
        <v/>
      </c>
      <c r="AD26" s="17">
        <f>AD24+AD25</f>
        <v/>
      </c>
      <c r="AE26" s="17">
        <f>AE24+AE25</f>
        <v/>
      </c>
      <c r="AF26" s="17">
        <f>AF24+AF25</f>
        <v/>
      </c>
      <c r="AG26" s="17">
        <f>AG24+AG25</f>
        <v/>
      </c>
      <c r="AH26" s="17">
        <f>AH24+AH25</f>
        <v/>
      </c>
      <c r="AI26" s="17">
        <f>AI24+AI25</f>
        <v/>
      </c>
      <c r="AJ26" s="17">
        <f>AJ24+AJ25</f>
        <v/>
      </c>
      <c r="AK26" s="17">
        <f>AK24+AK25</f>
        <v/>
      </c>
      <c r="AL26" s="17">
        <f>AL24+AL25</f>
        <v/>
      </c>
      <c r="AM26" s="17">
        <f>AM24+AM25</f>
        <v/>
      </c>
      <c r="AN26" s="17">
        <f>AN24+AN25</f>
        <v/>
      </c>
      <c r="AO26" s="17">
        <f>AO24+AO25</f>
        <v/>
      </c>
      <c r="AP26" s="17">
        <f>AP24+AP25</f>
        <v/>
      </c>
      <c r="AQ26" s="17">
        <f>AQ24+AQ25</f>
        <v/>
      </c>
      <c r="AR26" s="17">
        <f>AR24+AR25</f>
        <v/>
      </c>
      <c r="AS26" s="17">
        <f>AS24+AS25</f>
        <v/>
      </c>
      <c r="AT26" s="17">
        <f>AT24+AT25</f>
        <v/>
      </c>
      <c r="AU26" s="17">
        <f>AU24+AU25</f>
        <v/>
      </c>
      <c r="AV26" s="17">
        <f>AV24+AV25</f>
        <v/>
      </c>
      <c r="AW26" s="17">
        <f>AW24+AW25</f>
        <v/>
      </c>
      <c r="AX26" s="17">
        <f>AX24+AX25</f>
        <v/>
      </c>
      <c r="AY26" s="17">
        <f>AY24+AY25</f>
        <v/>
      </c>
    </row>
    <row r="27">
      <c r="B27" s="32" t="inlineStr">
        <is>
          <t>GROSS PROFIT</t>
        </is>
      </c>
      <c r="C27" s="34" t="n"/>
      <c r="D27" s="35">
        <f>D22-D26</f>
        <v/>
      </c>
      <c r="E27" s="35">
        <f>E22-E26</f>
        <v/>
      </c>
      <c r="F27" s="35">
        <f>F22-F26</f>
        <v/>
      </c>
      <c r="G27" s="35">
        <f>G22-G26</f>
        <v/>
      </c>
      <c r="H27" s="35">
        <f>H22-H26</f>
        <v/>
      </c>
      <c r="I27" s="35">
        <f>I22-I26</f>
        <v/>
      </c>
      <c r="J27" s="35">
        <f>J22-J26</f>
        <v/>
      </c>
      <c r="K27" s="35">
        <f>K22-K26</f>
        <v/>
      </c>
      <c r="L27" s="35">
        <f>L22-L26</f>
        <v/>
      </c>
      <c r="M27" s="35">
        <f>M22-M26</f>
        <v/>
      </c>
      <c r="N27" s="35">
        <f>N22-N26</f>
        <v/>
      </c>
      <c r="O27" s="35">
        <f>O22-O26</f>
        <v/>
      </c>
      <c r="P27" s="35">
        <f>P22-P26</f>
        <v/>
      </c>
      <c r="Q27" s="35">
        <f>Q22-Q26</f>
        <v/>
      </c>
      <c r="R27" s="35">
        <f>R22-R26</f>
        <v/>
      </c>
      <c r="S27" s="35">
        <f>S22-S26</f>
        <v/>
      </c>
      <c r="T27" s="84">
        <f>T22-T26</f>
        <v/>
      </c>
      <c r="U27" s="84">
        <f>U22-U26</f>
        <v/>
      </c>
      <c r="V27" s="84">
        <f>V22-V26</f>
        <v/>
      </c>
      <c r="W27" s="17">
        <f>W22-W26</f>
        <v/>
      </c>
      <c r="X27" s="17">
        <f>X22-X26</f>
        <v/>
      </c>
      <c r="Y27" s="17">
        <f>Y22-Y26</f>
        <v/>
      </c>
      <c r="Z27" s="17">
        <f>Z22-Z26</f>
        <v/>
      </c>
      <c r="AA27" s="17">
        <f>AA22-AA26</f>
        <v/>
      </c>
      <c r="AB27" s="17">
        <f>AB22-AB26</f>
        <v/>
      </c>
      <c r="AC27" s="17">
        <f>AC22-AC26</f>
        <v/>
      </c>
      <c r="AD27" s="17">
        <f>AD22-AD26</f>
        <v/>
      </c>
      <c r="AE27" s="17">
        <f>AE22-AE26</f>
        <v/>
      </c>
      <c r="AF27" s="17">
        <f>AF22-AF26</f>
        <v/>
      </c>
      <c r="AG27" s="17">
        <f>AG22-AG26</f>
        <v/>
      </c>
      <c r="AH27" s="17">
        <f>AH22-AH26</f>
        <v/>
      </c>
      <c r="AI27" s="17">
        <f>AI22-AI26</f>
        <v/>
      </c>
      <c r="AJ27" s="17">
        <f>AJ22-AJ26</f>
        <v/>
      </c>
      <c r="AK27" s="17">
        <f>AK22-AK26</f>
        <v/>
      </c>
      <c r="AL27" s="17">
        <f>AL22-AL26</f>
        <v/>
      </c>
      <c r="AM27" s="17">
        <f>AM22-AM26</f>
        <v/>
      </c>
      <c r="AN27" s="17">
        <f>AN22-AN26</f>
        <v/>
      </c>
      <c r="AO27" s="17">
        <f>AO22-AO26</f>
        <v/>
      </c>
      <c r="AP27" s="17">
        <f>AP22-AP26</f>
        <v/>
      </c>
      <c r="AQ27" s="17">
        <f>AQ22-AQ26</f>
        <v/>
      </c>
      <c r="AR27" s="17">
        <f>AR22-AR26</f>
        <v/>
      </c>
      <c r="AS27" s="17">
        <f>AS22-AS26</f>
        <v/>
      </c>
      <c r="AT27" s="17">
        <f>AT22-AT26</f>
        <v/>
      </c>
      <c r="AU27" s="17">
        <f>AU22-AU26</f>
        <v/>
      </c>
      <c r="AV27" s="17">
        <f>AV22-AV26</f>
        <v/>
      </c>
      <c r="AW27" s="17">
        <f>AW22-AW26</f>
        <v/>
      </c>
      <c r="AX27" s="17">
        <f>AX22-AX26</f>
        <v/>
      </c>
      <c r="AY27" s="17">
        <f>AY22-AY26</f>
        <v/>
      </c>
    </row>
    <row r="28" ht="16" customHeight="1" s="282">
      <c r="B28" s="10" t="inlineStr">
        <is>
          <t>OPERATING EXPENSES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</row>
    <row r="29">
      <c r="B29" s="33" t="inlineStr">
        <is>
          <t xml:space="preserve">  601001 Paid Ads</t>
        </is>
      </c>
      <c r="D29" s="19" t="n">
        <v>250.14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590.91</v>
      </c>
      <c r="O29" s="19" t="n">
        <v>607.27</v>
      </c>
      <c r="P29" s="19" t="n">
        <v>672.72</v>
      </c>
      <c r="Q29" s="19" t="n">
        <v>0</v>
      </c>
      <c r="R29" s="19" t="n">
        <v>0</v>
      </c>
      <c r="S29" s="19" t="n">
        <v>0</v>
      </c>
      <c r="T29" s="83" t="n">
        <v>0</v>
      </c>
      <c r="U29" s="83" t="n">
        <v>0</v>
      </c>
      <c r="V29" s="83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601005 Content Creation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0</v>
      </c>
      <c r="P30" s="19" t="n">
        <v>0</v>
      </c>
      <c r="Q30" s="19" t="n">
        <v>0</v>
      </c>
      <c r="R30" s="19" t="n">
        <v>0</v>
      </c>
      <c r="S30" s="19" t="n">
        <v>0</v>
      </c>
      <c r="T30" s="83" t="n">
        <v>0</v>
      </c>
      <c r="U30" s="83" t="n">
        <v>0</v>
      </c>
      <c r="V30" s="83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>601006 General Marketing (incl Affiliate, PR, Trade Shows)</t>
        </is>
      </c>
      <c r="D31" s="19" t="n">
        <v>0</v>
      </c>
      <c r="E31" s="19" t="n">
        <v>165.85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53.77</v>
      </c>
      <c r="L31" s="19" t="n">
        <v>0</v>
      </c>
      <c r="M31" s="19" t="n">
        <v>0</v>
      </c>
      <c r="N31" s="19" t="n">
        <v>0</v>
      </c>
      <c r="O31" s="19" t="n">
        <v>127.08</v>
      </c>
      <c r="P31" s="19" t="n">
        <v>0</v>
      </c>
      <c r="Q31" s="19" t="n">
        <v>0</v>
      </c>
      <c r="R31" s="19" t="n">
        <v>0</v>
      </c>
      <c r="S31" s="19" t="n">
        <v>0</v>
      </c>
      <c r="T31" s="83" t="n">
        <v>0</v>
      </c>
      <c r="U31" s="83" t="n">
        <v>0</v>
      </c>
      <c r="V31" s="83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601007 Contractors/Agencies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83" t="n">
        <v>0</v>
      </c>
      <c r="U32" s="83" t="n">
        <v>0</v>
      </c>
      <c r="V32" s="83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3" t="inlineStr">
        <is>
          <t xml:space="preserve">  601010 Website Development</t>
        </is>
      </c>
      <c r="D33" s="19" t="n">
        <v>0</v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0</v>
      </c>
      <c r="N33" s="19" t="n">
        <v>0</v>
      </c>
      <c r="O33" s="19" t="n">
        <v>0</v>
      </c>
      <c r="P33" s="19" t="n">
        <v>0</v>
      </c>
      <c r="Q33" s="19" t="n">
        <v>0</v>
      </c>
      <c r="R33" s="19" t="n">
        <v>0</v>
      </c>
      <c r="S33" s="19" t="n">
        <v>0</v>
      </c>
      <c r="T33" s="83" t="n">
        <v>0</v>
      </c>
      <c r="U33" s="83" t="n">
        <v>0</v>
      </c>
      <c r="V33" s="83" t="n">
        <v>0</v>
      </c>
      <c r="W33" s="20" t="n">
        <v>0</v>
      </c>
      <c r="X33" s="20" t="n">
        <v>0</v>
      </c>
      <c r="Y33" s="20" t="n">
        <v>0</v>
      </c>
      <c r="Z33" s="20" t="n">
        <v>0</v>
      </c>
      <c r="AA33" s="20" t="n">
        <v>0</v>
      </c>
      <c r="AB33" s="20" t="n">
        <v>0</v>
      </c>
      <c r="AC33" s="20" t="n">
        <v>0</v>
      </c>
      <c r="AD33" s="20" t="n">
        <v>0</v>
      </c>
      <c r="AE33" s="20" t="n">
        <v>0</v>
      </c>
      <c r="AF33" s="20" t="n">
        <v>0</v>
      </c>
      <c r="AG33" s="20" t="n">
        <v>0</v>
      </c>
      <c r="AH33" s="20" t="n">
        <v>0</v>
      </c>
      <c r="AI33" s="20" t="n">
        <v>0</v>
      </c>
      <c r="AJ33" s="20" t="n">
        <v>0</v>
      </c>
      <c r="AK33" s="20" t="n">
        <v>0</v>
      </c>
      <c r="AL33" s="20" t="n">
        <v>0</v>
      </c>
      <c r="AM33" s="20" t="n">
        <v>0</v>
      </c>
      <c r="AN33" s="20" t="n">
        <v>0</v>
      </c>
      <c r="AO33" s="20" t="n">
        <v>0</v>
      </c>
      <c r="AP33" s="20" t="n">
        <v>0</v>
      </c>
      <c r="AQ33" s="20" t="n">
        <v>0</v>
      </c>
      <c r="AR33" s="20" t="n">
        <v>0</v>
      </c>
      <c r="AS33" s="20" t="n">
        <v>0</v>
      </c>
      <c r="AT33" s="20" t="n">
        <v>0</v>
      </c>
      <c r="AU33" s="20" t="n">
        <v>0</v>
      </c>
      <c r="AV33" s="20" t="n">
        <v>0</v>
      </c>
      <c r="AW33" s="20" t="n">
        <v>0</v>
      </c>
      <c r="AX33" s="20" t="n">
        <v>0</v>
      </c>
      <c r="AY33" s="20" t="n">
        <v>0</v>
      </c>
    </row>
    <row r="34">
      <c r="B34" s="32" t="inlineStr">
        <is>
          <t>Total Marketing</t>
        </is>
      </c>
      <c r="C34" s="34" t="n"/>
      <c r="D34" s="35">
        <f>SUM(D29:D33)</f>
        <v/>
      </c>
      <c r="E34" s="35">
        <f>SUM(E29:E33)</f>
        <v/>
      </c>
      <c r="F34" s="35">
        <f>SUM(F29:F33)</f>
        <v/>
      </c>
      <c r="G34" s="35">
        <f>SUM(G29:G33)</f>
        <v/>
      </c>
      <c r="H34" s="35">
        <f>SUM(H29:H33)</f>
        <v/>
      </c>
      <c r="I34" s="35">
        <f>SUM(I29:I33)</f>
        <v/>
      </c>
      <c r="J34" s="35">
        <f>SUM(J29:J33)</f>
        <v/>
      </c>
      <c r="K34" s="35">
        <f>SUM(K29:K33)</f>
        <v/>
      </c>
      <c r="L34" s="35">
        <f>SUM(L29:L33)</f>
        <v/>
      </c>
      <c r="M34" s="35">
        <f>SUM(M29:M33)</f>
        <v/>
      </c>
      <c r="N34" s="35">
        <f>SUM(N29:N33)</f>
        <v/>
      </c>
      <c r="O34" s="35">
        <f>SUM(O29:O33)</f>
        <v/>
      </c>
      <c r="P34" s="35">
        <f>P29+P30+P31+P32+P33</f>
        <v/>
      </c>
      <c r="Q34" s="35">
        <f>Q29+Q30+Q31+Q32+Q33</f>
        <v/>
      </c>
      <c r="R34" s="35">
        <f>R29+R30+R31+R32+R33</f>
        <v/>
      </c>
      <c r="S34" s="35">
        <f>S29+S30+S31+S32+S33</f>
        <v/>
      </c>
      <c r="T34" s="84">
        <f>T29+T30+T31+T32+T33</f>
        <v/>
      </c>
      <c r="U34" s="84">
        <f>U29+U30+U31+U32+U33</f>
        <v/>
      </c>
      <c r="V34" s="84">
        <f>V29+V30+V31+V32+V33</f>
        <v/>
      </c>
      <c r="W34" s="17">
        <f>W29+W30+W31+W32+W33</f>
        <v/>
      </c>
      <c r="X34" s="17">
        <f>X29+X30+X31+X32+X33</f>
        <v/>
      </c>
      <c r="Y34" s="17">
        <f>Y29+Y30+Y31+Y32+Y33</f>
        <v/>
      </c>
      <c r="Z34" s="17">
        <f>Z29+Z30+Z31+Z32+Z33</f>
        <v/>
      </c>
      <c r="AA34" s="17">
        <f>AA29+AA30+AA31+AA32+AA33</f>
        <v/>
      </c>
      <c r="AB34" s="17">
        <f>AB29+AB30+AB31+AB32+AB33</f>
        <v/>
      </c>
      <c r="AC34" s="17">
        <f>AC29+AC30+AC31+AC32+AC33</f>
        <v/>
      </c>
      <c r="AD34" s="17">
        <f>AD29+AD30+AD31+AD32+AD33</f>
        <v/>
      </c>
      <c r="AE34" s="17">
        <f>AE29+AE30+AE31+AE32+AE33</f>
        <v/>
      </c>
      <c r="AF34" s="17">
        <f>AF29+AF30+AF31+AF32+AF33</f>
        <v/>
      </c>
      <c r="AG34" s="17">
        <f>AG29+AG30+AG31+AG32+AG33</f>
        <v/>
      </c>
      <c r="AH34" s="17">
        <f>AH29+AH30+AH31+AH32+AH33</f>
        <v/>
      </c>
      <c r="AI34" s="17">
        <f>AI29+AI30+AI31+AI32+AI33</f>
        <v/>
      </c>
      <c r="AJ34" s="17">
        <f>AJ29+AJ30+AJ31+AJ32+AJ33</f>
        <v/>
      </c>
      <c r="AK34" s="17">
        <f>AK29+AK30+AK31+AK32+AK33</f>
        <v/>
      </c>
      <c r="AL34" s="17">
        <f>AL29+AL30+AL31+AL32+AL33</f>
        <v/>
      </c>
      <c r="AM34" s="17">
        <f>AM29+AM30+AM31+AM32+AM33</f>
        <v/>
      </c>
      <c r="AN34" s="17">
        <f>AN29+AN30+AN31+AN32+AN33</f>
        <v/>
      </c>
      <c r="AO34" s="17">
        <f>AO29+AO30+AO31+AO32+AO33</f>
        <v/>
      </c>
      <c r="AP34" s="17">
        <f>AP29+AP30+AP31+AP32+AP33</f>
        <v/>
      </c>
      <c r="AQ34" s="17">
        <f>AQ29+AQ30+AQ31+AQ32+AQ33</f>
        <v/>
      </c>
      <c r="AR34" s="17">
        <f>AR29+AR30+AR31+AR32+AR33</f>
        <v/>
      </c>
      <c r="AS34" s="17">
        <f>AS29+AS30+AS31+AS32+AS33</f>
        <v/>
      </c>
      <c r="AT34" s="17">
        <f>AT29+AT30+AT31+AT32+AT33</f>
        <v/>
      </c>
      <c r="AU34" s="17">
        <f>AU29+AU30+AU31+AU32+AU33</f>
        <v/>
      </c>
      <c r="AV34" s="17">
        <f>AV29+AV30+AV31+AV32+AV33</f>
        <v/>
      </c>
      <c r="AW34" s="17">
        <f>AW29+AW30+AW31+AW32+AW33</f>
        <v/>
      </c>
      <c r="AX34" s="17">
        <f>AX29+AX30+AX31+AX32+AX33</f>
        <v/>
      </c>
      <c r="AY34" s="17">
        <f>AY29+AY30+AY31+AY32+AY33</f>
        <v/>
      </c>
    </row>
    <row r="35">
      <c r="B35" s="33" t="inlineStr">
        <is>
          <t>602001 Wages (incl 1099 &amp; Bonus)</t>
        </is>
      </c>
      <c r="D35" s="19" t="n">
        <v>52254.29</v>
      </c>
      <c r="E35" s="19" t="n">
        <v>54676.68</v>
      </c>
      <c r="F35" s="19" t="n">
        <v>59116.23</v>
      </c>
      <c r="G35" s="19" t="n">
        <v>48919.93</v>
      </c>
      <c r="H35" s="19" t="n">
        <v>60929.46</v>
      </c>
      <c r="I35" s="19" t="n">
        <v>48541.82</v>
      </c>
      <c r="J35" s="19" t="n">
        <v>43987.45</v>
      </c>
      <c r="K35" s="19" t="n">
        <v>47548.35</v>
      </c>
      <c r="L35" s="19" t="n">
        <v>47165.51</v>
      </c>
      <c r="M35" s="19" t="n">
        <v>46816.95</v>
      </c>
      <c r="N35" s="19" t="n">
        <v>42405.56</v>
      </c>
      <c r="O35" s="19" t="n">
        <v>37493.92</v>
      </c>
      <c r="P35" s="19" t="n">
        <v>37865.96</v>
      </c>
      <c r="Q35" s="19" t="n">
        <v>28298.38</v>
      </c>
      <c r="R35" s="19" t="n">
        <v>28172.31</v>
      </c>
      <c r="S35" s="19" t="n">
        <v>21673.34</v>
      </c>
      <c r="T35" s="83" t="n">
        <v>30215.34</v>
      </c>
      <c r="U35" s="83" t="n">
        <v>39777.13</v>
      </c>
      <c r="V35" s="83" t="n">
        <v>40835.17</v>
      </c>
      <c r="W35" s="20" t="n">
        <v>42020.39</v>
      </c>
      <c r="X35" s="20" t="n">
        <v>35555.71</v>
      </c>
      <c r="Y35" s="20" t="n">
        <v>35555.71</v>
      </c>
      <c r="Z35" s="20" t="n">
        <v>38788.05</v>
      </c>
      <c r="AA35" s="20" t="n">
        <v>42020.39</v>
      </c>
      <c r="AB35" s="20" t="n">
        <v>36363.8</v>
      </c>
      <c r="AC35" s="20" t="n">
        <v>35555.71</v>
      </c>
      <c r="AD35" s="20" t="n">
        <v>40799.72</v>
      </c>
      <c r="AE35" s="20" t="n">
        <v>42828.47</v>
      </c>
      <c r="AF35" s="20" t="n">
        <v>35555.71</v>
      </c>
      <c r="AG35" s="20" t="n">
        <v>35555.71</v>
      </c>
      <c r="AH35" s="20" t="n">
        <v>35555.71</v>
      </c>
      <c r="AI35" s="20" t="n">
        <v>42828.47</v>
      </c>
      <c r="AJ35" s="20" t="n">
        <v>35555.71</v>
      </c>
      <c r="AK35" s="20" t="n">
        <v>37979.97</v>
      </c>
      <c r="AL35" s="20" t="n">
        <v>42020.39</v>
      </c>
      <c r="AM35" s="20" t="n">
        <v>43636.56</v>
      </c>
      <c r="AN35" s="20" t="n">
        <v>36363.8</v>
      </c>
      <c r="AO35" s="20" t="n">
        <v>35555.71</v>
      </c>
      <c r="AP35" s="20" t="n">
        <v>40799.72</v>
      </c>
      <c r="AQ35" s="20" t="n">
        <v>42828.47</v>
      </c>
      <c r="AR35" s="20" t="n">
        <v>35555.71</v>
      </c>
      <c r="AS35" s="20" t="n">
        <v>35555.71</v>
      </c>
      <c r="AT35" s="20" t="n">
        <v>35555.71</v>
      </c>
      <c r="AU35" s="20" t="n">
        <v>42828.47</v>
      </c>
      <c r="AV35" s="20" t="n">
        <v>35555.71</v>
      </c>
      <c r="AW35" s="20" t="n">
        <v>37979.97</v>
      </c>
      <c r="AX35" s="20" t="n">
        <v>42020.39</v>
      </c>
      <c r="AY35" s="20" t="n">
        <v>43636.56</v>
      </c>
    </row>
    <row r="36">
      <c r="B36" s="33" t="inlineStr">
        <is>
          <t xml:space="preserve">  602004 Payroll Taxes</t>
        </is>
      </c>
      <c r="D36" s="19" t="n">
        <v>6202.34</v>
      </c>
      <c r="E36" s="19" t="n">
        <v>5541.8</v>
      </c>
      <c r="F36" s="19" t="n">
        <v>5351.31</v>
      </c>
      <c r="G36" s="19" t="n">
        <v>4316.35</v>
      </c>
      <c r="H36" s="19" t="n">
        <v>5139.92</v>
      </c>
      <c r="I36" s="19" t="n">
        <v>4107.59</v>
      </c>
      <c r="J36" s="19" t="n">
        <v>3840.85</v>
      </c>
      <c r="K36" s="19" t="n">
        <v>4197.13</v>
      </c>
      <c r="L36" s="19" t="n">
        <v>4156.01</v>
      </c>
      <c r="M36" s="19" t="n">
        <v>4162.24</v>
      </c>
      <c r="N36" s="19" t="n">
        <v>3828.3</v>
      </c>
      <c r="O36" s="19" t="n">
        <v>4249.28</v>
      </c>
      <c r="P36" s="19" t="n">
        <v>7630.95</v>
      </c>
      <c r="Q36" s="19" t="n">
        <v>2972.53</v>
      </c>
      <c r="R36" s="19" t="n">
        <v>2840.44</v>
      </c>
      <c r="S36" s="19" t="n">
        <v>2151.27</v>
      </c>
      <c r="T36" s="83" t="n">
        <v>2754.31</v>
      </c>
      <c r="U36" s="83" t="n">
        <v>3506.6</v>
      </c>
      <c r="V36" s="83" t="n">
        <v>3364.04</v>
      </c>
      <c r="W36" s="20" t="n">
        <v>5648.79</v>
      </c>
      <c r="X36" s="20" t="n">
        <v>4779.74</v>
      </c>
      <c r="Y36" s="20" t="n">
        <v>4779.74</v>
      </c>
      <c r="Z36" s="20" t="n">
        <v>5214.27</v>
      </c>
      <c r="AA36" s="20" t="n">
        <v>5648.79</v>
      </c>
      <c r="AB36" s="20" t="n">
        <v>4888.38</v>
      </c>
      <c r="AC36" s="20" t="n">
        <v>4779.74</v>
      </c>
      <c r="AD36" s="20" t="n">
        <v>5484.7</v>
      </c>
      <c r="AE36" s="20" t="n">
        <v>5757.42</v>
      </c>
      <c r="AF36" s="20" t="n">
        <v>4779.74</v>
      </c>
      <c r="AG36" s="20" t="n">
        <v>4779.74</v>
      </c>
      <c r="AH36" s="20" t="n">
        <v>4779.74</v>
      </c>
      <c r="AI36" s="20" t="n">
        <v>5757.42</v>
      </c>
      <c r="AJ36" s="20" t="n">
        <v>4779.74</v>
      </c>
      <c r="AK36" s="20" t="n">
        <v>5105.64</v>
      </c>
      <c r="AL36" s="20" t="n">
        <v>5648.79</v>
      </c>
      <c r="AM36" s="20" t="n">
        <v>5866.05</v>
      </c>
      <c r="AN36" s="20" t="n">
        <v>4888.38</v>
      </c>
      <c r="AO36" s="20" t="n">
        <v>4779.74</v>
      </c>
      <c r="AP36" s="20" t="n">
        <v>5484.7</v>
      </c>
      <c r="AQ36" s="20" t="n">
        <v>5757.42</v>
      </c>
      <c r="AR36" s="20" t="n">
        <v>4779.74</v>
      </c>
      <c r="AS36" s="20" t="n">
        <v>4779.74</v>
      </c>
      <c r="AT36" s="20" t="n">
        <v>4779.74</v>
      </c>
      <c r="AU36" s="20" t="n">
        <v>5757.42</v>
      </c>
      <c r="AV36" s="20" t="n">
        <v>4779.74</v>
      </c>
      <c r="AW36" s="20" t="n">
        <v>5105.64</v>
      </c>
      <c r="AX36" s="20" t="n">
        <v>5648.79</v>
      </c>
      <c r="AY36" s="20" t="n">
        <v>5866.05</v>
      </c>
    </row>
    <row r="37">
      <c r="B37" s="33" t="inlineStr">
        <is>
          <t>602005 Employee Benefits (incl Workers Comp)</t>
        </is>
      </c>
      <c r="D37" s="19" t="n">
        <v>1664.28</v>
      </c>
      <c r="E37" s="19" t="n">
        <v>1786.49</v>
      </c>
      <c r="F37" s="19" t="n">
        <v>1005.62</v>
      </c>
      <c r="G37" s="19" t="n">
        <v>1521.75</v>
      </c>
      <c r="H37" s="19" t="n">
        <v>746.12</v>
      </c>
      <c r="I37" s="19" t="n">
        <v>426.76</v>
      </c>
      <c r="J37" s="19" t="n">
        <v>851</v>
      </c>
      <c r="K37" s="19" t="n">
        <v>749.22</v>
      </c>
      <c r="L37" s="19" t="n">
        <v>1086.01</v>
      </c>
      <c r="M37" s="19" t="n">
        <v>956.6799999999999</v>
      </c>
      <c r="N37" s="19" t="n">
        <v>1750.65</v>
      </c>
      <c r="O37" s="19" t="n">
        <v>1530.63</v>
      </c>
      <c r="P37" s="19" t="n">
        <v>1717.79</v>
      </c>
      <c r="Q37" s="19" t="n">
        <v>570.49</v>
      </c>
      <c r="R37" s="19" t="n">
        <v>656.8</v>
      </c>
      <c r="S37" s="19" t="n">
        <v>639.26</v>
      </c>
      <c r="T37" s="83" t="n">
        <v>676.13</v>
      </c>
      <c r="U37" s="83" t="n">
        <v>1135.48</v>
      </c>
      <c r="V37" s="83" t="n">
        <v>1270.73</v>
      </c>
      <c r="W37" s="20" t="n">
        <v>2148.12</v>
      </c>
      <c r="X37" s="20" t="n">
        <v>1817.64</v>
      </c>
      <c r="Y37" s="20" t="n">
        <v>1817.64</v>
      </c>
      <c r="Z37" s="20" t="n">
        <v>1982.88</v>
      </c>
      <c r="AA37" s="20" t="n">
        <v>2148.12</v>
      </c>
      <c r="AB37" s="20" t="n">
        <v>1858.95</v>
      </c>
      <c r="AC37" s="20" t="n">
        <v>1817.64</v>
      </c>
      <c r="AD37" s="20" t="n">
        <v>2085.72</v>
      </c>
      <c r="AE37" s="20" t="n">
        <v>2189.43</v>
      </c>
      <c r="AF37" s="20" t="n">
        <v>1817.64</v>
      </c>
      <c r="AG37" s="20" t="n">
        <v>1817.64</v>
      </c>
      <c r="AH37" s="20" t="n">
        <v>1817.64</v>
      </c>
      <c r="AI37" s="20" t="n">
        <v>2189.43</v>
      </c>
      <c r="AJ37" s="20" t="n">
        <v>1817.64</v>
      </c>
      <c r="AK37" s="20" t="n">
        <v>1941.57</v>
      </c>
      <c r="AL37" s="20" t="n">
        <v>2148.12</v>
      </c>
      <c r="AM37" s="20" t="n">
        <v>2230.74</v>
      </c>
      <c r="AN37" s="20" t="n">
        <v>1858.95</v>
      </c>
      <c r="AO37" s="20" t="n">
        <v>1817.64</v>
      </c>
      <c r="AP37" s="20" t="n">
        <v>2085.72</v>
      </c>
      <c r="AQ37" s="20" t="n">
        <v>2189.43</v>
      </c>
      <c r="AR37" s="20" t="n">
        <v>1817.64</v>
      </c>
      <c r="AS37" s="20" t="n">
        <v>1817.64</v>
      </c>
      <c r="AT37" s="20" t="n">
        <v>1817.64</v>
      </c>
      <c r="AU37" s="20" t="n">
        <v>2189.43</v>
      </c>
      <c r="AV37" s="20" t="n">
        <v>1817.64</v>
      </c>
      <c r="AW37" s="20" t="n">
        <v>1941.57</v>
      </c>
      <c r="AX37" s="20" t="n">
        <v>2148.12</v>
      </c>
      <c r="AY37" s="20" t="n">
        <v>2230.74</v>
      </c>
    </row>
    <row r="38">
      <c r="B38" s="33" t="inlineStr">
        <is>
          <t xml:space="preserve">  602010 Payroll Processing Fees</t>
        </is>
      </c>
      <c r="D38" s="19" t="n">
        <v>1096.03</v>
      </c>
      <c r="E38" s="19" t="n">
        <v>612.42</v>
      </c>
      <c r="F38" s="19" t="n">
        <v>627.42</v>
      </c>
      <c r="G38" s="19" t="n">
        <v>864.63</v>
      </c>
      <c r="H38" s="19" t="n">
        <v>657.42</v>
      </c>
      <c r="I38" s="19" t="n">
        <v>638.67</v>
      </c>
      <c r="J38" s="19" t="n">
        <v>634.92</v>
      </c>
      <c r="K38" s="19" t="n">
        <v>926.13</v>
      </c>
      <c r="L38" s="19" t="n">
        <v>653.67</v>
      </c>
      <c r="M38" s="19" t="n">
        <v>631.17</v>
      </c>
      <c r="N38" s="19" t="n">
        <v>608.67</v>
      </c>
      <c r="O38" s="19" t="n">
        <v>1199.43</v>
      </c>
      <c r="P38" s="19" t="n">
        <v>1745.28</v>
      </c>
      <c r="Q38" s="19" t="n">
        <v>1419.85</v>
      </c>
      <c r="R38" s="19" t="n">
        <v>1909.57</v>
      </c>
      <c r="S38" s="19" t="n">
        <v>951.3099999999999</v>
      </c>
      <c r="T38" s="83" t="n">
        <v>1188.32</v>
      </c>
      <c r="U38" s="83" t="n">
        <v>1972.82</v>
      </c>
      <c r="V38" s="83" t="n">
        <v>1601.37</v>
      </c>
      <c r="W38" s="20" t="n">
        <v>2182.7</v>
      </c>
      <c r="X38" s="20" t="n">
        <v>1846.9</v>
      </c>
      <c r="Y38" s="20" t="n">
        <v>1846.9</v>
      </c>
      <c r="Z38" s="20" t="n">
        <v>2014.8</v>
      </c>
      <c r="AA38" s="20" t="n">
        <v>2182.7</v>
      </c>
      <c r="AB38" s="20" t="n">
        <v>1888.88</v>
      </c>
      <c r="AC38" s="20" t="n">
        <v>1846.9</v>
      </c>
      <c r="AD38" s="20" t="n">
        <v>2119.3</v>
      </c>
      <c r="AE38" s="20" t="n">
        <v>2224.68</v>
      </c>
      <c r="AF38" s="20" t="n">
        <v>1846.9</v>
      </c>
      <c r="AG38" s="20" t="n">
        <v>1846.9</v>
      </c>
      <c r="AH38" s="20" t="n">
        <v>1846.9</v>
      </c>
      <c r="AI38" s="20" t="n">
        <v>2224.68</v>
      </c>
      <c r="AJ38" s="20" t="n">
        <v>1846.9</v>
      </c>
      <c r="AK38" s="20" t="n">
        <v>1972.83</v>
      </c>
      <c r="AL38" s="20" t="n">
        <v>2182.7</v>
      </c>
      <c r="AM38" s="20" t="n">
        <v>2266.65</v>
      </c>
      <c r="AN38" s="20" t="n">
        <v>1888.88</v>
      </c>
      <c r="AO38" s="20" t="n">
        <v>1846.9</v>
      </c>
      <c r="AP38" s="20" t="n">
        <v>2119.3</v>
      </c>
      <c r="AQ38" s="20" t="n">
        <v>2224.68</v>
      </c>
      <c r="AR38" s="20" t="n">
        <v>1846.9</v>
      </c>
      <c r="AS38" s="20" t="n">
        <v>1846.9</v>
      </c>
      <c r="AT38" s="20" t="n">
        <v>1846.9</v>
      </c>
      <c r="AU38" s="20" t="n">
        <v>2224.68</v>
      </c>
      <c r="AV38" s="20" t="n">
        <v>1846.9</v>
      </c>
      <c r="AW38" s="20" t="n">
        <v>1972.83</v>
      </c>
      <c r="AX38" s="20" t="n">
        <v>2182.7</v>
      </c>
      <c r="AY38" s="20" t="n">
        <v>2266.65</v>
      </c>
    </row>
    <row r="39">
      <c r="B39" s="32" t="inlineStr">
        <is>
          <t>Total Payroll</t>
        </is>
      </c>
      <c r="C39" s="34" t="n"/>
      <c r="D39" s="35">
        <f>SUM(D35:D38)</f>
        <v/>
      </c>
      <c r="E39" s="35">
        <f>SUM(E35:E38)</f>
        <v/>
      </c>
      <c r="F39" s="35">
        <f>SUM(F35:F38)</f>
        <v/>
      </c>
      <c r="G39" s="35">
        <f>SUM(G35:G38)</f>
        <v/>
      </c>
      <c r="H39" s="35">
        <f>SUM(H35:H38)</f>
        <v/>
      </c>
      <c r="I39" s="35">
        <f>SUM(I35:I38)</f>
        <v/>
      </c>
      <c r="J39" s="35">
        <f>SUM(J35:J38)</f>
        <v/>
      </c>
      <c r="K39" s="35">
        <f>SUM(K35:K38)</f>
        <v/>
      </c>
      <c r="L39" s="35">
        <f>SUM(L35:L38)</f>
        <v/>
      </c>
      <c r="M39" s="35">
        <f>SUM(M35:M38)</f>
        <v/>
      </c>
      <c r="N39" s="35">
        <f>SUM(N35:N38)</f>
        <v/>
      </c>
      <c r="O39" s="35">
        <f>SUM(O35:O38)</f>
        <v/>
      </c>
      <c r="P39" s="35">
        <f>P35+P36+P37+P38</f>
        <v/>
      </c>
      <c r="Q39" s="35">
        <f>Q35+Q36+Q37+Q38</f>
        <v/>
      </c>
      <c r="R39" s="35">
        <f>R35+R36+R37+R38</f>
        <v/>
      </c>
      <c r="S39" s="35">
        <f>S35+S36+S37+S38</f>
        <v/>
      </c>
      <c r="T39" s="84">
        <f>T35+T36+T37+T38</f>
        <v/>
      </c>
      <c r="U39" s="84">
        <f>U35+U36+U37+U38</f>
        <v/>
      </c>
      <c r="V39" s="84">
        <f>V35+V36+V37+V38</f>
        <v/>
      </c>
      <c r="W39" s="17">
        <f>W35+W36+W37+W38</f>
        <v/>
      </c>
      <c r="X39" s="17">
        <f>X35+X36+X37+X38</f>
        <v/>
      </c>
      <c r="Y39" s="17">
        <f>Y35+Y36+Y37+Y38</f>
        <v/>
      </c>
      <c r="Z39" s="17">
        <f>Z35+Z36+Z37+Z38</f>
        <v/>
      </c>
      <c r="AA39" s="17">
        <f>AA35+AA36+AA37+AA38</f>
        <v/>
      </c>
      <c r="AB39" s="17">
        <f>AB35+AB36+AB37+AB38</f>
        <v/>
      </c>
      <c r="AC39" s="17">
        <f>AC35+AC36+AC37+AC38</f>
        <v/>
      </c>
      <c r="AD39" s="17">
        <f>AD35+AD36+AD37+AD38</f>
        <v/>
      </c>
      <c r="AE39" s="17">
        <f>AE35+AE36+AE37+AE38</f>
        <v/>
      </c>
      <c r="AF39" s="17">
        <f>AF35+AF36+AF37+AF38</f>
        <v/>
      </c>
      <c r="AG39" s="17">
        <f>AG35+AG36+AG37+AG38</f>
        <v/>
      </c>
      <c r="AH39" s="17">
        <f>AH35+AH36+AH37+AH38</f>
        <v/>
      </c>
      <c r="AI39" s="17">
        <f>AI35+AI36+AI37+AI38</f>
        <v/>
      </c>
      <c r="AJ39" s="17">
        <f>AJ35+AJ36+AJ37+AJ38</f>
        <v/>
      </c>
      <c r="AK39" s="17">
        <f>AK35+AK36+AK37+AK38</f>
        <v/>
      </c>
      <c r="AL39" s="17">
        <f>AL35+AL36+AL37+AL38</f>
        <v/>
      </c>
      <c r="AM39" s="17">
        <f>AM35+AM36+AM37+AM38</f>
        <v/>
      </c>
      <c r="AN39" s="17">
        <f>AN35+AN36+AN37+AN38</f>
        <v/>
      </c>
      <c r="AO39" s="17">
        <f>AO35+AO36+AO37+AO38</f>
        <v/>
      </c>
      <c r="AP39" s="17">
        <f>AP35+AP36+AP37+AP38</f>
        <v/>
      </c>
      <c r="AQ39" s="17">
        <f>AQ35+AQ36+AQ37+AQ38</f>
        <v/>
      </c>
      <c r="AR39" s="17">
        <f>AR35+AR36+AR37+AR38</f>
        <v/>
      </c>
      <c r="AS39" s="17">
        <f>AS35+AS36+AS37+AS38</f>
        <v/>
      </c>
      <c r="AT39" s="17">
        <f>AT35+AT36+AT37+AT38</f>
        <v/>
      </c>
      <c r="AU39" s="17">
        <f>AU35+AU36+AU37+AU38</f>
        <v/>
      </c>
      <c r="AV39" s="17">
        <f>AV35+AV36+AV37+AV38</f>
        <v/>
      </c>
      <c r="AW39" s="17">
        <f>AW35+AW36+AW37+AW38</f>
        <v/>
      </c>
      <c r="AX39" s="17">
        <f>AX35+AX36+AX37+AX38</f>
        <v/>
      </c>
      <c r="AY39" s="17">
        <f>AY35+AY36+AY37+AY38</f>
        <v/>
      </c>
    </row>
    <row r="40">
      <c r="B40" s="33" t="inlineStr">
        <is>
          <t xml:space="preserve">  603000 Software &amp; Web Services</t>
        </is>
      </c>
      <c r="D40" s="19" t="n">
        <v>1341.92</v>
      </c>
      <c r="E40" s="19" t="n">
        <v>2947.82</v>
      </c>
      <c r="F40" s="19" t="n">
        <v>-251.18</v>
      </c>
      <c r="G40" s="19" t="n">
        <v>680.4</v>
      </c>
      <c r="H40" s="19" t="n">
        <v>2414</v>
      </c>
      <c r="I40" s="19" t="n">
        <v>1617.36</v>
      </c>
      <c r="J40" s="19" t="n">
        <v>2888.86</v>
      </c>
      <c r="K40" s="19" t="n">
        <v>-2634.45</v>
      </c>
      <c r="L40" s="19" t="n">
        <v>2458.59</v>
      </c>
      <c r="M40" s="19" t="n">
        <v>2550.88</v>
      </c>
      <c r="N40" s="19" t="n">
        <v>3479.33</v>
      </c>
      <c r="O40" s="19" t="n">
        <v>3153.79</v>
      </c>
      <c r="P40" s="19" t="n">
        <v>4516.21</v>
      </c>
      <c r="Q40" s="19" t="n">
        <v>4994.44</v>
      </c>
      <c r="R40" s="19" t="n">
        <v>1424.87</v>
      </c>
      <c r="S40" s="19" t="n">
        <v>4355.7</v>
      </c>
      <c r="T40" s="83" t="n">
        <v>3560.26</v>
      </c>
      <c r="U40" s="83" t="n">
        <v>3561.26</v>
      </c>
      <c r="V40" s="83" t="n">
        <v>3602.22</v>
      </c>
      <c r="W40" s="20" t="n">
        <v>4711.32</v>
      </c>
      <c r="X40" s="20" t="n">
        <v>4711.32</v>
      </c>
      <c r="Y40" s="20" t="n">
        <v>4711.32</v>
      </c>
      <c r="Z40" s="20" t="n">
        <v>4711.32</v>
      </c>
      <c r="AA40" s="20" t="n">
        <v>4711.32</v>
      </c>
      <c r="AB40" s="20" t="n">
        <v>4711.32</v>
      </c>
      <c r="AC40" s="20" t="n">
        <v>4711.32</v>
      </c>
      <c r="AD40" s="20" t="n">
        <v>4711.32</v>
      </c>
      <c r="AE40" s="20" t="n">
        <v>4711.32</v>
      </c>
      <c r="AF40" s="20" t="n">
        <v>4711.32</v>
      </c>
      <c r="AG40" s="20" t="n">
        <v>4711.32</v>
      </c>
      <c r="AH40" s="20" t="n">
        <v>4711.32</v>
      </c>
      <c r="AI40" s="20" t="n">
        <v>4711.32</v>
      </c>
      <c r="AJ40" s="20" t="n">
        <v>4711.32</v>
      </c>
      <c r="AK40" s="20" t="n">
        <v>4711.32</v>
      </c>
      <c r="AL40" s="20" t="n">
        <v>4711.32</v>
      </c>
      <c r="AM40" s="20" t="n">
        <v>4711.32</v>
      </c>
      <c r="AN40" s="20" t="n">
        <v>4711.32</v>
      </c>
      <c r="AO40" s="20" t="n">
        <v>4711.32</v>
      </c>
      <c r="AP40" s="20" t="n">
        <v>4711.32</v>
      </c>
      <c r="AQ40" s="20" t="n">
        <v>4711.32</v>
      </c>
      <c r="AR40" s="20" t="n">
        <v>4711.32</v>
      </c>
      <c r="AS40" s="20" t="n">
        <v>4711.32</v>
      </c>
      <c r="AT40" s="20" t="n">
        <v>4711.32</v>
      </c>
      <c r="AU40" s="20" t="n">
        <v>4711.32</v>
      </c>
      <c r="AV40" s="20" t="n">
        <v>4711.32</v>
      </c>
      <c r="AW40" s="20" t="n">
        <v>4711.32</v>
      </c>
      <c r="AX40" s="20" t="n">
        <v>4711.32</v>
      </c>
      <c r="AY40" s="20" t="n">
        <v>4711.32</v>
      </c>
    </row>
    <row r="41">
      <c r="B41" s="33" t="inlineStr">
        <is>
          <t xml:space="preserve">  608000 Insurance</t>
        </is>
      </c>
      <c r="D41" s="19" t="n">
        <v>516.29</v>
      </c>
      <c r="E41" s="19" t="n">
        <v>293.32</v>
      </c>
      <c r="F41" s="19" t="n">
        <v>293.32</v>
      </c>
      <c r="G41" s="19" t="n">
        <v>293.32</v>
      </c>
      <c r="H41" s="19" t="n">
        <v>293.32</v>
      </c>
      <c r="I41" s="19" t="n">
        <v>293.32</v>
      </c>
      <c r="J41" s="19" t="n">
        <v>293.32</v>
      </c>
      <c r="K41" s="19" t="n">
        <v>293.32</v>
      </c>
      <c r="L41" s="19" t="n">
        <v>293.32</v>
      </c>
      <c r="M41" s="19" t="n">
        <v>449.43</v>
      </c>
      <c r="N41" s="19" t="n">
        <v>449.43</v>
      </c>
      <c r="O41" s="19" t="n">
        <v>449.43</v>
      </c>
      <c r="P41" s="19" t="n">
        <v>69.67</v>
      </c>
      <c r="Q41" s="19" t="n">
        <v>69.67</v>
      </c>
      <c r="R41" s="19" t="n">
        <v>169.9</v>
      </c>
      <c r="S41" s="19" t="n">
        <v>169.9</v>
      </c>
      <c r="T41" s="83" t="n">
        <v>294.83</v>
      </c>
      <c r="U41" s="83" t="n">
        <v>290.82</v>
      </c>
      <c r="V41" s="83" t="n">
        <v>290.82</v>
      </c>
      <c r="W41" s="20" t="n">
        <v>155.69</v>
      </c>
      <c r="X41" s="20" t="n">
        <v>155.69</v>
      </c>
      <c r="Y41" s="20" t="n">
        <v>155.69</v>
      </c>
      <c r="Z41" s="20" t="n">
        <v>155.69</v>
      </c>
      <c r="AA41" s="20" t="n">
        <v>155.69</v>
      </c>
      <c r="AB41" s="20" t="n">
        <v>155.69</v>
      </c>
      <c r="AC41" s="20" t="n">
        <v>155.69</v>
      </c>
      <c r="AD41" s="20" t="n">
        <v>155.69</v>
      </c>
      <c r="AE41" s="20" t="n">
        <v>155.69</v>
      </c>
      <c r="AF41" s="20" t="n">
        <v>155.69</v>
      </c>
      <c r="AG41" s="20" t="n">
        <v>155.69</v>
      </c>
      <c r="AH41" s="20" t="n">
        <v>155.69</v>
      </c>
      <c r="AI41" s="20" t="n">
        <v>155.69</v>
      </c>
      <c r="AJ41" s="20" t="n">
        <v>155.69</v>
      </c>
      <c r="AK41" s="20" t="n">
        <v>155.69</v>
      </c>
      <c r="AL41" s="20" t="n">
        <v>155.69</v>
      </c>
      <c r="AM41" s="20" t="n">
        <v>155.69</v>
      </c>
      <c r="AN41" s="20" t="n">
        <v>155.69</v>
      </c>
      <c r="AO41" s="20" t="n">
        <v>155.69</v>
      </c>
      <c r="AP41" s="20" t="n">
        <v>155.69</v>
      </c>
      <c r="AQ41" s="20" t="n">
        <v>155.69</v>
      </c>
      <c r="AR41" s="20" t="n">
        <v>155.69</v>
      </c>
      <c r="AS41" s="20" t="n">
        <v>155.69</v>
      </c>
      <c r="AT41" s="20" t="n">
        <v>155.69</v>
      </c>
      <c r="AU41" s="20" t="n">
        <v>155.69</v>
      </c>
      <c r="AV41" s="20" t="n">
        <v>155.69</v>
      </c>
      <c r="AW41" s="20" t="n">
        <v>155.69</v>
      </c>
      <c r="AX41" s="20" t="n">
        <v>155.69</v>
      </c>
      <c r="AY41" s="20" t="n">
        <v>155.69</v>
      </c>
    </row>
    <row r="42">
      <c r="B42" s="33" t="inlineStr">
        <is>
          <t>610000 Office Supplies &amp; GE (incl Licenses, Furniture, Shipping, Bank Fees, Start-Up Costs)</t>
        </is>
      </c>
      <c r="D42" s="19" t="n">
        <v>1149.22</v>
      </c>
      <c r="E42" s="19" t="n">
        <v>2530.84</v>
      </c>
      <c r="F42" s="19" t="n">
        <v>2742.02</v>
      </c>
      <c r="G42" s="19" t="n">
        <v>2252.12</v>
      </c>
      <c r="H42" s="19" t="n">
        <v>2543.76</v>
      </c>
      <c r="I42" s="19" t="n">
        <v>1263.54</v>
      </c>
      <c r="J42" s="19" t="n">
        <v>2257.68</v>
      </c>
      <c r="K42" s="19" t="n">
        <v>2345.78</v>
      </c>
      <c r="L42" s="19" t="n">
        <v>1810.29</v>
      </c>
      <c r="M42" s="19" t="n">
        <v>1178.39</v>
      </c>
      <c r="N42" s="19" t="n">
        <v>1101.06</v>
      </c>
      <c r="O42" s="19" t="n">
        <v>841.51</v>
      </c>
      <c r="P42" s="19" t="n">
        <v>1449.8</v>
      </c>
      <c r="Q42" s="19" t="n">
        <v>847.55</v>
      </c>
      <c r="R42" s="19" t="n">
        <v>872.86</v>
      </c>
      <c r="S42" s="19" t="n">
        <v>759.88</v>
      </c>
      <c r="T42" s="83" t="n">
        <v>1116.79</v>
      </c>
      <c r="U42" s="83" t="n">
        <v>618.87</v>
      </c>
      <c r="V42" s="83" t="n">
        <v>535</v>
      </c>
      <c r="W42" s="20" t="n">
        <v>893.86</v>
      </c>
      <c r="X42" s="20" t="n">
        <v>893.86</v>
      </c>
      <c r="Y42" s="20" t="n">
        <v>893.86</v>
      </c>
      <c r="Z42" s="20" t="n">
        <v>893.86</v>
      </c>
      <c r="AA42" s="20" t="n">
        <v>893.86</v>
      </c>
      <c r="AB42" s="20" t="n">
        <v>893.86</v>
      </c>
      <c r="AC42" s="20" t="n">
        <v>893.86</v>
      </c>
      <c r="AD42" s="20" t="n">
        <v>893.86</v>
      </c>
      <c r="AE42" s="20" t="n">
        <v>893.86</v>
      </c>
      <c r="AF42" s="20" t="n">
        <v>893.86</v>
      </c>
      <c r="AG42" s="20" t="n">
        <v>893.86</v>
      </c>
      <c r="AH42" s="20" t="n">
        <v>893.86</v>
      </c>
      <c r="AI42" s="20" t="n">
        <v>893.86</v>
      </c>
      <c r="AJ42" s="20" t="n">
        <v>893.86</v>
      </c>
      <c r="AK42" s="20" t="n">
        <v>893.86</v>
      </c>
      <c r="AL42" s="20" t="n">
        <v>893.86</v>
      </c>
      <c r="AM42" s="20" t="n">
        <v>893.86</v>
      </c>
      <c r="AN42" s="20" t="n">
        <v>893.86</v>
      </c>
      <c r="AO42" s="20" t="n">
        <v>893.86</v>
      </c>
      <c r="AP42" s="20" t="n">
        <v>893.86</v>
      </c>
      <c r="AQ42" s="20" t="n">
        <v>893.86</v>
      </c>
      <c r="AR42" s="20" t="n">
        <v>893.86</v>
      </c>
      <c r="AS42" s="20" t="n">
        <v>893.86</v>
      </c>
      <c r="AT42" s="20" t="n">
        <v>893.86</v>
      </c>
      <c r="AU42" s="20" t="n">
        <v>893.86</v>
      </c>
      <c r="AV42" s="20" t="n">
        <v>893.86</v>
      </c>
      <c r="AW42" s="20" t="n">
        <v>893.86</v>
      </c>
      <c r="AX42" s="20" t="n">
        <v>893.86</v>
      </c>
      <c r="AY42" s="20" t="n">
        <v>893.86</v>
      </c>
    </row>
    <row r="43">
      <c r="B43" s="32" t="inlineStr">
        <is>
          <t>Total Software &amp; Admin</t>
        </is>
      </c>
      <c r="C43" s="34" t="n"/>
      <c r="D43" s="35">
        <f>D40+D41+D42</f>
        <v/>
      </c>
      <c r="E43" s="35">
        <f>E40+E41+E42</f>
        <v/>
      </c>
      <c r="F43" s="35">
        <f>F40+F41+F42</f>
        <v/>
      </c>
      <c r="G43" s="35">
        <f>G40+G41+G42</f>
        <v/>
      </c>
      <c r="H43" s="35">
        <f>H40+H41+H42</f>
        <v/>
      </c>
      <c r="I43" s="35">
        <f>I40+I41+I42</f>
        <v/>
      </c>
      <c r="J43" s="35">
        <f>J40+J41+J42</f>
        <v/>
      </c>
      <c r="K43" s="35">
        <f>K40+K41+K42</f>
        <v/>
      </c>
      <c r="L43" s="35">
        <f>L40+L41+L42</f>
        <v/>
      </c>
      <c r="M43" s="35">
        <f>M40+M41+M42</f>
        <v/>
      </c>
      <c r="N43" s="35">
        <f>N40+N41+N42</f>
        <v/>
      </c>
      <c r="O43" s="35">
        <f>O40+O41+O42</f>
        <v/>
      </c>
      <c r="P43" s="35">
        <f>P40+P41+P42</f>
        <v/>
      </c>
      <c r="Q43" s="35">
        <f>Q40+Q41+Q42</f>
        <v/>
      </c>
      <c r="R43" s="35">
        <f>R40+R41+R42</f>
        <v/>
      </c>
      <c r="S43" s="35">
        <f>S40+S41+S42</f>
        <v/>
      </c>
      <c r="T43" s="17">
        <f>T40+T41+T42</f>
        <v/>
      </c>
      <c r="U43" s="17">
        <f>U40+U41+U42</f>
        <v/>
      </c>
      <c r="V43" s="17">
        <f>V40+V41+V42</f>
        <v/>
      </c>
      <c r="W43" s="17">
        <f>W40+W41+W42</f>
        <v/>
      </c>
      <c r="X43" s="17">
        <f>X40+X41+X42</f>
        <v/>
      </c>
      <c r="Y43" s="17">
        <f>Y40+Y41+Y42</f>
        <v/>
      </c>
      <c r="Z43" s="17">
        <f>Z40+Z41+Z42</f>
        <v/>
      </c>
      <c r="AA43" s="17">
        <f>AA40+AA41+AA42</f>
        <v/>
      </c>
      <c r="AB43" s="17">
        <f>AB40+AB41+AB42</f>
        <v/>
      </c>
      <c r="AC43" s="17">
        <f>AC40+AC41+AC42</f>
        <v/>
      </c>
      <c r="AD43" s="17">
        <f>AD40+AD41+AD42</f>
        <v/>
      </c>
      <c r="AE43" s="17">
        <f>AE40+AE41+AE42</f>
        <v/>
      </c>
      <c r="AF43" s="17">
        <f>AF40+AF41+AF42</f>
        <v/>
      </c>
      <c r="AG43" s="17">
        <f>AG40+AG41+AG42</f>
        <v/>
      </c>
      <c r="AH43" s="17">
        <f>AH40+AH41+AH42</f>
        <v/>
      </c>
      <c r="AI43" s="17">
        <f>AI40+AI41+AI42</f>
        <v/>
      </c>
      <c r="AJ43" s="17">
        <f>AJ40+AJ41+AJ42</f>
        <v/>
      </c>
      <c r="AK43" s="17">
        <f>AK40+AK41+AK42</f>
        <v/>
      </c>
      <c r="AL43" s="17">
        <f>AL40+AL41+AL42</f>
        <v/>
      </c>
      <c r="AM43" s="17">
        <f>AM40+AM41+AM42</f>
        <v/>
      </c>
      <c r="AN43" s="17">
        <f>AN40+AN41+AN42</f>
        <v/>
      </c>
      <c r="AO43" s="17">
        <f>AO40+AO41+AO42</f>
        <v/>
      </c>
      <c r="AP43" s="17">
        <f>AP40+AP41+AP42</f>
        <v/>
      </c>
      <c r="AQ43" s="17">
        <f>AQ40+AQ41+AQ42</f>
        <v/>
      </c>
      <c r="AR43" s="17">
        <f>AR40+AR41+AR42</f>
        <v/>
      </c>
      <c r="AS43" s="17">
        <f>AS40+AS41+AS42</f>
        <v/>
      </c>
      <c r="AT43" s="17">
        <f>AT40+AT41+AT42</f>
        <v/>
      </c>
      <c r="AU43" s="17">
        <f>AU40+AU41+AU42</f>
        <v/>
      </c>
      <c r="AV43" s="17">
        <f>AV40+AV41+AV42</f>
        <v/>
      </c>
      <c r="AW43" s="17">
        <f>AW40+AW41+AW42</f>
        <v/>
      </c>
      <c r="AX43" s="17">
        <f>AX40+AX41+AX42</f>
        <v/>
      </c>
      <c r="AY43" s="17">
        <f>AY40+AY41+AY42</f>
        <v/>
      </c>
    </row>
    <row r="44">
      <c r="B44" s="33" t="inlineStr">
        <is>
          <t xml:space="preserve">  604100 Legal Fees</t>
        </is>
      </c>
      <c r="D44" s="19" t="n">
        <v>0</v>
      </c>
      <c r="E44" s="19" t="n">
        <v>0</v>
      </c>
      <c r="F44" s="19" t="n">
        <v>0</v>
      </c>
      <c r="G44" s="19" t="n">
        <v>165</v>
      </c>
      <c r="H44" s="19" t="n">
        <v>0</v>
      </c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0</v>
      </c>
      <c r="O44" s="19" t="n">
        <v>0</v>
      </c>
      <c r="P44" s="19" t="n">
        <v>0</v>
      </c>
      <c r="Q44" s="19" t="n">
        <v>0</v>
      </c>
      <c r="R44" s="19" t="n">
        <v>0</v>
      </c>
      <c r="S44" s="19" t="n">
        <v>0</v>
      </c>
      <c r="T44" s="83" t="n">
        <v>0</v>
      </c>
      <c r="U44" s="83" t="n">
        <v>0</v>
      </c>
      <c r="V44" s="83" t="n">
        <v>0</v>
      </c>
      <c r="W44" s="20" t="n">
        <v>0</v>
      </c>
      <c r="X44" s="20" t="n">
        <v>0</v>
      </c>
      <c r="Y44" s="20" t="n">
        <v>0</v>
      </c>
      <c r="Z44" s="20" t="n">
        <v>0</v>
      </c>
      <c r="AA44" s="20" t="n">
        <v>0</v>
      </c>
      <c r="AB44" s="20" t="n">
        <v>0</v>
      </c>
      <c r="AC44" s="20" t="n">
        <v>0</v>
      </c>
      <c r="AD44" s="20" t="n">
        <v>0</v>
      </c>
      <c r="AE44" s="20" t="n">
        <v>0</v>
      </c>
      <c r="AF44" s="20" t="n">
        <v>0</v>
      </c>
      <c r="AG44" s="20" t="n">
        <v>0</v>
      </c>
      <c r="AH44" s="20" t="n">
        <v>0</v>
      </c>
      <c r="AI44" s="20" t="n">
        <v>0</v>
      </c>
      <c r="AJ44" s="20" t="n">
        <v>0</v>
      </c>
      <c r="AK44" s="20" t="n">
        <v>0</v>
      </c>
      <c r="AL44" s="20" t="n">
        <v>0</v>
      </c>
      <c r="AM44" s="20" t="n">
        <v>0</v>
      </c>
      <c r="AN44" s="20" t="n">
        <v>0</v>
      </c>
      <c r="AO44" s="20" t="n">
        <v>0</v>
      </c>
      <c r="AP44" s="20" t="n">
        <v>0</v>
      </c>
      <c r="AQ44" s="20" t="n">
        <v>0</v>
      </c>
      <c r="AR44" s="20" t="n">
        <v>0</v>
      </c>
      <c r="AS44" s="20" t="n">
        <v>0</v>
      </c>
      <c r="AT44" s="20" t="n">
        <v>0</v>
      </c>
      <c r="AU44" s="20" t="n">
        <v>0</v>
      </c>
      <c r="AV44" s="20" t="n">
        <v>0</v>
      </c>
      <c r="AW44" s="20" t="n">
        <v>0</v>
      </c>
      <c r="AX44" s="20" t="n">
        <v>0</v>
      </c>
      <c r="AY44" s="20" t="n">
        <v>0</v>
      </c>
    </row>
    <row r="45">
      <c r="B45" s="33" t="inlineStr">
        <is>
          <t xml:space="preserve">  604200 Accounting</t>
        </is>
      </c>
      <c r="D45" s="19" t="n">
        <v>959.25</v>
      </c>
      <c r="E45" s="19" t="n">
        <v>1542</v>
      </c>
      <c r="F45" s="19" t="n">
        <v>769.5</v>
      </c>
      <c r="G45" s="19" t="n">
        <v>103.5</v>
      </c>
      <c r="H45" s="19" t="n">
        <v>1520</v>
      </c>
      <c r="I45" s="19" t="n">
        <v>0</v>
      </c>
      <c r="J45" s="19" t="n">
        <v>1049.95</v>
      </c>
      <c r="K45" s="19" t="n">
        <v>2208.25</v>
      </c>
      <c r="L45" s="19" t="n">
        <v>0</v>
      </c>
      <c r="M45" s="19" t="n">
        <v>0</v>
      </c>
      <c r="N45" s="19" t="n">
        <v>154.54</v>
      </c>
      <c r="O45" s="19" t="n">
        <v>101.59</v>
      </c>
      <c r="P45" s="19" t="n">
        <v>0</v>
      </c>
      <c r="Q45" s="19" t="n">
        <v>301.82</v>
      </c>
      <c r="R45" s="19" t="n">
        <v>440</v>
      </c>
      <c r="S45" s="19" t="n">
        <v>0</v>
      </c>
      <c r="T45" s="83" t="n">
        <v>1116.82</v>
      </c>
      <c r="U45" s="83" t="n">
        <v>0</v>
      </c>
      <c r="V45" s="83" t="n">
        <v>0</v>
      </c>
      <c r="W45" s="20" t="n">
        <v>136.42</v>
      </c>
      <c r="X45" s="20" t="n">
        <v>136.42</v>
      </c>
      <c r="Y45" s="20" t="n">
        <v>136.42</v>
      </c>
      <c r="Z45" s="20" t="n">
        <v>136.42</v>
      </c>
      <c r="AA45" s="20" t="n">
        <v>136.42</v>
      </c>
      <c r="AB45" s="20" t="n">
        <v>136.42</v>
      </c>
      <c r="AC45" s="20" t="n">
        <v>136.42</v>
      </c>
      <c r="AD45" s="20" t="n">
        <v>136.42</v>
      </c>
      <c r="AE45" s="20" t="n">
        <v>136.42</v>
      </c>
      <c r="AF45" s="20" t="n">
        <v>136.42</v>
      </c>
      <c r="AG45" s="20" t="n">
        <v>136.42</v>
      </c>
      <c r="AH45" s="20" t="n">
        <v>136.42</v>
      </c>
      <c r="AI45" s="20" t="n">
        <v>136.42</v>
      </c>
      <c r="AJ45" s="20" t="n">
        <v>136.42</v>
      </c>
      <c r="AK45" s="20" t="n">
        <v>136.42</v>
      </c>
      <c r="AL45" s="20" t="n">
        <v>136.42</v>
      </c>
      <c r="AM45" s="20" t="n">
        <v>136.42</v>
      </c>
      <c r="AN45" s="20" t="n">
        <v>136.42</v>
      </c>
      <c r="AO45" s="20" t="n">
        <v>136.42</v>
      </c>
      <c r="AP45" s="20" t="n">
        <v>136.42</v>
      </c>
      <c r="AQ45" s="20" t="n">
        <v>136.42</v>
      </c>
      <c r="AR45" s="20" t="n">
        <v>136.42</v>
      </c>
      <c r="AS45" s="20" t="n">
        <v>136.42</v>
      </c>
      <c r="AT45" s="20" t="n">
        <v>136.42</v>
      </c>
      <c r="AU45" s="20" t="n">
        <v>136.42</v>
      </c>
      <c r="AV45" s="20" t="n">
        <v>136.42</v>
      </c>
      <c r="AW45" s="20" t="n">
        <v>136.42</v>
      </c>
      <c r="AX45" s="20" t="n">
        <v>136.42</v>
      </c>
      <c r="AY45" s="20" t="n">
        <v>136.42</v>
      </c>
    </row>
    <row r="46">
      <c r="B46" s="33" t="inlineStr">
        <is>
          <t xml:space="preserve">  604300 Recruiting</t>
        </is>
      </c>
      <c r="D46" s="19" t="n">
        <v>0</v>
      </c>
      <c r="E46" s="19" t="n">
        <v>0</v>
      </c>
      <c r="F46" s="19" t="n">
        <v>178.16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75</v>
      </c>
      <c r="L46" s="19" t="n">
        <v>0</v>
      </c>
      <c r="M46" s="19" t="n">
        <v>0</v>
      </c>
      <c r="N46" s="19" t="n">
        <v>0</v>
      </c>
      <c r="O46" s="19" t="n">
        <v>0</v>
      </c>
      <c r="P46" s="19" t="n">
        <v>0</v>
      </c>
      <c r="Q46" s="19" t="n">
        <v>0</v>
      </c>
      <c r="R46" s="19" t="n">
        <v>0</v>
      </c>
      <c r="S46" s="19" t="n">
        <v>0</v>
      </c>
      <c r="T46" s="83" t="n">
        <v>0</v>
      </c>
      <c r="U46" s="83" t="n">
        <v>0</v>
      </c>
      <c r="V46" s="83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</row>
    <row r="47">
      <c r="B47" s="33" t="inlineStr">
        <is>
          <t xml:space="preserve">  604400 Other Professional Fees</t>
        </is>
      </c>
      <c r="D47" s="19" t="n">
        <v>0</v>
      </c>
      <c r="E47" s="19" t="n">
        <v>0</v>
      </c>
      <c r="F47" s="19" t="n">
        <v>0</v>
      </c>
      <c r="G47" s="19" t="n">
        <v>0</v>
      </c>
      <c r="H47" s="19" t="n">
        <v>0</v>
      </c>
      <c r="I47" s="19" t="n">
        <v>330</v>
      </c>
      <c r="J47" s="19" t="n">
        <v>479.1</v>
      </c>
      <c r="K47" s="19" t="n">
        <v>479.1</v>
      </c>
      <c r="L47" s="19" t="n">
        <v>479.1</v>
      </c>
      <c r="M47" s="19" t="n">
        <v>871</v>
      </c>
      <c r="N47" s="19" t="n">
        <v>840</v>
      </c>
      <c r="O47" s="19" t="n">
        <v>497.18</v>
      </c>
      <c r="P47" s="19" t="n">
        <v>516</v>
      </c>
      <c r="Q47" s="19" t="n">
        <v>516</v>
      </c>
      <c r="R47" s="19" t="n">
        <v>516</v>
      </c>
      <c r="S47" s="19" t="n">
        <v>516</v>
      </c>
      <c r="T47" s="83" t="n">
        <v>516</v>
      </c>
      <c r="U47" s="83" t="n">
        <v>516</v>
      </c>
      <c r="V47" s="83" t="n">
        <v>516</v>
      </c>
      <c r="W47" s="20" t="n">
        <v>379.58</v>
      </c>
      <c r="X47" s="20" t="n">
        <v>379.58</v>
      </c>
      <c r="Y47" s="20" t="n">
        <v>379.58</v>
      </c>
      <c r="Z47" s="20" t="n">
        <v>379.58</v>
      </c>
      <c r="AA47" s="20" t="n">
        <v>379.58</v>
      </c>
      <c r="AB47" s="20" t="n">
        <v>379.58</v>
      </c>
      <c r="AC47" s="20" t="n">
        <v>379.58</v>
      </c>
      <c r="AD47" s="20" t="n">
        <v>379.58</v>
      </c>
      <c r="AE47" s="20" t="n">
        <v>379.58</v>
      </c>
      <c r="AF47" s="20" t="n">
        <v>379.58</v>
      </c>
      <c r="AG47" s="20" t="n">
        <v>379.58</v>
      </c>
      <c r="AH47" s="20" t="n">
        <v>379.58</v>
      </c>
      <c r="AI47" s="20" t="n">
        <v>379.58</v>
      </c>
      <c r="AJ47" s="20" t="n">
        <v>379.58</v>
      </c>
      <c r="AK47" s="20" t="n">
        <v>379.58</v>
      </c>
      <c r="AL47" s="20" t="n">
        <v>379.58</v>
      </c>
      <c r="AM47" s="20" t="n">
        <v>379.58</v>
      </c>
      <c r="AN47" s="20" t="n">
        <v>379.58</v>
      </c>
      <c r="AO47" s="20" t="n">
        <v>379.58</v>
      </c>
      <c r="AP47" s="20" t="n">
        <v>379.58</v>
      </c>
      <c r="AQ47" s="20" t="n">
        <v>379.58</v>
      </c>
      <c r="AR47" s="20" t="n">
        <v>379.58</v>
      </c>
      <c r="AS47" s="20" t="n">
        <v>379.58</v>
      </c>
      <c r="AT47" s="20" t="n">
        <v>379.58</v>
      </c>
      <c r="AU47" s="20" t="n">
        <v>379.58</v>
      </c>
      <c r="AV47" s="20" t="n">
        <v>379.58</v>
      </c>
      <c r="AW47" s="20" t="n">
        <v>379.58</v>
      </c>
      <c r="AX47" s="20" t="n">
        <v>379.58</v>
      </c>
      <c r="AY47" s="20" t="n">
        <v>379.58</v>
      </c>
    </row>
    <row r="48">
      <c r="B48" s="32" t="inlineStr">
        <is>
          <t>Total Professional Fees</t>
        </is>
      </c>
      <c r="C48" s="34" t="n"/>
      <c r="D48" s="35">
        <f>SUM(D44:D47)</f>
        <v/>
      </c>
      <c r="E48" s="35">
        <f>SUM(E44:E47)</f>
        <v/>
      </c>
      <c r="F48" s="35">
        <f>SUM(F44:F47)</f>
        <v/>
      </c>
      <c r="G48" s="35">
        <f>SUM(G44:G47)</f>
        <v/>
      </c>
      <c r="H48" s="35">
        <f>SUM(H44:H47)</f>
        <v/>
      </c>
      <c r="I48" s="35">
        <f>SUM(I44:I47)</f>
        <v/>
      </c>
      <c r="J48" s="35">
        <f>SUM(J44:J47)</f>
        <v/>
      </c>
      <c r="K48" s="35">
        <f>SUM(K44:K47)</f>
        <v/>
      </c>
      <c r="L48" s="35">
        <f>SUM(L44:L47)</f>
        <v/>
      </c>
      <c r="M48" s="35">
        <f>SUM(M44:M47)</f>
        <v/>
      </c>
      <c r="N48" s="35">
        <f>SUM(N44:N47)</f>
        <v/>
      </c>
      <c r="O48" s="35">
        <f>SUM(O44:O47)</f>
        <v/>
      </c>
      <c r="P48" s="35">
        <f>P44+P45+P46+P47</f>
        <v/>
      </c>
      <c r="Q48" s="35">
        <f>Q44+Q45+Q46+Q47</f>
        <v/>
      </c>
      <c r="R48" s="35">
        <f>R44+R45+R46+R47</f>
        <v/>
      </c>
      <c r="S48" s="35">
        <f>S44+S45+S46+S47</f>
        <v/>
      </c>
      <c r="T48" s="84">
        <f>T44+T45+T46+T47</f>
        <v/>
      </c>
      <c r="U48" s="84">
        <f>U44+U45+U46+U47</f>
        <v/>
      </c>
      <c r="V48" s="84">
        <f>V44+V45+V46+V47</f>
        <v/>
      </c>
      <c r="W48" s="17">
        <f>W44+W45+W46+W47</f>
        <v/>
      </c>
      <c r="X48" s="17">
        <f>X44+X45+X46+X47</f>
        <v/>
      </c>
      <c r="Y48" s="17">
        <f>Y44+Y45+Y46+Y47</f>
        <v/>
      </c>
      <c r="Z48" s="17">
        <f>Z44+Z45+Z46+Z47</f>
        <v/>
      </c>
      <c r="AA48" s="17">
        <f>AA44+AA45+AA46+AA47</f>
        <v/>
      </c>
      <c r="AB48" s="17">
        <f>AB44+AB45+AB46+AB47</f>
        <v/>
      </c>
      <c r="AC48" s="17">
        <f>AC44+AC45+AC46+AC47</f>
        <v/>
      </c>
      <c r="AD48" s="17">
        <f>AD44+AD45+AD46+AD47</f>
        <v/>
      </c>
      <c r="AE48" s="17">
        <f>AE44+AE45+AE46+AE47</f>
        <v/>
      </c>
      <c r="AF48" s="17">
        <f>AF44+AF45+AF46+AF47</f>
        <v/>
      </c>
      <c r="AG48" s="17">
        <f>AG44+AG45+AG46+AG47</f>
        <v/>
      </c>
      <c r="AH48" s="17">
        <f>AH44+AH45+AH46+AH47</f>
        <v/>
      </c>
      <c r="AI48" s="17">
        <f>AI44+AI45+AI46+AI47</f>
        <v/>
      </c>
      <c r="AJ48" s="17">
        <f>AJ44+AJ45+AJ46+AJ47</f>
        <v/>
      </c>
      <c r="AK48" s="17">
        <f>AK44+AK45+AK46+AK47</f>
        <v/>
      </c>
      <c r="AL48" s="17">
        <f>AL44+AL45+AL46+AL47</f>
        <v/>
      </c>
      <c r="AM48" s="17">
        <f>AM44+AM45+AM46+AM47</f>
        <v/>
      </c>
      <c r="AN48" s="17">
        <f>AN44+AN45+AN46+AN47</f>
        <v/>
      </c>
      <c r="AO48" s="17">
        <f>AO44+AO45+AO46+AO47</f>
        <v/>
      </c>
      <c r="AP48" s="17">
        <f>AP44+AP45+AP46+AP47</f>
        <v/>
      </c>
      <c r="AQ48" s="17">
        <f>AQ44+AQ45+AQ46+AQ47</f>
        <v/>
      </c>
      <c r="AR48" s="17">
        <f>AR44+AR45+AR46+AR47</f>
        <v/>
      </c>
      <c r="AS48" s="17">
        <f>AS44+AS45+AS46+AS47</f>
        <v/>
      </c>
      <c r="AT48" s="17">
        <f>AT44+AT45+AT46+AT47</f>
        <v/>
      </c>
      <c r="AU48" s="17">
        <f>AU44+AU45+AU46+AU47</f>
        <v/>
      </c>
      <c r="AV48" s="17">
        <f>AV44+AV45+AV46+AV47</f>
        <v/>
      </c>
      <c r="AW48" s="17">
        <f>AW44+AW45+AW46+AW47</f>
        <v/>
      </c>
      <c r="AX48" s="17">
        <f>AX44+AX45+AX46+AX47</f>
        <v/>
      </c>
      <c r="AY48" s="17">
        <f>AY44+AY45+AY46+AY47</f>
        <v/>
      </c>
    </row>
    <row r="49">
      <c r="B49" s="33" t="inlineStr">
        <is>
          <t xml:space="preserve">  605000 Travel</t>
        </is>
      </c>
      <c r="D49" s="19" t="n">
        <v>0</v>
      </c>
      <c r="E49" s="19" t="n">
        <v>28.79</v>
      </c>
      <c r="F49" s="19" t="n">
        <v>836.98</v>
      </c>
      <c r="G49" s="19" t="n">
        <v>366.13</v>
      </c>
      <c r="H49" s="19" t="n">
        <v>236.94</v>
      </c>
      <c r="I49" s="19" t="n">
        <v>471.82</v>
      </c>
      <c r="J49" s="19" t="n">
        <v>287.56</v>
      </c>
      <c r="K49" s="19" t="n">
        <v>184.91</v>
      </c>
      <c r="L49" s="19" t="n">
        <v>771.96</v>
      </c>
      <c r="M49" s="19" t="n">
        <v>555.89</v>
      </c>
      <c r="N49" s="19" t="n">
        <v>1270.15</v>
      </c>
      <c r="O49" s="19" t="n">
        <v>541.6900000000001</v>
      </c>
      <c r="P49" s="19" t="n">
        <v>247.58</v>
      </c>
      <c r="Q49" s="19" t="n">
        <v>284.79</v>
      </c>
      <c r="R49" s="19" t="n">
        <v>165.83</v>
      </c>
      <c r="S49" s="19" t="n">
        <v>169.37</v>
      </c>
      <c r="T49" s="83" t="n">
        <v>210.17</v>
      </c>
      <c r="U49" s="83" t="n">
        <v>119.5</v>
      </c>
      <c r="V49" s="83" t="n">
        <v>0</v>
      </c>
      <c r="W49" s="20" t="n">
        <v>215.52</v>
      </c>
      <c r="X49" s="20" t="n">
        <v>215.52</v>
      </c>
      <c r="Y49" s="20" t="n">
        <v>215.52</v>
      </c>
      <c r="Z49" s="20" t="n">
        <v>215.52</v>
      </c>
      <c r="AA49" s="20" t="n">
        <v>215.52</v>
      </c>
      <c r="AB49" s="20" t="n">
        <v>215.52</v>
      </c>
      <c r="AC49" s="20" t="n">
        <v>215.52</v>
      </c>
      <c r="AD49" s="20" t="n">
        <v>215.52</v>
      </c>
      <c r="AE49" s="20" t="n">
        <v>215.52</v>
      </c>
      <c r="AF49" s="20" t="n">
        <v>215.52</v>
      </c>
      <c r="AG49" s="20" t="n">
        <v>215.52</v>
      </c>
      <c r="AH49" s="20" t="n">
        <v>215.52</v>
      </c>
      <c r="AI49" s="20" t="n">
        <v>215.52</v>
      </c>
      <c r="AJ49" s="20" t="n">
        <v>215.52</v>
      </c>
      <c r="AK49" s="20" t="n">
        <v>215.52</v>
      </c>
      <c r="AL49" s="20" t="n">
        <v>215.52</v>
      </c>
      <c r="AM49" s="20" t="n">
        <v>215.52</v>
      </c>
      <c r="AN49" s="20" t="n">
        <v>215.52</v>
      </c>
      <c r="AO49" s="20" t="n">
        <v>215.52</v>
      </c>
      <c r="AP49" s="20" t="n">
        <v>215.52</v>
      </c>
      <c r="AQ49" s="20" t="n">
        <v>215.52</v>
      </c>
      <c r="AR49" s="20" t="n">
        <v>215.52</v>
      </c>
      <c r="AS49" s="20" t="n">
        <v>215.52</v>
      </c>
      <c r="AT49" s="20" t="n">
        <v>215.52</v>
      </c>
      <c r="AU49" s="20" t="n">
        <v>215.52</v>
      </c>
      <c r="AV49" s="20" t="n">
        <v>215.52</v>
      </c>
      <c r="AW49" s="20" t="n">
        <v>215.52</v>
      </c>
      <c r="AX49" s="20" t="n">
        <v>215.52</v>
      </c>
      <c r="AY49" s="20" t="n">
        <v>215.52</v>
      </c>
    </row>
    <row r="50">
      <c r="B50" s="33" t="inlineStr">
        <is>
          <t>606000 Meals (incl Entertainment)</t>
        </is>
      </c>
      <c r="D50" s="19" t="n">
        <v>0</v>
      </c>
      <c r="E50" s="19" t="n">
        <v>45.4</v>
      </c>
      <c r="F50" s="19" t="n">
        <v>53.45</v>
      </c>
      <c r="G50" s="19" t="n">
        <v>40.45</v>
      </c>
      <c r="H50" s="19" t="n">
        <v>65.95</v>
      </c>
      <c r="I50" s="19" t="n">
        <v>65.76000000000001</v>
      </c>
      <c r="J50" s="19" t="n">
        <v>7.09</v>
      </c>
      <c r="K50" s="19" t="n">
        <v>219.62</v>
      </c>
      <c r="L50" s="19" t="n">
        <v>260.33</v>
      </c>
      <c r="M50" s="19" t="n">
        <v>164.32</v>
      </c>
      <c r="N50" s="19" t="n">
        <v>303.65</v>
      </c>
      <c r="O50" s="19" t="n">
        <v>142.88</v>
      </c>
      <c r="P50" s="19" t="n">
        <v>54.67</v>
      </c>
      <c r="Q50" s="19" t="n">
        <v>85.92</v>
      </c>
      <c r="R50" s="19" t="n">
        <v>89.73</v>
      </c>
      <c r="S50" s="19" t="n">
        <v>50.67</v>
      </c>
      <c r="T50" s="83" t="n">
        <v>140.73</v>
      </c>
      <c r="U50" s="83" t="n">
        <v>31.36</v>
      </c>
      <c r="V50" s="83" t="n">
        <v>0</v>
      </c>
      <c r="W50" s="20" t="n">
        <v>86.73</v>
      </c>
      <c r="X50" s="20" t="n">
        <v>86.73</v>
      </c>
      <c r="Y50" s="20" t="n">
        <v>86.73</v>
      </c>
      <c r="Z50" s="20" t="n">
        <v>86.73</v>
      </c>
      <c r="AA50" s="20" t="n">
        <v>86.73</v>
      </c>
      <c r="AB50" s="20" t="n">
        <v>86.73</v>
      </c>
      <c r="AC50" s="20" t="n">
        <v>86.73</v>
      </c>
      <c r="AD50" s="20" t="n">
        <v>86.73</v>
      </c>
      <c r="AE50" s="20" t="n">
        <v>86.73</v>
      </c>
      <c r="AF50" s="20" t="n">
        <v>86.73</v>
      </c>
      <c r="AG50" s="20" t="n">
        <v>86.73</v>
      </c>
      <c r="AH50" s="20" t="n">
        <v>86.73</v>
      </c>
      <c r="AI50" s="20" t="n">
        <v>86.73</v>
      </c>
      <c r="AJ50" s="20" t="n">
        <v>86.73</v>
      </c>
      <c r="AK50" s="20" t="n">
        <v>86.73</v>
      </c>
      <c r="AL50" s="20" t="n">
        <v>86.73</v>
      </c>
      <c r="AM50" s="20" t="n">
        <v>86.73</v>
      </c>
      <c r="AN50" s="20" t="n">
        <v>86.73</v>
      </c>
      <c r="AO50" s="20" t="n">
        <v>86.73</v>
      </c>
      <c r="AP50" s="20" t="n">
        <v>86.73</v>
      </c>
      <c r="AQ50" s="20" t="n">
        <v>86.73</v>
      </c>
      <c r="AR50" s="20" t="n">
        <v>86.73</v>
      </c>
      <c r="AS50" s="20" t="n">
        <v>86.73</v>
      </c>
      <c r="AT50" s="20" t="n">
        <v>86.73</v>
      </c>
      <c r="AU50" s="20" t="n">
        <v>86.73</v>
      </c>
      <c r="AV50" s="20" t="n">
        <v>86.73</v>
      </c>
      <c r="AW50" s="20" t="n">
        <v>86.73</v>
      </c>
      <c r="AX50" s="20" t="n">
        <v>86.73</v>
      </c>
      <c r="AY50" s="20" t="n">
        <v>86.73</v>
      </c>
    </row>
    <row r="51">
      <c r="B51" s="32" t="inlineStr">
        <is>
          <t>Total Travel &amp; Meals</t>
        </is>
      </c>
      <c r="C51" s="34" t="n"/>
      <c r="D51" s="35">
        <f>D49+D50</f>
        <v/>
      </c>
      <c r="E51" s="35">
        <f>E49+E50</f>
        <v/>
      </c>
      <c r="F51" s="35">
        <f>F49+F50</f>
        <v/>
      </c>
      <c r="G51" s="35">
        <f>G49+G50</f>
        <v/>
      </c>
      <c r="H51" s="35">
        <f>H49+H50</f>
        <v/>
      </c>
      <c r="I51" s="35">
        <f>I49+I50</f>
        <v/>
      </c>
      <c r="J51" s="35">
        <f>J49+J50</f>
        <v/>
      </c>
      <c r="K51" s="35">
        <f>K49+K50</f>
        <v/>
      </c>
      <c r="L51" s="35">
        <f>L49+L50</f>
        <v/>
      </c>
      <c r="M51" s="35">
        <f>M49+M50</f>
        <v/>
      </c>
      <c r="N51" s="35">
        <f>N49+N50</f>
        <v/>
      </c>
      <c r="O51" s="35">
        <f>O49+O50</f>
        <v/>
      </c>
      <c r="P51" s="35">
        <f>P49+P50</f>
        <v/>
      </c>
      <c r="Q51" s="35">
        <f>Q49+Q50</f>
        <v/>
      </c>
      <c r="R51" s="35">
        <f>R49+R50</f>
        <v/>
      </c>
      <c r="S51" s="35">
        <f>S49+S50</f>
        <v/>
      </c>
      <c r="T51" s="17">
        <f>T49+T50</f>
        <v/>
      </c>
      <c r="U51" s="17">
        <f>U49+U50</f>
        <v/>
      </c>
      <c r="V51" s="17">
        <f>V49+V50</f>
        <v/>
      </c>
      <c r="W51" s="17">
        <f>W49+W50</f>
        <v/>
      </c>
      <c r="X51" s="17">
        <f>X49+X50</f>
        <v/>
      </c>
      <c r="Y51" s="17">
        <f>Y49+Y50</f>
        <v/>
      </c>
      <c r="Z51" s="17">
        <f>Z49+Z50</f>
        <v/>
      </c>
      <c r="AA51" s="17">
        <f>AA49+AA50</f>
        <v/>
      </c>
      <c r="AB51" s="17">
        <f>AB49+AB50</f>
        <v/>
      </c>
      <c r="AC51" s="17">
        <f>AC49+AC50</f>
        <v/>
      </c>
      <c r="AD51" s="17">
        <f>AD49+AD50</f>
        <v/>
      </c>
      <c r="AE51" s="17">
        <f>AE49+AE50</f>
        <v/>
      </c>
      <c r="AF51" s="17">
        <f>AF49+AF50</f>
        <v/>
      </c>
      <c r="AG51" s="17">
        <f>AG49+AG50</f>
        <v/>
      </c>
      <c r="AH51" s="17">
        <f>AH49+AH50</f>
        <v/>
      </c>
      <c r="AI51" s="17">
        <f>AI49+AI50</f>
        <v/>
      </c>
      <c r="AJ51" s="17">
        <f>AJ49+AJ50</f>
        <v/>
      </c>
      <c r="AK51" s="17">
        <f>AK49+AK50</f>
        <v/>
      </c>
      <c r="AL51" s="17">
        <f>AL49+AL50</f>
        <v/>
      </c>
      <c r="AM51" s="17">
        <f>AM49+AM50</f>
        <v/>
      </c>
      <c r="AN51" s="17">
        <f>AN49+AN50</f>
        <v/>
      </c>
      <c r="AO51" s="17">
        <f>AO49+AO50</f>
        <v/>
      </c>
      <c r="AP51" s="17">
        <f>AP49+AP50</f>
        <v/>
      </c>
      <c r="AQ51" s="17">
        <f>AQ49+AQ50</f>
        <v/>
      </c>
      <c r="AR51" s="17">
        <f>AR49+AR50</f>
        <v/>
      </c>
      <c r="AS51" s="17">
        <f>AS49+AS50</f>
        <v/>
      </c>
      <c r="AT51" s="17">
        <f>AT49+AT50</f>
        <v/>
      </c>
      <c r="AU51" s="17">
        <f>AU49+AU50</f>
        <v/>
      </c>
      <c r="AV51" s="17">
        <f>AV49+AV50</f>
        <v/>
      </c>
      <c r="AW51" s="17">
        <f>AW49+AW50</f>
        <v/>
      </c>
      <c r="AX51" s="17">
        <f>AX49+AX50</f>
        <v/>
      </c>
      <c r="AY51" s="17">
        <f>AY49+AY50</f>
        <v/>
      </c>
    </row>
    <row r="52">
      <c r="B52" s="33" t="inlineStr">
        <is>
          <t xml:space="preserve">  616001 Electricity</t>
        </is>
      </c>
      <c r="D52" s="19" t="n">
        <v>0</v>
      </c>
      <c r="E52" s="19" t="n">
        <v>0</v>
      </c>
      <c r="F52" s="19" t="n">
        <v>174.71</v>
      </c>
      <c r="G52" s="19" t="n">
        <v>510.22</v>
      </c>
      <c r="H52" s="19" t="n">
        <v>191.31</v>
      </c>
      <c r="I52" s="19" t="n">
        <v>0</v>
      </c>
      <c r="J52" s="19" t="n">
        <v>228.06</v>
      </c>
      <c r="K52" s="19" t="n">
        <v>213.87</v>
      </c>
      <c r="L52" s="19" t="n">
        <v>273.58</v>
      </c>
      <c r="M52" s="19" t="n">
        <v>546.91</v>
      </c>
      <c r="N52" s="19" t="n">
        <v>238.6</v>
      </c>
      <c r="O52" s="19" t="n">
        <v>191.71</v>
      </c>
      <c r="P52" s="19" t="n">
        <v>116.98</v>
      </c>
      <c r="Q52" s="19" t="n">
        <v>105</v>
      </c>
      <c r="R52" s="19" t="n">
        <v>139.04</v>
      </c>
      <c r="S52" s="19" t="n">
        <v>83.52</v>
      </c>
      <c r="T52" s="83" t="n">
        <v>124.29</v>
      </c>
      <c r="U52" s="83" t="n">
        <v>228.03</v>
      </c>
      <c r="V52" s="83" t="n">
        <v>127.87</v>
      </c>
      <c r="W52" s="20" t="n">
        <v>97.94</v>
      </c>
      <c r="X52" s="20" t="n">
        <v>97.94</v>
      </c>
      <c r="Y52" s="20" t="n">
        <v>97.94</v>
      </c>
      <c r="Z52" s="20" t="n">
        <v>97.94</v>
      </c>
      <c r="AA52" s="20" t="n">
        <v>97.94</v>
      </c>
      <c r="AB52" s="20" t="n">
        <v>97.94</v>
      </c>
      <c r="AC52" s="20" t="n">
        <v>97.94</v>
      </c>
      <c r="AD52" s="20" t="n">
        <v>97.94</v>
      </c>
      <c r="AE52" s="20" t="n">
        <v>97.94</v>
      </c>
      <c r="AF52" s="20" t="n">
        <v>97.94</v>
      </c>
      <c r="AG52" s="20" t="n">
        <v>97.94</v>
      </c>
      <c r="AH52" s="20" t="n">
        <v>97.94</v>
      </c>
      <c r="AI52" s="20" t="n">
        <v>97.94</v>
      </c>
      <c r="AJ52" s="20" t="n">
        <v>97.94</v>
      </c>
      <c r="AK52" s="20" t="n">
        <v>97.94</v>
      </c>
      <c r="AL52" s="20" t="n">
        <v>97.94</v>
      </c>
      <c r="AM52" s="20" t="n">
        <v>97.94</v>
      </c>
      <c r="AN52" s="20" t="n">
        <v>97.94</v>
      </c>
      <c r="AO52" s="20" t="n">
        <v>97.94</v>
      </c>
      <c r="AP52" s="20" t="n">
        <v>97.94</v>
      </c>
      <c r="AQ52" s="20" t="n">
        <v>97.94</v>
      </c>
      <c r="AR52" s="20" t="n">
        <v>97.94</v>
      </c>
      <c r="AS52" s="20" t="n">
        <v>97.94</v>
      </c>
      <c r="AT52" s="20" t="n">
        <v>97.94</v>
      </c>
      <c r="AU52" s="20" t="n">
        <v>97.94</v>
      </c>
      <c r="AV52" s="20" t="n">
        <v>97.94</v>
      </c>
      <c r="AW52" s="20" t="n">
        <v>97.94</v>
      </c>
      <c r="AX52" s="20" t="n">
        <v>97.94</v>
      </c>
      <c r="AY52" s="20" t="n">
        <v>97.94</v>
      </c>
    </row>
    <row r="53">
      <c r="B53" s="33" t="inlineStr">
        <is>
          <t xml:space="preserve">  616002 Internet &amp; TV</t>
        </is>
      </c>
      <c r="D53" s="19" t="n">
        <v>217</v>
      </c>
      <c r="E53" s="19" t="n">
        <v>207</v>
      </c>
      <c r="F53" s="19" t="n">
        <v>207</v>
      </c>
      <c r="G53" s="19" t="n">
        <v>207</v>
      </c>
      <c r="H53" s="19" t="n">
        <v>207</v>
      </c>
      <c r="I53" s="19" t="n">
        <v>219.95</v>
      </c>
      <c r="J53" s="19" t="n">
        <v>194.05</v>
      </c>
      <c r="K53" s="19" t="n">
        <v>207</v>
      </c>
      <c r="L53" s="19" t="n">
        <v>207</v>
      </c>
      <c r="M53" s="19" t="n">
        <v>207</v>
      </c>
      <c r="N53" s="19" t="n">
        <v>207</v>
      </c>
      <c r="O53" s="19" t="n">
        <v>210.26</v>
      </c>
      <c r="P53" s="19" t="n">
        <v>210.26</v>
      </c>
      <c r="Q53" s="19" t="n">
        <v>210.26</v>
      </c>
      <c r="R53" s="19" t="n">
        <v>210.26</v>
      </c>
      <c r="S53" s="19" t="n">
        <v>210.26</v>
      </c>
      <c r="T53" s="83" t="n">
        <v>210.26</v>
      </c>
      <c r="U53" s="83" t="n">
        <v>210.26</v>
      </c>
      <c r="V53" s="83" t="n">
        <v>210.26</v>
      </c>
      <c r="W53" s="20" t="n">
        <v>185.3</v>
      </c>
      <c r="X53" s="20" t="n">
        <v>185.3</v>
      </c>
      <c r="Y53" s="20" t="n">
        <v>185.3</v>
      </c>
      <c r="Z53" s="20" t="n">
        <v>185.3</v>
      </c>
      <c r="AA53" s="20" t="n">
        <v>185.3</v>
      </c>
      <c r="AB53" s="20" t="n">
        <v>185.3</v>
      </c>
      <c r="AC53" s="20" t="n">
        <v>185.3</v>
      </c>
      <c r="AD53" s="20" t="n">
        <v>185.3</v>
      </c>
      <c r="AE53" s="20" t="n">
        <v>185.3</v>
      </c>
      <c r="AF53" s="20" t="n">
        <v>185.3</v>
      </c>
      <c r="AG53" s="20" t="n">
        <v>185.3</v>
      </c>
      <c r="AH53" s="20" t="n">
        <v>185.3</v>
      </c>
      <c r="AI53" s="20" t="n">
        <v>185.3</v>
      </c>
      <c r="AJ53" s="20" t="n">
        <v>185.3</v>
      </c>
      <c r="AK53" s="20" t="n">
        <v>185.3</v>
      </c>
      <c r="AL53" s="20" t="n">
        <v>185.3</v>
      </c>
      <c r="AM53" s="20" t="n">
        <v>185.3</v>
      </c>
      <c r="AN53" s="20" t="n">
        <v>185.3</v>
      </c>
      <c r="AO53" s="20" t="n">
        <v>185.3</v>
      </c>
      <c r="AP53" s="20" t="n">
        <v>185.3</v>
      </c>
      <c r="AQ53" s="20" t="n">
        <v>185.3</v>
      </c>
      <c r="AR53" s="20" t="n">
        <v>185.3</v>
      </c>
      <c r="AS53" s="20" t="n">
        <v>185.3</v>
      </c>
      <c r="AT53" s="20" t="n">
        <v>185.3</v>
      </c>
      <c r="AU53" s="20" t="n">
        <v>185.3</v>
      </c>
      <c r="AV53" s="20" t="n">
        <v>185.3</v>
      </c>
      <c r="AW53" s="20" t="n">
        <v>185.3</v>
      </c>
      <c r="AX53" s="20" t="n">
        <v>185.3</v>
      </c>
      <c r="AY53" s="20" t="n">
        <v>185.3</v>
      </c>
    </row>
    <row r="54">
      <c r="B54" s="33" t="inlineStr">
        <is>
          <t xml:space="preserve">  616003 Phone service</t>
        </is>
      </c>
      <c r="D54" s="19" t="n">
        <v>111.29</v>
      </c>
      <c r="E54" s="19" t="n">
        <v>605.0700000000001</v>
      </c>
      <c r="F54" s="19" t="n">
        <v>0</v>
      </c>
      <c r="G54" s="19" t="n">
        <v>193.05</v>
      </c>
      <c r="H54" s="19" t="n">
        <v>193.02</v>
      </c>
      <c r="I54" s="19" t="n">
        <v>0</v>
      </c>
      <c r="J54" s="19" t="n">
        <v>192.37</v>
      </c>
      <c r="K54" s="19" t="n">
        <v>192.41</v>
      </c>
      <c r="L54" s="19" t="n">
        <v>192.41</v>
      </c>
      <c r="M54" s="19" t="n">
        <v>193.82</v>
      </c>
      <c r="N54" s="19" t="n">
        <v>158.92</v>
      </c>
      <c r="O54" s="19" t="n">
        <v>259.94</v>
      </c>
      <c r="P54" s="19" t="n">
        <v>73.91</v>
      </c>
      <c r="Q54" s="19" t="n">
        <v>87.11</v>
      </c>
      <c r="R54" s="19" t="n">
        <v>86.36</v>
      </c>
      <c r="S54" s="19" t="n">
        <v>87.53</v>
      </c>
      <c r="T54" s="83" t="n">
        <v>81.03</v>
      </c>
      <c r="U54" s="83" t="n">
        <v>81.05</v>
      </c>
      <c r="V54" s="83" t="n">
        <v>81.05</v>
      </c>
      <c r="W54" s="20" t="n">
        <v>73.79000000000001</v>
      </c>
      <c r="X54" s="20" t="n">
        <v>73.79000000000001</v>
      </c>
      <c r="Y54" s="20" t="n">
        <v>73.79000000000001</v>
      </c>
      <c r="Z54" s="20" t="n">
        <v>73.79000000000001</v>
      </c>
      <c r="AA54" s="20" t="n">
        <v>73.79000000000001</v>
      </c>
      <c r="AB54" s="20" t="n">
        <v>73.79000000000001</v>
      </c>
      <c r="AC54" s="20" t="n">
        <v>73.79000000000001</v>
      </c>
      <c r="AD54" s="20" t="n">
        <v>73.79000000000001</v>
      </c>
      <c r="AE54" s="20" t="n">
        <v>73.79000000000001</v>
      </c>
      <c r="AF54" s="20" t="n">
        <v>73.79000000000001</v>
      </c>
      <c r="AG54" s="20" t="n">
        <v>73.79000000000001</v>
      </c>
      <c r="AH54" s="20" t="n">
        <v>73.79000000000001</v>
      </c>
      <c r="AI54" s="20" t="n">
        <v>73.79000000000001</v>
      </c>
      <c r="AJ54" s="20" t="n">
        <v>73.79000000000001</v>
      </c>
      <c r="AK54" s="20" t="n">
        <v>73.79000000000001</v>
      </c>
      <c r="AL54" s="20" t="n">
        <v>73.79000000000001</v>
      </c>
      <c r="AM54" s="20" t="n">
        <v>73.79000000000001</v>
      </c>
      <c r="AN54" s="20" t="n">
        <v>73.79000000000001</v>
      </c>
      <c r="AO54" s="20" t="n">
        <v>73.79000000000001</v>
      </c>
      <c r="AP54" s="20" t="n">
        <v>73.79000000000001</v>
      </c>
      <c r="AQ54" s="20" t="n">
        <v>73.79000000000001</v>
      </c>
      <c r="AR54" s="20" t="n">
        <v>73.79000000000001</v>
      </c>
      <c r="AS54" s="20" t="n">
        <v>73.79000000000001</v>
      </c>
      <c r="AT54" s="20" t="n">
        <v>73.79000000000001</v>
      </c>
      <c r="AU54" s="20" t="n">
        <v>73.79000000000001</v>
      </c>
      <c r="AV54" s="20" t="n">
        <v>73.79000000000001</v>
      </c>
      <c r="AW54" s="20" t="n">
        <v>73.79000000000001</v>
      </c>
      <c r="AX54" s="20" t="n">
        <v>73.79000000000001</v>
      </c>
      <c r="AY54" s="20" t="n">
        <v>73.79000000000001</v>
      </c>
    </row>
    <row r="55">
      <c r="B55" s="33" t="inlineStr">
        <is>
          <t xml:space="preserve">  616004 Water &amp; sewer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3" t="n">
        <v>0</v>
      </c>
      <c r="U55" s="83" t="n">
        <v>0</v>
      </c>
      <c r="V55" s="83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3" t="inlineStr">
        <is>
          <t xml:space="preserve">  616005 Disposal Services</t>
        </is>
      </c>
      <c r="D56" s="19" t="n">
        <v>56.25</v>
      </c>
      <c r="E56" s="19" t="n">
        <v>453.05</v>
      </c>
      <c r="F56" s="19" t="n">
        <v>181.6</v>
      </c>
      <c r="G56" s="19" t="n">
        <v>362.25</v>
      </c>
      <c r="H56" s="19" t="n">
        <v>362.25</v>
      </c>
      <c r="I56" s="19" t="n">
        <v>0</v>
      </c>
      <c r="J56" s="19" t="n">
        <v>474.05</v>
      </c>
      <c r="K56" s="19" t="n">
        <v>91.8</v>
      </c>
      <c r="L56" s="19" t="n">
        <v>90.8</v>
      </c>
      <c r="M56" s="19" t="n">
        <v>90.8</v>
      </c>
      <c r="N56" s="19" t="n">
        <v>102.05</v>
      </c>
      <c r="O56" s="19" t="n">
        <v>120.74</v>
      </c>
      <c r="P56" s="19" t="n">
        <v>0</v>
      </c>
      <c r="Q56" s="19" t="n">
        <v>0</v>
      </c>
      <c r="R56" s="19" t="n">
        <v>572.21</v>
      </c>
      <c r="S56" s="19" t="n">
        <v>0</v>
      </c>
      <c r="T56" s="83" t="n">
        <v>0</v>
      </c>
      <c r="U56" s="83" t="n">
        <v>0</v>
      </c>
      <c r="V56" s="83" t="n">
        <v>0</v>
      </c>
      <c r="W56" s="20" t="n">
        <v>126.07</v>
      </c>
      <c r="X56" s="20" t="n">
        <v>126.07</v>
      </c>
      <c r="Y56" s="20" t="n">
        <v>126.07</v>
      </c>
      <c r="Z56" s="20" t="n">
        <v>126.07</v>
      </c>
      <c r="AA56" s="20" t="n">
        <v>126.07</v>
      </c>
      <c r="AB56" s="20" t="n">
        <v>126.07</v>
      </c>
      <c r="AC56" s="20" t="n">
        <v>126.07</v>
      </c>
      <c r="AD56" s="20" t="n">
        <v>126.07</v>
      </c>
      <c r="AE56" s="20" t="n">
        <v>126.07</v>
      </c>
      <c r="AF56" s="20" t="n">
        <v>126.07</v>
      </c>
      <c r="AG56" s="20" t="n">
        <v>126.07</v>
      </c>
      <c r="AH56" s="20" t="n">
        <v>126.07</v>
      </c>
      <c r="AI56" s="20" t="n">
        <v>126.07</v>
      </c>
      <c r="AJ56" s="20" t="n">
        <v>126.07</v>
      </c>
      <c r="AK56" s="20" t="n">
        <v>126.07</v>
      </c>
      <c r="AL56" s="20" t="n">
        <v>126.07</v>
      </c>
      <c r="AM56" s="20" t="n">
        <v>126.07</v>
      </c>
      <c r="AN56" s="20" t="n">
        <v>126.07</v>
      </c>
      <c r="AO56" s="20" t="n">
        <v>126.07</v>
      </c>
      <c r="AP56" s="20" t="n">
        <v>126.07</v>
      </c>
      <c r="AQ56" s="20" t="n">
        <v>126.07</v>
      </c>
      <c r="AR56" s="20" t="n">
        <v>126.07</v>
      </c>
      <c r="AS56" s="20" t="n">
        <v>126.07</v>
      </c>
      <c r="AT56" s="20" t="n">
        <v>126.07</v>
      </c>
      <c r="AU56" s="20" t="n">
        <v>126.07</v>
      </c>
      <c r="AV56" s="20" t="n">
        <v>126.07</v>
      </c>
      <c r="AW56" s="20" t="n">
        <v>126.07</v>
      </c>
      <c r="AX56" s="20" t="n">
        <v>126.07</v>
      </c>
      <c r="AY56" s="20" t="n">
        <v>126.07</v>
      </c>
    </row>
    <row r="57">
      <c r="B57" s="32" t="inlineStr">
        <is>
          <t>Total Utilities</t>
        </is>
      </c>
      <c r="C57" s="34" t="n"/>
      <c r="D57" s="35">
        <f>SUM(D52:D56)</f>
        <v/>
      </c>
      <c r="E57" s="35">
        <f>SUM(E52:E56)</f>
        <v/>
      </c>
      <c r="F57" s="35">
        <f>SUM(F52:F56)</f>
        <v/>
      </c>
      <c r="G57" s="35">
        <f>SUM(G52:G56)</f>
        <v/>
      </c>
      <c r="H57" s="35">
        <f>SUM(H52:H56)</f>
        <v/>
      </c>
      <c r="I57" s="35">
        <f>SUM(I52:I56)</f>
        <v/>
      </c>
      <c r="J57" s="35">
        <f>SUM(J52:J56)</f>
        <v/>
      </c>
      <c r="K57" s="35">
        <f>SUM(K52:K56)</f>
        <v/>
      </c>
      <c r="L57" s="35">
        <f>SUM(L52:L56)</f>
        <v/>
      </c>
      <c r="M57" s="35">
        <f>SUM(M52:M56)</f>
        <v/>
      </c>
      <c r="N57" s="35">
        <f>SUM(N52:N56)</f>
        <v/>
      </c>
      <c r="O57" s="35">
        <f>SUM(O52:O56)</f>
        <v/>
      </c>
      <c r="P57" s="35">
        <f>P52+P53+P54+P55+P56</f>
        <v/>
      </c>
      <c r="Q57" s="35">
        <f>Q52+Q53+Q54+Q55+Q56</f>
        <v/>
      </c>
      <c r="R57" s="35">
        <f>R52+R53+R54+R55+R56</f>
        <v/>
      </c>
      <c r="S57" s="35">
        <f>S52+S53+S54+S55+S56</f>
        <v/>
      </c>
      <c r="T57" s="84">
        <f>T52+T53+T54+T55+T56</f>
        <v/>
      </c>
      <c r="U57" s="84">
        <f>U52+U53+U54+U55+U56</f>
        <v/>
      </c>
      <c r="V57" s="84">
        <f>V52+V53+V54+V55+V56</f>
        <v/>
      </c>
      <c r="W57" s="17">
        <f>W52+W53+W54+W55+W56</f>
        <v/>
      </c>
      <c r="X57" s="17">
        <f>X52+X53+X54+X55+X56</f>
        <v/>
      </c>
      <c r="Y57" s="17">
        <f>Y52+Y53+Y54+Y55+Y56</f>
        <v/>
      </c>
      <c r="Z57" s="17">
        <f>Z52+Z53+Z54+Z55+Z56</f>
        <v/>
      </c>
      <c r="AA57" s="17">
        <f>AA52+AA53+AA54+AA55+AA56</f>
        <v/>
      </c>
      <c r="AB57" s="17">
        <f>AB52+AB53+AB54+AB55+AB56</f>
        <v/>
      </c>
      <c r="AC57" s="17">
        <f>AC52+AC53+AC54+AC55+AC56</f>
        <v/>
      </c>
      <c r="AD57" s="17">
        <f>AD52+AD53+AD54+AD55+AD56</f>
        <v/>
      </c>
      <c r="AE57" s="17">
        <f>AE52+AE53+AE54+AE55+AE56</f>
        <v/>
      </c>
      <c r="AF57" s="17">
        <f>AF52+AF53+AF54+AF55+AF56</f>
        <v/>
      </c>
      <c r="AG57" s="17">
        <f>AG52+AG53+AG54+AG55+AG56</f>
        <v/>
      </c>
      <c r="AH57" s="17">
        <f>AH52+AH53+AH54+AH55+AH56</f>
        <v/>
      </c>
      <c r="AI57" s="17">
        <f>AI52+AI53+AI54+AI55+AI56</f>
        <v/>
      </c>
      <c r="AJ57" s="17">
        <f>AJ52+AJ53+AJ54+AJ55+AJ56</f>
        <v/>
      </c>
      <c r="AK57" s="17">
        <f>AK52+AK53+AK54+AK55+AK56</f>
        <v/>
      </c>
      <c r="AL57" s="17">
        <f>AL52+AL53+AL54+AL55+AL56</f>
        <v/>
      </c>
      <c r="AM57" s="17">
        <f>AM52+AM53+AM54+AM55+AM56</f>
        <v/>
      </c>
      <c r="AN57" s="17">
        <f>AN52+AN53+AN54+AN55+AN56</f>
        <v/>
      </c>
      <c r="AO57" s="17">
        <f>AO52+AO53+AO54+AO55+AO56</f>
        <v/>
      </c>
      <c r="AP57" s="17">
        <f>AP52+AP53+AP54+AP55+AP56</f>
        <v/>
      </c>
      <c r="AQ57" s="17">
        <f>AQ52+AQ53+AQ54+AQ55+AQ56</f>
        <v/>
      </c>
      <c r="AR57" s="17">
        <f>AR52+AR53+AR54+AR55+AR56</f>
        <v/>
      </c>
      <c r="AS57" s="17">
        <f>AS52+AS53+AS54+AS55+AS56</f>
        <v/>
      </c>
      <c r="AT57" s="17">
        <f>AT52+AT53+AT54+AT55+AT56</f>
        <v/>
      </c>
      <c r="AU57" s="17">
        <f>AU52+AU53+AU54+AU55+AU56</f>
        <v/>
      </c>
      <c r="AV57" s="17">
        <f>AV52+AV53+AV54+AV55+AV56</f>
        <v/>
      </c>
      <c r="AW57" s="17">
        <f>AW52+AW53+AW54+AW55+AW56</f>
        <v/>
      </c>
      <c r="AX57" s="17">
        <f>AX52+AX53+AX54+AX55+AX56</f>
        <v/>
      </c>
      <c r="AY57" s="17">
        <f>AY52+AY53+AY54+AY55+AY56</f>
        <v/>
      </c>
    </row>
    <row r="58">
      <c r="B58" s="33" t="inlineStr">
        <is>
          <t xml:space="preserve">  701000 Rent</t>
        </is>
      </c>
      <c r="D58" s="19" t="n">
        <v>7779.68</v>
      </c>
      <c r="E58" s="19" t="n">
        <v>7779.68</v>
      </c>
      <c r="F58" s="19" t="n">
        <v>7779.68</v>
      </c>
      <c r="G58" s="19" t="n">
        <v>7779.68</v>
      </c>
      <c r="H58" s="19" t="n">
        <v>7779.68</v>
      </c>
      <c r="I58" s="19" t="n">
        <v>7779.68</v>
      </c>
      <c r="J58" s="19" t="n">
        <v>7779.68</v>
      </c>
      <c r="K58" s="19" t="n">
        <v>7784.68</v>
      </c>
      <c r="L58" s="19" t="n">
        <v>7779.68</v>
      </c>
      <c r="M58" s="19" t="n">
        <v>7779.68</v>
      </c>
      <c r="N58" s="19" t="n">
        <v>7779.68</v>
      </c>
      <c r="O58" s="19" t="n">
        <v>7779.68</v>
      </c>
      <c r="P58" s="19" t="n">
        <v>7779.68</v>
      </c>
      <c r="Q58" s="19" t="n">
        <v>7779.68</v>
      </c>
      <c r="R58" s="19" t="n">
        <v>7779.68</v>
      </c>
      <c r="S58" s="19" t="n">
        <v>7779.68</v>
      </c>
      <c r="T58" s="83" t="n">
        <v>7779.68</v>
      </c>
      <c r="U58" s="83" t="n">
        <v>7779.68</v>
      </c>
      <c r="V58" s="83" t="n">
        <v>7779.68</v>
      </c>
      <c r="W58" s="20" t="n">
        <v>7894.21</v>
      </c>
      <c r="X58" s="20" t="n">
        <v>7894.21</v>
      </c>
      <c r="Y58" s="20" t="n">
        <v>7894.21</v>
      </c>
      <c r="Z58" s="20" t="n">
        <v>7894.21</v>
      </c>
      <c r="AA58" s="20" t="n">
        <v>7894.21</v>
      </c>
      <c r="AB58" s="20" t="n">
        <v>7894.21</v>
      </c>
      <c r="AC58" s="20" t="n">
        <v>7894.21</v>
      </c>
      <c r="AD58" s="20" t="n">
        <v>7894.21</v>
      </c>
      <c r="AE58" s="20" t="n">
        <v>7894.21</v>
      </c>
      <c r="AF58" s="20" t="n">
        <v>7894.21</v>
      </c>
      <c r="AG58" s="20" t="n">
        <v>7894.21</v>
      </c>
      <c r="AH58" s="20" t="n">
        <v>7894.21</v>
      </c>
      <c r="AI58" s="20" t="n">
        <v>7894.21</v>
      </c>
      <c r="AJ58" s="20" t="n">
        <v>7894.21</v>
      </c>
      <c r="AK58" s="20" t="n">
        <v>7894.21</v>
      </c>
      <c r="AL58" s="20" t="n">
        <v>7894.21</v>
      </c>
      <c r="AM58" s="20" t="n">
        <v>7894.21</v>
      </c>
      <c r="AN58" s="20" t="n">
        <v>7894.21</v>
      </c>
      <c r="AO58" s="20" t="n">
        <v>7894.21</v>
      </c>
      <c r="AP58" s="20" t="n">
        <v>7894.21</v>
      </c>
      <c r="AQ58" s="20" t="n">
        <v>7894.21</v>
      </c>
      <c r="AR58" s="20" t="n">
        <v>7894.21</v>
      </c>
      <c r="AS58" s="20" t="n">
        <v>7894.21</v>
      </c>
      <c r="AT58" s="20" t="n">
        <v>7894.21</v>
      </c>
      <c r="AU58" s="20" t="n">
        <v>7894.21</v>
      </c>
      <c r="AV58" s="20" t="n">
        <v>7894.21</v>
      </c>
      <c r="AW58" s="20" t="n">
        <v>7894.21</v>
      </c>
      <c r="AX58" s="20" t="n">
        <v>7894.21</v>
      </c>
      <c r="AY58" s="20" t="n">
        <v>7894.21</v>
      </c>
    </row>
    <row r="59">
      <c r="B59" s="33" t="inlineStr">
        <is>
          <t xml:space="preserve">  702000 Security</t>
        </is>
      </c>
      <c r="D59" s="19" t="n">
        <v>90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139.05</v>
      </c>
      <c r="J59" s="19" t="n">
        <v>0</v>
      </c>
      <c r="K59" s="19" t="n">
        <v>0</v>
      </c>
      <c r="L59" s="19" t="n">
        <v>139.05</v>
      </c>
      <c r="M59" s="19" t="n">
        <v>150</v>
      </c>
      <c r="N59" s="19" t="n">
        <v>0</v>
      </c>
      <c r="O59" s="19" t="n">
        <v>234.05</v>
      </c>
      <c r="P59" s="19" t="n">
        <v>0</v>
      </c>
      <c r="Q59" s="19" t="n">
        <v>0</v>
      </c>
      <c r="R59" s="19" t="n">
        <v>146.01</v>
      </c>
      <c r="S59" s="19" t="n">
        <v>0</v>
      </c>
      <c r="T59" s="83" t="n">
        <v>0</v>
      </c>
      <c r="U59" s="83" t="n">
        <v>146.01</v>
      </c>
      <c r="V59" s="83" t="n">
        <v>0</v>
      </c>
      <c r="W59" s="20" t="n">
        <v>37.04</v>
      </c>
      <c r="X59" s="20" t="n">
        <v>37.04</v>
      </c>
      <c r="Y59" s="20" t="n">
        <v>37.04</v>
      </c>
      <c r="Z59" s="20" t="n">
        <v>37.04</v>
      </c>
      <c r="AA59" s="20" t="n">
        <v>37.04</v>
      </c>
      <c r="AB59" s="20" t="n">
        <v>37.04</v>
      </c>
      <c r="AC59" s="20" t="n">
        <v>37.04</v>
      </c>
      <c r="AD59" s="20" t="n">
        <v>37.04</v>
      </c>
      <c r="AE59" s="20" t="n">
        <v>37.04</v>
      </c>
      <c r="AF59" s="20" t="n">
        <v>37.04</v>
      </c>
      <c r="AG59" s="20" t="n">
        <v>37.04</v>
      </c>
      <c r="AH59" s="20" t="n">
        <v>37.04</v>
      </c>
      <c r="AI59" s="20" t="n">
        <v>37.04</v>
      </c>
      <c r="AJ59" s="20" t="n">
        <v>37.04</v>
      </c>
      <c r="AK59" s="20" t="n">
        <v>37.04</v>
      </c>
      <c r="AL59" s="20" t="n">
        <v>37.04</v>
      </c>
      <c r="AM59" s="20" t="n">
        <v>37.04</v>
      </c>
      <c r="AN59" s="20" t="n">
        <v>37.04</v>
      </c>
      <c r="AO59" s="20" t="n">
        <v>37.04</v>
      </c>
      <c r="AP59" s="20" t="n">
        <v>37.04</v>
      </c>
      <c r="AQ59" s="20" t="n">
        <v>37.04</v>
      </c>
      <c r="AR59" s="20" t="n">
        <v>37.04</v>
      </c>
      <c r="AS59" s="20" t="n">
        <v>37.04</v>
      </c>
      <c r="AT59" s="20" t="n">
        <v>37.04</v>
      </c>
      <c r="AU59" s="20" t="n">
        <v>37.04</v>
      </c>
      <c r="AV59" s="20" t="n">
        <v>37.04</v>
      </c>
      <c r="AW59" s="20" t="n">
        <v>37.04</v>
      </c>
      <c r="AX59" s="20" t="n">
        <v>37.04</v>
      </c>
      <c r="AY59" s="20" t="n">
        <v>37.04</v>
      </c>
    </row>
    <row r="60">
      <c r="B60" s="33" t="inlineStr">
        <is>
          <t xml:space="preserve">  703000 Cleaning</t>
        </is>
      </c>
      <c r="D60" s="19" t="n">
        <v>1143.39</v>
      </c>
      <c r="E60" s="19" t="n">
        <v>218.74</v>
      </c>
      <c r="F60" s="19" t="n">
        <v>0</v>
      </c>
      <c r="G60" s="19" t="n">
        <v>0</v>
      </c>
      <c r="H60" s="19" t="n">
        <v>677.28</v>
      </c>
      <c r="I60" s="19" t="n">
        <v>240.79</v>
      </c>
      <c r="J60" s="19" t="n">
        <v>365.67</v>
      </c>
      <c r="K60" s="19" t="n">
        <v>250.97</v>
      </c>
      <c r="L60" s="19" t="n">
        <v>88.65000000000001</v>
      </c>
      <c r="M60" s="19" t="n">
        <v>258.59</v>
      </c>
      <c r="N60" s="19" t="n">
        <v>695.3</v>
      </c>
      <c r="O60" s="19" t="n">
        <v>569.8</v>
      </c>
      <c r="P60" s="19" t="n">
        <v>432.75</v>
      </c>
      <c r="Q60" s="19" t="n">
        <v>195.37</v>
      </c>
      <c r="R60" s="19" t="n">
        <v>882.48</v>
      </c>
      <c r="S60" s="19" t="n">
        <v>274.83</v>
      </c>
      <c r="T60" s="83" t="n">
        <v>317.03</v>
      </c>
      <c r="U60" s="83" t="n">
        <v>394.27</v>
      </c>
      <c r="V60" s="83" t="n">
        <v>405.28</v>
      </c>
      <c r="W60" s="20" t="n">
        <v>452.93</v>
      </c>
      <c r="X60" s="20" t="n">
        <v>452.93</v>
      </c>
      <c r="Y60" s="20" t="n">
        <v>452.93</v>
      </c>
      <c r="Z60" s="20" t="n">
        <v>452.93</v>
      </c>
      <c r="AA60" s="20" t="n">
        <v>452.93</v>
      </c>
      <c r="AB60" s="20" t="n">
        <v>452.93</v>
      </c>
      <c r="AC60" s="20" t="n">
        <v>452.93</v>
      </c>
      <c r="AD60" s="20" t="n">
        <v>452.93</v>
      </c>
      <c r="AE60" s="20" t="n">
        <v>452.93</v>
      </c>
      <c r="AF60" s="20" t="n">
        <v>452.93</v>
      </c>
      <c r="AG60" s="20" t="n">
        <v>452.93</v>
      </c>
      <c r="AH60" s="20" t="n">
        <v>452.93</v>
      </c>
      <c r="AI60" s="20" t="n">
        <v>452.93</v>
      </c>
      <c r="AJ60" s="20" t="n">
        <v>452.93</v>
      </c>
      <c r="AK60" s="20" t="n">
        <v>452.93</v>
      </c>
      <c r="AL60" s="20" t="n">
        <v>452.93</v>
      </c>
      <c r="AM60" s="20" t="n">
        <v>452.93</v>
      </c>
      <c r="AN60" s="20" t="n">
        <v>452.93</v>
      </c>
      <c r="AO60" s="20" t="n">
        <v>452.93</v>
      </c>
      <c r="AP60" s="20" t="n">
        <v>452.93</v>
      </c>
      <c r="AQ60" s="20" t="n">
        <v>452.93</v>
      </c>
      <c r="AR60" s="20" t="n">
        <v>452.93</v>
      </c>
      <c r="AS60" s="20" t="n">
        <v>452.93</v>
      </c>
      <c r="AT60" s="20" t="n">
        <v>452.93</v>
      </c>
      <c r="AU60" s="20" t="n">
        <v>452.93</v>
      </c>
      <c r="AV60" s="20" t="n">
        <v>452.93</v>
      </c>
      <c r="AW60" s="20" t="n">
        <v>452.93</v>
      </c>
      <c r="AX60" s="20" t="n">
        <v>452.93</v>
      </c>
      <c r="AY60" s="20" t="n">
        <v>452.93</v>
      </c>
    </row>
    <row r="61">
      <c r="B61" s="33" t="inlineStr">
        <is>
          <t>705000 Property Maintenance (incl Repairs &amp; Parking)</t>
        </is>
      </c>
      <c r="D61" s="19" t="n">
        <v>1090</v>
      </c>
      <c r="E61" s="19" t="n">
        <v>5.74</v>
      </c>
      <c r="F61" s="19" t="n">
        <v>0</v>
      </c>
      <c r="G61" s="19" t="n">
        <v>66.14</v>
      </c>
      <c r="H61" s="19" t="n">
        <v>0</v>
      </c>
      <c r="I61" s="19" t="n">
        <v>0</v>
      </c>
      <c r="J61" s="19" t="n">
        <v>31.49</v>
      </c>
      <c r="K61" s="19" t="n">
        <v>1111.84</v>
      </c>
      <c r="L61" s="19" t="n">
        <v>14.96</v>
      </c>
      <c r="M61" s="19" t="n">
        <v>0</v>
      </c>
      <c r="N61" s="19" t="n">
        <v>140</v>
      </c>
      <c r="O61" s="19" t="n">
        <v>0</v>
      </c>
      <c r="P61" s="19" t="n">
        <v>171.75</v>
      </c>
      <c r="Q61" s="19" t="n">
        <v>121.05</v>
      </c>
      <c r="R61" s="19" t="n">
        <v>157.1</v>
      </c>
      <c r="S61" s="19" t="n">
        <v>75.7</v>
      </c>
      <c r="T61" s="83" t="n">
        <v>178.54</v>
      </c>
      <c r="U61" s="83" t="n">
        <v>152.1</v>
      </c>
      <c r="V61" s="83" t="n">
        <v>152.1</v>
      </c>
      <c r="W61" s="20" t="n">
        <v>0</v>
      </c>
      <c r="X61" s="20" t="n">
        <v>0</v>
      </c>
      <c r="Y61" s="20" t="n">
        <v>0</v>
      </c>
      <c r="Z61" s="20" t="n">
        <v>0</v>
      </c>
      <c r="AA61" s="20" t="n">
        <v>0</v>
      </c>
      <c r="AB61" s="20" t="n">
        <v>0</v>
      </c>
      <c r="AC61" s="20" t="n">
        <v>0</v>
      </c>
      <c r="AD61" s="20" t="n">
        <v>0</v>
      </c>
      <c r="AE61" s="20" t="n">
        <v>0</v>
      </c>
      <c r="AF61" s="20" t="n">
        <v>0</v>
      </c>
      <c r="AG61" s="20" t="n">
        <v>0</v>
      </c>
      <c r="AH61" s="20" t="n">
        <v>0</v>
      </c>
      <c r="AI61" s="20" t="n">
        <v>0</v>
      </c>
      <c r="AJ61" s="20" t="n">
        <v>0</v>
      </c>
      <c r="AK61" s="20" t="n">
        <v>0</v>
      </c>
      <c r="AL61" s="20" t="n">
        <v>0</v>
      </c>
      <c r="AM61" s="20" t="n">
        <v>0</v>
      </c>
      <c r="AN61" s="20" t="n">
        <v>0</v>
      </c>
      <c r="AO61" s="20" t="n">
        <v>0</v>
      </c>
      <c r="AP61" s="20" t="n">
        <v>0</v>
      </c>
      <c r="AQ61" s="20" t="n">
        <v>0</v>
      </c>
      <c r="AR61" s="20" t="n">
        <v>0</v>
      </c>
      <c r="AS61" s="20" t="n">
        <v>0</v>
      </c>
      <c r="AT61" s="20" t="n">
        <v>0</v>
      </c>
      <c r="AU61" s="20" t="n">
        <v>0</v>
      </c>
      <c r="AV61" s="20" t="n">
        <v>0</v>
      </c>
      <c r="AW61" s="20" t="n">
        <v>0</v>
      </c>
      <c r="AX61" s="20" t="n">
        <v>0</v>
      </c>
      <c r="AY61" s="20" t="n">
        <v>0</v>
      </c>
    </row>
    <row r="62">
      <c r="B62" s="32" t="inlineStr">
        <is>
          <t>Total Property Costs</t>
        </is>
      </c>
      <c r="C62" s="34" t="n"/>
      <c r="D62" s="35">
        <f>SUM(D58:D61)</f>
        <v/>
      </c>
      <c r="E62" s="35">
        <f>SUM(E58:E61)</f>
        <v/>
      </c>
      <c r="F62" s="35">
        <f>SUM(F58:F61)</f>
        <v/>
      </c>
      <c r="G62" s="35">
        <f>SUM(G58:G61)</f>
        <v/>
      </c>
      <c r="H62" s="35">
        <f>SUM(H58:H61)</f>
        <v/>
      </c>
      <c r="I62" s="35">
        <f>SUM(I58:I61)</f>
        <v/>
      </c>
      <c r="J62" s="35">
        <f>SUM(J58:J61)</f>
        <v/>
      </c>
      <c r="K62" s="35">
        <f>SUM(K58:K61)</f>
        <v/>
      </c>
      <c r="L62" s="35">
        <f>SUM(L58:L61)</f>
        <v/>
      </c>
      <c r="M62" s="35">
        <f>SUM(M58:M61)</f>
        <v/>
      </c>
      <c r="N62" s="35">
        <f>SUM(N58:N61)</f>
        <v/>
      </c>
      <c r="O62" s="35">
        <f>SUM(O58:O61)</f>
        <v/>
      </c>
      <c r="P62" s="35">
        <f>P58+P59+P60+P61</f>
        <v/>
      </c>
      <c r="Q62" s="35">
        <f>Q58+Q59+Q60+Q61</f>
        <v/>
      </c>
      <c r="R62" s="35">
        <f>R58+R59+R60+R61</f>
        <v/>
      </c>
      <c r="S62" s="35">
        <f>S58+S59+S60+S61</f>
        <v/>
      </c>
      <c r="T62" s="84">
        <f>T58+T59+T60+T61</f>
        <v/>
      </c>
      <c r="U62" s="84">
        <f>U58+U59+U60+U61</f>
        <v/>
      </c>
      <c r="V62" s="84">
        <f>V58+V59+V60+V61</f>
        <v/>
      </c>
      <c r="W62" s="17">
        <f>W58+W59+W60+W61</f>
        <v/>
      </c>
      <c r="X62" s="17">
        <f>X58+X59+X60+X61</f>
        <v/>
      </c>
      <c r="Y62" s="17">
        <f>Y58+Y59+Y60+Y61</f>
        <v/>
      </c>
      <c r="Z62" s="17">
        <f>Z58+Z59+Z60+Z61</f>
        <v/>
      </c>
      <c r="AA62" s="17">
        <f>AA58+AA59+AA60+AA61</f>
        <v/>
      </c>
      <c r="AB62" s="17">
        <f>AB58+AB59+AB60+AB61</f>
        <v/>
      </c>
      <c r="AC62" s="17">
        <f>AC58+AC59+AC60+AC61</f>
        <v/>
      </c>
      <c r="AD62" s="17">
        <f>AD58+AD59+AD60+AD61</f>
        <v/>
      </c>
      <c r="AE62" s="17">
        <f>AE58+AE59+AE60+AE61</f>
        <v/>
      </c>
      <c r="AF62" s="17">
        <f>AF58+AF59+AF60+AF61</f>
        <v/>
      </c>
      <c r="AG62" s="17">
        <f>AG58+AG59+AG60+AG61</f>
        <v/>
      </c>
      <c r="AH62" s="17">
        <f>AH58+AH59+AH60+AH61</f>
        <v/>
      </c>
      <c r="AI62" s="17">
        <f>AI58+AI59+AI60+AI61</f>
        <v/>
      </c>
      <c r="AJ62" s="17">
        <f>AJ58+AJ59+AJ60+AJ61</f>
        <v/>
      </c>
      <c r="AK62" s="17">
        <f>AK58+AK59+AK60+AK61</f>
        <v/>
      </c>
      <c r="AL62" s="17">
        <f>AL58+AL59+AL60+AL61</f>
        <v/>
      </c>
      <c r="AM62" s="17">
        <f>AM58+AM59+AM60+AM61</f>
        <v/>
      </c>
      <c r="AN62" s="17">
        <f>AN58+AN59+AN60+AN61</f>
        <v/>
      </c>
      <c r="AO62" s="17">
        <f>AO58+AO59+AO60+AO61</f>
        <v/>
      </c>
      <c r="AP62" s="17">
        <f>AP58+AP59+AP60+AP61</f>
        <v/>
      </c>
      <c r="AQ62" s="17">
        <f>AQ58+AQ59+AQ60+AQ61</f>
        <v/>
      </c>
      <c r="AR62" s="17">
        <f>AR58+AR59+AR60+AR61</f>
        <v/>
      </c>
      <c r="AS62" s="17">
        <f>AS58+AS59+AS60+AS61</f>
        <v/>
      </c>
      <c r="AT62" s="17">
        <f>AT58+AT59+AT60+AT61</f>
        <v/>
      </c>
      <c r="AU62" s="17">
        <f>AU58+AU59+AU60+AU61</f>
        <v/>
      </c>
      <c r="AV62" s="17">
        <f>AV58+AV59+AV60+AV61</f>
        <v/>
      </c>
      <c r="AW62" s="17">
        <f>AW58+AW59+AW60+AW61</f>
        <v/>
      </c>
      <c r="AX62" s="17">
        <f>AX58+AX59+AX60+AX61</f>
        <v/>
      </c>
      <c r="AY62" s="17">
        <f>AY58+AY59+AY60+AY61</f>
        <v/>
      </c>
    </row>
    <row r="63">
      <c r="B63" s="32" t="inlineStr">
        <is>
          <t>TOTAL OPERATING EXPENSES</t>
        </is>
      </c>
      <c r="C63" s="34" t="n"/>
      <c r="D63" s="35">
        <f>D34+D39+D43+D48+D51+D57+D62</f>
        <v/>
      </c>
      <c r="E63" s="35">
        <f>E34+E39+E43+E48+E51+E57+E62</f>
        <v/>
      </c>
      <c r="F63" s="35">
        <f>F34+F39+F43+F48+F51+F57+F62</f>
        <v/>
      </c>
      <c r="G63" s="35">
        <f>G34+G39+G43+G48+G51+G57+G62</f>
        <v/>
      </c>
      <c r="H63" s="35">
        <f>H34+H39+H43+H48+H51+H57+H62</f>
        <v/>
      </c>
      <c r="I63" s="35">
        <f>I34+I39+I43+I48+I51+I57+I62</f>
        <v/>
      </c>
      <c r="J63" s="35">
        <f>J34+J39+J43+J48+J51+J57+J62</f>
        <v/>
      </c>
      <c r="K63" s="35">
        <f>K34+K39+K43+K48+K51+K57+K62</f>
        <v/>
      </c>
      <c r="L63" s="35">
        <f>L34+L39+L43+L48+L51+L57+L62</f>
        <v/>
      </c>
      <c r="M63" s="35">
        <f>M34+M39+M43+M48+M51+M57+M62</f>
        <v/>
      </c>
      <c r="N63" s="35">
        <f>N34+N39+N43+N48+N51+N57+N62</f>
        <v/>
      </c>
      <c r="O63" s="35">
        <f>O34+O39+O43+O48+O51+O57+O62</f>
        <v/>
      </c>
      <c r="P63" s="35">
        <f>P34+P39+P43+P48+P51+P57+P62</f>
        <v/>
      </c>
      <c r="Q63" s="35">
        <f>Q34+Q39+Q43+Q48+Q51+Q57+Q62</f>
        <v/>
      </c>
      <c r="R63" s="35">
        <f>R34+R39+R43+R48+R51+R57+R62</f>
        <v/>
      </c>
      <c r="S63" s="35">
        <f>S34+S39+S43+S48+S51+S57+S62</f>
        <v/>
      </c>
      <c r="T63" s="84">
        <f>T34+T39+T43+T48+T51+T57+T62</f>
        <v/>
      </c>
      <c r="U63" s="84">
        <f>U34+U39+U43+U48+U51+U57+U62</f>
        <v/>
      </c>
      <c r="V63" s="84">
        <f>V34+V39+V43+V48+V51+V57+V62</f>
        <v/>
      </c>
      <c r="W63" s="17">
        <f>W34+W39+W43+W48+W51+W57+W62</f>
        <v/>
      </c>
      <c r="X63" s="17">
        <f>X34+X39+X43+X48+X51+X57+X62</f>
        <v/>
      </c>
      <c r="Y63" s="17">
        <f>Y34+Y39+Y43+Y48+Y51+Y57+Y62</f>
        <v/>
      </c>
      <c r="Z63" s="17">
        <f>Z34+Z39+Z43+Z48+Z51+Z57+Z62</f>
        <v/>
      </c>
      <c r="AA63" s="17">
        <f>AA34+AA39+AA43+AA48+AA51+AA57+AA62</f>
        <v/>
      </c>
      <c r="AB63" s="17">
        <f>AB34+AB39+AB43+AB48+AB51+AB57+AB62</f>
        <v/>
      </c>
      <c r="AC63" s="17">
        <f>AC34+AC39+AC43+AC48+AC51+AC57+AC62</f>
        <v/>
      </c>
      <c r="AD63" s="17">
        <f>AD34+AD39+AD43+AD48+AD51+AD57+AD62</f>
        <v/>
      </c>
      <c r="AE63" s="17">
        <f>AE34+AE39+AE43+AE48+AE51+AE57+AE62</f>
        <v/>
      </c>
      <c r="AF63" s="17">
        <f>AF34+AF39+AF43+AF48+AF51+AF57+AF62</f>
        <v/>
      </c>
      <c r="AG63" s="17">
        <f>AG34+AG39+AG43+AG48+AG51+AG57+AG62</f>
        <v/>
      </c>
      <c r="AH63" s="17">
        <f>AH34+AH39+AH43+AH48+AH51+AH57+AH62</f>
        <v/>
      </c>
      <c r="AI63" s="17">
        <f>AI34+AI39+AI43+AI48+AI51+AI57+AI62</f>
        <v/>
      </c>
      <c r="AJ63" s="17">
        <f>AJ34+AJ39+AJ43+AJ48+AJ51+AJ57+AJ62</f>
        <v/>
      </c>
      <c r="AK63" s="17">
        <f>AK34+AK39+AK43+AK48+AK51+AK57+AK62</f>
        <v/>
      </c>
      <c r="AL63" s="17">
        <f>AL34+AL39+AL43+AL48+AL51+AL57+AL62</f>
        <v/>
      </c>
      <c r="AM63" s="17">
        <f>AM34+AM39+AM43+AM48+AM51+AM57+AM62</f>
        <v/>
      </c>
      <c r="AN63" s="17">
        <f>AN34+AN39+AN43+AN48+AN51+AN57+AN62</f>
        <v/>
      </c>
      <c r="AO63" s="17">
        <f>AO34+AO39+AO43+AO48+AO51+AO57+AO62</f>
        <v/>
      </c>
      <c r="AP63" s="17">
        <f>AP34+AP39+AP43+AP48+AP51+AP57+AP62</f>
        <v/>
      </c>
      <c r="AQ63" s="17">
        <f>AQ34+AQ39+AQ43+AQ48+AQ51+AQ57+AQ62</f>
        <v/>
      </c>
      <c r="AR63" s="17">
        <f>AR34+AR39+AR43+AR48+AR51+AR57+AR62</f>
        <v/>
      </c>
      <c r="AS63" s="17">
        <f>AS34+AS39+AS43+AS48+AS51+AS57+AS62</f>
        <v/>
      </c>
      <c r="AT63" s="17">
        <f>AT34+AT39+AT43+AT48+AT51+AT57+AT62</f>
        <v/>
      </c>
      <c r="AU63" s="17">
        <f>AU34+AU39+AU43+AU48+AU51+AU57+AU62</f>
        <v/>
      </c>
      <c r="AV63" s="17">
        <f>AV34+AV39+AV43+AV48+AV51+AV57+AV62</f>
        <v/>
      </c>
      <c r="AW63" s="17">
        <f>AW34+AW39+AW43+AW48+AW51+AW57+AW62</f>
        <v/>
      </c>
      <c r="AX63" s="17">
        <f>AX34+AX39+AX43+AX48+AX51+AX57+AX62</f>
        <v/>
      </c>
      <c r="AY63" s="17">
        <f>AY34+AY39+AY43+AY48+AY51+AY57+AY62</f>
        <v/>
      </c>
    </row>
    <row r="64">
      <c r="B64" s="32" t="inlineStr">
        <is>
          <t>NET OPERATING INCOME (EBITDA)</t>
        </is>
      </c>
      <c r="C64" s="34" t="n"/>
      <c r="D64" s="35">
        <f>D27-D63</f>
        <v/>
      </c>
      <c r="E64" s="35">
        <f>E27-E63</f>
        <v/>
      </c>
      <c r="F64" s="35">
        <f>F27-F63</f>
        <v/>
      </c>
      <c r="G64" s="35">
        <f>G27-G63</f>
        <v/>
      </c>
      <c r="H64" s="35">
        <f>H27-H63</f>
        <v/>
      </c>
      <c r="I64" s="35">
        <f>I27-I63</f>
        <v/>
      </c>
      <c r="J64" s="35">
        <f>J27-J63</f>
        <v/>
      </c>
      <c r="K64" s="35">
        <f>K27-K63</f>
        <v/>
      </c>
      <c r="L64" s="35">
        <f>L27-L63</f>
        <v/>
      </c>
      <c r="M64" s="35">
        <f>M27-M63</f>
        <v/>
      </c>
      <c r="N64" s="35">
        <f>N27-N63</f>
        <v/>
      </c>
      <c r="O64" s="35">
        <f>O27-O63</f>
        <v/>
      </c>
      <c r="P64" s="35">
        <f>P27-P63</f>
        <v/>
      </c>
      <c r="Q64" s="35">
        <f>Q27-Q63</f>
        <v/>
      </c>
      <c r="R64" s="35">
        <f>R27-R63</f>
        <v/>
      </c>
      <c r="S64" s="35">
        <f>S27-S63</f>
        <v/>
      </c>
      <c r="T64" s="84">
        <f>T27-T63</f>
        <v/>
      </c>
      <c r="U64" s="84">
        <f>U27-U63</f>
        <v/>
      </c>
      <c r="V64" s="84">
        <f>V27-V63</f>
        <v/>
      </c>
      <c r="W64" s="17">
        <f>W27-W63</f>
        <v/>
      </c>
      <c r="X64" s="17">
        <f>X27-X63</f>
        <v/>
      </c>
      <c r="Y64" s="17">
        <f>Y27-Y63</f>
        <v/>
      </c>
      <c r="Z64" s="17">
        <f>Z27-Z63</f>
        <v/>
      </c>
      <c r="AA64" s="17">
        <f>AA27-AA63</f>
        <v/>
      </c>
      <c r="AB64" s="17">
        <f>AB27-AB63</f>
        <v/>
      </c>
      <c r="AC64" s="17">
        <f>AC27-AC63</f>
        <v/>
      </c>
      <c r="AD64" s="17">
        <f>AD27-AD63</f>
        <v/>
      </c>
      <c r="AE64" s="17">
        <f>AE27-AE63</f>
        <v/>
      </c>
      <c r="AF64" s="17">
        <f>AF27-AF63</f>
        <v/>
      </c>
      <c r="AG64" s="17">
        <f>AG27-AG63</f>
        <v/>
      </c>
      <c r="AH64" s="17">
        <f>AH27-AH63</f>
        <v/>
      </c>
      <c r="AI64" s="17">
        <f>AI27-AI63</f>
        <v/>
      </c>
      <c r="AJ64" s="17">
        <f>AJ27-AJ63</f>
        <v/>
      </c>
      <c r="AK64" s="17">
        <f>AK27-AK63</f>
        <v/>
      </c>
      <c r="AL64" s="17">
        <f>AL27-AL63</f>
        <v/>
      </c>
      <c r="AM64" s="17">
        <f>AM27-AM63</f>
        <v/>
      </c>
      <c r="AN64" s="17">
        <f>AN27-AN63</f>
        <v/>
      </c>
      <c r="AO64" s="17">
        <f>AO27-AO63</f>
        <v/>
      </c>
      <c r="AP64" s="17">
        <f>AP27-AP63</f>
        <v/>
      </c>
      <c r="AQ64" s="17">
        <f>AQ27-AQ63</f>
        <v/>
      </c>
      <c r="AR64" s="17">
        <f>AR27-AR63</f>
        <v/>
      </c>
      <c r="AS64" s="17">
        <f>AS27-AS63</f>
        <v/>
      </c>
      <c r="AT64" s="17">
        <f>AT27-AT63</f>
        <v/>
      </c>
      <c r="AU64" s="17">
        <f>AU27-AU63</f>
        <v/>
      </c>
      <c r="AV64" s="17">
        <f>AV27-AV63</f>
        <v/>
      </c>
      <c r="AW64" s="17">
        <f>AW27-AW63</f>
        <v/>
      </c>
      <c r="AX64" s="17">
        <f>AX27-AX63</f>
        <v/>
      </c>
      <c r="AY64" s="17">
        <f>AY27-AY63</f>
        <v/>
      </c>
    </row>
    <row r="65" ht="16" customHeight="1" s="282">
      <c r="B65" s="10" t="inlineStr">
        <is>
          <t>OTHER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</row>
    <row r="66">
      <c r="B66" s="33" t="inlineStr">
        <is>
          <t xml:space="preserve">  810000 Depreciation</t>
        </is>
      </c>
      <c r="D66" s="19" t="n">
        <v>661.33</v>
      </c>
      <c r="E66" s="19" t="n">
        <v>661.33</v>
      </c>
      <c r="F66" s="19" t="n">
        <v>661.33</v>
      </c>
      <c r="G66" s="19" t="n">
        <v>663.3200000000001</v>
      </c>
      <c r="H66" s="19" t="n">
        <v>669.97</v>
      </c>
      <c r="I66" s="19" t="n">
        <v>669.97</v>
      </c>
      <c r="J66" s="19" t="n">
        <v>669.97</v>
      </c>
      <c r="K66" s="19" t="n">
        <v>720.3099999999999</v>
      </c>
      <c r="L66" s="19" t="n">
        <v>809.14</v>
      </c>
      <c r="M66" s="19" t="n">
        <v>809.14</v>
      </c>
      <c r="N66" s="19" t="n">
        <v>809.04</v>
      </c>
      <c r="O66" s="19" t="n">
        <v>476.07</v>
      </c>
      <c r="P66" s="19" t="n">
        <v>724.74</v>
      </c>
      <c r="Q66" s="19" t="n">
        <v>724.74</v>
      </c>
      <c r="R66" s="19" t="n">
        <v>724.74</v>
      </c>
      <c r="S66" s="19" t="n">
        <v>724.74</v>
      </c>
      <c r="T66" s="83" t="n">
        <v>724.74</v>
      </c>
      <c r="U66" s="83" t="n">
        <v>724.74</v>
      </c>
      <c r="V66" s="83" t="n">
        <v>818.22</v>
      </c>
      <c r="W66" s="20" t="n">
        <v>724.74</v>
      </c>
      <c r="X66" s="20" t="n">
        <v>724.74</v>
      </c>
      <c r="Y66" s="20" t="n">
        <v>724.74</v>
      </c>
      <c r="Z66" s="20" t="n">
        <v>724.74</v>
      </c>
      <c r="AA66" s="20" t="n">
        <v>724.74</v>
      </c>
      <c r="AB66" s="20" t="n">
        <v>724.74</v>
      </c>
      <c r="AC66" s="20" t="n">
        <v>724.74</v>
      </c>
      <c r="AD66" s="20" t="n">
        <v>724.74</v>
      </c>
      <c r="AE66" s="20" t="n">
        <v>724.74</v>
      </c>
      <c r="AF66" s="20" t="n">
        <v>724.74</v>
      </c>
      <c r="AG66" s="20" t="n">
        <v>724.74</v>
      </c>
      <c r="AH66" s="20" t="n">
        <v>724.74</v>
      </c>
      <c r="AI66" s="20" t="n">
        <v>724.74</v>
      </c>
      <c r="AJ66" s="20" t="n">
        <v>724.74</v>
      </c>
      <c r="AK66" s="20" t="n">
        <v>724.74</v>
      </c>
      <c r="AL66" s="20" t="n">
        <v>724.74</v>
      </c>
      <c r="AM66" s="20" t="n">
        <v>724.74</v>
      </c>
      <c r="AN66" s="20" t="n">
        <v>724.74</v>
      </c>
      <c r="AO66" s="20" t="n">
        <v>724.74</v>
      </c>
      <c r="AP66" s="20" t="n">
        <v>724.74</v>
      </c>
      <c r="AQ66" s="20" t="n">
        <v>724.74</v>
      </c>
      <c r="AR66" s="20" t="n">
        <v>724.74</v>
      </c>
      <c r="AS66" s="20" t="n">
        <v>724.74</v>
      </c>
      <c r="AT66" s="20" t="n">
        <v>724.74</v>
      </c>
      <c r="AU66" s="20" t="n">
        <v>724.74</v>
      </c>
      <c r="AV66" s="20" t="n">
        <v>724.74</v>
      </c>
      <c r="AW66" s="20" t="n">
        <v>724.74</v>
      </c>
      <c r="AX66" s="20" t="n">
        <v>724.74</v>
      </c>
      <c r="AY66" s="20" t="n">
        <v>724.74</v>
      </c>
    </row>
    <row r="67">
      <c r="B67" s="33" t="inlineStr">
        <is>
          <t>901000 Interest Expense (incl Other Exp/Inc)</t>
        </is>
      </c>
      <c r="D67" s="19" t="n">
        <v>0</v>
      </c>
      <c r="E67" s="19" t="n">
        <v>0</v>
      </c>
      <c r="F67" s="19" t="n">
        <v>0</v>
      </c>
      <c r="G67" s="19" t="n">
        <v>0</v>
      </c>
      <c r="H67" s="19" t="n">
        <v>0</v>
      </c>
      <c r="I67" s="19" t="n">
        <v>0</v>
      </c>
      <c r="J67" s="19" t="n">
        <v>0</v>
      </c>
      <c r="K67" s="19" t="n">
        <v>0</v>
      </c>
      <c r="L67" s="19" t="n">
        <v>0</v>
      </c>
      <c r="M67" s="19" t="n">
        <v>2405</v>
      </c>
      <c r="N67" s="19" t="n">
        <v>2405</v>
      </c>
      <c r="O67" s="19" t="n">
        <v>2405</v>
      </c>
      <c r="P67" s="19" t="n">
        <v>2405</v>
      </c>
      <c r="Q67" s="19" t="n">
        <v>2405</v>
      </c>
      <c r="R67" s="19" t="n">
        <v>2405</v>
      </c>
      <c r="S67" s="19" t="n">
        <v>2405</v>
      </c>
      <c r="T67" s="83" t="n">
        <v>2405</v>
      </c>
      <c r="U67" s="83" t="n">
        <v>0</v>
      </c>
      <c r="V67" s="83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AN70*0.725744</f>
        <v/>
      </c>
      <c r="AO67" s="20">
        <f>AO70*0.725744</f>
        <v/>
      </c>
      <c r="AP67" s="20">
        <f>AP70*0.725744</f>
        <v/>
      </c>
      <c r="AQ67" s="20">
        <f>AQ70*0.725744</f>
        <v/>
      </c>
      <c r="AR67" s="20">
        <f>AR70*0.725744</f>
        <v/>
      </c>
      <c r="AS67" s="20">
        <f>AS70*0.725744</f>
        <v/>
      </c>
      <c r="AT67" s="20">
        <f>AT70*0.725744</f>
        <v/>
      </c>
      <c r="AU67" s="20">
        <f>AU70*0.725744</f>
        <v/>
      </c>
      <c r="AV67" s="20">
        <f>AV70*0.725744</f>
        <v/>
      </c>
      <c r="AW67" s="20">
        <f>AW70*0.725744</f>
        <v/>
      </c>
      <c r="AX67" s="20">
        <f>AX70*0.725744</f>
        <v/>
      </c>
      <c r="AY67" s="20">
        <f>AY70*0.725744</f>
        <v/>
      </c>
    </row>
    <row r="68">
      <c r="B68" s="33" t="inlineStr">
        <is>
          <t xml:space="preserve">  902000 Taxes Paid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3" t="n">
        <v>0</v>
      </c>
      <c r="U68" s="83" t="n">
        <v>0</v>
      </c>
      <c r="V68" s="83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>
        <f>AN70*0.055555</f>
        <v/>
      </c>
      <c r="AO68" s="20">
        <f>AO70*0.055555</f>
        <v/>
      </c>
      <c r="AP68" s="20">
        <f>AP70*0.055555</f>
        <v/>
      </c>
      <c r="AQ68" s="20">
        <f>AQ70*0.055555</f>
        <v/>
      </c>
      <c r="AR68" s="20">
        <f>AR70*0.055555</f>
        <v/>
      </c>
      <c r="AS68" s="20">
        <f>AS70*0.055555</f>
        <v/>
      </c>
      <c r="AT68" s="20">
        <f>AT70*0.055555</f>
        <v/>
      </c>
      <c r="AU68" s="20">
        <f>AU70*0.055555</f>
        <v/>
      </c>
      <c r="AV68" s="20">
        <f>AV70*0.055555</f>
        <v/>
      </c>
      <c r="AW68" s="20">
        <f>AW70*0.055555</f>
        <v/>
      </c>
      <c r="AX68" s="20">
        <f>AX70*0.055555</f>
        <v/>
      </c>
      <c r="AY68" s="20">
        <f>AY70*0.055555</f>
        <v/>
      </c>
    </row>
    <row r="69">
      <c r="B69" s="33" t="inlineStr">
        <is>
          <t xml:space="preserve">  903000 Property taxes</t>
        </is>
      </c>
      <c r="D69" s="19" t="n">
        <v>0</v>
      </c>
      <c r="E69" s="19" t="n">
        <v>0</v>
      </c>
      <c r="F69" s="19" t="n">
        <v>0</v>
      </c>
      <c r="G69" s="19" t="n">
        <v>0</v>
      </c>
      <c r="H69" s="19" t="n">
        <v>0</v>
      </c>
      <c r="I69" s="19" t="n">
        <v>0</v>
      </c>
      <c r="J69" s="19" t="n">
        <v>0</v>
      </c>
      <c r="K69" s="19" t="n">
        <v>0</v>
      </c>
      <c r="L69" s="19" t="n">
        <v>0</v>
      </c>
      <c r="M69" s="19" t="n">
        <v>0</v>
      </c>
      <c r="N69" s="19" t="n">
        <v>0</v>
      </c>
      <c r="O69" s="19" t="n">
        <v>0</v>
      </c>
      <c r="P69" s="19" t="n">
        <v>0</v>
      </c>
      <c r="Q69" s="19" t="n">
        <v>0</v>
      </c>
      <c r="R69" s="19" t="n">
        <v>0</v>
      </c>
      <c r="S69" s="19" t="n">
        <v>0</v>
      </c>
      <c r="T69" s="83" t="n">
        <v>0</v>
      </c>
      <c r="U69" s="83" t="n">
        <v>0</v>
      </c>
      <c r="V69" s="83" t="n">
        <v>0</v>
      </c>
      <c r="W69" s="20" t="n">
        <v>0</v>
      </c>
      <c r="X69" s="20" t="n">
        <v>0</v>
      </c>
      <c r="Y69" s="20" t="n">
        <v>0</v>
      </c>
      <c r="Z69" s="20" t="n">
        <v>0</v>
      </c>
      <c r="AA69" s="20" t="n">
        <v>0</v>
      </c>
      <c r="AB69" s="20" t="n">
        <v>0</v>
      </c>
      <c r="AC69" s="20" t="n">
        <v>0</v>
      </c>
      <c r="AD69" s="20" t="n">
        <v>0</v>
      </c>
      <c r="AE69" s="20" t="n">
        <v>0</v>
      </c>
      <c r="AF69" s="20" t="n">
        <v>0</v>
      </c>
      <c r="AG69" s="20" t="n">
        <v>0</v>
      </c>
      <c r="AH69" s="20" t="n">
        <v>0</v>
      </c>
      <c r="AI69" s="20" t="n">
        <v>0</v>
      </c>
      <c r="AJ69" s="20" t="n">
        <v>0</v>
      </c>
      <c r="AK69" s="20" t="n">
        <v>0</v>
      </c>
      <c r="AL69" s="20" t="n">
        <v>0</v>
      </c>
      <c r="AM69" s="20" t="n">
        <v>0</v>
      </c>
      <c r="AN69" s="20" t="n">
        <v>0</v>
      </c>
      <c r="AO69" s="20" t="n">
        <v>0</v>
      </c>
      <c r="AP69" s="20" t="n">
        <v>0</v>
      </c>
      <c r="AQ69" s="20" t="n">
        <v>0</v>
      </c>
      <c r="AR69" s="20" t="n">
        <v>0</v>
      </c>
      <c r="AS69" s="20" t="n">
        <v>0</v>
      </c>
      <c r="AT69" s="20" t="n">
        <v>0</v>
      </c>
      <c r="AU69" s="20" t="n">
        <v>0</v>
      </c>
      <c r="AV69" s="20" t="n">
        <v>0</v>
      </c>
      <c r="AW69" s="20" t="n">
        <v>0</v>
      </c>
      <c r="AX69" s="20" t="n">
        <v>0</v>
      </c>
      <c r="AY69" s="20" t="n">
        <v>0</v>
      </c>
    </row>
    <row r="70">
      <c r="B70" s="32" t="inlineStr">
        <is>
          <t>Total Other Expenses</t>
        </is>
      </c>
      <c r="C70" s="34" t="n"/>
      <c r="D70" s="35">
        <f>SUM(D66:D69)</f>
        <v/>
      </c>
      <c r="E70" s="35">
        <f>SUM(E66:E69)</f>
        <v/>
      </c>
      <c r="F70" s="35">
        <f>SUM(F66:F69)</f>
        <v/>
      </c>
      <c r="G70" s="35">
        <f>SUM(G66:G69)</f>
        <v/>
      </c>
      <c r="H70" s="35">
        <f>SUM(H66:H69)</f>
        <v/>
      </c>
      <c r="I70" s="35">
        <f>SUM(I66:I69)</f>
        <v/>
      </c>
      <c r="J70" s="35">
        <f>SUM(J66:J69)</f>
        <v/>
      </c>
      <c r="K70" s="35">
        <f>SUM(K66:K69)</f>
        <v/>
      </c>
      <c r="L70" s="35">
        <f>SUM(L66:L69)</f>
        <v/>
      </c>
      <c r="M70" s="35">
        <f>SUM(M66:M69)</f>
        <v/>
      </c>
      <c r="N70" s="35">
        <f>SUM(N66:N69)</f>
        <v/>
      </c>
      <c r="O70" s="35">
        <f>SUM(O66:O69)</f>
        <v/>
      </c>
      <c r="P70" s="35">
        <f>P66+P67+P68+P69</f>
        <v/>
      </c>
      <c r="Q70" s="35">
        <f>Q66+Q67+Q68+Q69</f>
        <v/>
      </c>
      <c r="R70" s="35">
        <f>R66+R67+R68+R69</f>
        <v/>
      </c>
      <c r="S70" s="35">
        <f>S66+S67+S68+S69</f>
        <v/>
      </c>
      <c r="T70" s="84">
        <f>T66+T67+T68+T69</f>
        <v/>
      </c>
      <c r="U70" s="84">
        <f>U66+U67+U68+U69</f>
        <v/>
      </c>
      <c r="V70" s="84">
        <f>V66+V67+V68+V69</f>
        <v/>
      </c>
      <c r="W70" s="17">
        <f>SUM(W66:W69)</f>
        <v/>
      </c>
      <c r="X70" s="17">
        <f>SUM(X66:X69)</f>
        <v/>
      </c>
      <c r="Y70" s="17">
        <f>SUM(Y66:Y69)</f>
        <v/>
      </c>
      <c r="Z70" s="17">
        <f>SUM(Z66:Z69)</f>
        <v/>
      </c>
      <c r="AA70" s="17">
        <f>SUM(AA66:AA69)</f>
        <v/>
      </c>
      <c r="AB70" s="17">
        <f>SUM(AB66:AB69)</f>
        <v/>
      </c>
      <c r="AC70" s="17">
        <f>SUM(AC66:AC69)</f>
        <v/>
      </c>
      <c r="AD70" s="17">
        <f>SUM(AD66:AD69)</f>
        <v/>
      </c>
      <c r="AE70" s="17">
        <f>SUM(AE66:AE69)</f>
        <v/>
      </c>
      <c r="AF70" s="17">
        <f>SUM(AF66:AF69)</f>
        <v/>
      </c>
      <c r="AG70" s="17">
        <f>SUM(AG66:AG69)</f>
        <v/>
      </c>
      <c r="AH70" s="17">
        <f>SUM(AH66:AH69)</f>
        <v/>
      </c>
      <c r="AI70" s="17">
        <f>SUM(AI66:AI69)</f>
        <v/>
      </c>
      <c r="AJ70" s="17">
        <f>SUM(AJ66:AJ69)</f>
        <v/>
      </c>
      <c r="AK70" s="17">
        <f>SUM(AK66:AK69)</f>
        <v/>
      </c>
      <c r="AL70" s="17">
        <f>SUM(AL66:AL69)</f>
        <v/>
      </c>
      <c r="AM70" s="17">
        <f>SUM(AM66:AM69)</f>
        <v/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</row>
    <row r="71">
      <c r="B71" s="32" t="inlineStr">
        <is>
          <t>NET INCOME</t>
        </is>
      </c>
      <c r="C71" s="34" t="n"/>
      <c r="D71" s="35">
        <f>D64-D70</f>
        <v/>
      </c>
      <c r="E71" s="35">
        <f>E64-E70</f>
        <v/>
      </c>
      <c r="F71" s="35">
        <f>F64-F70</f>
        <v/>
      </c>
      <c r="G71" s="35">
        <f>G64-G70</f>
        <v/>
      </c>
      <c r="H71" s="35">
        <f>H64-H70</f>
        <v/>
      </c>
      <c r="I71" s="35">
        <f>I64-I70</f>
        <v/>
      </c>
      <c r="J71" s="35">
        <f>J64-J70</f>
        <v/>
      </c>
      <c r="K71" s="35">
        <f>K64-K70</f>
        <v/>
      </c>
      <c r="L71" s="35">
        <f>L64-L70</f>
        <v/>
      </c>
      <c r="M71" s="35">
        <f>M64-M70</f>
        <v/>
      </c>
      <c r="N71" s="35">
        <f>N64-N70</f>
        <v/>
      </c>
      <c r="O71" s="35">
        <f>O64-O70</f>
        <v/>
      </c>
      <c r="P71" s="35">
        <f>P64-P70</f>
        <v/>
      </c>
      <c r="Q71" s="35">
        <f>Q64-Q70</f>
        <v/>
      </c>
      <c r="R71" s="35">
        <f>R64-R70</f>
        <v/>
      </c>
      <c r="S71" s="35">
        <f>S64-S70</f>
        <v/>
      </c>
      <c r="T71" s="84">
        <f>T64-T70</f>
        <v/>
      </c>
      <c r="U71" s="84">
        <f>U64-U70</f>
        <v/>
      </c>
      <c r="V71" s="84">
        <f>V64-V70</f>
        <v/>
      </c>
      <c r="W71" s="17">
        <f>W64-W70</f>
        <v/>
      </c>
      <c r="X71" s="17">
        <f>X64-X70</f>
        <v/>
      </c>
      <c r="Y71" s="17">
        <f>Y64-Y70</f>
        <v/>
      </c>
      <c r="Z71" s="17">
        <f>Z64-Z70</f>
        <v/>
      </c>
      <c r="AA71" s="17">
        <f>AA64-AA70</f>
        <v/>
      </c>
      <c r="AB71" s="17">
        <f>AB64-AB70</f>
        <v/>
      </c>
      <c r="AC71" s="17">
        <f>AC64-AC70</f>
        <v/>
      </c>
      <c r="AD71" s="17">
        <f>AD64-AD70</f>
        <v/>
      </c>
      <c r="AE71" s="17">
        <f>AE64-AE70</f>
        <v/>
      </c>
      <c r="AF71" s="17">
        <f>AF64-AF70</f>
        <v/>
      </c>
      <c r="AG71" s="17">
        <f>AG64-AG70</f>
        <v/>
      </c>
      <c r="AH71" s="17">
        <f>AH64-AH70</f>
        <v/>
      </c>
      <c r="AI71" s="17">
        <f>AI64-AI70</f>
        <v/>
      </c>
      <c r="AJ71" s="17">
        <f>AJ64-AJ70</f>
        <v/>
      </c>
      <c r="AK71" s="17">
        <f>AK64-AK70</f>
        <v/>
      </c>
      <c r="AL71" s="17">
        <f>AL64-AL70</f>
        <v/>
      </c>
      <c r="AM71" s="17">
        <f>AM64-AM70</f>
        <v/>
      </c>
      <c r="AN71" s="17">
        <f>AN64-AN70</f>
        <v/>
      </c>
      <c r="AO71" s="17">
        <f>AO64-AO70</f>
        <v/>
      </c>
      <c r="AP71" s="17">
        <f>AP64-AP70</f>
        <v/>
      </c>
      <c r="AQ71" s="17">
        <f>AQ64-AQ70</f>
        <v/>
      </c>
      <c r="AR71" s="17">
        <f>AR64-AR70</f>
        <v/>
      </c>
      <c r="AS71" s="17">
        <f>AS64-AS70</f>
        <v/>
      </c>
      <c r="AT71" s="17">
        <f>AT64-AT70</f>
        <v/>
      </c>
      <c r="AU71" s="17">
        <f>AU64-AU70</f>
        <v/>
      </c>
      <c r="AV71" s="17">
        <f>AV64-AV70</f>
        <v/>
      </c>
      <c r="AW71" s="17">
        <f>AW64-AW70</f>
        <v/>
      </c>
      <c r="AX71" s="17">
        <f>AX64-AX70</f>
        <v/>
      </c>
      <c r="AY71" s="17">
        <f>AY64-AY70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ED7D31"/>
    <outlinePr summaryBelow="1" summaryRight="1"/>
    <pageSetUpPr/>
  </sheetPr>
  <dimension ref="B2:BB70"/>
  <sheetViews>
    <sheetView showGridLines="0" workbookViewId="0">
      <pane xSplit="3" ySplit="5" topLeftCell="AO6" activePane="bottomRight" state="frozen"/>
      <selection activeCell="W21" sqref="W21"/>
      <selection pane="topRight" activeCell="W21" sqref="W21"/>
      <selection pane="bottomLeft" activeCell="W21" sqref="W21"/>
      <selection pane="bottomRight" activeCell="AY13" sqref="AY13"/>
    </sheetView>
  </sheetViews>
  <sheetFormatPr baseColWidth="10" defaultColWidth="8.83203125" defaultRowHeight="15"/>
  <cols>
    <col hidden="1" width="2" customWidth="1" style="282" min="1" max="1"/>
    <col width="32" customWidth="1" style="282" min="2" max="2"/>
    <col width="10" customWidth="1" style="282" min="3" max="3"/>
    <col width="12" customWidth="1" style="282" min="4" max="39"/>
    <col width="13.33203125" customWidth="1" style="282" min="53" max="53"/>
  </cols>
  <sheetData>
    <row r="2" ht="21" customHeight="1" s="282">
      <c r="B2" s="9" t="inlineStr">
        <is>
          <t>Russian Hill (RH) — Profit &amp; Loss</t>
        </is>
      </c>
      <c r="T2" s="24" t="n"/>
      <c r="U2" s="24" t="n"/>
    </row>
    <row r="4" ht="16" customHeight="1" s="28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01" t="inlineStr">
        <is>
          <t>Revenue Segments as % of Total (LTM)</t>
        </is>
      </c>
    </row>
    <row r="6" ht="16" customHeight="1" s="28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BA6" s="272" t="inlineStr">
        <is>
          <t>LTM May 2026</t>
        </is>
      </c>
    </row>
    <row r="7">
      <c r="B7" s="33" t="inlineStr">
        <is>
          <t xml:space="preserve">  401001 Machine</t>
        </is>
      </c>
      <c r="D7" s="19" t="n">
        <v>271</v>
      </c>
      <c r="E7" s="19" t="n">
        <v>10630.24</v>
      </c>
      <c r="F7" s="19" t="n">
        <v>29542.02</v>
      </c>
      <c r="G7" s="19" t="n">
        <v>33972.62</v>
      </c>
      <c r="H7" s="19" t="n">
        <v>38226.56</v>
      </c>
      <c r="I7" s="19" t="n">
        <v>40958.7</v>
      </c>
      <c r="J7" s="19" t="n">
        <v>33901.19</v>
      </c>
      <c r="K7" s="19" t="n">
        <v>35892.01</v>
      </c>
      <c r="L7" s="19" t="n">
        <v>35337.18</v>
      </c>
      <c r="M7" s="19" t="n">
        <v>37835.57</v>
      </c>
      <c r="N7" s="19" t="n">
        <v>34452</v>
      </c>
      <c r="O7" s="19" t="n">
        <v>32698.66</v>
      </c>
      <c r="P7" s="19" t="n">
        <v>45965.84</v>
      </c>
      <c r="Q7" s="19" t="n">
        <v>40953.89</v>
      </c>
      <c r="R7" s="19" t="n">
        <v>47182.84</v>
      </c>
      <c r="S7" s="19" t="n">
        <v>43586.86</v>
      </c>
      <c r="T7" s="83" t="n">
        <v>38537.59</v>
      </c>
      <c r="U7" s="83" t="n">
        <v>36340.72</v>
      </c>
      <c r="V7" s="83" t="n">
        <v>36693.05</v>
      </c>
      <c r="W7" s="20">
        <f>W13*0.516754</f>
        <v/>
      </c>
      <c r="X7" s="20">
        <f>X13*0.516754</f>
        <v/>
      </c>
      <c r="Y7" s="20">
        <f>Y13*0.516754</f>
        <v/>
      </c>
      <c r="Z7" s="20">
        <f>Z13*0.516754</f>
        <v/>
      </c>
      <c r="AA7" s="20">
        <f>AA13*0.516754</f>
        <v/>
      </c>
      <c r="AB7" s="20">
        <f>AB13*0.516754</f>
        <v/>
      </c>
      <c r="AC7" s="20">
        <f>AC13*0.516754</f>
        <v/>
      </c>
      <c r="AD7" s="20">
        <f>AD13*0.516754</f>
        <v/>
      </c>
      <c r="AE7" s="20">
        <f>AE13*0.516754</f>
        <v/>
      </c>
      <c r="AF7" s="20">
        <f>AF13*0.516754</f>
        <v/>
      </c>
      <c r="AG7" s="20">
        <f>AG13*0.516754</f>
        <v/>
      </c>
      <c r="AH7" s="20">
        <f>AH13*0.516754</f>
        <v/>
      </c>
      <c r="AI7" s="20">
        <f>AI13*0.516754</f>
        <v/>
      </c>
      <c r="AJ7" s="20">
        <f>AJ13*0.516754</f>
        <v/>
      </c>
      <c r="AK7" s="20">
        <f>AK13*0.516754</f>
        <v/>
      </c>
      <c r="AL7" s="20">
        <f>AL13*0.516754</f>
        <v/>
      </c>
      <c r="AM7" s="20">
        <f>AM13*0.516754</f>
        <v/>
      </c>
      <c r="AN7" s="20">
        <f>AN13*0.516754</f>
        <v/>
      </c>
      <c r="AO7" s="20">
        <f>AO13*0.516754</f>
        <v/>
      </c>
      <c r="AP7" s="20">
        <f>AP13*0.516754</f>
        <v/>
      </c>
      <c r="AQ7" s="20">
        <f>AQ13*0.516754</f>
        <v/>
      </c>
      <c r="AR7" s="20">
        <f>AR13*0.516754</f>
        <v/>
      </c>
      <c r="AS7" s="20">
        <f>AS13*0.516754</f>
        <v/>
      </c>
      <c r="AT7" s="20">
        <f>AT13*0.516754</f>
        <v/>
      </c>
      <c r="AU7" s="20">
        <f>AU13*0.516754</f>
        <v/>
      </c>
      <c r="AV7" s="20">
        <f>AV13*0.516754</f>
        <v/>
      </c>
      <c r="AW7" s="20">
        <f>AW13*0.516754</f>
        <v/>
      </c>
      <c r="AX7" s="20">
        <f>AX13*0.516754</f>
        <v/>
      </c>
      <c r="AY7" s="20">
        <f>AY13*0.516754</f>
        <v/>
      </c>
      <c r="BA7" s="288">
        <f>SUM(I7:T7)</f>
        <v/>
      </c>
      <c r="BB7" s="274">
        <f>BA7/$BA$21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732</v>
      </c>
      <c r="F8" s="19" t="n">
        <v>2362</v>
      </c>
      <c r="G8" s="19" t="n">
        <v>2188.33</v>
      </c>
      <c r="H8" s="19" t="n">
        <v>3460</v>
      </c>
      <c r="I8" s="19" t="n">
        <v>2633.5</v>
      </c>
      <c r="J8" s="19" t="n">
        <v>3515.5</v>
      </c>
      <c r="K8" s="19" t="n">
        <v>1979</v>
      </c>
      <c r="L8" s="19" t="n">
        <v>2228.17</v>
      </c>
      <c r="M8" s="19" t="n">
        <v>2250</v>
      </c>
      <c r="N8" s="19" t="n">
        <v>2295</v>
      </c>
      <c r="O8" s="19" t="n">
        <v>2097.67</v>
      </c>
      <c r="P8" s="19" t="n">
        <v>4196.33</v>
      </c>
      <c r="Q8" s="19" t="n">
        <v>3350.8</v>
      </c>
      <c r="R8" s="19" t="n">
        <v>2241.8</v>
      </c>
      <c r="S8" s="19" t="n">
        <v>1954.5</v>
      </c>
      <c r="T8" s="83" t="n">
        <v>3154</v>
      </c>
      <c r="U8" s="83" t="n">
        <v>2826.67</v>
      </c>
      <c r="V8" s="83" t="n">
        <v>2682.33</v>
      </c>
      <c r="W8" s="20">
        <f>W13*0.034152</f>
        <v/>
      </c>
      <c r="X8" s="20">
        <f>X13*0.034152</f>
        <v/>
      </c>
      <c r="Y8" s="20">
        <f>Y13*0.034152</f>
        <v/>
      </c>
      <c r="Z8" s="20">
        <f>Z13*0.034152</f>
        <v/>
      </c>
      <c r="AA8" s="20">
        <f>AA13*0.034152</f>
        <v/>
      </c>
      <c r="AB8" s="20">
        <f>AB13*0.034152</f>
        <v/>
      </c>
      <c r="AC8" s="20">
        <f>AC13*0.034152</f>
        <v/>
      </c>
      <c r="AD8" s="20">
        <f>AD13*0.034152</f>
        <v/>
      </c>
      <c r="AE8" s="20">
        <f>AE13*0.034152</f>
        <v/>
      </c>
      <c r="AF8" s="20">
        <f>AF13*0.034152</f>
        <v/>
      </c>
      <c r="AG8" s="20">
        <f>AG13*0.034152</f>
        <v/>
      </c>
      <c r="AH8" s="20">
        <f>AH13*0.034152</f>
        <v/>
      </c>
      <c r="AI8" s="20">
        <f>AI13*0.034152</f>
        <v/>
      </c>
      <c r="AJ8" s="20">
        <f>AJ13*0.034152</f>
        <v/>
      </c>
      <c r="AK8" s="20">
        <f>AK13*0.034152</f>
        <v/>
      </c>
      <c r="AL8" s="20">
        <f>AL13*0.034152</f>
        <v/>
      </c>
      <c r="AM8" s="20">
        <f>AM13*0.034152</f>
        <v/>
      </c>
      <c r="AN8" s="20">
        <f>AN13*0.034152</f>
        <v/>
      </c>
      <c r="AO8" s="20">
        <f>AO13*0.034152</f>
        <v/>
      </c>
      <c r="AP8" s="20">
        <f>AP13*0.034152</f>
        <v/>
      </c>
      <c r="AQ8" s="20">
        <f>AQ13*0.034152</f>
        <v/>
      </c>
      <c r="AR8" s="20">
        <f>AR13*0.034152</f>
        <v/>
      </c>
      <c r="AS8" s="20">
        <f>AS13*0.034152</f>
        <v/>
      </c>
      <c r="AT8" s="20">
        <f>AT13*0.034152</f>
        <v/>
      </c>
      <c r="AU8" s="20">
        <f>AU13*0.034152</f>
        <v/>
      </c>
      <c r="AV8" s="20">
        <f>AV13*0.034152</f>
        <v/>
      </c>
      <c r="AW8" s="20">
        <f>AW13*0.034152</f>
        <v/>
      </c>
      <c r="AX8" s="20">
        <f>AX13*0.034152</f>
        <v/>
      </c>
      <c r="AY8" s="20">
        <f>AY13*0.034152</f>
        <v/>
      </c>
      <c r="BA8" s="288">
        <f>SUM(I8:T8)</f>
        <v/>
      </c>
      <c r="BB8" s="274">
        <f>BA8/$BA$21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6368.29</v>
      </c>
      <c r="F9" s="19" t="n">
        <v>17552.29</v>
      </c>
      <c r="G9" s="19" t="n">
        <v>17518.21</v>
      </c>
      <c r="H9" s="19" t="n">
        <v>18132.15</v>
      </c>
      <c r="I9" s="19" t="n">
        <v>19927.9</v>
      </c>
      <c r="J9" s="19" t="n">
        <v>23760.04</v>
      </c>
      <c r="K9" s="19" t="n">
        <v>23569.44</v>
      </c>
      <c r="L9" s="19" t="n">
        <v>24748.67</v>
      </c>
      <c r="M9" s="19" t="n">
        <v>28887.5</v>
      </c>
      <c r="N9" s="19" t="n">
        <v>26043.88</v>
      </c>
      <c r="O9" s="19" t="n">
        <v>23680.08</v>
      </c>
      <c r="P9" s="19" t="n">
        <v>31714.92</v>
      </c>
      <c r="Q9" s="19" t="n">
        <v>29407.51</v>
      </c>
      <c r="R9" s="19" t="n">
        <v>34089.62</v>
      </c>
      <c r="S9" s="19" t="n">
        <v>31971</v>
      </c>
      <c r="T9" s="83" t="n">
        <v>28859.74</v>
      </c>
      <c r="U9" s="83" t="n">
        <v>27373.63</v>
      </c>
      <c r="V9" s="83" t="n">
        <v>25557</v>
      </c>
      <c r="W9" s="20">
        <f>W13*0.369872</f>
        <v/>
      </c>
      <c r="X9" s="20">
        <f>X13*0.369872</f>
        <v/>
      </c>
      <c r="Y9" s="20">
        <f>Y13*0.369872</f>
        <v/>
      </c>
      <c r="Z9" s="20">
        <f>Z13*0.369872</f>
        <v/>
      </c>
      <c r="AA9" s="20">
        <f>AA13*0.369872</f>
        <v/>
      </c>
      <c r="AB9" s="20">
        <f>AB13*0.369872</f>
        <v/>
      </c>
      <c r="AC9" s="20">
        <f>AC13*0.369872</f>
        <v/>
      </c>
      <c r="AD9" s="20">
        <f>AD13*0.369872</f>
        <v/>
      </c>
      <c r="AE9" s="20">
        <f>AE13*0.369872</f>
        <v/>
      </c>
      <c r="AF9" s="20">
        <f>AF13*0.369872</f>
        <v/>
      </c>
      <c r="AG9" s="20">
        <f>AG13*0.369872</f>
        <v/>
      </c>
      <c r="AH9" s="20">
        <f>AH13*0.369872</f>
        <v/>
      </c>
      <c r="AI9" s="20">
        <f>AI13*0.369872</f>
        <v/>
      </c>
      <c r="AJ9" s="20">
        <f>AJ13*0.369872</f>
        <v/>
      </c>
      <c r="AK9" s="20">
        <f>AK13*0.369872</f>
        <v/>
      </c>
      <c r="AL9" s="20">
        <f>AL13*0.369872</f>
        <v/>
      </c>
      <c r="AM9" s="20">
        <f>AM13*0.369872</f>
        <v/>
      </c>
      <c r="AN9" s="20">
        <f>AN13*0.369872</f>
        <v/>
      </c>
      <c r="AO9" s="20">
        <f>AO13*0.369872</f>
        <v/>
      </c>
      <c r="AP9" s="20">
        <f>AP13*0.369872</f>
        <v/>
      </c>
      <c r="AQ9" s="20">
        <f>AQ13*0.369872</f>
        <v/>
      </c>
      <c r="AR9" s="20">
        <f>AR13*0.369872</f>
        <v/>
      </c>
      <c r="AS9" s="20">
        <f>AS13*0.369872</f>
        <v/>
      </c>
      <c r="AT9" s="20">
        <f>AT13*0.369872</f>
        <v/>
      </c>
      <c r="AU9" s="20">
        <f>AU13*0.369872</f>
        <v/>
      </c>
      <c r="AV9" s="20">
        <f>AV13*0.369872</f>
        <v/>
      </c>
      <c r="AW9" s="20">
        <f>AW13*0.369872</f>
        <v/>
      </c>
      <c r="AX9" s="20">
        <f>AX13*0.369872</f>
        <v/>
      </c>
      <c r="AY9" s="20">
        <f>AY13*0.369872</f>
        <v/>
      </c>
      <c r="BA9" s="288">
        <f>SUM(I9:T9)</f>
        <v/>
      </c>
      <c r="BB9" s="274">
        <f>BA9/$BA$21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320</v>
      </c>
      <c r="I10" s="19" t="n">
        <v>895.83</v>
      </c>
      <c r="J10" s="19" t="n">
        <v>2075.83</v>
      </c>
      <c r="K10" s="19" t="n">
        <v>1197.5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12431.67</v>
      </c>
      <c r="Q10" s="19" t="n">
        <v>0</v>
      </c>
      <c r="R10" s="19" t="n">
        <v>0</v>
      </c>
      <c r="S10" s="19" t="n">
        <v>0</v>
      </c>
      <c r="T10" s="83" t="n">
        <v>0</v>
      </c>
      <c r="U10" s="83" t="n">
        <v>0</v>
      </c>
      <c r="V10" s="83" t="n">
        <v>0</v>
      </c>
      <c r="W10" s="20">
        <f>W13*0.057269</f>
        <v/>
      </c>
      <c r="X10" s="20">
        <f>X13*0.057269</f>
        <v/>
      </c>
      <c r="Y10" s="20">
        <f>Y13*0.057269</f>
        <v/>
      </c>
      <c r="Z10" s="20">
        <f>Z13*0.057269</f>
        <v/>
      </c>
      <c r="AA10" s="20">
        <f>AA13*0.057269</f>
        <v/>
      </c>
      <c r="AB10" s="20">
        <f>AB13*0.057269</f>
        <v/>
      </c>
      <c r="AC10" s="20">
        <f>AC13*0.057269</f>
        <v/>
      </c>
      <c r="AD10" s="20">
        <f>AD13*0.057269</f>
        <v/>
      </c>
      <c r="AE10" s="20">
        <f>AE13*0.057269</f>
        <v/>
      </c>
      <c r="AF10" s="20">
        <f>AF13*0.057269</f>
        <v/>
      </c>
      <c r="AG10" s="20">
        <f>AG13*0.057269</f>
        <v/>
      </c>
      <c r="AH10" s="20">
        <f>AH13*0.057269</f>
        <v/>
      </c>
      <c r="AI10" s="20">
        <f>AI13*0.057269</f>
        <v/>
      </c>
      <c r="AJ10" s="20">
        <f>AJ13*0.057269</f>
        <v/>
      </c>
      <c r="AK10" s="20">
        <f>AK13*0.057269</f>
        <v/>
      </c>
      <c r="AL10" s="20">
        <f>AL13*0.057269</f>
        <v/>
      </c>
      <c r="AM10" s="20">
        <f>AM13*0.057269</f>
        <v/>
      </c>
      <c r="AN10" s="20">
        <f>AN13*0.057269</f>
        <v/>
      </c>
      <c r="AO10" s="20">
        <f>AO13*0.057269</f>
        <v/>
      </c>
      <c r="AP10" s="20">
        <f>AP13*0.057269</f>
        <v/>
      </c>
      <c r="AQ10" s="20">
        <f>AQ13*0.057269</f>
        <v/>
      </c>
      <c r="AR10" s="20">
        <f>AR13*0.057269</f>
        <v/>
      </c>
      <c r="AS10" s="20">
        <f>AS13*0.057269</f>
        <v/>
      </c>
      <c r="AT10" s="20">
        <f>AT13*0.057269</f>
        <v/>
      </c>
      <c r="AU10" s="20">
        <f>AU13*0.057269</f>
        <v/>
      </c>
      <c r="AV10" s="20">
        <f>AV13*0.057269</f>
        <v/>
      </c>
      <c r="AW10" s="20">
        <f>AW13*0.057269</f>
        <v/>
      </c>
      <c r="AX10" s="20">
        <f>AX13*0.057269</f>
        <v/>
      </c>
      <c r="AY10" s="20">
        <f>AY13*0.057269</f>
        <v/>
      </c>
      <c r="BA10" s="288">
        <f>SUM(I10:T10)</f>
        <v/>
      </c>
      <c r="BB10" s="274">
        <f>BA10/$BA$21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1.07</v>
      </c>
      <c r="F11" s="19" t="n">
        <v>31.48</v>
      </c>
      <c r="G11" s="19" t="n">
        <v>21.6</v>
      </c>
      <c r="H11" s="19" t="n">
        <v>36.23</v>
      </c>
      <c r="I11" s="19" t="n">
        <v>335.49</v>
      </c>
      <c r="J11" s="19" t="n">
        <v>75.38</v>
      </c>
      <c r="K11" s="19" t="n">
        <v>84.73</v>
      </c>
      <c r="L11" s="19" t="n">
        <v>96.98999999999999</v>
      </c>
      <c r="M11" s="19" t="n">
        <v>109.26</v>
      </c>
      <c r="N11" s="19" t="n">
        <v>109.35</v>
      </c>
      <c r="O11" s="19" t="n">
        <v>142.01</v>
      </c>
      <c r="P11" s="19" t="n">
        <v>216.27</v>
      </c>
      <c r="Q11" s="19" t="n">
        <v>192.87</v>
      </c>
      <c r="R11" s="19" t="n">
        <v>101.04</v>
      </c>
      <c r="S11" s="19" t="n">
        <v>50.61</v>
      </c>
      <c r="T11" s="83" t="n">
        <v>44.1</v>
      </c>
      <c r="U11" s="83" t="n">
        <v>25.75</v>
      </c>
      <c r="V11" s="83" t="n">
        <v>19.56</v>
      </c>
      <c r="W11" s="20">
        <f>W13*0.001631</f>
        <v/>
      </c>
      <c r="X11" s="20">
        <f>X13*0.001631</f>
        <v/>
      </c>
      <c r="Y11" s="20">
        <f>Y13*0.001631</f>
        <v/>
      </c>
      <c r="Z11" s="20">
        <f>Z13*0.001631</f>
        <v/>
      </c>
      <c r="AA11" s="20">
        <f>AA13*0.001631</f>
        <v/>
      </c>
      <c r="AB11" s="20">
        <f>AB13*0.001631</f>
        <v/>
      </c>
      <c r="AC11" s="20">
        <f>AC13*0.001631</f>
        <v/>
      </c>
      <c r="AD11" s="20">
        <f>AD13*0.001631</f>
        <v/>
      </c>
      <c r="AE11" s="20">
        <f>AE13*0.001631</f>
        <v/>
      </c>
      <c r="AF11" s="20">
        <f>AF13*0.001631</f>
        <v/>
      </c>
      <c r="AG11" s="20">
        <f>AG13*0.001631</f>
        <v/>
      </c>
      <c r="AH11" s="20">
        <f>AH13*0.001631</f>
        <v/>
      </c>
      <c r="AI11" s="20">
        <f>AI13*0.001631</f>
        <v/>
      </c>
      <c r="AJ11" s="20">
        <f>AJ13*0.001631</f>
        <v/>
      </c>
      <c r="AK11" s="20">
        <f>AK13*0.001631</f>
        <v/>
      </c>
      <c r="AL11" s="20">
        <f>AL13*0.001631</f>
        <v/>
      </c>
      <c r="AM11" s="20">
        <f>AM13*0.001631</f>
        <v/>
      </c>
      <c r="AN11" s="20">
        <f>AN13*0.001631</f>
        <v/>
      </c>
      <c r="AO11" s="20">
        <f>AO13*0.001631</f>
        <v/>
      </c>
      <c r="AP11" s="20">
        <f>AP13*0.001631</f>
        <v/>
      </c>
      <c r="AQ11" s="20">
        <f>AQ13*0.001631</f>
        <v/>
      </c>
      <c r="AR11" s="20">
        <f>AR13*0.001631</f>
        <v/>
      </c>
      <c r="AS11" s="20">
        <f>AS13*0.001631</f>
        <v/>
      </c>
      <c r="AT11" s="20">
        <f>AT13*0.001631</f>
        <v/>
      </c>
      <c r="AU11" s="20">
        <f>AU13*0.001631</f>
        <v/>
      </c>
      <c r="AV11" s="20">
        <f>AV13*0.001631</f>
        <v/>
      </c>
      <c r="AW11" s="20">
        <f>AW13*0.001631</f>
        <v/>
      </c>
      <c r="AX11" s="20">
        <f>AX13*0.001631</f>
        <v/>
      </c>
      <c r="AY11" s="20">
        <f>AY13*0.001631</f>
        <v/>
      </c>
      <c r="BA11" s="288">
        <f>SUM(I11:T11)</f>
        <v/>
      </c>
      <c r="BB11" s="274">
        <f>BA11/$BA$21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52.54</v>
      </c>
      <c r="G12" s="19" t="n">
        <v>1318.76</v>
      </c>
      <c r="H12" s="19" t="n">
        <v>1389.69</v>
      </c>
      <c r="I12" s="19" t="n">
        <v>1132.24</v>
      </c>
      <c r="J12" s="19" t="n">
        <v>1266.22</v>
      </c>
      <c r="K12" s="19" t="n">
        <v>1450.11</v>
      </c>
      <c r="L12" s="19" t="n">
        <v>1875.71</v>
      </c>
      <c r="M12" s="19" t="n">
        <v>1523.66</v>
      </c>
      <c r="N12" s="19" t="n">
        <v>1113.88</v>
      </c>
      <c r="O12" s="19" t="n">
        <v>1542.05</v>
      </c>
      <c r="P12" s="19" t="n">
        <v>1471.12</v>
      </c>
      <c r="Q12" s="19" t="n">
        <v>1444.85</v>
      </c>
      <c r="R12" s="19" t="n">
        <v>2219.85</v>
      </c>
      <c r="S12" s="19" t="n">
        <v>1852.04</v>
      </c>
      <c r="T12" s="83" t="n">
        <v>1429.15</v>
      </c>
      <c r="U12" s="83" t="n">
        <v>1875.71</v>
      </c>
      <c r="V12" s="83" t="n">
        <v>1095.46</v>
      </c>
      <c r="W12" s="20">
        <f>W13*0.020322</f>
        <v/>
      </c>
      <c r="X12" s="20">
        <f>X13*0.020322</f>
        <v/>
      </c>
      <c r="Y12" s="20">
        <f>Y13*0.020322</f>
        <v/>
      </c>
      <c r="Z12" s="20">
        <f>Z13*0.020322</f>
        <v/>
      </c>
      <c r="AA12" s="20">
        <f>AA13*0.020322</f>
        <v/>
      </c>
      <c r="AB12" s="20">
        <f>AB13*0.020322</f>
        <v/>
      </c>
      <c r="AC12" s="20">
        <f>AC13*0.020322</f>
        <v/>
      </c>
      <c r="AD12" s="20">
        <f>AD13*0.020322</f>
        <v/>
      </c>
      <c r="AE12" s="20">
        <f>AE13*0.020322</f>
        <v/>
      </c>
      <c r="AF12" s="20">
        <f>AF13*0.020322</f>
        <v/>
      </c>
      <c r="AG12" s="20">
        <f>AG13*0.020322</f>
        <v/>
      </c>
      <c r="AH12" s="20">
        <f>AH13*0.020322</f>
        <v/>
      </c>
      <c r="AI12" s="20">
        <f>AI13*0.020322</f>
        <v/>
      </c>
      <c r="AJ12" s="20">
        <f>AJ13*0.020322</f>
        <v/>
      </c>
      <c r="AK12" s="20">
        <f>AK13*0.020322</f>
        <v/>
      </c>
      <c r="AL12" s="20">
        <f>AL13*0.020322</f>
        <v/>
      </c>
      <c r="AM12" s="20">
        <f>AM13*0.020322</f>
        <v/>
      </c>
      <c r="AN12" s="20">
        <f>AN13*0.020322</f>
        <v/>
      </c>
      <c r="AO12" s="20">
        <f>AO13*0.020322</f>
        <v/>
      </c>
      <c r="AP12" s="20">
        <f>AP13*0.020322</f>
        <v/>
      </c>
      <c r="AQ12" s="20">
        <f>AQ13*0.020322</f>
        <v/>
      </c>
      <c r="AR12" s="20">
        <f>AR13*0.020322</f>
        <v/>
      </c>
      <c r="AS12" s="20">
        <f>AS13*0.020322</f>
        <v/>
      </c>
      <c r="AT12" s="20">
        <f>AT13*0.020322</f>
        <v/>
      </c>
      <c r="AU12" s="20">
        <f>AU13*0.020322</f>
        <v/>
      </c>
      <c r="AV12" s="20">
        <f>AV13*0.020322</f>
        <v/>
      </c>
      <c r="AW12" s="20">
        <f>AW13*0.020322</f>
        <v/>
      </c>
      <c r="AX12" s="20">
        <f>AX13*0.020322</f>
        <v/>
      </c>
      <c r="AY12" s="20">
        <f>AY13*0.020322</f>
        <v/>
      </c>
      <c r="BA12" s="288">
        <f>SUM(I12:T12)</f>
        <v/>
      </c>
      <c r="BB12" s="274">
        <f>BA12/$BA$21</f>
        <v/>
      </c>
    </row>
    <row r="13">
      <c r="B13" s="32" t="inlineStr">
        <is>
          <t>Total Sessions</t>
        </is>
      </c>
      <c r="C13" s="34" t="n"/>
      <c r="D13" s="35">
        <f>SUM(D7:D12)</f>
        <v/>
      </c>
      <c r="E13" s="35">
        <f>SUM(E7:E12)</f>
        <v/>
      </c>
      <c r="F13" s="35">
        <f>SUM(F7:F12)</f>
        <v/>
      </c>
      <c r="G13" s="35">
        <f>SUM(G7:G12)</f>
        <v/>
      </c>
      <c r="H13" s="35">
        <f>SUM(H7:H12)</f>
        <v/>
      </c>
      <c r="I13" s="35">
        <f>SUM(I7:I12)</f>
        <v/>
      </c>
      <c r="J13" s="35">
        <f>SUM(J7:J12)</f>
        <v/>
      </c>
      <c r="K13" s="35">
        <f>SUM(K7:K12)</f>
        <v/>
      </c>
      <c r="L13" s="35">
        <f>SUM(L7:L12)</f>
        <v/>
      </c>
      <c r="M13" s="35">
        <f>SUM(M7:M12)</f>
        <v/>
      </c>
      <c r="N13" s="35">
        <f>SUM(N7:N12)</f>
        <v/>
      </c>
      <c r="O13" s="35">
        <f>SUM(O7:O12)</f>
        <v/>
      </c>
      <c r="P13" s="35">
        <f>P7+P8+P9+P10+P11+P12</f>
        <v/>
      </c>
      <c r="Q13" s="35">
        <f>Q7+Q8+Q9+Q10+Q11+Q12</f>
        <v/>
      </c>
      <c r="R13" s="35">
        <f>R7+R8+R9+R10+R11+R12</f>
        <v/>
      </c>
      <c r="S13" s="35">
        <f>S7+S8+S9+S10+S11+S12</f>
        <v/>
      </c>
      <c r="T13" s="84">
        <f>T7+T8+T9+T10+T11+T12</f>
        <v/>
      </c>
      <c r="U13" s="84">
        <f>U7+U8+U9+U10+U11+U12</f>
        <v/>
      </c>
      <c r="V13" s="84">
        <f>V7+V8+V9+V10+V11+V12</f>
        <v/>
      </c>
      <c r="W13" s="17">
        <f>'Sales Forecast'!W13*Assumptions!$C$12+'Sales Forecast'!V13*Assumptions!$D$12+'Sales Forecast'!U13*Assumptions!$E$12+'Sales Forecast'!T13*Assumptions!$F$12+'Sales Forecast'!S13*Assumptions!$G$12+'Sales Forecast'!R13*Assumptions!$H$12+'Sales Forecast'!Q13*Assumptions!$I$12</f>
        <v/>
      </c>
      <c r="X13" s="17">
        <f>'Sales Forecast'!X13*Assumptions!$C$12+'Sales Forecast'!W13*Assumptions!$D$12+'Sales Forecast'!V13*Assumptions!$E$12+'Sales Forecast'!U13*Assumptions!$F$12+'Sales Forecast'!T13*Assumptions!$G$12+'Sales Forecast'!S13*Assumptions!$H$12+'Sales Forecast'!R13*Assumptions!$I$12</f>
        <v/>
      </c>
      <c r="Y13" s="17">
        <f>'Sales Forecast'!Y13*Assumptions!$C$12+'Sales Forecast'!X13*Assumptions!$D$12+'Sales Forecast'!W13*Assumptions!$E$12+'Sales Forecast'!V13*Assumptions!$F$12+'Sales Forecast'!U13*Assumptions!$G$12+'Sales Forecast'!T13*Assumptions!$H$12+'Sales Forecast'!S13*Assumptions!$I$12</f>
        <v/>
      </c>
      <c r="Z13" s="17">
        <f>'Sales Forecast'!Z13*Assumptions!$C$12+'Sales Forecast'!Y13*Assumptions!$D$12+'Sales Forecast'!X13*Assumptions!$E$12+'Sales Forecast'!W13*Assumptions!$F$12+'Sales Forecast'!V13*Assumptions!$G$12+'Sales Forecast'!U13*Assumptions!$H$12+'Sales Forecast'!T13*Assumptions!$I$12</f>
        <v/>
      </c>
      <c r="AA13" s="17">
        <f>'Sales Forecast'!AA13*Assumptions!$C$12+'Sales Forecast'!Z13*Assumptions!$D$12+'Sales Forecast'!Y13*Assumptions!$E$12+'Sales Forecast'!X13*Assumptions!$F$12+'Sales Forecast'!W13*Assumptions!$G$12+'Sales Forecast'!V13*Assumptions!$H$12+'Sales Forecast'!U13*Assumptions!$I$12</f>
        <v/>
      </c>
      <c r="AB13" s="17">
        <f>'Sales Forecast'!AB13*Assumptions!$C$12+'Sales Forecast'!AA13*Assumptions!$D$12+'Sales Forecast'!Z13*Assumptions!$E$12+'Sales Forecast'!Y13*Assumptions!$F$12+'Sales Forecast'!X13*Assumptions!$G$12+'Sales Forecast'!W13*Assumptions!$H$12+'Sales Forecast'!V13*Assumptions!$I$12</f>
        <v/>
      </c>
      <c r="AC13" s="17">
        <f>'Sales Forecast'!AC13*Assumptions!$C$12+'Sales Forecast'!AB13*Assumptions!$D$12+'Sales Forecast'!AA13*Assumptions!$E$12+'Sales Forecast'!Z13*Assumptions!$F$12+'Sales Forecast'!Y13*Assumptions!$G$12+'Sales Forecast'!X13*Assumptions!$H$12+'Sales Forecast'!W13*Assumptions!$I$12</f>
        <v/>
      </c>
      <c r="AD13" s="17">
        <f>'Sales Forecast'!AD13*Assumptions!$C$12+'Sales Forecast'!AC13*Assumptions!$D$12+'Sales Forecast'!AB13*Assumptions!$E$12+'Sales Forecast'!AA13*Assumptions!$F$12+'Sales Forecast'!Z13*Assumptions!$G$12+'Sales Forecast'!Y13*Assumptions!$H$12+'Sales Forecast'!X13*Assumptions!$I$12</f>
        <v/>
      </c>
      <c r="AE13" s="17">
        <f>'Sales Forecast'!AE13*Assumptions!$C$12+'Sales Forecast'!AD13*Assumptions!$D$12+'Sales Forecast'!AC13*Assumptions!$E$12+'Sales Forecast'!AB13*Assumptions!$F$12+'Sales Forecast'!AA13*Assumptions!$G$12+'Sales Forecast'!Z13*Assumptions!$H$12+'Sales Forecast'!Y13*Assumptions!$I$12</f>
        <v/>
      </c>
      <c r="AF13" s="17">
        <f>'Sales Forecast'!AF13*Assumptions!$C$12+'Sales Forecast'!AE13*Assumptions!$D$12+'Sales Forecast'!AD13*Assumptions!$E$12+'Sales Forecast'!AC13*Assumptions!$F$12+'Sales Forecast'!AB13*Assumptions!$G$12+'Sales Forecast'!AA13*Assumptions!$H$12+'Sales Forecast'!Z13*Assumptions!$I$12</f>
        <v/>
      </c>
      <c r="AG13" s="17">
        <f>'Sales Forecast'!AG13*Assumptions!$C$12+'Sales Forecast'!AF13*Assumptions!$D$12+'Sales Forecast'!AE13*Assumptions!$E$12+'Sales Forecast'!AD13*Assumptions!$F$12+'Sales Forecast'!AC13*Assumptions!$G$12+'Sales Forecast'!AB13*Assumptions!$H$12+'Sales Forecast'!AA13*Assumptions!$I$12</f>
        <v/>
      </c>
      <c r="AH13" s="17">
        <f>'Sales Forecast'!AH13*Assumptions!$C$12+'Sales Forecast'!AG13*Assumptions!$D$12+'Sales Forecast'!AF13*Assumptions!$E$12+'Sales Forecast'!AE13*Assumptions!$F$12+'Sales Forecast'!AD13*Assumptions!$G$12+'Sales Forecast'!AC13*Assumptions!$H$12+'Sales Forecast'!AB13*Assumptions!$I$12</f>
        <v/>
      </c>
      <c r="AI13" s="17">
        <f>'Sales Forecast'!AI13*Assumptions!$C$12+'Sales Forecast'!AH13*Assumptions!$D$12+'Sales Forecast'!AG13*Assumptions!$E$12+'Sales Forecast'!AF13*Assumptions!$F$12+'Sales Forecast'!AE13*Assumptions!$G$12+'Sales Forecast'!AD13*Assumptions!$H$12+'Sales Forecast'!AC13*Assumptions!$I$12</f>
        <v/>
      </c>
      <c r="AJ13" s="17">
        <f>'Sales Forecast'!AJ13*Assumptions!$C$12+'Sales Forecast'!AI13*Assumptions!$D$12+'Sales Forecast'!AH13*Assumptions!$E$12+'Sales Forecast'!AG13*Assumptions!$F$12+'Sales Forecast'!AF13*Assumptions!$G$12+'Sales Forecast'!AE13*Assumptions!$H$12+'Sales Forecast'!AD13*Assumptions!$I$12</f>
        <v/>
      </c>
      <c r="AK13" s="17">
        <f>'Sales Forecast'!AK13*Assumptions!$C$12+'Sales Forecast'!AJ13*Assumptions!$D$12+'Sales Forecast'!AI13*Assumptions!$E$12+'Sales Forecast'!AH13*Assumptions!$F$12+'Sales Forecast'!AG13*Assumptions!$G$12+'Sales Forecast'!AF13*Assumptions!$H$12+'Sales Forecast'!AE13*Assumptions!$I$12</f>
        <v/>
      </c>
      <c r="AL13" s="17">
        <f>'Sales Forecast'!AL13*Assumptions!$C$12+'Sales Forecast'!AK13*Assumptions!$D$12+'Sales Forecast'!AJ13*Assumptions!$E$12+'Sales Forecast'!AI13*Assumptions!$F$12+'Sales Forecast'!AH13*Assumptions!$G$12+'Sales Forecast'!AG13*Assumptions!$H$12+'Sales Forecast'!AF13*Assumptions!$I$12</f>
        <v/>
      </c>
      <c r="AM13" s="17">
        <f>'Sales Forecast'!AM13*Assumptions!$C$12+'Sales Forecast'!AL13*Assumptions!$D$12+'Sales Forecast'!AK13*Assumptions!$E$12+'Sales Forecast'!AJ13*Assumptions!$F$12+'Sales Forecast'!AI13*Assumptions!$G$12+'Sales Forecast'!AH13*Assumptions!$H$12+'Sales Forecast'!AG13*Assumptions!$I$12</f>
        <v/>
      </c>
      <c r="AN13" s="17">
        <f>'Sales Forecast'!AN13*Assumptions!$C$12+'Sales Forecast'!AM13*Assumptions!$D$12+'Sales Forecast'!AL13*Assumptions!$E$12+'Sales Forecast'!AK13*Assumptions!$F$12+'Sales Forecast'!AJ13*Assumptions!$G$12+'Sales Forecast'!AI13*Assumptions!$H$12+'Sales Forecast'!AH13*Assumptions!$I$12</f>
        <v/>
      </c>
      <c r="AO13" s="17">
        <f>'Sales Forecast'!AO13*Assumptions!$C$12+'Sales Forecast'!AN13*Assumptions!$D$12+'Sales Forecast'!AM13*Assumptions!$E$12+'Sales Forecast'!AL13*Assumptions!$F$12+'Sales Forecast'!AK13*Assumptions!$G$12+'Sales Forecast'!AJ13*Assumptions!$H$12+'Sales Forecast'!AI13*Assumptions!$I$12</f>
        <v/>
      </c>
      <c r="AP13" s="17">
        <f>'Sales Forecast'!AP13*Assumptions!$C$12+'Sales Forecast'!AO13*Assumptions!$D$12+'Sales Forecast'!AN13*Assumptions!$E$12+'Sales Forecast'!AM13*Assumptions!$F$12+'Sales Forecast'!AL13*Assumptions!$G$12+'Sales Forecast'!AK13*Assumptions!$H$12+'Sales Forecast'!AJ13*Assumptions!$I$12</f>
        <v/>
      </c>
      <c r="AQ13" s="17">
        <f>'Sales Forecast'!AQ13*Assumptions!$C$12+'Sales Forecast'!AP13*Assumptions!$D$12+'Sales Forecast'!AO13*Assumptions!$E$12+'Sales Forecast'!AN13*Assumptions!$F$12+'Sales Forecast'!AM13*Assumptions!$G$12+'Sales Forecast'!AL13*Assumptions!$H$12+'Sales Forecast'!AK13*Assumptions!$I$12</f>
        <v/>
      </c>
      <c r="AR13" s="17">
        <f>'Sales Forecast'!AR13*Assumptions!$C$12+'Sales Forecast'!AQ13*Assumptions!$D$12+'Sales Forecast'!AP13*Assumptions!$E$12+'Sales Forecast'!AO13*Assumptions!$F$12+'Sales Forecast'!AN13*Assumptions!$G$12+'Sales Forecast'!AM13*Assumptions!$H$12+'Sales Forecast'!AL13*Assumptions!$I$12</f>
        <v/>
      </c>
      <c r="AS13" s="17">
        <f>'Sales Forecast'!AS13*Assumptions!$C$12+'Sales Forecast'!AR13*Assumptions!$D$12+'Sales Forecast'!AQ13*Assumptions!$E$12+'Sales Forecast'!AP13*Assumptions!$F$12+'Sales Forecast'!AO13*Assumptions!$G$12+'Sales Forecast'!AN13*Assumptions!$H$12+'Sales Forecast'!AM13*Assumptions!$I$12</f>
        <v/>
      </c>
      <c r="AT13" s="17">
        <f>'Sales Forecast'!AT13*Assumptions!$C$12+'Sales Forecast'!AS13*Assumptions!$D$12+'Sales Forecast'!AR13*Assumptions!$E$12+'Sales Forecast'!AQ13*Assumptions!$F$12+'Sales Forecast'!AP13*Assumptions!$G$12+'Sales Forecast'!AO13*Assumptions!$H$12+'Sales Forecast'!AN13*Assumptions!$I$12</f>
        <v/>
      </c>
      <c r="AU13" s="17">
        <f>'Sales Forecast'!AU13*Assumptions!$C$12+'Sales Forecast'!AT13*Assumptions!$D$12+'Sales Forecast'!AS13*Assumptions!$E$12+'Sales Forecast'!AR13*Assumptions!$F$12+'Sales Forecast'!AQ13*Assumptions!$G$12+'Sales Forecast'!AP13*Assumptions!$H$12+'Sales Forecast'!AO13*Assumptions!$I$12</f>
        <v/>
      </c>
      <c r="AV13" s="17">
        <f>'Sales Forecast'!AV13*Assumptions!$C$12+'Sales Forecast'!AU13*Assumptions!$D$12+'Sales Forecast'!AT13*Assumptions!$E$12+'Sales Forecast'!AS13*Assumptions!$F$12+'Sales Forecast'!AR13*Assumptions!$G$12+'Sales Forecast'!AQ13*Assumptions!$H$12+'Sales Forecast'!AP13*Assumptions!$I$12</f>
        <v/>
      </c>
      <c r="AW13" s="17">
        <f>'Sales Forecast'!AW13*Assumptions!$C$12+'Sales Forecast'!AV13*Assumptions!$D$12+'Sales Forecast'!AU13*Assumptions!$E$12+'Sales Forecast'!AT13*Assumptions!$F$12+'Sales Forecast'!AS13*Assumptions!$G$12+'Sales Forecast'!AR13*Assumptions!$H$12+'Sales Forecast'!AQ13*Assumptions!$I$12</f>
        <v/>
      </c>
      <c r="AX13" s="17">
        <f>'Sales Forecast'!AX13*Assumptions!$C$12+'Sales Forecast'!AW13*Assumptions!$D$12+'Sales Forecast'!AV13*Assumptions!$E$12+'Sales Forecast'!AU13*Assumptions!$F$12+'Sales Forecast'!AT13*Assumptions!$G$12+'Sales Forecast'!AS13*Assumptions!$H$12+'Sales Forecast'!AR13*Assumptions!$I$12</f>
        <v/>
      </c>
      <c r="AY13" s="17">
        <f>'Sales Forecast'!AY13*Assumptions!$C$12+'Sales Forecast'!AX13*Assumptions!$D$12+'Sales Forecast'!AW13*Assumptions!$E$12+'Sales Forecast'!AV13*Assumptions!$F$12+'Sales Forecast'!AU13*Assumptions!$G$12+'Sales Forecast'!AT13*Assumptions!$H$12+'Sales Forecast'!AS13*Assumptions!$I$12</f>
        <v/>
      </c>
      <c r="BA13" s="288" t="n"/>
    </row>
    <row r="14">
      <c r="B14" s="33" t="inlineStr">
        <is>
          <t xml:space="preserve">  403001 Machine Breakage</t>
        </is>
      </c>
      <c r="D14" s="19" t="n">
        <v>441</v>
      </c>
      <c r="E14" s="19" t="n">
        <v>1214.33</v>
      </c>
      <c r="F14" s="19" t="n">
        <v>4505.3</v>
      </c>
      <c r="G14" s="19" t="n">
        <v>7182.11</v>
      </c>
      <c r="H14" s="19" t="n">
        <v>15494.36</v>
      </c>
      <c r="I14" s="19" t="n">
        <v>10148.57</v>
      </c>
      <c r="J14" s="19" t="n">
        <v>9132.299999999999</v>
      </c>
      <c r="K14" s="19" t="n">
        <v>11937.13</v>
      </c>
      <c r="L14" s="19" t="n">
        <v>18860.57</v>
      </c>
      <c r="M14" s="19" t="n">
        <v>10262.21</v>
      </c>
      <c r="N14" s="19" t="n">
        <v>14434.12</v>
      </c>
      <c r="O14" s="19" t="n">
        <v>20663.05</v>
      </c>
      <c r="P14" s="19" t="n">
        <v>8791.27</v>
      </c>
      <c r="Q14" s="19" t="n">
        <v>11486.72</v>
      </c>
      <c r="R14" s="19" t="n">
        <v>9206.629999999999</v>
      </c>
      <c r="S14" s="19" t="n">
        <v>9868.809999999999</v>
      </c>
      <c r="T14" s="83" t="n">
        <v>11274.13</v>
      </c>
      <c r="U14" s="83" t="n">
        <v>10143.3</v>
      </c>
      <c r="V14" s="83" t="n">
        <v>12363.22</v>
      </c>
      <c r="W14" s="20">
        <f>W17*0.959116</f>
        <v/>
      </c>
      <c r="X14" s="20">
        <f>X17*0.959116</f>
        <v/>
      </c>
      <c r="Y14" s="20">
        <f>Y17*0.959116</f>
        <v/>
      </c>
      <c r="Z14" s="20">
        <f>Z17*0.959116</f>
        <v/>
      </c>
      <c r="AA14" s="20">
        <f>AA17*0.959116</f>
        <v/>
      </c>
      <c r="AB14" s="20">
        <f>AB17*0.959116</f>
        <v/>
      </c>
      <c r="AC14" s="20">
        <f>AC17*0.959116</f>
        <v/>
      </c>
      <c r="AD14" s="20">
        <f>AD17*0.959116</f>
        <v/>
      </c>
      <c r="AE14" s="20">
        <f>AE17*0.959116</f>
        <v/>
      </c>
      <c r="AF14" s="20">
        <f>AF17*0.959116</f>
        <v/>
      </c>
      <c r="AG14" s="20">
        <f>AG17*0.959116</f>
        <v/>
      </c>
      <c r="AH14" s="20">
        <f>AH17*0.959116</f>
        <v/>
      </c>
      <c r="AI14" s="20">
        <f>AI17*0.959116</f>
        <v/>
      </c>
      <c r="AJ14" s="20">
        <f>AJ17*0.959116</f>
        <v/>
      </c>
      <c r="AK14" s="20">
        <f>AK17*0.959116</f>
        <v/>
      </c>
      <c r="AL14" s="20">
        <f>AL17*0.959116</f>
        <v/>
      </c>
      <c r="AM14" s="20">
        <f>AM17*0.959116</f>
        <v/>
      </c>
      <c r="AN14" s="20">
        <f>AN17*0.959116</f>
        <v/>
      </c>
      <c r="AO14" s="20">
        <f>AO17*0.959116</f>
        <v/>
      </c>
      <c r="AP14" s="20">
        <f>AP17*0.959116</f>
        <v/>
      </c>
      <c r="AQ14" s="20">
        <f>AQ17*0.959116</f>
        <v/>
      </c>
      <c r="AR14" s="20">
        <f>AR17*0.959116</f>
        <v/>
      </c>
      <c r="AS14" s="20">
        <f>AS17*0.959116</f>
        <v/>
      </c>
      <c r="AT14" s="20">
        <f>AT17*0.959116</f>
        <v/>
      </c>
      <c r="AU14" s="20">
        <f>AU17*0.959116</f>
        <v/>
      </c>
      <c r="AV14" s="20">
        <f>AV17*0.959116</f>
        <v/>
      </c>
      <c r="AW14" s="20">
        <f>AW17*0.959116</f>
        <v/>
      </c>
      <c r="AX14" s="20">
        <f>AX17*0.959116</f>
        <v/>
      </c>
      <c r="AY14" s="20">
        <f>AY17*0.959116</f>
        <v/>
      </c>
      <c r="BA14" s="288">
        <f>SUM(I14:T14)</f>
        <v/>
      </c>
      <c r="BB14" s="274">
        <f>BA14/$BA$21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525</v>
      </c>
      <c r="F15" s="19" t="n">
        <v>1647.33</v>
      </c>
      <c r="G15" s="19" t="n">
        <v>1265</v>
      </c>
      <c r="H15" s="19" t="n">
        <v>1528.33</v>
      </c>
      <c r="I15" s="19" t="n">
        <v>665</v>
      </c>
      <c r="J15" s="19" t="n">
        <v>564</v>
      </c>
      <c r="K15" s="19" t="n">
        <v>1175</v>
      </c>
      <c r="L15" s="19" t="n">
        <v>1312.5</v>
      </c>
      <c r="M15" s="19" t="n">
        <v>810</v>
      </c>
      <c r="N15" s="19" t="n">
        <v>96.67</v>
      </c>
      <c r="O15" s="19" t="n">
        <v>2882</v>
      </c>
      <c r="P15" s="19" t="n">
        <v>365</v>
      </c>
      <c r="Q15" s="19" t="n">
        <v>450</v>
      </c>
      <c r="R15" s="19" t="n">
        <v>412.5</v>
      </c>
      <c r="S15" s="19" t="n">
        <v>450</v>
      </c>
      <c r="T15" s="83" t="n">
        <v>2147</v>
      </c>
      <c r="U15" s="83" t="n">
        <v>582</v>
      </c>
      <c r="V15" s="83" t="n">
        <v>300</v>
      </c>
      <c r="W15" s="20">
        <f>W17*0.040884</f>
        <v/>
      </c>
      <c r="X15" s="20">
        <f>X17*0.040884</f>
        <v/>
      </c>
      <c r="Y15" s="20">
        <f>Y17*0.040884</f>
        <v/>
      </c>
      <c r="Z15" s="20">
        <f>Z17*0.040884</f>
        <v/>
      </c>
      <c r="AA15" s="20">
        <f>AA17*0.040884</f>
        <v/>
      </c>
      <c r="AB15" s="20">
        <f>AB17*0.040884</f>
        <v/>
      </c>
      <c r="AC15" s="20">
        <f>AC17*0.040884</f>
        <v/>
      </c>
      <c r="AD15" s="20">
        <f>AD17*0.040884</f>
        <v/>
      </c>
      <c r="AE15" s="20">
        <f>AE17*0.040884</f>
        <v/>
      </c>
      <c r="AF15" s="20">
        <f>AF17*0.040884</f>
        <v/>
      </c>
      <c r="AG15" s="20">
        <f>AG17*0.040884</f>
        <v/>
      </c>
      <c r="AH15" s="20">
        <f>AH17*0.040884</f>
        <v/>
      </c>
      <c r="AI15" s="20">
        <f>AI17*0.040884</f>
        <v/>
      </c>
      <c r="AJ15" s="20">
        <f>AJ17*0.040884</f>
        <v/>
      </c>
      <c r="AK15" s="20">
        <f>AK17*0.040884</f>
        <v/>
      </c>
      <c r="AL15" s="20">
        <f>AL17*0.040884</f>
        <v/>
      </c>
      <c r="AM15" s="20">
        <f>AM17*0.040884</f>
        <v/>
      </c>
      <c r="AN15" s="20">
        <f>AN17*0.040884</f>
        <v/>
      </c>
      <c r="AO15" s="20">
        <f>AO17*0.040884</f>
        <v/>
      </c>
      <c r="AP15" s="20">
        <f>AP17*0.040884</f>
        <v/>
      </c>
      <c r="AQ15" s="20">
        <f>AQ17*0.040884</f>
        <v/>
      </c>
      <c r="AR15" s="20">
        <f>AR17*0.040884</f>
        <v/>
      </c>
      <c r="AS15" s="20">
        <f>AS17*0.040884</f>
        <v/>
      </c>
      <c r="AT15" s="20">
        <f>AT17*0.040884</f>
        <v/>
      </c>
      <c r="AU15" s="20">
        <f>AU17*0.040884</f>
        <v/>
      </c>
      <c r="AV15" s="20">
        <f>AV17*0.040884</f>
        <v/>
      </c>
      <c r="AW15" s="20">
        <f>AW17*0.040884</f>
        <v/>
      </c>
      <c r="AX15" s="20">
        <f>AX17*0.040884</f>
        <v/>
      </c>
      <c r="AY15" s="20">
        <f>AY17*0.040884</f>
        <v/>
      </c>
      <c r="BA15" s="288">
        <f>SUM(I15:T15)</f>
        <v/>
      </c>
      <c r="BB15" s="274">
        <f>BA15/$BA$21</f>
        <v/>
      </c>
    </row>
    <row r="16">
      <c r="B16" s="33" t="inlineStr">
        <is>
          <t>403004 Other Breakage (incl MTT Breakage)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500</v>
      </c>
      <c r="N16" s="19" t="n">
        <v>0</v>
      </c>
      <c r="O16" s="19" t="n">
        <v>870.83</v>
      </c>
      <c r="P16" s="19" t="n">
        <v>0</v>
      </c>
      <c r="Q16" s="19" t="n">
        <v>0</v>
      </c>
      <c r="R16" s="19" t="n">
        <v>0</v>
      </c>
      <c r="S16" s="19" t="n">
        <v>0</v>
      </c>
      <c r="T16" s="83" t="n">
        <v>0</v>
      </c>
      <c r="U16" s="83" t="n">
        <v>0</v>
      </c>
      <c r="V16" s="83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  <c r="BA16" s="288">
        <f>SUM(I16:T16)</f>
        <v/>
      </c>
      <c r="BB16" s="274">
        <f>BA16/$BA$21</f>
        <v/>
      </c>
    </row>
    <row r="17">
      <c r="B17" s="32" t="inlineStr">
        <is>
          <t>Total Breakage Revenue</t>
        </is>
      </c>
      <c r="C17" s="34" t="n"/>
      <c r="D17" s="35">
        <f>SUM(D14:D16)</f>
        <v/>
      </c>
      <c r="E17" s="35">
        <f>SUM(E14:E16)</f>
        <v/>
      </c>
      <c r="F17" s="35">
        <f>SUM(F14:F16)</f>
        <v/>
      </c>
      <c r="G17" s="35">
        <f>SUM(G14:G16)</f>
        <v/>
      </c>
      <c r="H17" s="35">
        <f>SUM(H14:H16)</f>
        <v/>
      </c>
      <c r="I17" s="35">
        <f>SUM(I14:I16)</f>
        <v/>
      </c>
      <c r="J17" s="35">
        <f>SUM(J14:J16)</f>
        <v/>
      </c>
      <c r="K17" s="35">
        <f>SUM(K14:K16)</f>
        <v/>
      </c>
      <c r="L17" s="35">
        <f>SUM(L14:L16)</f>
        <v/>
      </c>
      <c r="M17" s="35">
        <f>SUM(M14:M16)</f>
        <v/>
      </c>
      <c r="N17" s="35">
        <f>SUM(N14:N16)</f>
        <v/>
      </c>
      <c r="O17" s="35">
        <f>SUM(O14:O16)</f>
        <v/>
      </c>
      <c r="P17" s="35">
        <f>P14+P15+P16</f>
        <v/>
      </c>
      <c r="Q17" s="35">
        <f>Q14+Q15+Q16</f>
        <v/>
      </c>
      <c r="R17" s="35">
        <f>R14+R15+R16</f>
        <v/>
      </c>
      <c r="S17" s="35">
        <f>S14+S15+S16</f>
        <v/>
      </c>
      <c r="T17" s="84">
        <f>T14+T15+T16</f>
        <v/>
      </c>
      <c r="U17" s="84">
        <f>U14+U15+U16</f>
        <v/>
      </c>
      <c r="V17" s="84">
        <f>V14+V15+V16</f>
        <v/>
      </c>
      <c r="W17" s="17">
        <f>'Sales Forecast'!W13*Assumptions!$C$13+'Sales Forecast'!V13*Assumptions!$D$13+'Sales Forecast'!U13*Assumptions!$E$13+'Sales Forecast'!T13*Assumptions!$F$13+'Sales Forecast'!S13*Assumptions!$G$13+'Sales Forecast'!R13*Assumptions!$H$13+'Sales Forecast'!Q13*Assumptions!$I$13</f>
        <v/>
      </c>
      <c r="X17" s="17">
        <f>'Sales Forecast'!X13*Assumptions!$C$13+'Sales Forecast'!W13*Assumptions!$D$13+'Sales Forecast'!V13*Assumptions!$E$13+'Sales Forecast'!U13*Assumptions!$F$13+'Sales Forecast'!T13*Assumptions!$G$13+'Sales Forecast'!S13*Assumptions!$H$13+'Sales Forecast'!R13*Assumptions!$I$13</f>
        <v/>
      </c>
      <c r="Y17" s="17">
        <f>'Sales Forecast'!Y13*Assumptions!$C$13+'Sales Forecast'!X13*Assumptions!$D$13+'Sales Forecast'!W13*Assumptions!$E$13+'Sales Forecast'!V13*Assumptions!$F$13+'Sales Forecast'!U13*Assumptions!$G$13+'Sales Forecast'!T13*Assumptions!$H$13+'Sales Forecast'!S13*Assumptions!$I$13</f>
        <v/>
      </c>
      <c r="Z17" s="17">
        <f>'Sales Forecast'!Z13*Assumptions!$C$13+'Sales Forecast'!Y13*Assumptions!$D$13+'Sales Forecast'!X13*Assumptions!$E$13+'Sales Forecast'!W13*Assumptions!$F$13+'Sales Forecast'!V13*Assumptions!$G$13+'Sales Forecast'!U13*Assumptions!$H$13+'Sales Forecast'!T13*Assumptions!$I$13</f>
        <v/>
      </c>
      <c r="AA17" s="17">
        <f>'Sales Forecast'!AA13*Assumptions!$C$13+'Sales Forecast'!Z13*Assumptions!$D$13+'Sales Forecast'!Y13*Assumptions!$E$13+'Sales Forecast'!X13*Assumptions!$F$13+'Sales Forecast'!W13*Assumptions!$G$13+'Sales Forecast'!V13*Assumptions!$H$13+'Sales Forecast'!U13*Assumptions!$I$13</f>
        <v/>
      </c>
      <c r="AB17" s="17">
        <f>'Sales Forecast'!AB13*Assumptions!$C$13+'Sales Forecast'!AA13*Assumptions!$D$13+'Sales Forecast'!Z13*Assumptions!$E$13+'Sales Forecast'!Y13*Assumptions!$F$13+'Sales Forecast'!X13*Assumptions!$G$13+'Sales Forecast'!W13*Assumptions!$H$13+'Sales Forecast'!V13*Assumptions!$I$13</f>
        <v/>
      </c>
      <c r="AC17" s="17">
        <f>'Sales Forecast'!AC13*Assumptions!$C$13+'Sales Forecast'!AB13*Assumptions!$D$13+'Sales Forecast'!AA13*Assumptions!$E$13+'Sales Forecast'!Z13*Assumptions!$F$13+'Sales Forecast'!Y13*Assumptions!$G$13+'Sales Forecast'!X13*Assumptions!$H$13+'Sales Forecast'!W13*Assumptions!$I$13</f>
        <v/>
      </c>
      <c r="AD17" s="17">
        <f>'Sales Forecast'!AD13*Assumptions!$C$13+'Sales Forecast'!AC13*Assumptions!$D$13+'Sales Forecast'!AB13*Assumptions!$E$13+'Sales Forecast'!AA13*Assumptions!$F$13+'Sales Forecast'!Z13*Assumptions!$G$13+'Sales Forecast'!Y13*Assumptions!$H$13+'Sales Forecast'!X13*Assumptions!$I$13</f>
        <v/>
      </c>
      <c r="AE17" s="17">
        <f>'Sales Forecast'!AE13*Assumptions!$C$13+'Sales Forecast'!AD13*Assumptions!$D$13+'Sales Forecast'!AC13*Assumptions!$E$13+'Sales Forecast'!AB13*Assumptions!$F$13+'Sales Forecast'!AA13*Assumptions!$G$13+'Sales Forecast'!Z13*Assumptions!$H$13+'Sales Forecast'!Y13*Assumptions!$I$13</f>
        <v/>
      </c>
      <c r="AF17" s="17">
        <f>'Sales Forecast'!AF13*Assumptions!$C$13+'Sales Forecast'!AE13*Assumptions!$D$13+'Sales Forecast'!AD13*Assumptions!$E$13+'Sales Forecast'!AC13*Assumptions!$F$13+'Sales Forecast'!AB13*Assumptions!$G$13+'Sales Forecast'!AA13*Assumptions!$H$13+'Sales Forecast'!Z13*Assumptions!$I$13</f>
        <v/>
      </c>
      <c r="AG17" s="17">
        <f>'Sales Forecast'!AG13*Assumptions!$C$13+'Sales Forecast'!AF13*Assumptions!$D$13+'Sales Forecast'!AE13*Assumptions!$E$13+'Sales Forecast'!AD13*Assumptions!$F$13+'Sales Forecast'!AC13*Assumptions!$G$13+'Sales Forecast'!AB13*Assumptions!$H$13+'Sales Forecast'!AA13*Assumptions!$I$13</f>
        <v/>
      </c>
      <c r="AH17" s="17">
        <f>'Sales Forecast'!AH13*Assumptions!$C$13+'Sales Forecast'!AG13*Assumptions!$D$13+'Sales Forecast'!AF13*Assumptions!$E$13+'Sales Forecast'!AE13*Assumptions!$F$13+'Sales Forecast'!AD13*Assumptions!$G$13+'Sales Forecast'!AC13*Assumptions!$H$13+'Sales Forecast'!AB13*Assumptions!$I$13</f>
        <v/>
      </c>
      <c r="AI17" s="17">
        <f>'Sales Forecast'!AI13*Assumptions!$C$13+'Sales Forecast'!AH13*Assumptions!$D$13+'Sales Forecast'!AG13*Assumptions!$E$13+'Sales Forecast'!AF13*Assumptions!$F$13+'Sales Forecast'!AE13*Assumptions!$G$13+'Sales Forecast'!AD13*Assumptions!$H$13+'Sales Forecast'!AC13*Assumptions!$I$13</f>
        <v/>
      </c>
      <c r="AJ17" s="17">
        <f>'Sales Forecast'!AJ13*Assumptions!$C$13+'Sales Forecast'!AI13*Assumptions!$D$13+'Sales Forecast'!AH13*Assumptions!$E$13+'Sales Forecast'!AG13*Assumptions!$F$13+'Sales Forecast'!AF13*Assumptions!$G$13+'Sales Forecast'!AE13*Assumptions!$H$13+'Sales Forecast'!AD13*Assumptions!$I$13</f>
        <v/>
      </c>
      <c r="AK17" s="17">
        <f>'Sales Forecast'!AK13*Assumptions!$C$13+'Sales Forecast'!AJ13*Assumptions!$D$13+'Sales Forecast'!AI13*Assumptions!$E$13+'Sales Forecast'!AH13*Assumptions!$F$13+'Sales Forecast'!AG13*Assumptions!$G$13+'Sales Forecast'!AF13*Assumptions!$H$13+'Sales Forecast'!AE13*Assumptions!$I$13</f>
        <v/>
      </c>
      <c r="AL17" s="17">
        <f>'Sales Forecast'!AL13*Assumptions!$C$13+'Sales Forecast'!AK13*Assumptions!$D$13+'Sales Forecast'!AJ13*Assumptions!$E$13+'Sales Forecast'!AI13*Assumptions!$F$13+'Sales Forecast'!AH13*Assumptions!$G$13+'Sales Forecast'!AG13*Assumptions!$H$13+'Sales Forecast'!AF13*Assumptions!$I$13</f>
        <v/>
      </c>
      <c r="AM17" s="17">
        <f>'Sales Forecast'!AM13*Assumptions!$C$13+'Sales Forecast'!AL13*Assumptions!$D$13+'Sales Forecast'!AK13*Assumptions!$E$13+'Sales Forecast'!AJ13*Assumptions!$F$13+'Sales Forecast'!AI13*Assumptions!$G$13+'Sales Forecast'!AH13*Assumptions!$H$13+'Sales Forecast'!AG13*Assumptions!$I$13</f>
        <v/>
      </c>
      <c r="AN17" s="17">
        <f>'Sales Forecast'!AN13*Assumptions!$C$13+'Sales Forecast'!AM13*Assumptions!$D$13+'Sales Forecast'!AL13*Assumptions!$E$13+'Sales Forecast'!AK13*Assumptions!$F$13+'Sales Forecast'!AJ13*Assumptions!$G$13+'Sales Forecast'!AI13*Assumptions!$H$13+'Sales Forecast'!AH13*Assumptions!$I$13</f>
        <v/>
      </c>
      <c r="AO17" s="17">
        <f>'Sales Forecast'!AO13*Assumptions!$C$13+'Sales Forecast'!AN13*Assumptions!$D$13+'Sales Forecast'!AM13*Assumptions!$E$13+'Sales Forecast'!AL13*Assumptions!$F$13+'Sales Forecast'!AK13*Assumptions!$G$13+'Sales Forecast'!AJ13*Assumptions!$H$13+'Sales Forecast'!AI13*Assumptions!$I$13</f>
        <v/>
      </c>
      <c r="AP17" s="17">
        <f>'Sales Forecast'!AP13*Assumptions!$C$13+'Sales Forecast'!AO13*Assumptions!$D$13+'Sales Forecast'!AN13*Assumptions!$E$13+'Sales Forecast'!AM13*Assumptions!$F$13+'Sales Forecast'!AL13*Assumptions!$G$13+'Sales Forecast'!AK13*Assumptions!$H$13+'Sales Forecast'!AJ13*Assumptions!$I$13</f>
        <v/>
      </c>
      <c r="AQ17" s="17">
        <f>'Sales Forecast'!AQ13*Assumptions!$C$13+'Sales Forecast'!AP13*Assumptions!$D$13+'Sales Forecast'!AO13*Assumptions!$E$13+'Sales Forecast'!AN13*Assumptions!$F$13+'Sales Forecast'!AM13*Assumptions!$G$13+'Sales Forecast'!AL13*Assumptions!$H$13+'Sales Forecast'!AK13*Assumptions!$I$13</f>
        <v/>
      </c>
      <c r="AR17" s="17">
        <f>'Sales Forecast'!AR13*Assumptions!$C$13+'Sales Forecast'!AQ13*Assumptions!$D$13+'Sales Forecast'!AP13*Assumptions!$E$13+'Sales Forecast'!AO13*Assumptions!$F$13+'Sales Forecast'!AN13*Assumptions!$G$13+'Sales Forecast'!AM13*Assumptions!$H$13+'Sales Forecast'!AL13*Assumptions!$I$13</f>
        <v/>
      </c>
      <c r="AS17" s="17">
        <f>'Sales Forecast'!AS13*Assumptions!$C$13+'Sales Forecast'!AR13*Assumptions!$D$13+'Sales Forecast'!AQ13*Assumptions!$E$13+'Sales Forecast'!AP13*Assumptions!$F$13+'Sales Forecast'!AO13*Assumptions!$G$13+'Sales Forecast'!AN13*Assumptions!$H$13+'Sales Forecast'!AM13*Assumptions!$I$13</f>
        <v/>
      </c>
      <c r="AT17" s="17">
        <f>'Sales Forecast'!AT13*Assumptions!$C$13+'Sales Forecast'!AS13*Assumptions!$D$13+'Sales Forecast'!AR13*Assumptions!$E$13+'Sales Forecast'!AQ13*Assumptions!$F$13+'Sales Forecast'!AP13*Assumptions!$G$13+'Sales Forecast'!AO13*Assumptions!$H$13+'Sales Forecast'!AN13*Assumptions!$I$13</f>
        <v/>
      </c>
      <c r="AU17" s="17">
        <f>'Sales Forecast'!AU13*Assumptions!$C$13+'Sales Forecast'!AT13*Assumptions!$D$13+'Sales Forecast'!AS13*Assumptions!$E$13+'Sales Forecast'!AR13*Assumptions!$F$13+'Sales Forecast'!AQ13*Assumptions!$G$13+'Sales Forecast'!AP13*Assumptions!$H$13+'Sales Forecast'!AO13*Assumptions!$I$13</f>
        <v/>
      </c>
      <c r="AV17" s="17">
        <f>'Sales Forecast'!AV13*Assumptions!$C$13+'Sales Forecast'!AU13*Assumptions!$D$13+'Sales Forecast'!AT13*Assumptions!$E$13+'Sales Forecast'!AS13*Assumptions!$F$13+'Sales Forecast'!AR13*Assumptions!$G$13+'Sales Forecast'!AQ13*Assumptions!$H$13+'Sales Forecast'!AP13*Assumptions!$I$13</f>
        <v/>
      </c>
      <c r="AW17" s="17">
        <f>'Sales Forecast'!AW13*Assumptions!$C$13+'Sales Forecast'!AV13*Assumptions!$D$13+'Sales Forecast'!AU13*Assumptions!$E$13+'Sales Forecast'!AT13*Assumptions!$F$13+'Sales Forecast'!AS13*Assumptions!$G$13+'Sales Forecast'!AR13*Assumptions!$H$13+'Sales Forecast'!AQ13*Assumptions!$I$13</f>
        <v/>
      </c>
      <c r="AX17" s="17">
        <f>'Sales Forecast'!AX13*Assumptions!$C$13+'Sales Forecast'!AW13*Assumptions!$D$13+'Sales Forecast'!AV13*Assumptions!$E$13+'Sales Forecast'!AU13*Assumptions!$F$13+'Sales Forecast'!AT13*Assumptions!$G$13+'Sales Forecast'!AS13*Assumptions!$H$13+'Sales Forecast'!AR13*Assumptions!$I$13</f>
        <v/>
      </c>
      <c r="AY17" s="17">
        <f>'Sales Forecast'!AY13*Assumptions!$C$13+'Sales Forecast'!AX13*Assumptions!$D$13+'Sales Forecast'!AW13*Assumptions!$E$13+'Sales Forecast'!AV13*Assumptions!$F$13+'Sales Forecast'!AU13*Assumptions!$G$13+'Sales Forecast'!AT13*Assumptions!$H$13+'Sales Forecast'!AS13*Assumptions!$I$13</f>
        <v/>
      </c>
      <c r="BA17" s="288" t="n"/>
    </row>
    <row r="18">
      <c r="B18" s="33" t="inlineStr">
        <is>
          <t xml:space="preserve">  404000 Retail Sales</t>
        </is>
      </c>
      <c r="D18" s="19" t="n">
        <v>0</v>
      </c>
      <c r="E18" s="19" t="n">
        <v>1784</v>
      </c>
      <c r="F18" s="19" t="n">
        <v>2823</v>
      </c>
      <c r="G18" s="19" t="n">
        <v>3282</v>
      </c>
      <c r="H18" s="19" t="n">
        <v>2151</v>
      </c>
      <c r="I18" s="19" t="n">
        <v>6248</v>
      </c>
      <c r="J18" s="19" t="n">
        <v>2458</v>
      </c>
      <c r="K18" s="19" t="n">
        <v>2181</v>
      </c>
      <c r="L18" s="19" t="n">
        <v>2252</v>
      </c>
      <c r="M18" s="19" t="n">
        <v>2571</v>
      </c>
      <c r="N18" s="19" t="n">
        <v>2098</v>
      </c>
      <c r="O18" s="19" t="n">
        <v>2556</v>
      </c>
      <c r="P18" s="19" t="n">
        <v>2925</v>
      </c>
      <c r="Q18" s="19" t="n">
        <v>2038</v>
      </c>
      <c r="R18" s="19" t="n">
        <v>2303</v>
      </c>
      <c r="S18" s="19" t="n">
        <v>1952</v>
      </c>
      <c r="T18" s="83" t="n">
        <v>889</v>
      </c>
      <c r="U18" s="83" t="n">
        <v>1952</v>
      </c>
      <c r="V18" s="83" t="n">
        <v>1582</v>
      </c>
      <c r="W18" s="20">
        <f>2304.5</f>
        <v/>
      </c>
      <c r="X18" s="20">
        <f>2304.5</f>
        <v/>
      </c>
      <c r="Y18" s="20">
        <f>2304.5</f>
        <v/>
      </c>
      <c r="Z18" s="20">
        <f>2304.5</f>
        <v/>
      </c>
      <c r="AA18" s="20">
        <f>2304.5</f>
        <v/>
      </c>
      <c r="AB18" s="20">
        <f>2304.5</f>
        <v/>
      </c>
      <c r="AC18" s="20">
        <f>2304.5</f>
        <v/>
      </c>
      <c r="AD18" s="20">
        <f>2304.5</f>
        <v/>
      </c>
      <c r="AE18" s="20">
        <f>2304.5</f>
        <v/>
      </c>
      <c r="AF18" s="20">
        <f>2304.5</f>
        <v/>
      </c>
      <c r="AG18" s="20">
        <f>2304.5</f>
        <v/>
      </c>
      <c r="AH18" s="20">
        <f>2304.5</f>
        <v/>
      </c>
      <c r="AI18" s="20">
        <f>2304.5</f>
        <v/>
      </c>
      <c r="AJ18" s="20">
        <f>2304.5</f>
        <v/>
      </c>
      <c r="AK18" s="20">
        <f>2304.5</f>
        <v/>
      </c>
      <c r="AL18" s="20">
        <f>2304.5</f>
        <v/>
      </c>
      <c r="AM18" s="20">
        <f>2304.5</f>
        <v/>
      </c>
      <c r="AN18" s="20">
        <f>2304.5</f>
        <v/>
      </c>
      <c r="AO18" s="20">
        <f>2304.5</f>
        <v/>
      </c>
      <c r="AP18" s="20">
        <f>2304.5</f>
        <v/>
      </c>
      <c r="AQ18" s="20">
        <f>2304.5</f>
        <v/>
      </c>
      <c r="AR18" s="20">
        <f>2304.5</f>
        <v/>
      </c>
      <c r="AS18" s="20">
        <f>2304.5</f>
        <v/>
      </c>
      <c r="AT18" s="20">
        <f>2304.5</f>
        <v/>
      </c>
      <c r="AU18" s="20">
        <f>2304.5</f>
        <v/>
      </c>
      <c r="AV18" s="20">
        <f>2304.5</f>
        <v/>
      </c>
      <c r="AW18" s="20">
        <f>2304.5</f>
        <v/>
      </c>
      <c r="AX18" s="20">
        <f>2304.5</f>
        <v/>
      </c>
      <c r="AY18" s="20">
        <f>2304.5</f>
        <v/>
      </c>
      <c r="BA18" s="288">
        <f>SUM(I18:T18)</f>
        <v/>
      </c>
      <c r="BB18" s="274">
        <f>BA18/$BA$21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-291</v>
      </c>
      <c r="F19" s="19" t="n">
        <v>-924</v>
      </c>
      <c r="G19" s="19" t="n">
        <v>-1852</v>
      </c>
      <c r="H19" s="19" t="n">
        <v>-588</v>
      </c>
      <c r="I19" s="19" t="n">
        <v>-695</v>
      </c>
      <c r="J19" s="19" t="n">
        <v>-1928</v>
      </c>
      <c r="K19" s="19" t="n">
        <v>-1685</v>
      </c>
      <c r="L19" s="19" t="n">
        <v>-199</v>
      </c>
      <c r="M19" s="19" t="n">
        <v>-500</v>
      </c>
      <c r="N19" s="19" t="n">
        <v>-789.01</v>
      </c>
      <c r="O19" s="19" t="n">
        <v>-345</v>
      </c>
      <c r="P19" s="19" t="n">
        <v>-446</v>
      </c>
      <c r="Q19" s="19" t="n">
        <v>-779</v>
      </c>
      <c r="R19" s="19" t="n">
        <v>-439</v>
      </c>
      <c r="S19" s="19" t="n">
        <v>-472</v>
      </c>
      <c r="T19" s="19" t="n">
        <v>-350.2</v>
      </c>
      <c r="U19" s="19" t="n">
        <v>-440</v>
      </c>
      <c r="V19" s="19" t="n">
        <v>-2465</v>
      </c>
      <c r="W19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Forecast'!Q13*Assumptions!$I$13+2304.5)*Assumptions!$C$17</f>
        <v/>
      </c>
      <c r="X19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Forecast'!R13*Assumptions!$I$13+2304.5)*Assumptions!$C$17</f>
        <v/>
      </c>
      <c r="Y19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Forecast'!S13*Assumptions!$I$13+2304.5)*Assumptions!$C$17</f>
        <v/>
      </c>
      <c r="Z19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Forecast'!T13*Assumptions!$I$13+2304.5)*Assumptions!$C$17</f>
        <v/>
      </c>
      <c r="AA19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Forecast'!U13*Assumptions!$I$13+2304.5)*Assumptions!$C$17</f>
        <v/>
      </c>
      <c r="AB19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Forecast'!V13*Assumptions!$I$13+2304.5)*Assumptions!$C$17</f>
        <v/>
      </c>
      <c r="AC19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Forecast'!W13*Assumptions!$I$13+2304.5)*Assumptions!$C$17</f>
        <v/>
      </c>
      <c r="AD19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Forecast'!X13*Assumptions!$I$13+2304.5)*Assumptions!$C$17</f>
        <v/>
      </c>
      <c r="AE19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Forecast'!Y13*Assumptions!$I$13+2304.5)*Assumptions!$C$17</f>
        <v/>
      </c>
      <c r="AF19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Forecast'!Z13*Assumptions!$I$13+2304.5)*Assumptions!$C$17</f>
        <v/>
      </c>
      <c r="AG19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Forecast'!AA13*Assumptions!$I$13+2304.5)*Assumptions!$C$17</f>
        <v/>
      </c>
      <c r="AH19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Forecast'!AB13*Assumptions!$I$13+2304.5)*Assumptions!$C$17</f>
        <v/>
      </c>
      <c r="AI19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Forecast'!AC13*Assumptions!$I$13+2304.5)*Assumptions!$C$17</f>
        <v/>
      </c>
      <c r="AJ19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Forecast'!AD13*Assumptions!$I$13+2304.5)*Assumptions!$C$17</f>
        <v/>
      </c>
      <c r="AK19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Forecast'!AE13*Assumptions!$I$13+2304.5)*Assumptions!$C$17</f>
        <v/>
      </c>
      <c r="AL19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Forecast'!AF13*Assumptions!$I$13+2304.5)*Assumptions!$C$17</f>
        <v/>
      </c>
      <c r="AM19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Forecast'!AG13*Assumptions!$I$13+2304.5)*Assumptions!$C$17</f>
        <v/>
      </c>
      <c r="AN19" s="20">
        <f>('Sales Forecast'!AN13*Assumptions!$C$12+'Sales Forecast'!AM13*Assumptions!$D$12+'Sales Forecast'!AL13*Assumptions!$E$12+'Sales Forecast'!AK13*Assumptions!$F$12+'Sales Forecast'!AJ13*Assumptions!$G$12+'Sales Forecast'!AI13*Assumptions!$H$12+'Sales Forecast'!AH13*Assumptions!$I$12+'Sales Forecast'!AN13*Assumptions!$C$13+'Sales Forecast'!AM13*Assumptions!$D$13+'Sales Forecast'!AL13*Assumptions!$E$13+'Sales Forecast'!AK13*Assumptions!$F$13+'Sales Forecast'!AJ13*Assumptions!$G$13+'Sales Forecast'!AI13*Assumptions!$H$13+'Sales Forecast'!AH13*Assumptions!$I$13+2304.5)*Assumptions!$C$17</f>
        <v/>
      </c>
      <c r="AO19" s="20">
        <f>('Sales Forecast'!AO13*Assumptions!$C$12+'Sales Forecast'!AN13*Assumptions!$D$12+'Sales Forecast'!AM13*Assumptions!$E$12+'Sales Forecast'!AL13*Assumptions!$F$12+'Sales Forecast'!AK13*Assumptions!$G$12+'Sales Forecast'!AJ13*Assumptions!$H$12+'Sales Forecast'!AI13*Assumptions!$I$12+'Sales Forecast'!AO13*Assumptions!$C$13+'Sales Forecast'!AN13*Assumptions!$D$13+'Sales Forecast'!AM13*Assumptions!$E$13+'Sales Forecast'!AL13*Assumptions!$F$13+'Sales Forecast'!AK13*Assumptions!$G$13+'Sales Forecast'!AJ13*Assumptions!$H$13+'Sales Forecast'!AI13*Assumptions!$I$13+2304.5)*Assumptions!$C$17</f>
        <v/>
      </c>
      <c r="AP19" s="20">
        <f>('Sales Forecast'!AP13*Assumptions!$C$12+'Sales Forecast'!AO13*Assumptions!$D$12+'Sales Forecast'!AN13*Assumptions!$E$12+'Sales Forecast'!AM13*Assumptions!$F$12+'Sales Forecast'!AL13*Assumptions!$G$12+'Sales Forecast'!AK13*Assumptions!$H$12+'Sales Forecast'!AJ13*Assumptions!$I$12+'Sales Forecast'!AP13*Assumptions!$C$13+'Sales Forecast'!AO13*Assumptions!$D$13+'Sales Forecast'!AN13*Assumptions!$E$13+'Sales Forecast'!AM13*Assumptions!$F$13+'Sales Forecast'!AL13*Assumptions!$G$13+'Sales Forecast'!AK13*Assumptions!$H$13+'Sales Forecast'!AJ13*Assumptions!$I$13+2304.5)*Assumptions!$C$17</f>
        <v/>
      </c>
      <c r="AQ19" s="20">
        <f>('Sales Forecast'!AQ13*Assumptions!$C$12+'Sales Forecast'!AP13*Assumptions!$D$12+'Sales Forecast'!AO13*Assumptions!$E$12+'Sales Forecast'!AN13*Assumptions!$F$12+'Sales Forecast'!AM13*Assumptions!$G$12+'Sales Forecast'!AL13*Assumptions!$H$12+'Sales Forecast'!AK13*Assumptions!$I$12+'Sales Forecast'!AQ13*Assumptions!$C$13+'Sales Forecast'!AP13*Assumptions!$D$13+'Sales Forecast'!AO13*Assumptions!$E$13+'Sales Forecast'!AN13*Assumptions!$F$13+'Sales Forecast'!AM13*Assumptions!$G$13+'Sales Forecast'!AL13*Assumptions!$H$13+'Sales Forecast'!AK13*Assumptions!$I$13+2304.5)*Assumptions!$C$17</f>
        <v/>
      </c>
      <c r="AR19" s="20">
        <f>('Sales Forecast'!AR13*Assumptions!$C$12+'Sales Forecast'!AQ13*Assumptions!$D$12+'Sales Forecast'!AP13*Assumptions!$E$12+'Sales Forecast'!AO13*Assumptions!$F$12+'Sales Forecast'!AN13*Assumptions!$G$12+'Sales Forecast'!AM13*Assumptions!$H$12+'Sales Forecast'!AL13*Assumptions!$I$12+'Sales Forecast'!AR13*Assumptions!$C$13+'Sales Forecast'!AQ13*Assumptions!$D$13+'Sales Forecast'!AP13*Assumptions!$E$13+'Sales Forecast'!AO13*Assumptions!$F$13+'Sales Forecast'!AN13*Assumptions!$G$13+'Sales Forecast'!AM13*Assumptions!$H$13+'Sales Forecast'!AL13*Assumptions!$I$13+2304.5)*Assumptions!$C$17</f>
        <v/>
      </c>
      <c r="AS19" s="20">
        <f>('Sales Forecast'!AS13*Assumptions!$C$12+'Sales Forecast'!AR13*Assumptions!$D$12+'Sales Forecast'!AQ13*Assumptions!$E$12+'Sales Forecast'!AP13*Assumptions!$F$12+'Sales Forecast'!AO13*Assumptions!$G$12+'Sales Forecast'!AN13*Assumptions!$H$12+'Sales Forecast'!AM13*Assumptions!$I$12+'Sales Forecast'!AS13*Assumptions!$C$13+'Sales Forecast'!AR13*Assumptions!$D$13+'Sales Forecast'!AQ13*Assumptions!$E$13+'Sales Forecast'!AP13*Assumptions!$F$13+'Sales Forecast'!AO13*Assumptions!$G$13+'Sales Forecast'!AN13*Assumptions!$H$13+'Sales Forecast'!AM13*Assumptions!$I$13+2304.5)*Assumptions!$C$17</f>
        <v/>
      </c>
      <c r="AT19" s="20">
        <f>('Sales Forecast'!AT13*Assumptions!$C$12+'Sales Forecast'!AS13*Assumptions!$D$12+'Sales Forecast'!AR13*Assumptions!$E$12+'Sales Forecast'!AQ13*Assumptions!$F$12+'Sales Forecast'!AP13*Assumptions!$G$12+'Sales Forecast'!AO13*Assumptions!$H$12+'Sales Forecast'!AN13*Assumptions!$I$12+'Sales Forecast'!AT13*Assumptions!$C$13+'Sales Forecast'!AS13*Assumptions!$D$13+'Sales Forecast'!AR13*Assumptions!$E$13+'Sales Forecast'!AQ13*Assumptions!$F$13+'Sales Forecast'!AP13*Assumptions!$G$13+'Sales Forecast'!AO13*Assumptions!$H$13+'Sales Forecast'!AN13*Assumptions!$I$13+2304.5)*Assumptions!$C$17</f>
        <v/>
      </c>
      <c r="AU19" s="20">
        <f>('Sales Forecast'!AU13*Assumptions!$C$12+'Sales Forecast'!AT13*Assumptions!$D$12+'Sales Forecast'!AS13*Assumptions!$E$12+'Sales Forecast'!AR13*Assumptions!$F$12+'Sales Forecast'!AQ13*Assumptions!$G$12+'Sales Forecast'!AP13*Assumptions!$H$12+'Sales Forecast'!AO13*Assumptions!$I$12+'Sales Forecast'!AU13*Assumptions!$C$13+'Sales Forecast'!AT13*Assumptions!$D$13+'Sales Forecast'!AS13*Assumptions!$E$13+'Sales Forecast'!AR13*Assumptions!$F$13+'Sales Forecast'!AQ13*Assumptions!$G$13+'Sales Forecast'!AP13*Assumptions!$H$13+'Sales Forecast'!AO13*Assumptions!$I$13+2304.5)*Assumptions!$C$17</f>
        <v/>
      </c>
      <c r="AV19" s="20">
        <f>('Sales Forecast'!AV13*Assumptions!$C$12+'Sales Forecast'!AU13*Assumptions!$D$12+'Sales Forecast'!AT13*Assumptions!$E$12+'Sales Forecast'!AS13*Assumptions!$F$12+'Sales Forecast'!AR13*Assumptions!$G$12+'Sales Forecast'!AQ13*Assumptions!$H$12+'Sales Forecast'!AP13*Assumptions!$I$12+'Sales Forecast'!AV13*Assumptions!$C$13+'Sales Forecast'!AU13*Assumptions!$D$13+'Sales Forecast'!AT13*Assumptions!$E$13+'Sales Forecast'!AS13*Assumptions!$F$13+'Sales Forecast'!AR13*Assumptions!$G$13+'Sales Forecast'!AQ13*Assumptions!$H$13+'Sales Forecast'!AP13*Assumptions!$I$13+2304.5)*Assumptions!$C$17</f>
        <v/>
      </c>
      <c r="AW19" s="20">
        <f>('Sales Forecast'!AW13*Assumptions!$C$12+'Sales Forecast'!AV13*Assumptions!$D$12+'Sales Forecast'!AU13*Assumptions!$E$12+'Sales Forecast'!AT13*Assumptions!$F$12+'Sales Forecast'!AS13*Assumptions!$G$12+'Sales Forecast'!AR13*Assumptions!$H$12+'Sales Forecast'!AQ13*Assumptions!$I$12+'Sales Forecast'!AW13*Assumptions!$C$13+'Sales Forecast'!AV13*Assumptions!$D$13+'Sales Forecast'!AU13*Assumptions!$E$13+'Sales Forecast'!AT13*Assumptions!$F$13+'Sales Forecast'!AS13*Assumptions!$G$13+'Sales Forecast'!AR13*Assumptions!$H$13+'Sales Forecast'!AQ13*Assumptions!$I$13+2304.5)*Assumptions!$C$17</f>
        <v/>
      </c>
      <c r="AX19" s="20">
        <f>('Sales Forecast'!AX13*Assumptions!$C$12+'Sales Forecast'!AW13*Assumptions!$D$12+'Sales Forecast'!AV13*Assumptions!$E$12+'Sales Forecast'!AU13*Assumptions!$F$12+'Sales Forecast'!AT13*Assumptions!$G$12+'Sales Forecast'!AS13*Assumptions!$H$12+'Sales Forecast'!AR13*Assumptions!$I$12+'Sales Forecast'!AX13*Assumptions!$C$13+'Sales Forecast'!AW13*Assumptions!$D$13+'Sales Forecast'!AV13*Assumptions!$E$13+'Sales Forecast'!AU13*Assumptions!$F$13+'Sales Forecast'!AT13*Assumptions!$G$13+'Sales Forecast'!AS13*Assumptions!$H$13+'Sales Forecast'!AR13*Assumptions!$I$13+2304.5)*Assumptions!$C$17</f>
        <v/>
      </c>
      <c r="AY19" s="20">
        <f>('Sales Forecast'!AY13*Assumptions!$C$12+'Sales Forecast'!AX13*Assumptions!$D$12+'Sales Forecast'!AW13*Assumptions!$E$12+'Sales Forecast'!AV13*Assumptions!$F$12+'Sales Forecast'!AU13*Assumptions!$G$12+'Sales Forecast'!AT13*Assumptions!$H$12+'Sales Forecast'!AS13*Assumptions!$I$12+'Sales Forecast'!AY13*Assumptions!$C$13+'Sales Forecast'!AX13*Assumptions!$D$13+'Sales Forecast'!AW13*Assumptions!$E$13+'Sales Forecast'!AV13*Assumptions!$F$13+'Sales Forecast'!AU13*Assumptions!$G$13+'Sales Forecast'!AT13*Assumptions!$H$13+'Sales Forecast'!AS13*Assumptions!$I$13+2304.5)*Assumptions!$C$17</f>
        <v/>
      </c>
      <c r="BA19" s="288">
        <f>SUM(I19:T19)</f>
        <v/>
      </c>
      <c r="BB19" s="274">
        <f>BA19/$BA$21</f>
        <v/>
      </c>
    </row>
    <row r="20">
      <c r="B20" s="33" t="inlineStr">
        <is>
          <t xml:space="preserve">  407000 Discounts</t>
        </is>
      </c>
      <c r="D20" s="19" t="n">
        <v>-141.3</v>
      </c>
      <c r="E20" s="19" t="n">
        <v>-5436.3</v>
      </c>
      <c r="F20" s="19" t="n">
        <v>-5239.7</v>
      </c>
      <c r="G20" s="19" t="n">
        <v>-4701.9</v>
      </c>
      <c r="H20" s="19" t="n">
        <v>-7959.6</v>
      </c>
      <c r="I20" s="19" t="n">
        <v>-5482.2</v>
      </c>
      <c r="J20" s="19" t="n">
        <v>-6487.7</v>
      </c>
      <c r="K20" s="19" t="n">
        <v>-7385.6</v>
      </c>
      <c r="L20" s="19" t="n">
        <v>-5246.5</v>
      </c>
      <c r="M20" s="19" t="n">
        <v>-4962.8</v>
      </c>
      <c r="N20" s="19" t="n">
        <v>-2900.6</v>
      </c>
      <c r="O20" s="19" t="n">
        <v>-6276.3</v>
      </c>
      <c r="P20" s="19" t="n">
        <v>-4796.18</v>
      </c>
      <c r="Q20" s="19" t="n">
        <v>-3223.3</v>
      </c>
      <c r="R20" s="19" t="n">
        <v>-5946.2</v>
      </c>
      <c r="S20" s="19" t="n">
        <v>-8267.799999999999</v>
      </c>
      <c r="T20" s="19" t="n">
        <v>-2745.1</v>
      </c>
      <c r="U20" s="19" t="n">
        <v>-3976.4</v>
      </c>
      <c r="V20" s="19" t="n">
        <v>-2354.32</v>
      </c>
      <c r="W20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Forecast'!Q13*Assumptions!$I$13+2304.5)*Assumptions!$C$18</f>
        <v/>
      </c>
      <c r="X20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Forecast'!R13*Assumptions!$I$13+2304.5)*Assumptions!$C$18</f>
        <v/>
      </c>
      <c r="Y20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Forecast'!S13*Assumptions!$I$13+2304.5)*Assumptions!$C$18</f>
        <v/>
      </c>
      <c r="Z20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Forecast'!T13*Assumptions!$I$13+2304.5)*Assumptions!$C$18</f>
        <v/>
      </c>
      <c r="AA20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Forecast'!U13*Assumptions!$I$13+2304.5)*Assumptions!$C$18</f>
        <v/>
      </c>
      <c r="AB20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Forecast'!V13*Assumptions!$I$13+2304.5)*Assumptions!$C$18</f>
        <v/>
      </c>
      <c r="AC20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Forecast'!W13*Assumptions!$I$13+2304.5)*Assumptions!$C$18</f>
        <v/>
      </c>
      <c r="AD20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Forecast'!X13*Assumptions!$I$13+2304.5)*Assumptions!$C$18</f>
        <v/>
      </c>
      <c r="AE20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Forecast'!Y13*Assumptions!$I$13+2304.5)*Assumptions!$C$18</f>
        <v/>
      </c>
      <c r="AF20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Forecast'!Z13*Assumptions!$I$13+2304.5)*Assumptions!$C$18</f>
        <v/>
      </c>
      <c r="AG20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Forecast'!AA13*Assumptions!$I$13+2304.5)*Assumptions!$C$18</f>
        <v/>
      </c>
      <c r="AH20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Forecast'!AB13*Assumptions!$I$13+2304.5)*Assumptions!$C$18</f>
        <v/>
      </c>
      <c r="AI20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Forecast'!AC13*Assumptions!$I$13+2304.5)*Assumptions!$C$18</f>
        <v/>
      </c>
      <c r="AJ20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Forecast'!AD13*Assumptions!$I$13+2304.5)*Assumptions!$C$18</f>
        <v/>
      </c>
      <c r="AK20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Forecast'!AE13*Assumptions!$I$13+2304.5)*Assumptions!$C$18</f>
        <v/>
      </c>
      <c r="AL20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Forecast'!AF13*Assumptions!$I$13+2304.5)*Assumptions!$C$18</f>
        <v/>
      </c>
      <c r="AM20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Forecast'!AG13*Assumptions!$I$13+2304.5)*Assumptions!$C$18</f>
        <v/>
      </c>
      <c r="AN20" s="20">
        <f>('Sales Forecast'!AN13*Assumptions!$C$12+'Sales Forecast'!AM13*Assumptions!$D$12+'Sales Forecast'!AL13*Assumptions!$E$12+'Sales Forecast'!AK13*Assumptions!$F$12+'Sales Forecast'!AJ13*Assumptions!$G$12+'Sales Forecast'!AI13*Assumptions!$H$12+'Sales Forecast'!AH13*Assumptions!$I$12+'Sales Forecast'!AN13*Assumptions!$C$13+'Sales Forecast'!AM13*Assumptions!$D$13+'Sales Forecast'!AL13*Assumptions!$E$13+'Sales Forecast'!AK13*Assumptions!$F$13+'Sales Forecast'!AJ13*Assumptions!$G$13+'Sales Forecast'!AI13*Assumptions!$H$13+'Sales Forecast'!AH13*Assumptions!$I$13+2304.5)*Assumptions!$C$18</f>
        <v/>
      </c>
      <c r="AO20" s="20">
        <f>('Sales Forecast'!AO13*Assumptions!$C$12+'Sales Forecast'!AN13*Assumptions!$D$12+'Sales Forecast'!AM13*Assumptions!$E$12+'Sales Forecast'!AL13*Assumptions!$F$12+'Sales Forecast'!AK13*Assumptions!$G$12+'Sales Forecast'!AJ13*Assumptions!$H$12+'Sales Forecast'!AI13*Assumptions!$I$12+'Sales Forecast'!AO13*Assumptions!$C$13+'Sales Forecast'!AN13*Assumptions!$D$13+'Sales Forecast'!AM13*Assumptions!$E$13+'Sales Forecast'!AL13*Assumptions!$F$13+'Sales Forecast'!AK13*Assumptions!$G$13+'Sales Forecast'!AJ13*Assumptions!$H$13+'Sales Forecast'!AI13*Assumptions!$I$13+2304.5)*Assumptions!$C$18</f>
        <v/>
      </c>
      <c r="AP20" s="20">
        <f>('Sales Forecast'!AP13*Assumptions!$C$12+'Sales Forecast'!AO13*Assumptions!$D$12+'Sales Forecast'!AN13*Assumptions!$E$12+'Sales Forecast'!AM13*Assumptions!$F$12+'Sales Forecast'!AL13*Assumptions!$G$12+'Sales Forecast'!AK13*Assumptions!$H$12+'Sales Forecast'!AJ13*Assumptions!$I$12+'Sales Forecast'!AP13*Assumptions!$C$13+'Sales Forecast'!AO13*Assumptions!$D$13+'Sales Forecast'!AN13*Assumptions!$E$13+'Sales Forecast'!AM13*Assumptions!$F$13+'Sales Forecast'!AL13*Assumptions!$G$13+'Sales Forecast'!AK13*Assumptions!$H$13+'Sales Forecast'!AJ13*Assumptions!$I$13+2304.5)*Assumptions!$C$18</f>
        <v/>
      </c>
      <c r="AQ20" s="20">
        <f>('Sales Forecast'!AQ13*Assumptions!$C$12+'Sales Forecast'!AP13*Assumptions!$D$12+'Sales Forecast'!AO13*Assumptions!$E$12+'Sales Forecast'!AN13*Assumptions!$F$12+'Sales Forecast'!AM13*Assumptions!$G$12+'Sales Forecast'!AL13*Assumptions!$H$12+'Sales Forecast'!AK13*Assumptions!$I$12+'Sales Forecast'!AQ13*Assumptions!$C$13+'Sales Forecast'!AP13*Assumptions!$D$13+'Sales Forecast'!AO13*Assumptions!$E$13+'Sales Forecast'!AN13*Assumptions!$F$13+'Sales Forecast'!AM13*Assumptions!$G$13+'Sales Forecast'!AL13*Assumptions!$H$13+'Sales Forecast'!AK13*Assumptions!$I$13+2304.5)*Assumptions!$C$18</f>
        <v/>
      </c>
      <c r="AR20" s="20">
        <f>('Sales Forecast'!AR13*Assumptions!$C$12+'Sales Forecast'!AQ13*Assumptions!$D$12+'Sales Forecast'!AP13*Assumptions!$E$12+'Sales Forecast'!AO13*Assumptions!$F$12+'Sales Forecast'!AN13*Assumptions!$G$12+'Sales Forecast'!AM13*Assumptions!$H$12+'Sales Forecast'!AL13*Assumptions!$I$12+'Sales Forecast'!AR13*Assumptions!$C$13+'Sales Forecast'!AQ13*Assumptions!$D$13+'Sales Forecast'!AP13*Assumptions!$E$13+'Sales Forecast'!AO13*Assumptions!$F$13+'Sales Forecast'!AN13*Assumptions!$G$13+'Sales Forecast'!AM13*Assumptions!$H$13+'Sales Forecast'!AL13*Assumptions!$I$13+2304.5)*Assumptions!$C$18</f>
        <v/>
      </c>
      <c r="AS20" s="20">
        <f>('Sales Forecast'!AS13*Assumptions!$C$12+'Sales Forecast'!AR13*Assumptions!$D$12+'Sales Forecast'!AQ13*Assumptions!$E$12+'Sales Forecast'!AP13*Assumptions!$F$12+'Sales Forecast'!AO13*Assumptions!$G$12+'Sales Forecast'!AN13*Assumptions!$H$12+'Sales Forecast'!AM13*Assumptions!$I$12+'Sales Forecast'!AS13*Assumptions!$C$13+'Sales Forecast'!AR13*Assumptions!$D$13+'Sales Forecast'!AQ13*Assumptions!$E$13+'Sales Forecast'!AP13*Assumptions!$F$13+'Sales Forecast'!AO13*Assumptions!$G$13+'Sales Forecast'!AN13*Assumptions!$H$13+'Sales Forecast'!AM13*Assumptions!$I$13+2304.5)*Assumptions!$C$18</f>
        <v/>
      </c>
      <c r="AT20" s="20">
        <f>('Sales Forecast'!AT13*Assumptions!$C$12+'Sales Forecast'!AS13*Assumptions!$D$12+'Sales Forecast'!AR13*Assumptions!$E$12+'Sales Forecast'!AQ13*Assumptions!$F$12+'Sales Forecast'!AP13*Assumptions!$G$12+'Sales Forecast'!AO13*Assumptions!$H$12+'Sales Forecast'!AN13*Assumptions!$I$12+'Sales Forecast'!AT13*Assumptions!$C$13+'Sales Forecast'!AS13*Assumptions!$D$13+'Sales Forecast'!AR13*Assumptions!$E$13+'Sales Forecast'!AQ13*Assumptions!$F$13+'Sales Forecast'!AP13*Assumptions!$G$13+'Sales Forecast'!AO13*Assumptions!$H$13+'Sales Forecast'!AN13*Assumptions!$I$13+2304.5)*Assumptions!$C$18</f>
        <v/>
      </c>
      <c r="AU20" s="20">
        <f>('Sales Forecast'!AU13*Assumptions!$C$12+'Sales Forecast'!AT13*Assumptions!$D$12+'Sales Forecast'!AS13*Assumptions!$E$12+'Sales Forecast'!AR13*Assumptions!$F$12+'Sales Forecast'!AQ13*Assumptions!$G$12+'Sales Forecast'!AP13*Assumptions!$H$12+'Sales Forecast'!AO13*Assumptions!$I$12+'Sales Forecast'!AU13*Assumptions!$C$13+'Sales Forecast'!AT13*Assumptions!$D$13+'Sales Forecast'!AS13*Assumptions!$E$13+'Sales Forecast'!AR13*Assumptions!$F$13+'Sales Forecast'!AQ13*Assumptions!$G$13+'Sales Forecast'!AP13*Assumptions!$H$13+'Sales Forecast'!AO13*Assumptions!$I$13+2304.5)*Assumptions!$C$18</f>
        <v/>
      </c>
      <c r="AV20" s="20">
        <f>('Sales Forecast'!AV13*Assumptions!$C$12+'Sales Forecast'!AU13*Assumptions!$D$12+'Sales Forecast'!AT13*Assumptions!$E$12+'Sales Forecast'!AS13*Assumptions!$F$12+'Sales Forecast'!AR13*Assumptions!$G$12+'Sales Forecast'!AQ13*Assumptions!$H$12+'Sales Forecast'!AP13*Assumptions!$I$12+'Sales Forecast'!AV13*Assumptions!$C$13+'Sales Forecast'!AU13*Assumptions!$D$13+'Sales Forecast'!AT13*Assumptions!$E$13+'Sales Forecast'!AS13*Assumptions!$F$13+'Sales Forecast'!AR13*Assumptions!$G$13+'Sales Forecast'!AQ13*Assumptions!$H$13+'Sales Forecast'!AP13*Assumptions!$I$13+2304.5)*Assumptions!$C$18</f>
        <v/>
      </c>
      <c r="AW20" s="20">
        <f>('Sales Forecast'!AW13*Assumptions!$C$12+'Sales Forecast'!AV13*Assumptions!$D$12+'Sales Forecast'!AU13*Assumptions!$E$12+'Sales Forecast'!AT13*Assumptions!$F$12+'Sales Forecast'!AS13*Assumptions!$G$12+'Sales Forecast'!AR13*Assumptions!$H$12+'Sales Forecast'!AQ13*Assumptions!$I$12+'Sales Forecast'!AW13*Assumptions!$C$13+'Sales Forecast'!AV13*Assumptions!$D$13+'Sales Forecast'!AU13*Assumptions!$E$13+'Sales Forecast'!AT13*Assumptions!$F$13+'Sales Forecast'!AS13*Assumptions!$G$13+'Sales Forecast'!AR13*Assumptions!$H$13+'Sales Forecast'!AQ13*Assumptions!$I$13+2304.5)*Assumptions!$C$18</f>
        <v/>
      </c>
      <c r="AX20" s="20">
        <f>('Sales Forecast'!AX13*Assumptions!$C$12+'Sales Forecast'!AW13*Assumptions!$D$12+'Sales Forecast'!AV13*Assumptions!$E$12+'Sales Forecast'!AU13*Assumptions!$F$12+'Sales Forecast'!AT13*Assumptions!$G$12+'Sales Forecast'!AS13*Assumptions!$H$12+'Sales Forecast'!AR13*Assumptions!$I$12+'Sales Forecast'!AX13*Assumptions!$C$13+'Sales Forecast'!AW13*Assumptions!$D$13+'Sales Forecast'!AV13*Assumptions!$E$13+'Sales Forecast'!AU13*Assumptions!$F$13+'Sales Forecast'!AT13*Assumptions!$G$13+'Sales Forecast'!AS13*Assumptions!$H$13+'Sales Forecast'!AR13*Assumptions!$I$13+2304.5)*Assumptions!$C$18</f>
        <v/>
      </c>
      <c r="AY20" s="20">
        <f>('Sales Forecast'!AY13*Assumptions!$C$12+'Sales Forecast'!AX13*Assumptions!$D$12+'Sales Forecast'!AW13*Assumptions!$E$12+'Sales Forecast'!AV13*Assumptions!$F$12+'Sales Forecast'!AU13*Assumptions!$G$12+'Sales Forecast'!AT13*Assumptions!$H$12+'Sales Forecast'!AS13*Assumptions!$I$12+'Sales Forecast'!AY13*Assumptions!$C$13+'Sales Forecast'!AX13*Assumptions!$D$13+'Sales Forecast'!AW13*Assumptions!$E$13+'Sales Forecast'!AV13*Assumptions!$F$13+'Sales Forecast'!AU13*Assumptions!$G$13+'Sales Forecast'!AT13*Assumptions!$H$13+'Sales Forecast'!AS13*Assumptions!$I$13+2304.5)*Assumptions!$C$18</f>
        <v/>
      </c>
      <c r="BA20" s="288">
        <f>SUM(I20:T20)</f>
        <v/>
      </c>
      <c r="BB20" s="274">
        <f>BA20/$BA$21</f>
        <v/>
      </c>
    </row>
    <row r="21">
      <c r="B21" s="32" t="inlineStr">
        <is>
          <t>TOTAL REVENUE</t>
        </is>
      </c>
      <c r="C21" s="34" t="n"/>
      <c r="D21" s="35">
        <f>D13+D17+D18+D19+D20</f>
        <v/>
      </c>
      <c r="E21" s="35">
        <f>E13+E17+E18+E19+E20</f>
        <v/>
      </c>
      <c r="F21" s="35">
        <f>F13+F17+F18+F19+F20</f>
        <v/>
      </c>
      <c r="G21" s="35">
        <f>G13+G17+G18+G19+G20</f>
        <v/>
      </c>
      <c r="H21" s="35">
        <f>H13+H17+H18+H19+H20</f>
        <v/>
      </c>
      <c r="I21" s="35">
        <f>I13+I17+I18+I19+I20</f>
        <v/>
      </c>
      <c r="J21" s="35">
        <f>J13+J17+J18+J19+J20</f>
        <v/>
      </c>
      <c r="K21" s="35">
        <f>K13+K17+K18+K19+K20</f>
        <v/>
      </c>
      <c r="L21" s="35">
        <f>L13+L17+L18+L19+L20</f>
        <v/>
      </c>
      <c r="M21" s="35">
        <f>M13+M17+M18+M19+M20</f>
        <v/>
      </c>
      <c r="N21" s="35">
        <f>N13+N17+N18+N19+N20</f>
        <v/>
      </c>
      <c r="O21" s="35">
        <f>O13+O17+O18+O19+O20</f>
        <v/>
      </c>
      <c r="P21" s="35">
        <f>P13+P17+P18+P19+P20</f>
        <v/>
      </c>
      <c r="Q21" s="35">
        <f>Q13+Q17+Q18+Q19+Q20</f>
        <v/>
      </c>
      <c r="R21" s="35">
        <f>R13+R17+R18+R19+R20</f>
        <v/>
      </c>
      <c r="S21" s="35">
        <f>S13+S17+S18+S19+S20</f>
        <v/>
      </c>
      <c r="T21" s="35">
        <f>T13+T17+T18+T19+T20</f>
        <v/>
      </c>
      <c r="U21" s="35">
        <f>U13+U17+U18+U19+U20</f>
        <v/>
      </c>
      <c r="V21" s="35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  <c r="BA21" s="307">
        <f>SUM(I21:T21)</f>
        <v/>
      </c>
      <c r="BB21" s="276">
        <f>SUM(BB7:BB20)</f>
        <v/>
      </c>
    </row>
    <row r="22" ht="16" customHeight="1" s="28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>501000 Product Cost (incl Inventory Shrinkage)</t>
        </is>
      </c>
      <c r="D23" s="19" t="n">
        <v>0</v>
      </c>
      <c r="E23" s="19" t="n">
        <v>786</v>
      </c>
      <c r="F23" s="19" t="n">
        <v>1294.75</v>
      </c>
      <c r="G23" s="19" t="n">
        <v>1386.75</v>
      </c>
      <c r="H23" s="19" t="n">
        <v>965.25</v>
      </c>
      <c r="I23" s="19" t="n">
        <v>2348.5</v>
      </c>
      <c r="J23" s="19" t="n">
        <v>1113</v>
      </c>
      <c r="K23" s="19" t="n">
        <v>986.25</v>
      </c>
      <c r="L23" s="19" t="n">
        <v>899</v>
      </c>
      <c r="M23" s="19" t="n">
        <v>1153.25</v>
      </c>
      <c r="N23" s="19" t="n">
        <v>966.5</v>
      </c>
      <c r="O23" s="19" t="n">
        <v>2428.56</v>
      </c>
      <c r="P23" s="19" t="n">
        <v>1345.5</v>
      </c>
      <c r="Q23" s="19" t="n">
        <v>930.75</v>
      </c>
      <c r="R23" s="19" t="n">
        <v>1108</v>
      </c>
      <c r="S23" s="19" t="n">
        <v>854.5</v>
      </c>
      <c r="T23" s="83" t="n">
        <v>392.25</v>
      </c>
      <c r="U23" s="83" t="n">
        <v>896</v>
      </c>
      <c r="V23" s="83" t="n">
        <v>726</v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218.17</v>
      </c>
      <c r="E24" s="19" t="n">
        <v>768.1900000000001</v>
      </c>
      <c r="F24" s="19" t="n">
        <v>1307.11</v>
      </c>
      <c r="G24" s="19" t="n">
        <v>2108.55</v>
      </c>
      <c r="H24" s="19" t="n">
        <v>1646.28</v>
      </c>
      <c r="I24" s="19" t="n">
        <v>1714.02</v>
      </c>
      <c r="J24" s="19" t="n">
        <v>1722.71</v>
      </c>
      <c r="K24" s="19" t="n">
        <v>2310.19</v>
      </c>
      <c r="L24" s="19" t="n">
        <v>1768.01</v>
      </c>
      <c r="M24" s="19" t="n">
        <v>1601.16</v>
      </c>
      <c r="N24" s="19" t="n">
        <v>1801.64</v>
      </c>
      <c r="O24" s="19" t="n">
        <v>1819.97</v>
      </c>
      <c r="P24" s="19" t="n">
        <v>2286.16</v>
      </c>
      <c r="Q24" s="19" t="n">
        <v>2260.33</v>
      </c>
      <c r="R24" s="19" t="n">
        <v>1936.85</v>
      </c>
      <c r="S24" s="19" t="n">
        <v>2834.85</v>
      </c>
      <c r="T24" s="83" t="n">
        <v>1420.6</v>
      </c>
      <c r="U24" s="83" t="n">
        <v>1573.58</v>
      </c>
      <c r="V24" s="83" t="n">
        <v>1616.14</v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>
        <f>SUM(D23:D24)</f>
        <v/>
      </c>
      <c r="E25" s="35">
        <f>SUM(E23:E24)</f>
        <v/>
      </c>
      <c r="F25" s="35">
        <f>SUM(F23:F24)</f>
        <v/>
      </c>
      <c r="G25" s="35">
        <f>SUM(G23:G24)</f>
        <v/>
      </c>
      <c r="H25" s="35">
        <f>SUM(H23:H24)</f>
        <v/>
      </c>
      <c r="I25" s="35">
        <f>SUM(I23:I24)</f>
        <v/>
      </c>
      <c r="J25" s="35">
        <f>SUM(J23:J24)</f>
        <v/>
      </c>
      <c r="K25" s="35">
        <f>SUM(K23:K24)</f>
        <v/>
      </c>
      <c r="L25" s="35">
        <f>SUM(L23:L24)</f>
        <v/>
      </c>
      <c r="M25" s="35">
        <f>SUM(M23:M24)</f>
        <v/>
      </c>
      <c r="N25" s="35">
        <f>SUM(N23:N24)</f>
        <v/>
      </c>
      <c r="O25" s="35">
        <f>SUM(O23:O24)</f>
        <v/>
      </c>
      <c r="P25" s="35">
        <f>P23+P24</f>
        <v/>
      </c>
      <c r="Q25" s="35">
        <f>Q23+Q24</f>
        <v/>
      </c>
      <c r="R25" s="35">
        <f>R23+R24</f>
        <v/>
      </c>
      <c r="S25" s="35">
        <f>S23+S24</f>
        <v/>
      </c>
      <c r="T25" s="84">
        <f>T23+T24</f>
        <v/>
      </c>
      <c r="U25" s="84">
        <f>U23+U24</f>
        <v/>
      </c>
      <c r="V25" s="84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>
        <f>D21-D25</f>
        <v/>
      </c>
      <c r="E26" s="35">
        <f>E21-E25</f>
        <v/>
      </c>
      <c r="F26" s="35">
        <f>F21-F25</f>
        <v/>
      </c>
      <c r="G26" s="35">
        <f>G21-G25</f>
        <v/>
      </c>
      <c r="H26" s="35">
        <f>H21-H25</f>
        <v/>
      </c>
      <c r="I26" s="35">
        <f>I21-I25</f>
        <v/>
      </c>
      <c r="J26" s="35">
        <f>J21-J25</f>
        <v/>
      </c>
      <c r="K26" s="35">
        <f>K21-K25</f>
        <v/>
      </c>
      <c r="L26" s="35">
        <f>L21-L25</f>
        <v/>
      </c>
      <c r="M26" s="35">
        <f>M21-M25</f>
        <v/>
      </c>
      <c r="N26" s="35">
        <f>N21-N25</f>
        <v/>
      </c>
      <c r="O26" s="35">
        <f>O21-O25</f>
        <v/>
      </c>
      <c r="P26" s="35">
        <f>P21-P25</f>
        <v/>
      </c>
      <c r="Q26" s="35">
        <f>Q21-Q25</f>
        <v/>
      </c>
      <c r="R26" s="35">
        <f>R21-R25</f>
        <v/>
      </c>
      <c r="S26" s="35">
        <f>S21-S25</f>
        <v/>
      </c>
      <c r="T26" s="84">
        <f>T21-T25</f>
        <v/>
      </c>
      <c r="U26" s="84">
        <f>U21-U25</f>
        <v/>
      </c>
      <c r="V26" s="84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" customHeight="1" s="28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2237.32</v>
      </c>
      <c r="E28" s="19" t="n">
        <v>3903.63</v>
      </c>
      <c r="F28" s="19" t="n">
        <v>5460.79</v>
      </c>
      <c r="G28" s="19" t="n">
        <v>4535.14</v>
      </c>
      <c r="H28" s="19" t="n">
        <v>5051.01</v>
      </c>
      <c r="I28" s="19" t="n">
        <v>5177.1</v>
      </c>
      <c r="J28" s="19" t="n">
        <v>2566.3</v>
      </c>
      <c r="K28" s="19" t="n">
        <v>2616.38</v>
      </c>
      <c r="L28" s="19" t="n">
        <v>1443.61</v>
      </c>
      <c r="M28" s="19" t="n">
        <v>1431.07</v>
      </c>
      <c r="N28" s="19" t="n">
        <v>2961.52</v>
      </c>
      <c r="O28" s="19" t="n">
        <v>2106.52</v>
      </c>
      <c r="P28" s="19" t="n">
        <v>2895.04</v>
      </c>
      <c r="Q28" s="19" t="n">
        <v>4517.12</v>
      </c>
      <c r="R28" s="19" t="n">
        <v>2795.44</v>
      </c>
      <c r="S28" s="19" t="n">
        <v>755.11</v>
      </c>
      <c r="T28" s="83" t="n">
        <v>747.4299999999999</v>
      </c>
      <c r="U28" s="83" t="n">
        <v>844.75</v>
      </c>
      <c r="V28" s="83" t="n">
        <v>753.25</v>
      </c>
      <c r="W28" s="20" t="n">
        <v>1048.49</v>
      </c>
      <c r="X28" s="20" t="n">
        <v>1048.49</v>
      </c>
      <c r="Y28" s="20" t="n">
        <v>1048.49</v>
      </c>
      <c r="Z28" s="20" t="n">
        <v>1048.49</v>
      </c>
      <c r="AA28" s="20" t="n">
        <v>1048.49</v>
      </c>
      <c r="AB28" s="20" t="n">
        <v>1048.49</v>
      </c>
      <c r="AC28" s="20" t="n">
        <v>1048.49</v>
      </c>
      <c r="AD28" s="20" t="n">
        <v>1048.49</v>
      </c>
      <c r="AE28" s="20" t="n">
        <v>1048.49</v>
      </c>
      <c r="AF28" s="20" t="n">
        <v>1048.49</v>
      </c>
      <c r="AG28" s="20" t="n">
        <v>1048.49</v>
      </c>
      <c r="AH28" s="20" t="n">
        <v>1048.49</v>
      </c>
      <c r="AI28" s="20" t="n">
        <v>1048.49</v>
      </c>
      <c r="AJ28" s="20" t="n">
        <v>1048.49</v>
      </c>
      <c r="AK28" s="20" t="n">
        <v>1048.49</v>
      </c>
      <c r="AL28" s="20" t="n">
        <v>1048.49</v>
      </c>
      <c r="AM28" s="20" t="n">
        <v>1048.49</v>
      </c>
      <c r="AN28" s="20" t="n">
        <v>1048.49</v>
      </c>
      <c r="AO28" s="20" t="n">
        <v>1048.49</v>
      </c>
      <c r="AP28" s="20" t="n">
        <v>1048.49</v>
      </c>
      <c r="AQ28" s="20" t="n">
        <v>1048.49</v>
      </c>
      <c r="AR28" s="20" t="n">
        <v>1048.49</v>
      </c>
      <c r="AS28" s="20" t="n">
        <v>1048.49</v>
      </c>
      <c r="AT28" s="20" t="n">
        <v>1048.49</v>
      </c>
      <c r="AU28" s="20" t="n">
        <v>1048.49</v>
      </c>
      <c r="AV28" s="20" t="n">
        <v>1048.49</v>
      </c>
      <c r="AW28" s="20" t="n">
        <v>1048.49</v>
      </c>
      <c r="AX28" s="20" t="n">
        <v>1048.49</v>
      </c>
      <c r="AY28" s="20" t="n">
        <v>1048.49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0</v>
      </c>
      <c r="O29" s="19" t="n">
        <v>0</v>
      </c>
      <c r="P29" s="19" t="n">
        <v>0</v>
      </c>
      <c r="Q29" s="19" t="n">
        <v>0</v>
      </c>
      <c r="R29" s="19" t="n">
        <v>0</v>
      </c>
      <c r="S29" s="19" t="n">
        <v>0</v>
      </c>
      <c r="T29" s="83" t="n">
        <v>0</v>
      </c>
      <c r="U29" s="83" t="n">
        <v>0</v>
      </c>
      <c r="V29" s="83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>601006 General Marketing (incl Affiliate, PR, Trade Shows)</t>
        </is>
      </c>
      <c r="D30" s="19" t="n">
        <v>167.69</v>
      </c>
      <c r="E30" s="19" t="n">
        <v>0</v>
      </c>
      <c r="F30" s="19" t="n">
        <v>0</v>
      </c>
      <c r="G30" s="19" t="n">
        <v>1250</v>
      </c>
      <c r="H30" s="19" t="n">
        <v>233.64</v>
      </c>
      <c r="I30" s="19" t="n">
        <v>0</v>
      </c>
      <c r="J30" s="19" t="n">
        <v>0</v>
      </c>
      <c r="K30" s="19" t="n">
        <v>53.77</v>
      </c>
      <c r="L30" s="19" t="n">
        <v>0</v>
      </c>
      <c r="M30" s="19" t="n">
        <v>0</v>
      </c>
      <c r="N30" s="19" t="n">
        <v>0</v>
      </c>
      <c r="O30" s="19" t="n">
        <v>232.43</v>
      </c>
      <c r="P30" s="19" t="n">
        <v>0</v>
      </c>
      <c r="Q30" s="19" t="n">
        <v>0</v>
      </c>
      <c r="R30" s="19" t="n">
        <v>0</v>
      </c>
      <c r="S30" s="19" t="n">
        <v>0</v>
      </c>
      <c r="T30" s="83" t="n">
        <v>0</v>
      </c>
      <c r="U30" s="83" t="n">
        <v>0</v>
      </c>
      <c r="V30" s="83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  <c r="Q31" s="19" t="n">
        <v>0</v>
      </c>
      <c r="R31" s="19" t="n">
        <v>0</v>
      </c>
      <c r="S31" s="19" t="n">
        <v>0</v>
      </c>
      <c r="T31" s="83" t="n">
        <v>0</v>
      </c>
      <c r="U31" s="83" t="n">
        <v>0</v>
      </c>
      <c r="V31" s="83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83" t="n">
        <v>0</v>
      </c>
      <c r="U32" s="83" t="n">
        <v>0</v>
      </c>
      <c r="V32" s="83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>
        <f>SUM(D28:D32)</f>
        <v/>
      </c>
      <c r="E33" s="35">
        <f>SUM(E28:E32)</f>
        <v/>
      </c>
      <c r="F33" s="35">
        <f>SUM(F28:F32)</f>
        <v/>
      </c>
      <c r="G33" s="35">
        <f>SUM(G28:G32)</f>
        <v/>
      </c>
      <c r="H33" s="35">
        <f>SUM(H28:H32)</f>
        <v/>
      </c>
      <c r="I33" s="35">
        <f>SUM(I28:I32)</f>
        <v/>
      </c>
      <c r="J33" s="35">
        <f>SUM(J28:J32)</f>
        <v/>
      </c>
      <c r="K33" s="35">
        <f>SUM(K28:K32)</f>
        <v/>
      </c>
      <c r="L33" s="35">
        <f>SUM(L28:L32)</f>
        <v/>
      </c>
      <c r="M33" s="35">
        <f>SUM(M28:M32)</f>
        <v/>
      </c>
      <c r="N33" s="35">
        <f>SUM(N28:N32)</f>
        <v/>
      </c>
      <c r="O33" s="35">
        <f>SUM(O28:O32)</f>
        <v/>
      </c>
      <c r="P33" s="35">
        <f>P28+P29+P30+P31+P32</f>
        <v/>
      </c>
      <c r="Q33" s="35">
        <f>Q28+Q29+Q30+Q31+Q32</f>
        <v/>
      </c>
      <c r="R33" s="35">
        <f>R28+R29+R30+R31+R32</f>
        <v/>
      </c>
      <c r="S33" s="35">
        <f>S28+S29+S30+S31+S32</f>
        <v/>
      </c>
      <c r="T33" s="84">
        <f>T28+T29+T30+T31+T32</f>
        <v/>
      </c>
      <c r="U33" s="84">
        <f>U28+U29+U30+U31+U32</f>
        <v/>
      </c>
      <c r="V33" s="84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>602001 Wages (incl 1099 &amp; Bonus)</t>
        </is>
      </c>
      <c r="D34" s="19" t="n">
        <v>14432.68</v>
      </c>
      <c r="E34" s="19" t="n">
        <v>25894.01</v>
      </c>
      <c r="F34" s="19" t="n">
        <v>34527.61</v>
      </c>
      <c r="G34" s="19" t="n">
        <v>32673.72</v>
      </c>
      <c r="H34" s="19" t="n">
        <v>41201.71</v>
      </c>
      <c r="I34" s="19" t="n">
        <v>37532.35</v>
      </c>
      <c r="J34" s="19" t="n">
        <v>40198.3</v>
      </c>
      <c r="K34" s="19" t="n">
        <v>40098.65</v>
      </c>
      <c r="L34" s="19" t="n">
        <v>40725.39</v>
      </c>
      <c r="M34" s="19" t="n">
        <v>44185.26</v>
      </c>
      <c r="N34" s="19" t="n">
        <v>42755.92</v>
      </c>
      <c r="O34" s="19" t="n">
        <v>32968.77</v>
      </c>
      <c r="P34" s="19" t="n">
        <v>40079.49</v>
      </c>
      <c r="Q34" s="19" t="n">
        <v>43738.2</v>
      </c>
      <c r="R34" s="19" t="n">
        <v>45162.72</v>
      </c>
      <c r="S34" s="19" t="n">
        <v>43699.92</v>
      </c>
      <c r="T34" s="83" t="n">
        <v>42241.15</v>
      </c>
      <c r="U34" s="83" t="n">
        <v>35000.53</v>
      </c>
      <c r="V34" s="83" t="n">
        <v>33362.13</v>
      </c>
      <c r="W34" s="20" t="n">
        <v>37354.2</v>
      </c>
      <c r="X34" s="20" t="n">
        <v>33940.26</v>
      </c>
      <c r="Y34" s="20" t="n">
        <v>33091.87</v>
      </c>
      <c r="Z34" s="20" t="n">
        <v>32243.49</v>
      </c>
      <c r="AA34" s="20" t="n">
        <v>33945.7</v>
      </c>
      <c r="AB34" s="20" t="n">
        <v>32864.89</v>
      </c>
      <c r="AC34" s="20" t="n">
        <v>32888.13</v>
      </c>
      <c r="AD34" s="20" t="n">
        <v>32825.1</v>
      </c>
      <c r="AE34" s="20" t="n">
        <v>32801.29</v>
      </c>
      <c r="AF34" s="20" t="n">
        <v>32853.18</v>
      </c>
      <c r="AG34" s="20" t="n">
        <v>32805.5</v>
      </c>
      <c r="AH34" s="20" t="n">
        <v>32795.7</v>
      </c>
      <c r="AI34" s="20" t="n">
        <v>32839.26</v>
      </c>
      <c r="AJ34" s="20" t="n">
        <v>32814.22</v>
      </c>
      <c r="AK34" s="20" t="n">
        <v>32806.93</v>
      </c>
      <c r="AL34" s="20" t="n">
        <v>32796.9</v>
      </c>
      <c r="AM34" s="20" t="n">
        <v>32823.55</v>
      </c>
      <c r="AN34" s="20" t="n">
        <v>32864.89</v>
      </c>
      <c r="AO34" s="20" t="n">
        <v>32888.13</v>
      </c>
      <c r="AP34" s="20" t="n">
        <v>32825.1</v>
      </c>
      <c r="AQ34" s="20" t="n">
        <v>32801.29</v>
      </c>
      <c r="AR34" s="20" t="n">
        <v>32853.18</v>
      </c>
      <c r="AS34" s="20" t="n">
        <v>32805.5</v>
      </c>
      <c r="AT34" s="20" t="n">
        <v>32795.7</v>
      </c>
      <c r="AU34" s="20" t="n">
        <v>32839.26</v>
      </c>
      <c r="AV34" s="20" t="n">
        <v>32814.22</v>
      </c>
      <c r="AW34" s="20" t="n">
        <v>32806.93</v>
      </c>
      <c r="AX34" s="20" t="n">
        <v>32796.9</v>
      </c>
      <c r="AY34" s="20" t="n">
        <v>32823.55</v>
      </c>
    </row>
    <row r="35">
      <c r="B35" s="33" t="inlineStr">
        <is>
          <t xml:space="preserve">  602004 Payroll Taxes</t>
        </is>
      </c>
      <c r="D35" s="19" t="n">
        <v>1635.07</v>
      </c>
      <c r="E35" s="19" t="n">
        <v>2484.08</v>
      </c>
      <c r="F35" s="19" t="n">
        <v>3416.27</v>
      </c>
      <c r="G35" s="19" t="n">
        <v>3196.86</v>
      </c>
      <c r="H35" s="19" t="n">
        <v>3908.34</v>
      </c>
      <c r="I35" s="19" t="n">
        <v>3588.65</v>
      </c>
      <c r="J35" s="19" t="n">
        <v>3782.5</v>
      </c>
      <c r="K35" s="19" t="n">
        <v>3705.71</v>
      </c>
      <c r="L35" s="19" t="n">
        <v>3606.75</v>
      </c>
      <c r="M35" s="19" t="n">
        <v>3914.62</v>
      </c>
      <c r="N35" s="19" t="n">
        <v>3933.01</v>
      </c>
      <c r="O35" s="19" t="n">
        <v>3488.23</v>
      </c>
      <c r="P35" s="19" t="n">
        <v>7091.16</v>
      </c>
      <c r="Q35" s="19" t="n">
        <v>4650.63</v>
      </c>
      <c r="R35" s="19" t="n">
        <v>4519</v>
      </c>
      <c r="S35" s="19" t="n">
        <v>4005.5</v>
      </c>
      <c r="T35" s="83" t="n">
        <v>3689.61</v>
      </c>
      <c r="U35" s="83" t="n">
        <v>2934.81</v>
      </c>
      <c r="V35" s="83" t="n">
        <v>2947.4</v>
      </c>
      <c r="W35" s="20" t="n">
        <v>4384</v>
      </c>
      <c r="X35" s="20" t="n">
        <v>3983.33</v>
      </c>
      <c r="Y35" s="20" t="n">
        <v>3883.76</v>
      </c>
      <c r="Z35" s="20" t="n">
        <v>3784.19</v>
      </c>
      <c r="AA35" s="20" t="n">
        <v>3983.97</v>
      </c>
      <c r="AB35" s="20" t="n">
        <v>3857.12</v>
      </c>
      <c r="AC35" s="20" t="n">
        <v>3859.85</v>
      </c>
      <c r="AD35" s="20" t="n">
        <v>3852.45</v>
      </c>
      <c r="AE35" s="20" t="n">
        <v>3849.66</v>
      </c>
      <c r="AF35" s="20" t="n">
        <v>3855.75</v>
      </c>
      <c r="AG35" s="20" t="n">
        <v>3850.15</v>
      </c>
      <c r="AH35" s="20" t="n">
        <v>3849</v>
      </c>
      <c r="AI35" s="20" t="n">
        <v>3854.12</v>
      </c>
      <c r="AJ35" s="20" t="n">
        <v>3851.18</v>
      </c>
      <c r="AK35" s="20" t="n">
        <v>3850.32</v>
      </c>
      <c r="AL35" s="20" t="n">
        <v>3849.14</v>
      </c>
      <c r="AM35" s="20" t="n">
        <v>3852.27</v>
      </c>
      <c r="AN35" s="20" t="n">
        <v>3857.12</v>
      </c>
      <c r="AO35" s="20" t="n">
        <v>3859.85</v>
      </c>
      <c r="AP35" s="20" t="n">
        <v>3852.45</v>
      </c>
      <c r="AQ35" s="20" t="n">
        <v>3849.66</v>
      </c>
      <c r="AR35" s="20" t="n">
        <v>3855.75</v>
      </c>
      <c r="AS35" s="20" t="n">
        <v>3850.15</v>
      </c>
      <c r="AT35" s="20" t="n">
        <v>3849</v>
      </c>
      <c r="AU35" s="20" t="n">
        <v>3854.12</v>
      </c>
      <c r="AV35" s="20" t="n">
        <v>3851.18</v>
      </c>
      <c r="AW35" s="20" t="n">
        <v>3850.32</v>
      </c>
      <c r="AX35" s="20" t="n">
        <v>3849.14</v>
      </c>
      <c r="AY35" s="20" t="n">
        <v>3852.27</v>
      </c>
    </row>
    <row r="36">
      <c r="B36" s="33" t="inlineStr">
        <is>
          <t>602005 Employee Benefits (incl Workers Comp)</t>
        </is>
      </c>
      <c r="D36" s="19" t="n">
        <v>117.14</v>
      </c>
      <c r="E36" s="19" t="n">
        <v>141.1</v>
      </c>
      <c r="F36" s="19" t="n">
        <v>-134.92</v>
      </c>
      <c r="G36" s="19" t="n">
        <v>197.92</v>
      </c>
      <c r="H36" s="19" t="n">
        <v>410.37</v>
      </c>
      <c r="I36" s="19" t="n">
        <v>713.47</v>
      </c>
      <c r="J36" s="19" t="n">
        <v>794.0700000000001</v>
      </c>
      <c r="K36" s="19" t="n">
        <v>872.8200000000001</v>
      </c>
      <c r="L36" s="19" t="n">
        <v>1275.93</v>
      </c>
      <c r="M36" s="19" t="n">
        <v>1076.87</v>
      </c>
      <c r="N36" s="19" t="n">
        <v>566.65</v>
      </c>
      <c r="O36" s="19" t="n">
        <v>17.52</v>
      </c>
      <c r="P36" s="19" t="n">
        <v>307.52</v>
      </c>
      <c r="Q36" s="19" t="n">
        <v>638.95</v>
      </c>
      <c r="R36" s="19" t="n">
        <v>695.03</v>
      </c>
      <c r="S36" s="19" t="n">
        <v>501.42</v>
      </c>
      <c r="T36" s="83" t="n">
        <v>505.09</v>
      </c>
      <c r="U36" s="83" t="n">
        <v>561.99</v>
      </c>
      <c r="V36" s="83" t="n">
        <v>401.84</v>
      </c>
      <c r="W36" s="20" t="n">
        <v>429.16</v>
      </c>
      <c r="X36" s="20" t="n">
        <v>389.94</v>
      </c>
      <c r="Y36" s="20" t="n">
        <v>380.19</v>
      </c>
      <c r="Z36" s="20" t="n">
        <v>370.44</v>
      </c>
      <c r="AA36" s="20" t="n">
        <v>390</v>
      </c>
      <c r="AB36" s="20" t="n">
        <v>377.58</v>
      </c>
      <c r="AC36" s="20" t="n">
        <v>377.85</v>
      </c>
      <c r="AD36" s="20" t="n">
        <v>377.13</v>
      </c>
      <c r="AE36" s="20" t="n">
        <v>376.85</v>
      </c>
      <c r="AF36" s="20" t="n">
        <v>377.45</v>
      </c>
      <c r="AG36" s="20" t="n">
        <v>376.9</v>
      </c>
      <c r="AH36" s="20" t="n">
        <v>376.79</v>
      </c>
      <c r="AI36" s="20" t="n">
        <v>377.29</v>
      </c>
      <c r="AJ36" s="20" t="n">
        <v>377</v>
      </c>
      <c r="AK36" s="20" t="n">
        <v>376.92</v>
      </c>
      <c r="AL36" s="20" t="n">
        <v>376.8</v>
      </c>
      <c r="AM36" s="20" t="n">
        <v>377.11</v>
      </c>
      <c r="AN36" s="20" t="n">
        <v>377.58</v>
      </c>
      <c r="AO36" s="20" t="n">
        <v>377.85</v>
      </c>
      <c r="AP36" s="20" t="n">
        <v>377.13</v>
      </c>
      <c r="AQ36" s="20" t="n">
        <v>376.85</v>
      </c>
      <c r="AR36" s="20" t="n">
        <v>377.45</v>
      </c>
      <c r="AS36" s="20" t="n">
        <v>376.9</v>
      </c>
      <c r="AT36" s="20" t="n">
        <v>376.79</v>
      </c>
      <c r="AU36" s="20" t="n">
        <v>377.29</v>
      </c>
      <c r="AV36" s="20" t="n">
        <v>377</v>
      </c>
      <c r="AW36" s="20" t="n">
        <v>376.92</v>
      </c>
      <c r="AX36" s="20" t="n">
        <v>376.8</v>
      </c>
      <c r="AY36" s="20" t="n">
        <v>377.11</v>
      </c>
    </row>
    <row r="37">
      <c r="B37" s="33" t="inlineStr">
        <is>
          <t xml:space="preserve">  602010 Payroll Processing Fees</t>
        </is>
      </c>
      <c r="D37" s="19" t="n">
        <v>287.52</v>
      </c>
      <c r="E37" s="19" t="n">
        <v>241.2</v>
      </c>
      <c r="F37" s="19" t="n">
        <v>270</v>
      </c>
      <c r="G37" s="19" t="n">
        <v>284.4</v>
      </c>
      <c r="H37" s="19" t="n">
        <v>284.4</v>
      </c>
      <c r="I37" s="19" t="n">
        <v>307.44</v>
      </c>
      <c r="J37" s="19" t="n">
        <v>290.16</v>
      </c>
      <c r="K37" s="19" t="n">
        <v>461.16</v>
      </c>
      <c r="L37" s="19" t="n">
        <v>324.72</v>
      </c>
      <c r="M37" s="19" t="n">
        <v>324.72</v>
      </c>
      <c r="N37" s="19" t="n">
        <v>327.6</v>
      </c>
      <c r="O37" s="19" t="n">
        <v>1025.49</v>
      </c>
      <c r="P37" s="19" t="n">
        <v>1511.17</v>
      </c>
      <c r="Q37" s="19" t="n">
        <v>2150.77</v>
      </c>
      <c r="R37" s="19" t="n">
        <v>2902.85</v>
      </c>
      <c r="S37" s="19" t="n">
        <v>2044.7</v>
      </c>
      <c r="T37" s="83" t="n">
        <v>1927.6</v>
      </c>
      <c r="U37" s="83" t="n">
        <v>1685.07</v>
      </c>
      <c r="V37" s="83" t="n">
        <v>1462.29</v>
      </c>
      <c r="W37" s="20" t="n">
        <v>1862.4</v>
      </c>
      <c r="X37" s="20" t="n">
        <v>1692.19</v>
      </c>
      <c r="Y37" s="20" t="n">
        <v>1649.89</v>
      </c>
      <c r="Z37" s="20" t="n">
        <v>1607.59</v>
      </c>
      <c r="AA37" s="20" t="n">
        <v>1692.46</v>
      </c>
      <c r="AB37" s="20" t="n">
        <v>1638.58</v>
      </c>
      <c r="AC37" s="20" t="n">
        <v>1639.74</v>
      </c>
      <c r="AD37" s="20" t="n">
        <v>1636.59</v>
      </c>
      <c r="AE37" s="20" t="n">
        <v>1635.41</v>
      </c>
      <c r="AF37" s="20" t="n">
        <v>1637.99</v>
      </c>
      <c r="AG37" s="20" t="n">
        <v>1635.62</v>
      </c>
      <c r="AH37" s="20" t="n">
        <v>1635.13</v>
      </c>
      <c r="AI37" s="20" t="n">
        <v>1637.3</v>
      </c>
      <c r="AJ37" s="20" t="n">
        <v>1636.05</v>
      </c>
      <c r="AK37" s="20" t="n">
        <v>1635.69</v>
      </c>
      <c r="AL37" s="20" t="n">
        <v>1635.19</v>
      </c>
      <c r="AM37" s="20" t="n">
        <v>1636.52</v>
      </c>
      <c r="AN37" s="20" t="n">
        <v>1638.58</v>
      </c>
      <c r="AO37" s="20" t="n">
        <v>1639.74</v>
      </c>
      <c r="AP37" s="20" t="n">
        <v>1636.59</v>
      </c>
      <c r="AQ37" s="20" t="n">
        <v>1635.41</v>
      </c>
      <c r="AR37" s="20" t="n">
        <v>1637.99</v>
      </c>
      <c r="AS37" s="20" t="n">
        <v>1635.62</v>
      </c>
      <c r="AT37" s="20" t="n">
        <v>1635.13</v>
      </c>
      <c r="AU37" s="20" t="n">
        <v>1637.3</v>
      </c>
      <c r="AV37" s="20" t="n">
        <v>1636.05</v>
      </c>
      <c r="AW37" s="20" t="n">
        <v>1635.69</v>
      </c>
      <c r="AX37" s="20" t="n">
        <v>1635.19</v>
      </c>
      <c r="AY37" s="20" t="n">
        <v>1636.52</v>
      </c>
    </row>
    <row r="38">
      <c r="B38" s="32" t="inlineStr">
        <is>
          <t>Total Payroll</t>
        </is>
      </c>
      <c r="C38" s="34" t="n"/>
      <c r="D38" s="35">
        <f>SUM(D34:D37)</f>
        <v/>
      </c>
      <c r="E38" s="35">
        <f>SUM(E34:E37)</f>
        <v/>
      </c>
      <c r="F38" s="35">
        <f>SUM(F34:F37)</f>
        <v/>
      </c>
      <c r="G38" s="35">
        <f>SUM(G34:G37)</f>
        <v/>
      </c>
      <c r="H38" s="35">
        <f>SUM(H34:H37)</f>
        <v/>
      </c>
      <c r="I38" s="35">
        <f>SUM(I34:I37)</f>
        <v/>
      </c>
      <c r="J38" s="35">
        <f>SUM(J34:J37)</f>
        <v/>
      </c>
      <c r="K38" s="35">
        <f>SUM(K34:K37)</f>
        <v/>
      </c>
      <c r="L38" s="35">
        <f>SUM(L34:L37)</f>
        <v/>
      </c>
      <c r="M38" s="35">
        <f>SUM(M34:M37)</f>
        <v/>
      </c>
      <c r="N38" s="35">
        <f>SUM(N34:N37)</f>
        <v/>
      </c>
      <c r="O38" s="35">
        <f>SUM(O34:O37)</f>
        <v/>
      </c>
      <c r="P38" s="35">
        <f>P34+P35+P36+P37</f>
        <v/>
      </c>
      <c r="Q38" s="35">
        <f>Q34+Q35+Q36+Q37</f>
        <v/>
      </c>
      <c r="R38" s="35">
        <f>R34+R35+R36+R37</f>
        <v/>
      </c>
      <c r="S38" s="35">
        <f>S34+S35+S36+S37</f>
        <v/>
      </c>
      <c r="T38" s="84">
        <f>T34+T35+T36+T37</f>
        <v/>
      </c>
      <c r="U38" s="84">
        <f>U34+U35+U36+U37</f>
        <v/>
      </c>
      <c r="V38" s="84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593.29</v>
      </c>
      <c r="E39" s="19" t="n">
        <v>610.28</v>
      </c>
      <c r="F39" s="19" t="n">
        <v>593.29</v>
      </c>
      <c r="G39" s="19" t="n">
        <v>1223.29</v>
      </c>
      <c r="H39" s="19" t="n">
        <v>1243</v>
      </c>
      <c r="I39" s="19" t="n">
        <v>545.5</v>
      </c>
      <c r="J39" s="19" t="n">
        <v>821.99</v>
      </c>
      <c r="K39" s="19" t="n">
        <v>1846.77</v>
      </c>
      <c r="L39" s="19" t="n">
        <v>725.99</v>
      </c>
      <c r="M39" s="19" t="n">
        <v>835.08</v>
      </c>
      <c r="N39" s="19" t="n">
        <v>897.76</v>
      </c>
      <c r="O39" s="19" t="n">
        <v>835.08</v>
      </c>
      <c r="P39" s="19" t="n">
        <v>840.4400000000001</v>
      </c>
      <c r="Q39" s="19" t="n">
        <v>1314.43</v>
      </c>
      <c r="R39" s="19" t="n">
        <v>858.0700000000001</v>
      </c>
      <c r="S39" s="19" t="n">
        <v>1677.69</v>
      </c>
      <c r="T39" s="83" t="n">
        <v>882.25</v>
      </c>
      <c r="U39" s="83" t="n">
        <v>882.25</v>
      </c>
      <c r="V39" s="83" t="n">
        <v>881.25</v>
      </c>
      <c r="W39" s="20" t="n">
        <v>903.22</v>
      </c>
      <c r="X39" s="20" t="n">
        <v>903.22</v>
      </c>
      <c r="Y39" s="20" t="n">
        <v>903.22</v>
      </c>
      <c r="Z39" s="20" t="n">
        <v>903.22</v>
      </c>
      <c r="AA39" s="20" t="n">
        <v>903.22</v>
      </c>
      <c r="AB39" s="20" t="n">
        <v>903.22</v>
      </c>
      <c r="AC39" s="20" t="n">
        <v>903.22</v>
      </c>
      <c r="AD39" s="20" t="n">
        <v>903.22</v>
      </c>
      <c r="AE39" s="20" t="n">
        <v>903.22</v>
      </c>
      <c r="AF39" s="20" t="n">
        <v>903.22</v>
      </c>
      <c r="AG39" s="20" t="n">
        <v>903.22</v>
      </c>
      <c r="AH39" s="20" t="n">
        <v>903.22</v>
      </c>
      <c r="AI39" s="20" t="n">
        <v>903.22</v>
      </c>
      <c r="AJ39" s="20" t="n">
        <v>903.22</v>
      </c>
      <c r="AK39" s="20" t="n">
        <v>903.22</v>
      </c>
      <c r="AL39" s="20" t="n">
        <v>903.22</v>
      </c>
      <c r="AM39" s="20" t="n">
        <v>903.22</v>
      </c>
      <c r="AN39" s="20" t="n">
        <v>903.22</v>
      </c>
      <c r="AO39" s="20" t="n">
        <v>903.22</v>
      </c>
      <c r="AP39" s="20" t="n">
        <v>903.22</v>
      </c>
      <c r="AQ39" s="20" t="n">
        <v>903.22</v>
      </c>
      <c r="AR39" s="20" t="n">
        <v>903.22</v>
      </c>
      <c r="AS39" s="20" t="n">
        <v>903.22</v>
      </c>
      <c r="AT39" s="20" t="n">
        <v>903.22</v>
      </c>
      <c r="AU39" s="20" t="n">
        <v>903.22</v>
      </c>
      <c r="AV39" s="20" t="n">
        <v>903.22</v>
      </c>
      <c r="AW39" s="20" t="n">
        <v>903.22</v>
      </c>
      <c r="AX39" s="20" t="n">
        <v>903.22</v>
      </c>
      <c r="AY39" s="20" t="n">
        <v>903.22</v>
      </c>
    </row>
    <row r="40">
      <c r="B40" s="33" t="inlineStr">
        <is>
          <t xml:space="preserve">  608000 Insurance</t>
        </is>
      </c>
      <c r="D40" s="19" t="n">
        <v>286.23</v>
      </c>
      <c r="E40" s="19" t="n">
        <v>286.23</v>
      </c>
      <c r="F40" s="19" t="n">
        <v>286.23</v>
      </c>
      <c r="G40" s="19" t="n">
        <v>286.23</v>
      </c>
      <c r="H40" s="19" t="n">
        <v>286.23</v>
      </c>
      <c r="I40" s="19" t="n">
        <v>286.23</v>
      </c>
      <c r="J40" s="19" t="n">
        <v>286.23</v>
      </c>
      <c r="K40" s="19" t="n">
        <v>286.23</v>
      </c>
      <c r="L40" s="19" t="n">
        <v>286.23</v>
      </c>
      <c r="M40" s="19" t="n">
        <v>410.11</v>
      </c>
      <c r="N40" s="19" t="n">
        <v>410.11</v>
      </c>
      <c r="O40" s="19" t="n">
        <v>803.09</v>
      </c>
      <c r="P40" s="19" t="n">
        <v>249.6</v>
      </c>
      <c r="Q40" s="19" t="n">
        <v>249.6</v>
      </c>
      <c r="R40" s="19" t="n">
        <v>329.13</v>
      </c>
      <c r="S40" s="19" t="n">
        <v>329.13</v>
      </c>
      <c r="T40" s="83" t="n">
        <v>294.83</v>
      </c>
      <c r="U40" s="83" t="n">
        <v>290.82</v>
      </c>
      <c r="V40" s="83" t="n">
        <v>290.82</v>
      </c>
      <c r="W40" s="20" t="n">
        <v>133.12</v>
      </c>
      <c r="X40" s="20" t="n">
        <v>133.12</v>
      </c>
      <c r="Y40" s="20" t="n">
        <v>133.12</v>
      </c>
      <c r="Z40" s="20" t="n">
        <v>133.12</v>
      </c>
      <c r="AA40" s="20" t="n">
        <v>133.12</v>
      </c>
      <c r="AB40" s="20" t="n">
        <v>133.12</v>
      </c>
      <c r="AC40" s="20" t="n">
        <v>133.12</v>
      </c>
      <c r="AD40" s="20" t="n">
        <v>133.12</v>
      </c>
      <c r="AE40" s="20" t="n">
        <v>133.12</v>
      </c>
      <c r="AF40" s="20" t="n">
        <v>133.12</v>
      </c>
      <c r="AG40" s="20" t="n">
        <v>133.12</v>
      </c>
      <c r="AH40" s="20" t="n">
        <v>133.12</v>
      </c>
      <c r="AI40" s="20" t="n">
        <v>133.12</v>
      </c>
      <c r="AJ40" s="20" t="n">
        <v>133.12</v>
      </c>
      <c r="AK40" s="20" t="n">
        <v>133.12</v>
      </c>
      <c r="AL40" s="20" t="n">
        <v>133.12</v>
      </c>
      <c r="AM40" s="20" t="n">
        <v>133.12</v>
      </c>
      <c r="AN40" s="20" t="n">
        <v>133.12</v>
      </c>
      <c r="AO40" s="20" t="n">
        <v>133.12</v>
      </c>
      <c r="AP40" s="20" t="n">
        <v>133.12</v>
      </c>
      <c r="AQ40" s="20" t="n">
        <v>133.12</v>
      </c>
      <c r="AR40" s="20" t="n">
        <v>133.12</v>
      </c>
      <c r="AS40" s="20" t="n">
        <v>133.12</v>
      </c>
      <c r="AT40" s="20" t="n">
        <v>133.12</v>
      </c>
      <c r="AU40" s="20" t="n">
        <v>133.12</v>
      </c>
      <c r="AV40" s="20" t="n">
        <v>133.12</v>
      </c>
      <c r="AW40" s="20" t="n">
        <v>133.12</v>
      </c>
      <c r="AX40" s="20" t="n">
        <v>133.12</v>
      </c>
      <c r="AY40" s="20" t="n">
        <v>133.12</v>
      </c>
    </row>
    <row r="41">
      <c r="B41" s="33" t="inlineStr">
        <is>
          <t>610000 Office Supplies &amp; GE (incl Licenses, Furniture, Shipping, Bank Fees, Start-Up Costs)</t>
        </is>
      </c>
      <c r="D41" s="19" t="n">
        <v>715.16</v>
      </c>
      <c r="E41" s="19" t="n">
        <v>4362.93</v>
      </c>
      <c r="F41" s="19" t="n">
        <v>3030.83</v>
      </c>
      <c r="G41" s="19" t="n">
        <v>823.39</v>
      </c>
      <c r="H41" s="19" t="n">
        <v>210.28</v>
      </c>
      <c r="I41" s="19" t="n">
        <v>176.84</v>
      </c>
      <c r="J41" s="19" t="n">
        <v>631.97</v>
      </c>
      <c r="K41" s="19" t="n">
        <v>689.59</v>
      </c>
      <c r="L41" s="19" t="n">
        <v>376.27</v>
      </c>
      <c r="M41" s="19" t="n">
        <v>429.46</v>
      </c>
      <c r="N41" s="19" t="n">
        <v>432.87</v>
      </c>
      <c r="O41" s="19" t="n">
        <v>615.1</v>
      </c>
      <c r="P41" s="19" t="n">
        <v>199.69</v>
      </c>
      <c r="Q41" s="19" t="n">
        <v>908.39</v>
      </c>
      <c r="R41" s="19" t="n">
        <v>1558.93</v>
      </c>
      <c r="S41" s="19" t="n">
        <v>935.23</v>
      </c>
      <c r="T41" s="83" t="n">
        <v>830.61</v>
      </c>
      <c r="U41" s="83" t="n">
        <v>522.3099999999999</v>
      </c>
      <c r="V41" s="83" t="n">
        <v>306.55</v>
      </c>
      <c r="W41" s="20" t="n">
        <v>2108.39</v>
      </c>
      <c r="X41" s="20" t="n">
        <v>2108.39</v>
      </c>
      <c r="Y41" s="20" t="n">
        <v>2108.39</v>
      </c>
      <c r="Z41" s="20" t="n">
        <v>2108.39</v>
      </c>
      <c r="AA41" s="20" t="n">
        <v>2108.39</v>
      </c>
      <c r="AB41" s="20" t="n">
        <v>2108.39</v>
      </c>
      <c r="AC41" s="20" t="n">
        <v>2108.39</v>
      </c>
      <c r="AD41" s="20" t="n">
        <v>2108.39</v>
      </c>
      <c r="AE41" s="20" t="n">
        <v>2108.39</v>
      </c>
      <c r="AF41" s="20" t="n">
        <v>2108.39</v>
      </c>
      <c r="AG41" s="20" t="n">
        <v>2108.39</v>
      </c>
      <c r="AH41" s="20" t="n">
        <v>2108.39</v>
      </c>
      <c r="AI41" s="20" t="n">
        <v>2108.39</v>
      </c>
      <c r="AJ41" s="20" t="n">
        <v>2108.39</v>
      </c>
      <c r="AK41" s="20" t="n">
        <v>2108.39</v>
      </c>
      <c r="AL41" s="20" t="n">
        <v>2108.39</v>
      </c>
      <c r="AM41" s="20" t="n">
        <v>2108.39</v>
      </c>
      <c r="AN41" s="20" t="n">
        <v>2108.39</v>
      </c>
      <c r="AO41" s="20" t="n">
        <v>2108.39</v>
      </c>
      <c r="AP41" s="20" t="n">
        <v>2108.39</v>
      </c>
      <c r="AQ41" s="20" t="n">
        <v>2108.39</v>
      </c>
      <c r="AR41" s="20" t="n">
        <v>2108.39</v>
      </c>
      <c r="AS41" s="20" t="n">
        <v>2108.39</v>
      </c>
      <c r="AT41" s="20" t="n">
        <v>2108.39</v>
      </c>
      <c r="AU41" s="20" t="n">
        <v>2108.39</v>
      </c>
      <c r="AV41" s="20" t="n">
        <v>2108.39</v>
      </c>
      <c r="AW41" s="20" t="n">
        <v>2108.39</v>
      </c>
      <c r="AX41" s="20" t="n">
        <v>2108.39</v>
      </c>
      <c r="AY41" s="20" t="n">
        <v>2108.39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3" t="n">
        <v>0</v>
      </c>
      <c r="U43" s="83" t="n">
        <v>0</v>
      </c>
      <c r="V43" s="83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1250</v>
      </c>
      <c r="I44" s="19" t="n">
        <v>0</v>
      </c>
      <c r="J44" s="19" t="n">
        <v>0</v>
      </c>
      <c r="K44" s="19" t="n">
        <v>1306.25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3" t="n">
        <v>1116.82</v>
      </c>
      <c r="U44" s="83" t="n">
        <v>0</v>
      </c>
      <c r="V44" s="83" t="n">
        <v>0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3" t="n">
        <v>0</v>
      </c>
      <c r="U45" s="83" t="n">
        <v>0</v>
      </c>
      <c r="V45" s="83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600</v>
      </c>
      <c r="G46" s="19" t="n">
        <v>0</v>
      </c>
      <c r="H46" s="19" t="n">
        <v>750</v>
      </c>
      <c r="I46" s="19" t="n">
        <v>0</v>
      </c>
      <c r="J46" s="19" t="n">
        <v>479.1</v>
      </c>
      <c r="K46" s="19" t="n">
        <v>479.1</v>
      </c>
      <c r="L46" s="19" t="n">
        <v>1561.44</v>
      </c>
      <c r="M46" s="19" t="n">
        <v>481</v>
      </c>
      <c r="N46" s="19" t="n">
        <v>2194.86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3" t="n">
        <v>516</v>
      </c>
      <c r="U46" s="83" t="n">
        <v>516</v>
      </c>
      <c r="V46" s="83" t="n">
        <v>516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s="35">
        <f>SUM(D43:D46)</f>
        <v/>
      </c>
      <c r="E47" s="35">
        <f>SUM(E43:E46)</f>
        <v/>
      </c>
      <c r="F47" s="35">
        <f>SUM(F43:F46)</f>
        <v/>
      </c>
      <c r="G47" s="35">
        <f>SUM(G43:G46)</f>
        <v/>
      </c>
      <c r="H47" s="35">
        <f>SUM(H43:H46)</f>
        <v/>
      </c>
      <c r="I47" s="35">
        <f>SUM(I43:I46)</f>
        <v/>
      </c>
      <c r="J47" s="35">
        <f>SUM(J43:J46)</f>
        <v/>
      </c>
      <c r="K47" s="35">
        <f>SUM(K43:K46)</f>
        <v/>
      </c>
      <c r="L47" s="35">
        <f>SUM(L43:L46)</f>
        <v/>
      </c>
      <c r="M47" s="35">
        <f>SUM(M43:M46)</f>
        <v/>
      </c>
      <c r="N47" s="35">
        <f>SUM(N43:N46)</f>
        <v/>
      </c>
      <c r="O47" s="35">
        <f>SUM(O43:O46)</f>
        <v/>
      </c>
      <c r="P47" s="35">
        <f>P43+P44+P45+P46</f>
        <v/>
      </c>
      <c r="Q47" s="35">
        <f>Q43+Q44+Q45+Q46</f>
        <v/>
      </c>
      <c r="R47" s="35">
        <f>R43+R44+R45+R46</f>
        <v/>
      </c>
      <c r="S47" s="35">
        <f>S43+S44+S45+S46</f>
        <v/>
      </c>
      <c r="T47" s="84">
        <f>T43+T44+T45+T46</f>
        <v/>
      </c>
      <c r="U47" s="84">
        <f>U43+U44+U45+U46</f>
        <v/>
      </c>
      <c r="V47" s="84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>
        <v>0</v>
      </c>
      <c r="E48" s="19" t="n">
        <v>1177.88</v>
      </c>
      <c r="F48" s="19" t="n">
        <v>111.46</v>
      </c>
      <c r="G48" s="19" t="n">
        <v>1312.11</v>
      </c>
      <c r="H48" s="19" t="n">
        <v>90.45</v>
      </c>
      <c r="I48" s="19" t="n">
        <v>152.48</v>
      </c>
      <c r="J48" s="19" t="n">
        <v>75.84999999999999</v>
      </c>
      <c r="K48" s="19" t="n">
        <v>76</v>
      </c>
      <c r="L48" s="19" t="n">
        <v>214.44</v>
      </c>
      <c r="M48" s="19" t="n">
        <v>74.5</v>
      </c>
      <c r="N48" s="19" t="n">
        <v>47</v>
      </c>
      <c r="O48" s="19" t="n">
        <v>147.94</v>
      </c>
      <c r="P48" s="19" t="n">
        <v>62.12</v>
      </c>
      <c r="Q48" s="19" t="n">
        <v>82.98999999999999</v>
      </c>
      <c r="R48" s="19" t="n">
        <v>180.48</v>
      </c>
      <c r="S48" s="19" t="n">
        <v>102.57</v>
      </c>
      <c r="T48" s="83" t="n">
        <v>153.92</v>
      </c>
      <c r="U48" s="83" t="n">
        <v>175.67</v>
      </c>
      <c r="V48" s="83" t="n">
        <v>0</v>
      </c>
      <c r="W48" s="20" t="n">
        <v>271.33</v>
      </c>
      <c r="X48" s="20" t="n">
        <v>271.33</v>
      </c>
      <c r="Y48" s="20" t="n">
        <v>271.33</v>
      </c>
      <c r="Z48" s="20" t="n">
        <v>271.33</v>
      </c>
      <c r="AA48" s="20" t="n">
        <v>271.33</v>
      </c>
      <c r="AB48" s="20" t="n">
        <v>271.33</v>
      </c>
      <c r="AC48" s="20" t="n">
        <v>271.33</v>
      </c>
      <c r="AD48" s="20" t="n">
        <v>271.33</v>
      </c>
      <c r="AE48" s="20" t="n">
        <v>271.33</v>
      </c>
      <c r="AF48" s="20" t="n">
        <v>271.33</v>
      </c>
      <c r="AG48" s="20" t="n">
        <v>271.33</v>
      </c>
      <c r="AH48" s="20" t="n">
        <v>271.33</v>
      </c>
      <c r="AI48" s="20" t="n">
        <v>271.33</v>
      </c>
      <c r="AJ48" s="20" t="n">
        <v>271.33</v>
      </c>
      <c r="AK48" s="20" t="n">
        <v>271.33</v>
      </c>
      <c r="AL48" s="20" t="n">
        <v>271.33</v>
      </c>
      <c r="AM48" s="20" t="n">
        <v>271.33</v>
      </c>
      <c r="AN48" s="20" t="n">
        <v>271.33</v>
      </c>
      <c r="AO48" s="20" t="n">
        <v>271.33</v>
      </c>
      <c r="AP48" s="20" t="n">
        <v>271.33</v>
      </c>
      <c r="AQ48" s="20" t="n">
        <v>271.33</v>
      </c>
      <c r="AR48" s="20" t="n">
        <v>271.33</v>
      </c>
      <c r="AS48" s="20" t="n">
        <v>271.33</v>
      </c>
      <c r="AT48" s="20" t="n">
        <v>271.33</v>
      </c>
      <c r="AU48" s="20" t="n">
        <v>271.33</v>
      </c>
      <c r="AV48" s="20" t="n">
        <v>271.33</v>
      </c>
      <c r="AW48" s="20" t="n">
        <v>271.33</v>
      </c>
      <c r="AX48" s="20" t="n">
        <v>271.33</v>
      </c>
      <c r="AY48" s="20" t="n">
        <v>271.33</v>
      </c>
    </row>
    <row r="49">
      <c r="B49" s="33" t="inlineStr">
        <is>
          <t>606000 Meals (incl Entertainment)</t>
        </is>
      </c>
      <c r="D49" s="19" t="n">
        <v>0</v>
      </c>
      <c r="E49" s="19" t="n">
        <v>1014.51</v>
      </c>
      <c r="F49" s="19" t="n">
        <v>528.79</v>
      </c>
      <c r="G49" s="19" t="n">
        <v>122.82</v>
      </c>
      <c r="H49" s="19" t="n">
        <v>10.61</v>
      </c>
      <c r="I49" s="19" t="n">
        <v>20.86</v>
      </c>
      <c r="J49" s="19" t="n">
        <v>98.34</v>
      </c>
      <c r="K49" s="19" t="n">
        <v>56.55</v>
      </c>
      <c r="L49" s="19" t="n">
        <v>113.76</v>
      </c>
      <c r="M49" s="19" t="n">
        <v>93.73</v>
      </c>
      <c r="N49" s="19" t="n">
        <v>13.08</v>
      </c>
      <c r="O49" s="19" t="n">
        <v>64.3</v>
      </c>
      <c r="P49" s="19" t="n">
        <v>199.46</v>
      </c>
      <c r="Q49" s="19" t="n">
        <v>36.65</v>
      </c>
      <c r="R49" s="19" t="n">
        <v>86.81</v>
      </c>
      <c r="S49" s="19" t="n">
        <v>39.9</v>
      </c>
      <c r="T49" s="83" t="n">
        <v>277.16</v>
      </c>
      <c r="U49" s="83" t="n">
        <v>52.04</v>
      </c>
      <c r="V49" s="83" t="n">
        <v>40.54</v>
      </c>
      <c r="W49" s="20" t="n">
        <v>1863.16</v>
      </c>
      <c r="X49" s="20" t="n">
        <v>1863.16</v>
      </c>
      <c r="Y49" s="20" t="n">
        <v>1863.16</v>
      </c>
      <c r="Z49" s="20" t="n">
        <v>1863.16</v>
      </c>
      <c r="AA49" s="20" t="n">
        <v>1863.16</v>
      </c>
      <c r="AB49" s="20" t="n">
        <v>1863.16</v>
      </c>
      <c r="AC49" s="20" t="n">
        <v>1863.16</v>
      </c>
      <c r="AD49" s="20" t="n">
        <v>1863.16</v>
      </c>
      <c r="AE49" s="20" t="n">
        <v>1863.16</v>
      </c>
      <c r="AF49" s="20" t="n">
        <v>1863.16</v>
      </c>
      <c r="AG49" s="20" t="n">
        <v>1863.16</v>
      </c>
      <c r="AH49" s="20" t="n">
        <v>1863.16</v>
      </c>
      <c r="AI49" s="20" t="n">
        <v>1863.16</v>
      </c>
      <c r="AJ49" s="20" t="n">
        <v>1863.16</v>
      </c>
      <c r="AK49" s="20" t="n">
        <v>1863.16</v>
      </c>
      <c r="AL49" s="20" t="n">
        <v>1863.16</v>
      </c>
      <c r="AM49" s="20" t="n">
        <v>1863.16</v>
      </c>
      <c r="AN49" s="20" t="n">
        <v>1863.16</v>
      </c>
      <c r="AO49" s="20" t="n">
        <v>1863.16</v>
      </c>
      <c r="AP49" s="20" t="n">
        <v>1863.16</v>
      </c>
      <c r="AQ49" s="20" t="n">
        <v>1863.16</v>
      </c>
      <c r="AR49" s="20" t="n">
        <v>1863.16</v>
      </c>
      <c r="AS49" s="20" t="n">
        <v>1863.16</v>
      </c>
      <c r="AT49" s="20" t="n">
        <v>1863.16</v>
      </c>
      <c r="AU49" s="20" t="n">
        <v>1863.16</v>
      </c>
      <c r="AV49" s="20" t="n">
        <v>1863.16</v>
      </c>
      <c r="AW49" s="20" t="n">
        <v>1863.16</v>
      </c>
      <c r="AX49" s="20" t="n">
        <v>1863.16</v>
      </c>
      <c r="AY49" s="20" t="n">
        <v>1863.16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51.55</v>
      </c>
      <c r="F51" s="19" t="n">
        <v>578.36</v>
      </c>
      <c r="G51" s="19" t="n">
        <v>601.12</v>
      </c>
      <c r="H51" s="19" t="n">
        <v>327.54</v>
      </c>
      <c r="I51" s="19" t="n">
        <v>329.37</v>
      </c>
      <c r="J51" s="19" t="n">
        <v>333.85</v>
      </c>
      <c r="K51" s="19" t="n">
        <v>411.25</v>
      </c>
      <c r="L51" s="19" t="n">
        <v>425.71</v>
      </c>
      <c r="M51" s="19" t="n">
        <v>623.85</v>
      </c>
      <c r="N51" s="19" t="n">
        <v>620.1799999999999</v>
      </c>
      <c r="O51" s="19" t="n">
        <v>516.7</v>
      </c>
      <c r="P51" s="19" t="n">
        <v>456.97</v>
      </c>
      <c r="Q51" s="19" t="n">
        <v>289.67</v>
      </c>
      <c r="R51" s="19" t="n">
        <v>347.97</v>
      </c>
      <c r="S51" s="19" t="n">
        <v>424.13</v>
      </c>
      <c r="T51" s="83" t="n">
        <v>483.68</v>
      </c>
      <c r="U51" s="83" t="n">
        <v>357.42</v>
      </c>
      <c r="V51" s="83" t="n">
        <v>473.97</v>
      </c>
      <c r="W51" s="20" t="n">
        <v>400.82</v>
      </c>
      <c r="X51" s="20" t="n">
        <v>400.82</v>
      </c>
      <c r="Y51" s="20" t="n">
        <v>400.82</v>
      </c>
      <c r="Z51" s="20" t="n">
        <v>400.82</v>
      </c>
      <c r="AA51" s="20" t="n">
        <v>400.82</v>
      </c>
      <c r="AB51" s="20" t="n">
        <v>400.82</v>
      </c>
      <c r="AC51" s="20" t="n">
        <v>400.82</v>
      </c>
      <c r="AD51" s="20" t="n">
        <v>400.82</v>
      </c>
      <c r="AE51" s="20" t="n">
        <v>400.82</v>
      </c>
      <c r="AF51" s="20" t="n">
        <v>400.82</v>
      </c>
      <c r="AG51" s="20" t="n">
        <v>400.82</v>
      </c>
      <c r="AH51" s="20" t="n">
        <v>400.82</v>
      </c>
      <c r="AI51" s="20" t="n">
        <v>400.82</v>
      </c>
      <c r="AJ51" s="20" t="n">
        <v>400.82</v>
      </c>
      <c r="AK51" s="20" t="n">
        <v>400.82</v>
      </c>
      <c r="AL51" s="20" t="n">
        <v>400.82</v>
      </c>
      <c r="AM51" s="20" t="n">
        <v>400.82</v>
      </c>
      <c r="AN51" s="20" t="n">
        <v>400.82</v>
      </c>
      <c r="AO51" s="20" t="n">
        <v>400.82</v>
      </c>
      <c r="AP51" s="20" t="n">
        <v>400.82</v>
      </c>
      <c r="AQ51" s="20" t="n">
        <v>400.82</v>
      </c>
      <c r="AR51" s="20" t="n">
        <v>400.82</v>
      </c>
      <c r="AS51" s="20" t="n">
        <v>400.82</v>
      </c>
      <c r="AT51" s="20" t="n">
        <v>400.82</v>
      </c>
      <c r="AU51" s="20" t="n">
        <v>400.82</v>
      </c>
      <c r="AV51" s="20" t="n">
        <v>400.82</v>
      </c>
      <c r="AW51" s="20" t="n">
        <v>400.82</v>
      </c>
      <c r="AX51" s="20" t="n">
        <v>400.82</v>
      </c>
      <c r="AY51" s="20" t="n">
        <v>400.82</v>
      </c>
    </row>
    <row r="52">
      <c r="B52" s="33" t="inlineStr">
        <is>
          <t xml:space="preserve">  616002 Internet &amp; TV</t>
        </is>
      </c>
      <c r="D52" s="19" t="n">
        <v>0</v>
      </c>
      <c r="E52" s="19" t="n">
        <v>100</v>
      </c>
      <c r="F52" s="19" t="n">
        <v>0</v>
      </c>
      <c r="G52" s="19" t="n">
        <v>0</v>
      </c>
      <c r="H52" s="19" t="n">
        <v>0</v>
      </c>
      <c r="I52" s="19" t="n">
        <v>0</v>
      </c>
      <c r="J52" s="19" t="n">
        <v>0</v>
      </c>
      <c r="K52" s="19" t="n">
        <v>0</v>
      </c>
      <c r="L52" s="19" t="n">
        <v>0</v>
      </c>
      <c r="M52" s="19" t="n">
        <v>0</v>
      </c>
      <c r="N52" s="19" t="n">
        <v>0</v>
      </c>
      <c r="O52" s="19" t="n">
        <v>0</v>
      </c>
      <c r="P52" s="19" t="n">
        <v>0</v>
      </c>
      <c r="Q52" s="19" t="n">
        <v>0</v>
      </c>
      <c r="R52" s="19" t="n">
        <v>0</v>
      </c>
      <c r="S52" s="19" t="n">
        <v>0</v>
      </c>
      <c r="T52" s="83" t="n">
        <v>0</v>
      </c>
      <c r="U52" s="83" t="n">
        <v>0</v>
      </c>
      <c r="V52" s="83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111.69</v>
      </c>
      <c r="J53" s="19" t="n">
        <v>111.69</v>
      </c>
      <c r="K53" s="19" t="n">
        <v>111.69</v>
      </c>
      <c r="L53" s="19" t="n">
        <v>111.69</v>
      </c>
      <c r="M53" s="19" t="n">
        <v>111.69</v>
      </c>
      <c r="N53" s="19" t="n">
        <v>111.7</v>
      </c>
      <c r="O53" s="19" t="n">
        <v>233.4</v>
      </c>
      <c r="P53" s="19" t="n">
        <v>0</v>
      </c>
      <c r="Q53" s="19" t="n">
        <v>133.22</v>
      </c>
      <c r="R53" s="19" t="n">
        <v>112.22</v>
      </c>
      <c r="S53" s="19" t="n">
        <v>113.22</v>
      </c>
      <c r="T53" s="83" t="n">
        <v>113.18</v>
      </c>
      <c r="U53" s="83" t="n">
        <v>113.18</v>
      </c>
      <c r="V53" s="83" t="n">
        <v>113.18</v>
      </c>
      <c r="W53" s="20" t="n">
        <v>125.46</v>
      </c>
      <c r="X53" s="20" t="n">
        <v>125.46</v>
      </c>
      <c r="Y53" s="20" t="n">
        <v>125.46</v>
      </c>
      <c r="Z53" s="20" t="n">
        <v>125.46</v>
      </c>
      <c r="AA53" s="20" t="n">
        <v>125.46</v>
      </c>
      <c r="AB53" s="20" t="n">
        <v>125.46</v>
      </c>
      <c r="AC53" s="20" t="n">
        <v>125.46</v>
      </c>
      <c r="AD53" s="20" t="n">
        <v>125.46</v>
      </c>
      <c r="AE53" s="20" t="n">
        <v>125.46</v>
      </c>
      <c r="AF53" s="20" t="n">
        <v>125.46</v>
      </c>
      <c r="AG53" s="20" t="n">
        <v>125.46</v>
      </c>
      <c r="AH53" s="20" t="n">
        <v>125.46</v>
      </c>
      <c r="AI53" s="20" t="n">
        <v>125.46</v>
      </c>
      <c r="AJ53" s="20" t="n">
        <v>125.46</v>
      </c>
      <c r="AK53" s="20" t="n">
        <v>125.46</v>
      </c>
      <c r="AL53" s="20" t="n">
        <v>125.46</v>
      </c>
      <c r="AM53" s="20" t="n">
        <v>125.46</v>
      </c>
      <c r="AN53" s="20" t="n">
        <v>125.46</v>
      </c>
      <c r="AO53" s="20" t="n">
        <v>125.46</v>
      </c>
      <c r="AP53" s="20" t="n">
        <v>125.46</v>
      </c>
      <c r="AQ53" s="20" t="n">
        <v>125.46</v>
      </c>
      <c r="AR53" s="20" t="n">
        <v>125.46</v>
      </c>
      <c r="AS53" s="20" t="n">
        <v>125.46</v>
      </c>
      <c r="AT53" s="20" t="n">
        <v>125.46</v>
      </c>
      <c r="AU53" s="20" t="n">
        <v>125.46</v>
      </c>
      <c r="AV53" s="20" t="n">
        <v>125.46</v>
      </c>
      <c r="AW53" s="20" t="n">
        <v>125.46</v>
      </c>
      <c r="AX53" s="20" t="n">
        <v>125.46</v>
      </c>
      <c r="AY53" s="20" t="n">
        <v>125.46</v>
      </c>
    </row>
    <row r="54">
      <c r="B54" s="33" t="inlineStr">
        <is>
          <t xml:space="preserve">  616004 Water &amp; sewer</t>
        </is>
      </c>
      <c r="D54" s="19" t="n">
        <v>55.86</v>
      </c>
      <c r="E54" s="19" t="n">
        <v>0</v>
      </c>
      <c r="F54" s="19" t="n">
        <v>82.5</v>
      </c>
      <c r="G54" s="19" t="n">
        <v>144.5</v>
      </c>
      <c r="H54" s="19" t="n">
        <v>79.84999999999999</v>
      </c>
      <c r="I54" s="19" t="n">
        <v>79.84</v>
      </c>
      <c r="J54" s="19" t="n">
        <v>79.84999999999999</v>
      </c>
      <c r="K54" s="19" t="n">
        <v>119.11</v>
      </c>
      <c r="L54" s="19" t="n">
        <v>210.02</v>
      </c>
      <c r="M54" s="19" t="n">
        <v>219.66</v>
      </c>
      <c r="N54" s="19" t="n">
        <v>204.02</v>
      </c>
      <c r="O54" s="19" t="n">
        <v>-132.07</v>
      </c>
      <c r="P54" s="19" t="n">
        <v>226.59</v>
      </c>
      <c r="Q54" s="19" t="n">
        <v>203.4</v>
      </c>
      <c r="R54" s="19" t="n">
        <v>73.29000000000001</v>
      </c>
      <c r="S54" s="19" t="n">
        <v>227.72</v>
      </c>
      <c r="T54" s="83" t="n">
        <v>211.89</v>
      </c>
      <c r="U54" s="83" t="n">
        <v>203.2</v>
      </c>
      <c r="V54" s="83" t="n">
        <v>210.46</v>
      </c>
      <c r="W54" s="20" t="n">
        <v>192.92</v>
      </c>
      <c r="X54" s="20" t="n">
        <v>192.92</v>
      </c>
      <c r="Y54" s="20" t="n">
        <v>192.92</v>
      </c>
      <c r="Z54" s="20" t="n">
        <v>192.92</v>
      </c>
      <c r="AA54" s="20" t="n">
        <v>192.92</v>
      </c>
      <c r="AB54" s="20" t="n">
        <v>192.92</v>
      </c>
      <c r="AC54" s="20" t="n">
        <v>192.92</v>
      </c>
      <c r="AD54" s="20" t="n">
        <v>192.92</v>
      </c>
      <c r="AE54" s="20" t="n">
        <v>192.92</v>
      </c>
      <c r="AF54" s="20" t="n">
        <v>192.92</v>
      </c>
      <c r="AG54" s="20" t="n">
        <v>192.92</v>
      </c>
      <c r="AH54" s="20" t="n">
        <v>192.92</v>
      </c>
      <c r="AI54" s="20" t="n">
        <v>192.92</v>
      </c>
      <c r="AJ54" s="20" t="n">
        <v>192.92</v>
      </c>
      <c r="AK54" s="20" t="n">
        <v>192.92</v>
      </c>
      <c r="AL54" s="20" t="n">
        <v>192.92</v>
      </c>
      <c r="AM54" s="20" t="n">
        <v>192.92</v>
      </c>
      <c r="AN54" s="20" t="n">
        <v>192.92</v>
      </c>
      <c r="AO54" s="20" t="n">
        <v>192.92</v>
      </c>
      <c r="AP54" s="20" t="n">
        <v>192.92</v>
      </c>
      <c r="AQ54" s="20" t="n">
        <v>192.92</v>
      </c>
      <c r="AR54" s="20" t="n">
        <v>192.92</v>
      </c>
      <c r="AS54" s="20" t="n">
        <v>192.92</v>
      </c>
      <c r="AT54" s="20" t="n">
        <v>192.92</v>
      </c>
      <c r="AU54" s="20" t="n">
        <v>192.92</v>
      </c>
      <c r="AV54" s="20" t="n">
        <v>192.92</v>
      </c>
      <c r="AW54" s="20" t="n">
        <v>192.92</v>
      </c>
      <c r="AX54" s="20" t="n">
        <v>192.92</v>
      </c>
      <c r="AY54" s="20" t="n">
        <v>192.92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425</v>
      </c>
      <c r="F55" s="19" t="n">
        <v>15</v>
      </c>
      <c r="G55" s="19" t="n">
        <v>0</v>
      </c>
      <c r="H55" s="19" t="n">
        <v>0</v>
      </c>
      <c r="I55" s="19" t="n">
        <v>276.78</v>
      </c>
      <c r="J55" s="19" t="n">
        <v>90.8</v>
      </c>
      <c r="K55" s="19" t="n">
        <v>90.8</v>
      </c>
      <c r="L55" s="19" t="n">
        <v>90.8</v>
      </c>
      <c r="M55" s="19" t="n">
        <v>258.52</v>
      </c>
      <c r="N55" s="19" t="n">
        <v>204.1</v>
      </c>
      <c r="O55" s="19" t="n">
        <v>102.05</v>
      </c>
      <c r="P55" s="19" t="n">
        <v>0</v>
      </c>
      <c r="Q55" s="19" t="n">
        <v>103.05</v>
      </c>
      <c r="R55" s="19" t="n">
        <v>102.05</v>
      </c>
      <c r="S55" s="19" t="n">
        <v>102.05</v>
      </c>
      <c r="T55" s="83" t="n">
        <v>102.05</v>
      </c>
      <c r="U55" s="83" t="n">
        <v>102.05</v>
      </c>
      <c r="V55" s="83" t="n">
        <v>102.05</v>
      </c>
      <c r="W55" s="20" t="n">
        <v>81.06</v>
      </c>
      <c r="X55" s="20" t="n">
        <v>81.06</v>
      </c>
      <c r="Y55" s="20" t="n">
        <v>81.06</v>
      </c>
      <c r="Z55" s="20" t="n">
        <v>81.06</v>
      </c>
      <c r="AA55" s="20" t="n">
        <v>81.06</v>
      </c>
      <c r="AB55" s="20" t="n">
        <v>81.06</v>
      </c>
      <c r="AC55" s="20" t="n">
        <v>81.06</v>
      </c>
      <c r="AD55" s="20" t="n">
        <v>81.06</v>
      </c>
      <c r="AE55" s="20" t="n">
        <v>81.06</v>
      </c>
      <c r="AF55" s="20" t="n">
        <v>81.06</v>
      </c>
      <c r="AG55" s="20" t="n">
        <v>81.06</v>
      </c>
      <c r="AH55" s="20" t="n">
        <v>81.06</v>
      </c>
      <c r="AI55" s="20" t="n">
        <v>81.06</v>
      </c>
      <c r="AJ55" s="20" t="n">
        <v>81.06</v>
      </c>
      <c r="AK55" s="20" t="n">
        <v>81.06</v>
      </c>
      <c r="AL55" s="20" t="n">
        <v>81.06</v>
      </c>
      <c r="AM55" s="20" t="n">
        <v>81.06</v>
      </c>
      <c r="AN55" s="20" t="n">
        <v>81.06</v>
      </c>
      <c r="AO55" s="20" t="n">
        <v>81.06</v>
      </c>
      <c r="AP55" s="20" t="n">
        <v>81.06</v>
      </c>
      <c r="AQ55" s="20" t="n">
        <v>81.06</v>
      </c>
      <c r="AR55" s="20" t="n">
        <v>81.06</v>
      </c>
      <c r="AS55" s="20" t="n">
        <v>81.06</v>
      </c>
      <c r="AT55" s="20" t="n">
        <v>81.06</v>
      </c>
      <c r="AU55" s="20" t="n">
        <v>81.06</v>
      </c>
      <c r="AV55" s="20" t="n">
        <v>81.06</v>
      </c>
      <c r="AW55" s="20" t="n">
        <v>81.06</v>
      </c>
      <c r="AX55" s="20" t="n">
        <v>81.06</v>
      </c>
      <c r="AY55" s="20" t="n">
        <v>81.06</v>
      </c>
    </row>
    <row r="56">
      <c r="B56" s="32" t="inlineStr">
        <is>
          <t>Total Utilities</t>
        </is>
      </c>
      <c r="C56" s="34" t="n"/>
      <c r="D56" s="35">
        <f>SUM(D51:D55)</f>
        <v/>
      </c>
      <c r="E56" s="35">
        <f>SUM(E51:E55)</f>
        <v/>
      </c>
      <c r="F56" s="35">
        <f>SUM(F51:F55)</f>
        <v/>
      </c>
      <c r="G56" s="35">
        <f>SUM(G51:G55)</f>
        <v/>
      </c>
      <c r="H56" s="35">
        <f>SUM(H51:H55)</f>
        <v/>
      </c>
      <c r="I56" s="35">
        <f>SUM(I51:I55)</f>
        <v/>
      </c>
      <c r="J56" s="35">
        <f>SUM(J51:J55)</f>
        <v/>
      </c>
      <c r="K56" s="35">
        <f>SUM(K51:K55)</f>
        <v/>
      </c>
      <c r="L56" s="35">
        <f>SUM(L51:L55)</f>
        <v/>
      </c>
      <c r="M56" s="35">
        <f>SUM(M51:M55)</f>
        <v/>
      </c>
      <c r="N56" s="35">
        <f>SUM(N51:N55)</f>
        <v/>
      </c>
      <c r="O56" s="35">
        <f>SUM(O51:O55)</f>
        <v/>
      </c>
      <c r="P56" s="35">
        <f>P51+P52+P53+P54+P55</f>
        <v/>
      </c>
      <c r="Q56" s="35">
        <f>Q51+Q52+Q53+Q54+Q55</f>
        <v/>
      </c>
      <c r="R56" s="35">
        <f>R51+R52+R53+R54+R55</f>
        <v/>
      </c>
      <c r="S56" s="35">
        <f>S51+S52+S53+S54+S55</f>
        <v/>
      </c>
      <c r="T56" s="84">
        <f>T51+T52+T53+T54+T55</f>
        <v/>
      </c>
      <c r="U56" s="84">
        <f>U51+U52+U53+U54+U55</f>
        <v/>
      </c>
      <c r="V56" s="84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9241.09</v>
      </c>
      <c r="E57" s="19" t="n">
        <v>9241.09</v>
      </c>
      <c r="F57" s="19" t="n">
        <v>9241.09</v>
      </c>
      <c r="G57" s="19" t="n">
        <v>9241.09</v>
      </c>
      <c r="H57" s="19" t="n">
        <v>9241.09</v>
      </c>
      <c r="I57" s="19" t="n">
        <v>9241.09</v>
      </c>
      <c r="J57" s="19" t="n">
        <v>9241.09</v>
      </c>
      <c r="K57" s="19" t="n">
        <v>9241.09</v>
      </c>
      <c r="L57" s="19" t="n">
        <v>9241.09</v>
      </c>
      <c r="M57" s="19" t="n">
        <v>9241.09</v>
      </c>
      <c r="N57" s="19" t="n">
        <v>9241.09</v>
      </c>
      <c r="O57" s="19" t="n">
        <v>9241.09</v>
      </c>
      <c r="P57" s="19" t="n">
        <v>9241.09</v>
      </c>
      <c r="Q57" s="19" t="n">
        <v>9241.09</v>
      </c>
      <c r="R57" s="19" t="n">
        <v>9241.09</v>
      </c>
      <c r="S57" s="19" t="n">
        <v>9241.09</v>
      </c>
      <c r="T57" s="83" t="n">
        <v>9241.09</v>
      </c>
      <c r="U57" s="83" t="n">
        <v>9241.09</v>
      </c>
      <c r="V57" s="83" t="n">
        <v>9241.09</v>
      </c>
      <c r="W57" s="20" t="n">
        <v>9214.639999999999</v>
      </c>
      <c r="X57" s="20" t="n">
        <v>9214.639999999999</v>
      </c>
      <c r="Y57" s="20" t="n">
        <v>9214.639999999999</v>
      </c>
      <c r="Z57" s="20" t="n">
        <v>9214.639999999999</v>
      </c>
      <c r="AA57" s="20" t="n">
        <v>9214.639999999999</v>
      </c>
      <c r="AB57" s="20" t="n">
        <v>9214.639999999999</v>
      </c>
      <c r="AC57" s="20" t="n">
        <v>9214.639999999999</v>
      </c>
      <c r="AD57" s="20" t="n">
        <v>9214.639999999999</v>
      </c>
      <c r="AE57" s="20" t="n">
        <v>9214.639999999999</v>
      </c>
      <c r="AF57" s="20" t="n">
        <v>9214.639999999999</v>
      </c>
      <c r="AG57" s="20" t="n">
        <v>9214.639999999999</v>
      </c>
      <c r="AH57" s="20" t="n">
        <v>9214.639999999999</v>
      </c>
      <c r="AI57" s="20" t="n">
        <v>9214.639999999999</v>
      </c>
      <c r="AJ57" s="20" t="n">
        <v>9214.639999999999</v>
      </c>
      <c r="AK57" s="20" t="n">
        <v>9214.639999999999</v>
      </c>
      <c r="AL57" s="20" t="n">
        <v>9214.639999999999</v>
      </c>
      <c r="AM57" s="20" t="n">
        <v>9214.639999999999</v>
      </c>
      <c r="AN57" s="20" t="n">
        <v>9214.639999999999</v>
      </c>
      <c r="AO57" s="20" t="n">
        <v>9214.639999999999</v>
      </c>
      <c r="AP57" s="20" t="n">
        <v>9214.639999999999</v>
      </c>
      <c r="AQ57" s="20" t="n">
        <v>9214.639999999999</v>
      </c>
      <c r="AR57" s="20" t="n">
        <v>9214.639999999999</v>
      </c>
      <c r="AS57" s="20" t="n">
        <v>9214.639999999999</v>
      </c>
      <c r="AT57" s="20" t="n">
        <v>9214.639999999999</v>
      </c>
      <c r="AU57" s="20" t="n">
        <v>9214.639999999999</v>
      </c>
      <c r="AV57" s="20" t="n">
        <v>9214.639999999999</v>
      </c>
      <c r="AW57" s="20" t="n">
        <v>9214.639999999999</v>
      </c>
      <c r="AX57" s="20" t="n">
        <v>9214.639999999999</v>
      </c>
      <c r="AY57" s="20" t="n">
        <v>9214.639999999999</v>
      </c>
    </row>
    <row r="58">
      <c r="B58" s="33" t="inlineStr">
        <is>
          <t xml:space="preserve">  702000 Security</t>
        </is>
      </c>
      <c r="D58" s="19" t="n">
        <v>314.93</v>
      </c>
      <c r="E58" s="19" t="n">
        <v>0</v>
      </c>
      <c r="F58" s="19" t="n">
        <v>139.05</v>
      </c>
      <c r="G58" s="19" t="n">
        <v>150</v>
      </c>
      <c r="H58" s="19" t="n">
        <v>0</v>
      </c>
      <c r="I58" s="19" t="n">
        <v>0</v>
      </c>
      <c r="J58" s="19" t="n">
        <v>150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245</v>
      </c>
      <c r="Q58" s="19" t="n">
        <v>0</v>
      </c>
      <c r="R58" s="19" t="n">
        <v>0</v>
      </c>
      <c r="S58" s="19" t="n">
        <v>150</v>
      </c>
      <c r="T58" s="83" t="n">
        <v>0</v>
      </c>
      <c r="U58" s="83" t="n">
        <v>0</v>
      </c>
      <c r="V58" s="83" t="n">
        <v>150</v>
      </c>
      <c r="W58" s="20" t="n">
        <v>98.47</v>
      </c>
      <c r="X58" s="20" t="n">
        <v>98.47</v>
      </c>
      <c r="Y58" s="20" t="n">
        <v>98.47</v>
      </c>
      <c r="Z58" s="20" t="n">
        <v>98.47</v>
      </c>
      <c r="AA58" s="20" t="n">
        <v>98.47</v>
      </c>
      <c r="AB58" s="20" t="n">
        <v>98.47</v>
      </c>
      <c r="AC58" s="20" t="n">
        <v>98.47</v>
      </c>
      <c r="AD58" s="20" t="n">
        <v>98.47</v>
      </c>
      <c r="AE58" s="20" t="n">
        <v>98.47</v>
      </c>
      <c r="AF58" s="20" t="n">
        <v>98.47</v>
      </c>
      <c r="AG58" s="20" t="n">
        <v>98.47</v>
      </c>
      <c r="AH58" s="20" t="n">
        <v>98.47</v>
      </c>
      <c r="AI58" s="20" t="n">
        <v>98.47</v>
      </c>
      <c r="AJ58" s="20" t="n">
        <v>98.47</v>
      </c>
      <c r="AK58" s="20" t="n">
        <v>98.47</v>
      </c>
      <c r="AL58" s="20" t="n">
        <v>98.47</v>
      </c>
      <c r="AM58" s="20" t="n">
        <v>98.47</v>
      </c>
      <c r="AN58" s="20" t="n">
        <v>98.47</v>
      </c>
      <c r="AO58" s="20" t="n">
        <v>98.47</v>
      </c>
      <c r="AP58" s="20" t="n">
        <v>98.47</v>
      </c>
      <c r="AQ58" s="20" t="n">
        <v>98.47</v>
      </c>
      <c r="AR58" s="20" t="n">
        <v>98.47</v>
      </c>
      <c r="AS58" s="20" t="n">
        <v>98.47</v>
      </c>
      <c r="AT58" s="20" t="n">
        <v>98.47</v>
      </c>
      <c r="AU58" s="20" t="n">
        <v>98.47</v>
      </c>
      <c r="AV58" s="20" t="n">
        <v>98.47</v>
      </c>
      <c r="AW58" s="20" t="n">
        <v>98.47</v>
      </c>
      <c r="AX58" s="20" t="n">
        <v>98.47</v>
      </c>
      <c r="AY58" s="20" t="n">
        <v>98.47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121.44</v>
      </c>
      <c r="J59" s="19" t="n">
        <v>163.26</v>
      </c>
      <c r="K59" s="19" t="n">
        <v>134.12</v>
      </c>
      <c r="L59" s="19" t="n">
        <v>0</v>
      </c>
      <c r="M59" s="19" t="n">
        <v>0</v>
      </c>
      <c r="N59" s="19" t="n">
        <v>358.19</v>
      </c>
      <c r="O59" s="19" t="n">
        <v>224.7</v>
      </c>
      <c r="P59" s="19" t="n">
        <v>129.44</v>
      </c>
      <c r="Q59" s="19" t="n">
        <v>99.91</v>
      </c>
      <c r="R59" s="19" t="n">
        <v>596.9299999999999</v>
      </c>
      <c r="S59" s="19" t="n">
        <v>386.89</v>
      </c>
      <c r="T59" s="83" t="n">
        <v>334.63</v>
      </c>
      <c r="U59" s="83" t="n">
        <v>589.39</v>
      </c>
      <c r="V59" s="83" t="n">
        <v>1508.04</v>
      </c>
      <c r="W59" s="20" t="n">
        <v>302.42</v>
      </c>
      <c r="X59" s="20" t="n">
        <v>302.42</v>
      </c>
      <c r="Y59" s="20" t="n">
        <v>302.42</v>
      </c>
      <c r="Z59" s="20" t="n">
        <v>302.42</v>
      </c>
      <c r="AA59" s="20" t="n">
        <v>302.42</v>
      </c>
      <c r="AB59" s="20" t="n">
        <v>302.42</v>
      </c>
      <c r="AC59" s="20" t="n">
        <v>302.42</v>
      </c>
      <c r="AD59" s="20" t="n">
        <v>302.42</v>
      </c>
      <c r="AE59" s="20" t="n">
        <v>302.42</v>
      </c>
      <c r="AF59" s="20" t="n">
        <v>302.42</v>
      </c>
      <c r="AG59" s="20" t="n">
        <v>302.42</v>
      </c>
      <c r="AH59" s="20" t="n">
        <v>302.42</v>
      </c>
      <c r="AI59" s="20" t="n">
        <v>302.42</v>
      </c>
      <c r="AJ59" s="20" t="n">
        <v>302.42</v>
      </c>
      <c r="AK59" s="20" t="n">
        <v>302.42</v>
      </c>
      <c r="AL59" s="20" t="n">
        <v>302.42</v>
      </c>
      <c r="AM59" s="20" t="n">
        <v>302.42</v>
      </c>
      <c r="AN59" s="20" t="n">
        <v>302.42</v>
      </c>
      <c r="AO59" s="20" t="n">
        <v>302.42</v>
      </c>
      <c r="AP59" s="20" t="n">
        <v>302.42</v>
      </c>
      <c r="AQ59" s="20" t="n">
        <v>302.42</v>
      </c>
      <c r="AR59" s="20" t="n">
        <v>302.42</v>
      </c>
      <c r="AS59" s="20" t="n">
        <v>302.42</v>
      </c>
      <c r="AT59" s="20" t="n">
        <v>302.42</v>
      </c>
      <c r="AU59" s="20" t="n">
        <v>302.42</v>
      </c>
      <c r="AV59" s="20" t="n">
        <v>302.42</v>
      </c>
      <c r="AW59" s="20" t="n">
        <v>302.42</v>
      </c>
      <c r="AX59" s="20" t="n">
        <v>302.42</v>
      </c>
      <c r="AY59" s="20" t="n">
        <v>302.42</v>
      </c>
    </row>
    <row r="60">
      <c r="B60" s="33" t="inlineStr">
        <is>
          <t>705000 Property Maintenance (incl Repairs &amp; Parking)</t>
        </is>
      </c>
      <c r="D60" s="19" t="n">
        <v>0</v>
      </c>
      <c r="E60" s="19" t="n">
        <v>519.22</v>
      </c>
      <c r="F60" s="19" t="n">
        <v>260</v>
      </c>
      <c r="G60" s="19" t="n">
        <v>1553.52</v>
      </c>
      <c r="H60" s="19" t="n">
        <v>1301.99</v>
      </c>
      <c r="I60" s="19" t="n">
        <v>1252</v>
      </c>
      <c r="J60" s="19" t="n">
        <v>1252</v>
      </c>
      <c r="K60" s="19" t="n">
        <v>1252</v>
      </c>
      <c r="L60" s="19" t="n">
        <v>1675</v>
      </c>
      <c r="M60" s="19" t="n">
        <v>1250</v>
      </c>
      <c r="N60" s="19" t="n">
        <v>1250</v>
      </c>
      <c r="O60" s="19" t="n">
        <v>1250</v>
      </c>
      <c r="P60" s="19" t="n">
        <v>1250</v>
      </c>
      <c r="Q60" s="19" t="n">
        <v>1250</v>
      </c>
      <c r="R60" s="19" t="n">
        <v>568.71</v>
      </c>
      <c r="S60" s="19" t="n">
        <v>943.76</v>
      </c>
      <c r="T60" s="83" t="n">
        <v>416.66</v>
      </c>
      <c r="U60" s="83" t="n">
        <v>416.66</v>
      </c>
      <c r="V60" s="83" t="n">
        <v>416.66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>
        <f>SUM(D57:D60)</f>
        <v/>
      </c>
      <c r="E61" s="35">
        <f>SUM(E57:E60)</f>
        <v/>
      </c>
      <c r="F61" s="35">
        <f>SUM(F57:F60)</f>
        <v/>
      </c>
      <c r="G61" s="35">
        <f>SUM(G57:G60)</f>
        <v/>
      </c>
      <c r="H61" s="35">
        <f>SUM(H57:H60)</f>
        <v/>
      </c>
      <c r="I61" s="35">
        <f>SUM(I57:I60)</f>
        <v/>
      </c>
      <c r="J61" s="35">
        <f>SUM(J57:J60)</f>
        <v/>
      </c>
      <c r="K61" s="35">
        <f>SUM(K57:K60)</f>
        <v/>
      </c>
      <c r="L61" s="35">
        <f>SUM(L57:L60)</f>
        <v/>
      </c>
      <c r="M61" s="35">
        <f>SUM(M57:M60)</f>
        <v/>
      </c>
      <c r="N61" s="35">
        <f>SUM(N57:N60)</f>
        <v/>
      </c>
      <c r="O61" s="35">
        <f>SUM(O57:O60)</f>
        <v/>
      </c>
      <c r="P61" s="35">
        <f>P57+P58+P59+P60</f>
        <v/>
      </c>
      <c r="Q61" s="35">
        <f>Q57+Q58+Q59+Q60</f>
        <v/>
      </c>
      <c r="R61" s="35">
        <f>R57+R58+R59+R60</f>
        <v/>
      </c>
      <c r="S61" s="35">
        <f>S57+S58+S59+S60</f>
        <v/>
      </c>
      <c r="T61" s="84">
        <f>T57+T58+T59+T60</f>
        <v/>
      </c>
      <c r="U61" s="84">
        <f>U57+U58+U59+U60</f>
        <v/>
      </c>
      <c r="V61" s="84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>
        <f>D33+D38+D42+D47+D50+D56+D61</f>
        <v/>
      </c>
      <c r="E62" s="35">
        <f>E33+E38+E42+E47+E50+E56+E61</f>
        <v/>
      </c>
      <c r="F62" s="35">
        <f>F33+F38+F42+F47+F50+F56+F61</f>
        <v/>
      </c>
      <c r="G62" s="35">
        <f>G33+G38+G42+G47+G50+G56+G61</f>
        <v/>
      </c>
      <c r="H62" s="35">
        <f>H33+H38+H42+H47+H50+H56+H61</f>
        <v/>
      </c>
      <c r="I62" s="35">
        <f>I33+I38+I42+I47+I50+I56+I61</f>
        <v/>
      </c>
      <c r="J62" s="35">
        <f>J33+J38+J42+J47+J50+J56+J61</f>
        <v/>
      </c>
      <c r="K62" s="35">
        <f>K33+K38+K42+K47+K50+K56+K61</f>
        <v/>
      </c>
      <c r="L62" s="35">
        <f>L33+L38+L42+L47+L50+L56+L61</f>
        <v/>
      </c>
      <c r="M62" s="35">
        <f>M33+M38+M42+M47+M50+M56+M61</f>
        <v/>
      </c>
      <c r="N62" s="35">
        <f>N33+N38+N42+N47+N50+N56+N61</f>
        <v/>
      </c>
      <c r="O62" s="35">
        <f>O33+O38+O42+O47+O50+O56+O61</f>
        <v/>
      </c>
      <c r="P62" s="35">
        <f>P33+P38+P42+P47+P50+P56+P61</f>
        <v/>
      </c>
      <c r="Q62" s="35">
        <f>Q33+Q38+Q42+Q47+Q50+Q56+Q61</f>
        <v/>
      </c>
      <c r="R62" s="35">
        <f>R33+R38+R42+R47+R50+R56+R61</f>
        <v/>
      </c>
      <c r="S62" s="35">
        <f>S33+S38+S42+S47+S50+S56+S61</f>
        <v/>
      </c>
      <c r="T62" s="84">
        <f>T33+T38+T42+T47+T50+T56+T61</f>
        <v/>
      </c>
      <c r="U62" s="84">
        <f>U33+U38+U42+U47+U50+U56+U61</f>
        <v/>
      </c>
      <c r="V62" s="84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>
        <f>D26-D62</f>
        <v/>
      </c>
      <c r="E63" s="35">
        <f>E26-E62</f>
        <v/>
      </c>
      <c r="F63" s="35">
        <f>F26-F62</f>
        <v/>
      </c>
      <c r="G63" s="35">
        <f>G26-G62</f>
        <v/>
      </c>
      <c r="H63" s="35">
        <f>H26-H62</f>
        <v/>
      </c>
      <c r="I63" s="35">
        <f>I26-I62</f>
        <v/>
      </c>
      <c r="J63" s="35">
        <f>J26-J62</f>
        <v/>
      </c>
      <c r="K63" s="35">
        <f>K26-K62</f>
        <v/>
      </c>
      <c r="L63" s="35">
        <f>L26-L62</f>
        <v/>
      </c>
      <c r="M63" s="35">
        <f>M26-M62</f>
        <v/>
      </c>
      <c r="N63" s="35">
        <f>N26-N62</f>
        <v/>
      </c>
      <c r="O63" s="35">
        <f>O26-O62</f>
        <v/>
      </c>
      <c r="P63" s="35">
        <f>P26-P62</f>
        <v/>
      </c>
      <c r="Q63" s="35">
        <f>Q26-Q62</f>
        <v/>
      </c>
      <c r="R63" s="35">
        <f>R26-R62</f>
        <v/>
      </c>
      <c r="S63" s="35">
        <f>S26-S62</f>
        <v/>
      </c>
      <c r="T63" s="84">
        <f>T26-T62</f>
        <v/>
      </c>
      <c r="U63" s="84">
        <f>U26-U62</f>
        <v/>
      </c>
      <c r="V63" s="84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" customHeight="1" s="28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2222.08</v>
      </c>
      <c r="F65" s="19" t="n">
        <v>2272.52</v>
      </c>
      <c r="G65" s="19" t="n">
        <v>2278.09</v>
      </c>
      <c r="H65" s="19" t="n">
        <v>2374.86</v>
      </c>
      <c r="I65" s="19" t="n">
        <v>2374.86</v>
      </c>
      <c r="J65" s="19" t="n">
        <v>2402.5</v>
      </c>
      <c r="K65" s="19" t="n">
        <v>2402.5</v>
      </c>
      <c r="L65" s="19" t="n">
        <v>2402.5</v>
      </c>
      <c r="M65" s="19" t="n">
        <v>2433.63</v>
      </c>
      <c r="N65" s="19" t="n">
        <v>2433.63</v>
      </c>
      <c r="O65" s="19" t="n">
        <v>8606.440000000001</v>
      </c>
      <c r="P65" s="19" t="n">
        <v>2812.47</v>
      </c>
      <c r="Q65" s="19" t="n">
        <v>2832.35</v>
      </c>
      <c r="R65" s="19" t="n">
        <v>2832.35</v>
      </c>
      <c r="S65" s="19" t="n">
        <v>2832.35</v>
      </c>
      <c r="T65" s="83" t="n">
        <v>2832.35</v>
      </c>
      <c r="U65" s="83" t="n">
        <v>2832.35</v>
      </c>
      <c r="V65" s="83" t="n">
        <v>2832.35</v>
      </c>
      <c r="W65" s="20" t="n">
        <v>2812.47</v>
      </c>
      <c r="X65" s="20" t="n">
        <v>2812.47</v>
      </c>
      <c r="Y65" s="20" t="n">
        <v>2812.47</v>
      </c>
      <c r="Z65" s="20" t="n">
        <v>2812.47</v>
      </c>
      <c r="AA65" s="20" t="n">
        <v>2812.47</v>
      </c>
      <c r="AB65" s="20" t="n">
        <v>2812.47</v>
      </c>
      <c r="AC65" s="20" t="n">
        <v>2812.47</v>
      </c>
      <c r="AD65" s="20" t="n">
        <v>2812.47</v>
      </c>
      <c r="AE65" s="20" t="n">
        <v>2812.47</v>
      </c>
      <c r="AF65" s="20" t="n">
        <v>2812.47</v>
      </c>
      <c r="AG65" s="20" t="n">
        <v>2812.47</v>
      </c>
      <c r="AH65" s="20" t="n">
        <v>2812.47</v>
      </c>
      <c r="AI65" s="20" t="n">
        <v>2812.47</v>
      </c>
      <c r="AJ65" s="20" t="n">
        <v>2812.47</v>
      </c>
      <c r="AK65" s="20" t="n">
        <v>2812.47</v>
      </c>
      <c r="AL65" s="20" t="n">
        <v>2812.47</v>
      </c>
      <c r="AM65" s="20" t="n">
        <v>2812.47</v>
      </c>
      <c r="AN65" s="20" t="n">
        <v>2812.47</v>
      </c>
      <c r="AO65" s="20" t="n">
        <v>2812.47</v>
      </c>
      <c r="AP65" s="20" t="n">
        <v>2812.47</v>
      </c>
      <c r="AQ65" s="20" t="n">
        <v>2812.47</v>
      </c>
      <c r="AR65" s="20" t="n">
        <v>2812.47</v>
      </c>
      <c r="AS65" s="20" t="n">
        <v>2812.47</v>
      </c>
      <c r="AT65" s="20" t="n">
        <v>2812.47</v>
      </c>
      <c r="AU65" s="20" t="n">
        <v>2812.47</v>
      </c>
      <c r="AV65" s="20" t="n">
        <v>2812.47</v>
      </c>
      <c r="AW65" s="20" t="n">
        <v>2812.47</v>
      </c>
      <c r="AX65" s="20" t="n">
        <v>2812.47</v>
      </c>
      <c r="AY65" s="20" t="n">
        <v>2812.47</v>
      </c>
    </row>
    <row r="66">
      <c r="B66" s="33" t="inlineStr">
        <is>
          <t>901000 Interest Expense (incl Other Exp/Inc)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19" t="n">
        <v>0</v>
      </c>
      <c r="I66" s="19" t="n">
        <v>0</v>
      </c>
      <c r="J66" s="19" t="n">
        <v>0</v>
      </c>
      <c r="K66" s="19" t="n">
        <v>0</v>
      </c>
      <c r="L66" s="19" t="n">
        <v>0</v>
      </c>
      <c r="M66" s="19" t="n">
        <v>0</v>
      </c>
      <c r="N66" s="19" t="n">
        <v>0</v>
      </c>
      <c r="O66" s="19" t="n">
        <v>0</v>
      </c>
      <c r="P66" s="19" t="n">
        <v>0</v>
      </c>
      <c r="Q66" s="19" t="n">
        <v>0</v>
      </c>
      <c r="R66" s="19" t="n">
        <v>0</v>
      </c>
      <c r="S66" s="19" t="n">
        <v>0</v>
      </c>
      <c r="T66" s="83" t="n">
        <v>0</v>
      </c>
      <c r="U66" s="83" t="n">
        <v>0</v>
      </c>
      <c r="V66" s="83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0</v>
      </c>
      <c r="F67" s="19" t="n">
        <v>0</v>
      </c>
      <c r="G67" s="19" t="n">
        <v>0</v>
      </c>
      <c r="H67" s="19" t="n">
        <v>0</v>
      </c>
      <c r="I67" s="19" t="n">
        <v>0</v>
      </c>
      <c r="J67" s="19" t="n">
        <v>0</v>
      </c>
      <c r="K67" s="19" t="n">
        <v>0</v>
      </c>
      <c r="L67" s="19" t="n">
        <v>0</v>
      </c>
      <c r="M67" s="19" t="n">
        <v>0</v>
      </c>
      <c r="N67" s="19" t="n">
        <v>0</v>
      </c>
      <c r="O67" s="19" t="n">
        <v>0</v>
      </c>
      <c r="P67" s="19" t="n">
        <v>0</v>
      </c>
      <c r="Q67" s="19" t="n">
        <v>0</v>
      </c>
      <c r="R67" s="19" t="n">
        <v>0</v>
      </c>
      <c r="S67" s="19" t="n">
        <v>0</v>
      </c>
      <c r="T67" s="83" t="n">
        <v>0</v>
      </c>
      <c r="U67" s="83" t="n">
        <v>0</v>
      </c>
      <c r="V67" s="83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AN69*0.056829</f>
        <v/>
      </c>
      <c r="AO67" s="20">
        <f>AO69*0.056829</f>
        <v/>
      </c>
      <c r="AP67" s="20">
        <f>AP69*0.056829</f>
        <v/>
      </c>
      <c r="AQ67" s="20">
        <f>AQ69*0.056829</f>
        <v/>
      </c>
      <c r="AR67" s="20">
        <f>AR69*0.056829</f>
        <v/>
      </c>
      <c r="AS67" s="20">
        <f>AS69*0.056829</f>
        <v/>
      </c>
      <c r="AT67" s="20">
        <f>AT69*0.056829</f>
        <v/>
      </c>
      <c r="AU67" s="20">
        <f>AU69*0.056829</f>
        <v/>
      </c>
      <c r="AV67" s="20">
        <f>AV69*0.056829</f>
        <v/>
      </c>
      <c r="AW67" s="20">
        <f>AW69*0.056829</f>
        <v/>
      </c>
      <c r="AX67" s="20">
        <f>AX69*0.056829</f>
        <v/>
      </c>
      <c r="AY67" s="20">
        <f>AY69*0.056829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3" t="n">
        <v>0</v>
      </c>
      <c r="U68" s="83" t="n">
        <v>0</v>
      </c>
      <c r="V68" s="83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P65+P66+P67+P68</f>
        <v/>
      </c>
      <c r="Q69" s="35">
        <f>Q65+Q66+Q67+Q68</f>
        <v/>
      </c>
      <c r="R69" s="35">
        <f>R65+R66+R67+R68</f>
        <v/>
      </c>
      <c r="S69" s="35">
        <f>S65+S66+S67+S68</f>
        <v/>
      </c>
      <c r="T69" s="84">
        <f>T65+T66+T67+T68</f>
        <v/>
      </c>
      <c r="U69" s="84">
        <f>U65+U66+U67+U68</f>
        <v/>
      </c>
      <c r="V69" s="84">
        <f>V65+V66+V67+V68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>
        <f>D63-D69</f>
        <v/>
      </c>
      <c r="E70" s="35">
        <f>E63-E69</f>
        <v/>
      </c>
      <c r="F70" s="35">
        <f>F63-F69</f>
        <v/>
      </c>
      <c r="G70" s="35">
        <f>G63-G69</f>
        <v/>
      </c>
      <c r="H70" s="35">
        <f>H63-H69</f>
        <v/>
      </c>
      <c r="I70" s="35">
        <f>I63-I69</f>
        <v/>
      </c>
      <c r="J70" s="35">
        <f>J63-J69</f>
        <v/>
      </c>
      <c r="K70" s="35">
        <f>K63-K69</f>
        <v/>
      </c>
      <c r="L70" s="35">
        <f>L63-L69</f>
        <v/>
      </c>
      <c r="M70" s="35">
        <f>M63-M69</f>
        <v/>
      </c>
      <c r="N70" s="35">
        <f>N63-N69</f>
        <v/>
      </c>
      <c r="O70" s="35">
        <f>O63-O69</f>
        <v/>
      </c>
      <c r="P70" s="35">
        <f>P63-P69</f>
        <v/>
      </c>
      <c r="Q70" s="35">
        <f>Q63-Q69</f>
        <v/>
      </c>
      <c r="R70" s="35">
        <f>R63-R69</f>
        <v/>
      </c>
      <c r="S70" s="35">
        <f>S63-S69</f>
        <v/>
      </c>
      <c r="T70" s="84">
        <f>T63-T69</f>
        <v/>
      </c>
      <c r="U70" s="84">
        <f>U63-U69</f>
        <v/>
      </c>
      <c r="V70" s="84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ED7D31"/>
    <outlinePr summaryBelow="1" summaryRight="1"/>
    <pageSetUpPr/>
  </sheetPr>
  <dimension ref="B2:BB70"/>
  <sheetViews>
    <sheetView showGridLines="0" workbookViewId="0">
      <pane xSplit="3" ySplit="5" topLeftCell="AL6" activePane="bottomRight" state="frozen"/>
      <selection activeCell="W21" sqref="W21"/>
      <selection pane="topRight" activeCell="W21" sqref="W21"/>
      <selection pane="bottomLeft" activeCell="W21" sqref="W21"/>
      <selection pane="bottomRight" activeCell="AY13" sqref="AY13"/>
    </sheetView>
  </sheetViews>
  <sheetFormatPr baseColWidth="10" defaultColWidth="8.83203125" defaultRowHeight="15"/>
  <cols>
    <col hidden="1" width="2" customWidth="1" style="282" min="1" max="1"/>
    <col width="32" customWidth="1" style="282" min="2" max="2"/>
    <col width="10" customWidth="1" style="282" min="3" max="3"/>
    <col width="12" customWidth="1" style="282" min="4" max="39"/>
    <col width="13.33203125" customWidth="1" style="282" min="53" max="53"/>
  </cols>
  <sheetData>
    <row r="2" ht="21" customHeight="1" s="282">
      <c r="B2" s="9" t="inlineStr">
        <is>
          <t>Santa Barbara (SB) — Profit &amp; Loss</t>
        </is>
      </c>
      <c r="T2" s="24" t="n"/>
      <c r="U2" s="24" t="n"/>
    </row>
    <row r="4" ht="16" customHeight="1" s="28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01" t="inlineStr">
        <is>
          <t>Revenue Segments as % of Total (LTM)</t>
        </is>
      </c>
    </row>
    <row r="6" ht="16" customHeight="1" s="28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BA6" s="272" t="inlineStr">
        <is>
          <t>LTM May 2026</t>
        </is>
      </c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4306.67</v>
      </c>
      <c r="O7" s="19" t="n">
        <v>7300.92</v>
      </c>
      <c r="P7" s="19" t="n">
        <v>12397.68</v>
      </c>
      <c r="Q7" s="19" t="n">
        <v>14799.82</v>
      </c>
      <c r="R7" s="19" t="n">
        <v>13891.53</v>
      </c>
      <c r="S7" s="19" t="n">
        <v>10796.05</v>
      </c>
      <c r="T7" s="83" t="n">
        <v>9415.469999999999</v>
      </c>
      <c r="U7" s="83" t="n">
        <v>7603.81</v>
      </c>
      <c r="V7" s="83" t="n">
        <v>8180.68</v>
      </c>
      <c r="W7" s="20">
        <f>W13*0.463805</f>
        <v/>
      </c>
      <c r="X7" s="20">
        <f>X13*0.463805</f>
        <v/>
      </c>
      <c r="Y7" s="20">
        <f>Y13*0.463805</f>
        <v/>
      </c>
      <c r="Z7" s="20">
        <f>Z13*0.463805</f>
        <v/>
      </c>
      <c r="AA7" s="20">
        <f>AA13*0.463805</f>
        <v/>
      </c>
      <c r="AB7" s="20">
        <f>AB13*0.463805</f>
        <v/>
      </c>
      <c r="AC7" s="20">
        <f>AC13*0.463805</f>
        <v/>
      </c>
      <c r="AD7" s="20">
        <f>AD13*0.463805</f>
        <v/>
      </c>
      <c r="AE7" s="20">
        <f>AE13*0.463805</f>
        <v/>
      </c>
      <c r="AF7" s="20">
        <f>AF13*0.463805</f>
        <v/>
      </c>
      <c r="AG7" s="20">
        <f>AG13*0.463805</f>
        <v/>
      </c>
      <c r="AH7" s="20">
        <f>AH13*0.463805</f>
        <v/>
      </c>
      <c r="AI7" s="20">
        <f>AI13*0.463805</f>
        <v/>
      </c>
      <c r="AJ7" s="20">
        <f>AJ13*0.463805</f>
        <v/>
      </c>
      <c r="AK7" s="20">
        <f>AK13*0.463805</f>
        <v/>
      </c>
      <c r="AL7" s="20">
        <f>AL13*0.463805</f>
        <v/>
      </c>
      <c r="AM7" s="20">
        <f>AM13*0.463805</f>
        <v/>
      </c>
      <c r="AN7" s="20">
        <f>AN13*0.463805</f>
        <v/>
      </c>
      <c r="AO7" s="20">
        <f>AO13*0.463805</f>
        <v/>
      </c>
      <c r="AP7" s="20">
        <f>AP13*0.463805</f>
        <v/>
      </c>
      <c r="AQ7" s="20">
        <f>AQ13*0.463805</f>
        <v/>
      </c>
      <c r="AR7" s="20">
        <f>AR13*0.463805</f>
        <v/>
      </c>
      <c r="AS7" s="20">
        <f>AS13*0.463805</f>
        <v/>
      </c>
      <c r="AT7" s="20">
        <f>AT13*0.463805</f>
        <v/>
      </c>
      <c r="AU7" s="20">
        <f>AU13*0.463805</f>
        <v/>
      </c>
      <c r="AV7" s="20">
        <f>AV13*0.463805</f>
        <v/>
      </c>
      <c r="AW7" s="20">
        <f>AW13*0.463805</f>
        <v/>
      </c>
      <c r="AX7" s="20">
        <f>AX13*0.463805</f>
        <v/>
      </c>
      <c r="AY7" s="20">
        <f>AY13*0.463805</f>
        <v/>
      </c>
      <c r="BA7" s="288">
        <f>SUM(I7:T7)</f>
        <v/>
      </c>
      <c r="BB7" s="274">
        <f>BA7/$BA$21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9" t="n">
        <v>420</v>
      </c>
      <c r="O8" s="19" t="n">
        <v>1520</v>
      </c>
      <c r="P8" s="19" t="n">
        <v>3578</v>
      </c>
      <c r="Q8" s="19" t="n">
        <v>1647</v>
      </c>
      <c r="R8" s="19" t="n">
        <v>825</v>
      </c>
      <c r="S8" s="19" t="n">
        <v>1201.67</v>
      </c>
      <c r="T8" s="83" t="n">
        <v>376.67</v>
      </c>
      <c r="U8" s="83" t="n">
        <v>675</v>
      </c>
      <c r="V8" s="83" t="n">
        <v>675</v>
      </c>
      <c r="W8" s="20">
        <f>W13*0.064823</f>
        <v/>
      </c>
      <c r="X8" s="20">
        <f>X13*0.064823</f>
        <v/>
      </c>
      <c r="Y8" s="20">
        <f>Y13*0.064823</f>
        <v/>
      </c>
      <c r="Z8" s="20">
        <f>Z13*0.064823</f>
        <v/>
      </c>
      <c r="AA8" s="20">
        <f>AA13*0.064823</f>
        <v/>
      </c>
      <c r="AB8" s="20">
        <f>AB13*0.064823</f>
        <v/>
      </c>
      <c r="AC8" s="20">
        <f>AC13*0.064823</f>
        <v/>
      </c>
      <c r="AD8" s="20">
        <f>AD13*0.064823</f>
        <v/>
      </c>
      <c r="AE8" s="20">
        <f>AE13*0.064823</f>
        <v/>
      </c>
      <c r="AF8" s="20">
        <f>AF13*0.064823</f>
        <v/>
      </c>
      <c r="AG8" s="20">
        <f>AG13*0.064823</f>
        <v/>
      </c>
      <c r="AH8" s="20">
        <f>AH13*0.064823</f>
        <v/>
      </c>
      <c r="AI8" s="20">
        <f>AI13*0.064823</f>
        <v/>
      </c>
      <c r="AJ8" s="20">
        <f>AJ13*0.064823</f>
        <v/>
      </c>
      <c r="AK8" s="20">
        <f>AK13*0.064823</f>
        <v/>
      </c>
      <c r="AL8" s="20">
        <f>AL13*0.064823</f>
        <v/>
      </c>
      <c r="AM8" s="20">
        <f>AM13*0.064823</f>
        <v/>
      </c>
      <c r="AN8" s="20">
        <f>AN13*0.064823</f>
        <v/>
      </c>
      <c r="AO8" s="20">
        <f>AO13*0.064823</f>
        <v/>
      </c>
      <c r="AP8" s="20">
        <f>AP13*0.064823</f>
        <v/>
      </c>
      <c r="AQ8" s="20">
        <f>AQ13*0.064823</f>
        <v/>
      </c>
      <c r="AR8" s="20">
        <f>AR13*0.064823</f>
        <v/>
      </c>
      <c r="AS8" s="20">
        <f>AS13*0.064823</f>
        <v/>
      </c>
      <c r="AT8" s="20">
        <f>AT13*0.064823</f>
        <v/>
      </c>
      <c r="AU8" s="20">
        <f>AU13*0.064823</f>
        <v/>
      </c>
      <c r="AV8" s="20">
        <f>AV13*0.064823</f>
        <v/>
      </c>
      <c r="AW8" s="20">
        <f>AW13*0.064823</f>
        <v/>
      </c>
      <c r="AX8" s="20">
        <f>AX13*0.064823</f>
        <v/>
      </c>
      <c r="AY8" s="20">
        <f>AY13*0.064823</f>
        <v/>
      </c>
      <c r="BA8" s="288">
        <f>SUM(I8:T8)</f>
        <v/>
      </c>
      <c r="BB8" s="274">
        <f>BA8/$BA$21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2731.9</v>
      </c>
      <c r="O9" s="19" t="n">
        <v>4539.95</v>
      </c>
      <c r="P9" s="19" t="n">
        <v>8318.93</v>
      </c>
      <c r="Q9" s="19" t="n">
        <v>8309.99</v>
      </c>
      <c r="R9" s="19" t="n">
        <v>9510.129999999999</v>
      </c>
      <c r="S9" s="19" t="n">
        <v>9064</v>
      </c>
      <c r="T9" s="83" t="n">
        <v>8485.719999999999</v>
      </c>
      <c r="U9" s="83" t="n">
        <v>6329.82</v>
      </c>
      <c r="V9" s="83" t="n">
        <v>6589</v>
      </c>
      <c r="W9" s="20">
        <f>W13*0.314683</f>
        <v/>
      </c>
      <c r="X9" s="20">
        <f>X13*0.314683</f>
        <v/>
      </c>
      <c r="Y9" s="20">
        <f>Y13*0.314683</f>
        <v/>
      </c>
      <c r="Z9" s="20">
        <f>Z13*0.314683</f>
        <v/>
      </c>
      <c r="AA9" s="20">
        <f>AA13*0.314683</f>
        <v/>
      </c>
      <c r="AB9" s="20">
        <f>AB13*0.314683</f>
        <v/>
      </c>
      <c r="AC9" s="20">
        <f>AC13*0.314683</f>
        <v/>
      </c>
      <c r="AD9" s="20">
        <f>AD13*0.314683</f>
        <v/>
      </c>
      <c r="AE9" s="20">
        <f>AE13*0.314683</f>
        <v/>
      </c>
      <c r="AF9" s="20">
        <f>AF13*0.314683</f>
        <v/>
      </c>
      <c r="AG9" s="20">
        <f>AG13*0.314683</f>
        <v/>
      </c>
      <c r="AH9" s="20">
        <f>AH13*0.314683</f>
        <v/>
      </c>
      <c r="AI9" s="20">
        <f>AI13*0.314683</f>
        <v/>
      </c>
      <c r="AJ9" s="20">
        <f>AJ13*0.314683</f>
        <v/>
      </c>
      <c r="AK9" s="20">
        <f>AK13*0.314683</f>
        <v/>
      </c>
      <c r="AL9" s="20">
        <f>AL13*0.314683</f>
        <v/>
      </c>
      <c r="AM9" s="20">
        <f>AM13*0.314683</f>
        <v/>
      </c>
      <c r="AN9" s="20">
        <f>AN13*0.314683</f>
        <v/>
      </c>
      <c r="AO9" s="20">
        <f>AO13*0.314683</f>
        <v/>
      </c>
      <c r="AP9" s="20">
        <f>AP13*0.314683</f>
        <v/>
      </c>
      <c r="AQ9" s="20">
        <f>AQ13*0.314683</f>
        <v/>
      </c>
      <c r="AR9" s="20">
        <f>AR13*0.314683</f>
        <v/>
      </c>
      <c r="AS9" s="20">
        <f>AS13*0.314683</f>
        <v/>
      </c>
      <c r="AT9" s="20">
        <f>AT13*0.314683</f>
        <v/>
      </c>
      <c r="AU9" s="20">
        <f>AU13*0.314683</f>
        <v/>
      </c>
      <c r="AV9" s="20">
        <f>AV13*0.314683</f>
        <v/>
      </c>
      <c r="AW9" s="20">
        <f>AW13*0.314683</f>
        <v/>
      </c>
      <c r="AX9" s="20">
        <f>AX13*0.314683</f>
        <v/>
      </c>
      <c r="AY9" s="20">
        <f>AY13*0.314683</f>
        <v/>
      </c>
      <c r="BA9" s="288">
        <f>SUM(I9:T9)</f>
        <v/>
      </c>
      <c r="BB9" s="274">
        <f>BA9/$BA$21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10056.08</v>
      </c>
      <c r="R10" s="19" t="n">
        <v>7182.92</v>
      </c>
      <c r="S10" s="19" t="n">
        <v>0</v>
      </c>
      <c r="T10" s="83" t="n">
        <v>0</v>
      </c>
      <c r="U10" s="83" t="n">
        <v>0</v>
      </c>
      <c r="V10" s="83" t="n">
        <v>0</v>
      </c>
      <c r="W10" s="20">
        <f>W13*0.154101</f>
        <v/>
      </c>
      <c r="X10" s="20">
        <f>X13*0.154101</f>
        <v/>
      </c>
      <c r="Y10" s="20">
        <f>Y13*0.154101</f>
        <v/>
      </c>
      <c r="Z10" s="20">
        <f>Z13*0.154101</f>
        <v/>
      </c>
      <c r="AA10" s="20">
        <f>AA13*0.154101</f>
        <v/>
      </c>
      <c r="AB10" s="20">
        <f>AB13*0.154101</f>
        <v/>
      </c>
      <c r="AC10" s="20">
        <f>AC13*0.154101</f>
        <v/>
      </c>
      <c r="AD10" s="20">
        <f>AD13*0.154101</f>
        <v/>
      </c>
      <c r="AE10" s="20">
        <f>AE13*0.154101</f>
        <v/>
      </c>
      <c r="AF10" s="20">
        <f>AF13*0.154101</f>
        <v/>
      </c>
      <c r="AG10" s="20">
        <f>AG13*0.154101</f>
        <v/>
      </c>
      <c r="AH10" s="20">
        <f>AH13*0.154101</f>
        <v/>
      </c>
      <c r="AI10" s="20">
        <f>AI13*0.154101</f>
        <v/>
      </c>
      <c r="AJ10" s="20">
        <f>AJ13*0.154101</f>
        <v/>
      </c>
      <c r="AK10" s="20">
        <f>AK13*0.154101</f>
        <v/>
      </c>
      <c r="AL10" s="20">
        <f>AL13*0.154101</f>
        <v/>
      </c>
      <c r="AM10" s="20">
        <f>AM13*0.154101</f>
        <v/>
      </c>
      <c r="AN10" s="20">
        <f>AN13*0.154101</f>
        <v/>
      </c>
      <c r="AO10" s="20">
        <f>AO13*0.154101</f>
        <v/>
      </c>
      <c r="AP10" s="20">
        <f>AP13*0.154101</f>
        <v/>
      </c>
      <c r="AQ10" s="20">
        <f>AQ13*0.154101</f>
        <v/>
      </c>
      <c r="AR10" s="20">
        <f>AR13*0.154101</f>
        <v/>
      </c>
      <c r="AS10" s="20">
        <f>AS13*0.154101</f>
        <v/>
      </c>
      <c r="AT10" s="20">
        <f>AT13*0.154101</f>
        <v/>
      </c>
      <c r="AU10" s="20">
        <f>AU13*0.154101</f>
        <v/>
      </c>
      <c r="AV10" s="20">
        <f>AV13*0.154101</f>
        <v/>
      </c>
      <c r="AW10" s="20">
        <f>AW13*0.154101</f>
        <v/>
      </c>
      <c r="AX10" s="20">
        <f>AX13*0.154101</f>
        <v/>
      </c>
      <c r="AY10" s="20">
        <f>AY13*0.154101</f>
        <v/>
      </c>
      <c r="BA10" s="288">
        <f>SUM(I10:T10)</f>
        <v/>
      </c>
      <c r="BB10" s="274">
        <f>BA10/$BA$21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14</v>
      </c>
      <c r="Q11" s="19" t="n">
        <v>0</v>
      </c>
      <c r="R11" s="19" t="n">
        <v>0</v>
      </c>
      <c r="S11" s="19" t="n">
        <v>0</v>
      </c>
      <c r="T11" s="83" t="n">
        <v>0</v>
      </c>
      <c r="U11" s="83" t="n">
        <v>0</v>
      </c>
      <c r="V11" s="83" t="n">
        <v>0</v>
      </c>
      <c r="W11" s="20">
        <f>W13*0.000125</f>
        <v/>
      </c>
      <c r="X11" s="20">
        <f>X13*0.000125</f>
        <v/>
      </c>
      <c r="Y11" s="20">
        <f>Y13*0.000125</f>
        <v/>
      </c>
      <c r="Z11" s="20">
        <f>Z13*0.000125</f>
        <v/>
      </c>
      <c r="AA11" s="20">
        <f>AA13*0.000125</f>
        <v/>
      </c>
      <c r="AB11" s="20">
        <f>AB13*0.000125</f>
        <v/>
      </c>
      <c r="AC11" s="20">
        <f>AC13*0.000125</f>
        <v/>
      </c>
      <c r="AD11" s="20">
        <f>AD13*0.000125</f>
        <v/>
      </c>
      <c r="AE11" s="20">
        <f>AE13*0.000125</f>
        <v/>
      </c>
      <c r="AF11" s="20">
        <f>AF13*0.000125</f>
        <v/>
      </c>
      <c r="AG11" s="20">
        <f>AG13*0.000125</f>
        <v/>
      </c>
      <c r="AH11" s="20">
        <f>AH13*0.000125</f>
        <v/>
      </c>
      <c r="AI11" s="20">
        <f>AI13*0.000125</f>
        <v/>
      </c>
      <c r="AJ11" s="20">
        <f>AJ13*0.000125</f>
        <v/>
      </c>
      <c r="AK11" s="20">
        <f>AK13*0.000125</f>
        <v/>
      </c>
      <c r="AL11" s="20">
        <f>AL13*0.000125</f>
        <v/>
      </c>
      <c r="AM11" s="20">
        <f>AM13*0.000125</f>
        <v/>
      </c>
      <c r="AN11" s="20">
        <f>AN13*0.000125</f>
        <v/>
      </c>
      <c r="AO11" s="20">
        <f>AO13*0.000125</f>
        <v/>
      </c>
      <c r="AP11" s="20">
        <f>AP13*0.000125</f>
        <v/>
      </c>
      <c r="AQ11" s="20">
        <f>AQ13*0.000125</f>
        <v/>
      </c>
      <c r="AR11" s="20">
        <f>AR13*0.000125</f>
        <v/>
      </c>
      <c r="AS11" s="20">
        <f>AS13*0.000125</f>
        <v/>
      </c>
      <c r="AT11" s="20">
        <f>AT13*0.000125</f>
        <v/>
      </c>
      <c r="AU11" s="20">
        <f>AU13*0.000125</f>
        <v/>
      </c>
      <c r="AV11" s="20">
        <f>AV13*0.000125</f>
        <v/>
      </c>
      <c r="AW11" s="20">
        <f>AW13*0.000125</f>
        <v/>
      </c>
      <c r="AX11" s="20">
        <f>AX13*0.000125</f>
        <v/>
      </c>
      <c r="AY11" s="20">
        <f>AY13*0.000125</f>
        <v/>
      </c>
      <c r="BA11" s="288">
        <f>SUM(I11:T11)</f>
        <v/>
      </c>
      <c r="BB11" s="274">
        <f>BA11/$BA$21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30.6</v>
      </c>
      <c r="P12" s="19" t="n">
        <v>0</v>
      </c>
      <c r="Q12" s="19" t="n">
        <v>0</v>
      </c>
      <c r="R12" s="19" t="n">
        <v>52.02</v>
      </c>
      <c r="S12" s="19" t="n">
        <v>223.38</v>
      </c>
      <c r="T12" s="83" t="n">
        <v>183.6</v>
      </c>
      <c r="U12" s="83" t="n">
        <v>275.4</v>
      </c>
      <c r="V12" s="83" t="n">
        <v>205.02</v>
      </c>
      <c r="W12" s="20">
        <f>W13*0.002462</f>
        <v/>
      </c>
      <c r="X12" s="20">
        <f>X13*0.002462</f>
        <v/>
      </c>
      <c r="Y12" s="20">
        <f>Y13*0.002462</f>
        <v/>
      </c>
      <c r="Z12" s="20">
        <f>Z13*0.002462</f>
        <v/>
      </c>
      <c r="AA12" s="20">
        <f>AA13*0.002462</f>
        <v/>
      </c>
      <c r="AB12" s="20">
        <f>AB13*0.002462</f>
        <v/>
      </c>
      <c r="AC12" s="20">
        <f>AC13*0.002462</f>
        <v/>
      </c>
      <c r="AD12" s="20">
        <f>AD13*0.002462</f>
        <v/>
      </c>
      <c r="AE12" s="20">
        <f>AE13*0.002462</f>
        <v/>
      </c>
      <c r="AF12" s="20">
        <f>AF13*0.002462</f>
        <v/>
      </c>
      <c r="AG12" s="20">
        <f>AG13*0.002462</f>
        <v/>
      </c>
      <c r="AH12" s="20">
        <f>AH13*0.002462</f>
        <v/>
      </c>
      <c r="AI12" s="20">
        <f>AI13*0.002462</f>
        <v/>
      </c>
      <c r="AJ12" s="20">
        <f>AJ13*0.002462</f>
        <v/>
      </c>
      <c r="AK12" s="20">
        <f>AK13*0.002462</f>
        <v/>
      </c>
      <c r="AL12" s="20">
        <f>AL13*0.002462</f>
        <v/>
      </c>
      <c r="AM12" s="20">
        <f>AM13*0.002462</f>
        <v/>
      </c>
      <c r="AN12" s="20">
        <f>AN13*0.002462</f>
        <v/>
      </c>
      <c r="AO12" s="20">
        <f>AO13*0.002462</f>
        <v/>
      </c>
      <c r="AP12" s="20">
        <f>AP13*0.002462</f>
        <v/>
      </c>
      <c r="AQ12" s="20">
        <f>AQ13*0.002462</f>
        <v/>
      </c>
      <c r="AR12" s="20">
        <f>AR13*0.002462</f>
        <v/>
      </c>
      <c r="AS12" s="20">
        <f>AS13*0.002462</f>
        <v/>
      </c>
      <c r="AT12" s="20">
        <f>AT13*0.002462</f>
        <v/>
      </c>
      <c r="AU12" s="20">
        <f>AU13*0.002462</f>
        <v/>
      </c>
      <c r="AV12" s="20">
        <f>AV13*0.002462</f>
        <v/>
      </c>
      <c r="AW12" s="20">
        <f>AW13*0.002462</f>
        <v/>
      </c>
      <c r="AX12" s="20">
        <f>AX13*0.002462</f>
        <v/>
      </c>
      <c r="AY12" s="20">
        <f>AY13*0.002462</f>
        <v/>
      </c>
      <c r="BA12" s="288">
        <f>SUM(I12:T12)</f>
        <v/>
      </c>
      <c r="BB12" s="274">
        <f>BA12/$BA$21</f>
        <v/>
      </c>
    </row>
    <row r="13">
      <c r="B13" s="32" t="inlineStr">
        <is>
          <t>Total Sessions</t>
        </is>
      </c>
      <c r="C13" s="34" t="n"/>
      <c r="D13" s="35">
        <f>SUM(D7:D12)</f>
        <v/>
      </c>
      <c r="E13" s="35">
        <f>SUM(E7:E12)</f>
        <v/>
      </c>
      <c r="F13" s="35">
        <f>SUM(F7:F12)</f>
        <v/>
      </c>
      <c r="G13" s="35">
        <f>SUM(G7:G12)</f>
        <v/>
      </c>
      <c r="H13" s="35">
        <f>SUM(H7:H12)</f>
        <v/>
      </c>
      <c r="I13" s="35">
        <f>SUM(I7:I12)</f>
        <v/>
      </c>
      <c r="J13" s="35">
        <f>SUM(J7:J12)</f>
        <v/>
      </c>
      <c r="K13" s="35">
        <f>SUM(K7:K12)</f>
        <v/>
      </c>
      <c r="L13" s="35">
        <f>SUM(L7:L12)</f>
        <v/>
      </c>
      <c r="M13" s="35">
        <f>SUM(M7:M12)</f>
        <v/>
      </c>
      <c r="N13" s="35">
        <f>SUM(N7:N12)</f>
        <v/>
      </c>
      <c r="O13" s="35">
        <f>SUM(O7:O12)</f>
        <v/>
      </c>
      <c r="P13" s="35">
        <f>P7+P8+P9+P10+P11+P12</f>
        <v/>
      </c>
      <c r="Q13" s="35">
        <f>Q7+Q8+Q9+Q10+Q11+Q12</f>
        <v/>
      </c>
      <c r="R13" s="35">
        <f>R7+R8+R9+R10+R11+R12</f>
        <v/>
      </c>
      <c r="S13" s="35">
        <f>S7+S8+S9+S10+S11+S12</f>
        <v/>
      </c>
      <c r="T13" s="84">
        <f>T7+T8+T9+T10+T11+T12</f>
        <v/>
      </c>
      <c r="U13" s="84">
        <f>U7+U8+U9+U10+U11+U12</f>
        <v/>
      </c>
      <c r="V13" s="84">
        <f>V7+V8+V9+V10+V11+V12</f>
        <v/>
      </c>
      <c r="W13" s="17">
        <f>'Sales Forecast'!W14*Assumptions!$C$12+'Sales Forecast'!V14*Assumptions!$D$12+'Sales Forecast'!U14*Assumptions!$E$12+'Sales Forecast'!T14*Assumptions!$F$12+'Sales Forecast'!S14*Assumptions!$G$12+'Sales Forecast'!R14*Assumptions!$H$12+'Sales Forecast'!Q14*Assumptions!$I$12</f>
        <v/>
      </c>
      <c r="X13" s="17">
        <f>'Sales Forecast'!X14*Assumptions!$C$12+'Sales Forecast'!W14*Assumptions!$D$12+'Sales Forecast'!V14*Assumptions!$E$12+'Sales Forecast'!U14*Assumptions!$F$12+'Sales Forecast'!T14*Assumptions!$G$12+'Sales Forecast'!S14*Assumptions!$H$12+'Sales Forecast'!R14*Assumptions!$I$12</f>
        <v/>
      </c>
      <c r="Y13" s="17">
        <f>'Sales Forecast'!Y14*Assumptions!$C$12+'Sales Forecast'!X14*Assumptions!$D$12+'Sales Forecast'!W14*Assumptions!$E$12+'Sales Forecast'!V14*Assumptions!$F$12+'Sales Forecast'!U14*Assumptions!$G$12+'Sales Forecast'!T14*Assumptions!$H$12+'Sales Forecast'!S14*Assumptions!$I$12</f>
        <v/>
      </c>
      <c r="Z13" s="17">
        <f>'Sales Forecast'!Z14*Assumptions!$C$12+'Sales Forecast'!Y14*Assumptions!$D$12+'Sales Forecast'!X14*Assumptions!$E$12+'Sales Forecast'!W14*Assumptions!$F$12+'Sales Forecast'!V14*Assumptions!$G$12+'Sales Forecast'!U14*Assumptions!$H$12+'Sales Forecast'!T14*Assumptions!$I$12</f>
        <v/>
      </c>
      <c r="AA13" s="17">
        <f>'Sales Forecast'!AA14*Assumptions!$C$12+'Sales Forecast'!Z14*Assumptions!$D$12+'Sales Forecast'!Y14*Assumptions!$E$12+'Sales Forecast'!X14*Assumptions!$F$12+'Sales Forecast'!W14*Assumptions!$G$12+'Sales Forecast'!V14*Assumptions!$H$12+'Sales Forecast'!U14*Assumptions!$I$12</f>
        <v/>
      </c>
      <c r="AB13" s="17">
        <f>'Sales Forecast'!AB14*Assumptions!$C$12+'Sales Forecast'!AA14*Assumptions!$D$12+'Sales Forecast'!Z14*Assumptions!$E$12+'Sales Forecast'!Y14*Assumptions!$F$12+'Sales Forecast'!X14*Assumptions!$G$12+'Sales Forecast'!W14*Assumptions!$H$12+'Sales Forecast'!V14*Assumptions!$I$12</f>
        <v/>
      </c>
      <c r="AC13" s="17">
        <f>'Sales Forecast'!AC14*Assumptions!$C$12+'Sales Forecast'!AB14*Assumptions!$D$12+'Sales Forecast'!AA14*Assumptions!$E$12+'Sales Forecast'!Z14*Assumptions!$F$12+'Sales Forecast'!Y14*Assumptions!$G$12+'Sales Forecast'!X14*Assumptions!$H$12+'Sales Forecast'!W14*Assumptions!$I$12</f>
        <v/>
      </c>
      <c r="AD13" s="17">
        <f>'Sales Forecast'!AD14*Assumptions!$C$12+'Sales Forecast'!AC14*Assumptions!$D$12+'Sales Forecast'!AB14*Assumptions!$E$12+'Sales Forecast'!AA14*Assumptions!$F$12+'Sales Forecast'!Z14*Assumptions!$G$12+'Sales Forecast'!Y14*Assumptions!$H$12+'Sales Forecast'!X14*Assumptions!$I$12</f>
        <v/>
      </c>
      <c r="AE13" s="17">
        <f>'Sales Forecast'!AE14*Assumptions!$C$12+'Sales Forecast'!AD14*Assumptions!$D$12+'Sales Forecast'!AC14*Assumptions!$E$12+'Sales Forecast'!AB14*Assumptions!$F$12+'Sales Forecast'!AA14*Assumptions!$G$12+'Sales Forecast'!Z14*Assumptions!$H$12+'Sales Forecast'!Y14*Assumptions!$I$12</f>
        <v/>
      </c>
      <c r="AF13" s="17">
        <f>'Sales Forecast'!AF14*Assumptions!$C$12+'Sales Forecast'!AE14*Assumptions!$D$12+'Sales Forecast'!AD14*Assumptions!$E$12+'Sales Forecast'!AC14*Assumptions!$F$12+'Sales Forecast'!AB14*Assumptions!$G$12+'Sales Forecast'!AA14*Assumptions!$H$12+'Sales Forecast'!Z14*Assumptions!$I$12</f>
        <v/>
      </c>
      <c r="AG13" s="17">
        <f>'Sales Forecast'!AG14*Assumptions!$C$12+'Sales Forecast'!AF14*Assumptions!$D$12+'Sales Forecast'!AE14*Assumptions!$E$12+'Sales Forecast'!AD14*Assumptions!$F$12+'Sales Forecast'!AC14*Assumptions!$G$12+'Sales Forecast'!AB14*Assumptions!$H$12+'Sales Forecast'!AA14*Assumptions!$I$12</f>
        <v/>
      </c>
      <c r="AH13" s="17">
        <f>'Sales Forecast'!AH14*Assumptions!$C$12+'Sales Forecast'!AG14*Assumptions!$D$12+'Sales Forecast'!AF14*Assumptions!$E$12+'Sales Forecast'!AE14*Assumptions!$F$12+'Sales Forecast'!AD14*Assumptions!$G$12+'Sales Forecast'!AC14*Assumptions!$H$12+'Sales Forecast'!AB14*Assumptions!$I$12</f>
        <v/>
      </c>
      <c r="AI13" s="17">
        <f>'Sales Forecast'!AI14*Assumptions!$C$12+'Sales Forecast'!AH14*Assumptions!$D$12+'Sales Forecast'!AG14*Assumptions!$E$12+'Sales Forecast'!AF14*Assumptions!$F$12+'Sales Forecast'!AE14*Assumptions!$G$12+'Sales Forecast'!AD14*Assumptions!$H$12+'Sales Forecast'!AC14*Assumptions!$I$12</f>
        <v/>
      </c>
      <c r="AJ13" s="17">
        <f>'Sales Forecast'!AJ14*Assumptions!$C$12+'Sales Forecast'!AI14*Assumptions!$D$12+'Sales Forecast'!AH14*Assumptions!$E$12+'Sales Forecast'!AG14*Assumptions!$F$12+'Sales Forecast'!AF14*Assumptions!$G$12+'Sales Forecast'!AE14*Assumptions!$H$12+'Sales Forecast'!AD14*Assumptions!$I$12</f>
        <v/>
      </c>
      <c r="AK13" s="17">
        <f>'Sales Forecast'!AK14*Assumptions!$C$12+'Sales Forecast'!AJ14*Assumptions!$D$12+'Sales Forecast'!AI14*Assumptions!$E$12+'Sales Forecast'!AH14*Assumptions!$F$12+'Sales Forecast'!AG14*Assumptions!$G$12+'Sales Forecast'!AF14*Assumptions!$H$12+'Sales Forecast'!AE14*Assumptions!$I$12</f>
        <v/>
      </c>
      <c r="AL13" s="17">
        <f>'Sales Forecast'!AL14*Assumptions!$C$12+'Sales Forecast'!AK14*Assumptions!$D$12+'Sales Forecast'!AJ14*Assumptions!$E$12+'Sales Forecast'!AI14*Assumptions!$F$12+'Sales Forecast'!AH14*Assumptions!$G$12+'Sales Forecast'!AG14*Assumptions!$H$12+'Sales Forecast'!AF14*Assumptions!$I$12</f>
        <v/>
      </c>
      <c r="AM13" s="17">
        <f>'Sales Forecast'!AM14*Assumptions!$C$12+'Sales Forecast'!AL14*Assumptions!$D$12+'Sales Forecast'!AK14*Assumptions!$E$12+'Sales Forecast'!AJ14*Assumptions!$F$12+'Sales Forecast'!AI14*Assumptions!$G$12+'Sales Forecast'!AH14*Assumptions!$H$12+'Sales Forecast'!AG14*Assumptions!$I$12</f>
        <v/>
      </c>
      <c r="AN13" s="17">
        <f>'Sales Forecast'!AN14*Assumptions!$C$12+'Sales Forecast'!AM14*Assumptions!$D$12+'Sales Forecast'!AL14*Assumptions!$E$12+'Sales Forecast'!AK14*Assumptions!$F$12+'Sales Forecast'!AJ14*Assumptions!$G$12+'Sales Forecast'!AI14*Assumptions!$H$12+'Sales Forecast'!AH14*Assumptions!$I$12</f>
        <v/>
      </c>
      <c r="AO13" s="17">
        <f>'Sales Forecast'!AO14*Assumptions!$C$12+'Sales Forecast'!AN14*Assumptions!$D$12+'Sales Forecast'!AM14*Assumptions!$E$12+'Sales Forecast'!AL14*Assumptions!$F$12+'Sales Forecast'!AK14*Assumptions!$G$12+'Sales Forecast'!AJ14*Assumptions!$H$12+'Sales Forecast'!AI14*Assumptions!$I$12</f>
        <v/>
      </c>
      <c r="AP13" s="17">
        <f>'Sales Forecast'!AP14*Assumptions!$C$12+'Sales Forecast'!AO14*Assumptions!$D$12+'Sales Forecast'!AN14*Assumptions!$E$12+'Sales Forecast'!AM14*Assumptions!$F$12+'Sales Forecast'!AL14*Assumptions!$G$12+'Sales Forecast'!AK14*Assumptions!$H$12+'Sales Forecast'!AJ14*Assumptions!$I$12</f>
        <v/>
      </c>
      <c r="AQ13" s="17">
        <f>'Sales Forecast'!AQ14*Assumptions!$C$12+'Sales Forecast'!AP14*Assumptions!$D$12+'Sales Forecast'!AO14*Assumptions!$E$12+'Sales Forecast'!AN14*Assumptions!$F$12+'Sales Forecast'!AM14*Assumptions!$G$12+'Sales Forecast'!AL14*Assumptions!$H$12+'Sales Forecast'!AK14*Assumptions!$I$12</f>
        <v/>
      </c>
      <c r="AR13" s="17">
        <f>'Sales Forecast'!AR14*Assumptions!$C$12+'Sales Forecast'!AQ14*Assumptions!$D$12+'Sales Forecast'!AP14*Assumptions!$E$12+'Sales Forecast'!AO14*Assumptions!$F$12+'Sales Forecast'!AN14*Assumptions!$G$12+'Sales Forecast'!AM14*Assumptions!$H$12+'Sales Forecast'!AL14*Assumptions!$I$12</f>
        <v/>
      </c>
      <c r="AS13" s="17">
        <f>'Sales Forecast'!AS14*Assumptions!$C$12+'Sales Forecast'!AR14*Assumptions!$D$12+'Sales Forecast'!AQ14*Assumptions!$E$12+'Sales Forecast'!AP14*Assumptions!$F$12+'Sales Forecast'!AO14*Assumptions!$G$12+'Sales Forecast'!AN14*Assumptions!$H$12+'Sales Forecast'!AM14*Assumptions!$I$12</f>
        <v/>
      </c>
      <c r="AT13" s="17">
        <f>'Sales Forecast'!AT14*Assumptions!$C$12+'Sales Forecast'!AS14*Assumptions!$D$12+'Sales Forecast'!AR14*Assumptions!$E$12+'Sales Forecast'!AQ14*Assumptions!$F$12+'Sales Forecast'!AP14*Assumptions!$G$12+'Sales Forecast'!AO14*Assumptions!$H$12+'Sales Forecast'!AN14*Assumptions!$I$12</f>
        <v/>
      </c>
      <c r="AU13" s="17">
        <f>'Sales Forecast'!AU14*Assumptions!$C$12+'Sales Forecast'!AT14*Assumptions!$D$12+'Sales Forecast'!AS14*Assumptions!$E$12+'Sales Forecast'!AR14*Assumptions!$F$12+'Sales Forecast'!AQ14*Assumptions!$G$12+'Sales Forecast'!AP14*Assumptions!$H$12+'Sales Forecast'!AO14*Assumptions!$I$12</f>
        <v/>
      </c>
      <c r="AV13" s="17">
        <f>'Sales Forecast'!AV14*Assumptions!$C$12+'Sales Forecast'!AU14*Assumptions!$D$12+'Sales Forecast'!AT14*Assumptions!$E$12+'Sales Forecast'!AS14*Assumptions!$F$12+'Sales Forecast'!AR14*Assumptions!$G$12+'Sales Forecast'!AQ14*Assumptions!$H$12+'Sales Forecast'!AP14*Assumptions!$I$12</f>
        <v/>
      </c>
      <c r="AW13" s="17">
        <f>'Sales Forecast'!AW14*Assumptions!$C$12+'Sales Forecast'!AV14*Assumptions!$D$12+'Sales Forecast'!AU14*Assumptions!$E$12+'Sales Forecast'!AT14*Assumptions!$F$12+'Sales Forecast'!AS14*Assumptions!$G$12+'Sales Forecast'!AR14*Assumptions!$H$12+'Sales Forecast'!AQ14*Assumptions!$I$12</f>
        <v/>
      </c>
      <c r="AX13" s="17">
        <f>'Sales Forecast'!AX14*Assumptions!$C$12+'Sales Forecast'!AW14*Assumptions!$D$12+'Sales Forecast'!AV14*Assumptions!$E$12+'Sales Forecast'!AU14*Assumptions!$F$12+'Sales Forecast'!AT14*Assumptions!$G$12+'Sales Forecast'!AS14*Assumptions!$H$12+'Sales Forecast'!AR14*Assumptions!$I$12</f>
        <v/>
      </c>
      <c r="AY13" s="17">
        <f>'Sales Forecast'!AY14*Assumptions!$C$12+'Sales Forecast'!AX14*Assumptions!$D$12+'Sales Forecast'!AW14*Assumptions!$E$12+'Sales Forecast'!AV14*Assumptions!$F$12+'Sales Forecast'!AU14*Assumptions!$G$12+'Sales Forecast'!AT14*Assumptions!$H$12+'Sales Forecast'!AS14*Assumptions!$I$12</f>
        <v/>
      </c>
      <c r="BA13" s="288" t="n"/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271</v>
      </c>
      <c r="O14" s="19" t="n">
        <v>1032.47</v>
      </c>
      <c r="P14" s="19" t="n">
        <v>1073.27</v>
      </c>
      <c r="Q14" s="19" t="n">
        <v>1665.05</v>
      </c>
      <c r="R14" s="19" t="n">
        <v>2299.28</v>
      </c>
      <c r="S14" s="19" t="n">
        <v>2422.7</v>
      </c>
      <c r="T14" s="83" t="n">
        <v>3549.18</v>
      </c>
      <c r="U14" s="83" t="n">
        <v>3606.43</v>
      </c>
      <c r="V14" s="83" t="n">
        <v>4129.8</v>
      </c>
      <c r="W14" s="20">
        <f>W17*0.961342</f>
        <v/>
      </c>
      <c r="X14" s="20">
        <f>X17*0.961342</f>
        <v/>
      </c>
      <c r="Y14" s="20">
        <f>Y17*0.961342</f>
        <v/>
      </c>
      <c r="Z14" s="20">
        <f>Z17*0.961342</f>
        <v/>
      </c>
      <c r="AA14" s="20">
        <f>AA17*0.961342</f>
        <v/>
      </c>
      <c r="AB14" s="20">
        <f>AB17*0.961342</f>
        <v/>
      </c>
      <c r="AC14" s="20">
        <f>AC17*0.961342</f>
        <v/>
      </c>
      <c r="AD14" s="20">
        <f>AD17*0.961342</f>
        <v/>
      </c>
      <c r="AE14" s="20">
        <f>AE17*0.961342</f>
        <v/>
      </c>
      <c r="AF14" s="20">
        <f>AF17*0.961342</f>
        <v/>
      </c>
      <c r="AG14" s="20">
        <f>AG17*0.961342</f>
        <v/>
      </c>
      <c r="AH14" s="20">
        <f>AH17*0.961342</f>
        <v/>
      </c>
      <c r="AI14" s="20">
        <f>AI17*0.961342</f>
        <v/>
      </c>
      <c r="AJ14" s="20">
        <f>AJ17*0.961342</f>
        <v/>
      </c>
      <c r="AK14" s="20">
        <f>AK17*0.961342</f>
        <v/>
      </c>
      <c r="AL14" s="20">
        <f>AL17*0.961342</f>
        <v/>
      </c>
      <c r="AM14" s="20">
        <f>AM17*0.961342</f>
        <v/>
      </c>
      <c r="AN14" s="20">
        <f>AN17*0.961342</f>
        <v/>
      </c>
      <c r="AO14" s="20">
        <f>AO17*0.961342</f>
        <v/>
      </c>
      <c r="AP14" s="20">
        <f>AP17*0.961342</f>
        <v/>
      </c>
      <c r="AQ14" s="20">
        <f>AQ17*0.961342</f>
        <v/>
      </c>
      <c r="AR14" s="20">
        <f>AR17*0.961342</f>
        <v/>
      </c>
      <c r="AS14" s="20">
        <f>AS17*0.961342</f>
        <v/>
      </c>
      <c r="AT14" s="20">
        <f>AT17*0.961342</f>
        <v/>
      </c>
      <c r="AU14" s="20">
        <f>AU17*0.961342</f>
        <v/>
      </c>
      <c r="AV14" s="20">
        <f>AV17*0.961342</f>
        <v/>
      </c>
      <c r="AW14" s="20">
        <f>AW17*0.961342</f>
        <v/>
      </c>
      <c r="AX14" s="20">
        <f>AX17*0.961342</f>
        <v/>
      </c>
      <c r="AY14" s="20">
        <f>AY17*0.961342</f>
        <v/>
      </c>
      <c r="BA14" s="288">
        <f>SUM(I14:T14)</f>
        <v/>
      </c>
      <c r="BB14" s="274">
        <f>BA14/$BA$21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0</v>
      </c>
      <c r="N15" s="19" t="n">
        <v>0</v>
      </c>
      <c r="O15" s="19" t="n">
        <v>375</v>
      </c>
      <c r="P15" s="19" t="n">
        <v>150</v>
      </c>
      <c r="Q15" s="19" t="n">
        <v>75</v>
      </c>
      <c r="R15" s="19" t="n">
        <v>75</v>
      </c>
      <c r="S15" s="19" t="n">
        <v>0</v>
      </c>
      <c r="T15" s="83" t="n">
        <v>0</v>
      </c>
      <c r="U15" s="83" t="n">
        <v>270</v>
      </c>
      <c r="V15" s="83" t="n">
        <v>810</v>
      </c>
      <c r="W15" s="20">
        <f>W17*0.038658</f>
        <v/>
      </c>
      <c r="X15" s="20">
        <f>X17*0.038658</f>
        <v/>
      </c>
      <c r="Y15" s="20">
        <f>Y17*0.038658</f>
        <v/>
      </c>
      <c r="Z15" s="20">
        <f>Z17*0.038658</f>
        <v/>
      </c>
      <c r="AA15" s="20">
        <f>AA17*0.038658</f>
        <v/>
      </c>
      <c r="AB15" s="20">
        <f>AB17*0.038658</f>
        <v/>
      </c>
      <c r="AC15" s="20">
        <f>AC17*0.038658</f>
        <v/>
      </c>
      <c r="AD15" s="20">
        <f>AD17*0.038658</f>
        <v/>
      </c>
      <c r="AE15" s="20">
        <f>AE17*0.038658</f>
        <v/>
      </c>
      <c r="AF15" s="20">
        <f>AF17*0.038658</f>
        <v/>
      </c>
      <c r="AG15" s="20">
        <f>AG17*0.038658</f>
        <v/>
      </c>
      <c r="AH15" s="20">
        <f>AH17*0.038658</f>
        <v/>
      </c>
      <c r="AI15" s="20">
        <f>AI17*0.038658</f>
        <v/>
      </c>
      <c r="AJ15" s="20">
        <f>AJ17*0.038658</f>
        <v/>
      </c>
      <c r="AK15" s="20">
        <f>AK17*0.038658</f>
        <v/>
      </c>
      <c r="AL15" s="20">
        <f>AL17*0.038658</f>
        <v/>
      </c>
      <c r="AM15" s="20">
        <f>AM17*0.038658</f>
        <v/>
      </c>
      <c r="AN15" s="20">
        <f>AN17*0.038658</f>
        <v/>
      </c>
      <c r="AO15" s="20">
        <f>AO17*0.038658</f>
        <v/>
      </c>
      <c r="AP15" s="20">
        <f>AP17*0.038658</f>
        <v/>
      </c>
      <c r="AQ15" s="20">
        <f>AQ17*0.038658</f>
        <v/>
      </c>
      <c r="AR15" s="20">
        <f>AR17*0.038658</f>
        <v/>
      </c>
      <c r="AS15" s="20">
        <f>AS17*0.038658</f>
        <v/>
      </c>
      <c r="AT15" s="20">
        <f>AT17*0.038658</f>
        <v/>
      </c>
      <c r="AU15" s="20">
        <f>AU17*0.038658</f>
        <v/>
      </c>
      <c r="AV15" s="20">
        <f>AV17*0.038658</f>
        <v/>
      </c>
      <c r="AW15" s="20">
        <f>AW17*0.038658</f>
        <v/>
      </c>
      <c r="AX15" s="20">
        <f>AX17*0.038658</f>
        <v/>
      </c>
      <c r="AY15" s="20">
        <f>AY17*0.038658</f>
        <v/>
      </c>
      <c r="BA15" s="288">
        <f>SUM(I15:T15)</f>
        <v/>
      </c>
      <c r="BB15" s="274">
        <f>BA15/$BA$21</f>
        <v/>
      </c>
    </row>
    <row r="16">
      <c r="B16" s="33" t="inlineStr">
        <is>
          <t>403004 Other Breakage (incl MTT Breakage)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3" t="n">
        <v>0</v>
      </c>
      <c r="U16" s="83" t="n">
        <v>0</v>
      </c>
      <c r="V16" s="83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  <c r="BA16" s="288">
        <f>SUM(I16:T16)</f>
        <v/>
      </c>
      <c r="BB16" s="274">
        <f>BA16/$BA$21</f>
        <v/>
      </c>
    </row>
    <row r="17">
      <c r="B17" s="32" t="inlineStr">
        <is>
          <t>Total Breakage Revenue</t>
        </is>
      </c>
      <c r="C17" s="34" t="n"/>
      <c r="D17" s="35">
        <f>SUM(D14:D16)</f>
        <v/>
      </c>
      <c r="E17" s="35">
        <f>SUM(E14:E16)</f>
        <v/>
      </c>
      <c r="F17" s="35">
        <f>SUM(F14:F16)</f>
        <v/>
      </c>
      <c r="G17" s="35">
        <f>SUM(G14:G16)</f>
        <v/>
      </c>
      <c r="H17" s="35">
        <f>SUM(H14:H16)</f>
        <v/>
      </c>
      <c r="I17" s="35">
        <f>SUM(I14:I16)</f>
        <v/>
      </c>
      <c r="J17" s="35">
        <f>SUM(J14:J16)</f>
        <v/>
      </c>
      <c r="K17" s="35">
        <f>SUM(K14:K16)</f>
        <v/>
      </c>
      <c r="L17" s="35">
        <f>SUM(L14:L16)</f>
        <v/>
      </c>
      <c r="M17" s="35">
        <f>SUM(M14:M16)</f>
        <v/>
      </c>
      <c r="N17" s="35">
        <f>SUM(N14:N16)</f>
        <v/>
      </c>
      <c r="O17" s="35">
        <f>SUM(O14:O16)</f>
        <v/>
      </c>
      <c r="P17" s="35">
        <f>P14+P15+P16</f>
        <v/>
      </c>
      <c r="Q17" s="35">
        <f>Q14+Q15+Q16</f>
        <v/>
      </c>
      <c r="R17" s="35">
        <f>R14+R15+R16</f>
        <v/>
      </c>
      <c r="S17" s="35">
        <f>S14+S15+S16</f>
        <v/>
      </c>
      <c r="T17" s="84">
        <f>T14+T15+T16</f>
        <v/>
      </c>
      <c r="U17" s="84">
        <f>U14+U15+U16</f>
        <v/>
      </c>
      <c r="V17" s="84">
        <f>V14+V15+V16</f>
        <v/>
      </c>
      <c r="W17" s="17">
        <f>'Sales Forecast'!W14*Assumptions!$C$13+'Sales Forecast'!V14*Assumptions!$D$13+'Sales Forecast'!U14*Assumptions!$E$13+'Sales Forecast'!T14*Assumptions!$F$13+'Sales Forecast'!S14*Assumptions!$G$13+'Sales Forecast'!R14*Assumptions!$H$13+'Sales Forecast'!Q14*Assumptions!$I$13</f>
        <v/>
      </c>
      <c r="X17" s="17">
        <f>'Sales Forecast'!X14*Assumptions!$C$13+'Sales Forecast'!W14*Assumptions!$D$13+'Sales Forecast'!V14*Assumptions!$E$13+'Sales Forecast'!U14*Assumptions!$F$13+'Sales Forecast'!T14*Assumptions!$G$13+'Sales Forecast'!S14*Assumptions!$H$13+'Sales Forecast'!R14*Assumptions!$I$13</f>
        <v/>
      </c>
      <c r="Y17" s="17">
        <f>'Sales Forecast'!Y14*Assumptions!$C$13+'Sales Forecast'!X14*Assumptions!$D$13+'Sales Forecast'!W14*Assumptions!$E$13+'Sales Forecast'!V14*Assumptions!$F$13+'Sales Forecast'!U14*Assumptions!$G$13+'Sales Forecast'!T14*Assumptions!$H$13+'Sales Forecast'!S14*Assumptions!$I$13</f>
        <v/>
      </c>
      <c r="Z17" s="17">
        <f>'Sales Forecast'!Z14*Assumptions!$C$13+'Sales Forecast'!Y14*Assumptions!$D$13+'Sales Forecast'!X14*Assumptions!$E$13+'Sales Forecast'!W14*Assumptions!$F$13+'Sales Forecast'!V14*Assumptions!$G$13+'Sales Forecast'!U14*Assumptions!$H$13+'Sales Forecast'!T14*Assumptions!$I$13</f>
        <v/>
      </c>
      <c r="AA17" s="17">
        <f>'Sales Forecast'!AA14*Assumptions!$C$13+'Sales Forecast'!Z14*Assumptions!$D$13+'Sales Forecast'!Y14*Assumptions!$E$13+'Sales Forecast'!X14*Assumptions!$F$13+'Sales Forecast'!W14*Assumptions!$G$13+'Sales Forecast'!V14*Assumptions!$H$13+'Sales Forecast'!U14*Assumptions!$I$13</f>
        <v/>
      </c>
      <c r="AB17" s="17">
        <f>'Sales Forecast'!AB14*Assumptions!$C$13+'Sales Forecast'!AA14*Assumptions!$D$13+'Sales Forecast'!Z14*Assumptions!$E$13+'Sales Forecast'!Y14*Assumptions!$F$13+'Sales Forecast'!X14*Assumptions!$G$13+'Sales Forecast'!W14*Assumptions!$H$13+'Sales Forecast'!V14*Assumptions!$I$13</f>
        <v/>
      </c>
      <c r="AC17" s="17">
        <f>'Sales Forecast'!AC14*Assumptions!$C$13+'Sales Forecast'!AB14*Assumptions!$D$13+'Sales Forecast'!AA14*Assumptions!$E$13+'Sales Forecast'!Z14*Assumptions!$F$13+'Sales Forecast'!Y14*Assumptions!$G$13+'Sales Forecast'!X14*Assumptions!$H$13+'Sales Forecast'!W14*Assumptions!$I$13</f>
        <v/>
      </c>
      <c r="AD17" s="17">
        <f>'Sales Forecast'!AD14*Assumptions!$C$13+'Sales Forecast'!AC14*Assumptions!$D$13+'Sales Forecast'!AB14*Assumptions!$E$13+'Sales Forecast'!AA14*Assumptions!$F$13+'Sales Forecast'!Z14*Assumptions!$G$13+'Sales Forecast'!Y14*Assumptions!$H$13+'Sales Forecast'!X14*Assumptions!$I$13</f>
        <v/>
      </c>
      <c r="AE17" s="17">
        <f>'Sales Forecast'!AE14*Assumptions!$C$13+'Sales Forecast'!AD14*Assumptions!$D$13+'Sales Forecast'!AC14*Assumptions!$E$13+'Sales Forecast'!AB14*Assumptions!$F$13+'Sales Forecast'!AA14*Assumptions!$G$13+'Sales Forecast'!Z14*Assumptions!$H$13+'Sales Forecast'!Y14*Assumptions!$I$13</f>
        <v/>
      </c>
      <c r="AF17" s="17">
        <f>'Sales Forecast'!AF14*Assumptions!$C$13+'Sales Forecast'!AE14*Assumptions!$D$13+'Sales Forecast'!AD14*Assumptions!$E$13+'Sales Forecast'!AC14*Assumptions!$F$13+'Sales Forecast'!AB14*Assumptions!$G$13+'Sales Forecast'!AA14*Assumptions!$H$13+'Sales Forecast'!Z14*Assumptions!$I$13</f>
        <v/>
      </c>
      <c r="AG17" s="17">
        <f>'Sales Forecast'!AG14*Assumptions!$C$13+'Sales Forecast'!AF14*Assumptions!$D$13+'Sales Forecast'!AE14*Assumptions!$E$13+'Sales Forecast'!AD14*Assumptions!$F$13+'Sales Forecast'!AC14*Assumptions!$G$13+'Sales Forecast'!AB14*Assumptions!$H$13+'Sales Forecast'!AA14*Assumptions!$I$13</f>
        <v/>
      </c>
      <c r="AH17" s="17">
        <f>'Sales Forecast'!AH14*Assumptions!$C$13+'Sales Forecast'!AG14*Assumptions!$D$13+'Sales Forecast'!AF14*Assumptions!$E$13+'Sales Forecast'!AE14*Assumptions!$F$13+'Sales Forecast'!AD14*Assumptions!$G$13+'Sales Forecast'!AC14*Assumptions!$H$13+'Sales Forecast'!AB14*Assumptions!$I$13</f>
        <v/>
      </c>
      <c r="AI17" s="17">
        <f>'Sales Forecast'!AI14*Assumptions!$C$13+'Sales Forecast'!AH14*Assumptions!$D$13+'Sales Forecast'!AG14*Assumptions!$E$13+'Sales Forecast'!AF14*Assumptions!$F$13+'Sales Forecast'!AE14*Assumptions!$G$13+'Sales Forecast'!AD14*Assumptions!$H$13+'Sales Forecast'!AC14*Assumptions!$I$13</f>
        <v/>
      </c>
      <c r="AJ17" s="17">
        <f>'Sales Forecast'!AJ14*Assumptions!$C$13+'Sales Forecast'!AI14*Assumptions!$D$13+'Sales Forecast'!AH14*Assumptions!$E$13+'Sales Forecast'!AG14*Assumptions!$F$13+'Sales Forecast'!AF14*Assumptions!$G$13+'Sales Forecast'!AE14*Assumptions!$H$13+'Sales Forecast'!AD14*Assumptions!$I$13</f>
        <v/>
      </c>
      <c r="AK17" s="17">
        <f>'Sales Forecast'!AK14*Assumptions!$C$13+'Sales Forecast'!AJ14*Assumptions!$D$13+'Sales Forecast'!AI14*Assumptions!$E$13+'Sales Forecast'!AH14*Assumptions!$F$13+'Sales Forecast'!AG14*Assumptions!$G$13+'Sales Forecast'!AF14*Assumptions!$H$13+'Sales Forecast'!AE14*Assumptions!$I$13</f>
        <v/>
      </c>
      <c r="AL17" s="17">
        <f>'Sales Forecast'!AL14*Assumptions!$C$13+'Sales Forecast'!AK14*Assumptions!$D$13+'Sales Forecast'!AJ14*Assumptions!$E$13+'Sales Forecast'!AI14*Assumptions!$F$13+'Sales Forecast'!AH14*Assumptions!$G$13+'Sales Forecast'!AG14*Assumptions!$H$13+'Sales Forecast'!AF14*Assumptions!$I$13</f>
        <v/>
      </c>
      <c r="AM17" s="17">
        <f>'Sales Forecast'!AM14*Assumptions!$C$13+'Sales Forecast'!AL14*Assumptions!$D$13+'Sales Forecast'!AK14*Assumptions!$E$13+'Sales Forecast'!AJ14*Assumptions!$F$13+'Sales Forecast'!AI14*Assumptions!$G$13+'Sales Forecast'!AH14*Assumptions!$H$13+'Sales Forecast'!AG14*Assumptions!$I$13</f>
        <v/>
      </c>
      <c r="AN17" s="17">
        <f>'Sales Forecast'!AN14*Assumptions!$C$13+'Sales Forecast'!AM14*Assumptions!$D$13+'Sales Forecast'!AL14*Assumptions!$E$13+'Sales Forecast'!AK14*Assumptions!$F$13+'Sales Forecast'!AJ14*Assumptions!$G$13+'Sales Forecast'!AI14*Assumptions!$H$13+'Sales Forecast'!AH14*Assumptions!$I$13</f>
        <v/>
      </c>
      <c r="AO17" s="17">
        <f>'Sales Forecast'!AO14*Assumptions!$C$13+'Sales Forecast'!AN14*Assumptions!$D$13+'Sales Forecast'!AM14*Assumptions!$E$13+'Sales Forecast'!AL14*Assumptions!$F$13+'Sales Forecast'!AK14*Assumptions!$G$13+'Sales Forecast'!AJ14*Assumptions!$H$13+'Sales Forecast'!AI14*Assumptions!$I$13</f>
        <v/>
      </c>
      <c r="AP17" s="17">
        <f>'Sales Forecast'!AP14*Assumptions!$C$13+'Sales Forecast'!AO14*Assumptions!$D$13+'Sales Forecast'!AN14*Assumptions!$E$13+'Sales Forecast'!AM14*Assumptions!$F$13+'Sales Forecast'!AL14*Assumptions!$G$13+'Sales Forecast'!AK14*Assumptions!$H$13+'Sales Forecast'!AJ14*Assumptions!$I$13</f>
        <v/>
      </c>
      <c r="AQ17" s="17">
        <f>'Sales Forecast'!AQ14*Assumptions!$C$13+'Sales Forecast'!AP14*Assumptions!$D$13+'Sales Forecast'!AO14*Assumptions!$E$13+'Sales Forecast'!AN14*Assumptions!$F$13+'Sales Forecast'!AM14*Assumptions!$G$13+'Sales Forecast'!AL14*Assumptions!$H$13+'Sales Forecast'!AK14*Assumptions!$I$13</f>
        <v/>
      </c>
      <c r="AR17" s="17">
        <f>'Sales Forecast'!AR14*Assumptions!$C$13+'Sales Forecast'!AQ14*Assumptions!$D$13+'Sales Forecast'!AP14*Assumptions!$E$13+'Sales Forecast'!AO14*Assumptions!$F$13+'Sales Forecast'!AN14*Assumptions!$G$13+'Sales Forecast'!AM14*Assumptions!$H$13+'Sales Forecast'!AL14*Assumptions!$I$13</f>
        <v/>
      </c>
      <c r="AS17" s="17">
        <f>'Sales Forecast'!AS14*Assumptions!$C$13+'Sales Forecast'!AR14*Assumptions!$D$13+'Sales Forecast'!AQ14*Assumptions!$E$13+'Sales Forecast'!AP14*Assumptions!$F$13+'Sales Forecast'!AO14*Assumptions!$G$13+'Sales Forecast'!AN14*Assumptions!$H$13+'Sales Forecast'!AM14*Assumptions!$I$13</f>
        <v/>
      </c>
      <c r="AT17" s="17">
        <f>'Sales Forecast'!AT14*Assumptions!$C$13+'Sales Forecast'!AS14*Assumptions!$D$13+'Sales Forecast'!AR14*Assumptions!$E$13+'Sales Forecast'!AQ14*Assumptions!$F$13+'Sales Forecast'!AP14*Assumptions!$G$13+'Sales Forecast'!AO14*Assumptions!$H$13+'Sales Forecast'!AN14*Assumptions!$I$13</f>
        <v/>
      </c>
      <c r="AU17" s="17">
        <f>'Sales Forecast'!AU14*Assumptions!$C$13+'Sales Forecast'!AT14*Assumptions!$D$13+'Sales Forecast'!AS14*Assumptions!$E$13+'Sales Forecast'!AR14*Assumptions!$F$13+'Sales Forecast'!AQ14*Assumptions!$G$13+'Sales Forecast'!AP14*Assumptions!$H$13+'Sales Forecast'!AO14*Assumptions!$I$13</f>
        <v/>
      </c>
      <c r="AV17" s="17">
        <f>'Sales Forecast'!AV14*Assumptions!$C$13+'Sales Forecast'!AU14*Assumptions!$D$13+'Sales Forecast'!AT14*Assumptions!$E$13+'Sales Forecast'!AS14*Assumptions!$F$13+'Sales Forecast'!AR14*Assumptions!$G$13+'Sales Forecast'!AQ14*Assumptions!$H$13+'Sales Forecast'!AP14*Assumptions!$I$13</f>
        <v/>
      </c>
      <c r="AW17" s="17">
        <f>'Sales Forecast'!AW14*Assumptions!$C$13+'Sales Forecast'!AV14*Assumptions!$D$13+'Sales Forecast'!AU14*Assumptions!$E$13+'Sales Forecast'!AT14*Assumptions!$F$13+'Sales Forecast'!AS14*Assumptions!$G$13+'Sales Forecast'!AR14*Assumptions!$H$13+'Sales Forecast'!AQ14*Assumptions!$I$13</f>
        <v/>
      </c>
      <c r="AX17" s="17">
        <f>'Sales Forecast'!AX14*Assumptions!$C$13+'Sales Forecast'!AW14*Assumptions!$D$13+'Sales Forecast'!AV14*Assumptions!$E$13+'Sales Forecast'!AU14*Assumptions!$F$13+'Sales Forecast'!AT14*Assumptions!$G$13+'Sales Forecast'!AS14*Assumptions!$H$13+'Sales Forecast'!AR14*Assumptions!$I$13</f>
        <v/>
      </c>
      <c r="AY17" s="17">
        <f>'Sales Forecast'!AY14*Assumptions!$C$13+'Sales Forecast'!AX14*Assumptions!$D$13+'Sales Forecast'!AW14*Assumptions!$E$13+'Sales Forecast'!AV14*Assumptions!$F$13+'Sales Forecast'!AU14*Assumptions!$G$13+'Sales Forecast'!AT14*Assumptions!$H$13+'Sales Forecast'!AS14*Assumptions!$I$13</f>
        <v/>
      </c>
      <c r="BA17" s="288" t="n"/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  <c r="L18" s="19" t="n">
        <v>0</v>
      </c>
      <c r="M18" s="19" t="n">
        <v>0</v>
      </c>
      <c r="N18" s="19" t="n">
        <v>1197</v>
      </c>
      <c r="O18" s="19" t="n">
        <v>738</v>
      </c>
      <c r="P18" s="19" t="n">
        <v>1456</v>
      </c>
      <c r="Q18" s="19" t="n">
        <v>1250</v>
      </c>
      <c r="R18" s="19" t="n">
        <v>1720</v>
      </c>
      <c r="S18" s="19" t="n">
        <v>1360</v>
      </c>
      <c r="T18" s="83" t="n">
        <v>584</v>
      </c>
      <c r="U18" s="83" t="n">
        <v>816</v>
      </c>
      <c r="V18" s="83" t="n">
        <v>1016</v>
      </c>
      <c r="W18" s="20">
        <f>1446.5</f>
        <v/>
      </c>
      <c r="X18" s="20">
        <f>1446.5</f>
        <v/>
      </c>
      <c r="Y18" s="20">
        <f>1446.5</f>
        <v/>
      </c>
      <c r="Z18" s="20">
        <f>1446.5</f>
        <v/>
      </c>
      <c r="AA18" s="20">
        <f>1446.5</f>
        <v/>
      </c>
      <c r="AB18" s="20">
        <f>1446.5</f>
        <v/>
      </c>
      <c r="AC18" s="20">
        <f>1446.5</f>
        <v/>
      </c>
      <c r="AD18" s="20">
        <f>1446.5</f>
        <v/>
      </c>
      <c r="AE18" s="20">
        <f>1446.5</f>
        <v/>
      </c>
      <c r="AF18" s="20">
        <f>1446.5</f>
        <v/>
      </c>
      <c r="AG18" s="20">
        <f>1446.5</f>
        <v/>
      </c>
      <c r="AH18" s="20">
        <f>1446.5</f>
        <v/>
      </c>
      <c r="AI18" s="20">
        <f>1446.5</f>
        <v/>
      </c>
      <c r="AJ18" s="20">
        <f>1446.5</f>
        <v/>
      </c>
      <c r="AK18" s="20">
        <f>1446.5</f>
        <v/>
      </c>
      <c r="AL18" s="20">
        <f>1446.5</f>
        <v/>
      </c>
      <c r="AM18" s="20">
        <f>1446.5</f>
        <v/>
      </c>
      <c r="AN18" s="20">
        <f>1446.5</f>
        <v/>
      </c>
      <c r="AO18" s="20">
        <f>1446.5</f>
        <v/>
      </c>
      <c r="AP18" s="20">
        <f>1446.5</f>
        <v/>
      </c>
      <c r="AQ18" s="20">
        <f>1446.5</f>
        <v/>
      </c>
      <c r="AR18" s="20">
        <f>1446.5</f>
        <v/>
      </c>
      <c r="AS18" s="20">
        <f>1446.5</f>
        <v/>
      </c>
      <c r="AT18" s="20">
        <f>1446.5</f>
        <v/>
      </c>
      <c r="AU18" s="20">
        <f>1446.5</f>
        <v/>
      </c>
      <c r="AV18" s="20">
        <f>1446.5</f>
        <v/>
      </c>
      <c r="AW18" s="20">
        <f>1446.5</f>
        <v/>
      </c>
      <c r="AX18" s="20">
        <f>1446.5</f>
        <v/>
      </c>
      <c r="AY18" s="20">
        <f>1446.5</f>
        <v/>
      </c>
      <c r="BA18" s="288">
        <f>SUM(I18:T18)</f>
        <v/>
      </c>
      <c r="BB18" s="274">
        <f>BA18/$BA$21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-42.01</v>
      </c>
      <c r="P19" s="19" t="n">
        <v>-1469</v>
      </c>
      <c r="Q19" s="19" t="n">
        <v>-245</v>
      </c>
      <c r="R19" s="19" t="n">
        <v>-48</v>
      </c>
      <c r="S19" s="19" t="n">
        <v>-138</v>
      </c>
      <c r="T19" s="19" t="n">
        <v>-380</v>
      </c>
      <c r="U19" s="19" t="n">
        <v>-245</v>
      </c>
      <c r="V19" s="19" t="n">
        <v>-735</v>
      </c>
      <c r="W19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Forecast'!Q14*Assumptions!$I$13+1446.5)*Assumptions!$C$17</f>
        <v/>
      </c>
      <c r="X19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Forecast'!R14*Assumptions!$I$13+1446.5)*Assumptions!$C$17</f>
        <v/>
      </c>
      <c r="Y19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Forecast'!S14*Assumptions!$I$13+1446.5)*Assumptions!$C$17</f>
        <v/>
      </c>
      <c r="Z19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Forecast'!T14*Assumptions!$I$13+1446.5)*Assumptions!$C$17</f>
        <v/>
      </c>
      <c r="AA19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Forecast'!U14*Assumptions!$I$13+1446.5)*Assumptions!$C$17</f>
        <v/>
      </c>
      <c r="AB19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Forecast'!V14*Assumptions!$I$13+1446.5)*Assumptions!$C$17</f>
        <v/>
      </c>
      <c r="AC19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Forecast'!W14*Assumptions!$I$13+1446.5)*Assumptions!$C$17</f>
        <v/>
      </c>
      <c r="AD19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Forecast'!X14*Assumptions!$I$13+1446.5)*Assumptions!$C$17</f>
        <v/>
      </c>
      <c r="AE19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Forecast'!Y14*Assumptions!$I$13+1446.5)*Assumptions!$C$17</f>
        <v/>
      </c>
      <c r="AF19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Forecast'!Z14*Assumptions!$I$13+1446.5)*Assumptions!$C$17</f>
        <v/>
      </c>
      <c r="AG19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Forecast'!AA14*Assumptions!$I$13+1446.5)*Assumptions!$C$17</f>
        <v/>
      </c>
      <c r="AH19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Forecast'!AB14*Assumptions!$I$13+1446.5)*Assumptions!$C$17</f>
        <v/>
      </c>
      <c r="AI19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Forecast'!AC14*Assumptions!$I$13+1446.5)*Assumptions!$C$17</f>
        <v/>
      </c>
      <c r="AJ19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Forecast'!AD14*Assumptions!$I$13+1446.5)*Assumptions!$C$17</f>
        <v/>
      </c>
      <c r="AK19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Forecast'!AE14*Assumptions!$I$13+1446.5)*Assumptions!$C$17</f>
        <v/>
      </c>
      <c r="AL19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Forecast'!AF14*Assumptions!$I$13+1446.5)*Assumptions!$C$17</f>
        <v/>
      </c>
      <c r="AM19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Forecast'!AG14*Assumptions!$I$13+1446.5)*Assumptions!$C$17</f>
        <v/>
      </c>
      <c r="AN19" s="20">
        <f>('Sales Forecast'!AN14*Assumptions!$C$12+'Sales Forecast'!AM14*Assumptions!$D$12+'Sales Forecast'!AL14*Assumptions!$E$12+'Sales Forecast'!AK14*Assumptions!$F$12+'Sales Forecast'!AJ14*Assumptions!$G$12+'Sales Forecast'!AI14*Assumptions!$H$12+'Sales Forecast'!AH14*Assumptions!$I$12+'Sales Forecast'!AN14*Assumptions!$C$13+'Sales Forecast'!AM14*Assumptions!$D$13+'Sales Forecast'!AL14*Assumptions!$E$13+'Sales Forecast'!AK14*Assumptions!$F$13+'Sales Forecast'!AJ14*Assumptions!$G$13+'Sales Forecast'!AI14*Assumptions!$H$13+'Sales Forecast'!AH14*Assumptions!$I$13+1446.5)*Assumptions!$C$17</f>
        <v/>
      </c>
      <c r="AO19" s="20">
        <f>('Sales Forecast'!AO14*Assumptions!$C$12+'Sales Forecast'!AN14*Assumptions!$D$12+'Sales Forecast'!AM14*Assumptions!$E$12+'Sales Forecast'!AL14*Assumptions!$F$12+'Sales Forecast'!AK14*Assumptions!$G$12+'Sales Forecast'!AJ14*Assumptions!$H$12+'Sales Forecast'!AI14*Assumptions!$I$12+'Sales Forecast'!AO14*Assumptions!$C$13+'Sales Forecast'!AN14*Assumptions!$D$13+'Sales Forecast'!AM14*Assumptions!$E$13+'Sales Forecast'!AL14*Assumptions!$F$13+'Sales Forecast'!AK14*Assumptions!$G$13+'Sales Forecast'!AJ14*Assumptions!$H$13+'Sales Forecast'!AI14*Assumptions!$I$13+1446.5)*Assumptions!$C$17</f>
        <v/>
      </c>
      <c r="AP19" s="20">
        <f>('Sales Forecast'!AP14*Assumptions!$C$12+'Sales Forecast'!AO14*Assumptions!$D$12+'Sales Forecast'!AN14*Assumptions!$E$12+'Sales Forecast'!AM14*Assumptions!$F$12+'Sales Forecast'!AL14*Assumptions!$G$12+'Sales Forecast'!AK14*Assumptions!$H$12+'Sales Forecast'!AJ14*Assumptions!$I$12+'Sales Forecast'!AP14*Assumptions!$C$13+'Sales Forecast'!AO14*Assumptions!$D$13+'Sales Forecast'!AN14*Assumptions!$E$13+'Sales Forecast'!AM14*Assumptions!$F$13+'Sales Forecast'!AL14*Assumptions!$G$13+'Sales Forecast'!AK14*Assumptions!$H$13+'Sales Forecast'!AJ14*Assumptions!$I$13+1446.5)*Assumptions!$C$17</f>
        <v/>
      </c>
      <c r="AQ19" s="20">
        <f>('Sales Forecast'!AQ14*Assumptions!$C$12+'Sales Forecast'!AP14*Assumptions!$D$12+'Sales Forecast'!AO14*Assumptions!$E$12+'Sales Forecast'!AN14*Assumptions!$F$12+'Sales Forecast'!AM14*Assumptions!$G$12+'Sales Forecast'!AL14*Assumptions!$H$12+'Sales Forecast'!AK14*Assumptions!$I$12+'Sales Forecast'!AQ14*Assumptions!$C$13+'Sales Forecast'!AP14*Assumptions!$D$13+'Sales Forecast'!AO14*Assumptions!$E$13+'Sales Forecast'!AN14*Assumptions!$F$13+'Sales Forecast'!AM14*Assumptions!$G$13+'Sales Forecast'!AL14*Assumptions!$H$13+'Sales Forecast'!AK14*Assumptions!$I$13+1446.5)*Assumptions!$C$17</f>
        <v/>
      </c>
      <c r="AR19" s="20">
        <f>('Sales Forecast'!AR14*Assumptions!$C$12+'Sales Forecast'!AQ14*Assumptions!$D$12+'Sales Forecast'!AP14*Assumptions!$E$12+'Sales Forecast'!AO14*Assumptions!$F$12+'Sales Forecast'!AN14*Assumptions!$G$12+'Sales Forecast'!AM14*Assumptions!$H$12+'Sales Forecast'!AL14*Assumptions!$I$12+'Sales Forecast'!AR14*Assumptions!$C$13+'Sales Forecast'!AQ14*Assumptions!$D$13+'Sales Forecast'!AP14*Assumptions!$E$13+'Sales Forecast'!AO14*Assumptions!$F$13+'Sales Forecast'!AN14*Assumptions!$G$13+'Sales Forecast'!AM14*Assumptions!$H$13+'Sales Forecast'!AL14*Assumptions!$I$13+1446.5)*Assumptions!$C$17</f>
        <v/>
      </c>
      <c r="AS19" s="20">
        <f>('Sales Forecast'!AS14*Assumptions!$C$12+'Sales Forecast'!AR14*Assumptions!$D$12+'Sales Forecast'!AQ14*Assumptions!$E$12+'Sales Forecast'!AP14*Assumptions!$F$12+'Sales Forecast'!AO14*Assumptions!$G$12+'Sales Forecast'!AN14*Assumptions!$H$12+'Sales Forecast'!AM14*Assumptions!$I$12+'Sales Forecast'!AS14*Assumptions!$C$13+'Sales Forecast'!AR14*Assumptions!$D$13+'Sales Forecast'!AQ14*Assumptions!$E$13+'Sales Forecast'!AP14*Assumptions!$F$13+'Sales Forecast'!AO14*Assumptions!$G$13+'Sales Forecast'!AN14*Assumptions!$H$13+'Sales Forecast'!AM14*Assumptions!$I$13+1446.5)*Assumptions!$C$17</f>
        <v/>
      </c>
      <c r="AT19" s="20">
        <f>('Sales Forecast'!AT14*Assumptions!$C$12+'Sales Forecast'!AS14*Assumptions!$D$12+'Sales Forecast'!AR14*Assumptions!$E$12+'Sales Forecast'!AQ14*Assumptions!$F$12+'Sales Forecast'!AP14*Assumptions!$G$12+'Sales Forecast'!AO14*Assumptions!$H$12+'Sales Forecast'!AN14*Assumptions!$I$12+'Sales Forecast'!AT14*Assumptions!$C$13+'Sales Forecast'!AS14*Assumptions!$D$13+'Sales Forecast'!AR14*Assumptions!$E$13+'Sales Forecast'!AQ14*Assumptions!$F$13+'Sales Forecast'!AP14*Assumptions!$G$13+'Sales Forecast'!AO14*Assumptions!$H$13+'Sales Forecast'!AN14*Assumptions!$I$13+1446.5)*Assumptions!$C$17</f>
        <v/>
      </c>
      <c r="AU19" s="20">
        <f>('Sales Forecast'!AU14*Assumptions!$C$12+'Sales Forecast'!AT14*Assumptions!$D$12+'Sales Forecast'!AS14*Assumptions!$E$12+'Sales Forecast'!AR14*Assumptions!$F$12+'Sales Forecast'!AQ14*Assumptions!$G$12+'Sales Forecast'!AP14*Assumptions!$H$12+'Sales Forecast'!AO14*Assumptions!$I$12+'Sales Forecast'!AU14*Assumptions!$C$13+'Sales Forecast'!AT14*Assumptions!$D$13+'Sales Forecast'!AS14*Assumptions!$E$13+'Sales Forecast'!AR14*Assumptions!$F$13+'Sales Forecast'!AQ14*Assumptions!$G$13+'Sales Forecast'!AP14*Assumptions!$H$13+'Sales Forecast'!AO14*Assumptions!$I$13+1446.5)*Assumptions!$C$17</f>
        <v/>
      </c>
      <c r="AV19" s="20">
        <f>('Sales Forecast'!AV14*Assumptions!$C$12+'Sales Forecast'!AU14*Assumptions!$D$12+'Sales Forecast'!AT14*Assumptions!$E$12+'Sales Forecast'!AS14*Assumptions!$F$12+'Sales Forecast'!AR14*Assumptions!$G$12+'Sales Forecast'!AQ14*Assumptions!$H$12+'Sales Forecast'!AP14*Assumptions!$I$12+'Sales Forecast'!AV14*Assumptions!$C$13+'Sales Forecast'!AU14*Assumptions!$D$13+'Sales Forecast'!AT14*Assumptions!$E$13+'Sales Forecast'!AS14*Assumptions!$F$13+'Sales Forecast'!AR14*Assumptions!$G$13+'Sales Forecast'!AQ14*Assumptions!$H$13+'Sales Forecast'!AP14*Assumptions!$I$13+1446.5)*Assumptions!$C$17</f>
        <v/>
      </c>
      <c r="AW19" s="20">
        <f>('Sales Forecast'!AW14*Assumptions!$C$12+'Sales Forecast'!AV14*Assumptions!$D$12+'Sales Forecast'!AU14*Assumptions!$E$12+'Sales Forecast'!AT14*Assumptions!$F$12+'Sales Forecast'!AS14*Assumptions!$G$12+'Sales Forecast'!AR14*Assumptions!$H$12+'Sales Forecast'!AQ14*Assumptions!$I$12+'Sales Forecast'!AW14*Assumptions!$C$13+'Sales Forecast'!AV14*Assumptions!$D$13+'Sales Forecast'!AU14*Assumptions!$E$13+'Sales Forecast'!AT14*Assumptions!$F$13+'Sales Forecast'!AS14*Assumptions!$G$13+'Sales Forecast'!AR14*Assumptions!$H$13+'Sales Forecast'!AQ14*Assumptions!$I$13+1446.5)*Assumptions!$C$17</f>
        <v/>
      </c>
      <c r="AX19" s="20">
        <f>('Sales Forecast'!AX14*Assumptions!$C$12+'Sales Forecast'!AW14*Assumptions!$D$12+'Sales Forecast'!AV14*Assumptions!$E$12+'Sales Forecast'!AU14*Assumptions!$F$12+'Sales Forecast'!AT14*Assumptions!$G$12+'Sales Forecast'!AS14*Assumptions!$H$12+'Sales Forecast'!AR14*Assumptions!$I$12+'Sales Forecast'!AX14*Assumptions!$C$13+'Sales Forecast'!AW14*Assumptions!$D$13+'Sales Forecast'!AV14*Assumptions!$E$13+'Sales Forecast'!AU14*Assumptions!$F$13+'Sales Forecast'!AT14*Assumptions!$G$13+'Sales Forecast'!AS14*Assumptions!$H$13+'Sales Forecast'!AR14*Assumptions!$I$13+1446.5)*Assumptions!$C$17</f>
        <v/>
      </c>
      <c r="AY19" s="20">
        <f>('Sales Forecast'!AY14*Assumptions!$C$12+'Sales Forecast'!AX14*Assumptions!$D$12+'Sales Forecast'!AW14*Assumptions!$E$12+'Sales Forecast'!AV14*Assumptions!$F$12+'Sales Forecast'!AU14*Assumptions!$G$12+'Sales Forecast'!AT14*Assumptions!$H$12+'Sales Forecast'!AS14*Assumptions!$I$12+'Sales Forecast'!AY14*Assumptions!$C$13+'Sales Forecast'!AX14*Assumptions!$D$13+'Sales Forecast'!AW14*Assumptions!$E$13+'Sales Forecast'!AV14*Assumptions!$F$13+'Sales Forecast'!AU14*Assumptions!$G$13+'Sales Forecast'!AT14*Assumptions!$H$13+'Sales Forecast'!AS14*Assumptions!$I$13+1446.5)*Assumptions!$C$17</f>
        <v/>
      </c>
      <c r="BA19" s="288">
        <f>SUM(I19:T19)</f>
        <v/>
      </c>
      <c r="BB19" s="274">
        <f>BA19/$BA$21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-5633.6</v>
      </c>
      <c r="O20" s="19" t="n">
        <v>-5566.6</v>
      </c>
      <c r="P20" s="19" t="n">
        <v>-6462.55</v>
      </c>
      <c r="Q20" s="19" t="n">
        <v>-8101.95</v>
      </c>
      <c r="R20" s="19" t="n">
        <v>-6100.2</v>
      </c>
      <c r="S20" s="19" t="n">
        <v>-2115.4</v>
      </c>
      <c r="T20" s="19" t="n">
        <v>-1832.8</v>
      </c>
      <c r="U20" s="19" t="n">
        <v>-1270.2</v>
      </c>
      <c r="V20" s="19" t="n">
        <v>-539.5</v>
      </c>
      <c r="W20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Forecast'!Q14*Assumptions!$I$13+1446.5)*Assumptions!$C$18</f>
        <v/>
      </c>
      <c r="X20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Forecast'!R14*Assumptions!$I$13+1446.5)*Assumptions!$C$18</f>
        <v/>
      </c>
      <c r="Y20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Forecast'!S14*Assumptions!$I$13+1446.5)*Assumptions!$C$18</f>
        <v/>
      </c>
      <c r="Z20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Forecast'!T14*Assumptions!$I$13+1446.5)*Assumptions!$C$18</f>
        <v/>
      </c>
      <c r="AA20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Forecast'!U14*Assumptions!$I$13+1446.5)*Assumptions!$C$18</f>
        <v/>
      </c>
      <c r="AB20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Forecast'!V14*Assumptions!$I$13+1446.5)*Assumptions!$C$18</f>
        <v/>
      </c>
      <c r="AC20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Forecast'!W14*Assumptions!$I$13+1446.5)*Assumptions!$C$18</f>
        <v/>
      </c>
      <c r="AD20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Forecast'!X14*Assumptions!$I$13+1446.5)*Assumptions!$C$18</f>
        <v/>
      </c>
      <c r="AE20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Forecast'!Y14*Assumptions!$I$13+1446.5)*Assumptions!$C$18</f>
        <v/>
      </c>
      <c r="AF20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Forecast'!Z14*Assumptions!$I$13+1446.5)*Assumptions!$C$18</f>
        <v/>
      </c>
      <c r="AG20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Forecast'!AA14*Assumptions!$I$13+1446.5)*Assumptions!$C$18</f>
        <v/>
      </c>
      <c r="AH20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Forecast'!AB14*Assumptions!$I$13+1446.5)*Assumptions!$C$18</f>
        <v/>
      </c>
      <c r="AI20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Forecast'!AC14*Assumptions!$I$13+1446.5)*Assumptions!$C$18</f>
        <v/>
      </c>
      <c r="AJ20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Forecast'!AD14*Assumptions!$I$13+1446.5)*Assumptions!$C$18</f>
        <v/>
      </c>
      <c r="AK20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Forecast'!AE14*Assumptions!$I$13+1446.5)*Assumptions!$C$18</f>
        <v/>
      </c>
      <c r="AL20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Forecast'!AF14*Assumptions!$I$13+1446.5)*Assumptions!$C$18</f>
        <v/>
      </c>
      <c r="AM20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Forecast'!AG14*Assumptions!$I$13+1446.5)*Assumptions!$C$18</f>
        <v/>
      </c>
      <c r="AN20" s="20">
        <f>('Sales Forecast'!AN14*Assumptions!$C$12+'Sales Forecast'!AM14*Assumptions!$D$12+'Sales Forecast'!AL14*Assumptions!$E$12+'Sales Forecast'!AK14*Assumptions!$F$12+'Sales Forecast'!AJ14*Assumptions!$G$12+'Sales Forecast'!AI14*Assumptions!$H$12+'Sales Forecast'!AH14*Assumptions!$I$12+'Sales Forecast'!AN14*Assumptions!$C$13+'Sales Forecast'!AM14*Assumptions!$D$13+'Sales Forecast'!AL14*Assumptions!$E$13+'Sales Forecast'!AK14*Assumptions!$F$13+'Sales Forecast'!AJ14*Assumptions!$G$13+'Sales Forecast'!AI14*Assumptions!$H$13+'Sales Forecast'!AH14*Assumptions!$I$13+1446.5)*Assumptions!$C$18</f>
        <v/>
      </c>
      <c r="AO20" s="20">
        <f>('Sales Forecast'!AO14*Assumptions!$C$12+'Sales Forecast'!AN14*Assumptions!$D$12+'Sales Forecast'!AM14*Assumptions!$E$12+'Sales Forecast'!AL14*Assumptions!$F$12+'Sales Forecast'!AK14*Assumptions!$G$12+'Sales Forecast'!AJ14*Assumptions!$H$12+'Sales Forecast'!AI14*Assumptions!$I$12+'Sales Forecast'!AO14*Assumptions!$C$13+'Sales Forecast'!AN14*Assumptions!$D$13+'Sales Forecast'!AM14*Assumptions!$E$13+'Sales Forecast'!AL14*Assumptions!$F$13+'Sales Forecast'!AK14*Assumptions!$G$13+'Sales Forecast'!AJ14*Assumptions!$H$13+'Sales Forecast'!AI14*Assumptions!$I$13+1446.5)*Assumptions!$C$18</f>
        <v/>
      </c>
      <c r="AP20" s="20">
        <f>('Sales Forecast'!AP14*Assumptions!$C$12+'Sales Forecast'!AO14*Assumptions!$D$12+'Sales Forecast'!AN14*Assumptions!$E$12+'Sales Forecast'!AM14*Assumptions!$F$12+'Sales Forecast'!AL14*Assumptions!$G$12+'Sales Forecast'!AK14*Assumptions!$H$12+'Sales Forecast'!AJ14*Assumptions!$I$12+'Sales Forecast'!AP14*Assumptions!$C$13+'Sales Forecast'!AO14*Assumptions!$D$13+'Sales Forecast'!AN14*Assumptions!$E$13+'Sales Forecast'!AM14*Assumptions!$F$13+'Sales Forecast'!AL14*Assumptions!$G$13+'Sales Forecast'!AK14*Assumptions!$H$13+'Sales Forecast'!AJ14*Assumptions!$I$13+1446.5)*Assumptions!$C$18</f>
        <v/>
      </c>
      <c r="AQ20" s="20">
        <f>('Sales Forecast'!AQ14*Assumptions!$C$12+'Sales Forecast'!AP14*Assumptions!$D$12+'Sales Forecast'!AO14*Assumptions!$E$12+'Sales Forecast'!AN14*Assumptions!$F$12+'Sales Forecast'!AM14*Assumptions!$G$12+'Sales Forecast'!AL14*Assumptions!$H$12+'Sales Forecast'!AK14*Assumptions!$I$12+'Sales Forecast'!AQ14*Assumptions!$C$13+'Sales Forecast'!AP14*Assumptions!$D$13+'Sales Forecast'!AO14*Assumptions!$E$13+'Sales Forecast'!AN14*Assumptions!$F$13+'Sales Forecast'!AM14*Assumptions!$G$13+'Sales Forecast'!AL14*Assumptions!$H$13+'Sales Forecast'!AK14*Assumptions!$I$13+1446.5)*Assumptions!$C$18</f>
        <v/>
      </c>
      <c r="AR20" s="20">
        <f>('Sales Forecast'!AR14*Assumptions!$C$12+'Sales Forecast'!AQ14*Assumptions!$D$12+'Sales Forecast'!AP14*Assumptions!$E$12+'Sales Forecast'!AO14*Assumptions!$F$12+'Sales Forecast'!AN14*Assumptions!$G$12+'Sales Forecast'!AM14*Assumptions!$H$12+'Sales Forecast'!AL14*Assumptions!$I$12+'Sales Forecast'!AR14*Assumptions!$C$13+'Sales Forecast'!AQ14*Assumptions!$D$13+'Sales Forecast'!AP14*Assumptions!$E$13+'Sales Forecast'!AO14*Assumptions!$F$13+'Sales Forecast'!AN14*Assumptions!$G$13+'Sales Forecast'!AM14*Assumptions!$H$13+'Sales Forecast'!AL14*Assumptions!$I$13+1446.5)*Assumptions!$C$18</f>
        <v/>
      </c>
      <c r="AS20" s="20">
        <f>('Sales Forecast'!AS14*Assumptions!$C$12+'Sales Forecast'!AR14*Assumptions!$D$12+'Sales Forecast'!AQ14*Assumptions!$E$12+'Sales Forecast'!AP14*Assumptions!$F$12+'Sales Forecast'!AO14*Assumptions!$G$12+'Sales Forecast'!AN14*Assumptions!$H$12+'Sales Forecast'!AM14*Assumptions!$I$12+'Sales Forecast'!AS14*Assumptions!$C$13+'Sales Forecast'!AR14*Assumptions!$D$13+'Sales Forecast'!AQ14*Assumptions!$E$13+'Sales Forecast'!AP14*Assumptions!$F$13+'Sales Forecast'!AO14*Assumptions!$G$13+'Sales Forecast'!AN14*Assumptions!$H$13+'Sales Forecast'!AM14*Assumptions!$I$13+1446.5)*Assumptions!$C$18</f>
        <v/>
      </c>
      <c r="AT20" s="20">
        <f>('Sales Forecast'!AT14*Assumptions!$C$12+'Sales Forecast'!AS14*Assumptions!$D$12+'Sales Forecast'!AR14*Assumptions!$E$12+'Sales Forecast'!AQ14*Assumptions!$F$12+'Sales Forecast'!AP14*Assumptions!$G$12+'Sales Forecast'!AO14*Assumptions!$H$12+'Sales Forecast'!AN14*Assumptions!$I$12+'Sales Forecast'!AT14*Assumptions!$C$13+'Sales Forecast'!AS14*Assumptions!$D$13+'Sales Forecast'!AR14*Assumptions!$E$13+'Sales Forecast'!AQ14*Assumptions!$F$13+'Sales Forecast'!AP14*Assumptions!$G$13+'Sales Forecast'!AO14*Assumptions!$H$13+'Sales Forecast'!AN14*Assumptions!$I$13+1446.5)*Assumptions!$C$18</f>
        <v/>
      </c>
      <c r="AU20" s="20">
        <f>('Sales Forecast'!AU14*Assumptions!$C$12+'Sales Forecast'!AT14*Assumptions!$D$12+'Sales Forecast'!AS14*Assumptions!$E$12+'Sales Forecast'!AR14*Assumptions!$F$12+'Sales Forecast'!AQ14*Assumptions!$G$12+'Sales Forecast'!AP14*Assumptions!$H$12+'Sales Forecast'!AO14*Assumptions!$I$12+'Sales Forecast'!AU14*Assumptions!$C$13+'Sales Forecast'!AT14*Assumptions!$D$13+'Sales Forecast'!AS14*Assumptions!$E$13+'Sales Forecast'!AR14*Assumptions!$F$13+'Sales Forecast'!AQ14*Assumptions!$G$13+'Sales Forecast'!AP14*Assumptions!$H$13+'Sales Forecast'!AO14*Assumptions!$I$13+1446.5)*Assumptions!$C$18</f>
        <v/>
      </c>
      <c r="AV20" s="20">
        <f>('Sales Forecast'!AV14*Assumptions!$C$12+'Sales Forecast'!AU14*Assumptions!$D$12+'Sales Forecast'!AT14*Assumptions!$E$12+'Sales Forecast'!AS14*Assumptions!$F$12+'Sales Forecast'!AR14*Assumptions!$G$12+'Sales Forecast'!AQ14*Assumptions!$H$12+'Sales Forecast'!AP14*Assumptions!$I$12+'Sales Forecast'!AV14*Assumptions!$C$13+'Sales Forecast'!AU14*Assumptions!$D$13+'Sales Forecast'!AT14*Assumptions!$E$13+'Sales Forecast'!AS14*Assumptions!$F$13+'Sales Forecast'!AR14*Assumptions!$G$13+'Sales Forecast'!AQ14*Assumptions!$H$13+'Sales Forecast'!AP14*Assumptions!$I$13+1446.5)*Assumptions!$C$18</f>
        <v/>
      </c>
      <c r="AW20" s="20">
        <f>('Sales Forecast'!AW14*Assumptions!$C$12+'Sales Forecast'!AV14*Assumptions!$D$12+'Sales Forecast'!AU14*Assumptions!$E$12+'Sales Forecast'!AT14*Assumptions!$F$12+'Sales Forecast'!AS14*Assumptions!$G$12+'Sales Forecast'!AR14*Assumptions!$H$12+'Sales Forecast'!AQ14*Assumptions!$I$12+'Sales Forecast'!AW14*Assumptions!$C$13+'Sales Forecast'!AV14*Assumptions!$D$13+'Sales Forecast'!AU14*Assumptions!$E$13+'Sales Forecast'!AT14*Assumptions!$F$13+'Sales Forecast'!AS14*Assumptions!$G$13+'Sales Forecast'!AR14*Assumptions!$H$13+'Sales Forecast'!AQ14*Assumptions!$I$13+1446.5)*Assumptions!$C$18</f>
        <v/>
      </c>
      <c r="AX20" s="20">
        <f>('Sales Forecast'!AX14*Assumptions!$C$12+'Sales Forecast'!AW14*Assumptions!$D$12+'Sales Forecast'!AV14*Assumptions!$E$12+'Sales Forecast'!AU14*Assumptions!$F$12+'Sales Forecast'!AT14*Assumptions!$G$12+'Sales Forecast'!AS14*Assumptions!$H$12+'Sales Forecast'!AR14*Assumptions!$I$12+'Sales Forecast'!AX14*Assumptions!$C$13+'Sales Forecast'!AW14*Assumptions!$D$13+'Sales Forecast'!AV14*Assumptions!$E$13+'Sales Forecast'!AU14*Assumptions!$F$13+'Sales Forecast'!AT14*Assumptions!$G$13+'Sales Forecast'!AS14*Assumptions!$H$13+'Sales Forecast'!AR14*Assumptions!$I$13+1446.5)*Assumptions!$C$18</f>
        <v/>
      </c>
      <c r="AY20" s="20">
        <f>('Sales Forecast'!AY14*Assumptions!$C$12+'Sales Forecast'!AX14*Assumptions!$D$12+'Sales Forecast'!AW14*Assumptions!$E$12+'Sales Forecast'!AV14*Assumptions!$F$12+'Sales Forecast'!AU14*Assumptions!$G$12+'Sales Forecast'!AT14*Assumptions!$H$12+'Sales Forecast'!AS14*Assumptions!$I$12+'Sales Forecast'!AY14*Assumptions!$C$13+'Sales Forecast'!AX14*Assumptions!$D$13+'Sales Forecast'!AW14*Assumptions!$E$13+'Sales Forecast'!AV14*Assumptions!$F$13+'Sales Forecast'!AU14*Assumptions!$G$13+'Sales Forecast'!AT14*Assumptions!$H$13+'Sales Forecast'!AS14*Assumptions!$I$13+1446.5)*Assumptions!$C$18</f>
        <v/>
      </c>
      <c r="BA20" s="288">
        <f>SUM(I20:T20)</f>
        <v/>
      </c>
      <c r="BB20" s="274">
        <f>BA20/$BA$21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0</v>
      </c>
      <c r="L21" s="35" t="n">
        <v>0</v>
      </c>
      <c r="M21" s="35" t="n">
        <v>0</v>
      </c>
      <c r="N21" s="35">
        <f>N13+N17+N18+N19+N20</f>
        <v/>
      </c>
      <c r="O21" s="35">
        <f>O13+O17+O18+O19+O20</f>
        <v/>
      </c>
      <c r="P21" s="35">
        <f>P13+P17+P18+P19+P20</f>
        <v/>
      </c>
      <c r="Q21" s="35">
        <f>Q13+Q17+Q18+Q19+Q20</f>
        <v/>
      </c>
      <c r="R21" s="35">
        <f>R13+R17+R18+R19+R20</f>
        <v/>
      </c>
      <c r="S21" s="35">
        <f>S13+S17+S18+S19+S20</f>
        <v/>
      </c>
      <c r="T21" s="35">
        <f>T13+T17+T18+T19+T20</f>
        <v/>
      </c>
      <c r="U21" s="35">
        <f>U13+U17+U18+U19+U20</f>
        <v/>
      </c>
      <c r="V21" s="35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  <c r="BA21" s="307">
        <f>SUM(I21:T21)</f>
        <v/>
      </c>
      <c r="BB21" s="276">
        <f>SUM(BB7:BB20)</f>
        <v/>
      </c>
    </row>
    <row r="22" ht="16" customHeight="1" s="28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>501000 Product Cost (incl Inventory Shrinkage)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608.5</v>
      </c>
      <c r="O23" s="19" t="n">
        <v>2733.58</v>
      </c>
      <c r="P23" s="19" t="n">
        <v>721</v>
      </c>
      <c r="Q23" s="19" t="n">
        <v>618.5</v>
      </c>
      <c r="R23" s="19" t="n">
        <v>804.6</v>
      </c>
      <c r="S23" s="19" t="n">
        <v>534</v>
      </c>
      <c r="T23" s="83" t="n">
        <v>231</v>
      </c>
      <c r="U23" s="83" t="n">
        <v>408</v>
      </c>
      <c r="V23" s="83" t="n">
        <v>514</v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0</v>
      </c>
      <c r="M24" s="19" t="n">
        <v>28.72</v>
      </c>
      <c r="N24" s="19" t="n">
        <v>326.76</v>
      </c>
      <c r="O24" s="19" t="n">
        <v>602.74</v>
      </c>
      <c r="P24" s="19" t="n">
        <v>974.92</v>
      </c>
      <c r="Q24" s="19" t="n">
        <v>918.61</v>
      </c>
      <c r="R24" s="19" t="n">
        <v>835.42</v>
      </c>
      <c r="S24" s="19" t="n">
        <v>624.9</v>
      </c>
      <c r="T24" s="83" t="n">
        <v>642.11</v>
      </c>
      <c r="U24" s="83" t="n">
        <v>546.34</v>
      </c>
      <c r="V24" s="83" t="n">
        <v>442.79</v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>
        <f>SUM(D23:D24)</f>
        <v/>
      </c>
      <c r="E25" s="35">
        <f>SUM(E23:E24)</f>
        <v/>
      </c>
      <c r="F25" s="35">
        <f>SUM(F23:F24)</f>
        <v/>
      </c>
      <c r="G25" s="35">
        <f>SUM(G23:G24)</f>
        <v/>
      </c>
      <c r="H25" s="35">
        <f>SUM(H23:H24)</f>
        <v/>
      </c>
      <c r="I25" s="35">
        <f>SUM(I23:I24)</f>
        <v/>
      </c>
      <c r="J25" s="35">
        <f>SUM(J23:J24)</f>
        <v/>
      </c>
      <c r="K25" s="35">
        <f>SUM(K23:K24)</f>
        <v/>
      </c>
      <c r="L25" s="35">
        <f>SUM(L23:L24)</f>
        <v/>
      </c>
      <c r="M25" s="35">
        <f>SUM(M23:M24)</f>
        <v/>
      </c>
      <c r="N25" s="35">
        <f>SUM(N23:N24)</f>
        <v/>
      </c>
      <c r="O25" s="35">
        <f>SUM(O23:O24)</f>
        <v/>
      </c>
      <c r="P25" s="35">
        <f>P23+P24</f>
        <v/>
      </c>
      <c r="Q25" s="35">
        <f>Q23+Q24</f>
        <v/>
      </c>
      <c r="R25" s="35">
        <f>R23+R24</f>
        <v/>
      </c>
      <c r="S25" s="35">
        <f>S23+S24</f>
        <v/>
      </c>
      <c r="T25" s="84">
        <f>T23+T24</f>
        <v/>
      </c>
      <c r="U25" s="84">
        <f>U23+U24</f>
        <v/>
      </c>
      <c r="V25" s="84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>
        <f>D21-D25</f>
        <v/>
      </c>
      <c r="E26" s="35">
        <f>E21-E25</f>
        <v/>
      </c>
      <c r="F26" s="35">
        <f>F21-F25</f>
        <v/>
      </c>
      <c r="G26" s="35">
        <f>G21-G25</f>
        <v/>
      </c>
      <c r="H26" s="35">
        <f>H21-H25</f>
        <v/>
      </c>
      <c r="I26" s="35">
        <f>I21-I25</f>
        <v/>
      </c>
      <c r="J26" s="35">
        <f>J21-J25</f>
        <v/>
      </c>
      <c r="K26" s="35">
        <f>K21-K25</f>
        <v/>
      </c>
      <c r="L26" s="35">
        <f>L21-L25</f>
        <v/>
      </c>
      <c r="M26" s="35">
        <f>M21-M25</f>
        <v/>
      </c>
      <c r="N26" s="35">
        <f>N21-N25</f>
        <v/>
      </c>
      <c r="O26" s="35">
        <f>O21-O25</f>
        <v/>
      </c>
      <c r="P26" s="35">
        <f>P21-P25</f>
        <v/>
      </c>
      <c r="Q26" s="35">
        <f>Q21-Q25</f>
        <v/>
      </c>
      <c r="R26" s="35">
        <f>R21-R25</f>
        <v/>
      </c>
      <c r="S26" s="35">
        <f>S21-S25</f>
        <v/>
      </c>
      <c r="T26" s="84">
        <f>T21-T25</f>
        <v/>
      </c>
      <c r="U26" s="84">
        <f>U21-U25</f>
        <v/>
      </c>
      <c r="V26" s="84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" customHeight="1" s="28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720.71</v>
      </c>
      <c r="N28" s="19" t="n">
        <v>3133.53</v>
      </c>
      <c r="O28" s="19" t="n">
        <v>2005.59</v>
      </c>
      <c r="P28" s="19" t="n">
        <v>2620.83</v>
      </c>
      <c r="Q28" s="19" t="n">
        <v>3887.88</v>
      </c>
      <c r="R28" s="19" t="n">
        <v>2654.39</v>
      </c>
      <c r="S28" s="19" t="n">
        <v>755.11</v>
      </c>
      <c r="T28" s="83" t="n">
        <v>747.45</v>
      </c>
      <c r="U28" s="83" t="n">
        <v>2104.76</v>
      </c>
      <c r="V28" s="83" t="n">
        <v>753.24</v>
      </c>
      <c r="W28" s="20" t="n">
        <v>690.58</v>
      </c>
      <c r="X28" s="20" t="n">
        <v>690.58</v>
      </c>
      <c r="Y28" s="20" t="n">
        <v>690.58</v>
      </c>
      <c r="Z28" s="20" t="n">
        <v>690.58</v>
      </c>
      <c r="AA28" s="20" t="n">
        <v>690.58</v>
      </c>
      <c r="AB28" s="20" t="n">
        <v>690.58</v>
      </c>
      <c r="AC28" s="20" t="n">
        <v>690.58</v>
      </c>
      <c r="AD28" s="20" t="n">
        <v>690.58</v>
      </c>
      <c r="AE28" s="20" t="n">
        <v>690.58</v>
      </c>
      <c r="AF28" s="20" t="n">
        <v>690.58</v>
      </c>
      <c r="AG28" s="20" t="n">
        <v>690.58</v>
      </c>
      <c r="AH28" s="20" t="n">
        <v>690.58</v>
      </c>
      <c r="AI28" s="20" t="n">
        <v>690.58</v>
      </c>
      <c r="AJ28" s="20" t="n">
        <v>690.58</v>
      </c>
      <c r="AK28" s="20" t="n">
        <v>690.58</v>
      </c>
      <c r="AL28" s="20" t="n">
        <v>690.58</v>
      </c>
      <c r="AM28" s="20" t="n">
        <v>690.58</v>
      </c>
      <c r="AN28" s="20" t="n">
        <v>690.58</v>
      </c>
      <c r="AO28" s="20" t="n">
        <v>690.58</v>
      </c>
      <c r="AP28" s="20" t="n">
        <v>690.58</v>
      </c>
      <c r="AQ28" s="20" t="n">
        <v>690.58</v>
      </c>
      <c r="AR28" s="20" t="n">
        <v>690.58</v>
      </c>
      <c r="AS28" s="20" t="n">
        <v>690.58</v>
      </c>
      <c r="AT28" s="20" t="n">
        <v>690.58</v>
      </c>
      <c r="AU28" s="20" t="n">
        <v>690.58</v>
      </c>
      <c r="AV28" s="20" t="n">
        <v>690.58</v>
      </c>
      <c r="AW28" s="20" t="n">
        <v>690.58</v>
      </c>
      <c r="AX28" s="20" t="n">
        <v>690.58</v>
      </c>
      <c r="AY28" s="20" t="n">
        <v>690.58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0</v>
      </c>
      <c r="O29" s="19" t="n">
        <v>0</v>
      </c>
      <c r="P29" s="19" t="n">
        <v>750</v>
      </c>
      <c r="Q29" s="19" t="n">
        <v>0</v>
      </c>
      <c r="R29" s="19" t="n">
        <v>0</v>
      </c>
      <c r="S29" s="19" t="n">
        <v>0</v>
      </c>
      <c r="T29" s="83" t="n">
        <v>0</v>
      </c>
      <c r="U29" s="83" t="n">
        <v>0</v>
      </c>
      <c r="V29" s="83" t="n">
        <v>0</v>
      </c>
      <c r="W29" s="20" t="n">
        <v>59.79</v>
      </c>
      <c r="X29" s="20" t="n">
        <v>59.79</v>
      </c>
      <c r="Y29" s="20" t="n">
        <v>59.79</v>
      </c>
      <c r="Z29" s="20" t="n">
        <v>59.79</v>
      </c>
      <c r="AA29" s="20" t="n">
        <v>59.79</v>
      </c>
      <c r="AB29" s="20" t="n">
        <v>59.79</v>
      </c>
      <c r="AC29" s="20" t="n">
        <v>59.79</v>
      </c>
      <c r="AD29" s="20" t="n">
        <v>59.79</v>
      </c>
      <c r="AE29" s="20" t="n">
        <v>59.79</v>
      </c>
      <c r="AF29" s="20" t="n">
        <v>59.79</v>
      </c>
      <c r="AG29" s="20" t="n">
        <v>59.79</v>
      </c>
      <c r="AH29" s="20" t="n">
        <v>59.79</v>
      </c>
      <c r="AI29" s="20" t="n">
        <v>59.79</v>
      </c>
      <c r="AJ29" s="20" t="n">
        <v>59.79</v>
      </c>
      <c r="AK29" s="20" t="n">
        <v>59.79</v>
      </c>
      <c r="AL29" s="20" t="n">
        <v>59.79</v>
      </c>
      <c r="AM29" s="20" t="n">
        <v>59.79</v>
      </c>
      <c r="AN29" s="20" t="n">
        <v>59.79</v>
      </c>
      <c r="AO29" s="20" t="n">
        <v>59.79</v>
      </c>
      <c r="AP29" s="20" t="n">
        <v>59.79</v>
      </c>
      <c r="AQ29" s="20" t="n">
        <v>59.79</v>
      </c>
      <c r="AR29" s="20" t="n">
        <v>59.79</v>
      </c>
      <c r="AS29" s="20" t="n">
        <v>59.79</v>
      </c>
      <c r="AT29" s="20" t="n">
        <v>59.79</v>
      </c>
      <c r="AU29" s="20" t="n">
        <v>59.79</v>
      </c>
      <c r="AV29" s="20" t="n">
        <v>59.79</v>
      </c>
      <c r="AW29" s="20" t="n">
        <v>59.79</v>
      </c>
      <c r="AX29" s="20" t="n">
        <v>59.79</v>
      </c>
      <c r="AY29" s="20" t="n">
        <v>59.79</v>
      </c>
    </row>
    <row r="30">
      <c r="B30" s="33" t="inlineStr">
        <is>
          <t>601006 General Marketing (incl Affiliate, PR, Trade Shows)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193.35</v>
      </c>
      <c r="P30" s="19" t="n">
        <v>0</v>
      </c>
      <c r="Q30" s="19" t="n">
        <v>0</v>
      </c>
      <c r="R30" s="19" t="n">
        <v>0</v>
      </c>
      <c r="S30" s="19" t="n">
        <v>0</v>
      </c>
      <c r="T30" s="83" t="n">
        <v>0</v>
      </c>
      <c r="U30" s="83" t="n">
        <v>499</v>
      </c>
      <c r="V30" s="83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300</v>
      </c>
      <c r="Q31" s="19" t="n">
        <v>0</v>
      </c>
      <c r="R31" s="19" t="n">
        <v>0</v>
      </c>
      <c r="S31" s="19" t="n">
        <v>0</v>
      </c>
      <c r="T31" s="83" t="n">
        <v>0</v>
      </c>
      <c r="U31" s="83" t="n">
        <v>0</v>
      </c>
      <c r="V31" s="83" t="n">
        <v>0</v>
      </c>
      <c r="W31" s="20" t="n">
        <v>23.92</v>
      </c>
      <c r="X31" s="20" t="n">
        <v>23.92</v>
      </c>
      <c r="Y31" s="20" t="n">
        <v>23.92</v>
      </c>
      <c r="Z31" s="20" t="n">
        <v>23.92</v>
      </c>
      <c r="AA31" s="20" t="n">
        <v>23.92</v>
      </c>
      <c r="AB31" s="20" t="n">
        <v>23.92</v>
      </c>
      <c r="AC31" s="20" t="n">
        <v>23.92</v>
      </c>
      <c r="AD31" s="20" t="n">
        <v>23.92</v>
      </c>
      <c r="AE31" s="20" t="n">
        <v>23.92</v>
      </c>
      <c r="AF31" s="20" t="n">
        <v>23.92</v>
      </c>
      <c r="AG31" s="20" t="n">
        <v>23.92</v>
      </c>
      <c r="AH31" s="20" t="n">
        <v>23.92</v>
      </c>
      <c r="AI31" s="20" t="n">
        <v>23.92</v>
      </c>
      <c r="AJ31" s="20" t="n">
        <v>23.92</v>
      </c>
      <c r="AK31" s="20" t="n">
        <v>23.92</v>
      </c>
      <c r="AL31" s="20" t="n">
        <v>23.92</v>
      </c>
      <c r="AM31" s="20" t="n">
        <v>23.92</v>
      </c>
      <c r="AN31" s="20" t="n">
        <v>23.92</v>
      </c>
      <c r="AO31" s="20" t="n">
        <v>23.92</v>
      </c>
      <c r="AP31" s="20" t="n">
        <v>23.92</v>
      </c>
      <c r="AQ31" s="20" t="n">
        <v>23.92</v>
      </c>
      <c r="AR31" s="20" t="n">
        <v>23.92</v>
      </c>
      <c r="AS31" s="20" t="n">
        <v>23.92</v>
      </c>
      <c r="AT31" s="20" t="n">
        <v>23.92</v>
      </c>
      <c r="AU31" s="20" t="n">
        <v>23.92</v>
      </c>
      <c r="AV31" s="20" t="n">
        <v>23.92</v>
      </c>
      <c r="AW31" s="20" t="n">
        <v>23.92</v>
      </c>
      <c r="AX31" s="20" t="n">
        <v>23.92</v>
      </c>
      <c r="AY31" s="20" t="n">
        <v>23.92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83" t="n">
        <v>0</v>
      </c>
      <c r="U32" s="83" t="n">
        <v>0</v>
      </c>
      <c r="V32" s="83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>
        <f>SUM(D28:D32)</f>
        <v/>
      </c>
      <c r="E33" s="35">
        <f>SUM(E28:E32)</f>
        <v/>
      </c>
      <c r="F33" s="35">
        <f>SUM(F28:F32)</f>
        <v/>
      </c>
      <c r="G33" s="35">
        <f>SUM(G28:G32)</f>
        <v/>
      </c>
      <c r="H33" s="35">
        <f>SUM(H28:H32)</f>
        <v/>
      </c>
      <c r="I33" s="35">
        <f>SUM(I28:I32)</f>
        <v/>
      </c>
      <c r="J33" s="35">
        <f>SUM(J28:J32)</f>
        <v/>
      </c>
      <c r="K33" s="35">
        <f>SUM(K28:K32)</f>
        <v/>
      </c>
      <c r="L33" s="35">
        <f>SUM(L28:L32)</f>
        <v/>
      </c>
      <c r="M33" s="35">
        <f>SUM(M28:M32)</f>
        <v/>
      </c>
      <c r="N33" s="35">
        <f>SUM(N28:N32)</f>
        <v/>
      </c>
      <c r="O33" s="35">
        <f>SUM(O28:O32)</f>
        <v/>
      </c>
      <c r="P33" s="35">
        <f>P28+P29+P30+P31+P32</f>
        <v/>
      </c>
      <c r="Q33" s="35">
        <f>Q28+Q29+Q30+Q31+Q32</f>
        <v/>
      </c>
      <c r="R33" s="35">
        <f>R28+R29+R30+R31+R32</f>
        <v/>
      </c>
      <c r="S33" s="35">
        <f>S28+S29+S30+S31+S32</f>
        <v/>
      </c>
      <c r="T33" s="84">
        <f>T28+T29+T30+T31+T32</f>
        <v/>
      </c>
      <c r="U33" s="84">
        <f>U28+U29+U30+U31+U32</f>
        <v/>
      </c>
      <c r="V33" s="84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>602001 Wages (incl 1099 &amp; Bonus)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3018.56</v>
      </c>
      <c r="N34" s="19" t="n">
        <v>18465.6</v>
      </c>
      <c r="O34" s="19" t="n">
        <v>28952.75</v>
      </c>
      <c r="P34" s="19" t="n">
        <v>32789.54</v>
      </c>
      <c r="Q34" s="19" t="n">
        <v>30558.34</v>
      </c>
      <c r="R34" s="19" t="n">
        <v>30964.98</v>
      </c>
      <c r="S34" s="19" t="n">
        <v>24974.97</v>
      </c>
      <c r="T34" s="83" t="n">
        <v>23394.28</v>
      </c>
      <c r="U34" s="83" t="n">
        <v>19423.21</v>
      </c>
      <c r="V34" s="83" t="n">
        <v>19259.4</v>
      </c>
      <c r="W34" s="20" t="n">
        <v>28655.44</v>
      </c>
      <c r="X34" s="20" t="n">
        <v>31567.44</v>
      </c>
      <c r="Y34" s="20" t="n">
        <v>31573.01</v>
      </c>
      <c r="Z34" s="20" t="n">
        <v>31574.24</v>
      </c>
      <c r="AA34" s="20" t="n">
        <v>31574.31</v>
      </c>
      <c r="AB34" s="20" t="n">
        <v>31600.24</v>
      </c>
      <c r="AC34" s="20" t="n">
        <v>31631.98</v>
      </c>
      <c r="AD34" s="20" t="n">
        <v>31600.93</v>
      </c>
      <c r="AE34" s="20" t="n">
        <v>31592.49</v>
      </c>
      <c r="AF34" s="20" t="n">
        <v>31619.27</v>
      </c>
      <c r="AG34" s="20" t="n">
        <v>31596.97</v>
      </c>
      <c r="AH34" s="20" t="n">
        <v>31633.34</v>
      </c>
      <c r="AI34" s="20" t="n">
        <v>31657.54</v>
      </c>
      <c r="AJ34" s="20" t="n">
        <v>31721.92</v>
      </c>
      <c r="AK34" s="20" t="n">
        <v>31701.09</v>
      </c>
      <c r="AL34" s="20" t="n">
        <v>31684.72</v>
      </c>
      <c r="AM34" s="20" t="n">
        <v>31678.11</v>
      </c>
      <c r="AN34" s="20" t="n">
        <v>31600.24</v>
      </c>
      <c r="AO34" s="20" t="n">
        <v>31631.98</v>
      </c>
      <c r="AP34" s="20" t="n">
        <v>31600.93</v>
      </c>
      <c r="AQ34" s="20" t="n">
        <v>31592.49</v>
      </c>
      <c r="AR34" s="20" t="n">
        <v>31619.27</v>
      </c>
      <c r="AS34" s="20" t="n">
        <v>31596.97</v>
      </c>
      <c r="AT34" s="20" t="n">
        <v>31633.34</v>
      </c>
      <c r="AU34" s="20" t="n">
        <v>31657.54</v>
      </c>
      <c r="AV34" s="20" t="n">
        <v>31721.92</v>
      </c>
      <c r="AW34" s="20" t="n">
        <v>31701.09</v>
      </c>
      <c r="AX34" s="20" t="n">
        <v>31684.72</v>
      </c>
      <c r="AY34" s="20" t="n">
        <v>31678.11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260.7</v>
      </c>
      <c r="N35" s="19" t="n">
        <v>1817.19</v>
      </c>
      <c r="O35" s="19" t="n">
        <v>3072.79</v>
      </c>
      <c r="P35" s="19" t="n">
        <v>3958.59</v>
      </c>
      <c r="Q35" s="19" t="n">
        <v>2967.23</v>
      </c>
      <c r="R35" s="19" t="n">
        <v>2860.22</v>
      </c>
      <c r="S35" s="19" t="n">
        <v>2350.35</v>
      </c>
      <c r="T35" s="83" t="n">
        <v>2119.74</v>
      </c>
      <c r="U35" s="83" t="n">
        <v>1758.44</v>
      </c>
      <c r="V35" s="83" t="n">
        <v>1709.16</v>
      </c>
      <c r="W35" s="20" t="n">
        <v>2915.42</v>
      </c>
      <c r="X35" s="20" t="n">
        <v>3211.68</v>
      </c>
      <c r="Y35" s="20" t="n">
        <v>3212.25</v>
      </c>
      <c r="Z35" s="20" t="n">
        <v>3212.38</v>
      </c>
      <c r="AA35" s="20" t="n">
        <v>3212.38</v>
      </c>
      <c r="AB35" s="20" t="n">
        <v>3215.02</v>
      </c>
      <c r="AC35" s="20" t="n">
        <v>3218.25</v>
      </c>
      <c r="AD35" s="20" t="n">
        <v>3215.09</v>
      </c>
      <c r="AE35" s="20" t="n">
        <v>3214.23</v>
      </c>
      <c r="AF35" s="20" t="n">
        <v>3216.96</v>
      </c>
      <c r="AG35" s="20" t="n">
        <v>3214.69</v>
      </c>
      <c r="AH35" s="20" t="n">
        <v>3218.39</v>
      </c>
      <c r="AI35" s="20" t="n">
        <v>3220.85</v>
      </c>
      <c r="AJ35" s="20" t="n">
        <v>3227.4</v>
      </c>
      <c r="AK35" s="20" t="n">
        <v>3225.28</v>
      </c>
      <c r="AL35" s="20" t="n">
        <v>3223.62</v>
      </c>
      <c r="AM35" s="20" t="n">
        <v>3222.94</v>
      </c>
      <c r="AN35" s="20" t="n">
        <v>3215.02</v>
      </c>
      <c r="AO35" s="20" t="n">
        <v>3218.25</v>
      </c>
      <c r="AP35" s="20" t="n">
        <v>3215.09</v>
      </c>
      <c r="AQ35" s="20" t="n">
        <v>3214.23</v>
      </c>
      <c r="AR35" s="20" t="n">
        <v>3216.96</v>
      </c>
      <c r="AS35" s="20" t="n">
        <v>3214.69</v>
      </c>
      <c r="AT35" s="20" t="n">
        <v>3218.39</v>
      </c>
      <c r="AU35" s="20" t="n">
        <v>3220.85</v>
      </c>
      <c r="AV35" s="20" t="n">
        <v>3227.4</v>
      </c>
      <c r="AW35" s="20" t="n">
        <v>3225.28</v>
      </c>
      <c r="AX35" s="20" t="n">
        <v>3223.62</v>
      </c>
      <c r="AY35" s="20" t="n">
        <v>3222.94</v>
      </c>
    </row>
    <row r="36">
      <c r="B36" s="33" t="inlineStr">
        <is>
          <t>602005 Employee Benefits (incl Workers Comp)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240</v>
      </c>
      <c r="O36" s="19" t="n">
        <v>36.87</v>
      </c>
      <c r="P36" s="19" t="n">
        <v>523.51</v>
      </c>
      <c r="Q36" s="19" t="n">
        <v>649.0599999999999</v>
      </c>
      <c r="R36" s="19" t="n">
        <v>907.4</v>
      </c>
      <c r="S36" s="19" t="n">
        <v>866.79</v>
      </c>
      <c r="T36" s="83" t="n">
        <v>704.5599999999999</v>
      </c>
      <c r="U36" s="83" t="n">
        <v>946.54</v>
      </c>
      <c r="V36" s="83" t="n">
        <v>559.04</v>
      </c>
      <c r="W36" s="20" t="n">
        <v>623.8</v>
      </c>
      <c r="X36" s="20" t="n">
        <v>687.1900000000001</v>
      </c>
      <c r="Y36" s="20" t="n">
        <v>687.3099999999999</v>
      </c>
      <c r="Z36" s="20" t="n">
        <v>687.34</v>
      </c>
      <c r="AA36" s="20" t="n">
        <v>687.34</v>
      </c>
      <c r="AB36" s="20" t="n">
        <v>687.9</v>
      </c>
      <c r="AC36" s="20" t="n">
        <v>688.59</v>
      </c>
      <c r="AD36" s="20" t="n">
        <v>687.92</v>
      </c>
      <c r="AE36" s="20" t="n">
        <v>687.73</v>
      </c>
      <c r="AF36" s="20" t="n">
        <v>688.3200000000001</v>
      </c>
      <c r="AG36" s="20" t="n">
        <v>687.83</v>
      </c>
      <c r="AH36" s="20" t="n">
        <v>688.62</v>
      </c>
      <c r="AI36" s="20" t="n">
        <v>689.15</v>
      </c>
      <c r="AJ36" s="20" t="n">
        <v>690.55</v>
      </c>
      <c r="AK36" s="20" t="n">
        <v>690.1</v>
      </c>
      <c r="AL36" s="20" t="n">
        <v>689.74</v>
      </c>
      <c r="AM36" s="20" t="n">
        <v>689.6</v>
      </c>
      <c r="AN36" s="20" t="n">
        <v>687.9</v>
      </c>
      <c r="AO36" s="20" t="n">
        <v>688.59</v>
      </c>
      <c r="AP36" s="20" t="n">
        <v>687.92</v>
      </c>
      <c r="AQ36" s="20" t="n">
        <v>687.73</v>
      </c>
      <c r="AR36" s="20" t="n">
        <v>688.3200000000001</v>
      </c>
      <c r="AS36" s="20" t="n">
        <v>687.83</v>
      </c>
      <c r="AT36" s="20" t="n">
        <v>688.62</v>
      </c>
      <c r="AU36" s="20" t="n">
        <v>689.15</v>
      </c>
      <c r="AV36" s="20" t="n">
        <v>690.55</v>
      </c>
      <c r="AW36" s="20" t="n">
        <v>690.1</v>
      </c>
      <c r="AX36" s="20" t="n">
        <v>689.74</v>
      </c>
      <c r="AY36" s="20" t="n">
        <v>689.6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0</v>
      </c>
      <c r="N37" s="19" t="n">
        <v>0</v>
      </c>
      <c r="O37" s="19" t="n">
        <v>966.85</v>
      </c>
      <c r="P37" s="19" t="n">
        <v>1034.66</v>
      </c>
      <c r="Q37" s="19" t="n">
        <v>1463.27</v>
      </c>
      <c r="R37" s="19" t="n">
        <v>2103.33</v>
      </c>
      <c r="S37" s="19" t="n">
        <v>1159.5</v>
      </c>
      <c r="T37" s="83" t="n">
        <v>1083.97</v>
      </c>
      <c r="U37" s="83" t="n">
        <v>928.95</v>
      </c>
      <c r="V37" s="83" t="n">
        <v>851.5</v>
      </c>
      <c r="W37" s="20" t="n">
        <v>1383.86</v>
      </c>
      <c r="X37" s="20" t="n">
        <v>1524.48</v>
      </c>
      <c r="Y37" s="20" t="n">
        <v>1524.75</v>
      </c>
      <c r="Z37" s="20" t="n">
        <v>1524.81</v>
      </c>
      <c r="AA37" s="20" t="n">
        <v>1524.82</v>
      </c>
      <c r="AB37" s="20" t="n">
        <v>1526.07</v>
      </c>
      <c r="AC37" s="20" t="n">
        <v>1527.6</v>
      </c>
      <c r="AD37" s="20" t="n">
        <v>1526.1</v>
      </c>
      <c r="AE37" s="20" t="n">
        <v>1525.69</v>
      </c>
      <c r="AF37" s="20" t="n">
        <v>1526.99</v>
      </c>
      <c r="AG37" s="20" t="n">
        <v>1525.91</v>
      </c>
      <c r="AH37" s="20" t="n">
        <v>1527.67</v>
      </c>
      <c r="AI37" s="20" t="n">
        <v>1528.84</v>
      </c>
      <c r="AJ37" s="20" t="n">
        <v>1531.94</v>
      </c>
      <c r="AK37" s="20" t="n">
        <v>1530.94</v>
      </c>
      <c r="AL37" s="20" t="n">
        <v>1530.15</v>
      </c>
      <c r="AM37" s="20" t="n">
        <v>1529.83</v>
      </c>
      <c r="AN37" s="20" t="n">
        <v>1526.07</v>
      </c>
      <c r="AO37" s="20" t="n">
        <v>1527.6</v>
      </c>
      <c r="AP37" s="20" t="n">
        <v>1526.1</v>
      </c>
      <c r="AQ37" s="20" t="n">
        <v>1525.69</v>
      </c>
      <c r="AR37" s="20" t="n">
        <v>1526.99</v>
      </c>
      <c r="AS37" s="20" t="n">
        <v>1525.91</v>
      </c>
      <c r="AT37" s="20" t="n">
        <v>1527.67</v>
      </c>
      <c r="AU37" s="20" t="n">
        <v>1528.84</v>
      </c>
      <c r="AV37" s="20" t="n">
        <v>1531.94</v>
      </c>
      <c r="AW37" s="20" t="n">
        <v>1530.94</v>
      </c>
      <c r="AX37" s="20" t="n">
        <v>1530.15</v>
      </c>
      <c r="AY37" s="20" t="n">
        <v>1529.83</v>
      </c>
    </row>
    <row r="38">
      <c r="B38" s="32" t="inlineStr">
        <is>
          <t>Total Payroll</t>
        </is>
      </c>
      <c r="C38" s="34" t="n"/>
      <c r="D38" s="35">
        <f>SUM(D34:D37)</f>
        <v/>
      </c>
      <c r="E38" s="35">
        <f>SUM(E34:E37)</f>
        <v/>
      </c>
      <c r="F38" s="35">
        <f>SUM(F34:F37)</f>
        <v/>
      </c>
      <c r="G38" s="35">
        <f>SUM(G34:G37)</f>
        <v/>
      </c>
      <c r="H38" s="35">
        <f>SUM(H34:H37)</f>
        <v/>
      </c>
      <c r="I38" s="35">
        <f>SUM(I34:I37)</f>
        <v/>
      </c>
      <c r="J38" s="35">
        <f>SUM(J34:J37)</f>
        <v/>
      </c>
      <c r="K38" s="35">
        <f>SUM(K34:K37)</f>
        <v/>
      </c>
      <c r="L38" s="35">
        <f>SUM(L34:L37)</f>
        <v/>
      </c>
      <c r="M38" s="35">
        <f>SUM(M34:M37)</f>
        <v/>
      </c>
      <c r="N38" s="35">
        <f>SUM(N34:N37)</f>
        <v/>
      </c>
      <c r="O38" s="35">
        <f>SUM(O34:O37)</f>
        <v/>
      </c>
      <c r="P38" s="35">
        <f>P34+P35+P36+P37</f>
        <v/>
      </c>
      <c r="Q38" s="35">
        <f>Q34+Q35+Q36+Q37</f>
        <v/>
      </c>
      <c r="R38" s="35">
        <f>R34+R35+R36+R37</f>
        <v/>
      </c>
      <c r="S38" s="35">
        <f>S34+S35+S36+S37</f>
        <v/>
      </c>
      <c r="T38" s="84">
        <f>T34+T35+T36+T37</f>
        <v/>
      </c>
      <c r="U38" s="84">
        <f>U34+U35+U36+U37</f>
        <v/>
      </c>
      <c r="V38" s="84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1121.62</v>
      </c>
      <c r="N39" s="19" t="n">
        <v>734.0599999999999</v>
      </c>
      <c r="O39" s="19" t="n">
        <v>753.09</v>
      </c>
      <c r="P39" s="19" t="n">
        <v>1141.69</v>
      </c>
      <c r="Q39" s="19" t="n">
        <v>1211.45</v>
      </c>
      <c r="R39" s="19" t="n">
        <v>723.09</v>
      </c>
      <c r="S39" s="19" t="n">
        <v>1620.7</v>
      </c>
      <c r="T39" s="83" t="n">
        <v>778.27</v>
      </c>
      <c r="U39" s="83" t="n">
        <v>1028.27</v>
      </c>
      <c r="V39" s="83" t="n">
        <v>718.27</v>
      </c>
      <c r="W39" s="20" t="n">
        <v>890.17</v>
      </c>
      <c r="X39" s="20" t="n">
        <v>890.17</v>
      </c>
      <c r="Y39" s="20" t="n">
        <v>890.17</v>
      </c>
      <c r="Z39" s="20" t="n">
        <v>890.17</v>
      </c>
      <c r="AA39" s="20" t="n">
        <v>890.17</v>
      </c>
      <c r="AB39" s="20" t="n">
        <v>890.17</v>
      </c>
      <c r="AC39" s="20" t="n">
        <v>890.17</v>
      </c>
      <c r="AD39" s="20" t="n">
        <v>890.17</v>
      </c>
      <c r="AE39" s="20" t="n">
        <v>890.17</v>
      </c>
      <c r="AF39" s="20" t="n">
        <v>890.17</v>
      </c>
      <c r="AG39" s="20" t="n">
        <v>890.17</v>
      </c>
      <c r="AH39" s="20" t="n">
        <v>890.17</v>
      </c>
      <c r="AI39" s="20" t="n">
        <v>890.17</v>
      </c>
      <c r="AJ39" s="20" t="n">
        <v>890.17</v>
      </c>
      <c r="AK39" s="20" t="n">
        <v>890.17</v>
      </c>
      <c r="AL39" s="20" t="n">
        <v>890.17</v>
      </c>
      <c r="AM39" s="20" t="n">
        <v>890.17</v>
      </c>
      <c r="AN39" s="20" t="n">
        <v>890.17</v>
      </c>
      <c r="AO39" s="20" t="n">
        <v>890.17</v>
      </c>
      <c r="AP39" s="20" t="n">
        <v>890.17</v>
      </c>
      <c r="AQ39" s="20" t="n">
        <v>890.17</v>
      </c>
      <c r="AR39" s="20" t="n">
        <v>890.17</v>
      </c>
      <c r="AS39" s="20" t="n">
        <v>890.17</v>
      </c>
      <c r="AT39" s="20" t="n">
        <v>890.17</v>
      </c>
      <c r="AU39" s="20" t="n">
        <v>890.17</v>
      </c>
      <c r="AV39" s="20" t="n">
        <v>890.17</v>
      </c>
      <c r="AW39" s="20" t="n">
        <v>890.17</v>
      </c>
      <c r="AX39" s="20" t="n">
        <v>890.17</v>
      </c>
      <c r="AY39" s="20" t="n">
        <v>890.17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0</v>
      </c>
      <c r="N40" s="19" t="n">
        <v>0</v>
      </c>
      <c r="O40" s="19" t="n">
        <v>0</v>
      </c>
      <c r="P40" s="19" t="n">
        <v>134.02</v>
      </c>
      <c r="Q40" s="19" t="n">
        <v>134.02</v>
      </c>
      <c r="R40" s="19" t="n">
        <v>326.81</v>
      </c>
      <c r="S40" s="19" t="n">
        <v>326.81</v>
      </c>
      <c r="T40" s="83" t="n">
        <v>294.83</v>
      </c>
      <c r="U40" s="83" t="n">
        <v>290.82</v>
      </c>
      <c r="V40" s="83" t="n">
        <v>290.82</v>
      </c>
      <c r="W40" s="20" t="n">
        <v>210.13</v>
      </c>
      <c r="X40" s="20" t="n">
        <v>210.13</v>
      </c>
      <c r="Y40" s="20" t="n">
        <v>210.13</v>
      </c>
      <c r="Z40" s="20" t="n">
        <v>210.13</v>
      </c>
      <c r="AA40" s="20" t="n">
        <v>210.13</v>
      </c>
      <c r="AB40" s="20" t="n">
        <v>210.13</v>
      </c>
      <c r="AC40" s="20" t="n">
        <v>210.13</v>
      </c>
      <c r="AD40" s="20" t="n">
        <v>210.13</v>
      </c>
      <c r="AE40" s="20" t="n">
        <v>210.13</v>
      </c>
      <c r="AF40" s="20" t="n">
        <v>210.13</v>
      </c>
      <c r="AG40" s="20" t="n">
        <v>210.13</v>
      </c>
      <c r="AH40" s="20" t="n">
        <v>210.13</v>
      </c>
      <c r="AI40" s="20" t="n">
        <v>210.13</v>
      </c>
      <c r="AJ40" s="20" t="n">
        <v>210.13</v>
      </c>
      <c r="AK40" s="20" t="n">
        <v>210.13</v>
      </c>
      <c r="AL40" s="20" t="n">
        <v>210.13</v>
      </c>
      <c r="AM40" s="20" t="n">
        <v>210.13</v>
      </c>
      <c r="AN40" s="20" t="n">
        <v>210.13</v>
      </c>
      <c r="AO40" s="20" t="n">
        <v>210.13</v>
      </c>
      <c r="AP40" s="20" t="n">
        <v>210.13</v>
      </c>
      <c r="AQ40" s="20" t="n">
        <v>210.13</v>
      </c>
      <c r="AR40" s="20" t="n">
        <v>210.13</v>
      </c>
      <c r="AS40" s="20" t="n">
        <v>210.13</v>
      </c>
      <c r="AT40" s="20" t="n">
        <v>210.13</v>
      </c>
      <c r="AU40" s="20" t="n">
        <v>210.13</v>
      </c>
      <c r="AV40" s="20" t="n">
        <v>210.13</v>
      </c>
      <c r="AW40" s="20" t="n">
        <v>210.13</v>
      </c>
      <c r="AX40" s="20" t="n">
        <v>210.13</v>
      </c>
      <c r="AY40" s="20" t="n">
        <v>210.13</v>
      </c>
    </row>
    <row r="41">
      <c r="B41" s="33" t="inlineStr">
        <is>
          <t>610000 Office Supplies &amp; GE (incl Licenses, Furniture, Shipping, Bank Fees, Start-Up Costs)</t>
        </is>
      </c>
      <c r="D41" s="19" t="n">
        <v>0</v>
      </c>
      <c r="E41" s="19" t="n">
        <v>0</v>
      </c>
      <c r="F41" s="19" t="n">
        <v>0</v>
      </c>
      <c r="G41" s="19" t="n">
        <v>0</v>
      </c>
      <c r="H41" s="19" t="n">
        <v>0</v>
      </c>
      <c r="I41" s="19" t="n">
        <v>0</v>
      </c>
      <c r="J41" s="19" t="n">
        <v>0</v>
      </c>
      <c r="K41" s="19" t="n">
        <v>2018.75</v>
      </c>
      <c r="L41" s="19" t="n">
        <v>0</v>
      </c>
      <c r="M41" s="19" t="n">
        <v>2682.46</v>
      </c>
      <c r="N41" s="19" t="n">
        <v>7255.55</v>
      </c>
      <c r="O41" s="19" t="n">
        <v>715.67</v>
      </c>
      <c r="P41" s="19" t="n">
        <v>161.87</v>
      </c>
      <c r="Q41" s="19" t="n">
        <v>333.41</v>
      </c>
      <c r="R41" s="19" t="n">
        <v>764.42</v>
      </c>
      <c r="S41" s="19" t="n">
        <v>291.4</v>
      </c>
      <c r="T41" s="83" t="n">
        <v>470.45</v>
      </c>
      <c r="U41" s="83" t="n">
        <v>321.46</v>
      </c>
      <c r="V41" s="83" t="n">
        <v>87.56999999999999</v>
      </c>
      <c r="W41" s="20" t="n">
        <v>353.63</v>
      </c>
      <c r="X41" s="20" t="n">
        <v>353.63</v>
      </c>
      <c r="Y41" s="20" t="n">
        <v>353.63</v>
      </c>
      <c r="Z41" s="20" t="n">
        <v>353.63</v>
      </c>
      <c r="AA41" s="20" t="n">
        <v>353.63</v>
      </c>
      <c r="AB41" s="20" t="n">
        <v>353.63</v>
      </c>
      <c r="AC41" s="20" t="n">
        <v>353.63</v>
      </c>
      <c r="AD41" s="20" t="n">
        <v>353.63</v>
      </c>
      <c r="AE41" s="20" t="n">
        <v>353.63</v>
      </c>
      <c r="AF41" s="20" t="n">
        <v>353.63</v>
      </c>
      <c r="AG41" s="20" t="n">
        <v>353.63</v>
      </c>
      <c r="AH41" s="20" t="n">
        <v>353.63</v>
      </c>
      <c r="AI41" s="20" t="n">
        <v>353.63</v>
      </c>
      <c r="AJ41" s="20" t="n">
        <v>353.63</v>
      </c>
      <c r="AK41" s="20" t="n">
        <v>353.63</v>
      </c>
      <c r="AL41" s="20" t="n">
        <v>353.63</v>
      </c>
      <c r="AM41" s="20" t="n">
        <v>353.63</v>
      </c>
      <c r="AN41" s="20" t="n">
        <v>353.63</v>
      </c>
      <c r="AO41" s="20" t="n">
        <v>353.63</v>
      </c>
      <c r="AP41" s="20" t="n">
        <v>353.63</v>
      </c>
      <c r="AQ41" s="20" t="n">
        <v>353.63</v>
      </c>
      <c r="AR41" s="20" t="n">
        <v>353.63</v>
      </c>
      <c r="AS41" s="20" t="n">
        <v>353.63</v>
      </c>
      <c r="AT41" s="20" t="n">
        <v>353.63</v>
      </c>
      <c r="AU41" s="20" t="n">
        <v>353.63</v>
      </c>
      <c r="AV41" s="20" t="n">
        <v>353.63</v>
      </c>
      <c r="AW41" s="20" t="n">
        <v>353.63</v>
      </c>
      <c r="AX41" s="20" t="n">
        <v>353.63</v>
      </c>
      <c r="AY41" s="20" t="n">
        <v>353.63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3" t="n">
        <v>0</v>
      </c>
      <c r="U43" s="83" t="n">
        <v>0</v>
      </c>
      <c r="V43" s="83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0</v>
      </c>
      <c r="O44" s="19" t="n">
        <v>101.59</v>
      </c>
      <c r="P44" s="19" t="n">
        <v>0</v>
      </c>
      <c r="Q44" s="19" t="n">
        <v>301.82</v>
      </c>
      <c r="R44" s="19" t="n">
        <v>880</v>
      </c>
      <c r="S44" s="19" t="n">
        <v>2430</v>
      </c>
      <c r="T44" s="83" t="n">
        <v>1116.82</v>
      </c>
      <c r="U44" s="83" t="n">
        <v>0</v>
      </c>
      <c r="V44" s="83" t="n">
        <v>0</v>
      </c>
      <c r="W44" s="20" t="n">
        <v>0</v>
      </c>
      <c r="X44" s="20" t="n">
        <v>0</v>
      </c>
      <c r="Y44" s="20" t="n">
        <v>0</v>
      </c>
      <c r="Z44" s="20" t="n">
        <v>0</v>
      </c>
      <c r="AA44" s="20" t="n">
        <v>0</v>
      </c>
      <c r="AB44" s="20" t="n">
        <v>0</v>
      </c>
      <c r="AC44" s="20" t="n">
        <v>0</v>
      </c>
      <c r="AD44" s="20" t="n">
        <v>0</v>
      </c>
      <c r="AE44" s="20" t="n">
        <v>0</v>
      </c>
      <c r="AF44" s="20" t="n">
        <v>0</v>
      </c>
      <c r="AG44" s="20" t="n">
        <v>0</v>
      </c>
      <c r="AH44" s="20" t="n">
        <v>0</v>
      </c>
      <c r="AI44" s="20" t="n">
        <v>0</v>
      </c>
      <c r="AJ44" s="20" t="n">
        <v>0</v>
      </c>
      <c r="AK44" s="20" t="n">
        <v>0</v>
      </c>
      <c r="AL44" s="20" t="n">
        <v>0</v>
      </c>
      <c r="AM44" s="20" t="n">
        <v>0</v>
      </c>
      <c r="AN44" s="20" t="n">
        <v>0</v>
      </c>
      <c r="AO44" s="20" t="n">
        <v>0</v>
      </c>
      <c r="AP44" s="20" t="n">
        <v>0</v>
      </c>
      <c r="AQ44" s="20" t="n">
        <v>0</v>
      </c>
      <c r="AR44" s="20" t="n">
        <v>0</v>
      </c>
      <c r="AS44" s="20" t="n">
        <v>0</v>
      </c>
      <c r="AT44" s="20" t="n">
        <v>0</v>
      </c>
      <c r="AU44" s="20" t="n">
        <v>0</v>
      </c>
      <c r="AV44" s="20" t="n">
        <v>0</v>
      </c>
      <c r="AW44" s="20" t="n">
        <v>0</v>
      </c>
      <c r="AX44" s="20" t="n">
        <v>0</v>
      </c>
      <c r="AY44" s="20" t="n">
        <v>0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3" t="n">
        <v>0</v>
      </c>
      <c r="U45" s="83" t="n">
        <v>0</v>
      </c>
      <c r="V45" s="83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1400</v>
      </c>
      <c r="N46" s="19" t="n">
        <v>0</v>
      </c>
      <c r="O46" s="19" t="n">
        <v>1467.18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3" t="n">
        <v>516</v>
      </c>
      <c r="U46" s="83" t="n">
        <v>516</v>
      </c>
      <c r="V46" s="83" t="n">
        <v>516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</row>
    <row r="47">
      <c r="B47" s="32" t="inlineStr">
        <is>
          <t>Total Professional Fees</t>
        </is>
      </c>
      <c r="C47" s="34" t="n"/>
      <c r="D47" s="35">
        <f>SUM(D43:D46)</f>
        <v/>
      </c>
      <c r="E47" s="35">
        <f>SUM(E43:E46)</f>
        <v/>
      </c>
      <c r="F47" s="35">
        <f>SUM(F43:F46)</f>
        <v/>
      </c>
      <c r="G47" s="35">
        <f>SUM(G43:G46)</f>
        <v/>
      </c>
      <c r="H47" s="35">
        <f>SUM(H43:H46)</f>
        <v/>
      </c>
      <c r="I47" s="35">
        <f>SUM(I43:I46)</f>
        <v/>
      </c>
      <c r="J47" s="35">
        <f>SUM(J43:J46)</f>
        <v/>
      </c>
      <c r="K47" s="35">
        <f>SUM(K43:K46)</f>
        <v/>
      </c>
      <c r="L47" s="35">
        <f>SUM(L43:L46)</f>
        <v/>
      </c>
      <c r="M47" s="35">
        <f>SUM(M43:M46)</f>
        <v/>
      </c>
      <c r="N47" s="35">
        <f>SUM(N43:N46)</f>
        <v/>
      </c>
      <c r="O47" s="35">
        <f>SUM(O43:O46)</f>
        <v/>
      </c>
      <c r="P47" s="35">
        <f>P43+P44+P45+P46</f>
        <v/>
      </c>
      <c r="Q47" s="35">
        <f>Q43+Q44+Q45+Q46</f>
        <v/>
      </c>
      <c r="R47" s="35">
        <f>R43+R44+R45+R46</f>
        <v/>
      </c>
      <c r="S47" s="35">
        <f>S43+S44+S45+S46</f>
        <v/>
      </c>
      <c r="T47" s="84">
        <f>T43+T44+T45+T46</f>
        <v/>
      </c>
      <c r="U47" s="84">
        <f>U43+U44+U45+U46</f>
        <v/>
      </c>
      <c r="V47" s="84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>
        <v>0</v>
      </c>
      <c r="E48" s="19" t="n">
        <v>0</v>
      </c>
      <c r="F48" s="19" t="n">
        <v>0</v>
      </c>
      <c r="G48" s="19" t="n">
        <v>0</v>
      </c>
      <c r="H48" s="19" t="n">
        <v>0</v>
      </c>
      <c r="I48" s="19" t="n">
        <v>0</v>
      </c>
      <c r="J48" s="19" t="n">
        <v>0</v>
      </c>
      <c r="K48" s="19" t="n">
        <v>0</v>
      </c>
      <c r="L48" s="19" t="n">
        <v>0</v>
      </c>
      <c r="M48" s="19" t="n">
        <v>4438.98</v>
      </c>
      <c r="N48" s="19" t="n">
        <v>10459.52</v>
      </c>
      <c r="O48" s="19" t="n">
        <v>736</v>
      </c>
      <c r="P48" s="19" t="n">
        <v>2017.14</v>
      </c>
      <c r="Q48" s="19" t="n">
        <v>1196.68</v>
      </c>
      <c r="R48" s="19" t="n">
        <v>1471.1</v>
      </c>
      <c r="S48" s="19" t="n">
        <v>246</v>
      </c>
      <c r="T48" s="83" t="n">
        <v>142</v>
      </c>
      <c r="U48" s="83" t="n">
        <v>243</v>
      </c>
      <c r="V48" s="83" t="n">
        <v>0</v>
      </c>
      <c r="W48" s="20" t="n">
        <v>341.01</v>
      </c>
      <c r="X48" s="20" t="n">
        <v>752.95</v>
      </c>
      <c r="Y48" s="20" t="n">
        <v>341.01</v>
      </c>
      <c r="Z48" s="20" t="n">
        <v>752.95</v>
      </c>
      <c r="AA48" s="20" t="n">
        <v>341.01</v>
      </c>
      <c r="AB48" s="20" t="n">
        <v>752.95</v>
      </c>
      <c r="AC48" s="20" t="n">
        <v>341.01</v>
      </c>
      <c r="AD48" s="20" t="n">
        <v>752.95</v>
      </c>
      <c r="AE48" s="20" t="n">
        <v>341.01</v>
      </c>
      <c r="AF48" s="20" t="n">
        <v>752.95</v>
      </c>
      <c r="AG48" s="20" t="n">
        <v>341.01</v>
      </c>
      <c r="AH48" s="20" t="n">
        <v>752.95</v>
      </c>
      <c r="AI48" s="20" t="n">
        <v>341.01</v>
      </c>
      <c r="AJ48" s="20" t="n">
        <v>752.95</v>
      </c>
      <c r="AK48" s="20" t="n">
        <v>341.01</v>
      </c>
      <c r="AL48" s="20" t="n">
        <v>752.95</v>
      </c>
      <c r="AM48" s="20" t="n">
        <v>341.01</v>
      </c>
      <c r="AN48" s="20" t="n">
        <v>752.95</v>
      </c>
      <c r="AO48" s="20" t="n">
        <v>341.01</v>
      </c>
      <c r="AP48" s="20" t="n">
        <v>752.95</v>
      </c>
      <c r="AQ48" s="20" t="n">
        <v>341.01</v>
      </c>
      <c r="AR48" s="20" t="n">
        <v>752.95</v>
      </c>
      <c r="AS48" s="20" t="n">
        <v>341.01</v>
      </c>
      <c r="AT48" s="20" t="n">
        <v>752.95</v>
      </c>
      <c r="AU48" s="20" t="n">
        <v>341.01</v>
      </c>
      <c r="AV48" s="20" t="n">
        <v>752.95</v>
      </c>
      <c r="AW48" s="20" t="n">
        <v>341.01</v>
      </c>
      <c r="AX48" s="20" t="n">
        <v>752.95</v>
      </c>
      <c r="AY48" s="20" t="n">
        <v>341.01</v>
      </c>
    </row>
    <row r="49">
      <c r="B49" s="33" t="inlineStr">
        <is>
          <t>606000 Meals (incl Entertainment)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0</v>
      </c>
      <c r="J49" s="19" t="n">
        <v>0</v>
      </c>
      <c r="K49" s="19" t="n">
        <v>0</v>
      </c>
      <c r="L49" s="19" t="n">
        <v>0</v>
      </c>
      <c r="M49" s="19" t="n">
        <v>0</v>
      </c>
      <c r="N49" s="19" t="n">
        <v>1888.4</v>
      </c>
      <c r="O49" s="19" t="n">
        <v>78.31999999999999</v>
      </c>
      <c r="P49" s="19" t="n">
        <v>413.91</v>
      </c>
      <c r="Q49" s="19" t="n">
        <v>274.07</v>
      </c>
      <c r="R49" s="19" t="n">
        <v>241.42</v>
      </c>
      <c r="S49" s="19" t="n">
        <v>72.06999999999999</v>
      </c>
      <c r="T49" s="83" t="n">
        <v>67.12</v>
      </c>
      <c r="U49" s="83" t="n">
        <v>0</v>
      </c>
      <c r="V49" s="83" t="n">
        <v>48.13</v>
      </c>
      <c r="W49" s="20" t="n">
        <v>72.90000000000001</v>
      </c>
      <c r="X49" s="20" t="n">
        <v>160.96</v>
      </c>
      <c r="Y49" s="20" t="n">
        <v>72.90000000000001</v>
      </c>
      <c r="Z49" s="20" t="n">
        <v>160.96</v>
      </c>
      <c r="AA49" s="20" t="n">
        <v>72.90000000000001</v>
      </c>
      <c r="AB49" s="20" t="n">
        <v>160.96</v>
      </c>
      <c r="AC49" s="20" t="n">
        <v>72.90000000000001</v>
      </c>
      <c r="AD49" s="20" t="n">
        <v>160.96</v>
      </c>
      <c r="AE49" s="20" t="n">
        <v>72.90000000000001</v>
      </c>
      <c r="AF49" s="20" t="n">
        <v>160.96</v>
      </c>
      <c r="AG49" s="20" t="n">
        <v>72.90000000000001</v>
      </c>
      <c r="AH49" s="20" t="n">
        <v>160.96</v>
      </c>
      <c r="AI49" s="20" t="n">
        <v>72.90000000000001</v>
      </c>
      <c r="AJ49" s="20" t="n">
        <v>160.96</v>
      </c>
      <c r="AK49" s="20" t="n">
        <v>72.90000000000001</v>
      </c>
      <c r="AL49" s="20" t="n">
        <v>160.96</v>
      </c>
      <c r="AM49" s="20" t="n">
        <v>72.90000000000001</v>
      </c>
      <c r="AN49" s="20" t="n">
        <v>160.96</v>
      </c>
      <c r="AO49" s="20" t="n">
        <v>72.90000000000001</v>
      </c>
      <c r="AP49" s="20" t="n">
        <v>160.96</v>
      </c>
      <c r="AQ49" s="20" t="n">
        <v>72.90000000000001</v>
      </c>
      <c r="AR49" s="20" t="n">
        <v>160.96</v>
      </c>
      <c r="AS49" s="20" t="n">
        <v>72.90000000000001</v>
      </c>
      <c r="AT49" s="20" t="n">
        <v>160.96</v>
      </c>
      <c r="AU49" s="20" t="n">
        <v>72.90000000000001</v>
      </c>
      <c r="AV49" s="20" t="n">
        <v>160.96</v>
      </c>
      <c r="AW49" s="20" t="n">
        <v>72.90000000000001</v>
      </c>
      <c r="AX49" s="20" t="n">
        <v>160.96</v>
      </c>
      <c r="AY49" s="20" t="n">
        <v>72.90000000000001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1048.75</v>
      </c>
      <c r="O51" s="19" t="n">
        <v>411.3</v>
      </c>
      <c r="P51" s="19" t="n">
        <v>571.5</v>
      </c>
      <c r="Q51" s="19" t="n">
        <v>654.92</v>
      </c>
      <c r="R51" s="19" t="n">
        <v>580.04</v>
      </c>
      <c r="S51" s="19" t="n">
        <v>783.83</v>
      </c>
      <c r="T51" s="83" t="n">
        <v>558.67</v>
      </c>
      <c r="U51" s="83" t="n">
        <v>546.88</v>
      </c>
      <c r="V51" s="83" t="n">
        <v>660.6900000000001</v>
      </c>
      <c r="W51" s="20" t="n">
        <v>599.25</v>
      </c>
      <c r="X51" s="20" t="n">
        <v>599.25</v>
      </c>
      <c r="Y51" s="20" t="n">
        <v>599.25</v>
      </c>
      <c r="Z51" s="20" t="n">
        <v>599.25</v>
      </c>
      <c r="AA51" s="20" t="n">
        <v>599.25</v>
      </c>
      <c r="AB51" s="20" t="n">
        <v>599.25</v>
      </c>
      <c r="AC51" s="20" t="n">
        <v>599.25</v>
      </c>
      <c r="AD51" s="20" t="n">
        <v>599.25</v>
      </c>
      <c r="AE51" s="20" t="n">
        <v>599.25</v>
      </c>
      <c r="AF51" s="20" t="n">
        <v>599.25</v>
      </c>
      <c r="AG51" s="20" t="n">
        <v>599.25</v>
      </c>
      <c r="AH51" s="20" t="n">
        <v>599.25</v>
      </c>
      <c r="AI51" s="20" t="n">
        <v>599.25</v>
      </c>
      <c r="AJ51" s="20" t="n">
        <v>599.25</v>
      </c>
      <c r="AK51" s="20" t="n">
        <v>599.25</v>
      </c>
      <c r="AL51" s="20" t="n">
        <v>599.25</v>
      </c>
      <c r="AM51" s="20" t="n">
        <v>599.25</v>
      </c>
      <c r="AN51" s="20" t="n">
        <v>599.25</v>
      </c>
      <c r="AO51" s="20" t="n">
        <v>599.25</v>
      </c>
      <c r="AP51" s="20" t="n">
        <v>599.25</v>
      </c>
      <c r="AQ51" s="20" t="n">
        <v>599.25</v>
      </c>
      <c r="AR51" s="20" t="n">
        <v>599.25</v>
      </c>
      <c r="AS51" s="20" t="n">
        <v>599.25</v>
      </c>
      <c r="AT51" s="20" t="n">
        <v>599.25</v>
      </c>
      <c r="AU51" s="20" t="n">
        <v>599.25</v>
      </c>
      <c r="AV51" s="20" t="n">
        <v>599.25</v>
      </c>
      <c r="AW51" s="20" t="n">
        <v>599.25</v>
      </c>
      <c r="AX51" s="20" t="n">
        <v>599.25</v>
      </c>
      <c r="AY51" s="20" t="n">
        <v>599.25</v>
      </c>
    </row>
    <row r="52">
      <c r="B52" s="33" t="inlineStr">
        <is>
          <t xml:space="preserve">  616002 Internet &amp; TV</t>
        </is>
      </c>
      <c r="D52" s="19" t="n">
        <v>0</v>
      </c>
      <c r="E52" s="19" t="n">
        <v>0</v>
      </c>
      <c r="F52" s="19" t="n">
        <v>0</v>
      </c>
      <c r="G52" s="19" t="n">
        <v>0</v>
      </c>
      <c r="H52" s="19" t="n">
        <v>0</v>
      </c>
      <c r="I52" s="19" t="n">
        <v>0</v>
      </c>
      <c r="J52" s="19" t="n">
        <v>0</v>
      </c>
      <c r="K52" s="19" t="n">
        <v>0</v>
      </c>
      <c r="L52" s="19" t="n">
        <v>0</v>
      </c>
      <c r="M52" s="19" t="n">
        <v>0</v>
      </c>
      <c r="N52" s="19" t="n">
        <v>0</v>
      </c>
      <c r="O52" s="19" t="n">
        <v>0</v>
      </c>
      <c r="P52" s="19" t="n">
        <v>0</v>
      </c>
      <c r="Q52" s="19" t="n">
        <v>0</v>
      </c>
      <c r="R52" s="19" t="n">
        <v>0</v>
      </c>
      <c r="S52" s="19" t="n">
        <v>0</v>
      </c>
      <c r="T52" s="83" t="n">
        <v>0</v>
      </c>
      <c r="U52" s="83" t="n">
        <v>0</v>
      </c>
      <c r="V52" s="83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425.42</v>
      </c>
      <c r="P53" s="19" t="n">
        <v>220.03</v>
      </c>
      <c r="Q53" s="19" t="n">
        <v>203.7</v>
      </c>
      <c r="R53" s="19" t="n">
        <v>203.13</v>
      </c>
      <c r="S53" s="19" t="n">
        <v>204.3</v>
      </c>
      <c r="T53" s="83" t="n">
        <v>197.8</v>
      </c>
      <c r="U53" s="83" t="n">
        <v>197.82</v>
      </c>
      <c r="V53" s="83" t="n">
        <v>197.82</v>
      </c>
      <c r="W53" s="20" t="n">
        <v>192.28</v>
      </c>
      <c r="X53" s="20" t="n">
        <v>192.28</v>
      </c>
      <c r="Y53" s="20" t="n">
        <v>192.28</v>
      </c>
      <c r="Z53" s="20" t="n">
        <v>192.28</v>
      </c>
      <c r="AA53" s="20" t="n">
        <v>192.28</v>
      </c>
      <c r="AB53" s="20" t="n">
        <v>192.28</v>
      </c>
      <c r="AC53" s="20" t="n">
        <v>192.28</v>
      </c>
      <c r="AD53" s="20" t="n">
        <v>192.28</v>
      </c>
      <c r="AE53" s="20" t="n">
        <v>192.28</v>
      </c>
      <c r="AF53" s="20" t="n">
        <v>192.28</v>
      </c>
      <c r="AG53" s="20" t="n">
        <v>192.28</v>
      </c>
      <c r="AH53" s="20" t="n">
        <v>192.28</v>
      </c>
      <c r="AI53" s="20" t="n">
        <v>192.28</v>
      </c>
      <c r="AJ53" s="20" t="n">
        <v>192.28</v>
      </c>
      <c r="AK53" s="20" t="n">
        <v>192.28</v>
      </c>
      <c r="AL53" s="20" t="n">
        <v>192.28</v>
      </c>
      <c r="AM53" s="20" t="n">
        <v>192.28</v>
      </c>
      <c r="AN53" s="20" t="n">
        <v>192.28</v>
      </c>
      <c r="AO53" s="20" t="n">
        <v>192.28</v>
      </c>
      <c r="AP53" s="20" t="n">
        <v>192.28</v>
      </c>
      <c r="AQ53" s="20" t="n">
        <v>192.28</v>
      </c>
      <c r="AR53" s="20" t="n">
        <v>192.28</v>
      </c>
      <c r="AS53" s="20" t="n">
        <v>192.28</v>
      </c>
      <c r="AT53" s="20" t="n">
        <v>192.28</v>
      </c>
      <c r="AU53" s="20" t="n">
        <v>192.28</v>
      </c>
      <c r="AV53" s="20" t="n">
        <v>192.28</v>
      </c>
      <c r="AW53" s="20" t="n">
        <v>192.28</v>
      </c>
      <c r="AX53" s="20" t="n">
        <v>192.28</v>
      </c>
      <c r="AY53" s="20" t="n">
        <v>192.28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N54" s="19" t="n">
        <v>0</v>
      </c>
      <c r="O54" s="19" t="n">
        <v>0</v>
      </c>
      <c r="P54" s="19" t="n">
        <v>0</v>
      </c>
      <c r="Q54" s="19" t="n">
        <v>0</v>
      </c>
      <c r="R54" s="19" t="n">
        <v>0</v>
      </c>
      <c r="S54" s="19" t="n">
        <v>0</v>
      </c>
      <c r="T54" s="83" t="n">
        <v>0</v>
      </c>
      <c r="U54" s="83" t="n">
        <v>0</v>
      </c>
      <c r="V54" s="83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3" t="n">
        <v>0</v>
      </c>
      <c r="U55" s="83" t="n">
        <v>0</v>
      </c>
      <c r="V55" s="83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>
        <f>SUM(D51:D55)</f>
        <v/>
      </c>
      <c r="E56" s="35">
        <f>SUM(E51:E55)</f>
        <v/>
      </c>
      <c r="F56" s="35">
        <f>SUM(F51:F55)</f>
        <v/>
      </c>
      <c r="G56" s="35">
        <f>SUM(G51:G55)</f>
        <v/>
      </c>
      <c r="H56" s="35">
        <f>SUM(H51:H55)</f>
        <v/>
      </c>
      <c r="I56" s="35">
        <f>SUM(I51:I55)</f>
        <v/>
      </c>
      <c r="J56" s="35">
        <f>SUM(J51:J55)</f>
        <v/>
      </c>
      <c r="K56" s="35">
        <f>SUM(K51:K55)</f>
        <v/>
      </c>
      <c r="L56" s="35">
        <f>SUM(L51:L55)</f>
        <v/>
      </c>
      <c r="M56" s="35">
        <f>SUM(M51:M55)</f>
        <v/>
      </c>
      <c r="N56" s="35">
        <f>SUM(N51:N55)</f>
        <v/>
      </c>
      <c r="O56" s="35">
        <f>SUM(O51:O55)</f>
        <v/>
      </c>
      <c r="P56" s="35">
        <f>P51+P52+P53+P54+P55</f>
        <v/>
      </c>
      <c r="Q56" s="35">
        <f>Q51+Q52+Q53+Q54+Q55</f>
        <v/>
      </c>
      <c r="R56" s="35">
        <f>R51+R52+R53+R54+R55</f>
        <v/>
      </c>
      <c r="S56" s="35">
        <f>S51+S52+S53+S54+S55</f>
        <v/>
      </c>
      <c r="T56" s="84">
        <f>T51+T52+T53+T54+T55</f>
        <v/>
      </c>
      <c r="U56" s="84">
        <f>U51+U52+U53+U54+U55</f>
        <v/>
      </c>
      <c r="V56" s="84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9580.110000000001</v>
      </c>
      <c r="L57" s="19" t="n">
        <v>9580.110000000001</v>
      </c>
      <c r="M57" s="19" t="n">
        <v>9580.110000000001</v>
      </c>
      <c r="N57" s="19" t="n">
        <v>9580.110000000001</v>
      </c>
      <c r="O57" s="19" t="n">
        <v>9580.110000000001</v>
      </c>
      <c r="P57" s="19" t="n">
        <v>9580.110000000001</v>
      </c>
      <c r="Q57" s="19" t="n">
        <v>9580.110000000001</v>
      </c>
      <c r="R57" s="19" t="n">
        <v>9580.110000000001</v>
      </c>
      <c r="S57" s="19" t="n">
        <v>9580.110000000001</v>
      </c>
      <c r="T57" s="83" t="n">
        <v>9580.110000000001</v>
      </c>
      <c r="U57" s="83" t="n">
        <v>9580.110000000001</v>
      </c>
      <c r="V57" s="83" t="n">
        <v>9580.110000000001</v>
      </c>
      <c r="W57" s="20" t="n">
        <v>9419.309999999999</v>
      </c>
      <c r="X57" s="20" t="n">
        <v>9419.309999999999</v>
      </c>
      <c r="Y57" s="20" t="n">
        <v>9419.309999999999</v>
      </c>
      <c r="Z57" s="20" t="n">
        <v>9419.309999999999</v>
      </c>
      <c r="AA57" s="20" t="n">
        <v>9419.309999999999</v>
      </c>
      <c r="AB57" s="20" t="n">
        <v>9419.309999999999</v>
      </c>
      <c r="AC57" s="20" t="n">
        <v>9419.309999999999</v>
      </c>
      <c r="AD57" s="20" t="n">
        <v>9419.309999999999</v>
      </c>
      <c r="AE57" s="20" t="n">
        <v>9419.309999999999</v>
      </c>
      <c r="AF57" s="20" t="n">
        <v>9419.309999999999</v>
      </c>
      <c r="AG57" s="20" t="n">
        <v>9419.309999999999</v>
      </c>
      <c r="AH57" s="20" t="n">
        <v>9419.309999999999</v>
      </c>
      <c r="AI57" s="20" t="n">
        <v>9419.309999999999</v>
      </c>
      <c r="AJ57" s="20" t="n">
        <v>9419.309999999999</v>
      </c>
      <c r="AK57" s="20" t="n">
        <v>9419.309999999999</v>
      </c>
      <c r="AL57" s="20" t="n">
        <v>9419.309999999999</v>
      </c>
      <c r="AM57" s="20" t="n">
        <v>9419.309999999999</v>
      </c>
      <c r="AN57" s="20" t="n">
        <v>9419.309999999999</v>
      </c>
      <c r="AO57" s="20" t="n">
        <v>9419.309999999999</v>
      </c>
      <c r="AP57" s="20" t="n">
        <v>9419.309999999999</v>
      </c>
      <c r="AQ57" s="20" t="n">
        <v>9419.309999999999</v>
      </c>
      <c r="AR57" s="20" t="n">
        <v>9419.309999999999</v>
      </c>
      <c r="AS57" s="20" t="n">
        <v>9419.309999999999</v>
      </c>
      <c r="AT57" s="20" t="n">
        <v>9419.309999999999</v>
      </c>
      <c r="AU57" s="20" t="n">
        <v>9419.309999999999</v>
      </c>
      <c r="AV57" s="20" t="n">
        <v>9419.309999999999</v>
      </c>
      <c r="AW57" s="20" t="n">
        <v>9419.309999999999</v>
      </c>
      <c r="AX57" s="20" t="n">
        <v>9419.309999999999</v>
      </c>
      <c r="AY57" s="20" t="n">
        <v>9419.309999999999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19" t="n">
        <v>0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83" t="n">
        <v>0</v>
      </c>
      <c r="U58" s="83" t="n">
        <v>0</v>
      </c>
      <c r="V58" s="83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276.86</v>
      </c>
      <c r="L59" s="19" t="n">
        <v>0</v>
      </c>
      <c r="M59" s="19" t="n">
        <v>129.5</v>
      </c>
      <c r="N59" s="19" t="n">
        <v>1357.96</v>
      </c>
      <c r="O59" s="19" t="n">
        <v>26.95</v>
      </c>
      <c r="P59" s="19" t="n">
        <v>0</v>
      </c>
      <c r="Q59" s="19" t="n">
        <v>199.91</v>
      </c>
      <c r="R59" s="19" t="n">
        <v>94.98999999999999</v>
      </c>
      <c r="S59" s="19" t="n">
        <v>228.3</v>
      </c>
      <c r="T59" s="83" t="n">
        <v>230.86</v>
      </c>
      <c r="U59" s="83" t="n">
        <v>98.25</v>
      </c>
      <c r="V59" s="83" t="n">
        <v>58.75</v>
      </c>
      <c r="W59" s="20" t="n">
        <v>128.6</v>
      </c>
      <c r="X59" s="20" t="n">
        <v>128.6</v>
      </c>
      <c r="Y59" s="20" t="n">
        <v>128.6</v>
      </c>
      <c r="Z59" s="20" t="n">
        <v>128.6</v>
      </c>
      <c r="AA59" s="20" t="n">
        <v>128.6</v>
      </c>
      <c r="AB59" s="20" t="n">
        <v>128.6</v>
      </c>
      <c r="AC59" s="20" t="n">
        <v>128.6</v>
      </c>
      <c r="AD59" s="20" t="n">
        <v>128.6</v>
      </c>
      <c r="AE59" s="20" t="n">
        <v>128.6</v>
      </c>
      <c r="AF59" s="20" t="n">
        <v>128.6</v>
      </c>
      <c r="AG59" s="20" t="n">
        <v>128.6</v>
      </c>
      <c r="AH59" s="20" t="n">
        <v>128.6</v>
      </c>
      <c r="AI59" s="20" t="n">
        <v>128.6</v>
      </c>
      <c r="AJ59" s="20" t="n">
        <v>128.6</v>
      </c>
      <c r="AK59" s="20" t="n">
        <v>128.6</v>
      </c>
      <c r="AL59" s="20" t="n">
        <v>128.6</v>
      </c>
      <c r="AM59" s="20" t="n">
        <v>128.6</v>
      </c>
      <c r="AN59" s="20" t="n">
        <v>128.6</v>
      </c>
      <c r="AO59" s="20" t="n">
        <v>128.6</v>
      </c>
      <c r="AP59" s="20" t="n">
        <v>128.6</v>
      </c>
      <c r="AQ59" s="20" t="n">
        <v>128.6</v>
      </c>
      <c r="AR59" s="20" t="n">
        <v>128.6</v>
      </c>
      <c r="AS59" s="20" t="n">
        <v>128.6</v>
      </c>
      <c r="AT59" s="20" t="n">
        <v>128.6</v>
      </c>
      <c r="AU59" s="20" t="n">
        <v>128.6</v>
      </c>
      <c r="AV59" s="20" t="n">
        <v>128.6</v>
      </c>
      <c r="AW59" s="20" t="n">
        <v>128.6</v>
      </c>
      <c r="AX59" s="20" t="n">
        <v>128.6</v>
      </c>
      <c r="AY59" s="20" t="n">
        <v>128.6</v>
      </c>
    </row>
    <row r="60">
      <c r="B60" s="33" t="inlineStr">
        <is>
          <t>705000 Property Maintenance (incl Repairs &amp; Parking)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19" t="n">
        <v>0</v>
      </c>
      <c r="I60" s="19" t="n">
        <v>0</v>
      </c>
      <c r="J60" s="19" t="n">
        <v>0</v>
      </c>
      <c r="K60" s="19" t="n">
        <v>0</v>
      </c>
      <c r="L60" s="19" t="n">
        <v>580</v>
      </c>
      <c r="M60" s="19" t="n">
        <v>580</v>
      </c>
      <c r="N60" s="19" t="n">
        <v>10206.08</v>
      </c>
      <c r="O60" s="19" t="n">
        <v>628.71</v>
      </c>
      <c r="P60" s="19" t="n">
        <v>779.6</v>
      </c>
      <c r="Q60" s="19" t="n">
        <v>2030.38</v>
      </c>
      <c r="R60" s="19" t="n">
        <v>841</v>
      </c>
      <c r="S60" s="19" t="n">
        <v>1171</v>
      </c>
      <c r="T60" s="83" t="n">
        <v>1171</v>
      </c>
      <c r="U60" s="83" t="n">
        <v>1006</v>
      </c>
      <c r="V60" s="83" t="n">
        <v>841</v>
      </c>
      <c r="W60" s="20" t="n">
        <v>811.79</v>
      </c>
      <c r="X60" s="20" t="n">
        <v>811.79</v>
      </c>
      <c r="Y60" s="20" t="n">
        <v>811.79</v>
      </c>
      <c r="Z60" s="20" t="n">
        <v>811.79</v>
      </c>
      <c r="AA60" s="20" t="n">
        <v>811.79</v>
      </c>
      <c r="AB60" s="20" t="n">
        <v>811.79</v>
      </c>
      <c r="AC60" s="20" t="n">
        <v>811.79</v>
      </c>
      <c r="AD60" s="20" t="n">
        <v>811.79</v>
      </c>
      <c r="AE60" s="20" t="n">
        <v>811.79</v>
      </c>
      <c r="AF60" s="20" t="n">
        <v>811.79</v>
      </c>
      <c r="AG60" s="20" t="n">
        <v>811.79</v>
      </c>
      <c r="AH60" s="20" t="n">
        <v>811.79</v>
      </c>
      <c r="AI60" s="20" t="n">
        <v>811.79</v>
      </c>
      <c r="AJ60" s="20" t="n">
        <v>811.79</v>
      </c>
      <c r="AK60" s="20" t="n">
        <v>811.79</v>
      </c>
      <c r="AL60" s="20" t="n">
        <v>811.79</v>
      </c>
      <c r="AM60" s="20" t="n">
        <v>811.79</v>
      </c>
      <c r="AN60" s="20" t="n">
        <v>811.79</v>
      </c>
      <c r="AO60" s="20" t="n">
        <v>811.79</v>
      </c>
      <c r="AP60" s="20" t="n">
        <v>811.79</v>
      </c>
      <c r="AQ60" s="20" t="n">
        <v>811.79</v>
      </c>
      <c r="AR60" s="20" t="n">
        <v>811.79</v>
      </c>
      <c r="AS60" s="20" t="n">
        <v>811.79</v>
      </c>
      <c r="AT60" s="20" t="n">
        <v>811.79</v>
      </c>
      <c r="AU60" s="20" t="n">
        <v>811.79</v>
      </c>
      <c r="AV60" s="20" t="n">
        <v>811.79</v>
      </c>
      <c r="AW60" s="20" t="n">
        <v>811.79</v>
      </c>
      <c r="AX60" s="20" t="n">
        <v>811.79</v>
      </c>
      <c r="AY60" s="20" t="n">
        <v>811.79</v>
      </c>
    </row>
    <row r="61">
      <c r="B61" s="32" t="inlineStr">
        <is>
          <t>Total Property Costs</t>
        </is>
      </c>
      <c r="C61" s="34" t="n"/>
      <c r="D61" s="35">
        <f>SUM(D57:D60)</f>
        <v/>
      </c>
      <c r="E61" s="35">
        <f>SUM(E57:E60)</f>
        <v/>
      </c>
      <c r="F61" s="35">
        <f>SUM(F57:F60)</f>
        <v/>
      </c>
      <c r="G61" s="35">
        <f>SUM(G57:G60)</f>
        <v/>
      </c>
      <c r="H61" s="35">
        <f>SUM(H57:H60)</f>
        <v/>
      </c>
      <c r="I61" s="35">
        <f>SUM(I57:I60)</f>
        <v/>
      </c>
      <c r="J61" s="35">
        <f>SUM(J57:J60)</f>
        <v/>
      </c>
      <c r="K61" s="35">
        <f>SUM(K57:K60)</f>
        <v/>
      </c>
      <c r="L61" s="35">
        <f>SUM(L57:L60)</f>
        <v/>
      </c>
      <c r="M61" s="35">
        <f>SUM(M57:M60)</f>
        <v/>
      </c>
      <c r="N61" s="35">
        <f>SUM(N57:N60)</f>
        <v/>
      </c>
      <c r="O61" s="35">
        <f>SUM(O57:O60)</f>
        <v/>
      </c>
      <c r="P61" s="35">
        <f>P57+P58+P59+P60</f>
        <v/>
      </c>
      <c r="Q61" s="35">
        <f>Q57+Q58+Q59+Q60</f>
        <v/>
      </c>
      <c r="R61" s="35">
        <f>R57+R58+R59+R60</f>
        <v/>
      </c>
      <c r="S61" s="35">
        <f>S57+S58+S59+S60</f>
        <v/>
      </c>
      <c r="T61" s="84">
        <f>T57+T58+T59+T60</f>
        <v/>
      </c>
      <c r="U61" s="84">
        <f>U57+U58+U59+U60</f>
        <v/>
      </c>
      <c r="V61" s="84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>
        <f>D33+D38+D42+D47+D50+D56+D61</f>
        <v/>
      </c>
      <c r="E62" s="35">
        <f>E33+E38+E42+E47+E50+E56+E61</f>
        <v/>
      </c>
      <c r="F62" s="35">
        <f>F33+F38+F42+F47+F50+F56+F61</f>
        <v/>
      </c>
      <c r="G62" s="35">
        <f>G33+G38+G42+G47+G50+G56+G61</f>
        <v/>
      </c>
      <c r="H62" s="35">
        <f>H33+H38+H42+H47+H50+H56+H61</f>
        <v/>
      </c>
      <c r="I62" s="35">
        <f>I33+I38+I42+I47+I50+I56+I61</f>
        <v/>
      </c>
      <c r="J62" s="35">
        <f>J33+J38+J42+J47+J50+J56+J61</f>
        <v/>
      </c>
      <c r="K62" s="35">
        <f>K33+K38+K42+K47+K50+K56+K61</f>
        <v/>
      </c>
      <c r="L62" s="35">
        <f>L33+L38+L42+L47+L50+L56+L61</f>
        <v/>
      </c>
      <c r="M62" s="35">
        <f>M33+M38+M42+M47+M50+M56+M61</f>
        <v/>
      </c>
      <c r="N62" s="35">
        <f>N33+N38+N42+N47+N50+N56+N61</f>
        <v/>
      </c>
      <c r="O62" s="35">
        <f>O33+O38+O42+O47+O50+O56+O61</f>
        <v/>
      </c>
      <c r="P62" s="35">
        <f>P33+P38+P42+P47+P50+P56+P61</f>
        <v/>
      </c>
      <c r="Q62" s="35">
        <f>Q33+Q38+Q42+Q47+Q50+Q56+Q61</f>
        <v/>
      </c>
      <c r="R62" s="35">
        <f>R33+R38+R42+R47+R50+R56+R61</f>
        <v/>
      </c>
      <c r="S62" s="35">
        <f>S33+S38+S42+S47+S50+S56+S61</f>
        <v/>
      </c>
      <c r="T62" s="84">
        <f>T33+T38+T42+T47+T50+T56+T61</f>
        <v/>
      </c>
      <c r="U62" s="84">
        <f>U33+U38+U42+U47+U50+U56+U61</f>
        <v/>
      </c>
      <c r="V62" s="84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>
        <f>D26-D62</f>
        <v/>
      </c>
      <c r="E63" s="35">
        <f>E26-E62</f>
        <v/>
      </c>
      <c r="F63" s="35">
        <f>F26-F62</f>
        <v/>
      </c>
      <c r="G63" s="35">
        <f>G26-G62</f>
        <v/>
      </c>
      <c r="H63" s="35">
        <f>H26-H62</f>
        <v/>
      </c>
      <c r="I63" s="35">
        <f>I26-I62</f>
        <v/>
      </c>
      <c r="J63" s="35">
        <f>J26-J62</f>
        <v/>
      </c>
      <c r="K63" s="35">
        <f>K26-K62</f>
        <v/>
      </c>
      <c r="L63" s="35">
        <f>L26-L62</f>
        <v/>
      </c>
      <c r="M63" s="35">
        <f>M26-M62</f>
        <v/>
      </c>
      <c r="N63" s="35">
        <f>N26-N62</f>
        <v/>
      </c>
      <c r="O63" s="35">
        <f>O26-O62</f>
        <v/>
      </c>
      <c r="P63" s="35">
        <f>P26-P62</f>
        <v/>
      </c>
      <c r="Q63" s="35">
        <f>Q26-Q62</f>
        <v/>
      </c>
      <c r="R63" s="35">
        <f>R26-R62</f>
        <v/>
      </c>
      <c r="S63" s="35">
        <f>S26-S62</f>
        <v/>
      </c>
      <c r="T63" s="84">
        <f>T26-T62</f>
        <v/>
      </c>
      <c r="U63" s="84">
        <f>U26-U62</f>
        <v/>
      </c>
      <c r="V63" s="84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" customHeight="1" s="28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0</v>
      </c>
      <c r="J65" s="19" t="n">
        <v>0</v>
      </c>
      <c r="K65" s="19" t="n">
        <v>30.06</v>
      </c>
      <c r="L65" s="19" t="n">
        <v>28.29</v>
      </c>
      <c r="M65" s="19" t="n">
        <v>1226.85</v>
      </c>
      <c r="N65" s="19" t="n">
        <v>1989.31</v>
      </c>
      <c r="O65" s="19" t="n">
        <v>3449.56</v>
      </c>
      <c r="P65" s="19" t="n">
        <v>2506.58</v>
      </c>
      <c r="Q65" s="19" t="n">
        <v>2483.89</v>
      </c>
      <c r="R65" s="19" t="n">
        <v>2483.89</v>
      </c>
      <c r="S65" s="19" t="n">
        <v>2483.89</v>
      </c>
      <c r="T65" s="83" t="n">
        <v>2483.89</v>
      </c>
      <c r="U65" s="83" t="n">
        <v>2483.89</v>
      </c>
      <c r="V65" s="83" t="n">
        <v>2483.89</v>
      </c>
      <c r="W65" s="20" t="n">
        <v>2483.89</v>
      </c>
      <c r="X65" s="20" t="n">
        <v>2483.89</v>
      </c>
      <c r="Y65" s="20" t="n">
        <v>2483.89</v>
      </c>
      <c r="Z65" s="20" t="n">
        <v>2483.89</v>
      </c>
      <c r="AA65" s="20" t="n">
        <v>2483.89</v>
      </c>
      <c r="AB65" s="20" t="n">
        <v>2483.89</v>
      </c>
      <c r="AC65" s="20" t="n">
        <v>2483.89</v>
      </c>
      <c r="AD65" s="20" t="n">
        <v>2483.89</v>
      </c>
      <c r="AE65" s="20" t="n">
        <v>2483.89</v>
      </c>
      <c r="AF65" s="20" t="n">
        <v>2483.89</v>
      </c>
      <c r="AG65" s="20" t="n">
        <v>2483.89</v>
      </c>
      <c r="AH65" s="20" t="n">
        <v>2483.89</v>
      </c>
      <c r="AI65" s="20" t="n">
        <v>2483.89</v>
      </c>
      <c r="AJ65" s="20" t="n">
        <v>2483.89</v>
      </c>
      <c r="AK65" s="20" t="n">
        <v>2483.89</v>
      </c>
      <c r="AL65" s="20" t="n">
        <v>2483.89</v>
      </c>
      <c r="AM65" s="20" t="n">
        <v>2483.89</v>
      </c>
      <c r="AN65" s="20" t="n">
        <v>2483.89</v>
      </c>
      <c r="AO65" s="20" t="n">
        <v>2483.89</v>
      </c>
      <c r="AP65" s="20" t="n">
        <v>2483.89</v>
      </c>
      <c r="AQ65" s="20" t="n">
        <v>2483.89</v>
      </c>
      <c r="AR65" s="20" t="n">
        <v>2483.89</v>
      </c>
      <c r="AS65" s="20" t="n">
        <v>2483.89</v>
      </c>
      <c r="AT65" s="20" t="n">
        <v>2483.89</v>
      </c>
      <c r="AU65" s="20" t="n">
        <v>2483.89</v>
      </c>
      <c r="AV65" s="20" t="n">
        <v>2483.89</v>
      </c>
      <c r="AW65" s="20" t="n">
        <v>2483.89</v>
      </c>
      <c r="AX65" s="20" t="n">
        <v>2483.89</v>
      </c>
      <c r="AY65" s="20" t="n">
        <v>2483.89</v>
      </c>
    </row>
    <row r="66">
      <c r="B66" s="33" t="inlineStr">
        <is>
          <t>901000 Interest Expense (incl Other Exp/Inc)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19" t="n">
        <v>0</v>
      </c>
      <c r="I66" s="19" t="n">
        <v>0</v>
      </c>
      <c r="J66" s="19" t="n">
        <v>0</v>
      </c>
      <c r="K66" s="19" t="n">
        <v>0</v>
      </c>
      <c r="L66" s="19" t="n">
        <v>0</v>
      </c>
      <c r="M66" s="19" t="n">
        <v>0</v>
      </c>
      <c r="N66" s="19" t="n">
        <v>0</v>
      </c>
      <c r="O66" s="19" t="n">
        <v>0</v>
      </c>
      <c r="P66" s="19" t="n">
        <v>0</v>
      </c>
      <c r="Q66" s="19" t="n">
        <v>0</v>
      </c>
      <c r="R66" s="19" t="n">
        <v>0</v>
      </c>
      <c r="S66" s="19" t="n">
        <v>0</v>
      </c>
      <c r="T66" s="83" t="n">
        <v>0</v>
      </c>
      <c r="U66" s="83" t="n">
        <v>0</v>
      </c>
      <c r="V66" s="83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0</v>
      </c>
      <c r="F67" s="19" t="n">
        <v>0</v>
      </c>
      <c r="G67" s="19" t="n">
        <v>0</v>
      </c>
      <c r="H67" s="19" t="n">
        <v>0</v>
      </c>
      <c r="I67" s="19" t="n">
        <v>0</v>
      </c>
      <c r="J67" s="19" t="n">
        <v>0</v>
      </c>
      <c r="K67" s="19" t="n">
        <v>0</v>
      </c>
      <c r="L67" s="19" t="n">
        <v>0</v>
      </c>
      <c r="M67" s="19" t="n">
        <v>0</v>
      </c>
      <c r="N67" s="19" t="n">
        <v>0</v>
      </c>
      <c r="O67" s="19" t="n">
        <v>0</v>
      </c>
      <c r="P67" s="19" t="n">
        <v>0</v>
      </c>
      <c r="Q67" s="19" t="n">
        <v>0</v>
      </c>
      <c r="R67" s="19" t="n">
        <v>0</v>
      </c>
      <c r="S67" s="19" t="n">
        <v>0</v>
      </c>
      <c r="T67" s="83" t="n">
        <v>0</v>
      </c>
      <c r="U67" s="83" t="n">
        <v>0</v>
      </c>
      <c r="V67" s="83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AN69*0.01078</f>
        <v/>
      </c>
      <c r="AO67" s="20">
        <f>AO69*0.01078</f>
        <v/>
      </c>
      <c r="AP67" s="20">
        <f>AP69*0.01078</f>
        <v/>
      </c>
      <c r="AQ67" s="20">
        <f>AQ69*0.01078</f>
        <v/>
      </c>
      <c r="AR67" s="20">
        <f>AR69*0.01078</f>
        <v/>
      </c>
      <c r="AS67" s="20">
        <f>AS69*0.01078</f>
        <v/>
      </c>
      <c r="AT67" s="20">
        <f>AT69*0.01078</f>
        <v/>
      </c>
      <c r="AU67" s="20">
        <f>AU69*0.01078</f>
        <v/>
      </c>
      <c r="AV67" s="20">
        <f>AV69*0.01078</f>
        <v/>
      </c>
      <c r="AW67" s="20">
        <f>AW69*0.01078</f>
        <v/>
      </c>
      <c r="AX67" s="20">
        <f>AX69*0.01078</f>
        <v/>
      </c>
      <c r="AY67" s="20">
        <f>AY69*0.01078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3" t="n">
        <v>0</v>
      </c>
      <c r="U68" s="83" t="n">
        <v>0</v>
      </c>
      <c r="V68" s="83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P65+P66+P67+P68</f>
        <v/>
      </c>
      <c r="Q69" s="35">
        <f>Q65+Q66+Q67+Q68</f>
        <v/>
      </c>
      <c r="R69" s="35">
        <f>R65+R66+R67+R68</f>
        <v/>
      </c>
      <c r="S69" s="35">
        <f>S65+S66+S67+S68</f>
        <v/>
      </c>
      <c r="T69" s="84">
        <f>T65+T66+T67+T68</f>
        <v/>
      </c>
      <c r="U69" s="84">
        <f>U65+U66+U67+U68</f>
        <v/>
      </c>
      <c r="V69" s="84">
        <f>V65+V66+V67+V68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>
        <f>D63-D69</f>
        <v/>
      </c>
      <c r="E70" s="35">
        <f>E63-E69</f>
        <v/>
      </c>
      <c r="F70" s="35">
        <f>F63-F69</f>
        <v/>
      </c>
      <c r="G70" s="35">
        <f>G63-G69</f>
        <v/>
      </c>
      <c r="H70" s="35">
        <f>H63-H69</f>
        <v/>
      </c>
      <c r="I70" s="35">
        <f>I63-I69</f>
        <v/>
      </c>
      <c r="J70" s="35">
        <f>J63-J69</f>
        <v/>
      </c>
      <c r="K70" s="35">
        <f>K63-K69</f>
        <v/>
      </c>
      <c r="L70" s="35">
        <f>L63-L69</f>
        <v/>
      </c>
      <c r="M70" s="35">
        <f>M63-M69</f>
        <v/>
      </c>
      <c r="N70" s="35">
        <f>N63-N69</f>
        <v/>
      </c>
      <c r="O70" s="35">
        <f>O63-O69</f>
        <v/>
      </c>
      <c r="P70" s="35">
        <f>P63-P69</f>
        <v/>
      </c>
      <c r="Q70" s="35">
        <f>Q63-Q69</f>
        <v/>
      </c>
      <c r="R70" s="35">
        <f>R63-R69</f>
        <v/>
      </c>
      <c r="S70" s="35">
        <f>S63-S69</f>
        <v/>
      </c>
      <c r="T70" s="84">
        <f>T63-T69</f>
        <v/>
      </c>
      <c r="U70" s="84">
        <f>U63-U69</f>
        <v/>
      </c>
      <c r="V70" s="84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ED7D31"/>
    <outlinePr summaryBelow="1" summaryRight="1"/>
    <pageSetUpPr/>
  </sheetPr>
  <dimension ref="B2:BB71"/>
  <sheetViews>
    <sheetView showGridLines="0" workbookViewId="0">
      <pane xSplit="3" ySplit="5" topLeftCell="AJ6" activePane="bottomRight" state="frozen"/>
      <selection activeCell="W21" sqref="W21"/>
      <selection pane="topRight" activeCell="W21" sqref="W21"/>
      <selection pane="bottomLeft" activeCell="W21" sqref="W21"/>
      <selection pane="bottomRight" activeCell="AY13" sqref="AY13"/>
    </sheetView>
  </sheetViews>
  <sheetFormatPr baseColWidth="10" defaultColWidth="8.83203125" defaultRowHeight="15"/>
  <cols>
    <col hidden="1" width="2" customWidth="1" style="282" min="1" max="1"/>
    <col width="32" customWidth="1" style="282" min="2" max="2"/>
    <col width="10" customWidth="1" style="282" min="3" max="3"/>
    <col width="12" customWidth="1" style="282" min="4" max="39"/>
    <col width="13.33203125" customWidth="1" style="282" min="53" max="53"/>
  </cols>
  <sheetData>
    <row r="2" ht="21" customHeight="1" s="282">
      <c r="B2" s="9" t="inlineStr">
        <is>
          <t>Santa Monica (SM) — Profit &amp; Loss</t>
        </is>
      </c>
      <c r="T2" s="24" t="n"/>
      <c r="U2" s="24" t="n"/>
    </row>
    <row r="4" ht="16" customHeight="1" s="28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01" t="inlineStr">
        <is>
          <t>Revenue Segments as % of Total (LTM)</t>
        </is>
      </c>
    </row>
    <row r="6" ht="16" customHeight="1" s="28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BA6" s="272" t="inlineStr">
        <is>
          <t>LTM May 2026</t>
        </is>
      </c>
    </row>
    <row r="7">
      <c r="B7" s="33" t="inlineStr">
        <is>
          <t xml:space="preserve">  401001 Machine</t>
        </is>
      </c>
      <c r="D7" s="19" t="n">
        <v>63861.73</v>
      </c>
      <c r="E7" s="19" t="n">
        <v>88519.98</v>
      </c>
      <c r="F7" s="19" t="n">
        <v>116011.96</v>
      </c>
      <c r="G7" s="19" t="n">
        <v>113833.57</v>
      </c>
      <c r="H7" s="19" t="n">
        <v>124274.42</v>
      </c>
      <c r="I7" s="19" t="n">
        <v>112730.42</v>
      </c>
      <c r="J7" s="19" t="n">
        <v>114836.51</v>
      </c>
      <c r="K7" s="19" t="n">
        <v>111118.52</v>
      </c>
      <c r="L7" s="19" t="n">
        <v>103318.27</v>
      </c>
      <c r="M7" s="19" t="n">
        <v>102927.2</v>
      </c>
      <c r="N7" s="19" t="n">
        <v>97463.25</v>
      </c>
      <c r="O7" s="19" t="n">
        <v>95619.09</v>
      </c>
      <c r="P7" s="19" t="n">
        <v>110763.53</v>
      </c>
      <c r="Q7" s="19" t="n">
        <v>101389.12</v>
      </c>
      <c r="R7" s="19" t="n">
        <v>102967.05</v>
      </c>
      <c r="S7" s="19" t="n">
        <v>94757.23</v>
      </c>
      <c r="T7" s="83" t="n">
        <v>97024.39999999999</v>
      </c>
      <c r="U7" s="83" t="n">
        <v>89728.52</v>
      </c>
      <c r="V7" s="83" t="n">
        <v>89378.64999999999</v>
      </c>
      <c r="W7" s="20">
        <f>W13*0.58474</f>
        <v/>
      </c>
      <c r="X7" s="20">
        <f>X13*0.58474</f>
        <v/>
      </c>
      <c r="Y7" s="20">
        <f>Y13*0.58474</f>
        <v/>
      </c>
      <c r="Z7" s="20">
        <f>Z13*0.58474</f>
        <v/>
      </c>
      <c r="AA7" s="20">
        <f>AA13*0.58474</f>
        <v/>
      </c>
      <c r="AB7" s="20">
        <f>AB13*0.58474</f>
        <v/>
      </c>
      <c r="AC7" s="20">
        <f>AC13*0.58474</f>
        <v/>
      </c>
      <c r="AD7" s="20">
        <f>AD13*0.58474</f>
        <v/>
      </c>
      <c r="AE7" s="20">
        <f>AE13*0.58474</f>
        <v/>
      </c>
      <c r="AF7" s="20">
        <f>AF13*0.58474</f>
        <v/>
      </c>
      <c r="AG7" s="20">
        <f>AG13*0.58474</f>
        <v/>
      </c>
      <c r="AH7" s="20">
        <f>AH13*0.58474</f>
        <v/>
      </c>
      <c r="AI7" s="20">
        <f>AI13*0.58474</f>
        <v/>
      </c>
      <c r="AJ7" s="20">
        <f>AJ13*0.58474</f>
        <v/>
      </c>
      <c r="AK7" s="20">
        <f>AK13*0.58474</f>
        <v/>
      </c>
      <c r="AL7" s="20">
        <f>AL13*0.58474</f>
        <v/>
      </c>
      <c r="AM7" s="20">
        <f>AM13*0.58474</f>
        <v/>
      </c>
      <c r="AN7" s="20">
        <f>AN13*0.58474</f>
        <v/>
      </c>
      <c r="AO7" s="20">
        <f>AO13*0.58474</f>
        <v/>
      </c>
      <c r="AP7" s="20">
        <f>AP13*0.58474</f>
        <v/>
      </c>
      <c r="AQ7" s="20">
        <f>AQ13*0.58474</f>
        <v/>
      </c>
      <c r="AR7" s="20">
        <f>AR13*0.58474</f>
        <v/>
      </c>
      <c r="AS7" s="20">
        <f>AS13*0.58474</f>
        <v/>
      </c>
      <c r="AT7" s="20">
        <f>AT13*0.58474</f>
        <v/>
      </c>
      <c r="AU7" s="20">
        <f>AU13*0.58474</f>
        <v/>
      </c>
      <c r="AV7" s="20">
        <f>AV13*0.58474</f>
        <v/>
      </c>
      <c r="AW7" s="20">
        <f>AW13*0.58474</f>
        <v/>
      </c>
      <c r="AX7" s="20">
        <f>AX13*0.58474</f>
        <v/>
      </c>
      <c r="AY7" s="20">
        <f>AY13*0.58474</f>
        <v/>
      </c>
      <c r="BA7" s="288">
        <f>SUM(I7:T7)</f>
        <v/>
      </c>
      <c r="BB7" s="274">
        <f>BA7/$BA$22</f>
        <v/>
      </c>
    </row>
    <row r="8">
      <c r="B8" s="33" t="inlineStr">
        <is>
          <t xml:space="preserve">  401002 Private Pilates</t>
        </is>
      </c>
      <c r="D8" s="19" t="n">
        <v>10900.55</v>
      </c>
      <c r="E8" s="19" t="n">
        <v>17202.29</v>
      </c>
      <c r="F8" s="19" t="n">
        <v>21696.15</v>
      </c>
      <c r="G8" s="19" t="n">
        <v>24598.8</v>
      </c>
      <c r="H8" s="19" t="n">
        <v>27490.19</v>
      </c>
      <c r="I8" s="19" t="n">
        <v>23870.59</v>
      </c>
      <c r="J8" s="19" t="n">
        <v>28434.63</v>
      </c>
      <c r="K8" s="19" t="n">
        <v>24879.75</v>
      </c>
      <c r="L8" s="19" t="n">
        <v>25947.49</v>
      </c>
      <c r="M8" s="19" t="n">
        <v>25431.67</v>
      </c>
      <c r="N8" s="19" t="n">
        <v>21504.27</v>
      </c>
      <c r="O8" s="19" t="n">
        <v>20301.61</v>
      </c>
      <c r="P8" s="19" t="n">
        <v>33853.22</v>
      </c>
      <c r="Q8" s="19" t="n">
        <v>32824.02</v>
      </c>
      <c r="R8" s="19" t="n">
        <v>32939.68</v>
      </c>
      <c r="S8" s="19" t="n">
        <v>30216.54</v>
      </c>
      <c r="T8" s="83" t="n">
        <v>27684.47</v>
      </c>
      <c r="U8" s="83" t="n">
        <v>29082.92</v>
      </c>
      <c r="V8" s="83" t="n">
        <v>29954.92</v>
      </c>
      <c r="W8" s="20">
        <f>W13*0.185224</f>
        <v/>
      </c>
      <c r="X8" s="20">
        <f>X13*0.185224</f>
        <v/>
      </c>
      <c r="Y8" s="20">
        <f>Y13*0.185224</f>
        <v/>
      </c>
      <c r="Z8" s="20">
        <f>Z13*0.185224</f>
        <v/>
      </c>
      <c r="AA8" s="20">
        <f>AA13*0.185224</f>
        <v/>
      </c>
      <c r="AB8" s="20">
        <f>AB13*0.185224</f>
        <v/>
      </c>
      <c r="AC8" s="20">
        <f>AC13*0.185224</f>
        <v/>
      </c>
      <c r="AD8" s="20">
        <f>AD13*0.185224</f>
        <v/>
      </c>
      <c r="AE8" s="20">
        <f>AE13*0.185224</f>
        <v/>
      </c>
      <c r="AF8" s="20">
        <f>AF13*0.185224</f>
        <v/>
      </c>
      <c r="AG8" s="20">
        <f>AG13*0.185224</f>
        <v/>
      </c>
      <c r="AH8" s="20">
        <f>AH13*0.185224</f>
        <v/>
      </c>
      <c r="AI8" s="20">
        <f>AI13*0.185224</f>
        <v/>
      </c>
      <c r="AJ8" s="20">
        <f>AJ13*0.185224</f>
        <v/>
      </c>
      <c r="AK8" s="20">
        <f>AK13*0.185224</f>
        <v/>
      </c>
      <c r="AL8" s="20">
        <f>AL13*0.185224</f>
        <v/>
      </c>
      <c r="AM8" s="20">
        <f>AM13*0.185224</f>
        <v/>
      </c>
      <c r="AN8" s="20">
        <f>AN13*0.185224</f>
        <v/>
      </c>
      <c r="AO8" s="20">
        <f>AO13*0.185224</f>
        <v/>
      </c>
      <c r="AP8" s="20">
        <f>AP13*0.185224</f>
        <v/>
      </c>
      <c r="AQ8" s="20">
        <f>AQ13*0.185224</f>
        <v/>
      </c>
      <c r="AR8" s="20">
        <f>AR13*0.185224</f>
        <v/>
      </c>
      <c r="AS8" s="20">
        <f>AS13*0.185224</f>
        <v/>
      </c>
      <c r="AT8" s="20">
        <f>AT13*0.185224</f>
        <v/>
      </c>
      <c r="AU8" s="20">
        <f>AU13*0.185224</f>
        <v/>
      </c>
      <c r="AV8" s="20">
        <f>AV13*0.185224</f>
        <v/>
      </c>
      <c r="AW8" s="20">
        <f>AW13*0.185224</f>
        <v/>
      </c>
      <c r="AX8" s="20">
        <f>AX13*0.185224</f>
        <v/>
      </c>
      <c r="AY8" s="20">
        <f>AY13*0.185224</f>
        <v/>
      </c>
      <c r="BA8" s="288">
        <f>SUM(I8:T8)</f>
        <v/>
      </c>
      <c r="BB8" s="274">
        <f>BA8/$BA$22</f>
        <v/>
      </c>
    </row>
    <row r="9">
      <c r="B9" s="33" t="inlineStr">
        <is>
          <t xml:space="preserve">  401003 Class Pass</t>
        </is>
      </c>
      <c r="D9" s="19" t="n">
        <v>20534.79</v>
      </c>
      <c r="E9" s="19" t="n">
        <v>22835.1</v>
      </c>
      <c r="F9" s="19" t="n">
        <v>23993.39</v>
      </c>
      <c r="G9" s="19" t="n">
        <v>22401.08</v>
      </c>
      <c r="H9" s="19" t="n">
        <v>21566.27</v>
      </c>
      <c r="I9" s="19" t="n">
        <v>20792.19</v>
      </c>
      <c r="J9" s="19" t="n">
        <v>21919.17</v>
      </c>
      <c r="K9" s="19" t="n">
        <v>22205.14</v>
      </c>
      <c r="L9" s="19" t="n">
        <v>21434.06</v>
      </c>
      <c r="M9" s="19" t="n">
        <v>20869.61</v>
      </c>
      <c r="N9" s="19" t="n">
        <v>21268.78</v>
      </c>
      <c r="O9" s="19" t="n">
        <v>18892.11</v>
      </c>
      <c r="P9" s="19" t="n">
        <v>26543.57</v>
      </c>
      <c r="Q9" s="19" t="n">
        <v>23920.55</v>
      </c>
      <c r="R9" s="19" t="n">
        <v>25751.08</v>
      </c>
      <c r="S9" s="19" t="n">
        <v>25382</v>
      </c>
      <c r="T9" s="83" t="n">
        <v>24038.21</v>
      </c>
      <c r="U9" s="83" t="n">
        <v>24839.03</v>
      </c>
      <c r="V9" s="83" t="n">
        <v>26558</v>
      </c>
      <c r="W9" s="20">
        <f>W13*0.144941</f>
        <v/>
      </c>
      <c r="X9" s="20">
        <f>X13*0.144941</f>
        <v/>
      </c>
      <c r="Y9" s="20">
        <f>Y13*0.144941</f>
        <v/>
      </c>
      <c r="Z9" s="20">
        <f>Z13*0.144941</f>
        <v/>
      </c>
      <c r="AA9" s="20">
        <f>AA13*0.144941</f>
        <v/>
      </c>
      <c r="AB9" s="20">
        <f>AB13*0.144941</f>
        <v/>
      </c>
      <c r="AC9" s="20">
        <f>AC13*0.144941</f>
        <v/>
      </c>
      <c r="AD9" s="20">
        <f>AD13*0.144941</f>
        <v/>
      </c>
      <c r="AE9" s="20">
        <f>AE13*0.144941</f>
        <v/>
      </c>
      <c r="AF9" s="20">
        <f>AF13*0.144941</f>
        <v/>
      </c>
      <c r="AG9" s="20">
        <f>AG13*0.144941</f>
        <v/>
      </c>
      <c r="AH9" s="20">
        <f>AH13*0.144941</f>
        <v/>
      </c>
      <c r="AI9" s="20">
        <f>AI13*0.144941</f>
        <v/>
      </c>
      <c r="AJ9" s="20">
        <f>AJ13*0.144941</f>
        <v/>
      </c>
      <c r="AK9" s="20">
        <f>AK13*0.144941</f>
        <v/>
      </c>
      <c r="AL9" s="20">
        <f>AL13*0.144941</f>
        <v/>
      </c>
      <c r="AM9" s="20">
        <f>AM13*0.144941</f>
        <v/>
      </c>
      <c r="AN9" s="20">
        <f>AN13*0.144941</f>
        <v/>
      </c>
      <c r="AO9" s="20">
        <f>AO13*0.144941</f>
        <v/>
      </c>
      <c r="AP9" s="20">
        <f>AP13*0.144941</f>
        <v/>
      </c>
      <c r="AQ9" s="20">
        <f>AQ13*0.144941</f>
        <v/>
      </c>
      <c r="AR9" s="20">
        <f>AR13*0.144941</f>
        <v/>
      </c>
      <c r="AS9" s="20">
        <f>AS13*0.144941</f>
        <v/>
      </c>
      <c r="AT9" s="20">
        <f>AT13*0.144941</f>
        <v/>
      </c>
      <c r="AU9" s="20">
        <f>AU13*0.144941</f>
        <v/>
      </c>
      <c r="AV9" s="20">
        <f>AV13*0.144941</f>
        <v/>
      </c>
      <c r="AW9" s="20">
        <f>AW13*0.144941</f>
        <v/>
      </c>
      <c r="AX9" s="20">
        <f>AX13*0.144941</f>
        <v/>
      </c>
      <c r="AY9" s="20">
        <f>AY13*0.144941</f>
        <v/>
      </c>
      <c r="BA9" s="288">
        <f>SUM(I9:T9)</f>
        <v/>
      </c>
      <c r="BB9" s="274">
        <f>BA9/$BA$22</f>
        <v/>
      </c>
    </row>
    <row r="10">
      <c r="B10" s="33" t="inlineStr">
        <is>
          <t xml:space="preserve">  401004 Mighty Teacher Training</t>
        </is>
      </c>
      <c r="D10" s="19" t="n">
        <v>3815</v>
      </c>
      <c r="E10" s="19" t="n">
        <v>6750</v>
      </c>
      <c r="F10" s="19" t="n">
        <v>21687.25</v>
      </c>
      <c r="G10" s="19" t="n">
        <v>6557.08</v>
      </c>
      <c r="H10" s="19" t="n">
        <v>6727.68</v>
      </c>
      <c r="I10" s="19" t="n">
        <v>6112.5</v>
      </c>
      <c r="J10" s="19" t="n">
        <v>6669.64</v>
      </c>
      <c r="K10" s="19" t="n">
        <v>5387.02</v>
      </c>
      <c r="L10" s="19" t="n">
        <v>7395.6</v>
      </c>
      <c r="M10" s="19" t="n">
        <v>3674.17</v>
      </c>
      <c r="N10" s="19" t="n">
        <v>2940</v>
      </c>
      <c r="O10" s="19" t="n">
        <v>2446.43</v>
      </c>
      <c r="P10" s="19" t="n">
        <v>30303.19</v>
      </c>
      <c r="Q10" s="19" t="n">
        <v>0</v>
      </c>
      <c r="R10" s="19" t="n">
        <v>0</v>
      </c>
      <c r="S10" s="19" t="n">
        <v>0</v>
      </c>
      <c r="T10" s="83" t="n">
        <v>0</v>
      </c>
      <c r="U10" s="83" t="n">
        <v>0</v>
      </c>
      <c r="V10" s="83" t="n">
        <v>0</v>
      </c>
      <c r="W10" s="20">
        <f>W13*0.074717</f>
        <v/>
      </c>
      <c r="X10" s="20">
        <f>X13*0.074717</f>
        <v/>
      </c>
      <c r="Y10" s="20">
        <f>Y13*0.074717</f>
        <v/>
      </c>
      <c r="Z10" s="20">
        <f>Z13*0.074717</f>
        <v/>
      </c>
      <c r="AA10" s="20">
        <f>AA13*0.074717</f>
        <v/>
      </c>
      <c r="AB10" s="20">
        <f>AB13*0.074717</f>
        <v/>
      </c>
      <c r="AC10" s="20">
        <f>AC13*0.074717</f>
        <v/>
      </c>
      <c r="AD10" s="20">
        <f>AD13*0.074717</f>
        <v/>
      </c>
      <c r="AE10" s="20">
        <f>AE13*0.074717</f>
        <v/>
      </c>
      <c r="AF10" s="20">
        <f>AF13*0.074717</f>
        <v/>
      </c>
      <c r="AG10" s="20">
        <f>AG13*0.074717</f>
        <v/>
      </c>
      <c r="AH10" s="20">
        <f>AH13*0.074717</f>
        <v/>
      </c>
      <c r="AI10" s="20">
        <f>AI13*0.074717</f>
        <v/>
      </c>
      <c r="AJ10" s="20">
        <f>AJ13*0.074717</f>
        <v/>
      </c>
      <c r="AK10" s="20">
        <f>AK13*0.074717</f>
        <v/>
      </c>
      <c r="AL10" s="20">
        <f>AL13*0.074717</f>
        <v/>
      </c>
      <c r="AM10" s="20">
        <f>AM13*0.074717</f>
        <v/>
      </c>
      <c r="AN10" s="20">
        <f>AN13*0.074717</f>
        <v/>
      </c>
      <c r="AO10" s="20">
        <f>AO13*0.074717</f>
        <v/>
      </c>
      <c r="AP10" s="20">
        <f>AP13*0.074717</f>
        <v/>
      </c>
      <c r="AQ10" s="20">
        <f>AQ13*0.074717</f>
        <v/>
      </c>
      <c r="AR10" s="20">
        <f>AR13*0.074717</f>
        <v/>
      </c>
      <c r="AS10" s="20">
        <f>AS13*0.074717</f>
        <v/>
      </c>
      <c r="AT10" s="20">
        <f>AT13*0.074717</f>
        <v/>
      </c>
      <c r="AU10" s="20">
        <f>AU13*0.074717</f>
        <v/>
      </c>
      <c r="AV10" s="20">
        <f>AV13*0.074717</f>
        <v/>
      </c>
      <c r="AW10" s="20">
        <f>AW13*0.074717</f>
        <v/>
      </c>
      <c r="AX10" s="20">
        <f>AX13*0.074717</f>
        <v/>
      </c>
      <c r="AY10" s="20">
        <f>AY13*0.074717</f>
        <v/>
      </c>
      <c r="BA10" s="288">
        <f>SUM(I10:T10)</f>
        <v/>
      </c>
      <c r="BB10" s="274">
        <f>BA10/$BA$22</f>
        <v/>
      </c>
    </row>
    <row r="11">
      <c r="B11" s="33" t="inlineStr">
        <is>
          <t xml:space="preserve">  401005 Livestream Classes</t>
        </is>
      </c>
      <c r="D11" s="19" t="n">
        <v>343.6</v>
      </c>
      <c r="E11" s="19" t="n">
        <v>441.6</v>
      </c>
      <c r="F11" s="19" t="n">
        <v>1813</v>
      </c>
      <c r="G11" s="19" t="n">
        <v>516.37</v>
      </c>
      <c r="H11" s="19" t="n">
        <v>401.5</v>
      </c>
      <c r="I11" s="19" t="n">
        <v>1599.73</v>
      </c>
      <c r="J11" s="19" t="n">
        <v>250.5</v>
      </c>
      <c r="K11" s="19" t="n">
        <v>147.5</v>
      </c>
      <c r="L11" s="19" t="n">
        <v>1497.9</v>
      </c>
      <c r="M11" s="19" t="n">
        <v>866.83</v>
      </c>
      <c r="N11" s="19" t="n">
        <v>312.33</v>
      </c>
      <c r="O11" s="19" t="n">
        <v>1523.27</v>
      </c>
      <c r="P11" s="19" t="n">
        <v>833.21</v>
      </c>
      <c r="Q11" s="19" t="n">
        <v>818.58</v>
      </c>
      <c r="R11" s="19" t="n">
        <v>978.54</v>
      </c>
      <c r="S11" s="19" t="n">
        <v>846.73</v>
      </c>
      <c r="T11" s="83" t="n">
        <v>774.38</v>
      </c>
      <c r="U11" s="83" t="n">
        <v>465.46</v>
      </c>
      <c r="V11" s="83" t="n">
        <v>850.48</v>
      </c>
      <c r="W11" s="20">
        <f>W13*0.00496</f>
        <v/>
      </c>
      <c r="X11" s="20">
        <f>X13*0.00496</f>
        <v/>
      </c>
      <c r="Y11" s="20">
        <f>Y13*0.00496</f>
        <v/>
      </c>
      <c r="Z11" s="20">
        <f>Z13*0.00496</f>
        <v/>
      </c>
      <c r="AA11" s="20">
        <f>AA13*0.00496</f>
        <v/>
      </c>
      <c r="AB11" s="20">
        <f>AB13*0.00496</f>
        <v/>
      </c>
      <c r="AC11" s="20">
        <f>AC13*0.00496</f>
        <v/>
      </c>
      <c r="AD11" s="20">
        <f>AD13*0.00496</f>
        <v/>
      </c>
      <c r="AE11" s="20">
        <f>AE13*0.00496</f>
        <v/>
      </c>
      <c r="AF11" s="20">
        <f>AF13*0.00496</f>
        <v/>
      </c>
      <c r="AG11" s="20">
        <f>AG13*0.00496</f>
        <v/>
      </c>
      <c r="AH11" s="20">
        <f>AH13*0.00496</f>
        <v/>
      </c>
      <c r="AI11" s="20">
        <f>AI13*0.00496</f>
        <v/>
      </c>
      <c r="AJ11" s="20">
        <f>AJ13*0.00496</f>
        <v/>
      </c>
      <c r="AK11" s="20">
        <f>AK13*0.00496</f>
        <v/>
      </c>
      <c r="AL11" s="20">
        <f>AL13*0.00496</f>
        <v/>
      </c>
      <c r="AM11" s="20">
        <f>AM13*0.00496</f>
        <v/>
      </c>
      <c r="AN11" s="20">
        <f>AN13*0.00496</f>
        <v/>
      </c>
      <c r="AO11" s="20">
        <f>AO13*0.00496</f>
        <v/>
      </c>
      <c r="AP11" s="20">
        <f>AP13*0.00496</f>
        <v/>
      </c>
      <c r="AQ11" s="20">
        <f>AQ13*0.00496</f>
        <v/>
      </c>
      <c r="AR11" s="20">
        <f>AR13*0.00496</f>
        <v/>
      </c>
      <c r="AS11" s="20">
        <f>AS13*0.00496</f>
        <v/>
      </c>
      <c r="AT11" s="20">
        <f>AT13*0.00496</f>
        <v/>
      </c>
      <c r="AU11" s="20">
        <f>AU13*0.00496</f>
        <v/>
      </c>
      <c r="AV11" s="20">
        <f>AV13*0.00496</f>
        <v/>
      </c>
      <c r="AW11" s="20">
        <f>AW13*0.00496</f>
        <v/>
      </c>
      <c r="AX11" s="20">
        <f>AX13*0.00496</f>
        <v/>
      </c>
      <c r="AY11" s="20">
        <f>AY13*0.00496</f>
        <v/>
      </c>
      <c r="BA11" s="288">
        <f>SUM(I11:T11)</f>
        <v/>
      </c>
      <c r="BB11" s="274">
        <f>BA11/$BA$22</f>
        <v/>
      </c>
    </row>
    <row r="12">
      <c r="B12" s="33" t="inlineStr">
        <is>
          <t xml:space="preserve">  401006 Wellhub</t>
        </is>
      </c>
      <c r="D12" s="19" t="n">
        <v>893.01</v>
      </c>
      <c r="E12" s="19" t="n">
        <v>792.85</v>
      </c>
      <c r="F12" s="19" t="n">
        <v>1282.47</v>
      </c>
      <c r="G12" s="19" t="n">
        <v>1861.09</v>
      </c>
      <c r="H12" s="19" t="n">
        <v>1560.67</v>
      </c>
      <c r="I12" s="19" t="n">
        <v>1619.08</v>
      </c>
      <c r="J12" s="19" t="n">
        <v>1377.05</v>
      </c>
      <c r="K12" s="19" t="n">
        <v>753.91</v>
      </c>
      <c r="L12" s="19" t="n">
        <v>1318.62</v>
      </c>
      <c r="M12" s="19" t="n">
        <v>1207.36</v>
      </c>
      <c r="N12" s="19" t="n">
        <v>1349.23</v>
      </c>
      <c r="O12" s="19" t="n">
        <v>895.78</v>
      </c>
      <c r="P12" s="19" t="n">
        <v>1162.86</v>
      </c>
      <c r="Q12" s="19" t="n">
        <v>751.14</v>
      </c>
      <c r="R12" s="19" t="n">
        <v>973.7</v>
      </c>
      <c r="S12" s="19" t="n">
        <v>909.6900000000001</v>
      </c>
      <c r="T12" s="83" t="n">
        <v>678.78</v>
      </c>
      <c r="U12" s="83" t="n">
        <v>1084.96</v>
      </c>
      <c r="V12" s="83" t="n">
        <v>511.88</v>
      </c>
      <c r="W12" s="20">
        <f>W13*0.005417</f>
        <v/>
      </c>
      <c r="X12" s="20">
        <f>X13*0.005417</f>
        <v/>
      </c>
      <c r="Y12" s="20">
        <f>Y13*0.005417</f>
        <v/>
      </c>
      <c r="Z12" s="20">
        <f>Z13*0.005417</f>
        <v/>
      </c>
      <c r="AA12" s="20">
        <f>AA13*0.005417</f>
        <v/>
      </c>
      <c r="AB12" s="20">
        <f>AB13*0.005417</f>
        <v/>
      </c>
      <c r="AC12" s="20">
        <f>AC13*0.005417</f>
        <v/>
      </c>
      <c r="AD12" s="20">
        <f>AD13*0.005417</f>
        <v/>
      </c>
      <c r="AE12" s="20">
        <f>AE13*0.005417</f>
        <v/>
      </c>
      <c r="AF12" s="20">
        <f>AF13*0.005417</f>
        <v/>
      </c>
      <c r="AG12" s="20">
        <f>AG13*0.005417</f>
        <v/>
      </c>
      <c r="AH12" s="20">
        <f>AH13*0.005417</f>
        <v/>
      </c>
      <c r="AI12" s="20">
        <f>AI13*0.005417</f>
        <v/>
      </c>
      <c r="AJ12" s="20">
        <f>AJ13*0.005417</f>
        <v/>
      </c>
      <c r="AK12" s="20">
        <f>AK13*0.005417</f>
        <v/>
      </c>
      <c r="AL12" s="20">
        <f>AL13*0.005417</f>
        <v/>
      </c>
      <c r="AM12" s="20">
        <f>AM13*0.005417</f>
        <v/>
      </c>
      <c r="AN12" s="20">
        <f>AN13*0.005417</f>
        <v/>
      </c>
      <c r="AO12" s="20">
        <f>AO13*0.005417</f>
        <v/>
      </c>
      <c r="AP12" s="20">
        <f>AP13*0.005417</f>
        <v/>
      </c>
      <c r="AQ12" s="20">
        <f>AQ13*0.005417</f>
        <v/>
      </c>
      <c r="AR12" s="20">
        <f>AR13*0.005417</f>
        <v/>
      </c>
      <c r="AS12" s="20">
        <f>AS13*0.005417</f>
        <v/>
      </c>
      <c r="AT12" s="20">
        <f>AT13*0.005417</f>
        <v/>
      </c>
      <c r="AU12" s="20">
        <f>AU13*0.005417</f>
        <v/>
      </c>
      <c r="AV12" s="20">
        <f>AV13*0.005417</f>
        <v/>
      </c>
      <c r="AW12" s="20">
        <f>AW13*0.005417</f>
        <v/>
      </c>
      <c r="AX12" s="20">
        <f>AX13*0.005417</f>
        <v/>
      </c>
      <c r="AY12" s="20">
        <f>AY13*0.005417</f>
        <v/>
      </c>
      <c r="BA12" s="288">
        <f>SUM(I12:T12)</f>
        <v/>
      </c>
      <c r="BB12" s="274">
        <f>BA12/$BA$22</f>
        <v/>
      </c>
    </row>
    <row r="13">
      <c r="B13" s="32" t="inlineStr">
        <is>
          <t>Total Sessions</t>
        </is>
      </c>
      <c r="C13" s="34" t="n"/>
      <c r="D13" s="35">
        <f>SUM(D7:D12)</f>
        <v/>
      </c>
      <c r="E13" s="35">
        <f>SUM(E7:E12)</f>
        <v/>
      </c>
      <c r="F13" s="35">
        <f>SUM(F7:F12)</f>
        <v/>
      </c>
      <c r="G13" s="35">
        <f>SUM(G7:G12)</f>
        <v/>
      </c>
      <c r="H13" s="35">
        <f>SUM(H7:H12)</f>
        <v/>
      </c>
      <c r="I13" s="35">
        <f>SUM(I7:I12)</f>
        <v/>
      </c>
      <c r="J13" s="35">
        <f>SUM(J7:J12)</f>
        <v/>
      </c>
      <c r="K13" s="35">
        <f>SUM(K7:K12)</f>
        <v/>
      </c>
      <c r="L13" s="35">
        <f>SUM(L7:L12)</f>
        <v/>
      </c>
      <c r="M13" s="35">
        <f>SUM(M7:M12)</f>
        <v/>
      </c>
      <c r="N13" s="35">
        <f>SUM(N7:N12)</f>
        <v/>
      </c>
      <c r="O13" s="35">
        <f>SUM(O7:O12)</f>
        <v/>
      </c>
      <c r="P13" s="35">
        <f>P7+P8+P9+P10+P11+P12</f>
        <v/>
      </c>
      <c r="Q13" s="35">
        <f>Q7+Q8+Q9+Q10+Q11+Q12</f>
        <v/>
      </c>
      <c r="R13" s="35">
        <f>R7+R8+R9+R10+R11+R12</f>
        <v/>
      </c>
      <c r="S13" s="35">
        <f>S7+S8+S9+S10+S11+S12</f>
        <v/>
      </c>
      <c r="T13" s="84">
        <f>T7+T8+T9+T10+T11+T12</f>
        <v/>
      </c>
      <c r="U13" s="84">
        <f>U7+U8+U9+U10+U11+U12</f>
        <v/>
      </c>
      <c r="V13" s="84">
        <f>V7+V8+V9+V10+V11+V12</f>
        <v/>
      </c>
      <c r="W13" s="17">
        <f>'Sales Forecast'!W15*Assumptions!$C$12+'Sales Forecast'!V15*Assumptions!$D$12+'Sales Forecast'!U15*Assumptions!$E$12+'Sales Forecast'!T15*Assumptions!$F$12+'Sales Forecast'!S15*Assumptions!$G$12+'Sales Forecast'!R15*Assumptions!$H$12+'Sales Forecast'!Q15*Assumptions!$I$12</f>
        <v/>
      </c>
      <c r="X13" s="17">
        <f>'Sales Forecast'!X15*Assumptions!$C$12+'Sales Forecast'!W15*Assumptions!$D$12+'Sales Forecast'!V15*Assumptions!$E$12+'Sales Forecast'!U15*Assumptions!$F$12+'Sales Forecast'!T15*Assumptions!$G$12+'Sales Forecast'!S15*Assumptions!$H$12+'Sales Forecast'!R15*Assumptions!$I$12</f>
        <v/>
      </c>
      <c r="Y13" s="17">
        <f>'Sales Forecast'!Y15*Assumptions!$C$12+'Sales Forecast'!X15*Assumptions!$D$12+'Sales Forecast'!W15*Assumptions!$E$12+'Sales Forecast'!V15*Assumptions!$F$12+'Sales Forecast'!U15*Assumptions!$G$12+'Sales Forecast'!T15*Assumptions!$H$12+'Sales Forecast'!S15*Assumptions!$I$12</f>
        <v/>
      </c>
      <c r="Z13" s="17">
        <f>'Sales Forecast'!Z15*Assumptions!$C$12+'Sales Forecast'!Y15*Assumptions!$D$12+'Sales Forecast'!X15*Assumptions!$E$12+'Sales Forecast'!W15*Assumptions!$F$12+'Sales Forecast'!V15*Assumptions!$G$12+'Sales Forecast'!U15*Assumptions!$H$12+'Sales Forecast'!T15*Assumptions!$I$12</f>
        <v/>
      </c>
      <c r="AA13" s="17">
        <f>'Sales Forecast'!AA15*Assumptions!$C$12+'Sales Forecast'!Z15*Assumptions!$D$12+'Sales Forecast'!Y15*Assumptions!$E$12+'Sales Forecast'!X15*Assumptions!$F$12+'Sales Forecast'!W15*Assumptions!$G$12+'Sales Forecast'!V15*Assumptions!$H$12+'Sales Forecast'!U15*Assumptions!$I$12</f>
        <v/>
      </c>
      <c r="AB13" s="17">
        <f>'Sales Forecast'!AB15*Assumptions!$C$12+'Sales Forecast'!AA15*Assumptions!$D$12+'Sales Forecast'!Z15*Assumptions!$E$12+'Sales Forecast'!Y15*Assumptions!$F$12+'Sales Forecast'!X15*Assumptions!$G$12+'Sales Forecast'!W15*Assumptions!$H$12+'Sales Forecast'!V15*Assumptions!$I$12</f>
        <v/>
      </c>
      <c r="AC13" s="17">
        <f>'Sales Forecast'!AC15*Assumptions!$C$12+'Sales Forecast'!AB15*Assumptions!$D$12+'Sales Forecast'!AA15*Assumptions!$E$12+'Sales Forecast'!Z15*Assumptions!$F$12+'Sales Forecast'!Y15*Assumptions!$G$12+'Sales Forecast'!X15*Assumptions!$H$12+'Sales Forecast'!W15*Assumptions!$I$12</f>
        <v/>
      </c>
      <c r="AD13" s="17">
        <f>'Sales Forecast'!AD15*Assumptions!$C$12+'Sales Forecast'!AC15*Assumptions!$D$12+'Sales Forecast'!AB15*Assumptions!$E$12+'Sales Forecast'!AA15*Assumptions!$F$12+'Sales Forecast'!Z15*Assumptions!$G$12+'Sales Forecast'!Y15*Assumptions!$H$12+'Sales Forecast'!X15*Assumptions!$I$12</f>
        <v/>
      </c>
      <c r="AE13" s="17">
        <f>'Sales Forecast'!AE15*Assumptions!$C$12+'Sales Forecast'!AD15*Assumptions!$D$12+'Sales Forecast'!AC15*Assumptions!$E$12+'Sales Forecast'!AB15*Assumptions!$F$12+'Sales Forecast'!AA15*Assumptions!$G$12+'Sales Forecast'!Z15*Assumptions!$H$12+'Sales Forecast'!Y15*Assumptions!$I$12</f>
        <v/>
      </c>
      <c r="AF13" s="17">
        <f>'Sales Forecast'!AF15*Assumptions!$C$12+'Sales Forecast'!AE15*Assumptions!$D$12+'Sales Forecast'!AD15*Assumptions!$E$12+'Sales Forecast'!AC15*Assumptions!$F$12+'Sales Forecast'!AB15*Assumptions!$G$12+'Sales Forecast'!AA15*Assumptions!$H$12+'Sales Forecast'!Z15*Assumptions!$I$12</f>
        <v/>
      </c>
      <c r="AG13" s="17">
        <f>'Sales Forecast'!AG15*Assumptions!$C$12+'Sales Forecast'!AF15*Assumptions!$D$12+'Sales Forecast'!AE15*Assumptions!$E$12+'Sales Forecast'!AD15*Assumptions!$F$12+'Sales Forecast'!AC15*Assumptions!$G$12+'Sales Forecast'!AB15*Assumptions!$H$12+'Sales Forecast'!AA15*Assumptions!$I$12</f>
        <v/>
      </c>
      <c r="AH13" s="17">
        <f>'Sales Forecast'!AH15*Assumptions!$C$12+'Sales Forecast'!AG15*Assumptions!$D$12+'Sales Forecast'!AF15*Assumptions!$E$12+'Sales Forecast'!AE15*Assumptions!$F$12+'Sales Forecast'!AD15*Assumptions!$G$12+'Sales Forecast'!AC15*Assumptions!$H$12+'Sales Forecast'!AB15*Assumptions!$I$12</f>
        <v/>
      </c>
      <c r="AI13" s="17">
        <f>'Sales Forecast'!AI15*Assumptions!$C$12+'Sales Forecast'!AH15*Assumptions!$D$12+'Sales Forecast'!AG15*Assumptions!$E$12+'Sales Forecast'!AF15*Assumptions!$F$12+'Sales Forecast'!AE15*Assumptions!$G$12+'Sales Forecast'!AD15*Assumptions!$H$12+'Sales Forecast'!AC15*Assumptions!$I$12</f>
        <v/>
      </c>
      <c r="AJ13" s="17">
        <f>'Sales Forecast'!AJ15*Assumptions!$C$12+'Sales Forecast'!AI15*Assumptions!$D$12+'Sales Forecast'!AH15*Assumptions!$E$12+'Sales Forecast'!AG15*Assumptions!$F$12+'Sales Forecast'!AF15*Assumptions!$G$12+'Sales Forecast'!AE15*Assumptions!$H$12+'Sales Forecast'!AD15*Assumptions!$I$12</f>
        <v/>
      </c>
      <c r="AK13" s="17">
        <f>'Sales Forecast'!AK15*Assumptions!$C$12+'Sales Forecast'!AJ15*Assumptions!$D$12+'Sales Forecast'!AI15*Assumptions!$E$12+'Sales Forecast'!AH15*Assumptions!$F$12+'Sales Forecast'!AG15*Assumptions!$G$12+'Sales Forecast'!AF15*Assumptions!$H$12+'Sales Forecast'!AE15*Assumptions!$I$12</f>
        <v/>
      </c>
      <c r="AL13" s="17">
        <f>'Sales Forecast'!AL15*Assumptions!$C$12+'Sales Forecast'!AK15*Assumptions!$D$12+'Sales Forecast'!AJ15*Assumptions!$E$12+'Sales Forecast'!AI15*Assumptions!$F$12+'Sales Forecast'!AH15*Assumptions!$G$12+'Sales Forecast'!AG15*Assumptions!$H$12+'Sales Forecast'!AF15*Assumptions!$I$12</f>
        <v/>
      </c>
      <c r="AM13" s="17">
        <f>'Sales Forecast'!AM15*Assumptions!$C$12+'Sales Forecast'!AL15*Assumptions!$D$12+'Sales Forecast'!AK15*Assumptions!$E$12+'Sales Forecast'!AJ15*Assumptions!$F$12+'Sales Forecast'!AI15*Assumptions!$G$12+'Sales Forecast'!AH15*Assumptions!$H$12+'Sales Forecast'!AG15*Assumptions!$I$12</f>
        <v/>
      </c>
      <c r="AN13" s="17">
        <f>'Sales Forecast'!AN15*Assumptions!$C$12+'Sales Forecast'!AM15*Assumptions!$D$12+'Sales Forecast'!AL15*Assumptions!$E$12+'Sales Forecast'!AK15*Assumptions!$F$12+'Sales Forecast'!AJ15*Assumptions!$G$12+'Sales Forecast'!AI15*Assumptions!$H$12+'Sales Forecast'!AH15*Assumptions!$I$12</f>
        <v/>
      </c>
      <c r="AO13" s="17">
        <f>'Sales Forecast'!AO15*Assumptions!$C$12+'Sales Forecast'!AN15*Assumptions!$D$12+'Sales Forecast'!AM15*Assumptions!$E$12+'Sales Forecast'!AL15*Assumptions!$F$12+'Sales Forecast'!AK15*Assumptions!$G$12+'Sales Forecast'!AJ15*Assumptions!$H$12+'Sales Forecast'!AI15*Assumptions!$I$12</f>
        <v/>
      </c>
      <c r="AP13" s="17">
        <f>'Sales Forecast'!AP15*Assumptions!$C$12+'Sales Forecast'!AO15*Assumptions!$D$12+'Sales Forecast'!AN15*Assumptions!$E$12+'Sales Forecast'!AM15*Assumptions!$F$12+'Sales Forecast'!AL15*Assumptions!$G$12+'Sales Forecast'!AK15*Assumptions!$H$12+'Sales Forecast'!AJ15*Assumptions!$I$12</f>
        <v/>
      </c>
      <c r="AQ13" s="17">
        <f>'Sales Forecast'!AQ15*Assumptions!$C$12+'Sales Forecast'!AP15*Assumptions!$D$12+'Sales Forecast'!AO15*Assumptions!$E$12+'Sales Forecast'!AN15*Assumptions!$F$12+'Sales Forecast'!AM15*Assumptions!$G$12+'Sales Forecast'!AL15*Assumptions!$H$12+'Sales Forecast'!AK15*Assumptions!$I$12</f>
        <v/>
      </c>
      <c r="AR13" s="17">
        <f>'Sales Forecast'!AR15*Assumptions!$C$12+'Sales Forecast'!AQ15*Assumptions!$D$12+'Sales Forecast'!AP15*Assumptions!$E$12+'Sales Forecast'!AO15*Assumptions!$F$12+'Sales Forecast'!AN15*Assumptions!$G$12+'Sales Forecast'!AM15*Assumptions!$H$12+'Sales Forecast'!AL15*Assumptions!$I$12</f>
        <v/>
      </c>
      <c r="AS13" s="17">
        <f>'Sales Forecast'!AS15*Assumptions!$C$12+'Sales Forecast'!AR15*Assumptions!$D$12+'Sales Forecast'!AQ15*Assumptions!$E$12+'Sales Forecast'!AP15*Assumptions!$F$12+'Sales Forecast'!AO15*Assumptions!$G$12+'Sales Forecast'!AN15*Assumptions!$H$12+'Sales Forecast'!AM15*Assumptions!$I$12</f>
        <v/>
      </c>
      <c r="AT13" s="17">
        <f>'Sales Forecast'!AT15*Assumptions!$C$12+'Sales Forecast'!AS15*Assumptions!$D$12+'Sales Forecast'!AR15*Assumptions!$E$12+'Sales Forecast'!AQ15*Assumptions!$F$12+'Sales Forecast'!AP15*Assumptions!$G$12+'Sales Forecast'!AO15*Assumptions!$H$12+'Sales Forecast'!AN15*Assumptions!$I$12</f>
        <v/>
      </c>
      <c r="AU13" s="17">
        <f>'Sales Forecast'!AU15*Assumptions!$C$12+'Sales Forecast'!AT15*Assumptions!$D$12+'Sales Forecast'!AS15*Assumptions!$E$12+'Sales Forecast'!AR15*Assumptions!$F$12+'Sales Forecast'!AQ15*Assumptions!$G$12+'Sales Forecast'!AP15*Assumptions!$H$12+'Sales Forecast'!AO15*Assumptions!$I$12</f>
        <v/>
      </c>
      <c r="AV13" s="17">
        <f>'Sales Forecast'!AV15*Assumptions!$C$12+'Sales Forecast'!AU15*Assumptions!$D$12+'Sales Forecast'!AT15*Assumptions!$E$12+'Sales Forecast'!AS15*Assumptions!$F$12+'Sales Forecast'!AR15*Assumptions!$G$12+'Sales Forecast'!AQ15*Assumptions!$H$12+'Sales Forecast'!AP15*Assumptions!$I$12</f>
        <v/>
      </c>
      <c r="AW13" s="17">
        <f>'Sales Forecast'!AW15*Assumptions!$C$12+'Sales Forecast'!AV15*Assumptions!$D$12+'Sales Forecast'!AU15*Assumptions!$E$12+'Sales Forecast'!AT15*Assumptions!$F$12+'Sales Forecast'!AS15*Assumptions!$G$12+'Sales Forecast'!AR15*Assumptions!$H$12+'Sales Forecast'!AQ15*Assumptions!$I$12</f>
        <v/>
      </c>
      <c r="AX13" s="17">
        <f>'Sales Forecast'!AX15*Assumptions!$C$12+'Sales Forecast'!AW15*Assumptions!$D$12+'Sales Forecast'!AV15*Assumptions!$E$12+'Sales Forecast'!AU15*Assumptions!$F$12+'Sales Forecast'!AT15*Assumptions!$G$12+'Sales Forecast'!AS15*Assumptions!$H$12+'Sales Forecast'!AR15*Assumptions!$I$12</f>
        <v/>
      </c>
      <c r="AY13" s="17">
        <f>'Sales Forecast'!AY15*Assumptions!$C$12+'Sales Forecast'!AX15*Assumptions!$D$12+'Sales Forecast'!AW15*Assumptions!$E$12+'Sales Forecast'!AV15*Assumptions!$F$12+'Sales Forecast'!AU15*Assumptions!$G$12+'Sales Forecast'!AT15*Assumptions!$H$12+'Sales Forecast'!AS15*Assumptions!$I$12</f>
        <v/>
      </c>
      <c r="BA13" s="288" t="n"/>
    </row>
    <row r="14">
      <c r="B14" s="32" t="inlineStr">
        <is>
          <t>Revenue from Old Mighty</t>
        </is>
      </c>
      <c r="C14" s="34" t="n"/>
      <c r="D14" s="278" t="n">
        <v>46509.85</v>
      </c>
      <c r="E14" s="278" t="n">
        <v>31979.15</v>
      </c>
      <c r="F14" s="278" t="n">
        <v>19111.19</v>
      </c>
      <c r="G14" s="278" t="n">
        <v>10391.65</v>
      </c>
      <c r="H14" s="278" t="n">
        <v>5610.12</v>
      </c>
      <c r="I14" s="278" t="n">
        <v>3424.69</v>
      </c>
      <c r="J14" s="278" t="n">
        <v>1859.38</v>
      </c>
      <c r="K14" s="278" t="n">
        <v>1661.71</v>
      </c>
      <c r="L14" s="278" t="n">
        <v>556.79</v>
      </c>
      <c r="M14" s="278" t="n">
        <v>493.71</v>
      </c>
      <c r="N14" s="278" t="n">
        <v>634.17</v>
      </c>
      <c r="O14" s="278" t="n">
        <v>611</v>
      </c>
      <c r="P14" s="278" t="n">
        <v>0</v>
      </c>
      <c r="Q14" s="278" t="n">
        <v>0</v>
      </c>
      <c r="R14" s="278" t="n">
        <v>0</v>
      </c>
      <c r="S14" s="278" t="n">
        <v>0</v>
      </c>
      <c r="T14" s="84" t="n">
        <v>0</v>
      </c>
      <c r="U14" s="84" t="n">
        <v>0</v>
      </c>
      <c r="V14" s="84" t="n">
        <v>0</v>
      </c>
      <c r="W14" s="279" t="n"/>
      <c r="X14" s="279" t="n"/>
      <c r="Y14" s="279" t="n"/>
      <c r="Z14" s="279" t="n"/>
      <c r="AA14" s="279" t="n"/>
      <c r="AB14" s="279" t="n"/>
      <c r="AC14" s="279" t="n"/>
      <c r="AD14" s="279" t="n"/>
      <c r="AE14" s="279" t="n"/>
      <c r="AF14" s="279" t="n"/>
      <c r="AG14" s="279" t="n"/>
      <c r="AH14" s="279" t="n"/>
      <c r="AI14" s="279" t="n"/>
      <c r="AJ14" s="279" t="n"/>
      <c r="AK14" s="279" t="n"/>
      <c r="AL14" s="279" t="n"/>
      <c r="AM14" s="279" t="n"/>
      <c r="AN14" s="279" t="n"/>
      <c r="AO14" s="279" t="n"/>
      <c r="AP14" s="279" t="n"/>
      <c r="AQ14" s="279" t="n"/>
      <c r="AR14" s="279" t="n"/>
      <c r="AS14" s="279" t="n"/>
      <c r="AT14" s="279" t="n"/>
      <c r="AU14" s="279" t="n"/>
      <c r="AV14" s="279" t="n"/>
      <c r="AW14" s="279" t="n"/>
      <c r="AX14" s="279" t="n"/>
      <c r="AY14" s="279" t="n"/>
      <c r="BA14" s="288" t="n"/>
    </row>
    <row r="15">
      <c r="B15" s="33" t="inlineStr">
        <is>
          <t xml:space="preserve">  403001 Machine Breakage</t>
        </is>
      </c>
      <c r="D15" s="19" t="n">
        <v>17910.11</v>
      </c>
      <c r="E15" s="19" t="n">
        <v>23310.99</v>
      </c>
      <c r="F15" s="19" t="n">
        <v>30057</v>
      </c>
      <c r="G15" s="19" t="n">
        <v>39005.34</v>
      </c>
      <c r="H15" s="19" t="n">
        <v>25811.6</v>
      </c>
      <c r="I15" s="19" t="n">
        <v>31929.59</v>
      </c>
      <c r="J15" s="19" t="n">
        <v>28851.77</v>
      </c>
      <c r="K15" s="19" t="n">
        <v>45003.91</v>
      </c>
      <c r="L15" s="19" t="n">
        <v>25869.51</v>
      </c>
      <c r="M15" s="19" t="n">
        <v>34510.81</v>
      </c>
      <c r="N15" s="19" t="n">
        <v>31246.89</v>
      </c>
      <c r="O15" s="19" t="n">
        <v>66255.74000000001</v>
      </c>
      <c r="P15" s="19" t="n">
        <v>32041.71</v>
      </c>
      <c r="Q15" s="19" t="n">
        <v>22049.86</v>
      </c>
      <c r="R15" s="19" t="n">
        <v>22243.53</v>
      </c>
      <c r="S15" s="19" t="n">
        <v>19277.44</v>
      </c>
      <c r="T15" s="83" t="n">
        <v>24956.27</v>
      </c>
      <c r="U15" s="83" t="n">
        <v>22518.17</v>
      </c>
      <c r="V15" s="83" t="n">
        <v>23646.07</v>
      </c>
      <c r="W15" s="20">
        <f>W18*0.920731</f>
        <v/>
      </c>
      <c r="X15" s="20">
        <f>X18*0.920731</f>
        <v/>
      </c>
      <c r="Y15" s="20">
        <f>Y18*0.920731</f>
        <v/>
      </c>
      <c r="Z15" s="20">
        <f>Z18*0.920731</f>
        <v/>
      </c>
      <c r="AA15" s="20">
        <f>AA18*0.920731</f>
        <v/>
      </c>
      <c r="AB15" s="20">
        <f>AB18*0.920731</f>
        <v/>
      </c>
      <c r="AC15" s="20">
        <f>AC18*0.920731</f>
        <v/>
      </c>
      <c r="AD15" s="20">
        <f>AD18*0.920731</f>
        <v/>
      </c>
      <c r="AE15" s="20">
        <f>AE18*0.920731</f>
        <v/>
      </c>
      <c r="AF15" s="20">
        <f>AF18*0.920731</f>
        <v/>
      </c>
      <c r="AG15" s="20">
        <f>AG18*0.920731</f>
        <v/>
      </c>
      <c r="AH15" s="20">
        <f>AH18*0.920731</f>
        <v/>
      </c>
      <c r="AI15" s="20">
        <f>AI18*0.920731</f>
        <v/>
      </c>
      <c r="AJ15" s="20">
        <f>AJ18*0.920731</f>
        <v/>
      </c>
      <c r="AK15" s="20">
        <f>AK18*0.920731</f>
        <v/>
      </c>
      <c r="AL15" s="20">
        <f>AL18*0.920731</f>
        <v/>
      </c>
      <c r="AM15" s="20">
        <f>AM18*0.920731</f>
        <v/>
      </c>
      <c r="AN15" s="20">
        <f>AN18*0.920731</f>
        <v/>
      </c>
      <c r="AO15" s="20">
        <f>AO18*0.920731</f>
        <v/>
      </c>
      <c r="AP15" s="20">
        <f>AP18*0.920731</f>
        <v/>
      </c>
      <c r="AQ15" s="20">
        <f>AQ18*0.920731</f>
        <v/>
      </c>
      <c r="AR15" s="20">
        <f>AR18*0.920731</f>
        <v/>
      </c>
      <c r="AS15" s="20">
        <f>AS18*0.920731</f>
        <v/>
      </c>
      <c r="AT15" s="20">
        <f>AT18*0.920731</f>
        <v/>
      </c>
      <c r="AU15" s="20">
        <f>AU18*0.920731</f>
        <v/>
      </c>
      <c r="AV15" s="20">
        <f>AV18*0.920731</f>
        <v/>
      </c>
      <c r="AW15" s="20">
        <f>AW18*0.920731</f>
        <v/>
      </c>
      <c r="AX15" s="20">
        <f>AX18*0.920731</f>
        <v/>
      </c>
      <c r="AY15" s="20">
        <f>AY18*0.920731</f>
        <v/>
      </c>
      <c r="BA15" s="288">
        <f>SUM(I15:T15)</f>
        <v/>
      </c>
      <c r="BB15" s="274">
        <f>BA15/$BA$22</f>
        <v/>
      </c>
    </row>
    <row r="16">
      <c r="B16" s="33" t="inlineStr">
        <is>
          <t xml:space="preserve">  403003 Private Pilates Breakage</t>
        </is>
      </c>
      <c r="D16" s="19" t="n">
        <v>2335</v>
      </c>
      <c r="E16" s="19" t="n">
        <v>1635.33</v>
      </c>
      <c r="F16" s="19" t="n">
        <v>3855.83</v>
      </c>
      <c r="G16" s="19" t="n">
        <v>3283.89</v>
      </c>
      <c r="H16" s="19" t="n">
        <v>2358.75</v>
      </c>
      <c r="I16" s="19" t="n">
        <v>3018.36</v>
      </c>
      <c r="J16" s="19" t="n">
        <v>6146.62</v>
      </c>
      <c r="K16" s="19" t="n">
        <v>3875</v>
      </c>
      <c r="L16" s="19" t="n">
        <v>4356.25</v>
      </c>
      <c r="M16" s="19" t="n">
        <v>4130</v>
      </c>
      <c r="N16" s="19" t="n">
        <v>6116.46</v>
      </c>
      <c r="O16" s="19" t="n">
        <v>5353.13</v>
      </c>
      <c r="P16" s="19" t="n">
        <v>2587.5</v>
      </c>
      <c r="Q16" s="19" t="n">
        <v>1981.25</v>
      </c>
      <c r="R16" s="19" t="n">
        <v>1590.62</v>
      </c>
      <c r="S16" s="19" t="n">
        <v>2072.21</v>
      </c>
      <c r="T16" s="83" t="n">
        <v>1639.56</v>
      </c>
      <c r="U16" s="83" t="n">
        <v>1230</v>
      </c>
      <c r="V16" s="83" t="n">
        <v>886.33</v>
      </c>
      <c r="W16" s="20">
        <f>W18*0.079269</f>
        <v/>
      </c>
      <c r="X16" s="20">
        <f>X18*0.079269</f>
        <v/>
      </c>
      <c r="Y16" s="20">
        <f>Y18*0.079269</f>
        <v/>
      </c>
      <c r="Z16" s="20">
        <f>Z18*0.079269</f>
        <v/>
      </c>
      <c r="AA16" s="20">
        <f>AA18*0.079269</f>
        <v/>
      </c>
      <c r="AB16" s="20">
        <f>AB18*0.079269</f>
        <v/>
      </c>
      <c r="AC16" s="20">
        <f>AC18*0.079269</f>
        <v/>
      </c>
      <c r="AD16" s="20">
        <f>AD18*0.079269</f>
        <v/>
      </c>
      <c r="AE16" s="20">
        <f>AE18*0.079269</f>
        <v/>
      </c>
      <c r="AF16" s="20">
        <f>AF18*0.079269</f>
        <v/>
      </c>
      <c r="AG16" s="20">
        <f>AG18*0.079269</f>
        <v/>
      </c>
      <c r="AH16" s="20">
        <f>AH18*0.079269</f>
        <v/>
      </c>
      <c r="AI16" s="20">
        <f>AI18*0.079269</f>
        <v/>
      </c>
      <c r="AJ16" s="20">
        <f>AJ18*0.079269</f>
        <v/>
      </c>
      <c r="AK16" s="20">
        <f>AK18*0.079269</f>
        <v/>
      </c>
      <c r="AL16" s="20">
        <f>AL18*0.079269</f>
        <v/>
      </c>
      <c r="AM16" s="20">
        <f>AM18*0.079269</f>
        <v/>
      </c>
      <c r="AN16" s="20">
        <f>AN18*0.079269</f>
        <v/>
      </c>
      <c r="AO16" s="20">
        <f>AO18*0.079269</f>
        <v/>
      </c>
      <c r="AP16" s="20">
        <f>AP18*0.079269</f>
        <v/>
      </c>
      <c r="AQ16" s="20">
        <f>AQ18*0.079269</f>
        <v/>
      </c>
      <c r="AR16" s="20">
        <f>AR18*0.079269</f>
        <v/>
      </c>
      <c r="AS16" s="20">
        <f>AS18*0.079269</f>
        <v/>
      </c>
      <c r="AT16" s="20">
        <f>AT18*0.079269</f>
        <v/>
      </c>
      <c r="AU16" s="20">
        <f>AU18*0.079269</f>
        <v/>
      </c>
      <c r="AV16" s="20">
        <f>AV18*0.079269</f>
        <v/>
      </c>
      <c r="AW16" s="20">
        <f>AW18*0.079269</f>
        <v/>
      </c>
      <c r="AX16" s="20">
        <f>AX18*0.079269</f>
        <v/>
      </c>
      <c r="AY16" s="20">
        <f>AY18*0.079269</f>
        <v/>
      </c>
      <c r="BA16" s="288">
        <f>SUM(I16:T16)</f>
        <v/>
      </c>
      <c r="BB16" s="274">
        <f>BA16/$BA$22</f>
        <v/>
      </c>
    </row>
    <row r="17">
      <c r="B17" s="33" t="inlineStr">
        <is>
          <t>403004 Other Breakage (incl MTT Breakage)</t>
        </is>
      </c>
      <c r="D17" s="19" t="n">
        <v>0</v>
      </c>
      <c r="E17" s="19" t="n">
        <v>120</v>
      </c>
      <c r="F17" s="19" t="n">
        <v>0</v>
      </c>
      <c r="G17" s="19" t="n">
        <v>0</v>
      </c>
      <c r="H17" s="19" t="n">
        <v>1800</v>
      </c>
      <c r="I17" s="19" t="n">
        <v>480</v>
      </c>
      <c r="J17" s="19" t="n">
        <v>0</v>
      </c>
      <c r="K17" s="19" t="n">
        <v>8693.51</v>
      </c>
      <c r="L17" s="19" t="n">
        <v>845</v>
      </c>
      <c r="M17" s="19" t="n">
        <v>3560</v>
      </c>
      <c r="N17" s="19" t="n">
        <v>1320</v>
      </c>
      <c r="O17" s="19" t="n">
        <v>3280</v>
      </c>
      <c r="P17" s="19" t="n">
        <v>0</v>
      </c>
      <c r="Q17" s="19" t="n">
        <v>0</v>
      </c>
      <c r="R17" s="19" t="n">
        <v>0</v>
      </c>
      <c r="S17" s="19" t="n">
        <v>0</v>
      </c>
      <c r="T17" s="83" t="n">
        <v>0</v>
      </c>
      <c r="U17" s="83" t="n">
        <v>0</v>
      </c>
      <c r="V17" s="83" t="n">
        <v>0</v>
      </c>
      <c r="W17" s="20" t="n">
        <v>0</v>
      </c>
      <c r="X17" s="20" t="n">
        <v>0</v>
      </c>
      <c r="Y17" s="20" t="n">
        <v>0</v>
      </c>
      <c r="Z17" s="20" t="n">
        <v>0</v>
      </c>
      <c r="AA17" s="20" t="n">
        <v>0</v>
      </c>
      <c r="AB17" s="20" t="n">
        <v>0</v>
      </c>
      <c r="AC17" s="20" t="n">
        <v>0</v>
      </c>
      <c r="AD17" s="20" t="n">
        <v>0</v>
      </c>
      <c r="AE17" s="20" t="n">
        <v>0</v>
      </c>
      <c r="AF17" s="20" t="n">
        <v>0</v>
      </c>
      <c r="AG17" s="20" t="n">
        <v>0</v>
      </c>
      <c r="AH17" s="20" t="n">
        <v>0</v>
      </c>
      <c r="AI17" s="20" t="n">
        <v>0</v>
      </c>
      <c r="AJ17" s="20" t="n">
        <v>0</v>
      </c>
      <c r="AK17" s="20" t="n">
        <v>0</v>
      </c>
      <c r="AL17" s="20" t="n">
        <v>0</v>
      </c>
      <c r="AM17" s="20" t="n">
        <v>0</v>
      </c>
      <c r="AN17" s="20" t="n">
        <v>0</v>
      </c>
      <c r="AO17" s="20" t="n">
        <v>0</v>
      </c>
      <c r="AP17" s="20" t="n">
        <v>0</v>
      </c>
      <c r="AQ17" s="20" t="n">
        <v>0</v>
      </c>
      <c r="AR17" s="20" t="n">
        <v>0</v>
      </c>
      <c r="AS17" s="20" t="n">
        <v>0</v>
      </c>
      <c r="AT17" s="20" t="n">
        <v>0</v>
      </c>
      <c r="AU17" s="20" t="n">
        <v>0</v>
      </c>
      <c r="AV17" s="20" t="n">
        <v>0</v>
      </c>
      <c r="AW17" s="20" t="n">
        <v>0</v>
      </c>
      <c r="AX17" s="20" t="n">
        <v>0</v>
      </c>
      <c r="AY17" s="20" t="n">
        <v>0</v>
      </c>
      <c r="BA17" s="288">
        <f>SUM(I17:T17)</f>
        <v/>
      </c>
      <c r="BB17" s="274">
        <f>BA17/$BA$22</f>
        <v/>
      </c>
    </row>
    <row r="18">
      <c r="B18" s="32" t="inlineStr">
        <is>
          <t>Total Breakage Revenue</t>
        </is>
      </c>
      <c r="C18" s="34" t="n"/>
      <c r="D18" s="35">
        <f>SUM(D15:D17)</f>
        <v/>
      </c>
      <c r="E18" s="35">
        <f>SUM(E15:E17)</f>
        <v/>
      </c>
      <c r="F18" s="35">
        <f>SUM(F15:F17)</f>
        <v/>
      </c>
      <c r="G18" s="35">
        <f>SUM(G15:G17)</f>
        <v/>
      </c>
      <c r="H18" s="35">
        <f>SUM(H15:H17)</f>
        <v/>
      </c>
      <c r="I18" s="35">
        <f>SUM(I15:I17)</f>
        <v/>
      </c>
      <c r="J18" s="35">
        <f>SUM(J15:J17)</f>
        <v/>
      </c>
      <c r="K18" s="35">
        <f>SUM(K15:K17)</f>
        <v/>
      </c>
      <c r="L18" s="35">
        <f>SUM(L15:L17)</f>
        <v/>
      </c>
      <c r="M18" s="35">
        <f>SUM(M15:M17)</f>
        <v/>
      </c>
      <c r="N18" s="35">
        <f>SUM(N15:N17)</f>
        <v/>
      </c>
      <c r="O18" s="35">
        <f>SUM(O15:O17)</f>
        <v/>
      </c>
      <c r="P18" s="35">
        <f>P15+P16+P17</f>
        <v/>
      </c>
      <c r="Q18" s="35">
        <f>Q15+Q16+Q17</f>
        <v/>
      </c>
      <c r="R18" s="35">
        <f>R15+R16+R17</f>
        <v/>
      </c>
      <c r="S18" s="35">
        <f>S15+S16+S17</f>
        <v/>
      </c>
      <c r="T18" s="84">
        <f>T15+T16+T17</f>
        <v/>
      </c>
      <c r="U18" s="84">
        <f>U15+U16+U17</f>
        <v/>
      </c>
      <c r="V18" s="84">
        <f>V15+V16+V17</f>
        <v/>
      </c>
      <c r="W18" s="17">
        <f>'Sales Forecast'!W15*Assumptions!$C$13+'Sales Forecast'!V15*Assumptions!$D$13+'Sales Forecast'!U15*Assumptions!$E$13+'Sales Forecast'!T15*Assumptions!$F$13+'Sales Forecast'!S15*Assumptions!$G$13+'Sales Forecast'!R15*Assumptions!$H$13+'Sales Forecast'!Q15*Assumptions!$I$13</f>
        <v/>
      </c>
      <c r="X18" s="17">
        <f>'Sales Forecast'!X15*Assumptions!$C$13+'Sales Forecast'!W15*Assumptions!$D$13+'Sales Forecast'!V15*Assumptions!$E$13+'Sales Forecast'!U15*Assumptions!$F$13+'Sales Forecast'!T15*Assumptions!$G$13+'Sales Forecast'!S15*Assumptions!$H$13+'Sales Forecast'!R15*Assumptions!$I$13</f>
        <v/>
      </c>
      <c r="Y18" s="17">
        <f>'Sales Forecast'!Y15*Assumptions!$C$13+'Sales Forecast'!X15*Assumptions!$D$13+'Sales Forecast'!W15*Assumptions!$E$13+'Sales Forecast'!V15*Assumptions!$F$13+'Sales Forecast'!U15*Assumptions!$G$13+'Sales Forecast'!T15*Assumptions!$H$13+'Sales Forecast'!S15*Assumptions!$I$13</f>
        <v/>
      </c>
      <c r="Z18" s="17">
        <f>'Sales Forecast'!Z15*Assumptions!$C$13+'Sales Forecast'!Y15*Assumptions!$D$13+'Sales Forecast'!X15*Assumptions!$E$13+'Sales Forecast'!W15*Assumptions!$F$13+'Sales Forecast'!V15*Assumptions!$G$13+'Sales Forecast'!U15*Assumptions!$H$13+'Sales Forecast'!T15*Assumptions!$I$13</f>
        <v/>
      </c>
      <c r="AA18" s="17">
        <f>'Sales Forecast'!AA15*Assumptions!$C$13+'Sales Forecast'!Z15*Assumptions!$D$13+'Sales Forecast'!Y15*Assumptions!$E$13+'Sales Forecast'!X15*Assumptions!$F$13+'Sales Forecast'!W15*Assumptions!$G$13+'Sales Forecast'!V15*Assumptions!$H$13+'Sales Forecast'!U15*Assumptions!$I$13</f>
        <v/>
      </c>
      <c r="AB18" s="17">
        <f>'Sales Forecast'!AB15*Assumptions!$C$13+'Sales Forecast'!AA15*Assumptions!$D$13+'Sales Forecast'!Z15*Assumptions!$E$13+'Sales Forecast'!Y15*Assumptions!$F$13+'Sales Forecast'!X15*Assumptions!$G$13+'Sales Forecast'!W15*Assumptions!$H$13+'Sales Forecast'!V15*Assumptions!$I$13</f>
        <v/>
      </c>
      <c r="AC18" s="17">
        <f>'Sales Forecast'!AC15*Assumptions!$C$13+'Sales Forecast'!AB15*Assumptions!$D$13+'Sales Forecast'!AA15*Assumptions!$E$13+'Sales Forecast'!Z15*Assumptions!$F$13+'Sales Forecast'!Y15*Assumptions!$G$13+'Sales Forecast'!X15*Assumptions!$H$13+'Sales Forecast'!W15*Assumptions!$I$13</f>
        <v/>
      </c>
      <c r="AD18" s="17">
        <f>'Sales Forecast'!AD15*Assumptions!$C$13+'Sales Forecast'!AC15*Assumptions!$D$13+'Sales Forecast'!AB15*Assumptions!$E$13+'Sales Forecast'!AA15*Assumptions!$F$13+'Sales Forecast'!Z15*Assumptions!$G$13+'Sales Forecast'!Y15*Assumptions!$H$13+'Sales Forecast'!X15*Assumptions!$I$13</f>
        <v/>
      </c>
      <c r="AE18" s="17">
        <f>'Sales Forecast'!AE15*Assumptions!$C$13+'Sales Forecast'!AD15*Assumptions!$D$13+'Sales Forecast'!AC15*Assumptions!$E$13+'Sales Forecast'!AB15*Assumptions!$F$13+'Sales Forecast'!AA15*Assumptions!$G$13+'Sales Forecast'!Z15*Assumptions!$H$13+'Sales Forecast'!Y15*Assumptions!$I$13</f>
        <v/>
      </c>
      <c r="AF18" s="17">
        <f>'Sales Forecast'!AF15*Assumptions!$C$13+'Sales Forecast'!AE15*Assumptions!$D$13+'Sales Forecast'!AD15*Assumptions!$E$13+'Sales Forecast'!AC15*Assumptions!$F$13+'Sales Forecast'!AB15*Assumptions!$G$13+'Sales Forecast'!AA15*Assumptions!$H$13+'Sales Forecast'!Z15*Assumptions!$I$13</f>
        <v/>
      </c>
      <c r="AG18" s="17">
        <f>'Sales Forecast'!AG15*Assumptions!$C$13+'Sales Forecast'!AF15*Assumptions!$D$13+'Sales Forecast'!AE15*Assumptions!$E$13+'Sales Forecast'!AD15*Assumptions!$F$13+'Sales Forecast'!AC15*Assumptions!$G$13+'Sales Forecast'!AB15*Assumptions!$H$13+'Sales Forecast'!AA15*Assumptions!$I$13</f>
        <v/>
      </c>
      <c r="AH18" s="17">
        <f>'Sales Forecast'!AH15*Assumptions!$C$13+'Sales Forecast'!AG15*Assumptions!$D$13+'Sales Forecast'!AF15*Assumptions!$E$13+'Sales Forecast'!AE15*Assumptions!$F$13+'Sales Forecast'!AD15*Assumptions!$G$13+'Sales Forecast'!AC15*Assumptions!$H$13+'Sales Forecast'!AB15*Assumptions!$I$13</f>
        <v/>
      </c>
      <c r="AI18" s="17">
        <f>'Sales Forecast'!AI15*Assumptions!$C$13+'Sales Forecast'!AH15*Assumptions!$D$13+'Sales Forecast'!AG15*Assumptions!$E$13+'Sales Forecast'!AF15*Assumptions!$F$13+'Sales Forecast'!AE15*Assumptions!$G$13+'Sales Forecast'!AD15*Assumptions!$H$13+'Sales Forecast'!AC15*Assumptions!$I$13</f>
        <v/>
      </c>
      <c r="AJ18" s="17">
        <f>'Sales Forecast'!AJ15*Assumptions!$C$13+'Sales Forecast'!AI15*Assumptions!$D$13+'Sales Forecast'!AH15*Assumptions!$E$13+'Sales Forecast'!AG15*Assumptions!$F$13+'Sales Forecast'!AF15*Assumptions!$G$13+'Sales Forecast'!AE15*Assumptions!$H$13+'Sales Forecast'!AD15*Assumptions!$I$13</f>
        <v/>
      </c>
      <c r="AK18" s="17">
        <f>'Sales Forecast'!AK15*Assumptions!$C$13+'Sales Forecast'!AJ15*Assumptions!$D$13+'Sales Forecast'!AI15*Assumptions!$E$13+'Sales Forecast'!AH15*Assumptions!$F$13+'Sales Forecast'!AG15*Assumptions!$G$13+'Sales Forecast'!AF15*Assumptions!$H$13+'Sales Forecast'!AE15*Assumptions!$I$13</f>
        <v/>
      </c>
      <c r="AL18" s="17">
        <f>'Sales Forecast'!AL15*Assumptions!$C$13+'Sales Forecast'!AK15*Assumptions!$D$13+'Sales Forecast'!AJ15*Assumptions!$E$13+'Sales Forecast'!AI15*Assumptions!$F$13+'Sales Forecast'!AH15*Assumptions!$G$13+'Sales Forecast'!AG15*Assumptions!$H$13+'Sales Forecast'!AF15*Assumptions!$I$13</f>
        <v/>
      </c>
      <c r="AM18" s="17">
        <f>'Sales Forecast'!AM15*Assumptions!$C$13+'Sales Forecast'!AL15*Assumptions!$D$13+'Sales Forecast'!AK15*Assumptions!$E$13+'Sales Forecast'!AJ15*Assumptions!$F$13+'Sales Forecast'!AI15*Assumptions!$G$13+'Sales Forecast'!AH15*Assumptions!$H$13+'Sales Forecast'!AG15*Assumptions!$I$13</f>
        <v/>
      </c>
      <c r="AN18" s="17">
        <f>'Sales Forecast'!AN15*Assumptions!$C$13+'Sales Forecast'!AM15*Assumptions!$D$13+'Sales Forecast'!AL15*Assumptions!$E$13+'Sales Forecast'!AK15*Assumptions!$F$13+'Sales Forecast'!AJ15*Assumptions!$G$13+'Sales Forecast'!AI15*Assumptions!$H$13+'Sales Forecast'!AH15*Assumptions!$I$13</f>
        <v/>
      </c>
      <c r="AO18" s="17">
        <f>'Sales Forecast'!AO15*Assumptions!$C$13+'Sales Forecast'!AN15*Assumptions!$D$13+'Sales Forecast'!AM15*Assumptions!$E$13+'Sales Forecast'!AL15*Assumptions!$F$13+'Sales Forecast'!AK15*Assumptions!$G$13+'Sales Forecast'!AJ15*Assumptions!$H$13+'Sales Forecast'!AI15*Assumptions!$I$13</f>
        <v/>
      </c>
      <c r="AP18" s="17">
        <f>'Sales Forecast'!AP15*Assumptions!$C$13+'Sales Forecast'!AO15*Assumptions!$D$13+'Sales Forecast'!AN15*Assumptions!$E$13+'Sales Forecast'!AM15*Assumptions!$F$13+'Sales Forecast'!AL15*Assumptions!$G$13+'Sales Forecast'!AK15*Assumptions!$H$13+'Sales Forecast'!AJ15*Assumptions!$I$13</f>
        <v/>
      </c>
      <c r="AQ18" s="17">
        <f>'Sales Forecast'!AQ15*Assumptions!$C$13+'Sales Forecast'!AP15*Assumptions!$D$13+'Sales Forecast'!AO15*Assumptions!$E$13+'Sales Forecast'!AN15*Assumptions!$F$13+'Sales Forecast'!AM15*Assumptions!$G$13+'Sales Forecast'!AL15*Assumptions!$H$13+'Sales Forecast'!AK15*Assumptions!$I$13</f>
        <v/>
      </c>
      <c r="AR18" s="17">
        <f>'Sales Forecast'!AR15*Assumptions!$C$13+'Sales Forecast'!AQ15*Assumptions!$D$13+'Sales Forecast'!AP15*Assumptions!$E$13+'Sales Forecast'!AO15*Assumptions!$F$13+'Sales Forecast'!AN15*Assumptions!$G$13+'Sales Forecast'!AM15*Assumptions!$H$13+'Sales Forecast'!AL15*Assumptions!$I$13</f>
        <v/>
      </c>
      <c r="AS18" s="17">
        <f>'Sales Forecast'!AS15*Assumptions!$C$13+'Sales Forecast'!AR15*Assumptions!$D$13+'Sales Forecast'!AQ15*Assumptions!$E$13+'Sales Forecast'!AP15*Assumptions!$F$13+'Sales Forecast'!AO15*Assumptions!$G$13+'Sales Forecast'!AN15*Assumptions!$H$13+'Sales Forecast'!AM15*Assumptions!$I$13</f>
        <v/>
      </c>
      <c r="AT18" s="17">
        <f>'Sales Forecast'!AT15*Assumptions!$C$13+'Sales Forecast'!AS15*Assumptions!$D$13+'Sales Forecast'!AR15*Assumptions!$E$13+'Sales Forecast'!AQ15*Assumptions!$F$13+'Sales Forecast'!AP15*Assumptions!$G$13+'Sales Forecast'!AO15*Assumptions!$H$13+'Sales Forecast'!AN15*Assumptions!$I$13</f>
        <v/>
      </c>
      <c r="AU18" s="17">
        <f>'Sales Forecast'!AU15*Assumptions!$C$13+'Sales Forecast'!AT15*Assumptions!$D$13+'Sales Forecast'!AS15*Assumptions!$E$13+'Sales Forecast'!AR15*Assumptions!$F$13+'Sales Forecast'!AQ15*Assumptions!$G$13+'Sales Forecast'!AP15*Assumptions!$H$13+'Sales Forecast'!AO15*Assumptions!$I$13</f>
        <v/>
      </c>
      <c r="AV18" s="17">
        <f>'Sales Forecast'!AV15*Assumptions!$C$13+'Sales Forecast'!AU15*Assumptions!$D$13+'Sales Forecast'!AT15*Assumptions!$E$13+'Sales Forecast'!AS15*Assumptions!$F$13+'Sales Forecast'!AR15*Assumptions!$G$13+'Sales Forecast'!AQ15*Assumptions!$H$13+'Sales Forecast'!AP15*Assumptions!$I$13</f>
        <v/>
      </c>
      <c r="AW18" s="17">
        <f>'Sales Forecast'!AW15*Assumptions!$C$13+'Sales Forecast'!AV15*Assumptions!$D$13+'Sales Forecast'!AU15*Assumptions!$E$13+'Sales Forecast'!AT15*Assumptions!$F$13+'Sales Forecast'!AS15*Assumptions!$G$13+'Sales Forecast'!AR15*Assumptions!$H$13+'Sales Forecast'!AQ15*Assumptions!$I$13</f>
        <v/>
      </c>
      <c r="AX18" s="17">
        <f>'Sales Forecast'!AX15*Assumptions!$C$13+'Sales Forecast'!AW15*Assumptions!$D$13+'Sales Forecast'!AV15*Assumptions!$E$13+'Sales Forecast'!AU15*Assumptions!$F$13+'Sales Forecast'!AT15*Assumptions!$G$13+'Sales Forecast'!AS15*Assumptions!$H$13+'Sales Forecast'!AR15*Assumptions!$I$13</f>
        <v/>
      </c>
      <c r="AY18" s="17">
        <f>'Sales Forecast'!AY15*Assumptions!$C$13+'Sales Forecast'!AX15*Assumptions!$D$13+'Sales Forecast'!AW15*Assumptions!$E$13+'Sales Forecast'!AV15*Assumptions!$F$13+'Sales Forecast'!AU15*Assumptions!$G$13+'Sales Forecast'!AT15*Assumptions!$H$13+'Sales Forecast'!AS15*Assumptions!$I$13</f>
        <v/>
      </c>
      <c r="BA18" s="288" t="n"/>
    </row>
    <row r="19">
      <c r="B19" s="33" t="inlineStr">
        <is>
          <t xml:space="preserve">  404000 Retail Sales</t>
        </is>
      </c>
      <c r="D19" s="19" t="n">
        <v>3870</v>
      </c>
      <c r="E19" s="19" t="n">
        <v>4207</v>
      </c>
      <c r="F19" s="19" t="n">
        <v>3294</v>
      </c>
      <c r="G19" s="19" t="n">
        <v>2111</v>
      </c>
      <c r="H19" s="19" t="n">
        <v>2753</v>
      </c>
      <c r="I19" s="19" t="n">
        <v>3514</v>
      </c>
      <c r="J19" s="19" t="n">
        <v>3095</v>
      </c>
      <c r="K19" s="19" t="n">
        <v>3080</v>
      </c>
      <c r="L19" s="19" t="n">
        <v>2906</v>
      </c>
      <c r="M19" s="19" t="n">
        <v>2358</v>
      </c>
      <c r="N19" s="19" t="n">
        <v>2439</v>
      </c>
      <c r="O19" s="19" t="n">
        <v>2116</v>
      </c>
      <c r="P19" s="19" t="n">
        <v>2930</v>
      </c>
      <c r="Q19" s="19" t="n">
        <v>3266</v>
      </c>
      <c r="R19" s="19" t="n">
        <v>2548</v>
      </c>
      <c r="S19" s="19" t="n">
        <v>3173</v>
      </c>
      <c r="T19" s="83" t="n">
        <v>1345</v>
      </c>
      <c r="U19" s="83" t="n">
        <v>1988</v>
      </c>
      <c r="V19" s="83" t="n">
        <v>1293</v>
      </c>
      <c r="W19" s="20">
        <f>2979.25</f>
        <v/>
      </c>
      <c r="X19" s="20">
        <f>2979.25</f>
        <v/>
      </c>
      <c r="Y19" s="20">
        <f>2979.25</f>
        <v/>
      </c>
      <c r="Z19" s="20">
        <f>2979.25</f>
        <v/>
      </c>
      <c r="AA19" s="20">
        <f>2979.25</f>
        <v/>
      </c>
      <c r="AB19" s="20">
        <f>2979.25</f>
        <v/>
      </c>
      <c r="AC19" s="20">
        <f>2979.25</f>
        <v/>
      </c>
      <c r="AD19" s="20">
        <f>2979.25</f>
        <v/>
      </c>
      <c r="AE19" s="20">
        <f>2979.25</f>
        <v/>
      </c>
      <c r="AF19" s="20">
        <f>2979.25</f>
        <v/>
      </c>
      <c r="AG19" s="20">
        <f>2979.25</f>
        <v/>
      </c>
      <c r="AH19" s="20">
        <f>2979.25</f>
        <v/>
      </c>
      <c r="AI19" s="20">
        <f>2979.25</f>
        <v/>
      </c>
      <c r="AJ19" s="20">
        <f>2979.25</f>
        <v/>
      </c>
      <c r="AK19" s="20">
        <f>2979.25</f>
        <v/>
      </c>
      <c r="AL19" s="20">
        <f>2979.25</f>
        <v/>
      </c>
      <c r="AM19" s="20">
        <f>2979.25</f>
        <v/>
      </c>
      <c r="AN19" s="20">
        <f>2979.25</f>
        <v/>
      </c>
      <c r="AO19" s="20">
        <f>2979.25</f>
        <v/>
      </c>
      <c r="AP19" s="20">
        <f>2979.25</f>
        <v/>
      </c>
      <c r="AQ19" s="20">
        <f>2979.25</f>
        <v/>
      </c>
      <c r="AR19" s="20">
        <f>2979.25</f>
        <v/>
      </c>
      <c r="AS19" s="20">
        <f>2979.25</f>
        <v/>
      </c>
      <c r="AT19" s="20">
        <f>2979.25</f>
        <v/>
      </c>
      <c r="AU19" s="20">
        <f>2979.25</f>
        <v/>
      </c>
      <c r="AV19" s="20">
        <f>2979.25</f>
        <v/>
      </c>
      <c r="AW19" s="20">
        <f>2979.25</f>
        <v/>
      </c>
      <c r="AX19" s="20">
        <f>2979.25</f>
        <v/>
      </c>
      <c r="AY19" s="20">
        <f>2979.25</f>
        <v/>
      </c>
      <c r="BA19" s="288">
        <f>SUM(I19:T19)</f>
        <v/>
      </c>
      <c r="BB19" s="274">
        <f>BA19/$BA$22</f>
        <v/>
      </c>
    </row>
    <row r="20">
      <c r="B20" s="33" t="inlineStr">
        <is>
          <t xml:space="preserve">  406000 Refunds</t>
        </is>
      </c>
      <c r="D20" s="19" t="n">
        <v>-1190.01</v>
      </c>
      <c r="E20" s="19" t="n">
        <v>-1120.55</v>
      </c>
      <c r="F20" s="19" t="n">
        <v>-3615.48</v>
      </c>
      <c r="G20" s="19" t="n">
        <v>-650</v>
      </c>
      <c r="H20" s="19" t="n">
        <v>-3512.26</v>
      </c>
      <c r="I20" s="19" t="n">
        <v>-2185.9</v>
      </c>
      <c r="J20" s="19" t="n">
        <v>-3189.2</v>
      </c>
      <c r="K20" s="19" t="n">
        <v>-3826.01</v>
      </c>
      <c r="L20" s="19" t="n">
        <v>-2791.5</v>
      </c>
      <c r="M20" s="19" t="n">
        <v>-5972.4</v>
      </c>
      <c r="N20" s="19" t="n">
        <v>-3589.56</v>
      </c>
      <c r="O20" s="19" t="n">
        <v>-3698.8</v>
      </c>
      <c r="P20" s="19" t="n">
        <v>-2447.09</v>
      </c>
      <c r="Q20" s="19" t="n">
        <v>-4513.2</v>
      </c>
      <c r="R20" s="19" t="n">
        <v>-4364.6</v>
      </c>
      <c r="S20" s="19" t="n">
        <v>-1510.11</v>
      </c>
      <c r="T20" s="19" t="n">
        <v>-2179.2</v>
      </c>
      <c r="U20" s="19" t="n">
        <v>-2013.5</v>
      </c>
      <c r="V20" s="19" t="n">
        <v>-3052.5</v>
      </c>
      <c r="W20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Forecast'!Q15*Assumptions!$I$13+2979.25)*Assumptions!$C$17</f>
        <v/>
      </c>
      <c r="X20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Forecast'!R15*Assumptions!$I$13+2979.25)*Assumptions!$C$17</f>
        <v/>
      </c>
      <c r="Y20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Forecast'!S15*Assumptions!$I$13+2979.25)*Assumptions!$C$17</f>
        <v/>
      </c>
      <c r="Z20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Forecast'!T15*Assumptions!$I$13+2979.25)*Assumptions!$C$17</f>
        <v/>
      </c>
      <c r="AA20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Forecast'!U15*Assumptions!$I$13+2979.25)*Assumptions!$C$17</f>
        <v/>
      </c>
      <c r="AB20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Forecast'!V15*Assumptions!$I$13+2979.25)*Assumptions!$C$17</f>
        <v/>
      </c>
      <c r="AC20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Forecast'!W15*Assumptions!$I$13+2979.25)*Assumptions!$C$17</f>
        <v/>
      </c>
      <c r="AD20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Forecast'!X15*Assumptions!$I$13+2979.25)*Assumptions!$C$17</f>
        <v/>
      </c>
      <c r="AE20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Forecast'!Y15*Assumptions!$I$13+2979.25)*Assumptions!$C$17</f>
        <v/>
      </c>
      <c r="AF20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Forecast'!Z15*Assumptions!$I$13+2979.25)*Assumptions!$C$17</f>
        <v/>
      </c>
      <c r="AG20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Forecast'!AA15*Assumptions!$I$13+2979.25)*Assumptions!$C$17</f>
        <v/>
      </c>
      <c r="AH20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Forecast'!AB15*Assumptions!$I$13+2979.25)*Assumptions!$C$17</f>
        <v/>
      </c>
      <c r="AI20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Forecast'!AC15*Assumptions!$I$13+2979.25)*Assumptions!$C$17</f>
        <v/>
      </c>
      <c r="AJ20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Forecast'!AD15*Assumptions!$I$13+2979.25)*Assumptions!$C$17</f>
        <v/>
      </c>
      <c r="AK20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Forecast'!AE15*Assumptions!$I$13+2979.25)*Assumptions!$C$17</f>
        <v/>
      </c>
      <c r="AL20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Forecast'!AF15*Assumptions!$I$13+2979.25)*Assumptions!$C$17</f>
        <v/>
      </c>
      <c r="AM20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Forecast'!AG15*Assumptions!$I$13+2979.25)*Assumptions!$C$17</f>
        <v/>
      </c>
      <c r="AN20" s="20">
        <f>('Sales Forecast'!AN15*Assumptions!$C$12+'Sales Forecast'!AM15*Assumptions!$D$12+'Sales Forecast'!AL15*Assumptions!$E$12+'Sales Forecast'!AK15*Assumptions!$F$12+'Sales Forecast'!AJ15*Assumptions!$G$12+'Sales Forecast'!AI15*Assumptions!$H$12+'Sales Forecast'!AH15*Assumptions!$I$12+'Sales Forecast'!AN15*Assumptions!$C$13+'Sales Forecast'!AM15*Assumptions!$D$13+'Sales Forecast'!AL15*Assumptions!$E$13+'Sales Forecast'!AK15*Assumptions!$F$13+'Sales Forecast'!AJ15*Assumptions!$G$13+'Sales Forecast'!AI15*Assumptions!$H$13+'Sales Forecast'!AH15*Assumptions!$I$13+2979.25)*Assumptions!$C$17</f>
        <v/>
      </c>
      <c r="AO20" s="20">
        <f>('Sales Forecast'!AO15*Assumptions!$C$12+'Sales Forecast'!AN15*Assumptions!$D$12+'Sales Forecast'!AM15*Assumptions!$E$12+'Sales Forecast'!AL15*Assumptions!$F$12+'Sales Forecast'!AK15*Assumptions!$G$12+'Sales Forecast'!AJ15*Assumptions!$H$12+'Sales Forecast'!AI15*Assumptions!$I$12+'Sales Forecast'!AO15*Assumptions!$C$13+'Sales Forecast'!AN15*Assumptions!$D$13+'Sales Forecast'!AM15*Assumptions!$E$13+'Sales Forecast'!AL15*Assumptions!$F$13+'Sales Forecast'!AK15*Assumptions!$G$13+'Sales Forecast'!AJ15*Assumptions!$H$13+'Sales Forecast'!AI15*Assumptions!$I$13+2979.25)*Assumptions!$C$17</f>
        <v/>
      </c>
      <c r="AP20" s="20">
        <f>('Sales Forecast'!AP15*Assumptions!$C$12+'Sales Forecast'!AO15*Assumptions!$D$12+'Sales Forecast'!AN15*Assumptions!$E$12+'Sales Forecast'!AM15*Assumptions!$F$12+'Sales Forecast'!AL15*Assumptions!$G$12+'Sales Forecast'!AK15*Assumptions!$H$12+'Sales Forecast'!AJ15*Assumptions!$I$12+'Sales Forecast'!AP15*Assumptions!$C$13+'Sales Forecast'!AO15*Assumptions!$D$13+'Sales Forecast'!AN15*Assumptions!$E$13+'Sales Forecast'!AM15*Assumptions!$F$13+'Sales Forecast'!AL15*Assumptions!$G$13+'Sales Forecast'!AK15*Assumptions!$H$13+'Sales Forecast'!AJ15*Assumptions!$I$13+2979.25)*Assumptions!$C$17</f>
        <v/>
      </c>
      <c r="AQ20" s="20">
        <f>('Sales Forecast'!AQ15*Assumptions!$C$12+'Sales Forecast'!AP15*Assumptions!$D$12+'Sales Forecast'!AO15*Assumptions!$E$12+'Sales Forecast'!AN15*Assumptions!$F$12+'Sales Forecast'!AM15*Assumptions!$G$12+'Sales Forecast'!AL15*Assumptions!$H$12+'Sales Forecast'!AK15*Assumptions!$I$12+'Sales Forecast'!AQ15*Assumptions!$C$13+'Sales Forecast'!AP15*Assumptions!$D$13+'Sales Forecast'!AO15*Assumptions!$E$13+'Sales Forecast'!AN15*Assumptions!$F$13+'Sales Forecast'!AM15*Assumptions!$G$13+'Sales Forecast'!AL15*Assumptions!$H$13+'Sales Forecast'!AK15*Assumptions!$I$13+2979.25)*Assumptions!$C$17</f>
        <v/>
      </c>
      <c r="AR20" s="20">
        <f>('Sales Forecast'!AR15*Assumptions!$C$12+'Sales Forecast'!AQ15*Assumptions!$D$12+'Sales Forecast'!AP15*Assumptions!$E$12+'Sales Forecast'!AO15*Assumptions!$F$12+'Sales Forecast'!AN15*Assumptions!$G$12+'Sales Forecast'!AM15*Assumptions!$H$12+'Sales Forecast'!AL15*Assumptions!$I$12+'Sales Forecast'!AR15*Assumptions!$C$13+'Sales Forecast'!AQ15*Assumptions!$D$13+'Sales Forecast'!AP15*Assumptions!$E$13+'Sales Forecast'!AO15*Assumptions!$F$13+'Sales Forecast'!AN15*Assumptions!$G$13+'Sales Forecast'!AM15*Assumptions!$H$13+'Sales Forecast'!AL15*Assumptions!$I$13+2979.25)*Assumptions!$C$17</f>
        <v/>
      </c>
      <c r="AS20" s="20">
        <f>('Sales Forecast'!AS15*Assumptions!$C$12+'Sales Forecast'!AR15*Assumptions!$D$12+'Sales Forecast'!AQ15*Assumptions!$E$12+'Sales Forecast'!AP15*Assumptions!$F$12+'Sales Forecast'!AO15*Assumptions!$G$12+'Sales Forecast'!AN15*Assumptions!$H$12+'Sales Forecast'!AM15*Assumptions!$I$12+'Sales Forecast'!AS15*Assumptions!$C$13+'Sales Forecast'!AR15*Assumptions!$D$13+'Sales Forecast'!AQ15*Assumptions!$E$13+'Sales Forecast'!AP15*Assumptions!$F$13+'Sales Forecast'!AO15*Assumptions!$G$13+'Sales Forecast'!AN15*Assumptions!$H$13+'Sales Forecast'!AM15*Assumptions!$I$13+2979.25)*Assumptions!$C$17</f>
        <v/>
      </c>
      <c r="AT20" s="20">
        <f>('Sales Forecast'!AT15*Assumptions!$C$12+'Sales Forecast'!AS15*Assumptions!$D$12+'Sales Forecast'!AR15*Assumptions!$E$12+'Sales Forecast'!AQ15*Assumptions!$F$12+'Sales Forecast'!AP15*Assumptions!$G$12+'Sales Forecast'!AO15*Assumptions!$H$12+'Sales Forecast'!AN15*Assumptions!$I$12+'Sales Forecast'!AT15*Assumptions!$C$13+'Sales Forecast'!AS15*Assumptions!$D$13+'Sales Forecast'!AR15*Assumptions!$E$13+'Sales Forecast'!AQ15*Assumptions!$F$13+'Sales Forecast'!AP15*Assumptions!$G$13+'Sales Forecast'!AO15*Assumptions!$H$13+'Sales Forecast'!AN15*Assumptions!$I$13+2979.25)*Assumptions!$C$17</f>
        <v/>
      </c>
      <c r="AU20" s="20">
        <f>('Sales Forecast'!AU15*Assumptions!$C$12+'Sales Forecast'!AT15*Assumptions!$D$12+'Sales Forecast'!AS15*Assumptions!$E$12+'Sales Forecast'!AR15*Assumptions!$F$12+'Sales Forecast'!AQ15*Assumptions!$G$12+'Sales Forecast'!AP15*Assumptions!$H$12+'Sales Forecast'!AO15*Assumptions!$I$12+'Sales Forecast'!AU15*Assumptions!$C$13+'Sales Forecast'!AT15*Assumptions!$D$13+'Sales Forecast'!AS15*Assumptions!$E$13+'Sales Forecast'!AR15*Assumptions!$F$13+'Sales Forecast'!AQ15*Assumptions!$G$13+'Sales Forecast'!AP15*Assumptions!$H$13+'Sales Forecast'!AO15*Assumptions!$I$13+2979.25)*Assumptions!$C$17</f>
        <v/>
      </c>
      <c r="AV20" s="20">
        <f>('Sales Forecast'!AV15*Assumptions!$C$12+'Sales Forecast'!AU15*Assumptions!$D$12+'Sales Forecast'!AT15*Assumptions!$E$12+'Sales Forecast'!AS15*Assumptions!$F$12+'Sales Forecast'!AR15*Assumptions!$G$12+'Sales Forecast'!AQ15*Assumptions!$H$12+'Sales Forecast'!AP15*Assumptions!$I$12+'Sales Forecast'!AV15*Assumptions!$C$13+'Sales Forecast'!AU15*Assumptions!$D$13+'Sales Forecast'!AT15*Assumptions!$E$13+'Sales Forecast'!AS15*Assumptions!$F$13+'Sales Forecast'!AR15*Assumptions!$G$13+'Sales Forecast'!AQ15*Assumptions!$H$13+'Sales Forecast'!AP15*Assumptions!$I$13+2979.25)*Assumptions!$C$17</f>
        <v/>
      </c>
      <c r="AW20" s="20">
        <f>('Sales Forecast'!AW15*Assumptions!$C$12+'Sales Forecast'!AV15*Assumptions!$D$12+'Sales Forecast'!AU15*Assumptions!$E$12+'Sales Forecast'!AT15*Assumptions!$F$12+'Sales Forecast'!AS15*Assumptions!$G$12+'Sales Forecast'!AR15*Assumptions!$H$12+'Sales Forecast'!AQ15*Assumptions!$I$12+'Sales Forecast'!AW15*Assumptions!$C$13+'Sales Forecast'!AV15*Assumptions!$D$13+'Sales Forecast'!AU15*Assumptions!$E$13+'Sales Forecast'!AT15*Assumptions!$F$13+'Sales Forecast'!AS15*Assumptions!$G$13+'Sales Forecast'!AR15*Assumptions!$H$13+'Sales Forecast'!AQ15*Assumptions!$I$13+2979.25)*Assumptions!$C$17</f>
        <v/>
      </c>
      <c r="AX20" s="20">
        <f>('Sales Forecast'!AX15*Assumptions!$C$12+'Sales Forecast'!AW15*Assumptions!$D$12+'Sales Forecast'!AV15*Assumptions!$E$12+'Sales Forecast'!AU15*Assumptions!$F$12+'Sales Forecast'!AT15*Assumptions!$G$12+'Sales Forecast'!AS15*Assumptions!$H$12+'Sales Forecast'!AR15*Assumptions!$I$12+'Sales Forecast'!AX15*Assumptions!$C$13+'Sales Forecast'!AW15*Assumptions!$D$13+'Sales Forecast'!AV15*Assumptions!$E$13+'Sales Forecast'!AU15*Assumptions!$F$13+'Sales Forecast'!AT15*Assumptions!$G$13+'Sales Forecast'!AS15*Assumptions!$H$13+'Sales Forecast'!AR15*Assumptions!$I$13+2979.25)*Assumptions!$C$17</f>
        <v/>
      </c>
      <c r="AY20" s="20">
        <f>('Sales Forecast'!AY15*Assumptions!$C$12+'Sales Forecast'!AX15*Assumptions!$D$12+'Sales Forecast'!AW15*Assumptions!$E$12+'Sales Forecast'!AV15*Assumptions!$F$12+'Sales Forecast'!AU15*Assumptions!$G$12+'Sales Forecast'!AT15*Assumptions!$H$12+'Sales Forecast'!AS15*Assumptions!$I$12+'Sales Forecast'!AY15*Assumptions!$C$13+'Sales Forecast'!AX15*Assumptions!$D$13+'Sales Forecast'!AW15*Assumptions!$E$13+'Sales Forecast'!AV15*Assumptions!$F$13+'Sales Forecast'!AU15*Assumptions!$G$13+'Sales Forecast'!AT15*Assumptions!$H$13+'Sales Forecast'!AS15*Assumptions!$I$13+2979.25)*Assumptions!$C$17</f>
        <v/>
      </c>
      <c r="BA20" s="288">
        <f>SUM(I20:T20)</f>
        <v/>
      </c>
      <c r="BB20" s="274">
        <f>BA20/$BA$22</f>
        <v/>
      </c>
    </row>
    <row r="21">
      <c r="B21" s="33" t="inlineStr">
        <is>
          <t xml:space="preserve">  407000 Discounts</t>
        </is>
      </c>
      <c r="D21" s="19" t="n">
        <v>-21472.45</v>
      </c>
      <c r="E21" s="19" t="n">
        <v>-20640.9</v>
      </c>
      <c r="F21" s="19" t="n">
        <v>-24928.8</v>
      </c>
      <c r="G21" s="19" t="n">
        <v>-16974.31</v>
      </c>
      <c r="H21" s="19" t="n">
        <v>-19575</v>
      </c>
      <c r="I21" s="19" t="n">
        <v>-11665.8</v>
      </c>
      <c r="J21" s="19" t="n">
        <v>-11236.45</v>
      </c>
      <c r="K21" s="19" t="n">
        <v>-12583.6</v>
      </c>
      <c r="L21" s="19" t="n">
        <v>-11473.3</v>
      </c>
      <c r="M21" s="19" t="n">
        <v>-12466.45</v>
      </c>
      <c r="N21" s="19" t="n">
        <v>-6846.1</v>
      </c>
      <c r="O21" s="19" t="n">
        <v>-12776.15</v>
      </c>
      <c r="P21" s="19" t="n">
        <v>-9180.58</v>
      </c>
      <c r="Q21" s="19" t="n">
        <v>-11390.15</v>
      </c>
      <c r="R21" s="19" t="n">
        <v>-14178</v>
      </c>
      <c r="S21" s="19" t="n">
        <v>-4459.9</v>
      </c>
      <c r="T21" s="19" t="n">
        <v>-9276.35</v>
      </c>
      <c r="U21" s="19" t="n">
        <v>-8527.5</v>
      </c>
      <c r="V21" s="19" t="n">
        <v>-14437.25</v>
      </c>
      <c r="W21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Forecast'!Q15*Assumptions!$I$13+2979.25)*Assumptions!$C$18</f>
        <v/>
      </c>
      <c r="X21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Forecast'!R15*Assumptions!$I$13+2979.25)*Assumptions!$C$18</f>
        <v/>
      </c>
      <c r="Y21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Forecast'!S15*Assumptions!$I$13+2979.25)*Assumptions!$C$18</f>
        <v/>
      </c>
      <c r="Z21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Forecast'!T15*Assumptions!$I$13+2979.25)*Assumptions!$C$18</f>
        <v/>
      </c>
      <c r="AA21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Forecast'!U15*Assumptions!$I$13+2979.25)*Assumptions!$C$18</f>
        <v/>
      </c>
      <c r="AB21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Forecast'!V15*Assumptions!$I$13+2979.25)*Assumptions!$C$18</f>
        <v/>
      </c>
      <c r="AC21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Forecast'!W15*Assumptions!$I$13+2979.25)*Assumptions!$C$18</f>
        <v/>
      </c>
      <c r="AD21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Forecast'!X15*Assumptions!$I$13+2979.25)*Assumptions!$C$18</f>
        <v/>
      </c>
      <c r="AE21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Forecast'!Y15*Assumptions!$I$13+2979.25)*Assumptions!$C$18</f>
        <v/>
      </c>
      <c r="AF21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Forecast'!Z15*Assumptions!$I$13+2979.25)*Assumptions!$C$18</f>
        <v/>
      </c>
      <c r="AG21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Forecast'!AA15*Assumptions!$I$13+2979.25)*Assumptions!$C$18</f>
        <v/>
      </c>
      <c r="AH21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Forecast'!AB15*Assumptions!$I$13+2979.25)*Assumptions!$C$18</f>
        <v/>
      </c>
      <c r="AI21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Forecast'!AC15*Assumptions!$I$13+2979.25)*Assumptions!$C$18</f>
        <v/>
      </c>
      <c r="AJ21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Forecast'!AD15*Assumptions!$I$13+2979.25)*Assumptions!$C$18</f>
        <v/>
      </c>
      <c r="AK21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Forecast'!AE15*Assumptions!$I$13+2979.25)*Assumptions!$C$18</f>
        <v/>
      </c>
      <c r="AL21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Forecast'!AF15*Assumptions!$I$13+2979.25)*Assumptions!$C$18</f>
        <v/>
      </c>
      <c r="AM21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Forecast'!AG15*Assumptions!$I$13+2979.25)*Assumptions!$C$18</f>
        <v/>
      </c>
      <c r="AN21" s="20">
        <f>('Sales Forecast'!AN15*Assumptions!$C$12+'Sales Forecast'!AM15*Assumptions!$D$12+'Sales Forecast'!AL15*Assumptions!$E$12+'Sales Forecast'!AK15*Assumptions!$F$12+'Sales Forecast'!AJ15*Assumptions!$G$12+'Sales Forecast'!AI15*Assumptions!$H$12+'Sales Forecast'!AH15*Assumptions!$I$12+'Sales Forecast'!AN15*Assumptions!$C$13+'Sales Forecast'!AM15*Assumptions!$D$13+'Sales Forecast'!AL15*Assumptions!$E$13+'Sales Forecast'!AK15*Assumptions!$F$13+'Sales Forecast'!AJ15*Assumptions!$G$13+'Sales Forecast'!AI15*Assumptions!$H$13+'Sales Forecast'!AH15*Assumptions!$I$13+2979.25)*Assumptions!$C$18</f>
        <v/>
      </c>
      <c r="AO21" s="20">
        <f>('Sales Forecast'!AO15*Assumptions!$C$12+'Sales Forecast'!AN15*Assumptions!$D$12+'Sales Forecast'!AM15*Assumptions!$E$12+'Sales Forecast'!AL15*Assumptions!$F$12+'Sales Forecast'!AK15*Assumptions!$G$12+'Sales Forecast'!AJ15*Assumptions!$H$12+'Sales Forecast'!AI15*Assumptions!$I$12+'Sales Forecast'!AO15*Assumptions!$C$13+'Sales Forecast'!AN15*Assumptions!$D$13+'Sales Forecast'!AM15*Assumptions!$E$13+'Sales Forecast'!AL15*Assumptions!$F$13+'Sales Forecast'!AK15*Assumptions!$G$13+'Sales Forecast'!AJ15*Assumptions!$H$13+'Sales Forecast'!AI15*Assumptions!$I$13+2979.25)*Assumptions!$C$18</f>
        <v/>
      </c>
      <c r="AP21" s="20">
        <f>('Sales Forecast'!AP15*Assumptions!$C$12+'Sales Forecast'!AO15*Assumptions!$D$12+'Sales Forecast'!AN15*Assumptions!$E$12+'Sales Forecast'!AM15*Assumptions!$F$12+'Sales Forecast'!AL15*Assumptions!$G$12+'Sales Forecast'!AK15*Assumptions!$H$12+'Sales Forecast'!AJ15*Assumptions!$I$12+'Sales Forecast'!AP15*Assumptions!$C$13+'Sales Forecast'!AO15*Assumptions!$D$13+'Sales Forecast'!AN15*Assumptions!$E$13+'Sales Forecast'!AM15*Assumptions!$F$13+'Sales Forecast'!AL15*Assumptions!$G$13+'Sales Forecast'!AK15*Assumptions!$H$13+'Sales Forecast'!AJ15*Assumptions!$I$13+2979.25)*Assumptions!$C$18</f>
        <v/>
      </c>
      <c r="AQ21" s="20">
        <f>('Sales Forecast'!AQ15*Assumptions!$C$12+'Sales Forecast'!AP15*Assumptions!$D$12+'Sales Forecast'!AO15*Assumptions!$E$12+'Sales Forecast'!AN15*Assumptions!$F$12+'Sales Forecast'!AM15*Assumptions!$G$12+'Sales Forecast'!AL15*Assumptions!$H$12+'Sales Forecast'!AK15*Assumptions!$I$12+'Sales Forecast'!AQ15*Assumptions!$C$13+'Sales Forecast'!AP15*Assumptions!$D$13+'Sales Forecast'!AO15*Assumptions!$E$13+'Sales Forecast'!AN15*Assumptions!$F$13+'Sales Forecast'!AM15*Assumptions!$G$13+'Sales Forecast'!AL15*Assumptions!$H$13+'Sales Forecast'!AK15*Assumptions!$I$13+2979.25)*Assumptions!$C$18</f>
        <v/>
      </c>
      <c r="AR21" s="20">
        <f>('Sales Forecast'!AR15*Assumptions!$C$12+'Sales Forecast'!AQ15*Assumptions!$D$12+'Sales Forecast'!AP15*Assumptions!$E$12+'Sales Forecast'!AO15*Assumptions!$F$12+'Sales Forecast'!AN15*Assumptions!$G$12+'Sales Forecast'!AM15*Assumptions!$H$12+'Sales Forecast'!AL15*Assumptions!$I$12+'Sales Forecast'!AR15*Assumptions!$C$13+'Sales Forecast'!AQ15*Assumptions!$D$13+'Sales Forecast'!AP15*Assumptions!$E$13+'Sales Forecast'!AO15*Assumptions!$F$13+'Sales Forecast'!AN15*Assumptions!$G$13+'Sales Forecast'!AM15*Assumptions!$H$13+'Sales Forecast'!AL15*Assumptions!$I$13+2979.25)*Assumptions!$C$18</f>
        <v/>
      </c>
      <c r="AS21" s="20">
        <f>('Sales Forecast'!AS15*Assumptions!$C$12+'Sales Forecast'!AR15*Assumptions!$D$12+'Sales Forecast'!AQ15*Assumptions!$E$12+'Sales Forecast'!AP15*Assumptions!$F$12+'Sales Forecast'!AO15*Assumptions!$G$12+'Sales Forecast'!AN15*Assumptions!$H$12+'Sales Forecast'!AM15*Assumptions!$I$12+'Sales Forecast'!AS15*Assumptions!$C$13+'Sales Forecast'!AR15*Assumptions!$D$13+'Sales Forecast'!AQ15*Assumptions!$E$13+'Sales Forecast'!AP15*Assumptions!$F$13+'Sales Forecast'!AO15*Assumptions!$G$13+'Sales Forecast'!AN15*Assumptions!$H$13+'Sales Forecast'!AM15*Assumptions!$I$13+2979.25)*Assumptions!$C$18</f>
        <v/>
      </c>
      <c r="AT21" s="20">
        <f>('Sales Forecast'!AT15*Assumptions!$C$12+'Sales Forecast'!AS15*Assumptions!$D$12+'Sales Forecast'!AR15*Assumptions!$E$12+'Sales Forecast'!AQ15*Assumptions!$F$12+'Sales Forecast'!AP15*Assumptions!$G$12+'Sales Forecast'!AO15*Assumptions!$H$12+'Sales Forecast'!AN15*Assumptions!$I$12+'Sales Forecast'!AT15*Assumptions!$C$13+'Sales Forecast'!AS15*Assumptions!$D$13+'Sales Forecast'!AR15*Assumptions!$E$13+'Sales Forecast'!AQ15*Assumptions!$F$13+'Sales Forecast'!AP15*Assumptions!$G$13+'Sales Forecast'!AO15*Assumptions!$H$13+'Sales Forecast'!AN15*Assumptions!$I$13+2979.25)*Assumptions!$C$18</f>
        <v/>
      </c>
      <c r="AU21" s="20">
        <f>('Sales Forecast'!AU15*Assumptions!$C$12+'Sales Forecast'!AT15*Assumptions!$D$12+'Sales Forecast'!AS15*Assumptions!$E$12+'Sales Forecast'!AR15*Assumptions!$F$12+'Sales Forecast'!AQ15*Assumptions!$G$12+'Sales Forecast'!AP15*Assumptions!$H$12+'Sales Forecast'!AO15*Assumptions!$I$12+'Sales Forecast'!AU15*Assumptions!$C$13+'Sales Forecast'!AT15*Assumptions!$D$13+'Sales Forecast'!AS15*Assumptions!$E$13+'Sales Forecast'!AR15*Assumptions!$F$13+'Sales Forecast'!AQ15*Assumptions!$G$13+'Sales Forecast'!AP15*Assumptions!$H$13+'Sales Forecast'!AO15*Assumptions!$I$13+2979.25)*Assumptions!$C$18</f>
        <v/>
      </c>
      <c r="AV21" s="20">
        <f>('Sales Forecast'!AV15*Assumptions!$C$12+'Sales Forecast'!AU15*Assumptions!$D$12+'Sales Forecast'!AT15*Assumptions!$E$12+'Sales Forecast'!AS15*Assumptions!$F$12+'Sales Forecast'!AR15*Assumptions!$G$12+'Sales Forecast'!AQ15*Assumptions!$H$12+'Sales Forecast'!AP15*Assumptions!$I$12+'Sales Forecast'!AV15*Assumptions!$C$13+'Sales Forecast'!AU15*Assumptions!$D$13+'Sales Forecast'!AT15*Assumptions!$E$13+'Sales Forecast'!AS15*Assumptions!$F$13+'Sales Forecast'!AR15*Assumptions!$G$13+'Sales Forecast'!AQ15*Assumptions!$H$13+'Sales Forecast'!AP15*Assumptions!$I$13+2979.25)*Assumptions!$C$18</f>
        <v/>
      </c>
      <c r="AW21" s="20">
        <f>('Sales Forecast'!AW15*Assumptions!$C$12+'Sales Forecast'!AV15*Assumptions!$D$12+'Sales Forecast'!AU15*Assumptions!$E$12+'Sales Forecast'!AT15*Assumptions!$F$12+'Sales Forecast'!AS15*Assumptions!$G$12+'Sales Forecast'!AR15*Assumptions!$H$12+'Sales Forecast'!AQ15*Assumptions!$I$12+'Sales Forecast'!AW15*Assumptions!$C$13+'Sales Forecast'!AV15*Assumptions!$D$13+'Sales Forecast'!AU15*Assumptions!$E$13+'Sales Forecast'!AT15*Assumptions!$F$13+'Sales Forecast'!AS15*Assumptions!$G$13+'Sales Forecast'!AR15*Assumptions!$H$13+'Sales Forecast'!AQ15*Assumptions!$I$13+2979.25)*Assumptions!$C$18</f>
        <v/>
      </c>
      <c r="AX21" s="20">
        <f>('Sales Forecast'!AX15*Assumptions!$C$12+'Sales Forecast'!AW15*Assumptions!$D$12+'Sales Forecast'!AV15*Assumptions!$E$12+'Sales Forecast'!AU15*Assumptions!$F$12+'Sales Forecast'!AT15*Assumptions!$G$12+'Sales Forecast'!AS15*Assumptions!$H$12+'Sales Forecast'!AR15*Assumptions!$I$12+'Sales Forecast'!AX15*Assumptions!$C$13+'Sales Forecast'!AW15*Assumptions!$D$13+'Sales Forecast'!AV15*Assumptions!$E$13+'Sales Forecast'!AU15*Assumptions!$F$13+'Sales Forecast'!AT15*Assumptions!$G$13+'Sales Forecast'!AS15*Assumptions!$H$13+'Sales Forecast'!AR15*Assumptions!$I$13+2979.25)*Assumptions!$C$18</f>
        <v/>
      </c>
      <c r="AY21" s="20">
        <f>('Sales Forecast'!AY15*Assumptions!$C$12+'Sales Forecast'!AX15*Assumptions!$D$12+'Sales Forecast'!AW15*Assumptions!$E$12+'Sales Forecast'!AV15*Assumptions!$F$12+'Sales Forecast'!AU15*Assumptions!$G$12+'Sales Forecast'!AT15*Assumptions!$H$12+'Sales Forecast'!AS15*Assumptions!$I$12+'Sales Forecast'!AY15*Assumptions!$C$13+'Sales Forecast'!AX15*Assumptions!$D$13+'Sales Forecast'!AW15*Assumptions!$E$13+'Sales Forecast'!AV15*Assumptions!$F$13+'Sales Forecast'!AU15*Assumptions!$G$13+'Sales Forecast'!AT15*Assumptions!$H$13+'Sales Forecast'!AS15*Assumptions!$I$13+2979.25)*Assumptions!$C$18</f>
        <v/>
      </c>
      <c r="BA21" s="288">
        <f>SUM(I21:T21)</f>
        <v/>
      </c>
      <c r="BB21" s="274">
        <f>BA21/$BA$22</f>
        <v/>
      </c>
    </row>
    <row r="22">
      <c r="B22" s="32" t="inlineStr">
        <is>
          <t>TOTAL REVENUE</t>
        </is>
      </c>
      <c r="C22" s="34" t="n"/>
      <c r="D22" s="84">
        <f>SUM(D21,D20,D19,D18,D13,D14)</f>
        <v/>
      </c>
      <c r="E22" s="84">
        <f>SUM(E21,E20,E19,E18,E13,E14)</f>
        <v/>
      </c>
      <c r="F22" s="84">
        <f>SUM(F21,F20,F19,F18,F13,F14)</f>
        <v/>
      </c>
      <c r="G22" s="84">
        <f>SUM(G21,G20,G19,G18,G13,G14)</f>
        <v/>
      </c>
      <c r="H22" s="84">
        <f>SUM(H21,H20,H19,H18,H13,H14)</f>
        <v/>
      </c>
      <c r="I22" s="84">
        <f>SUM(I21,I20,I19,I18,I13,I14)</f>
        <v/>
      </c>
      <c r="J22" s="84">
        <f>SUM(J21,J20,J19,J18,J13,J14)</f>
        <v/>
      </c>
      <c r="K22" s="84">
        <f>SUM(K21,K20,K19,K18,K13,K14)</f>
        <v/>
      </c>
      <c r="L22" s="84">
        <f>SUM(L21,L20,L19,L18,L13,L14)</f>
        <v/>
      </c>
      <c r="M22" s="84">
        <f>SUM(M21,M20,M19,M18,M13,M14)</f>
        <v/>
      </c>
      <c r="N22" s="84">
        <f>SUM(N21,N20,N19,N18,N13,N14)</f>
        <v/>
      </c>
      <c r="O22" s="84">
        <f>SUM(O21,O20,O19,O18,O13,O14)</f>
        <v/>
      </c>
      <c r="P22" s="84">
        <f>P13+P14+P18+P19+P20+P21</f>
        <v/>
      </c>
      <c r="Q22" s="84">
        <f>Q13+Q14+Q18+Q19+Q20+Q21</f>
        <v/>
      </c>
      <c r="R22" s="84">
        <f>R13+R14+R18+R19+R20+R21</f>
        <v/>
      </c>
      <c r="S22" s="84">
        <f>S13+S14+S18+S19+S20+S21</f>
        <v/>
      </c>
      <c r="T22" s="84">
        <f>T13+T14+T18+T19+T20+T21</f>
        <v/>
      </c>
      <c r="U22" s="84">
        <f>U13+U14+U18+U19+U20+U21</f>
        <v/>
      </c>
      <c r="V22" s="84">
        <f>V13+V14+V18+V19+V20+V21</f>
        <v/>
      </c>
      <c r="W22" s="17">
        <f>W13+W18+W19+W20+W21</f>
        <v/>
      </c>
      <c r="X22" s="17">
        <f>X13+X18+X19+X20+X21</f>
        <v/>
      </c>
      <c r="Y22" s="17">
        <f>Y13+Y18+Y19+Y20+Y21</f>
        <v/>
      </c>
      <c r="Z22" s="17">
        <f>Z13+Z18+Z19+Z20+Z21</f>
        <v/>
      </c>
      <c r="AA22" s="17">
        <f>AA13+AA18+AA19+AA20+AA21</f>
        <v/>
      </c>
      <c r="AB22" s="17">
        <f>AB13+AB18+AB19+AB20+AB21</f>
        <v/>
      </c>
      <c r="AC22" s="17">
        <f>AC13+AC18+AC19+AC20+AC21</f>
        <v/>
      </c>
      <c r="AD22" s="17">
        <f>AD13+AD18+AD19+AD20+AD21</f>
        <v/>
      </c>
      <c r="AE22" s="17">
        <f>AE13+AE18+AE19+AE20+AE21</f>
        <v/>
      </c>
      <c r="AF22" s="17">
        <f>AF13+AF18+AF19+AF20+AF21</f>
        <v/>
      </c>
      <c r="AG22" s="17">
        <f>AG13+AG18+AG19+AG20+AG21</f>
        <v/>
      </c>
      <c r="AH22" s="17">
        <f>AH13+AH18+AH19+AH20+AH21</f>
        <v/>
      </c>
      <c r="AI22" s="17">
        <f>AI13+AI18+AI19+AI20+AI21</f>
        <v/>
      </c>
      <c r="AJ22" s="17">
        <f>AJ13+AJ18+AJ19+AJ20+AJ21</f>
        <v/>
      </c>
      <c r="AK22" s="17">
        <f>AK13+AK18+AK19+AK20+AK21</f>
        <v/>
      </c>
      <c r="AL22" s="17">
        <f>AL13+AL18+AL19+AL20+AL21</f>
        <v/>
      </c>
      <c r="AM22" s="17">
        <f>AM13+AM18+AM19+AM20+AM21</f>
        <v/>
      </c>
      <c r="AN22" s="17">
        <f>AN13+AN18+AN19+AN20+AN21</f>
        <v/>
      </c>
      <c r="AO22" s="17">
        <f>AO13+AO18+AO19+AO20+AO21</f>
        <v/>
      </c>
      <c r="AP22" s="17">
        <f>AP13+AP18+AP19+AP20+AP21</f>
        <v/>
      </c>
      <c r="AQ22" s="17">
        <f>AQ13+AQ18+AQ19+AQ20+AQ21</f>
        <v/>
      </c>
      <c r="AR22" s="17">
        <f>AR13+AR18+AR19+AR20+AR21</f>
        <v/>
      </c>
      <c r="AS22" s="17">
        <f>AS13+AS18+AS19+AS20+AS21</f>
        <v/>
      </c>
      <c r="AT22" s="17">
        <f>AT13+AT18+AT19+AT20+AT21</f>
        <v/>
      </c>
      <c r="AU22" s="17">
        <f>AU13+AU18+AU19+AU20+AU21</f>
        <v/>
      </c>
      <c r="AV22" s="17">
        <f>AV13+AV18+AV19+AV20+AV21</f>
        <v/>
      </c>
      <c r="AW22" s="17">
        <f>AW13+AW18+AW19+AW20+AW21</f>
        <v/>
      </c>
      <c r="AX22" s="17">
        <f>AX13+AX18+AX19+AX20+AX21</f>
        <v/>
      </c>
      <c r="AY22" s="17">
        <f>AY13+AY18+AY19+AY20+AY21</f>
        <v/>
      </c>
      <c r="BA22" s="307">
        <f>SUM(I22:T22)</f>
        <v/>
      </c>
      <c r="BB22" s="276">
        <f>SUM(BB7:BB21)</f>
        <v/>
      </c>
    </row>
    <row r="23" ht="16" customHeight="1" s="282">
      <c r="B23" s="10" t="inlineStr">
        <is>
          <t>COST OF GOODS SOLD</t>
        </is>
      </c>
      <c r="C23" s="11" t="n"/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</row>
    <row r="24">
      <c r="B24" s="33" t="inlineStr">
        <is>
          <t>501000 Product Cost (incl Inventory Shrinkage)</t>
        </is>
      </c>
      <c r="D24" s="19" t="n">
        <v>1819.5</v>
      </c>
      <c r="E24" s="19" t="n">
        <v>1954.75</v>
      </c>
      <c r="F24" s="19" t="n">
        <v>1496.25</v>
      </c>
      <c r="G24" s="19" t="n">
        <v>986</v>
      </c>
      <c r="H24" s="19" t="n">
        <v>1320.5</v>
      </c>
      <c r="I24" s="19" t="n">
        <v>1591.25</v>
      </c>
      <c r="J24" s="19" t="n">
        <v>1491</v>
      </c>
      <c r="K24" s="19" t="n">
        <v>1458.55</v>
      </c>
      <c r="L24" s="19" t="n">
        <v>1286.8</v>
      </c>
      <c r="M24" s="19" t="n">
        <v>1124.6</v>
      </c>
      <c r="N24" s="19" t="n">
        <v>1175.3</v>
      </c>
      <c r="O24" s="19" t="n">
        <v>2200.89</v>
      </c>
      <c r="P24" s="19" t="n">
        <v>1384.3</v>
      </c>
      <c r="Q24" s="19" t="n">
        <v>1602.9</v>
      </c>
      <c r="R24" s="19" t="n">
        <v>968.6</v>
      </c>
      <c r="S24" s="19" t="n">
        <v>1520.5</v>
      </c>
      <c r="T24" s="83" t="n">
        <v>350</v>
      </c>
      <c r="U24" s="83" t="n">
        <v>958.5</v>
      </c>
      <c r="V24" s="83" t="n">
        <v>621.5</v>
      </c>
      <c r="W24" s="20">
        <f>W22*Assumptions!$C$20</f>
        <v/>
      </c>
      <c r="X24" s="20">
        <f>X22*Assumptions!$C$20</f>
        <v/>
      </c>
      <c r="Y24" s="20">
        <f>Y22*Assumptions!$C$20</f>
        <v/>
      </c>
      <c r="Z24" s="20">
        <f>Z22*Assumptions!$C$20</f>
        <v/>
      </c>
      <c r="AA24" s="20">
        <f>AA22*Assumptions!$C$20</f>
        <v/>
      </c>
      <c r="AB24" s="20">
        <f>AB22*Assumptions!$C$20</f>
        <v/>
      </c>
      <c r="AC24" s="20">
        <f>AC22*Assumptions!$C$20</f>
        <v/>
      </c>
      <c r="AD24" s="20">
        <f>AD22*Assumptions!$C$20</f>
        <v/>
      </c>
      <c r="AE24" s="20">
        <f>AE22*Assumptions!$C$20</f>
        <v/>
      </c>
      <c r="AF24" s="20">
        <f>AF22*Assumptions!$C$20</f>
        <v/>
      </c>
      <c r="AG24" s="20">
        <f>AG22*Assumptions!$C$20</f>
        <v/>
      </c>
      <c r="AH24" s="20">
        <f>AH22*Assumptions!$C$20</f>
        <v/>
      </c>
      <c r="AI24" s="20">
        <f>AI22*Assumptions!$C$20</f>
        <v/>
      </c>
      <c r="AJ24" s="20">
        <f>AJ22*Assumptions!$C$20</f>
        <v/>
      </c>
      <c r="AK24" s="20">
        <f>AK22*Assumptions!$C$20</f>
        <v/>
      </c>
      <c r="AL24" s="20">
        <f>AL22*Assumptions!$C$20</f>
        <v/>
      </c>
      <c r="AM24" s="20">
        <f>AM22*Assumptions!$C$20</f>
        <v/>
      </c>
      <c r="AN24" s="20">
        <f>AN22*Assumptions!$C$20</f>
        <v/>
      </c>
      <c r="AO24" s="20">
        <f>AO22*Assumptions!$C$20</f>
        <v/>
      </c>
      <c r="AP24" s="20">
        <f>AP22*Assumptions!$C$20</f>
        <v/>
      </c>
      <c r="AQ24" s="20">
        <f>AQ22*Assumptions!$C$20</f>
        <v/>
      </c>
      <c r="AR24" s="20">
        <f>AR22*Assumptions!$C$20</f>
        <v/>
      </c>
      <c r="AS24" s="20">
        <f>AS22*Assumptions!$C$20</f>
        <v/>
      </c>
      <c r="AT24" s="20">
        <f>AT22*Assumptions!$C$20</f>
        <v/>
      </c>
      <c r="AU24" s="20">
        <f>AU22*Assumptions!$C$20</f>
        <v/>
      </c>
      <c r="AV24" s="20">
        <f>AV22*Assumptions!$C$20</f>
        <v/>
      </c>
      <c r="AW24" s="20">
        <f>AW22*Assumptions!$C$20</f>
        <v/>
      </c>
      <c r="AX24" s="20">
        <f>AX22*Assumptions!$C$20</f>
        <v/>
      </c>
      <c r="AY24" s="20">
        <f>AY22*Assumptions!$C$20</f>
        <v/>
      </c>
    </row>
    <row r="25">
      <c r="B25" s="33" t="inlineStr">
        <is>
          <t xml:space="preserve">  506000 Merchant Account Fees</t>
        </is>
      </c>
      <c r="D25" s="19" t="n">
        <v>4882.96</v>
      </c>
      <c r="E25" s="19" t="n">
        <v>6308.44</v>
      </c>
      <c r="F25" s="19" t="n">
        <v>9774.799999999999</v>
      </c>
      <c r="G25" s="19" t="n">
        <v>5902.22</v>
      </c>
      <c r="H25" s="19" t="n">
        <v>6597.41</v>
      </c>
      <c r="I25" s="19" t="n">
        <v>5960.23</v>
      </c>
      <c r="J25" s="19" t="n">
        <v>7919.8</v>
      </c>
      <c r="K25" s="19" t="n">
        <v>5068.26</v>
      </c>
      <c r="L25" s="19" t="n">
        <v>6402.91</v>
      </c>
      <c r="M25" s="19" t="n">
        <v>5212.33</v>
      </c>
      <c r="N25" s="19" t="n">
        <v>5997.67</v>
      </c>
      <c r="O25" s="19" t="n">
        <v>6504.8</v>
      </c>
      <c r="P25" s="19" t="n">
        <v>6173.53</v>
      </c>
      <c r="Q25" s="19" t="n">
        <v>5025.11</v>
      </c>
      <c r="R25" s="19" t="n">
        <v>7209.84</v>
      </c>
      <c r="S25" s="19" t="n">
        <v>5237.55</v>
      </c>
      <c r="T25" s="83" t="n">
        <v>6154.63</v>
      </c>
      <c r="U25" s="83" t="n">
        <v>5295.03</v>
      </c>
      <c r="V25" s="83" t="n">
        <v>5062.99</v>
      </c>
      <c r="W25" s="20">
        <f>W22*Assumptions!$C$19</f>
        <v/>
      </c>
      <c r="X25" s="20">
        <f>X22*Assumptions!$C$19</f>
        <v/>
      </c>
      <c r="Y25" s="20">
        <f>Y22*Assumptions!$C$19</f>
        <v/>
      </c>
      <c r="Z25" s="20">
        <f>Z22*Assumptions!$C$19</f>
        <v/>
      </c>
      <c r="AA25" s="20">
        <f>AA22*Assumptions!$C$19</f>
        <v/>
      </c>
      <c r="AB25" s="20">
        <f>AB22*Assumptions!$C$19</f>
        <v/>
      </c>
      <c r="AC25" s="20">
        <f>AC22*Assumptions!$C$19</f>
        <v/>
      </c>
      <c r="AD25" s="20">
        <f>AD22*Assumptions!$C$19</f>
        <v/>
      </c>
      <c r="AE25" s="20">
        <f>AE22*Assumptions!$C$19</f>
        <v/>
      </c>
      <c r="AF25" s="20">
        <f>AF22*Assumptions!$C$19</f>
        <v/>
      </c>
      <c r="AG25" s="20">
        <f>AG22*Assumptions!$C$19</f>
        <v/>
      </c>
      <c r="AH25" s="20">
        <f>AH22*Assumptions!$C$19</f>
        <v/>
      </c>
      <c r="AI25" s="20">
        <f>AI22*Assumptions!$C$19</f>
        <v/>
      </c>
      <c r="AJ25" s="20">
        <f>AJ22*Assumptions!$C$19</f>
        <v/>
      </c>
      <c r="AK25" s="20">
        <f>AK22*Assumptions!$C$19</f>
        <v/>
      </c>
      <c r="AL25" s="20">
        <f>AL22*Assumptions!$C$19</f>
        <v/>
      </c>
      <c r="AM25" s="20">
        <f>AM22*Assumptions!$C$19</f>
        <v/>
      </c>
      <c r="AN25" s="20">
        <f>AN22*Assumptions!$C$19</f>
        <v/>
      </c>
      <c r="AO25" s="20">
        <f>AO22*Assumptions!$C$19</f>
        <v/>
      </c>
      <c r="AP25" s="20">
        <f>AP22*Assumptions!$C$19</f>
        <v/>
      </c>
      <c r="AQ25" s="20">
        <f>AQ22*Assumptions!$C$19</f>
        <v/>
      </c>
      <c r="AR25" s="20">
        <f>AR22*Assumptions!$C$19</f>
        <v/>
      </c>
      <c r="AS25" s="20">
        <f>AS22*Assumptions!$C$19</f>
        <v/>
      </c>
      <c r="AT25" s="20">
        <f>AT22*Assumptions!$C$19</f>
        <v/>
      </c>
      <c r="AU25" s="20">
        <f>AU22*Assumptions!$C$19</f>
        <v/>
      </c>
      <c r="AV25" s="20">
        <f>AV22*Assumptions!$C$19</f>
        <v/>
      </c>
      <c r="AW25" s="20">
        <f>AW22*Assumptions!$C$19</f>
        <v/>
      </c>
      <c r="AX25" s="20">
        <f>AX22*Assumptions!$C$19</f>
        <v/>
      </c>
      <c r="AY25" s="20">
        <f>AY22*Assumptions!$C$19</f>
        <v/>
      </c>
    </row>
    <row r="26">
      <c r="B26" s="32" t="inlineStr">
        <is>
          <t>Total Cost of Goods Sold</t>
        </is>
      </c>
      <c r="C26" s="34" t="n"/>
      <c r="D26" s="35">
        <f>SUM(D24:D25)</f>
        <v/>
      </c>
      <c r="E26" s="35">
        <f>SUM(E24:E25)</f>
        <v/>
      </c>
      <c r="F26" s="35">
        <f>SUM(F24:F25)</f>
        <v/>
      </c>
      <c r="G26" s="35">
        <f>SUM(G24:G25)</f>
        <v/>
      </c>
      <c r="H26" s="35">
        <f>SUM(H24:H25)</f>
        <v/>
      </c>
      <c r="I26" s="35">
        <f>SUM(I24:I25)</f>
        <v/>
      </c>
      <c r="J26" s="35">
        <f>SUM(J24:J25)</f>
        <v/>
      </c>
      <c r="K26" s="35">
        <f>SUM(K24:K25)</f>
        <v/>
      </c>
      <c r="L26" s="35">
        <f>SUM(L24:L25)</f>
        <v/>
      </c>
      <c r="M26" s="35">
        <f>SUM(M24:M25)</f>
        <v/>
      </c>
      <c r="N26" s="35">
        <f>SUM(N24:N25)</f>
        <v/>
      </c>
      <c r="O26" s="35">
        <f>SUM(O24:O25)</f>
        <v/>
      </c>
      <c r="P26" s="35">
        <f>P24+P25</f>
        <v/>
      </c>
      <c r="Q26" s="35">
        <f>Q24+Q25</f>
        <v/>
      </c>
      <c r="R26" s="35">
        <f>R24+R25</f>
        <v/>
      </c>
      <c r="S26" s="35">
        <f>S24+S25</f>
        <v/>
      </c>
      <c r="T26" s="84">
        <f>T24+T25</f>
        <v/>
      </c>
      <c r="U26" s="84">
        <f>U24+U25</f>
        <v/>
      </c>
      <c r="V26" s="84">
        <f>V24+V25</f>
        <v/>
      </c>
      <c r="W26" s="17">
        <f>W24+W25</f>
        <v/>
      </c>
      <c r="X26" s="17">
        <f>X24+X25</f>
        <v/>
      </c>
      <c r="Y26" s="17">
        <f>Y24+Y25</f>
        <v/>
      </c>
      <c r="Z26" s="17">
        <f>Z24+Z25</f>
        <v/>
      </c>
      <c r="AA26" s="17">
        <f>AA24+AA25</f>
        <v/>
      </c>
      <c r="AB26" s="17">
        <f>AB24+AB25</f>
        <v/>
      </c>
      <c r="AC26" s="17">
        <f>AC24+AC25</f>
        <v/>
      </c>
      <c r="AD26" s="17">
        <f>AD24+AD25</f>
        <v/>
      </c>
      <c r="AE26" s="17">
        <f>AE24+AE25</f>
        <v/>
      </c>
      <c r="AF26" s="17">
        <f>AF24+AF25</f>
        <v/>
      </c>
      <c r="AG26" s="17">
        <f>AG24+AG25</f>
        <v/>
      </c>
      <c r="AH26" s="17">
        <f>AH24+AH25</f>
        <v/>
      </c>
      <c r="AI26" s="17">
        <f>AI24+AI25</f>
        <v/>
      </c>
      <c r="AJ26" s="17">
        <f>AJ24+AJ25</f>
        <v/>
      </c>
      <c r="AK26" s="17">
        <f>AK24+AK25</f>
        <v/>
      </c>
      <c r="AL26" s="17">
        <f>AL24+AL25</f>
        <v/>
      </c>
      <c r="AM26" s="17">
        <f>AM24+AM25</f>
        <v/>
      </c>
      <c r="AN26" s="17">
        <f>AN24+AN25</f>
        <v/>
      </c>
      <c r="AO26" s="17">
        <f>AO24+AO25</f>
        <v/>
      </c>
      <c r="AP26" s="17">
        <f>AP24+AP25</f>
        <v/>
      </c>
      <c r="AQ26" s="17">
        <f>AQ24+AQ25</f>
        <v/>
      </c>
      <c r="AR26" s="17">
        <f>AR24+AR25</f>
        <v/>
      </c>
      <c r="AS26" s="17">
        <f>AS24+AS25</f>
        <v/>
      </c>
      <c r="AT26" s="17">
        <f>AT24+AT25</f>
        <v/>
      </c>
      <c r="AU26" s="17">
        <f>AU24+AU25</f>
        <v/>
      </c>
      <c r="AV26" s="17">
        <f>AV24+AV25</f>
        <v/>
      </c>
      <c r="AW26" s="17">
        <f>AW24+AW25</f>
        <v/>
      </c>
      <c r="AX26" s="17">
        <f>AX24+AX25</f>
        <v/>
      </c>
      <c r="AY26" s="17">
        <f>AY24+AY25</f>
        <v/>
      </c>
    </row>
    <row r="27">
      <c r="B27" s="32" t="inlineStr">
        <is>
          <t>GROSS PROFIT</t>
        </is>
      </c>
      <c r="C27" s="34" t="n"/>
      <c r="D27" s="35">
        <f>D22-D26</f>
        <v/>
      </c>
      <c r="E27" s="35">
        <f>E22-E26</f>
        <v/>
      </c>
      <c r="F27" s="35">
        <f>F22-F26</f>
        <v/>
      </c>
      <c r="G27" s="35">
        <f>G22-G26</f>
        <v/>
      </c>
      <c r="H27" s="35">
        <f>H22-H26</f>
        <v/>
      </c>
      <c r="I27" s="35">
        <f>I22-I26</f>
        <v/>
      </c>
      <c r="J27" s="35">
        <f>J22-J26</f>
        <v/>
      </c>
      <c r="K27" s="35">
        <f>K22-K26</f>
        <v/>
      </c>
      <c r="L27" s="35">
        <f>L22-L26</f>
        <v/>
      </c>
      <c r="M27" s="35">
        <f>M22-M26</f>
        <v/>
      </c>
      <c r="N27" s="35">
        <f>N22-N26</f>
        <v/>
      </c>
      <c r="O27" s="35">
        <f>O22-O26</f>
        <v/>
      </c>
      <c r="P27" s="35">
        <f>P22-P26</f>
        <v/>
      </c>
      <c r="Q27" s="35">
        <f>Q22-Q26</f>
        <v/>
      </c>
      <c r="R27" s="35">
        <f>R22-R26</f>
        <v/>
      </c>
      <c r="S27" s="35">
        <f>S22-S26</f>
        <v/>
      </c>
      <c r="T27" s="84">
        <f>T22-T26</f>
        <v/>
      </c>
      <c r="U27" s="84">
        <f>U22-U26</f>
        <v/>
      </c>
      <c r="V27" s="84">
        <f>V22-V26</f>
        <v/>
      </c>
      <c r="W27" s="17">
        <f>W22-W26</f>
        <v/>
      </c>
      <c r="X27" s="17">
        <f>X22-X26</f>
        <v/>
      </c>
      <c r="Y27" s="17">
        <f>Y22-Y26</f>
        <v/>
      </c>
      <c r="Z27" s="17">
        <f>Z22-Z26</f>
        <v/>
      </c>
      <c r="AA27" s="17">
        <f>AA22-AA26</f>
        <v/>
      </c>
      <c r="AB27" s="17">
        <f>AB22-AB26</f>
        <v/>
      </c>
      <c r="AC27" s="17">
        <f>AC22-AC26</f>
        <v/>
      </c>
      <c r="AD27" s="17">
        <f>AD22-AD26</f>
        <v/>
      </c>
      <c r="AE27" s="17">
        <f>AE22-AE26</f>
        <v/>
      </c>
      <c r="AF27" s="17">
        <f>AF22-AF26</f>
        <v/>
      </c>
      <c r="AG27" s="17">
        <f>AG22-AG26</f>
        <v/>
      </c>
      <c r="AH27" s="17">
        <f>AH22-AH26</f>
        <v/>
      </c>
      <c r="AI27" s="17">
        <f>AI22-AI26</f>
        <v/>
      </c>
      <c r="AJ27" s="17">
        <f>AJ22-AJ26</f>
        <v/>
      </c>
      <c r="AK27" s="17">
        <f>AK22-AK26</f>
        <v/>
      </c>
      <c r="AL27" s="17">
        <f>AL22-AL26</f>
        <v/>
      </c>
      <c r="AM27" s="17">
        <f>AM22-AM26</f>
        <v/>
      </c>
      <c r="AN27" s="17">
        <f>AN22-AN26</f>
        <v/>
      </c>
      <c r="AO27" s="17">
        <f>AO22-AO26</f>
        <v/>
      </c>
      <c r="AP27" s="17">
        <f>AP22-AP26</f>
        <v/>
      </c>
      <c r="AQ27" s="17">
        <f>AQ22-AQ26</f>
        <v/>
      </c>
      <c r="AR27" s="17">
        <f>AR22-AR26</f>
        <v/>
      </c>
      <c r="AS27" s="17">
        <f>AS22-AS26</f>
        <v/>
      </c>
      <c r="AT27" s="17">
        <f>AT22-AT26</f>
        <v/>
      </c>
      <c r="AU27" s="17">
        <f>AU22-AU26</f>
        <v/>
      </c>
      <c r="AV27" s="17">
        <f>AV22-AV26</f>
        <v/>
      </c>
      <c r="AW27" s="17">
        <f>AW22-AW26</f>
        <v/>
      </c>
      <c r="AX27" s="17">
        <f>AX22-AX26</f>
        <v/>
      </c>
      <c r="AY27" s="17">
        <f>AY22-AY26</f>
        <v/>
      </c>
    </row>
    <row r="28" ht="16" customHeight="1" s="282">
      <c r="B28" s="10" t="inlineStr">
        <is>
          <t>OPERATING EXPENSES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</row>
    <row r="29">
      <c r="B29" s="33" t="inlineStr">
        <is>
          <t xml:space="preserve">  601001 Paid Ads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590.91</v>
      </c>
      <c r="O29" s="19" t="n">
        <v>607.28</v>
      </c>
      <c r="P29" s="19" t="n">
        <v>672.72</v>
      </c>
      <c r="Q29" s="19" t="n">
        <v>0</v>
      </c>
      <c r="R29" s="19" t="n">
        <v>0</v>
      </c>
      <c r="S29" s="19" t="n">
        <v>0</v>
      </c>
      <c r="T29" s="83" t="n">
        <v>0</v>
      </c>
      <c r="U29" s="83" t="n">
        <v>0</v>
      </c>
      <c r="V29" s="83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601005 Content Creation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0</v>
      </c>
      <c r="P30" s="19" t="n">
        <v>0</v>
      </c>
      <c r="Q30" s="19" t="n">
        <v>0</v>
      </c>
      <c r="R30" s="19" t="n">
        <v>0</v>
      </c>
      <c r="S30" s="19" t="n">
        <v>0</v>
      </c>
      <c r="T30" s="83" t="n">
        <v>0</v>
      </c>
      <c r="U30" s="83" t="n">
        <v>0</v>
      </c>
      <c r="V30" s="83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>601006 General Marketing (incl Affiliate, PR, Trade Shows)</t>
        </is>
      </c>
      <c r="D31" s="19" t="n">
        <v>53.64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129.56</v>
      </c>
      <c r="P31" s="19" t="n">
        <v>0</v>
      </c>
      <c r="Q31" s="19" t="n">
        <v>0</v>
      </c>
      <c r="R31" s="19" t="n">
        <v>0</v>
      </c>
      <c r="S31" s="19" t="n">
        <v>0</v>
      </c>
      <c r="T31" s="83" t="n">
        <v>0</v>
      </c>
      <c r="U31" s="83" t="n">
        <v>165.83</v>
      </c>
      <c r="V31" s="83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601007 Contractors/Agencies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83" t="n">
        <v>0</v>
      </c>
      <c r="U32" s="83" t="n">
        <v>0</v>
      </c>
      <c r="V32" s="83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3" t="inlineStr">
        <is>
          <t xml:space="preserve">  601010 Website Development</t>
        </is>
      </c>
      <c r="D33" s="19" t="n">
        <v>0</v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0</v>
      </c>
      <c r="N33" s="19" t="n">
        <v>0</v>
      </c>
      <c r="O33" s="19" t="n">
        <v>0</v>
      </c>
      <c r="P33" s="19" t="n">
        <v>0</v>
      </c>
      <c r="Q33" s="19" t="n">
        <v>0</v>
      </c>
      <c r="R33" s="19" t="n">
        <v>0</v>
      </c>
      <c r="S33" s="19" t="n">
        <v>0</v>
      </c>
      <c r="T33" s="83" t="n">
        <v>0</v>
      </c>
      <c r="U33" s="83" t="n">
        <v>0</v>
      </c>
      <c r="V33" s="83" t="n">
        <v>0</v>
      </c>
      <c r="W33" s="20" t="n">
        <v>0</v>
      </c>
      <c r="X33" s="20" t="n">
        <v>0</v>
      </c>
      <c r="Y33" s="20" t="n">
        <v>0</v>
      </c>
      <c r="Z33" s="20" t="n">
        <v>0</v>
      </c>
      <c r="AA33" s="20" t="n">
        <v>0</v>
      </c>
      <c r="AB33" s="20" t="n">
        <v>0</v>
      </c>
      <c r="AC33" s="20" t="n">
        <v>0</v>
      </c>
      <c r="AD33" s="20" t="n">
        <v>0</v>
      </c>
      <c r="AE33" s="20" t="n">
        <v>0</v>
      </c>
      <c r="AF33" s="20" t="n">
        <v>0</v>
      </c>
      <c r="AG33" s="20" t="n">
        <v>0</v>
      </c>
      <c r="AH33" s="20" t="n">
        <v>0</v>
      </c>
      <c r="AI33" s="20" t="n">
        <v>0</v>
      </c>
      <c r="AJ33" s="20" t="n">
        <v>0</v>
      </c>
      <c r="AK33" s="20" t="n">
        <v>0</v>
      </c>
      <c r="AL33" s="20" t="n">
        <v>0</v>
      </c>
      <c r="AM33" s="20" t="n">
        <v>0</v>
      </c>
      <c r="AN33" s="20" t="n">
        <v>0</v>
      </c>
      <c r="AO33" s="20" t="n">
        <v>0</v>
      </c>
      <c r="AP33" s="20" t="n">
        <v>0</v>
      </c>
      <c r="AQ33" s="20" t="n">
        <v>0</v>
      </c>
      <c r="AR33" s="20" t="n">
        <v>0</v>
      </c>
      <c r="AS33" s="20" t="n">
        <v>0</v>
      </c>
      <c r="AT33" s="20" t="n">
        <v>0</v>
      </c>
      <c r="AU33" s="20" t="n">
        <v>0</v>
      </c>
      <c r="AV33" s="20" t="n">
        <v>0</v>
      </c>
      <c r="AW33" s="20" t="n">
        <v>0</v>
      </c>
      <c r="AX33" s="20" t="n">
        <v>0</v>
      </c>
      <c r="AY33" s="20" t="n">
        <v>0</v>
      </c>
    </row>
    <row r="34">
      <c r="B34" s="32" t="inlineStr">
        <is>
          <t>Total Marketing</t>
        </is>
      </c>
      <c r="C34" s="34" t="n"/>
      <c r="D34" s="35">
        <f>SUM(D29:D33)</f>
        <v/>
      </c>
      <c r="E34" s="35">
        <f>SUM(E29:E33)</f>
        <v/>
      </c>
      <c r="F34" s="35">
        <f>SUM(F29:F33)</f>
        <v/>
      </c>
      <c r="G34" s="35">
        <f>SUM(G29:G33)</f>
        <v/>
      </c>
      <c r="H34" s="35">
        <f>SUM(H29:H33)</f>
        <v/>
      </c>
      <c r="I34" s="35">
        <f>SUM(I29:I33)</f>
        <v/>
      </c>
      <c r="J34" s="35">
        <f>SUM(J29:J33)</f>
        <v/>
      </c>
      <c r="K34" s="35">
        <f>SUM(K29:K33)</f>
        <v/>
      </c>
      <c r="L34" s="35">
        <f>SUM(L29:L33)</f>
        <v/>
      </c>
      <c r="M34" s="35">
        <f>SUM(M29:M33)</f>
        <v/>
      </c>
      <c r="N34" s="35">
        <f>SUM(N29:N33)</f>
        <v/>
      </c>
      <c r="O34" s="35">
        <f>SUM(O29:O33)</f>
        <v/>
      </c>
      <c r="P34" s="35">
        <f>P29+P30+P31+P32+P33</f>
        <v/>
      </c>
      <c r="Q34" s="35">
        <f>Q29+Q30+Q31+Q32+Q33</f>
        <v/>
      </c>
      <c r="R34" s="35">
        <f>R29+R30+R31+R32+R33</f>
        <v/>
      </c>
      <c r="S34" s="35">
        <f>S29+S30+S31+S32+S33</f>
        <v/>
      </c>
      <c r="T34" s="84">
        <f>T29+T30+T31+T32+T33</f>
        <v/>
      </c>
      <c r="U34" s="84">
        <f>U29+U30+U31+U32+U33</f>
        <v/>
      </c>
      <c r="V34" s="84">
        <f>V29+V30+V31+V32+V33</f>
        <v/>
      </c>
      <c r="W34" s="17">
        <f>W29+W30+W31+W32+W33</f>
        <v/>
      </c>
      <c r="X34" s="17">
        <f>X29+X30+X31+X32+X33</f>
        <v/>
      </c>
      <c r="Y34" s="17">
        <f>Y29+Y30+Y31+Y32+Y33</f>
        <v/>
      </c>
      <c r="Z34" s="17">
        <f>Z29+Z30+Z31+Z32+Z33</f>
        <v/>
      </c>
      <c r="AA34" s="17">
        <f>AA29+AA30+AA31+AA32+AA33</f>
        <v/>
      </c>
      <c r="AB34" s="17">
        <f>AB29+AB30+AB31+AB32+AB33</f>
        <v/>
      </c>
      <c r="AC34" s="17">
        <f>AC29+AC30+AC31+AC32+AC33</f>
        <v/>
      </c>
      <c r="AD34" s="17">
        <f>AD29+AD30+AD31+AD32+AD33</f>
        <v/>
      </c>
      <c r="AE34" s="17">
        <f>AE29+AE30+AE31+AE32+AE33</f>
        <v/>
      </c>
      <c r="AF34" s="17">
        <f>AF29+AF30+AF31+AF32+AF33</f>
        <v/>
      </c>
      <c r="AG34" s="17">
        <f>AG29+AG30+AG31+AG32+AG33</f>
        <v/>
      </c>
      <c r="AH34" s="17">
        <f>AH29+AH30+AH31+AH32+AH33</f>
        <v/>
      </c>
      <c r="AI34" s="17">
        <f>AI29+AI30+AI31+AI32+AI33</f>
        <v/>
      </c>
      <c r="AJ34" s="17">
        <f>AJ29+AJ30+AJ31+AJ32+AJ33</f>
        <v/>
      </c>
      <c r="AK34" s="17">
        <f>AK29+AK30+AK31+AK32+AK33</f>
        <v/>
      </c>
      <c r="AL34" s="17">
        <f>AL29+AL30+AL31+AL32+AL33</f>
        <v/>
      </c>
      <c r="AM34" s="17">
        <f>AM29+AM30+AM31+AM32+AM33</f>
        <v/>
      </c>
      <c r="AN34" s="17">
        <f>AN29+AN30+AN31+AN32+AN33</f>
        <v/>
      </c>
      <c r="AO34" s="17">
        <f>AO29+AO30+AO31+AO32+AO33</f>
        <v/>
      </c>
      <c r="AP34" s="17">
        <f>AP29+AP30+AP31+AP32+AP33</f>
        <v/>
      </c>
      <c r="AQ34" s="17">
        <f>AQ29+AQ30+AQ31+AQ32+AQ33</f>
        <v/>
      </c>
      <c r="AR34" s="17">
        <f>AR29+AR30+AR31+AR32+AR33</f>
        <v/>
      </c>
      <c r="AS34" s="17">
        <f>AS29+AS30+AS31+AS32+AS33</f>
        <v/>
      </c>
      <c r="AT34" s="17">
        <f>AT29+AT30+AT31+AT32+AT33</f>
        <v/>
      </c>
      <c r="AU34" s="17">
        <f>AU29+AU30+AU31+AU32+AU33</f>
        <v/>
      </c>
      <c r="AV34" s="17">
        <f>AV29+AV30+AV31+AV32+AV33</f>
        <v/>
      </c>
      <c r="AW34" s="17">
        <f>AW29+AW30+AW31+AW32+AW33</f>
        <v/>
      </c>
      <c r="AX34" s="17">
        <f>AX29+AX30+AX31+AX32+AX33</f>
        <v/>
      </c>
      <c r="AY34" s="17">
        <f>AY29+AY30+AY31+AY32+AY33</f>
        <v/>
      </c>
    </row>
    <row r="35">
      <c r="B35" s="33" t="inlineStr">
        <is>
          <t>602001 Wages (incl 1099 &amp; Bonus)</t>
        </is>
      </c>
      <c r="D35" s="19" t="n">
        <v>75376.14</v>
      </c>
      <c r="E35" s="19" t="n">
        <v>79027.78999999999</v>
      </c>
      <c r="F35" s="19" t="n">
        <v>93136.42999999999</v>
      </c>
      <c r="G35" s="19" t="n">
        <v>86852.62</v>
      </c>
      <c r="H35" s="19" t="n">
        <v>107990.39</v>
      </c>
      <c r="I35" s="19" t="n">
        <v>86470.75</v>
      </c>
      <c r="J35" s="19" t="n">
        <v>94055.32000000001</v>
      </c>
      <c r="K35" s="19" t="n">
        <v>89911.14999999999</v>
      </c>
      <c r="L35" s="19" t="n">
        <v>89776.82000000001</v>
      </c>
      <c r="M35" s="19" t="n">
        <v>89803.84</v>
      </c>
      <c r="N35" s="19" t="n">
        <v>76965.92999999999</v>
      </c>
      <c r="O35" s="19" t="n">
        <v>88056.66</v>
      </c>
      <c r="P35" s="19" t="n">
        <v>92642.72</v>
      </c>
      <c r="Q35" s="19" t="n">
        <v>81606.42</v>
      </c>
      <c r="R35" s="19" t="n">
        <v>77065.11</v>
      </c>
      <c r="S35" s="19" t="n">
        <v>76022.50999999999</v>
      </c>
      <c r="T35" s="83" t="n">
        <v>79250.39999999999</v>
      </c>
      <c r="U35" s="83" t="n">
        <v>71630.71000000001</v>
      </c>
      <c r="V35" s="83" t="n">
        <v>73203.58</v>
      </c>
      <c r="W35" s="20" t="n">
        <v>87486.48</v>
      </c>
      <c r="X35" s="20" t="n">
        <v>86947.74000000001</v>
      </c>
      <c r="Y35" s="20" t="n">
        <v>88263.81</v>
      </c>
      <c r="Z35" s="20" t="n">
        <v>90978.81</v>
      </c>
      <c r="AA35" s="20" t="n">
        <v>88559.11</v>
      </c>
      <c r="AB35" s="20" t="n">
        <v>87257.24000000001</v>
      </c>
      <c r="AC35" s="20" t="n">
        <v>85624.52</v>
      </c>
      <c r="AD35" s="20" t="n">
        <v>86554.45</v>
      </c>
      <c r="AE35" s="20" t="n">
        <v>89164.97</v>
      </c>
      <c r="AF35" s="20" t="n">
        <v>89031.83</v>
      </c>
      <c r="AG35" s="20" t="n">
        <v>88568.58</v>
      </c>
      <c r="AH35" s="20" t="n">
        <v>88382.46000000001</v>
      </c>
      <c r="AI35" s="20" t="n">
        <v>88384.74000000001</v>
      </c>
      <c r="AJ35" s="20" t="n">
        <v>87819.05</v>
      </c>
      <c r="AK35" s="20" t="n">
        <v>89200.92999999999</v>
      </c>
      <c r="AL35" s="20" t="n">
        <v>93199.31</v>
      </c>
      <c r="AM35" s="20" t="n">
        <v>89511</v>
      </c>
      <c r="AN35" s="20" t="n">
        <v>87257.24000000001</v>
      </c>
      <c r="AO35" s="20" t="n">
        <v>85624.52</v>
      </c>
      <c r="AP35" s="20" t="n">
        <v>86554.45</v>
      </c>
      <c r="AQ35" s="20" t="n">
        <v>89164.97</v>
      </c>
      <c r="AR35" s="20" t="n">
        <v>89031.83</v>
      </c>
      <c r="AS35" s="20" t="n">
        <v>88568.58</v>
      </c>
      <c r="AT35" s="20" t="n">
        <v>88382.46000000001</v>
      </c>
      <c r="AU35" s="20" t="n">
        <v>88384.74000000001</v>
      </c>
      <c r="AV35" s="20" t="n">
        <v>87819.05</v>
      </c>
      <c r="AW35" s="20" t="n">
        <v>89200.92999999999</v>
      </c>
      <c r="AX35" s="20" t="n">
        <v>93199.31</v>
      </c>
      <c r="AY35" s="20" t="n">
        <v>89511</v>
      </c>
    </row>
    <row r="36">
      <c r="B36" s="33" t="inlineStr">
        <is>
          <t xml:space="preserve">  602004 Payroll Taxes</t>
        </is>
      </c>
      <c r="D36" s="19" t="n">
        <v>9169.91</v>
      </c>
      <c r="E36" s="19" t="n">
        <v>8321.59</v>
      </c>
      <c r="F36" s="19" t="n">
        <v>8649.07</v>
      </c>
      <c r="G36" s="19" t="n">
        <v>7638.21</v>
      </c>
      <c r="H36" s="19" t="n">
        <v>9215.889999999999</v>
      </c>
      <c r="I36" s="19" t="n">
        <v>7557.03</v>
      </c>
      <c r="J36" s="19" t="n">
        <v>7865.98</v>
      </c>
      <c r="K36" s="19" t="n">
        <v>7514.09</v>
      </c>
      <c r="L36" s="19" t="n">
        <v>7429.54</v>
      </c>
      <c r="M36" s="19" t="n">
        <v>7459.99</v>
      </c>
      <c r="N36" s="19" t="n">
        <v>6405.47</v>
      </c>
      <c r="O36" s="19" t="n">
        <v>9669.549999999999</v>
      </c>
      <c r="P36" s="19" t="n">
        <v>15304.67</v>
      </c>
      <c r="Q36" s="19" t="n">
        <v>7998.06</v>
      </c>
      <c r="R36" s="19" t="n">
        <v>7142.5</v>
      </c>
      <c r="S36" s="19" t="n">
        <v>6736.08</v>
      </c>
      <c r="T36" s="83" t="n">
        <v>6952.75</v>
      </c>
      <c r="U36" s="83" t="n">
        <v>6169.39</v>
      </c>
      <c r="V36" s="83" t="n">
        <v>6106.09</v>
      </c>
      <c r="W36" s="20" t="n">
        <v>9937.360000000001</v>
      </c>
      <c r="X36" s="20" t="n">
        <v>9876.16</v>
      </c>
      <c r="Y36" s="20" t="n">
        <v>10025.65</v>
      </c>
      <c r="Z36" s="20" t="n">
        <v>10334.04</v>
      </c>
      <c r="AA36" s="20" t="n">
        <v>10059.19</v>
      </c>
      <c r="AB36" s="20" t="n">
        <v>9911.32</v>
      </c>
      <c r="AC36" s="20" t="n">
        <v>9725.860000000001</v>
      </c>
      <c r="AD36" s="20" t="n">
        <v>9831.49</v>
      </c>
      <c r="AE36" s="20" t="n">
        <v>10128.01</v>
      </c>
      <c r="AF36" s="20" t="n">
        <v>10112.89</v>
      </c>
      <c r="AG36" s="20" t="n">
        <v>10060.27</v>
      </c>
      <c r="AH36" s="20" t="n">
        <v>10039.13</v>
      </c>
      <c r="AI36" s="20" t="n">
        <v>10039.39</v>
      </c>
      <c r="AJ36" s="20" t="n">
        <v>9975.129999999999</v>
      </c>
      <c r="AK36" s="20" t="n">
        <v>10132.1</v>
      </c>
      <c r="AL36" s="20" t="n">
        <v>10586.26</v>
      </c>
      <c r="AM36" s="20" t="n">
        <v>10167.32</v>
      </c>
      <c r="AN36" s="20" t="n">
        <v>9911.32</v>
      </c>
      <c r="AO36" s="20" t="n">
        <v>9725.860000000001</v>
      </c>
      <c r="AP36" s="20" t="n">
        <v>9831.49</v>
      </c>
      <c r="AQ36" s="20" t="n">
        <v>10128.01</v>
      </c>
      <c r="AR36" s="20" t="n">
        <v>10112.89</v>
      </c>
      <c r="AS36" s="20" t="n">
        <v>10060.27</v>
      </c>
      <c r="AT36" s="20" t="n">
        <v>10039.13</v>
      </c>
      <c r="AU36" s="20" t="n">
        <v>10039.39</v>
      </c>
      <c r="AV36" s="20" t="n">
        <v>9975.129999999999</v>
      </c>
      <c r="AW36" s="20" t="n">
        <v>10132.1</v>
      </c>
      <c r="AX36" s="20" t="n">
        <v>10586.26</v>
      </c>
      <c r="AY36" s="20" t="n">
        <v>10167.32</v>
      </c>
    </row>
    <row r="37">
      <c r="B37" s="33" t="inlineStr">
        <is>
          <t>602005 Employee Benefits (incl Workers Comp)</t>
        </is>
      </c>
      <c r="D37" s="19" t="n">
        <v>1453.11</v>
      </c>
      <c r="E37" s="19" t="n">
        <v>1067.54</v>
      </c>
      <c r="F37" s="19" t="n">
        <v>835.7</v>
      </c>
      <c r="G37" s="19" t="n">
        <v>1041.97</v>
      </c>
      <c r="H37" s="19" t="n">
        <v>1529.89</v>
      </c>
      <c r="I37" s="19" t="n">
        <v>1138.36</v>
      </c>
      <c r="J37" s="19" t="n">
        <v>1095.26</v>
      </c>
      <c r="K37" s="19" t="n">
        <v>983.0599999999999</v>
      </c>
      <c r="L37" s="19" t="n">
        <v>1227.64</v>
      </c>
      <c r="M37" s="19" t="n">
        <v>1451.19</v>
      </c>
      <c r="N37" s="19" t="n">
        <v>809.84</v>
      </c>
      <c r="O37" s="19" t="n">
        <v>357.43</v>
      </c>
      <c r="P37" s="19" t="n">
        <v>736.6</v>
      </c>
      <c r="Q37" s="19" t="n">
        <v>1399.13</v>
      </c>
      <c r="R37" s="19" t="n">
        <v>1047.5</v>
      </c>
      <c r="S37" s="19" t="n">
        <v>1024.88</v>
      </c>
      <c r="T37" s="83" t="n">
        <v>1004.45</v>
      </c>
      <c r="U37" s="83" t="n">
        <v>1078.5</v>
      </c>
      <c r="V37" s="83" t="n">
        <v>662.9400000000001</v>
      </c>
      <c r="W37" s="20" t="n">
        <v>1060.55</v>
      </c>
      <c r="X37" s="20" t="n">
        <v>1054.02</v>
      </c>
      <c r="Y37" s="20" t="n">
        <v>1069.97</v>
      </c>
      <c r="Z37" s="20" t="n">
        <v>1102.88</v>
      </c>
      <c r="AA37" s="20" t="n">
        <v>1073.55</v>
      </c>
      <c r="AB37" s="20" t="n">
        <v>1057.77</v>
      </c>
      <c r="AC37" s="20" t="n">
        <v>1037.98</v>
      </c>
      <c r="AD37" s="20" t="n">
        <v>1049.25</v>
      </c>
      <c r="AE37" s="20" t="n">
        <v>1080.89</v>
      </c>
      <c r="AF37" s="20" t="n">
        <v>1079.28</v>
      </c>
      <c r="AG37" s="20" t="n">
        <v>1073.66</v>
      </c>
      <c r="AH37" s="20" t="n">
        <v>1071.41</v>
      </c>
      <c r="AI37" s="20" t="n">
        <v>1071.44</v>
      </c>
      <c r="AJ37" s="20" t="n">
        <v>1064.58</v>
      </c>
      <c r="AK37" s="20" t="n">
        <v>1081.33</v>
      </c>
      <c r="AL37" s="20" t="n">
        <v>1129.8</v>
      </c>
      <c r="AM37" s="20" t="n">
        <v>1085.09</v>
      </c>
      <c r="AN37" s="20" t="n">
        <v>1057.77</v>
      </c>
      <c r="AO37" s="20" t="n">
        <v>1037.98</v>
      </c>
      <c r="AP37" s="20" t="n">
        <v>1049.25</v>
      </c>
      <c r="AQ37" s="20" t="n">
        <v>1080.89</v>
      </c>
      <c r="AR37" s="20" t="n">
        <v>1079.28</v>
      </c>
      <c r="AS37" s="20" t="n">
        <v>1073.66</v>
      </c>
      <c r="AT37" s="20" t="n">
        <v>1071.41</v>
      </c>
      <c r="AU37" s="20" t="n">
        <v>1071.44</v>
      </c>
      <c r="AV37" s="20" t="n">
        <v>1064.58</v>
      </c>
      <c r="AW37" s="20" t="n">
        <v>1081.33</v>
      </c>
      <c r="AX37" s="20" t="n">
        <v>1129.8</v>
      </c>
      <c r="AY37" s="20" t="n">
        <v>1085.09</v>
      </c>
    </row>
    <row r="38">
      <c r="B38" s="33" t="inlineStr">
        <is>
          <t xml:space="preserve">  602010 Payroll Processing Fees</t>
        </is>
      </c>
      <c r="D38" s="19" t="n">
        <v>1728.36</v>
      </c>
      <c r="E38" s="19" t="n">
        <v>1326.17</v>
      </c>
      <c r="F38" s="19" t="n">
        <v>842.83</v>
      </c>
      <c r="G38" s="19" t="n">
        <v>680.66</v>
      </c>
      <c r="H38" s="19" t="n">
        <v>690.86</v>
      </c>
      <c r="I38" s="19" t="n">
        <v>680.66</v>
      </c>
      <c r="J38" s="19" t="n">
        <v>859.83</v>
      </c>
      <c r="K38" s="19" t="n">
        <v>1017.59</v>
      </c>
      <c r="L38" s="19" t="n">
        <v>694.26</v>
      </c>
      <c r="M38" s="19" t="n">
        <v>667.0599999999999</v>
      </c>
      <c r="N38" s="19" t="n">
        <v>656.86</v>
      </c>
      <c r="O38" s="19" t="n">
        <v>2188.33</v>
      </c>
      <c r="P38" s="19" t="n">
        <v>4166.79</v>
      </c>
      <c r="Q38" s="19" t="n">
        <v>4167.5</v>
      </c>
      <c r="R38" s="19" t="n">
        <v>5043.78</v>
      </c>
      <c r="S38" s="19" t="n">
        <v>3547.15</v>
      </c>
      <c r="T38" s="83" t="n">
        <v>3529.36</v>
      </c>
      <c r="U38" s="83" t="n">
        <v>3430.91</v>
      </c>
      <c r="V38" s="83" t="n">
        <v>3210.81</v>
      </c>
      <c r="W38" s="20" t="n">
        <v>4523.56</v>
      </c>
      <c r="X38" s="20" t="n">
        <v>4495.71</v>
      </c>
      <c r="Y38" s="20" t="n">
        <v>4563.75</v>
      </c>
      <c r="Z38" s="20" t="n">
        <v>4704.14</v>
      </c>
      <c r="AA38" s="20" t="n">
        <v>4579.02</v>
      </c>
      <c r="AB38" s="20" t="n">
        <v>4511.71</v>
      </c>
      <c r="AC38" s="20" t="n">
        <v>4427.29</v>
      </c>
      <c r="AD38" s="20" t="n">
        <v>4475.37</v>
      </c>
      <c r="AE38" s="20" t="n">
        <v>4610.35</v>
      </c>
      <c r="AF38" s="20" t="n">
        <v>4603.46</v>
      </c>
      <c r="AG38" s="20" t="n">
        <v>4579.51</v>
      </c>
      <c r="AH38" s="20" t="n">
        <v>4569.89</v>
      </c>
      <c r="AI38" s="20" t="n">
        <v>4570.01</v>
      </c>
      <c r="AJ38" s="20" t="n">
        <v>4540.76</v>
      </c>
      <c r="AK38" s="20" t="n">
        <v>4612.21</v>
      </c>
      <c r="AL38" s="20" t="n">
        <v>4818.95</v>
      </c>
      <c r="AM38" s="20" t="n">
        <v>4628.24</v>
      </c>
      <c r="AN38" s="20" t="n">
        <v>4511.71</v>
      </c>
      <c r="AO38" s="20" t="n">
        <v>4427.29</v>
      </c>
      <c r="AP38" s="20" t="n">
        <v>4475.37</v>
      </c>
      <c r="AQ38" s="20" t="n">
        <v>4610.35</v>
      </c>
      <c r="AR38" s="20" t="n">
        <v>4603.46</v>
      </c>
      <c r="AS38" s="20" t="n">
        <v>4579.51</v>
      </c>
      <c r="AT38" s="20" t="n">
        <v>4569.89</v>
      </c>
      <c r="AU38" s="20" t="n">
        <v>4570.01</v>
      </c>
      <c r="AV38" s="20" t="n">
        <v>4540.76</v>
      </c>
      <c r="AW38" s="20" t="n">
        <v>4612.21</v>
      </c>
      <c r="AX38" s="20" t="n">
        <v>4818.95</v>
      </c>
      <c r="AY38" s="20" t="n">
        <v>4628.24</v>
      </c>
    </row>
    <row r="39">
      <c r="B39" s="32" t="inlineStr">
        <is>
          <t>Total Payroll</t>
        </is>
      </c>
      <c r="C39" s="34" t="n"/>
      <c r="D39" s="35">
        <f>SUM(D35:D38)</f>
        <v/>
      </c>
      <c r="E39" s="35">
        <f>SUM(E35:E38)</f>
        <v/>
      </c>
      <c r="F39" s="35">
        <f>SUM(F35:F38)</f>
        <v/>
      </c>
      <c r="G39" s="35">
        <f>SUM(G35:G38)</f>
        <v/>
      </c>
      <c r="H39" s="35">
        <f>SUM(H35:H38)</f>
        <v/>
      </c>
      <c r="I39" s="35">
        <f>SUM(I35:I38)</f>
        <v/>
      </c>
      <c r="J39" s="35">
        <f>SUM(J35:J38)</f>
        <v/>
      </c>
      <c r="K39" s="35">
        <f>SUM(K35:K38)</f>
        <v/>
      </c>
      <c r="L39" s="35">
        <f>SUM(L35:L38)</f>
        <v/>
      </c>
      <c r="M39" s="35">
        <f>SUM(M35:M38)</f>
        <v/>
      </c>
      <c r="N39" s="35">
        <f>SUM(N35:N38)</f>
        <v/>
      </c>
      <c r="O39" s="35">
        <f>SUM(O35:O38)</f>
        <v/>
      </c>
      <c r="P39" s="35">
        <f>P35+P36+P37+P38</f>
        <v/>
      </c>
      <c r="Q39" s="35">
        <f>Q35+Q36+Q37+Q38</f>
        <v/>
      </c>
      <c r="R39" s="35">
        <f>R35+R36+R37+R38</f>
        <v/>
      </c>
      <c r="S39" s="35">
        <f>S35+S36+S37+S38</f>
        <v/>
      </c>
      <c r="T39" s="84">
        <f>T35+T36+T37+T38</f>
        <v/>
      </c>
      <c r="U39" s="84">
        <f>U35+U36+U37+U38</f>
        <v/>
      </c>
      <c r="V39" s="84">
        <f>V35+V36+V37+V38</f>
        <v/>
      </c>
      <c r="W39" s="17">
        <f>W35+W36+W37+W38</f>
        <v/>
      </c>
      <c r="X39" s="17">
        <f>X35+X36+X37+X38</f>
        <v/>
      </c>
      <c r="Y39" s="17">
        <f>Y35+Y36+Y37+Y38</f>
        <v/>
      </c>
      <c r="Z39" s="17">
        <f>Z35+Z36+Z37+Z38</f>
        <v/>
      </c>
      <c r="AA39" s="17">
        <f>AA35+AA36+AA37+AA38</f>
        <v/>
      </c>
      <c r="AB39" s="17">
        <f>AB35+AB36+AB37+AB38</f>
        <v/>
      </c>
      <c r="AC39" s="17">
        <f>AC35+AC36+AC37+AC38</f>
        <v/>
      </c>
      <c r="AD39" s="17">
        <f>AD35+AD36+AD37+AD38</f>
        <v/>
      </c>
      <c r="AE39" s="17">
        <f>AE35+AE36+AE37+AE38</f>
        <v/>
      </c>
      <c r="AF39" s="17">
        <f>AF35+AF36+AF37+AF38</f>
        <v/>
      </c>
      <c r="AG39" s="17">
        <f>AG35+AG36+AG37+AG38</f>
        <v/>
      </c>
      <c r="AH39" s="17">
        <f>AH35+AH36+AH37+AH38</f>
        <v/>
      </c>
      <c r="AI39" s="17">
        <f>AI35+AI36+AI37+AI38</f>
        <v/>
      </c>
      <c r="AJ39" s="17">
        <f>AJ35+AJ36+AJ37+AJ38</f>
        <v/>
      </c>
      <c r="AK39" s="17">
        <f>AK35+AK36+AK37+AK38</f>
        <v/>
      </c>
      <c r="AL39" s="17">
        <f>AL35+AL36+AL37+AL38</f>
        <v/>
      </c>
      <c r="AM39" s="17">
        <f>AM35+AM36+AM37+AM38</f>
        <v/>
      </c>
      <c r="AN39" s="17">
        <f>AN35+AN36+AN37+AN38</f>
        <v/>
      </c>
      <c r="AO39" s="17">
        <f>AO35+AO36+AO37+AO38</f>
        <v/>
      </c>
      <c r="AP39" s="17">
        <f>AP35+AP36+AP37+AP38</f>
        <v/>
      </c>
      <c r="AQ39" s="17">
        <f>AQ35+AQ36+AQ37+AQ38</f>
        <v/>
      </c>
      <c r="AR39" s="17">
        <f>AR35+AR36+AR37+AR38</f>
        <v/>
      </c>
      <c r="AS39" s="17">
        <f>AS35+AS36+AS37+AS38</f>
        <v/>
      </c>
      <c r="AT39" s="17">
        <f>AT35+AT36+AT37+AT38</f>
        <v/>
      </c>
      <c r="AU39" s="17">
        <f>AU35+AU36+AU37+AU38</f>
        <v/>
      </c>
      <c r="AV39" s="17">
        <f>AV35+AV36+AV37+AV38</f>
        <v/>
      </c>
      <c r="AW39" s="17">
        <f>AW35+AW36+AW37+AW38</f>
        <v/>
      </c>
      <c r="AX39" s="17">
        <f>AX35+AX36+AX37+AX38</f>
        <v/>
      </c>
      <c r="AY39" s="17">
        <f>AY35+AY36+AY37+AY38</f>
        <v/>
      </c>
    </row>
    <row r="40">
      <c r="B40" s="33" t="inlineStr">
        <is>
          <t xml:space="preserve">  603000 Software &amp; Web Services</t>
        </is>
      </c>
      <c r="D40" s="19" t="n">
        <v>1758.39</v>
      </c>
      <c r="E40" s="19" t="n">
        <v>701.9400000000001</v>
      </c>
      <c r="F40" s="19" t="n">
        <v>1958.83</v>
      </c>
      <c r="G40" s="19" t="n">
        <v>1254.24</v>
      </c>
      <c r="H40" s="19" t="n">
        <v>1390.3</v>
      </c>
      <c r="I40" s="19" t="n">
        <v>726.25</v>
      </c>
      <c r="J40" s="19" t="n">
        <v>768.99</v>
      </c>
      <c r="K40" s="19" t="n">
        <v>1761.77</v>
      </c>
      <c r="L40" s="19" t="n">
        <v>646</v>
      </c>
      <c r="M40" s="19" t="n">
        <v>979.59</v>
      </c>
      <c r="N40" s="19" t="n">
        <v>1115.08</v>
      </c>
      <c r="O40" s="19" t="n">
        <v>755.08</v>
      </c>
      <c r="P40" s="19" t="n">
        <v>756.08</v>
      </c>
      <c r="Q40" s="19" t="n">
        <v>1214.43</v>
      </c>
      <c r="R40" s="19" t="n">
        <v>757.08</v>
      </c>
      <c r="S40" s="19" t="n">
        <v>1661.7</v>
      </c>
      <c r="T40" s="83" t="n">
        <v>780.26</v>
      </c>
      <c r="U40" s="83" t="n">
        <v>752.26</v>
      </c>
      <c r="V40" s="83" t="n">
        <v>749.26</v>
      </c>
      <c r="W40" s="20" t="n">
        <v>787.1900000000001</v>
      </c>
      <c r="X40" s="20" t="n">
        <v>787.1900000000001</v>
      </c>
      <c r="Y40" s="20" t="n">
        <v>787.1900000000001</v>
      </c>
      <c r="Z40" s="20" t="n">
        <v>787.1900000000001</v>
      </c>
      <c r="AA40" s="20" t="n">
        <v>787.1900000000001</v>
      </c>
      <c r="AB40" s="20" t="n">
        <v>787.1900000000001</v>
      </c>
      <c r="AC40" s="20" t="n">
        <v>787.1900000000001</v>
      </c>
      <c r="AD40" s="20" t="n">
        <v>787.1900000000001</v>
      </c>
      <c r="AE40" s="20" t="n">
        <v>787.1900000000001</v>
      </c>
      <c r="AF40" s="20" t="n">
        <v>787.1900000000001</v>
      </c>
      <c r="AG40" s="20" t="n">
        <v>787.1900000000001</v>
      </c>
      <c r="AH40" s="20" t="n">
        <v>787.1900000000001</v>
      </c>
      <c r="AI40" s="20" t="n">
        <v>787.1900000000001</v>
      </c>
      <c r="AJ40" s="20" t="n">
        <v>787.1900000000001</v>
      </c>
      <c r="AK40" s="20" t="n">
        <v>787.1900000000001</v>
      </c>
      <c r="AL40" s="20" t="n">
        <v>787.1900000000001</v>
      </c>
      <c r="AM40" s="20" t="n">
        <v>787.1900000000001</v>
      </c>
      <c r="AN40" s="20" t="n">
        <v>787.1900000000001</v>
      </c>
      <c r="AO40" s="20" t="n">
        <v>787.1900000000001</v>
      </c>
      <c r="AP40" s="20" t="n">
        <v>787.1900000000001</v>
      </c>
      <c r="AQ40" s="20" t="n">
        <v>787.1900000000001</v>
      </c>
      <c r="AR40" s="20" t="n">
        <v>787.1900000000001</v>
      </c>
      <c r="AS40" s="20" t="n">
        <v>787.1900000000001</v>
      </c>
      <c r="AT40" s="20" t="n">
        <v>787.1900000000001</v>
      </c>
      <c r="AU40" s="20" t="n">
        <v>787.1900000000001</v>
      </c>
      <c r="AV40" s="20" t="n">
        <v>787.1900000000001</v>
      </c>
      <c r="AW40" s="20" t="n">
        <v>787.1900000000001</v>
      </c>
      <c r="AX40" s="20" t="n">
        <v>787.1900000000001</v>
      </c>
      <c r="AY40" s="20" t="n">
        <v>787.1900000000001</v>
      </c>
    </row>
    <row r="41">
      <c r="B41" s="33" t="inlineStr">
        <is>
          <t xml:space="preserve">  608000 Insurance</t>
        </is>
      </c>
      <c r="D41" s="19" t="n">
        <v>300.66</v>
      </c>
      <c r="E41" s="19" t="n">
        <v>300.66</v>
      </c>
      <c r="F41" s="19" t="n">
        <v>300.66</v>
      </c>
      <c r="G41" s="19" t="n">
        <v>300.66</v>
      </c>
      <c r="H41" s="19" t="n">
        <v>300.66</v>
      </c>
      <c r="I41" s="19" t="n">
        <v>300.66</v>
      </c>
      <c r="J41" s="19" t="n">
        <v>300.66</v>
      </c>
      <c r="K41" s="19" t="n">
        <v>300.66</v>
      </c>
      <c r="L41" s="19" t="n">
        <v>300.66</v>
      </c>
      <c r="M41" s="19" t="n">
        <v>596.3200000000001</v>
      </c>
      <c r="N41" s="19" t="n">
        <v>596.3200000000001</v>
      </c>
      <c r="O41" s="19" t="n">
        <v>596.3200000000001</v>
      </c>
      <c r="P41" s="19" t="n">
        <v>131.96</v>
      </c>
      <c r="Q41" s="19" t="n">
        <v>131.96</v>
      </c>
      <c r="R41" s="19" t="n">
        <v>321.78</v>
      </c>
      <c r="S41" s="19" t="n">
        <v>321.78</v>
      </c>
      <c r="T41" s="83" t="n">
        <v>294.83</v>
      </c>
      <c r="U41" s="83" t="n">
        <v>290.82</v>
      </c>
      <c r="V41" s="83" t="n">
        <v>290.82</v>
      </c>
      <c r="W41" s="20" t="n">
        <v>198.61</v>
      </c>
      <c r="X41" s="20" t="n">
        <v>198.61</v>
      </c>
      <c r="Y41" s="20" t="n">
        <v>198.61</v>
      </c>
      <c r="Z41" s="20" t="n">
        <v>198.61</v>
      </c>
      <c r="AA41" s="20" t="n">
        <v>198.61</v>
      </c>
      <c r="AB41" s="20" t="n">
        <v>198.61</v>
      </c>
      <c r="AC41" s="20" t="n">
        <v>198.61</v>
      </c>
      <c r="AD41" s="20" t="n">
        <v>198.61</v>
      </c>
      <c r="AE41" s="20" t="n">
        <v>198.61</v>
      </c>
      <c r="AF41" s="20" t="n">
        <v>198.61</v>
      </c>
      <c r="AG41" s="20" t="n">
        <v>198.61</v>
      </c>
      <c r="AH41" s="20" t="n">
        <v>198.61</v>
      </c>
      <c r="AI41" s="20" t="n">
        <v>198.61</v>
      </c>
      <c r="AJ41" s="20" t="n">
        <v>198.61</v>
      </c>
      <c r="AK41" s="20" t="n">
        <v>198.61</v>
      </c>
      <c r="AL41" s="20" t="n">
        <v>198.61</v>
      </c>
      <c r="AM41" s="20" t="n">
        <v>198.61</v>
      </c>
      <c r="AN41" s="20" t="n">
        <v>198.61</v>
      </c>
      <c r="AO41" s="20" t="n">
        <v>198.61</v>
      </c>
      <c r="AP41" s="20" t="n">
        <v>198.61</v>
      </c>
      <c r="AQ41" s="20" t="n">
        <v>198.61</v>
      </c>
      <c r="AR41" s="20" t="n">
        <v>198.61</v>
      </c>
      <c r="AS41" s="20" t="n">
        <v>198.61</v>
      </c>
      <c r="AT41" s="20" t="n">
        <v>198.61</v>
      </c>
      <c r="AU41" s="20" t="n">
        <v>198.61</v>
      </c>
      <c r="AV41" s="20" t="n">
        <v>198.61</v>
      </c>
      <c r="AW41" s="20" t="n">
        <v>198.61</v>
      </c>
      <c r="AX41" s="20" t="n">
        <v>198.61</v>
      </c>
      <c r="AY41" s="20" t="n">
        <v>198.61</v>
      </c>
    </row>
    <row r="42">
      <c r="B42" s="33" t="inlineStr">
        <is>
          <t>610000 Office Supplies &amp; GE (incl Licenses, Furniture, Shipping, Bank Fees, Start-Up Costs)</t>
        </is>
      </c>
      <c r="D42" s="19" t="n">
        <v>1712.74</v>
      </c>
      <c r="E42" s="19" t="n">
        <v>1772.29</v>
      </c>
      <c r="F42" s="19" t="n">
        <v>3000.99</v>
      </c>
      <c r="G42" s="19" t="n">
        <v>2603.37</v>
      </c>
      <c r="H42" s="19" t="n">
        <v>2622.15</v>
      </c>
      <c r="I42" s="19" t="n">
        <v>3694.76</v>
      </c>
      <c r="J42" s="19" t="n">
        <v>927.02</v>
      </c>
      <c r="K42" s="19" t="n">
        <v>757.64</v>
      </c>
      <c r="L42" s="19" t="n">
        <v>2426.05</v>
      </c>
      <c r="M42" s="19" t="n">
        <v>1702.31</v>
      </c>
      <c r="N42" s="19" t="n">
        <v>461.07</v>
      </c>
      <c r="O42" s="19" t="n">
        <v>1586.09</v>
      </c>
      <c r="P42" s="19" t="n">
        <v>629.09</v>
      </c>
      <c r="Q42" s="19" t="n">
        <v>908.42</v>
      </c>
      <c r="R42" s="19" t="n">
        <v>1225.52</v>
      </c>
      <c r="S42" s="19" t="n">
        <v>338.23</v>
      </c>
      <c r="T42" s="83" t="n">
        <v>1671.71</v>
      </c>
      <c r="U42" s="83" t="n">
        <v>5711.01</v>
      </c>
      <c r="V42" s="83" t="n">
        <v>615.21</v>
      </c>
      <c r="W42" s="20" t="n">
        <v>531.34</v>
      </c>
      <c r="X42" s="20" t="n">
        <v>531.34</v>
      </c>
      <c r="Y42" s="20" t="n">
        <v>531.34</v>
      </c>
      <c r="Z42" s="20" t="n">
        <v>531.34</v>
      </c>
      <c r="AA42" s="20" t="n">
        <v>531.34</v>
      </c>
      <c r="AB42" s="20" t="n">
        <v>531.34</v>
      </c>
      <c r="AC42" s="20" t="n">
        <v>531.34</v>
      </c>
      <c r="AD42" s="20" t="n">
        <v>531.34</v>
      </c>
      <c r="AE42" s="20" t="n">
        <v>531.34</v>
      </c>
      <c r="AF42" s="20" t="n">
        <v>531.34</v>
      </c>
      <c r="AG42" s="20" t="n">
        <v>531.34</v>
      </c>
      <c r="AH42" s="20" t="n">
        <v>531.34</v>
      </c>
      <c r="AI42" s="20" t="n">
        <v>531.34</v>
      </c>
      <c r="AJ42" s="20" t="n">
        <v>531.34</v>
      </c>
      <c r="AK42" s="20" t="n">
        <v>531.34</v>
      </c>
      <c r="AL42" s="20" t="n">
        <v>531.34</v>
      </c>
      <c r="AM42" s="20" t="n">
        <v>531.34</v>
      </c>
      <c r="AN42" s="20" t="n">
        <v>531.34</v>
      </c>
      <c r="AO42" s="20" t="n">
        <v>531.34</v>
      </c>
      <c r="AP42" s="20" t="n">
        <v>531.34</v>
      </c>
      <c r="AQ42" s="20" t="n">
        <v>531.34</v>
      </c>
      <c r="AR42" s="20" t="n">
        <v>531.34</v>
      </c>
      <c r="AS42" s="20" t="n">
        <v>531.34</v>
      </c>
      <c r="AT42" s="20" t="n">
        <v>531.34</v>
      </c>
      <c r="AU42" s="20" t="n">
        <v>531.34</v>
      </c>
      <c r="AV42" s="20" t="n">
        <v>531.34</v>
      </c>
      <c r="AW42" s="20" t="n">
        <v>531.34</v>
      </c>
      <c r="AX42" s="20" t="n">
        <v>531.34</v>
      </c>
      <c r="AY42" s="20" t="n">
        <v>531.34</v>
      </c>
    </row>
    <row r="43">
      <c r="B43" s="32" t="inlineStr">
        <is>
          <t>Total Software &amp; Admin</t>
        </is>
      </c>
      <c r="C43" s="34" t="n"/>
      <c r="D43" s="35">
        <f>D40+D41+D42</f>
        <v/>
      </c>
      <c r="E43" s="35">
        <f>E40+E41+E42</f>
        <v/>
      </c>
      <c r="F43" s="35">
        <f>F40+F41+F42</f>
        <v/>
      </c>
      <c r="G43" s="35">
        <f>G40+G41+G42</f>
        <v/>
      </c>
      <c r="H43" s="35">
        <f>H40+H41+H42</f>
        <v/>
      </c>
      <c r="I43" s="35">
        <f>I40+I41+I42</f>
        <v/>
      </c>
      <c r="J43" s="35">
        <f>J40+J41+J42</f>
        <v/>
      </c>
      <c r="K43" s="35">
        <f>K40+K41+K42</f>
        <v/>
      </c>
      <c r="L43" s="35">
        <f>L40+L41+L42</f>
        <v/>
      </c>
      <c r="M43" s="35">
        <f>M40+M41+M42</f>
        <v/>
      </c>
      <c r="N43" s="35">
        <f>N40+N41+N42</f>
        <v/>
      </c>
      <c r="O43" s="35">
        <f>O40+O41+O42</f>
        <v/>
      </c>
      <c r="P43" s="35">
        <f>P40+P41+P42</f>
        <v/>
      </c>
      <c r="Q43" s="35">
        <f>Q40+Q41+Q42</f>
        <v/>
      </c>
      <c r="R43" s="35">
        <f>R40+R41+R42</f>
        <v/>
      </c>
      <c r="S43" s="35">
        <f>S40+S41+S42</f>
        <v/>
      </c>
      <c r="T43" s="17">
        <f>T40+T41+T42</f>
        <v/>
      </c>
      <c r="U43" s="17">
        <f>U40+U41+U42</f>
        <v/>
      </c>
      <c r="V43" s="17">
        <f>V40+V41+V42</f>
        <v/>
      </c>
      <c r="W43" s="17">
        <f>W40+W41+W42</f>
        <v/>
      </c>
      <c r="X43" s="17">
        <f>X40+X41+X42</f>
        <v/>
      </c>
      <c r="Y43" s="17">
        <f>Y40+Y41+Y42</f>
        <v/>
      </c>
      <c r="Z43" s="17">
        <f>Z40+Z41+Z42</f>
        <v/>
      </c>
      <c r="AA43" s="17">
        <f>AA40+AA41+AA42</f>
        <v/>
      </c>
      <c r="AB43" s="17">
        <f>AB40+AB41+AB42</f>
        <v/>
      </c>
      <c r="AC43" s="17">
        <f>AC40+AC41+AC42</f>
        <v/>
      </c>
      <c r="AD43" s="17">
        <f>AD40+AD41+AD42</f>
        <v/>
      </c>
      <c r="AE43" s="17">
        <f>AE40+AE41+AE42</f>
        <v/>
      </c>
      <c r="AF43" s="17">
        <f>AF40+AF41+AF42</f>
        <v/>
      </c>
      <c r="AG43" s="17">
        <f>AG40+AG41+AG42</f>
        <v/>
      </c>
      <c r="AH43" s="17">
        <f>AH40+AH41+AH42</f>
        <v/>
      </c>
      <c r="AI43" s="17">
        <f>AI40+AI41+AI42</f>
        <v/>
      </c>
      <c r="AJ43" s="17">
        <f>AJ40+AJ41+AJ42</f>
        <v/>
      </c>
      <c r="AK43" s="17">
        <f>AK40+AK41+AK42</f>
        <v/>
      </c>
      <c r="AL43" s="17">
        <f>AL40+AL41+AL42</f>
        <v/>
      </c>
      <c r="AM43" s="17">
        <f>AM40+AM41+AM42</f>
        <v/>
      </c>
      <c r="AN43" s="17">
        <f>AN40+AN41+AN42</f>
        <v/>
      </c>
      <c r="AO43" s="17">
        <f>AO40+AO41+AO42</f>
        <v/>
      </c>
      <c r="AP43" s="17">
        <f>AP40+AP41+AP42</f>
        <v/>
      </c>
      <c r="AQ43" s="17">
        <f>AQ40+AQ41+AQ42</f>
        <v/>
      </c>
      <c r="AR43" s="17">
        <f>AR40+AR41+AR42</f>
        <v/>
      </c>
      <c r="AS43" s="17">
        <f>AS40+AS41+AS42</f>
        <v/>
      </c>
      <c r="AT43" s="17">
        <f>AT40+AT41+AT42</f>
        <v/>
      </c>
      <c r="AU43" s="17">
        <f>AU40+AU41+AU42</f>
        <v/>
      </c>
      <c r="AV43" s="17">
        <f>AV40+AV41+AV42</f>
        <v/>
      </c>
      <c r="AW43" s="17">
        <f>AW40+AW41+AW42</f>
        <v/>
      </c>
      <c r="AX43" s="17">
        <f>AX40+AX41+AX42</f>
        <v/>
      </c>
      <c r="AY43" s="17">
        <f>AY40+AY41+AY42</f>
        <v/>
      </c>
    </row>
    <row r="44">
      <c r="B44" s="33" t="inlineStr">
        <is>
          <t xml:space="preserve">  604100 Legal Fees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500</v>
      </c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0</v>
      </c>
      <c r="O44" s="19" t="n">
        <v>0</v>
      </c>
      <c r="P44" s="19" t="n">
        <v>0</v>
      </c>
      <c r="Q44" s="19" t="n">
        <v>0</v>
      </c>
      <c r="R44" s="19" t="n">
        <v>0</v>
      </c>
      <c r="S44" s="19" t="n">
        <v>0</v>
      </c>
      <c r="T44" s="83" t="n">
        <v>0</v>
      </c>
      <c r="U44" s="83" t="n">
        <v>0</v>
      </c>
      <c r="V44" s="83" t="n">
        <v>0</v>
      </c>
      <c r="W44" s="20" t="n">
        <v>0</v>
      </c>
      <c r="X44" s="20" t="n">
        <v>0</v>
      </c>
      <c r="Y44" s="20" t="n">
        <v>0</v>
      </c>
      <c r="Z44" s="20" t="n">
        <v>0</v>
      </c>
      <c r="AA44" s="20" t="n">
        <v>0</v>
      </c>
      <c r="AB44" s="20" t="n">
        <v>0</v>
      </c>
      <c r="AC44" s="20" t="n">
        <v>0</v>
      </c>
      <c r="AD44" s="20" t="n">
        <v>0</v>
      </c>
      <c r="AE44" s="20" t="n">
        <v>0</v>
      </c>
      <c r="AF44" s="20" t="n">
        <v>0</v>
      </c>
      <c r="AG44" s="20" t="n">
        <v>0</v>
      </c>
      <c r="AH44" s="20" t="n">
        <v>0</v>
      </c>
      <c r="AI44" s="20" t="n">
        <v>0</v>
      </c>
      <c r="AJ44" s="20" t="n">
        <v>0</v>
      </c>
      <c r="AK44" s="20" t="n">
        <v>0</v>
      </c>
      <c r="AL44" s="20" t="n">
        <v>0</v>
      </c>
      <c r="AM44" s="20" t="n">
        <v>0</v>
      </c>
      <c r="AN44" s="20" t="n">
        <v>0</v>
      </c>
      <c r="AO44" s="20" t="n">
        <v>0</v>
      </c>
      <c r="AP44" s="20" t="n">
        <v>0</v>
      </c>
      <c r="AQ44" s="20" t="n">
        <v>0</v>
      </c>
      <c r="AR44" s="20" t="n">
        <v>0</v>
      </c>
      <c r="AS44" s="20" t="n">
        <v>0</v>
      </c>
      <c r="AT44" s="20" t="n">
        <v>0</v>
      </c>
      <c r="AU44" s="20" t="n">
        <v>0</v>
      </c>
      <c r="AV44" s="20" t="n">
        <v>0</v>
      </c>
      <c r="AW44" s="20" t="n">
        <v>0</v>
      </c>
      <c r="AX44" s="20" t="n">
        <v>0</v>
      </c>
      <c r="AY44" s="20" t="n">
        <v>0</v>
      </c>
    </row>
    <row r="45">
      <c r="B45" s="33" t="inlineStr">
        <is>
          <t xml:space="preserve">  604200 Accounting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19" t="n">
        <v>1250</v>
      </c>
      <c r="I45" s="19" t="n">
        <v>49.5</v>
      </c>
      <c r="J45" s="19" t="n">
        <v>49.5</v>
      </c>
      <c r="K45" s="19" t="n">
        <v>49.5</v>
      </c>
      <c r="L45" s="19" t="n">
        <v>57.5</v>
      </c>
      <c r="M45" s="19" t="n">
        <v>0</v>
      </c>
      <c r="N45" s="19" t="n">
        <v>154.54</v>
      </c>
      <c r="O45" s="19" t="n">
        <v>101.59</v>
      </c>
      <c r="P45" s="19" t="n">
        <v>0</v>
      </c>
      <c r="Q45" s="19" t="n">
        <v>301.82</v>
      </c>
      <c r="R45" s="19" t="n">
        <v>0</v>
      </c>
      <c r="S45" s="19" t="n">
        <v>0</v>
      </c>
      <c r="T45" s="83" t="n">
        <v>1116.82</v>
      </c>
      <c r="U45" s="83" t="n">
        <v>0</v>
      </c>
      <c r="V45" s="83" t="n">
        <v>0</v>
      </c>
      <c r="W45" s="20" t="n">
        <v>65.83</v>
      </c>
      <c r="X45" s="20" t="n">
        <v>65.83</v>
      </c>
      <c r="Y45" s="20" t="n">
        <v>65.83</v>
      </c>
      <c r="Z45" s="20" t="n">
        <v>65.83</v>
      </c>
      <c r="AA45" s="20" t="n">
        <v>65.83</v>
      </c>
      <c r="AB45" s="20" t="n">
        <v>65.83</v>
      </c>
      <c r="AC45" s="20" t="n">
        <v>65.83</v>
      </c>
      <c r="AD45" s="20" t="n">
        <v>65.83</v>
      </c>
      <c r="AE45" s="20" t="n">
        <v>65.83</v>
      </c>
      <c r="AF45" s="20" t="n">
        <v>65.83</v>
      </c>
      <c r="AG45" s="20" t="n">
        <v>65.83</v>
      </c>
      <c r="AH45" s="20" t="n">
        <v>65.83</v>
      </c>
      <c r="AI45" s="20" t="n">
        <v>65.83</v>
      </c>
      <c r="AJ45" s="20" t="n">
        <v>65.83</v>
      </c>
      <c r="AK45" s="20" t="n">
        <v>65.83</v>
      </c>
      <c r="AL45" s="20" t="n">
        <v>65.83</v>
      </c>
      <c r="AM45" s="20" t="n">
        <v>65.83</v>
      </c>
      <c r="AN45" s="20" t="n">
        <v>65.83</v>
      </c>
      <c r="AO45" s="20" t="n">
        <v>65.83</v>
      </c>
      <c r="AP45" s="20" t="n">
        <v>65.83</v>
      </c>
      <c r="AQ45" s="20" t="n">
        <v>65.83</v>
      </c>
      <c r="AR45" s="20" t="n">
        <v>65.83</v>
      </c>
      <c r="AS45" s="20" t="n">
        <v>65.83</v>
      </c>
      <c r="AT45" s="20" t="n">
        <v>65.83</v>
      </c>
      <c r="AU45" s="20" t="n">
        <v>65.83</v>
      </c>
      <c r="AV45" s="20" t="n">
        <v>65.83</v>
      </c>
      <c r="AW45" s="20" t="n">
        <v>65.83</v>
      </c>
      <c r="AX45" s="20" t="n">
        <v>65.83</v>
      </c>
      <c r="AY45" s="20" t="n">
        <v>65.83</v>
      </c>
    </row>
    <row r="46">
      <c r="B46" s="33" t="inlineStr">
        <is>
          <t xml:space="preserve">  604300 Recruiting</t>
        </is>
      </c>
      <c r="D46" s="19" t="n">
        <v>1915.6</v>
      </c>
      <c r="E46" s="19" t="n">
        <v>512.95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0</v>
      </c>
      <c r="N46" s="19" t="n">
        <v>0</v>
      </c>
      <c r="O46" s="19" t="n">
        <v>0</v>
      </c>
      <c r="P46" s="19" t="n">
        <v>0</v>
      </c>
      <c r="Q46" s="19" t="n">
        <v>0</v>
      </c>
      <c r="R46" s="19" t="n">
        <v>0</v>
      </c>
      <c r="S46" s="19" t="n">
        <v>0</v>
      </c>
      <c r="T46" s="83" t="n">
        <v>0</v>
      </c>
      <c r="U46" s="83" t="n">
        <v>0</v>
      </c>
      <c r="V46" s="83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</row>
    <row r="47">
      <c r="B47" s="33" t="inlineStr">
        <is>
          <t xml:space="preserve">  604400 Other Professional Fees</t>
        </is>
      </c>
      <c r="D47" s="19" t="n">
        <v>285.5</v>
      </c>
      <c r="E47" s="19" t="n">
        <v>0</v>
      </c>
      <c r="F47" s="19" t="n">
        <v>0</v>
      </c>
      <c r="G47" s="19" t="n">
        <v>0</v>
      </c>
      <c r="H47" s="19" t="n">
        <v>0</v>
      </c>
      <c r="I47" s="19" t="n">
        <v>0</v>
      </c>
      <c r="J47" s="19" t="n">
        <v>479.1</v>
      </c>
      <c r="K47" s="19" t="n">
        <v>479.1</v>
      </c>
      <c r="L47" s="19" t="n">
        <v>479.1</v>
      </c>
      <c r="M47" s="19" t="n">
        <v>861</v>
      </c>
      <c r="N47" s="19" t="n">
        <v>481</v>
      </c>
      <c r="O47" s="19" t="n">
        <v>497.18</v>
      </c>
      <c r="P47" s="19" t="n">
        <v>516</v>
      </c>
      <c r="Q47" s="19" t="n">
        <v>516</v>
      </c>
      <c r="R47" s="19" t="n">
        <v>516</v>
      </c>
      <c r="S47" s="19" t="n">
        <v>516</v>
      </c>
      <c r="T47" s="83" t="n">
        <v>516</v>
      </c>
      <c r="U47" s="83" t="n">
        <v>516</v>
      </c>
      <c r="V47" s="83" t="n">
        <v>516</v>
      </c>
      <c r="W47" s="20" t="n">
        <v>450.17</v>
      </c>
      <c r="X47" s="20" t="n">
        <v>450.17</v>
      </c>
      <c r="Y47" s="20" t="n">
        <v>450.17</v>
      </c>
      <c r="Z47" s="20" t="n">
        <v>450.17</v>
      </c>
      <c r="AA47" s="20" t="n">
        <v>450.17</v>
      </c>
      <c r="AB47" s="20" t="n">
        <v>450.17</v>
      </c>
      <c r="AC47" s="20" t="n">
        <v>450.17</v>
      </c>
      <c r="AD47" s="20" t="n">
        <v>450.17</v>
      </c>
      <c r="AE47" s="20" t="n">
        <v>450.17</v>
      </c>
      <c r="AF47" s="20" t="n">
        <v>450.17</v>
      </c>
      <c r="AG47" s="20" t="n">
        <v>450.17</v>
      </c>
      <c r="AH47" s="20" t="n">
        <v>450.17</v>
      </c>
      <c r="AI47" s="20" t="n">
        <v>450.17</v>
      </c>
      <c r="AJ47" s="20" t="n">
        <v>450.17</v>
      </c>
      <c r="AK47" s="20" t="n">
        <v>450.17</v>
      </c>
      <c r="AL47" s="20" t="n">
        <v>450.17</v>
      </c>
      <c r="AM47" s="20" t="n">
        <v>450.17</v>
      </c>
      <c r="AN47" s="20" t="n">
        <v>450.17</v>
      </c>
      <c r="AO47" s="20" t="n">
        <v>450.17</v>
      </c>
      <c r="AP47" s="20" t="n">
        <v>450.17</v>
      </c>
      <c r="AQ47" s="20" t="n">
        <v>450.17</v>
      </c>
      <c r="AR47" s="20" t="n">
        <v>450.17</v>
      </c>
      <c r="AS47" s="20" t="n">
        <v>450.17</v>
      </c>
      <c r="AT47" s="20" t="n">
        <v>450.17</v>
      </c>
      <c r="AU47" s="20" t="n">
        <v>450.17</v>
      </c>
      <c r="AV47" s="20" t="n">
        <v>450.17</v>
      </c>
      <c r="AW47" s="20" t="n">
        <v>450.17</v>
      </c>
      <c r="AX47" s="20" t="n">
        <v>450.17</v>
      </c>
      <c r="AY47" s="20" t="n">
        <v>450.17</v>
      </c>
    </row>
    <row r="48">
      <c r="B48" s="32" t="inlineStr">
        <is>
          <t>Total Professional Fees</t>
        </is>
      </c>
      <c r="C48" s="34" t="n"/>
      <c r="D48" s="35">
        <f>SUM(D44:D47)</f>
        <v/>
      </c>
      <c r="E48" s="35">
        <f>SUM(E44:E47)</f>
        <v/>
      </c>
      <c r="F48" s="35">
        <f>SUM(F44:F47)</f>
        <v/>
      </c>
      <c r="G48" s="35">
        <f>SUM(G44:G47)</f>
        <v/>
      </c>
      <c r="H48" s="35">
        <f>SUM(H44:H47)</f>
        <v/>
      </c>
      <c r="I48" s="35">
        <f>SUM(I44:I47)</f>
        <v/>
      </c>
      <c r="J48" s="35">
        <f>SUM(J44:J47)</f>
        <v/>
      </c>
      <c r="K48" s="35">
        <f>SUM(K44:K47)</f>
        <v/>
      </c>
      <c r="L48" s="35">
        <f>SUM(L44:L47)</f>
        <v/>
      </c>
      <c r="M48" s="35">
        <f>SUM(M44:M47)</f>
        <v/>
      </c>
      <c r="N48" s="35">
        <f>SUM(N44:N47)</f>
        <v/>
      </c>
      <c r="O48" s="35">
        <f>SUM(O44:O47)</f>
        <v/>
      </c>
      <c r="P48" s="35">
        <f>P44+P45+P46+P47</f>
        <v/>
      </c>
      <c r="Q48" s="35">
        <f>Q44+Q45+Q46+Q47</f>
        <v/>
      </c>
      <c r="R48" s="35">
        <f>R44+R45+R46+R47</f>
        <v/>
      </c>
      <c r="S48" s="35">
        <f>S44+S45+S46+S47</f>
        <v/>
      </c>
      <c r="T48" s="84">
        <f>T44+T45+T46+T47</f>
        <v/>
      </c>
      <c r="U48" s="84">
        <f>U44+U45+U46+U47</f>
        <v/>
      </c>
      <c r="V48" s="84">
        <f>V44+V45+V46+V47</f>
        <v/>
      </c>
      <c r="W48" s="17">
        <f>W44+W45+W46+W47</f>
        <v/>
      </c>
      <c r="X48" s="17">
        <f>X44+X45+X46+X47</f>
        <v/>
      </c>
      <c r="Y48" s="17">
        <f>Y44+Y45+Y46+Y47</f>
        <v/>
      </c>
      <c r="Z48" s="17">
        <f>Z44+Z45+Z46+Z47</f>
        <v/>
      </c>
      <c r="AA48" s="17">
        <f>AA44+AA45+AA46+AA47</f>
        <v/>
      </c>
      <c r="AB48" s="17">
        <f>AB44+AB45+AB46+AB47</f>
        <v/>
      </c>
      <c r="AC48" s="17">
        <f>AC44+AC45+AC46+AC47</f>
        <v/>
      </c>
      <c r="AD48" s="17">
        <f>AD44+AD45+AD46+AD47</f>
        <v/>
      </c>
      <c r="AE48" s="17">
        <f>AE44+AE45+AE46+AE47</f>
        <v/>
      </c>
      <c r="AF48" s="17">
        <f>AF44+AF45+AF46+AF47</f>
        <v/>
      </c>
      <c r="AG48" s="17">
        <f>AG44+AG45+AG46+AG47</f>
        <v/>
      </c>
      <c r="AH48" s="17">
        <f>AH44+AH45+AH46+AH47</f>
        <v/>
      </c>
      <c r="AI48" s="17">
        <f>AI44+AI45+AI46+AI47</f>
        <v/>
      </c>
      <c r="AJ48" s="17">
        <f>AJ44+AJ45+AJ46+AJ47</f>
        <v/>
      </c>
      <c r="AK48" s="17">
        <f>AK44+AK45+AK46+AK47</f>
        <v/>
      </c>
      <c r="AL48" s="17">
        <f>AL44+AL45+AL46+AL47</f>
        <v/>
      </c>
      <c r="AM48" s="17">
        <f>AM44+AM45+AM46+AM47</f>
        <v/>
      </c>
      <c r="AN48" s="17">
        <f>AN44+AN45+AN46+AN47</f>
        <v/>
      </c>
      <c r="AO48" s="17">
        <f>AO44+AO45+AO46+AO47</f>
        <v/>
      </c>
      <c r="AP48" s="17">
        <f>AP44+AP45+AP46+AP47</f>
        <v/>
      </c>
      <c r="AQ48" s="17">
        <f>AQ44+AQ45+AQ46+AQ47</f>
        <v/>
      </c>
      <c r="AR48" s="17">
        <f>AR44+AR45+AR46+AR47</f>
        <v/>
      </c>
      <c r="AS48" s="17">
        <f>AS44+AS45+AS46+AS47</f>
        <v/>
      </c>
      <c r="AT48" s="17">
        <f>AT44+AT45+AT46+AT47</f>
        <v/>
      </c>
      <c r="AU48" s="17">
        <f>AU44+AU45+AU46+AU47</f>
        <v/>
      </c>
      <c r="AV48" s="17">
        <f>AV44+AV45+AV46+AV47</f>
        <v/>
      </c>
      <c r="AW48" s="17">
        <f>AW44+AW45+AW46+AW47</f>
        <v/>
      </c>
      <c r="AX48" s="17">
        <f>AX44+AX45+AX46+AX47</f>
        <v/>
      </c>
      <c r="AY48" s="17">
        <f>AY44+AY45+AY46+AY47</f>
        <v/>
      </c>
    </row>
    <row r="49">
      <c r="B49" s="33" t="inlineStr">
        <is>
          <t xml:space="preserve">  605000 Travel</t>
        </is>
      </c>
      <c r="D49" s="19" t="n">
        <v>0</v>
      </c>
      <c r="E49" s="19" t="n">
        <v>1079.56</v>
      </c>
      <c r="F49" s="19" t="n">
        <v>0</v>
      </c>
      <c r="G49" s="19" t="n">
        <v>0</v>
      </c>
      <c r="H49" s="19" t="n">
        <v>0</v>
      </c>
      <c r="I49" s="19" t="n">
        <v>4360.95</v>
      </c>
      <c r="J49" s="19" t="n">
        <v>3804.66</v>
      </c>
      <c r="K49" s="19" t="n">
        <v>603.42</v>
      </c>
      <c r="L49" s="19" t="n">
        <v>159.95</v>
      </c>
      <c r="M49" s="19" t="n">
        <v>860.02</v>
      </c>
      <c r="N49" s="19" t="n">
        <v>0</v>
      </c>
      <c r="O49" s="19" t="n">
        <v>0</v>
      </c>
      <c r="P49" s="19" t="n">
        <v>0</v>
      </c>
      <c r="Q49" s="19" t="n">
        <v>0</v>
      </c>
      <c r="R49" s="19" t="n">
        <v>3.65</v>
      </c>
      <c r="S49" s="19" t="n">
        <v>0</v>
      </c>
      <c r="T49" s="83" t="n">
        <v>0</v>
      </c>
      <c r="U49" s="83" t="n">
        <v>0</v>
      </c>
      <c r="V49" s="83" t="n">
        <v>200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3" t="inlineStr">
        <is>
          <t>606000 Meals (incl Entertainment)</t>
        </is>
      </c>
      <c r="D50" s="19" t="n">
        <v>47.56</v>
      </c>
      <c r="E50" s="19" t="n">
        <v>151.46</v>
      </c>
      <c r="F50" s="19" t="n">
        <v>173.85</v>
      </c>
      <c r="G50" s="19" t="n">
        <v>62.56</v>
      </c>
      <c r="H50" s="19" t="n">
        <v>47.07</v>
      </c>
      <c r="I50" s="19" t="n">
        <v>274.46</v>
      </c>
      <c r="J50" s="19" t="n">
        <v>2280.03</v>
      </c>
      <c r="K50" s="19" t="n">
        <v>293.72</v>
      </c>
      <c r="L50" s="19" t="n">
        <v>424.37</v>
      </c>
      <c r="M50" s="19" t="n">
        <v>433.94</v>
      </c>
      <c r="N50" s="19" t="n">
        <v>11.06</v>
      </c>
      <c r="O50" s="19" t="n">
        <v>105.46</v>
      </c>
      <c r="P50" s="19" t="n">
        <v>0</v>
      </c>
      <c r="Q50" s="19" t="n">
        <v>4.97</v>
      </c>
      <c r="R50" s="19" t="n">
        <v>9.960000000000001</v>
      </c>
      <c r="S50" s="19" t="n">
        <v>538.15</v>
      </c>
      <c r="T50" s="83" t="n">
        <v>214.1</v>
      </c>
      <c r="U50" s="83" t="n">
        <v>44.85</v>
      </c>
      <c r="V50" s="83" t="n">
        <v>19.84</v>
      </c>
      <c r="W50" s="20" t="n">
        <v>0</v>
      </c>
      <c r="X50" s="20" t="n">
        <v>0</v>
      </c>
      <c r="Y50" s="20" t="n">
        <v>0</v>
      </c>
      <c r="Z50" s="20" t="n">
        <v>0</v>
      </c>
      <c r="AA50" s="20" t="n">
        <v>0</v>
      </c>
      <c r="AB50" s="20" t="n">
        <v>0</v>
      </c>
      <c r="AC50" s="20" t="n">
        <v>0</v>
      </c>
      <c r="AD50" s="20" t="n">
        <v>0</v>
      </c>
      <c r="AE50" s="20" t="n">
        <v>0</v>
      </c>
      <c r="AF50" s="20" t="n">
        <v>0</v>
      </c>
      <c r="AG50" s="20" t="n">
        <v>0</v>
      </c>
      <c r="AH50" s="20" t="n">
        <v>0</v>
      </c>
      <c r="AI50" s="20" t="n">
        <v>0</v>
      </c>
      <c r="AJ50" s="20" t="n">
        <v>0</v>
      </c>
      <c r="AK50" s="20" t="n">
        <v>0</v>
      </c>
      <c r="AL50" s="20" t="n">
        <v>0</v>
      </c>
      <c r="AM50" s="20" t="n">
        <v>0</v>
      </c>
      <c r="AN50" s="20" t="n">
        <v>0</v>
      </c>
      <c r="AO50" s="20" t="n">
        <v>0</v>
      </c>
      <c r="AP50" s="20" t="n">
        <v>0</v>
      </c>
      <c r="AQ50" s="20" t="n">
        <v>0</v>
      </c>
      <c r="AR50" s="20" t="n">
        <v>0</v>
      </c>
      <c r="AS50" s="20" t="n">
        <v>0</v>
      </c>
      <c r="AT50" s="20" t="n">
        <v>0</v>
      </c>
      <c r="AU50" s="20" t="n">
        <v>0</v>
      </c>
      <c r="AV50" s="20" t="n">
        <v>0</v>
      </c>
      <c r="AW50" s="20" t="n">
        <v>0</v>
      </c>
      <c r="AX50" s="20" t="n">
        <v>0</v>
      </c>
      <c r="AY50" s="20" t="n">
        <v>0</v>
      </c>
    </row>
    <row r="51">
      <c r="B51" s="32" t="inlineStr">
        <is>
          <t>Total Travel &amp; Meals</t>
        </is>
      </c>
      <c r="C51" s="34" t="n"/>
      <c r="D51" s="35">
        <f>D49+D50</f>
        <v/>
      </c>
      <c r="E51" s="35">
        <f>E49+E50</f>
        <v/>
      </c>
      <c r="F51" s="35">
        <f>F49+F50</f>
        <v/>
      </c>
      <c r="G51" s="35">
        <f>G49+G50</f>
        <v/>
      </c>
      <c r="H51" s="35">
        <f>H49+H50</f>
        <v/>
      </c>
      <c r="I51" s="35">
        <f>I49+I50</f>
        <v/>
      </c>
      <c r="J51" s="35">
        <f>J49+J50</f>
        <v/>
      </c>
      <c r="K51" s="35">
        <f>K49+K50</f>
        <v/>
      </c>
      <c r="L51" s="35">
        <f>L49+L50</f>
        <v/>
      </c>
      <c r="M51" s="35">
        <f>M49+M50</f>
        <v/>
      </c>
      <c r="N51" s="35">
        <f>N49+N50</f>
        <v/>
      </c>
      <c r="O51" s="35">
        <f>O49+O50</f>
        <v/>
      </c>
      <c r="P51" s="35">
        <f>P49+P50</f>
        <v/>
      </c>
      <c r="Q51" s="35">
        <f>Q49+Q50</f>
        <v/>
      </c>
      <c r="R51" s="35">
        <f>R49+R50</f>
        <v/>
      </c>
      <c r="S51" s="35">
        <f>S49+S50</f>
        <v/>
      </c>
      <c r="T51" s="17">
        <f>T49+T50</f>
        <v/>
      </c>
      <c r="U51" s="17">
        <f>U49+U50</f>
        <v/>
      </c>
      <c r="V51" s="17">
        <f>V49+V50</f>
        <v/>
      </c>
      <c r="W51" s="17">
        <f>W49+W50</f>
        <v/>
      </c>
      <c r="X51" s="17">
        <f>X49+X50</f>
        <v/>
      </c>
      <c r="Y51" s="17">
        <f>Y49+Y50</f>
        <v/>
      </c>
      <c r="Z51" s="17">
        <f>Z49+Z50</f>
        <v/>
      </c>
      <c r="AA51" s="17">
        <f>AA49+AA50</f>
        <v/>
      </c>
      <c r="AB51" s="17">
        <f>AB49+AB50</f>
        <v/>
      </c>
      <c r="AC51" s="17">
        <f>AC49+AC50</f>
        <v/>
      </c>
      <c r="AD51" s="17">
        <f>AD49+AD50</f>
        <v/>
      </c>
      <c r="AE51" s="17">
        <f>AE49+AE50</f>
        <v/>
      </c>
      <c r="AF51" s="17">
        <f>AF49+AF50</f>
        <v/>
      </c>
      <c r="AG51" s="17">
        <f>AG49+AG50</f>
        <v/>
      </c>
      <c r="AH51" s="17">
        <f>AH49+AH50</f>
        <v/>
      </c>
      <c r="AI51" s="17">
        <f>AI49+AI50</f>
        <v/>
      </c>
      <c r="AJ51" s="17">
        <f>AJ49+AJ50</f>
        <v/>
      </c>
      <c r="AK51" s="17">
        <f>AK49+AK50</f>
        <v/>
      </c>
      <c r="AL51" s="17">
        <f>AL49+AL50</f>
        <v/>
      </c>
      <c r="AM51" s="17">
        <f>AM49+AM50</f>
        <v/>
      </c>
      <c r="AN51" s="17">
        <f>AN49+AN50</f>
        <v/>
      </c>
      <c r="AO51" s="17">
        <f>AO49+AO50</f>
        <v/>
      </c>
      <c r="AP51" s="17">
        <f>AP49+AP50</f>
        <v/>
      </c>
      <c r="AQ51" s="17">
        <f>AQ49+AQ50</f>
        <v/>
      </c>
      <c r="AR51" s="17">
        <f>AR49+AR50</f>
        <v/>
      </c>
      <c r="AS51" s="17">
        <f>AS49+AS50</f>
        <v/>
      </c>
      <c r="AT51" s="17">
        <f>AT49+AT50</f>
        <v/>
      </c>
      <c r="AU51" s="17">
        <f>AU49+AU50</f>
        <v/>
      </c>
      <c r="AV51" s="17">
        <f>AV49+AV50</f>
        <v/>
      </c>
      <c r="AW51" s="17">
        <f>AW49+AW50</f>
        <v/>
      </c>
      <c r="AX51" s="17">
        <f>AX49+AX50</f>
        <v/>
      </c>
      <c r="AY51" s="17">
        <f>AY49+AY50</f>
        <v/>
      </c>
    </row>
    <row r="52">
      <c r="B52" s="33" t="inlineStr">
        <is>
          <t xml:space="preserve">  616001 Electricity</t>
        </is>
      </c>
      <c r="D52" s="19" t="n">
        <v>666.23</v>
      </c>
      <c r="E52" s="19" t="n">
        <v>563.42</v>
      </c>
      <c r="F52" s="19" t="n">
        <v>516.21</v>
      </c>
      <c r="G52" s="19" t="n">
        <v>501.94</v>
      </c>
      <c r="H52" s="19" t="n">
        <v>610.24</v>
      </c>
      <c r="I52" s="19" t="n">
        <v>0</v>
      </c>
      <c r="J52" s="19" t="n">
        <v>866.09</v>
      </c>
      <c r="K52" s="19" t="n">
        <v>821.25</v>
      </c>
      <c r="L52" s="19" t="n">
        <v>1194.78</v>
      </c>
      <c r="M52" s="19" t="n">
        <v>847.88</v>
      </c>
      <c r="N52" s="19" t="n">
        <v>511.01</v>
      </c>
      <c r="O52" s="19" t="n">
        <v>507.01</v>
      </c>
      <c r="P52" s="19" t="n">
        <v>477.46</v>
      </c>
      <c r="Q52" s="19" t="n">
        <v>604.29</v>
      </c>
      <c r="R52" s="19" t="n">
        <v>600.67</v>
      </c>
      <c r="S52" s="19" t="n">
        <v>680.12</v>
      </c>
      <c r="T52" s="83" t="n">
        <v>527.4299999999999</v>
      </c>
      <c r="U52" s="83" t="n">
        <v>615.62</v>
      </c>
      <c r="V52" s="83" t="n">
        <v>804.3099999999999</v>
      </c>
      <c r="W52" s="20" t="n">
        <v>592.6799999999999</v>
      </c>
      <c r="X52" s="20" t="n">
        <v>592.6799999999999</v>
      </c>
      <c r="Y52" s="20" t="n">
        <v>592.6799999999999</v>
      </c>
      <c r="Z52" s="20" t="n">
        <v>592.6799999999999</v>
      </c>
      <c r="AA52" s="20" t="n">
        <v>592.6799999999999</v>
      </c>
      <c r="AB52" s="20" t="n">
        <v>592.6799999999999</v>
      </c>
      <c r="AC52" s="20" t="n">
        <v>592.6799999999999</v>
      </c>
      <c r="AD52" s="20" t="n">
        <v>592.6799999999999</v>
      </c>
      <c r="AE52" s="20" t="n">
        <v>592.6799999999999</v>
      </c>
      <c r="AF52" s="20" t="n">
        <v>592.6799999999999</v>
      </c>
      <c r="AG52" s="20" t="n">
        <v>592.6799999999999</v>
      </c>
      <c r="AH52" s="20" t="n">
        <v>592.6799999999999</v>
      </c>
      <c r="AI52" s="20" t="n">
        <v>592.6799999999999</v>
      </c>
      <c r="AJ52" s="20" t="n">
        <v>592.6799999999999</v>
      </c>
      <c r="AK52" s="20" t="n">
        <v>592.6799999999999</v>
      </c>
      <c r="AL52" s="20" t="n">
        <v>592.6799999999999</v>
      </c>
      <c r="AM52" s="20" t="n">
        <v>592.6799999999999</v>
      </c>
      <c r="AN52" s="20" t="n">
        <v>592.6799999999999</v>
      </c>
      <c r="AO52" s="20" t="n">
        <v>592.6799999999999</v>
      </c>
      <c r="AP52" s="20" t="n">
        <v>592.6799999999999</v>
      </c>
      <c r="AQ52" s="20" t="n">
        <v>592.6799999999999</v>
      </c>
      <c r="AR52" s="20" t="n">
        <v>592.6799999999999</v>
      </c>
      <c r="AS52" s="20" t="n">
        <v>592.6799999999999</v>
      </c>
      <c r="AT52" s="20" t="n">
        <v>592.6799999999999</v>
      </c>
      <c r="AU52" s="20" t="n">
        <v>592.6799999999999</v>
      </c>
      <c r="AV52" s="20" t="n">
        <v>592.6799999999999</v>
      </c>
      <c r="AW52" s="20" t="n">
        <v>592.6799999999999</v>
      </c>
      <c r="AX52" s="20" t="n">
        <v>592.6799999999999</v>
      </c>
      <c r="AY52" s="20" t="n">
        <v>592.6799999999999</v>
      </c>
    </row>
    <row r="53">
      <c r="B53" s="33" t="inlineStr">
        <is>
          <t xml:space="preserve">  616002 Internet &amp; TV</t>
        </is>
      </c>
      <c r="D53" s="19" t="n">
        <v>121.24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121.24</v>
      </c>
      <c r="L53" s="19" t="n">
        <v>121.24</v>
      </c>
      <c r="M53" s="19" t="n">
        <v>141.25</v>
      </c>
      <c r="N53" s="19" t="n">
        <v>141.25</v>
      </c>
      <c r="O53" s="19" t="n">
        <v>141.25</v>
      </c>
      <c r="P53" s="19" t="n">
        <v>141.25</v>
      </c>
      <c r="Q53" s="19" t="n">
        <v>145.25</v>
      </c>
      <c r="R53" s="19" t="n">
        <v>145.25</v>
      </c>
      <c r="S53" s="19" t="n">
        <v>145.25</v>
      </c>
      <c r="T53" s="83" t="n">
        <v>145.25</v>
      </c>
      <c r="U53" s="83" t="n">
        <v>145.25</v>
      </c>
      <c r="V53" s="83" t="n">
        <v>144</v>
      </c>
      <c r="W53" s="20" t="n">
        <v>144.75</v>
      </c>
      <c r="X53" s="20" t="n">
        <v>144.75</v>
      </c>
      <c r="Y53" s="20" t="n">
        <v>144.75</v>
      </c>
      <c r="Z53" s="20" t="n">
        <v>144.75</v>
      </c>
      <c r="AA53" s="20" t="n">
        <v>144.75</v>
      </c>
      <c r="AB53" s="20" t="n">
        <v>144.75</v>
      </c>
      <c r="AC53" s="20" t="n">
        <v>144.75</v>
      </c>
      <c r="AD53" s="20" t="n">
        <v>144.75</v>
      </c>
      <c r="AE53" s="20" t="n">
        <v>144.75</v>
      </c>
      <c r="AF53" s="20" t="n">
        <v>144.75</v>
      </c>
      <c r="AG53" s="20" t="n">
        <v>144.75</v>
      </c>
      <c r="AH53" s="20" t="n">
        <v>144.75</v>
      </c>
      <c r="AI53" s="20" t="n">
        <v>144.75</v>
      </c>
      <c r="AJ53" s="20" t="n">
        <v>144.75</v>
      </c>
      <c r="AK53" s="20" t="n">
        <v>144.75</v>
      </c>
      <c r="AL53" s="20" t="n">
        <v>144.75</v>
      </c>
      <c r="AM53" s="20" t="n">
        <v>144.75</v>
      </c>
      <c r="AN53" s="20" t="n">
        <v>144.75</v>
      </c>
      <c r="AO53" s="20" t="n">
        <v>144.75</v>
      </c>
      <c r="AP53" s="20" t="n">
        <v>144.75</v>
      </c>
      <c r="AQ53" s="20" t="n">
        <v>144.75</v>
      </c>
      <c r="AR53" s="20" t="n">
        <v>144.75</v>
      </c>
      <c r="AS53" s="20" t="n">
        <v>144.75</v>
      </c>
      <c r="AT53" s="20" t="n">
        <v>144.75</v>
      </c>
      <c r="AU53" s="20" t="n">
        <v>144.75</v>
      </c>
      <c r="AV53" s="20" t="n">
        <v>144.75</v>
      </c>
      <c r="AW53" s="20" t="n">
        <v>144.75</v>
      </c>
      <c r="AX53" s="20" t="n">
        <v>144.75</v>
      </c>
      <c r="AY53" s="20" t="n">
        <v>144.75</v>
      </c>
    </row>
    <row r="54">
      <c r="B54" s="33" t="inlineStr">
        <is>
          <t xml:space="preserve">  616003 Phone service</t>
        </is>
      </c>
      <c r="D54" s="19" t="n">
        <v>277.5</v>
      </c>
      <c r="E54" s="19" t="n">
        <v>0</v>
      </c>
      <c r="F54" s="19" t="n">
        <v>192.41</v>
      </c>
      <c r="G54" s="19" t="n">
        <v>143.07</v>
      </c>
      <c r="H54" s="19" t="n">
        <v>143.07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214</v>
      </c>
      <c r="N54" s="19" t="n">
        <v>161.85</v>
      </c>
      <c r="O54" s="19" t="n">
        <v>157.09</v>
      </c>
      <c r="P54" s="19" t="n">
        <v>137.66</v>
      </c>
      <c r="Q54" s="19" t="n">
        <v>137.66</v>
      </c>
      <c r="R54" s="19" t="n">
        <v>138.22</v>
      </c>
      <c r="S54" s="19" t="n">
        <v>139.16</v>
      </c>
      <c r="T54" s="83" t="n">
        <v>139.16</v>
      </c>
      <c r="U54" s="83" t="n">
        <v>139.16</v>
      </c>
      <c r="V54" s="83" t="n">
        <v>139.17</v>
      </c>
      <c r="W54" s="20" t="n">
        <v>138.65</v>
      </c>
      <c r="X54" s="20" t="n">
        <v>138.65</v>
      </c>
      <c r="Y54" s="20" t="n">
        <v>138.65</v>
      </c>
      <c r="Z54" s="20" t="n">
        <v>138.65</v>
      </c>
      <c r="AA54" s="20" t="n">
        <v>138.65</v>
      </c>
      <c r="AB54" s="20" t="n">
        <v>138.65</v>
      </c>
      <c r="AC54" s="20" t="n">
        <v>138.65</v>
      </c>
      <c r="AD54" s="20" t="n">
        <v>138.65</v>
      </c>
      <c r="AE54" s="20" t="n">
        <v>138.65</v>
      </c>
      <c r="AF54" s="20" t="n">
        <v>138.65</v>
      </c>
      <c r="AG54" s="20" t="n">
        <v>138.65</v>
      </c>
      <c r="AH54" s="20" t="n">
        <v>138.65</v>
      </c>
      <c r="AI54" s="20" t="n">
        <v>138.65</v>
      </c>
      <c r="AJ54" s="20" t="n">
        <v>138.65</v>
      </c>
      <c r="AK54" s="20" t="n">
        <v>138.65</v>
      </c>
      <c r="AL54" s="20" t="n">
        <v>138.65</v>
      </c>
      <c r="AM54" s="20" t="n">
        <v>138.65</v>
      </c>
      <c r="AN54" s="20" t="n">
        <v>138.65</v>
      </c>
      <c r="AO54" s="20" t="n">
        <v>138.65</v>
      </c>
      <c r="AP54" s="20" t="n">
        <v>138.65</v>
      </c>
      <c r="AQ54" s="20" t="n">
        <v>138.65</v>
      </c>
      <c r="AR54" s="20" t="n">
        <v>138.65</v>
      </c>
      <c r="AS54" s="20" t="n">
        <v>138.65</v>
      </c>
      <c r="AT54" s="20" t="n">
        <v>138.65</v>
      </c>
      <c r="AU54" s="20" t="n">
        <v>138.65</v>
      </c>
      <c r="AV54" s="20" t="n">
        <v>138.65</v>
      </c>
      <c r="AW54" s="20" t="n">
        <v>138.65</v>
      </c>
      <c r="AX54" s="20" t="n">
        <v>138.65</v>
      </c>
      <c r="AY54" s="20" t="n">
        <v>138.65</v>
      </c>
    </row>
    <row r="55">
      <c r="B55" s="33" t="inlineStr">
        <is>
          <t xml:space="preserve">  616004 Water &amp; sewer</t>
        </is>
      </c>
      <c r="D55" s="19" t="n">
        <v>0</v>
      </c>
      <c r="E55" s="19" t="n">
        <v>95.67</v>
      </c>
      <c r="F55" s="19" t="n">
        <v>95.66</v>
      </c>
      <c r="G55" s="19" t="n">
        <v>83.69</v>
      </c>
      <c r="H55" s="19" t="n">
        <v>83.68000000000001</v>
      </c>
      <c r="I55" s="19" t="n">
        <v>94.79000000000001</v>
      </c>
      <c r="J55" s="19" t="n">
        <v>94.79000000000001</v>
      </c>
      <c r="K55" s="19" t="n">
        <v>0</v>
      </c>
      <c r="L55" s="19" t="n">
        <v>0</v>
      </c>
      <c r="M55" s="19" t="n">
        <v>0</v>
      </c>
      <c r="N55" s="19" t="n">
        <v>229.43</v>
      </c>
      <c r="O55" s="19" t="n">
        <v>229.43</v>
      </c>
      <c r="P55" s="19" t="n">
        <v>217.09</v>
      </c>
      <c r="Q55" s="19" t="n">
        <v>217.08</v>
      </c>
      <c r="R55" s="19" t="n">
        <v>229.43</v>
      </c>
      <c r="S55" s="19" t="n">
        <v>229.43</v>
      </c>
      <c r="T55" s="83" t="n">
        <v>200</v>
      </c>
      <c r="U55" s="83" t="n">
        <v>446.51</v>
      </c>
      <c r="V55" s="83" t="n">
        <v>0</v>
      </c>
      <c r="W55" s="20" t="n">
        <v>339.14</v>
      </c>
      <c r="X55" s="20" t="n">
        <v>339.14</v>
      </c>
      <c r="Y55" s="20" t="n">
        <v>339.14</v>
      </c>
      <c r="Z55" s="20" t="n">
        <v>339.14</v>
      </c>
      <c r="AA55" s="20" t="n">
        <v>339.14</v>
      </c>
      <c r="AB55" s="20" t="n">
        <v>339.14</v>
      </c>
      <c r="AC55" s="20" t="n">
        <v>339.14</v>
      </c>
      <c r="AD55" s="20" t="n">
        <v>339.14</v>
      </c>
      <c r="AE55" s="20" t="n">
        <v>339.14</v>
      </c>
      <c r="AF55" s="20" t="n">
        <v>339.14</v>
      </c>
      <c r="AG55" s="20" t="n">
        <v>339.14</v>
      </c>
      <c r="AH55" s="20" t="n">
        <v>339.14</v>
      </c>
      <c r="AI55" s="20" t="n">
        <v>339.14</v>
      </c>
      <c r="AJ55" s="20" t="n">
        <v>339.14</v>
      </c>
      <c r="AK55" s="20" t="n">
        <v>339.14</v>
      </c>
      <c r="AL55" s="20" t="n">
        <v>339.14</v>
      </c>
      <c r="AM55" s="20" t="n">
        <v>339.14</v>
      </c>
      <c r="AN55" s="20" t="n">
        <v>339.14</v>
      </c>
      <c r="AO55" s="20" t="n">
        <v>339.14</v>
      </c>
      <c r="AP55" s="20" t="n">
        <v>339.14</v>
      </c>
      <c r="AQ55" s="20" t="n">
        <v>339.14</v>
      </c>
      <c r="AR55" s="20" t="n">
        <v>339.14</v>
      </c>
      <c r="AS55" s="20" t="n">
        <v>339.14</v>
      </c>
      <c r="AT55" s="20" t="n">
        <v>339.14</v>
      </c>
      <c r="AU55" s="20" t="n">
        <v>339.14</v>
      </c>
      <c r="AV55" s="20" t="n">
        <v>339.14</v>
      </c>
      <c r="AW55" s="20" t="n">
        <v>339.14</v>
      </c>
      <c r="AX55" s="20" t="n">
        <v>339.14</v>
      </c>
      <c r="AY55" s="20" t="n">
        <v>339.14</v>
      </c>
    </row>
    <row r="56">
      <c r="B56" s="33" t="inlineStr">
        <is>
          <t xml:space="preserve">  616005 Disposal Services</t>
        </is>
      </c>
      <c r="D56" s="19" t="n">
        <v>0</v>
      </c>
      <c r="E56" s="19" t="n">
        <v>574</v>
      </c>
      <c r="F56" s="19" t="n">
        <v>362.25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83" t="n">
        <v>0</v>
      </c>
      <c r="U56" s="83" t="n">
        <v>0</v>
      </c>
      <c r="V56" s="83" t="n">
        <v>0</v>
      </c>
      <c r="W56" s="20" t="n">
        <v>0</v>
      </c>
      <c r="X56" s="20" t="n">
        <v>0</v>
      </c>
      <c r="Y56" s="20" t="n">
        <v>0</v>
      </c>
      <c r="Z56" s="20" t="n">
        <v>0</v>
      </c>
      <c r="AA56" s="20" t="n">
        <v>0</v>
      </c>
      <c r="AB56" s="20" t="n">
        <v>0</v>
      </c>
      <c r="AC56" s="20" t="n">
        <v>0</v>
      </c>
      <c r="AD56" s="20" t="n">
        <v>0</v>
      </c>
      <c r="AE56" s="20" t="n">
        <v>0</v>
      </c>
      <c r="AF56" s="20" t="n">
        <v>0</v>
      </c>
      <c r="AG56" s="20" t="n">
        <v>0</v>
      </c>
      <c r="AH56" s="20" t="n">
        <v>0</v>
      </c>
      <c r="AI56" s="20" t="n">
        <v>0</v>
      </c>
      <c r="AJ56" s="20" t="n">
        <v>0</v>
      </c>
      <c r="AK56" s="20" t="n">
        <v>0</v>
      </c>
      <c r="AL56" s="20" t="n">
        <v>0</v>
      </c>
      <c r="AM56" s="20" t="n">
        <v>0</v>
      </c>
      <c r="AN56" s="20" t="n">
        <v>0</v>
      </c>
      <c r="AO56" s="20" t="n">
        <v>0</v>
      </c>
      <c r="AP56" s="20" t="n">
        <v>0</v>
      </c>
      <c r="AQ56" s="20" t="n">
        <v>0</v>
      </c>
      <c r="AR56" s="20" t="n">
        <v>0</v>
      </c>
      <c r="AS56" s="20" t="n">
        <v>0</v>
      </c>
      <c r="AT56" s="20" t="n">
        <v>0</v>
      </c>
      <c r="AU56" s="20" t="n">
        <v>0</v>
      </c>
      <c r="AV56" s="20" t="n">
        <v>0</v>
      </c>
      <c r="AW56" s="20" t="n">
        <v>0</v>
      </c>
      <c r="AX56" s="20" t="n">
        <v>0</v>
      </c>
      <c r="AY56" s="20" t="n">
        <v>0</v>
      </c>
    </row>
    <row r="57">
      <c r="B57" s="32" t="inlineStr">
        <is>
          <t>Total Utilities</t>
        </is>
      </c>
      <c r="C57" s="34" t="n"/>
      <c r="D57" s="35">
        <f>SUM(D52:D56)</f>
        <v/>
      </c>
      <c r="E57" s="35">
        <f>SUM(E52:E56)</f>
        <v/>
      </c>
      <c r="F57" s="35">
        <f>SUM(F52:F56)</f>
        <v/>
      </c>
      <c r="G57" s="35">
        <f>SUM(G52:G56)</f>
        <v/>
      </c>
      <c r="H57" s="35">
        <f>SUM(H52:H56)</f>
        <v/>
      </c>
      <c r="I57" s="35">
        <f>SUM(I52:I56)</f>
        <v/>
      </c>
      <c r="J57" s="35">
        <f>SUM(J52:J56)</f>
        <v/>
      </c>
      <c r="K57" s="35">
        <f>SUM(K52:K56)</f>
        <v/>
      </c>
      <c r="L57" s="35">
        <f>SUM(L52:L56)</f>
        <v/>
      </c>
      <c r="M57" s="35">
        <f>SUM(M52:M56)</f>
        <v/>
      </c>
      <c r="N57" s="35">
        <f>SUM(N52:N56)</f>
        <v/>
      </c>
      <c r="O57" s="35">
        <f>SUM(O52:O56)</f>
        <v/>
      </c>
      <c r="P57" s="35">
        <f>P52+P53+P54+P55+P56</f>
        <v/>
      </c>
      <c r="Q57" s="35">
        <f>Q52+Q53+Q54+Q55+Q56</f>
        <v/>
      </c>
      <c r="R57" s="35">
        <f>R52+R53+R54+R55+R56</f>
        <v/>
      </c>
      <c r="S57" s="35">
        <f>S52+S53+S54+S55+S56</f>
        <v/>
      </c>
      <c r="T57" s="84">
        <f>T52+T53+T54+T55+T56</f>
        <v/>
      </c>
      <c r="U57" s="84">
        <f>U52+U53+U54+U55+U56</f>
        <v/>
      </c>
      <c r="V57" s="84">
        <f>V52+V53+V54+V55+V56</f>
        <v/>
      </c>
      <c r="W57" s="17">
        <f>W52+W53+W54+W55+W56</f>
        <v/>
      </c>
      <c r="X57" s="17">
        <f>X52+X53+X54+X55+X56</f>
        <v/>
      </c>
      <c r="Y57" s="17">
        <f>Y52+Y53+Y54+Y55+Y56</f>
        <v/>
      </c>
      <c r="Z57" s="17">
        <f>Z52+Z53+Z54+Z55+Z56</f>
        <v/>
      </c>
      <c r="AA57" s="17">
        <f>AA52+AA53+AA54+AA55+AA56</f>
        <v/>
      </c>
      <c r="AB57" s="17">
        <f>AB52+AB53+AB54+AB55+AB56</f>
        <v/>
      </c>
      <c r="AC57" s="17">
        <f>AC52+AC53+AC54+AC55+AC56</f>
        <v/>
      </c>
      <c r="AD57" s="17">
        <f>AD52+AD53+AD54+AD55+AD56</f>
        <v/>
      </c>
      <c r="AE57" s="17">
        <f>AE52+AE53+AE54+AE55+AE56</f>
        <v/>
      </c>
      <c r="AF57" s="17">
        <f>AF52+AF53+AF54+AF55+AF56</f>
        <v/>
      </c>
      <c r="AG57" s="17">
        <f>AG52+AG53+AG54+AG55+AG56</f>
        <v/>
      </c>
      <c r="AH57" s="17">
        <f>AH52+AH53+AH54+AH55+AH56</f>
        <v/>
      </c>
      <c r="AI57" s="17">
        <f>AI52+AI53+AI54+AI55+AI56</f>
        <v/>
      </c>
      <c r="AJ57" s="17">
        <f>AJ52+AJ53+AJ54+AJ55+AJ56</f>
        <v/>
      </c>
      <c r="AK57" s="17">
        <f>AK52+AK53+AK54+AK55+AK56</f>
        <v/>
      </c>
      <c r="AL57" s="17">
        <f>AL52+AL53+AL54+AL55+AL56</f>
        <v/>
      </c>
      <c r="AM57" s="17">
        <f>AM52+AM53+AM54+AM55+AM56</f>
        <v/>
      </c>
      <c r="AN57" s="17">
        <f>AN52+AN53+AN54+AN55+AN56</f>
        <v/>
      </c>
      <c r="AO57" s="17">
        <f>AO52+AO53+AO54+AO55+AO56</f>
        <v/>
      </c>
      <c r="AP57" s="17">
        <f>AP52+AP53+AP54+AP55+AP56</f>
        <v/>
      </c>
      <c r="AQ57" s="17">
        <f>AQ52+AQ53+AQ54+AQ55+AQ56</f>
        <v/>
      </c>
      <c r="AR57" s="17">
        <f>AR52+AR53+AR54+AR55+AR56</f>
        <v/>
      </c>
      <c r="AS57" s="17">
        <f>AS52+AS53+AS54+AS55+AS56</f>
        <v/>
      </c>
      <c r="AT57" s="17">
        <f>AT52+AT53+AT54+AT55+AT56</f>
        <v/>
      </c>
      <c r="AU57" s="17">
        <f>AU52+AU53+AU54+AU55+AU56</f>
        <v/>
      </c>
      <c r="AV57" s="17">
        <f>AV52+AV53+AV54+AV55+AV56</f>
        <v/>
      </c>
      <c r="AW57" s="17">
        <f>AW52+AW53+AW54+AW55+AW56</f>
        <v/>
      </c>
      <c r="AX57" s="17">
        <f>AX52+AX53+AX54+AX55+AX56</f>
        <v/>
      </c>
      <c r="AY57" s="17">
        <f>AY52+AY53+AY54+AY55+AY56</f>
        <v/>
      </c>
    </row>
    <row r="58">
      <c r="B58" s="33" t="inlineStr">
        <is>
          <t xml:space="preserve">  701000 Rent</t>
        </is>
      </c>
      <c r="D58" s="19" t="n">
        <v>15582.52</v>
      </c>
      <c r="E58" s="19" t="n">
        <v>15582.52</v>
      </c>
      <c r="F58" s="19" t="n">
        <v>15582.52</v>
      </c>
      <c r="G58" s="19" t="n">
        <v>15582.52</v>
      </c>
      <c r="H58" s="19" t="n">
        <v>15582.52</v>
      </c>
      <c r="I58" s="19" t="n">
        <v>15582.52</v>
      </c>
      <c r="J58" s="19" t="n">
        <v>15582.52</v>
      </c>
      <c r="K58" s="19" t="n">
        <v>15582.52</v>
      </c>
      <c r="L58" s="19" t="n">
        <v>15582.52</v>
      </c>
      <c r="M58" s="19" t="n">
        <v>15582.52</v>
      </c>
      <c r="N58" s="19" t="n">
        <v>15582.52</v>
      </c>
      <c r="O58" s="19" t="n">
        <v>15582.52</v>
      </c>
      <c r="P58" s="19" t="n">
        <v>15582.52</v>
      </c>
      <c r="Q58" s="19" t="n">
        <v>15582.52</v>
      </c>
      <c r="R58" s="19" t="n">
        <v>15582.52</v>
      </c>
      <c r="S58" s="19" t="n">
        <v>15582.52</v>
      </c>
      <c r="T58" s="83" t="n">
        <v>15582.52</v>
      </c>
      <c r="U58" s="83" t="n">
        <v>15582.52</v>
      </c>
      <c r="V58" s="83" t="n">
        <v>15582.52</v>
      </c>
      <c r="W58" s="20" t="n">
        <v>16127.52</v>
      </c>
      <c r="X58" s="20" t="n">
        <v>16127.52</v>
      </c>
      <c r="Y58" s="20" t="n">
        <v>16127.52</v>
      </c>
      <c r="Z58" s="20" t="n">
        <v>16127.52</v>
      </c>
      <c r="AA58" s="20" t="n">
        <v>16127.52</v>
      </c>
      <c r="AB58" s="20" t="n">
        <v>16127.52</v>
      </c>
      <c r="AC58" s="20" t="n">
        <v>16127.52</v>
      </c>
      <c r="AD58" s="20" t="n">
        <v>16127.52</v>
      </c>
      <c r="AE58" s="20" t="n">
        <v>16127.52</v>
      </c>
      <c r="AF58" s="20" t="n">
        <v>16127.52</v>
      </c>
      <c r="AG58" s="20" t="n">
        <v>16127.52</v>
      </c>
      <c r="AH58" s="20" t="n">
        <v>16127.52</v>
      </c>
      <c r="AI58" s="20" t="n">
        <v>16127.52</v>
      </c>
      <c r="AJ58" s="20" t="n">
        <v>16127.52</v>
      </c>
      <c r="AK58" s="20" t="n">
        <v>16127.52</v>
      </c>
      <c r="AL58" s="20" t="n">
        <v>16127.52</v>
      </c>
      <c r="AM58" s="20" t="n">
        <v>16127.52</v>
      </c>
      <c r="AN58" s="20" t="n">
        <v>16127.52</v>
      </c>
      <c r="AO58" s="20" t="n">
        <v>16127.52</v>
      </c>
      <c r="AP58" s="20" t="n">
        <v>16127.52</v>
      </c>
      <c r="AQ58" s="20" t="n">
        <v>16127.52</v>
      </c>
      <c r="AR58" s="20" t="n">
        <v>16127.52</v>
      </c>
      <c r="AS58" s="20" t="n">
        <v>16127.52</v>
      </c>
      <c r="AT58" s="20" t="n">
        <v>16127.52</v>
      </c>
      <c r="AU58" s="20" t="n">
        <v>16127.52</v>
      </c>
      <c r="AV58" s="20" t="n">
        <v>16127.52</v>
      </c>
      <c r="AW58" s="20" t="n">
        <v>16127.52</v>
      </c>
      <c r="AX58" s="20" t="n">
        <v>16127.52</v>
      </c>
      <c r="AY58" s="20" t="n">
        <v>16127.52</v>
      </c>
    </row>
    <row r="59">
      <c r="B59" s="33" t="inlineStr">
        <is>
          <t xml:space="preserve">  702000 Security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9" t="n">
        <v>0</v>
      </c>
      <c r="M59" s="19" t="n">
        <v>0</v>
      </c>
      <c r="N59" s="19" t="n">
        <v>0</v>
      </c>
      <c r="O59" s="19" t="n">
        <v>0</v>
      </c>
      <c r="P59" s="19" t="n">
        <v>0</v>
      </c>
      <c r="Q59" s="19" t="n">
        <v>0</v>
      </c>
      <c r="R59" s="19" t="n">
        <v>0</v>
      </c>
      <c r="S59" s="19" t="n">
        <v>0</v>
      </c>
      <c r="T59" s="83" t="n">
        <v>0</v>
      </c>
      <c r="U59" s="83" t="n">
        <v>0</v>
      </c>
      <c r="V59" s="83" t="n">
        <v>0</v>
      </c>
      <c r="W59" s="20" t="n">
        <v>0</v>
      </c>
      <c r="X59" s="20" t="n">
        <v>0</v>
      </c>
      <c r="Y59" s="20" t="n">
        <v>0</v>
      </c>
      <c r="Z59" s="20" t="n">
        <v>0</v>
      </c>
      <c r="AA59" s="20" t="n">
        <v>0</v>
      </c>
      <c r="AB59" s="20" t="n">
        <v>0</v>
      </c>
      <c r="AC59" s="20" t="n">
        <v>0</v>
      </c>
      <c r="AD59" s="20" t="n">
        <v>0</v>
      </c>
      <c r="AE59" s="20" t="n">
        <v>0</v>
      </c>
      <c r="AF59" s="20" t="n">
        <v>0</v>
      </c>
      <c r="AG59" s="20" t="n">
        <v>0</v>
      </c>
      <c r="AH59" s="20" t="n">
        <v>0</v>
      </c>
      <c r="AI59" s="20" t="n">
        <v>0</v>
      </c>
      <c r="AJ59" s="20" t="n">
        <v>0</v>
      </c>
      <c r="AK59" s="20" t="n">
        <v>0</v>
      </c>
      <c r="AL59" s="20" t="n">
        <v>0</v>
      </c>
      <c r="AM59" s="20" t="n">
        <v>0</v>
      </c>
      <c r="AN59" s="20" t="n">
        <v>0</v>
      </c>
      <c r="AO59" s="20" t="n">
        <v>0</v>
      </c>
      <c r="AP59" s="20" t="n">
        <v>0</v>
      </c>
      <c r="AQ59" s="20" t="n">
        <v>0</v>
      </c>
      <c r="AR59" s="20" t="n">
        <v>0</v>
      </c>
      <c r="AS59" s="20" t="n">
        <v>0</v>
      </c>
      <c r="AT59" s="20" t="n">
        <v>0</v>
      </c>
      <c r="AU59" s="20" t="n">
        <v>0</v>
      </c>
      <c r="AV59" s="20" t="n">
        <v>0</v>
      </c>
      <c r="AW59" s="20" t="n">
        <v>0</v>
      </c>
      <c r="AX59" s="20" t="n">
        <v>0</v>
      </c>
      <c r="AY59" s="20" t="n">
        <v>0</v>
      </c>
    </row>
    <row r="60">
      <c r="B60" s="33" t="inlineStr">
        <is>
          <t xml:space="preserve">  703000 Cleaning</t>
        </is>
      </c>
      <c r="D60" s="19" t="n">
        <v>700</v>
      </c>
      <c r="E60" s="19" t="n">
        <v>1314.97</v>
      </c>
      <c r="F60" s="19" t="n">
        <v>0</v>
      </c>
      <c r="G60" s="19" t="n">
        <v>1765.21</v>
      </c>
      <c r="H60" s="19" t="n">
        <v>1212.27</v>
      </c>
      <c r="I60" s="19" t="n">
        <v>2109.7</v>
      </c>
      <c r="J60" s="19" t="n">
        <v>1976.84</v>
      </c>
      <c r="K60" s="19" t="n">
        <v>1147.41</v>
      </c>
      <c r="L60" s="19" t="n">
        <v>643.53</v>
      </c>
      <c r="M60" s="19" t="n">
        <v>1102.11</v>
      </c>
      <c r="N60" s="19" t="n">
        <v>924.95</v>
      </c>
      <c r="O60" s="19" t="n">
        <v>1137.71</v>
      </c>
      <c r="P60" s="19" t="n">
        <v>1702.39</v>
      </c>
      <c r="Q60" s="19" t="n">
        <v>409.9</v>
      </c>
      <c r="R60" s="19" t="n">
        <v>1181.98</v>
      </c>
      <c r="S60" s="19" t="n">
        <v>970.38</v>
      </c>
      <c r="T60" s="83" t="n">
        <v>1620.47</v>
      </c>
      <c r="U60" s="83" t="n">
        <v>1455.46</v>
      </c>
      <c r="V60" s="83" t="n">
        <v>1710.31</v>
      </c>
      <c r="W60" s="20" t="n">
        <v>1103.45</v>
      </c>
      <c r="X60" s="20" t="n">
        <v>1103.45</v>
      </c>
      <c r="Y60" s="20" t="n">
        <v>1103.45</v>
      </c>
      <c r="Z60" s="20" t="n">
        <v>1103.45</v>
      </c>
      <c r="AA60" s="20" t="n">
        <v>1103.45</v>
      </c>
      <c r="AB60" s="20" t="n">
        <v>1103.45</v>
      </c>
      <c r="AC60" s="20" t="n">
        <v>1103.45</v>
      </c>
      <c r="AD60" s="20" t="n">
        <v>1103.45</v>
      </c>
      <c r="AE60" s="20" t="n">
        <v>1103.45</v>
      </c>
      <c r="AF60" s="20" t="n">
        <v>1103.45</v>
      </c>
      <c r="AG60" s="20" t="n">
        <v>1103.45</v>
      </c>
      <c r="AH60" s="20" t="n">
        <v>1103.45</v>
      </c>
      <c r="AI60" s="20" t="n">
        <v>1103.45</v>
      </c>
      <c r="AJ60" s="20" t="n">
        <v>1103.45</v>
      </c>
      <c r="AK60" s="20" t="n">
        <v>1103.45</v>
      </c>
      <c r="AL60" s="20" t="n">
        <v>1103.45</v>
      </c>
      <c r="AM60" s="20" t="n">
        <v>1103.45</v>
      </c>
      <c r="AN60" s="20" t="n">
        <v>1103.45</v>
      </c>
      <c r="AO60" s="20" t="n">
        <v>1103.45</v>
      </c>
      <c r="AP60" s="20" t="n">
        <v>1103.45</v>
      </c>
      <c r="AQ60" s="20" t="n">
        <v>1103.45</v>
      </c>
      <c r="AR60" s="20" t="n">
        <v>1103.45</v>
      </c>
      <c r="AS60" s="20" t="n">
        <v>1103.45</v>
      </c>
      <c r="AT60" s="20" t="n">
        <v>1103.45</v>
      </c>
      <c r="AU60" s="20" t="n">
        <v>1103.45</v>
      </c>
      <c r="AV60" s="20" t="n">
        <v>1103.45</v>
      </c>
      <c r="AW60" s="20" t="n">
        <v>1103.45</v>
      </c>
      <c r="AX60" s="20" t="n">
        <v>1103.45</v>
      </c>
      <c r="AY60" s="20" t="n">
        <v>1103.45</v>
      </c>
    </row>
    <row r="61">
      <c r="B61" s="33" t="inlineStr">
        <is>
          <t>705000 Property Maintenance (incl Repairs &amp; Parking)</t>
        </is>
      </c>
      <c r="D61" s="19" t="n">
        <v>7605.49</v>
      </c>
      <c r="E61" s="19" t="n">
        <v>7265.05</v>
      </c>
      <c r="F61" s="19" t="n">
        <v>7866.22</v>
      </c>
      <c r="G61" s="19" t="n">
        <v>9238.219999999999</v>
      </c>
      <c r="H61" s="19" t="n">
        <v>7265.05</v>
      </c>
      <c r="I61" s="19" t="n">
        <v>7265.05</v>
      </c>
      <c r="J61" s="19" t="n">
        <v>8351.110000000001</v>
      </c>
      <c r="K61" s="19" t="n">
        <v>8053.72</v>
      </c>
      <c r="L61" s="19" t="n">
        <v>7648.88</v>
      </c>
      <c r="M61" s="19" t="n">
        <v>7687.27</v>
      </c>
      <c r="N61" s="19" t="n">
        <v>7648.88</v>
      </c>
      <c r="O61" s="19" t="n">
        <v>7371.75</v>
      </c>
      <c r="P61" s="19" t="n">
        <v>7707.43</v>
      </c>
      <c r="Q61" s="19" t="n">
        <v>7323.54</v>
      </c>
      <c r="R61" s="19" t="n">
        <v>7971.04</v>
      </c>
      <c r="S61" s="19" t="n">
        <v>7323.54</v>
      </c>
      <c r="T61" s="83" t="n">
        <v>8225.23</v>
      </c>
      <c r="U61" s="83" t="n">
        <v>7323.55</v>
      </c>
      <c r="V61" s="83" t="n">
        <v>7554.5</v>
      </c>
      <c r="W61" s="20" t="n">
        <v>7761.37</v>
      </c>
      <c r="X61" s="20" t="n">
        <v>7761.37</v>
      </c>
      <c r="Y61" s="20" t="n">
        <v>7761.37</v>
      </c>
      <c r="Z61" s="20" t="n">
        <v>7761.37</v>
      </c>
      <c r="AA61" s="20" t="n">
        <v>7761.37</v>
      </c>
      <c r="AB61" s="20" t="n">
        <v>7761.37</v>
      </c>
      <c r="AC61" s="20" t="n">
        <v>7761.37</v>
      </c>
      <c r="AD61" s="20" t="n">
        <v>7761.37</v>
      </c>
      <c r="AE61" s="20" t="n">
        <v>7761.37</v>
      </c>
      <c r="AF61" s="20" t="n">
        <v>7761.37</v>
      </c>
      <c r="AG61" s="20" t="n">
        <v>7761.37</v>
      </c>
      <c r="AH61" s="20" t="n">
        <v>7761.37</v>
      </c>
      <c r="AI61" s="20" t="n">
        <v>7761.37</v>
      </c>
      <c r="AJ61" s="20" t="n">
        <v>7761.37</v>
      </c>
      <c r="AK61" s="20" t="n">
        <v>7761.37</v>
      </c>
      <c r="AL61" s="20" t="n">
        <v>7761.37</v>
      </c>
      <c r="AM61" s="20" t="n">
        <v>7761.37</v>
      </c>
      <c r="AN61" s="20" t="n">
        <v>7761.37</v>
      </c>
      <c r="AO61" s="20" t="n">
        <v>7761.37</v>
      </c>
      <c r="AP61" s="20" t="n">
        <v>7761.37</v>
      </c>
      <c r="AQ61" s="20" t="n">
        <v>7761.37</v>
      </c>
      <c r="AR61" s="20" t="n">
        <v>7761.37</v>
      </c>
      <c r="AS61" s="20" t="n">
        <v>7761.37</v>
      </c>
      <c r="AT61" s="20" t="n">
        <v>7761.37</v>
      </c>
      <c r="AU61" s="20" t="n">
        <v>7761.37</v>
      </c>
      <c r="AV61" s="20" t="n">
        <v>7761.37</v>
      </c>
      <c r="AW61" s="20" t="n">
        <v>7761.37</v>
      </c>
      <c r="AX61" s="20" t="n">
        <v>7761.37</v>
      </c>
      <c r="AY61" s="20" t="n">
        <v>7761.37</v>
      </c>
    </row>
    <row r="62">
      <c r="B62" s="32" t="inlineStr">
        <is>
          <t>Total Property Costs</t>
        </is>
      </c>
      <c r="C62" s="34" t="n"/>
      <c r="D62" s="35">
        <f>SUM(D58:D61)</f>
        <v/>
      </c>
      <c r="E62" s="35">
        <f>SUM(E58:E61)</f>
        <v/>
      </c>
      <c r="F62" s="35">
        <f>SUM(F58:F61)</f>
        <v/>
      </c>
      <c r="G62" s="35">
        <f>SUM(G58:G61)</f>
        <v/>
      </c>
      <c r="H62" s="35">
        <f>SUM(H58:H61)</f>
        <v/>
      </c>
      <c r="I62" s="35">
        <f>SUM(I58:I61)</f>
        <v/>
      </c>
      <c r="J62" s="35">
        <f>SUM(J58:J61)</f>
        <v/>
      </c>
      <c r="K62" s="35">
        <f>SUM(K58:K61)</f>
        <v/>
      </c>
      <c r="L62" s="35">
        <f>SUM(L58:L61)</f>
        <v/>
      </c>
      <c r="M62" s="35">
        <f>SUM(M58:M61)</f>
        <v/>
      </c>
      <c r="N62" s="35">
        <f>SUM(N58:N61)</f>
        <v/>
      </c>
      <c r="O62" s="35">
        <f>SUM(O58:O61)</f>
        <v/>
      </c>
      <c r="P62" s="35">
        <f>P58+P59+P60+P61</f>
        <v/>
      </c>
      <c r="Q62" s="35">
        <f>Q58+Q59+Q60+Q61</f>
        <v/>
      </c>
      <c r="R62" s="35">
        <f>R58+R59+R60+R61</f>
        <v/>
      </c>
      <c r="S62" s="35">
        <f>S58+S59+S60+S61</f>
        <v/>
      </c>
      <c r="T62" s="84">
        <f>T58+T59+T60+T61</f>
        <v/>
      </c>
      <c r="U62" s="84">
        <f>U58+U59+U60+U61</f>
        <v/>
      </c>
      <c r="V62" s="84">
        <f>V58+V59+V60+V61</f>
        <v/>
      </c>
      <c r="W62" s="17">
        <f>W58+W59+W60+W61</f>
        <v/>
      </c>
      <c r="X62" s="17">
        <f>X58+X59+X60+X61</f>
        <v/>
      </c>
      <c r="Y62" s="17">
        <f>Y58+Y59+Y60+Y61</f>
        <v/>
      </c>
      <c r="Z62" s="17">
        <f>Z58+Z59+Z60+Z61</f>
        <v/>
      </c>
      <c r="AA62" s="17">
        <f>AA58+AA59+AA60+AA61</f>
        <v/>
      </c>
      <c r="AB62" s="17">
        <f>AB58+AB59+AB60+AB61</f>
        <v/>
      </c>
      <c r="AC62" s="17">
        <f>AC58+AC59+AC60+AC61</f>
        <v/>
      </c>
      <c r="AD62" s="17">
        <f>AD58+AD59+AD60+AD61</f>
        <v/>
      </c>
      <c r="AE62" s="17">
        <f>AE58+AE59+AE60+AE61</f>
        <v/>
      </c>
      <c r="AF62" s="17">
        <f>AF58+AF59+AF60+AF61</f>
        <v/>
      </c>
      <c r="AG62" s="17">
        <f>AG58+AG59+AG60+AG61</f>
        <v/>
      </c>
      <c r="AH62" s="17">
        <f>AH58+AH59+AH60+AH61</f>
        <v/>
      </c>
      <c r="AI62" s="17">
        <f>AI58+AI59+AI60+AI61</f>
        <v/>
      </c>
      <c r="AJ62" s="17">
        <f>AJ58+AJ59+AJ60+AJ61</f>
        <v/>
      </c>
      <c r="AK62" s="17">
        <f>AK58+AK59+AK60+AK61</f>
        <v/>
      </c>
      <c r="AL62" s="17">
        <f>AL58+AL59+AL60+AL61</f>
        <v/>
      </c>
      <c r="AM62" s="17">
        <f>AM58+AM59+AM60+AM61</f>
        <v/>
      </c>
      <c r="AN62" s="17">
        <f>AN58+AN59+AN60+AN61</f>
        <v/>
      </c>
      <c r="AO62" s="17">
        <f>AO58+AO59+AO60+AO61</f>
        <v/>
      </c>
      <c r="AP62" s="17">
        <f>AP58+AP59+AP60+AP61</f>
        <v/>
      </c>
      <c r="AQ62" s="17">
        <f>AQ58+AQ59+AQ60+AQ61</f>
        <v/>
      </c>
      <c r="AR62" s="17">
        <f>AR58+AR59+AR60+AR61</f>
        <v/>
      </c>
      <c r="AS62" s="17">
        <f>AS58+AS59+AS60+AS61</f>
        <v/>
      </c>
      <c r="AT62" s="17">
        <f>AT58+AT59+AT60+AT61</f>
        <v/>
      </c>
      <c r="AU62" s="17">
        <f>AU58+AU59+AU60+AU61</f>
        <v/>
      </c>
      <c r="AV62" s="17">
        <f>AV58+AV59+AV60+AV61</f>
        <v/>
      </c>
      <c r="AW62" s="17">
        <f>AW58+AW59+AW60+AW61</f>
        <v/>
      </c>
      <c r="AX62" s="17">
        <f>AX58+AX59+AX60+AX61</f>
        <v/>
      </c>
      <c r="AY62" s="17">
        <f>AY58+AY59+AY60+AY61</f>
        <v/>
      </c>
    </row>
    <row r="63">
      <c r="B63" s="32" t="inlineStr">
        <is>
          <t>TOTAL OPERATING EXPENSES</t>
        </is>
      </c>
      <c r="C63" s="34" t="n"/>
      <c r="D63" s="35">
        <f>D34+D39+D43+D48+D51+D57+D62</f>
        <v/>
      </c>
      <c r="E63" s="35">
        <f>E34+E39+E43+E48+E51+E57+E62</f>
        <v/>
      </c>
      <c r="F63" s="35">
        <f>F34+F39+F43+F48+F51+F57+F62</f>
        <v/>
      </c>
      <c r="G63" s="35">
        <f>G34+G39+G43+G48+G51+G57+G62</f>
        <v/>
      </c>
      <c r="H63" s="35">
        <f>H34+H39+H43+H48+H51+H57+H62</f>
        <v/>
      </c>
      <c r="I63" s="35">
        <f>I34+I39+I43+I48+I51+I57+I62</f>
        <v/>
      </c>
      <c r="J63" s="35">
        <f>J34+J39+J43+J48+J51+J57+J62</f>
        <v/>
      </c>
      <c r="K63" s="35">
        <f>K34+K39+K43+K48+K51+K57+K62</f>
        <v/>
      </c>
      <c r="L63" s="35">
        <f>L34+L39+L43+L48+L51+L57+L62</f>
        <v/>
      </c>
      <c r="M63" s="35">
        <f>M34+M39+M43+M48+M51+M57+M62</f>
        <v/>
      </c>
      <c r="N63" s="35">
        <f>N34+N39+N43+N48+N51+N57+N62</f>
        <v/>
      </c>
      <c r="O63" s="35">
        <f>O34+O39+O43+O48+O51+O57+O62</f>
        <v/>
      </c>
      <c r="P63" s="35">
        <f>P34+P39+P43+P48+P51+P57+P62</f>
        <v/>
      </c>
      <c r="Q63" s="35">
        <f>Q34+Q39+Q43+Q48+Q51+Q57+Q62</f>
        <v/>
      </c>
      <c r="R63" s="35">
        <f>R34+R39+R43+R48+R51+R57+R62</f>
        <v/>
      </c>
      <c r="S63" s="35">
        <f>S34+S39+S43+S48+S51+S57+S62</f>
        <v/>
      </c>
      <c r="T63" s="84">
        <f>T34+T39+T43+T48+T51+T57+T62</f>
        <v/>
      </c>
      <c r="U63" s="84">
        <f>U34+U39+U43+U48+U51+U57+U62</f>
        <v/>
      </c>
      <c r="V63" s="84">
        <f>V34+V39+V43+V48+V51+V57+V62</f>
        <v/>
      </c>
      <c r="W63" s="17">
        <f>W34+W39+W43+W48+W51+W57+W62</f>
        <v/>
      </c>
      <c r="X63" s="17">
        <f>X34+X39+X43+X48+X51+X57+X62</f>
        <v/>
      </c>
      <c r="Y63" s="17">
        <f>Y34+Y39+Y43+Y48+Y51+Y57+Y62</f>
        <v/>
      </c>
      <c r="Z63" s="17">
        <f>Z34+Z39+Z43+Z48+Z51+Z57+Z62</f>
        <v/>
      </c>
      <c r="AA63" s="17">
        <f>AA34+AA39+AA43+AA48+AA51+AA57+AA62</f>
        <v/>
      </c>
      <c r="AB63" s="17">
        <f>AB34+AB39+AB43+AB48+AB51+AB57+AB62</f>
        <v/>
      </c>
      <c r="AC63" s="17">
        <f>AC34+AC39+AC43+AC48+AC51+AC57+AC62</f>
        <v/>
      </c>
      <c r="AD63" s="17">
        <f>AD34+AD39+AD43+AD48+AD51+AD57+AD62</f>
        <v/>
      </c>
      <c r="AE63" s="17">
        <f>AE34+AE39+AE43+AE48+AE51+AE57+AE62</f>
        <v/>
      </c>
      <c r="AF63" s="17">
        <f>AF34+AF39+AF43+AF48+AF51+AF57+AF62</f>
        <v/>
      </c>
      <c r="AG63" s="17">
        <f>AG34+AG39+AG43+AG48+AG51+AG57+AG62</f>
        <v/>
      </c>
      <c r="AH63" s="17">
        <f>AH34+AH39+AH43+AH48+AH51+AH57+AH62</f>
        <v/>
      </c>
      <c r="AI63" s="17">
        <f>AI34+AI39+AI43+AI48+AI51+AI57+AI62</f>
        <v/>
      </c>
      <c r="AJ63" s="17">
        <f>AJ34+AJ39+AJ43+AJ48+AJ51+AJ57+AJ62</f>
        <v/>
      </c>
      <c r="AK63" s="17">
        <f>AK34+AK39+AK43+AK48+AK51+AK57+AK62</f>
        <v/>
      </c>
      <c r="AL63" s="17">
        <f>AL34+AL39+AL43+AL48+AL51+AL57+AL62</f>
        <v/>
      </c>
      <c r="AM63" s="17">
        <f>AM34+AM39+AM43+AM48+AM51+AM57+AM62</f>
        <v/>
      </c>
      <c r="AN63" s="17">
        <f>AN34+AN39+AN43+AN48+AN51+AN57+AN62</f>
        <v/>
      </c>
      <c r="AO63" s="17">
        <f>AO34+AO39+AO43+AO48+AO51+AO57+AO62</f>
        <v/>
      </c>
      <c r="AP63" s="17">
        <f>AP34+AP39+AP43+AP48+AP51+AP57+AP62</f>
        <v/>
      </c>
      <c r="AQ63" s="17">
        <f>AQ34+AQ39+AQ43+AQ48+AQ51+AQ57+AQ62</f>
        <v/>
      </c>
      <c r="AR63" s="17">
        <f>AR34+AR39+AR43+AR48+AR51+AR57+AR62</f>
        <v/>
      </c>
      <c r="AS63" s="17">
        <f>AS34+AS39+AS43+AS48+AS51+AS57+AS62</f>
        <v/>
      </c>
      <c r="AT63" s="17">
        <f>AT34+AT39+AT43+AT48+AT51+AT57+AT62</f>
        <v/>
      </c>
      <c r="AU63" s="17">
        <f>AU34+AU39+AU43+AU48+AU51+AU57+AU62</f>
        <v/>
      </c>
      <c r="AV63" s="17">
        <f>AV34+AV39+AV43+AV48+AV51+AV57+AV62</f>
        <v/>
      </c>
      <c r="AW63" s="17">
        <f>AW34+AW39+AW43+AW48+AW51+AW57+AW62</f>
        <v/>
      </c>
      <c r="AX63" s="17">
        <f>AX34+AX39+AX43+AX48+AX51+AX57+AX62</f>
        <v/>
      </c>
      <c r="AY63" s="17">
        <f>AY34+AY39+AY43+AY48+AY51+AY57+AY62</f>
        <v/>
      </c>
    </row>
    <row r="64">
      <c r="B64" s="32" t="inlineStr">
        <is>
          <t>NET OPERATING INCOME (EBITDA)</t>
        </is>
      </c>
      <c r="C64" s="34" t="n"/>
      <c r="D64" s="35">
        <f>D27-D63</f>
        <v/>
      </c>
      <c r="E64" s="35">
        <f>E27-E63</f>
        <v/>
      </c>
      <c r="F64" s="35">
        <f>F27-F63</f>
        <v/>
      </c>
      <c r="G64" s="35">
        <f>G27-G63</f>
        <v/>
      </c>
      <c r="H64" s="35">
        <f>H27-H63</f>
        <v/>
      </c>
      <c r="I64" s="35">
        <f>I27-I63</f>
        <v/>
      </c>
      <c r="J64" s="35">
        <f>J27-J63</f>
        <v/>
      </c>
      <c r="K64" s="35">
        <f>K27-K63</f>
        <v/>
      </c>
      <c r="L64" s="35">
        <f>L27-L63</f>
        <v/>
      </c>
      <c r="M64" s="35">
        <f>M27-M63</f>
        <v/>
      </c>
      <c r="N64" s="35">
        <f>N27-N63</f>
        <v/>
      </c>
      <c r="O64" s="35">
        <f>O27-O63</f>
        <v/>
      </c>
      <c r="P64" s="35">
        <f>P27-P63</f>
        <v/>
      </c>
      <c r="Q64" s="35">
        <f>Q27-Q63</f>
        <v/>
      </c>
      <c r="R64" s="35">
        <f>R27-R63</f>
        <v/>
      </c>
      <c r="S64" s="35">
        <f>S27-S63</f>
        <v/>
      </c>
      <c r="T64" s="84">
        <f>T27-T63</f>
        <v/>
      </c>
      <c r="U64" s="84">
        <f>U27-U63</f>
        <v/>
      </c>
      <c r="V64" s="84">
        <f>V27-V63</f>
        <v/>
      </c>
      <c r="W64" s="17">
        <f>W27-W63</f>
        <v/>
      </c>
      <c r="X64" s="17">
        <f>X27-X63</f>
        <v/>
      </c>
      <c r="Y64" s="17">
        <f>Y27-Y63</f>
        <v/>
      </c>
      <c r="Z64" s="17">
        <f>Z27-Z63</f>
        <v/>
      </c>
      <c r="AA64" s="17">
        <f>AA27-AA63</f>
        <v/>
      </c>
      <c r="AB64" s="17">
        <f>AB27-AB63</f>
        <v/>
      </c>
      <c r="AC64" s="17">
        <f>AC27-AC63</f>
        <v/>
      </c>
      <c r="AD64" s="17">
        <f>AD27-AD63</f>
        <v/>
      </c>
      <c r="AE64" s="17">
        <f>AE27-AE63</f>
        <v/>
      </c>
      <c r="AF64" s="17">
        <f>AF27-AF63</f>
        <v/>
      </c>
      <c r="AG64" s="17">
        <f>AG27-AG63</f>
        <v/>
      </c>
      <c r="AH64" s="17">
        <f>AH27-AH63</f>
        <v/>
      </c>
      <c r="AI64" s="17">
        <f>AI27-AI63</f>
        <v/>
      </c>
      <c r="AJ64" s="17">
        <f>AJ27-AJ63</f>
        <v/>
      </c>
      <c r="AK64" s="17">
        <f>AK27-AK63</f>
        <v/>
      </c>
      <c r="AL64" s="17">
        <f>AL27-AL63</f>
        <v/>
      </c>
      <c r="AM64" s="17">
        <f>AM27-AM63</f>
        <v/>
      </c>
      <c r="AN64" s="17">
        <f>AN27-AN63</f>
        <v/>
      </c>
      <c r="AO64" s="17">
        <f>AO27-AO63</f>
        <v/>
      </c>
      <c r="AP64" s="17">
        <f>AP27-AP63</f>
        <v/>
      </c>
      <c r="AQ64" s="17">
        <f>AQ27-AQ63</f>
        <v/>
      </c>
      <c r="AR64" s="17">
        <f>AR27-AR63</f>
        <v/>
      </c>
      <c r="AS64" s="17">
        <f>AS27-AS63</f>
        <v/>
      </c>
      <c r="AT64" s="17">
        <f>AT27-AT63</f>
        <v/>
      </c>
      <c r="AU64" s="17">
        <f>AU27-AU63</f>
        <v/>
      </c>
      <c r="AV64" s="17">
        <f>AV27-AV63</f>
        <v/>
      </c>
      <c r="AW64" s="17">
        <f>AW27-AW63</f>
        <v/>
      </c>
      <c r="AX64" s="17">
        <f>AX27-AX63</f>
        <v/>
      </c>
      <c r="AY64" s="17">
        <f>AY27-AY63</f>
        <v/>
      </c>
    </row>
    <row r="65" ht="16" customHeight="1" s="282">
      <c r="B65" s="10" t="inlineStr">
        <is>
          <t>OTHER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</row>
    <row r="66">
      <c r="B66" s="33" t="inlineStr">
        <is>
          <t xml:space="preserve">  810000 Depreciation</t>
        </is>
      </c>
      <c r="D66" s="19" t="n">
        <v>1930.47</v>
      </c>
      <c r="E66" s="19" t="n">
        <v>1926.7</v>
      </c>
      <c r="F66" s="19" t="n">
        <v>1926.7</v>
      </c>
      <c r="G66" s="19" t="n">
        <v>1936.47</v>
      </c>
      <c r="H66" s="19" t="n">
        <v>1957.26</v>
      </c>
      <c r="I66" s="19" t="n">
        <v>1964.48</v>
      </c>
      <c r="J66" s="19" t="n">
        <v>1985.01</v>
      </c>
      <c r="K66" s="19" t="n">
        <v>1985.01</v>
      </c>
      <c r="L66" s="19" t="n">
        <v>1985.01</v>
      </c>
      <c r="M66" s="19" t="n">
        <v>1985.01</v>
      </c>
      <c r="N66" s="19" t="n">
        <v>1985.01</v>
      </c>
      <c r="O66" s="19" t="n">
        <v>5928.83</v>
      </c>
      <c r="P66" s="19" t="n">
        <v>2293.28</v>
      </c>
      <c r="Q66" s="19" t="n">
        <v>2293.28</v>
      </c>
      <c r="R66" s="19" t="n">
        <v>2293.28</v>
      </c>
      <c r="S66" s="19" t="n">
        <v>2310.25</v>
      </c>
      <c r="T66" s="83" t="n">
        <v>2293.28</v>
      </c>
      <c r="U66" s="83" t="n">
        <v>2293.28</v>
      </c>
      <c r="V66" s="83" t="n">
        <v>2293.28</v>
      </c>
      <c r="W66" s="20" t="n">
        <v>2293.28</v>
      </c>
      <c r="X66" s="20" t="n">
        <v>2293.28</v>
      </c>
      <c r="Y66" s="20" t="n">
        <v>2293.28</v>
      </c>
      <c r="Z66" s="20" t="n">
        <v>2293.28</v>
      </c>
      <c r="AA66" s="20" t="n">
        <v>2293.28</v>
      </c>
      <c r="AB66" s="20" t="n">
        <v>2293.28</v>
      </c>
      <c r="AC66" s="20" t="n">
        <v>2293.28</v>
      </c>
      <c r="AD66" s="20" t="n">
        <v>2293.28</v>
      </c>
      <c r="AE66" s="20" t="n">
        <v>2293.28</v>
      </c>
      <c r="AF66" s="20" t="n">
        <v>2293.28</v>
      </c>
      <c r="AG66" s="20" t="n">
        <v>2293.28</v>
      </c>
      <c r="AH66" s="20" t="n">
        <v>2293.28</v>
      </c>
      <c r="AI66" s="20" t="n">
        <v>2293.28</v>
      </c>
      <c r="AJ66" s="20" t="n">
        <v>2293.28</v>
      </c>
      <c r="AK66" s="20" t="n">
        <v>2293.28</v>
      </c>
      <c r="AL66" s="20" t="n">
        <v>2293.28</v>
      </c>
      <c r="AM66" s="20" t="n">
        <v>2293.28</v>
      </c>
      <c r="AN66" s="20" t="n">
        <v>2293.28</v>
      </c>
      <c r="AO66" s="20" t="n">
        <v>2293.28</v>
      </c>
      <c r="AP66" s="20" t="n">
        <v>2293.28</v>
      </c>
      <c r="AQ66" s="20" t="n">
        <v>2293.28</v>
      </c>
      <c r="AR66" s="20" t="n">
        <v>2293.28</v>
      </c>
      <c r="AS66" s="20" t="n">
        <v>2293.28</v>
      </c>
      <c r="AT66" s="20" t="n">
        <v>2293.28</v>
      </c>
      <c r="AU66" s="20" t="n">
        <v>2293.28</v>
      </c>
      <c r="AV66" s="20" t="n">
        <v>2293.28</v>
      </c>
      <c r="AW66" s="20" t="n">
        <v>2293.28</v>
      </c>
      <c r="AX66" s="20" t="n">
        <v>2293.28</v>
      </c>
      <c r="AY66" s="20" t="n">
        <v>2293.28</v>
      </c>
    </row>
    <row r="67">
      <c r="B67" s="33" t="inlineStr">
        <is>
          <t>901000 Interest Expense (incl Other Exp/Inc)</t>
        </is>
      </c>
      <c r="D67" s="19" t="n">
        <v>0</v>
      </c>
      <c r="E67" s="19" t="n">
        <v>0</v>
      </c>
      <c r="F67" s="19" t="n">
        <v>0</v>
      </c>
      <c r="G67" s="19" t="n">
        <v>0</v>
      </c>
      <c r="H67" s="19" t="n">
        <v>0</v>
      </c>
      <c r="I67" s="19" t="n">
        <v>0</v>
      </c>
      <c r="J67" s="19" t="n">
        <v>0</v>
      </c>
      <c r="K67" s="19" t="n">
        <v>0</v>
      </c>
      <c r="L67" s="19" t="n">
        <v>1945</v>
      </c>
      <c r="M67" s="19" t="n">
        <v>3890</v>
      </c>
      <c r="N67" s="19" t="n">
        <v>3890</v>
      </c>
      <c r="O67" s="19" t="n">
        <v>3890</v>
      </c>
      <c r="P67" s="19" t="n">
        <v>3890</v>
      </c>
      <c r="Q67" s="19" t="n">
        <v>3890</v>
      </c>
      <c r="R67" s="19" t="n">
        <v>3890</v>
      </c>
      <c r="S67" s="19" t="n">
        <v>3890</v>
      </c>
      <c r="T67" s="83" t="n">
        <v>1945</v>
      </c>
      <c r="U67" s="83" t="n">
        <v>0</v>
      </c>
      <c r="V67" s="83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AN70*0.602586</f>
        <v/>
      </c>
      <c r="AO67" s="20">
        <f>AO70*0.602586</f>
        <v/>
      </c>
      <c r="AP67" s="20">
        <f>AP70*0.602586</f>
        <v/>
      </c>
      <c r="AQ67" s="20">
        <f>AQ70*0.602586</f>
        <v/>
      </c>
      <c r="AR67" s="20">
        <f>AR70*0.602586</f>
        <v/>
      </c>
      <c r="AS67" s="20">
        <f>AS70*0.602586</f>
        <v/>
      </c>
      <c r="AT67" s="20">
        <f>AT70*0.602586</f>
        <v/>
      </c>
      <c r="AU67" s="20">
        <f>AU70*0.602586</f>
        <v/>
      </c>
      <c r="AV67" s="20">
        <f>AV70*0.602586</f>
        <v/>
      </c>
      <c r="AW67" s="20">
        <f>AW70*0.602586</f>
        <v/>
      </c>
      <c r="AX67" s="20">
        <f>AX70*0.602586</f>
        <v/>
      </c>
      <c r="AY67" s="20">
        <f>AY70*0.602586</f>
        <v/>
      </c>
    </row>
    <row r="68">
      <c r="B68" s="33" t="inlineStr">
        <is>
          <t xml:space="preserve">  902000 Taxes Paid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3" t="n">
        <v>0</v>
      </c>
      <c r="U68" s="83" t="n">
        <v>0</v>
      </c>
      <c r="V68" s="83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>
        <f>AN70*0.041513</f>
        <v/>
      </c>
      <c r="AO68" s="20">
        <f>AO70*0.041513</f>
        <v/>
      </c>
      <c r="AP68" s="20">
        <f>AP70*0.041513</f>
        <v/>
      </c>
      <c r="AQ68" s="20">
        <f>AQ70*0.041513</f>
        <v/>
      </c>
      <c r="AR68" s="20">
        <f>AR70*0.041513</f>
        <v/>
      </c>
      <c r="AS68" s="20">
        <f>AS70*0.041513</f>
        <v/>
      </c>
      <c r="AT68" s="20">
        <f>AT70*0.041513</f>
        <v/>
      </c>
      <c r="AU68" s="20">
        <f>AU70*0.041513</f>
        <v/>
      </c>
      <c r="AV68" s="20">
        <f>AV70*0.041513</f>
        <v/>
      </c>
      <c r="AW68" s="20">
        <f>AW70*0.041513</f>
        <v/>
      </c>
      <c r="AX68" s="20">
        <f>AX70*0.041513</f>
        <v/>
      </c>
      <c r="AY68" s="20">
        <f>AY70*0.041513</f>
        <v/>
      </c>
    </row>
    <row r="69">
      <c r="B69" s="33" t="inlineStr">
        <is>
          <t xml:space="preserve">  903000 Property taxes</t>
        </is>
      </c>
      <c r="D69" s="19" t="n">
        <v>0</v>
      </c>
      <c r="E69" s="19" t="n">
        <v>0</v>
      </c>
      <c r="F69" s="19" t="n">
        <v>0</v>
      </c>
      <c r="G69" s="19" t="n">
        <v>0</v>
      </c>
      <c r="H69" s="19" t="n">
        <v>0</v>
      </c>
      <c r="I69" s="19" t="n">
        <v>928.2</v>
      </c>
      <c r="J69" s="19" t="n">
        <v>3161.09</v>
      </c>
      <c r="K69" s="19" t="n">
        <v>0</v>
      </c>
      <c r="L69" s="19" t="n">
        <v>0</v>
      </c>
      <c r="M69" s="19" t="n">
        <v>0</v>
      </c>
      <c r="N69" s="19" t="n">
        <v>0</v>
      </c>
      <c r="O69" s="19" t="n">
        <v>0</v>
      </c>
      <c r="P69" s="19" t="n">
        <v>0</v>
      </c>
      <c r="Q69" s="19" t="n">
        <v>0</v>
      </c>
      <c r="R69" s="19" t="n">
        <v>0</v>
      </c>
      <c r="S69" s="19" t="n">
        <v>0</v>
      </c>
      <c r="T69" s="83" t="n">
        <v>0</v>
      </c>
      <c r="U69" s="83" t="n">
        <v>0</v>
      </c>
      <c r="V69" s="83" t="n">
        <v>175.6</v>
      </c>
      <c r="W69" s="20" t="n">
        <v>0</v>
      </c>
      <c r="X69" s="20" t="n">
        <v>0</v>
      </c>
      <c r="Y69" s="20" t="n">
        <v>0</v>
      </c>
      <c r="Z69" s="20" t="n">
        <v>0</v>
      </c>
      <c r="AA69" s="20" t="n">
        <v>0</v>
      </c>
      <c r="AB69" s="20" t="n">
        <v>0</v>
      </c>
      <c r="AC69" s="20" t="n">
        <v>0</v>
      </c>
      <c r="AD69" s="20" t="n">
        <v>0</v>
      </c>
      <c r="AE69" s="20" t="n">
        <v>0</v>
      </c>
      <c r="AF69" s="20" t="n">
        <v>0</v>
      </c>
      <c r="AG69" s="20" t="n">
        <v>0</v>
      </c>
      <c r="AH69" s="20" t="n">
        <v>0</v>
      </c>
      <c r="AI69" s="20" t="n">
        <v>0</v>
      </c>
      <c r="AJ69" s="20" t="n">
        <v>0</v>
      </c>
      <c r="AK69" s="20" t="n">
        <v>0</v>
      </c>
      <c r="AL69" s="20" t="n">
        <v>0</v>
      </c>
      <c r="AM69" s="20" t="n">
        <v>0</v>
      </c>
      <c r="AN69" s="20" t="n">
        <v>0</v>
      </c>
      <c r="AO69" s="20" t="n">
        <v>0</v>
      </c>
      <c r="AP69" s="20" t="n">
        <v>0</v>
      </c>
      <c r="AQ69" s="20" t="n">
        <v>0</v>
      </c>
      <c r="AR69" s="20" t="n">
        <v>0</v>
      </c>
      <c r="AS69" s="20" t="n">
        <v>0</v>
      </c>
      <c r="AT69" s="20" t="n">
        <v>0</v>
      </c>
      <c r="AU69" s="20" t="n">
        <v>0</v>
      </c>
      <c r="AV69" s="20" t="n">
        <v>0</v>
      </c>
      <c r="AW69" s="20" t="n">
        <v>0</v>
      </c>
      <c r="AX69" s="20" t="n">
        <v>0</v>
      </c>
      <c r="AY69" s="20" t="n">
        <v>0</v>
      </c>
    </row>
    <row r="70">
      <c r="B70" s="32" t="inlineStr">
        <is>
          <t>Total Other Expenses</t>
        </is>
      </c>
      <c r="C70" s="34" t="n"/>
      <c r="D70" s="35">
        <f>SUM(D66:D69)</f>
        <v/>
      </c>
      <c r="E70" s="35">
        <f>SUM(E66:E69)</f>
        <v/>
      </c>
      <c r="F70" s="35">
        <f>SUM(F66:F69)</f>
        <v/>
      </c>
      <c r="G70" s="35">
        <f>SUM(G66:G69)</f>
        <v/>
      </c>
      <c r="H70" s="35">
        <f>SUM(H66:H69)</f>
        <v/>
      </c>
      <c r="I70" s="35">
        <f>SUM(I66:I69)</f>
        <v/>
      </c>
      <c r="J70" s="35">
        <f>SUM(J66:J69)</f>
        <v/>
      </c>
      <c r="K70" s="35">
        <f>SUM(K66:K69)</f>
        <v/>
      </c>
      <c r="L70" s="35">
        <f>SUM(L66:L69)</f>
        <v/>
      </c>
      <c r="M70" s="35">
        <f>SUM(M66:M69)</f>
        <v/>
      </c>
      <c r="N70" s="35">
        <f>SUM(N66:N69)</f>
        <v/>
      </c>
      <c r="O70" s="35">
        <f>SUM(O66:O69)</f>
        <v/>
      </c>
      <c r="P70" s="35">
        <f>P66+P67+P68+P69</f>
        <v/>
      </c>
      <c r="Q70" s="35">
        <f>Q66+Q67+Q68+Q69</f>
        <v/>
      </c>
      <c r="R70" s="35">
        <f>R66+R67+R68+R69</f>
        <v/>
      </c>
      <c r="S70" s="35">
        <f>S66+S67+S68+S69</f>
        <v/>
      </c>
      <c r="T70" s="84">
        <f>T66+T67+T68+T69</f>
        <v/>
      </c>
      <c r="U70" s="84">
        <f>U66+U67+U68+U69</f>
        <v/>
      </c>
      <c r="V70" s="84">
        <f>V66+V67+V68+V69</f>
        <v/>
      </c>
      <c r="W70" s="17">
        <f>SUM(W66:W69)</f>
        <v/>
      </c>
      <c r="X70" s="17">
        <f>SUM(X66:X69)</f>
        <v/>
      </c>
      <c r="Y70" s="17">
        <f>SUM(Y66:Y69)</f>
        <v/>
      </c>
      <c r="Z70" s="17">
        <f>SUM(Z66:Z69)</f>
        <v/>
      </c>
      <c r="AA70" s="17">
        <f>SUM(AA66:AA69)</f>
        <v/>
      </c>
      <c r="AB70" s="17">
        <f>SUM(AB66:AB69)</f>
        <v/>
      </c>
      <c r="AC70" s="17">
        <f>SUM(AC66:AC69)</f>
        <v/>
      </c>
      <c r="AD70" s="17">
        <f>SUM(AD66:AD69)</f>
        <v/>
      </c>
      <c r="AE70" s="17">
        <f>SUM(AE66:AE69)</f>
        <v/>
      </c>
      <c r="AF70" s="17">
        <f>SUM(AF66:AF69)</f>
        <v/>
      </c>
      <c r="AG70" s="17">
        <f>SUM(AG66:AG69)</f>
        <v/>
      </c>
      <c r="AH70" s="17">
        <f>SUM(AH66:AH69)</f>
        <v/>
      </c>
      <c r="AI70" s="17">
        <f>SUM(AI66:AI69)</f>
        <v/>
      </c>
      <c r="AJ70" s="17">
        <f>SUM(AJ66:AJ69)</f>
        <v/>
      </c>
      <c r="AK70" s="17">
        <f>SUM(AK66:AK69)</f>
        <v/>
      </c>
      <c r="AL70" s="17">
        <f>SUM(AL66:AL69)</f>
        <v/>
      </c>
      <c r="AM70" s="17">
        <f>SUM(AM66:AM69)</f>
        <v/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</row>
    <row r="71">
      <c r="B71" s="32" t="inlineStr">
        <is>
          <t>NET INCOME</t>
        </is>
      </c>
      <c r="C71" s="34" t="n"/>
      <c r="D71" s="35">
        <f>D64-D70</f>
        <v/>
      </c>
      <c r="E71" s="35">
        <f>E64-E70</f>
        <v/>
      </c>
      <c r="F71" s="35">
        <f>F64-F70</f>
        <v/>
      </c>
      <c r="G71" s="35">
        <f>G64-G70</f>
        <v/>
      </c>
      <c r="H71" s="35">
        <f>H64-H70</f>
        <v/>
      </c>
      <c r="I71" s="35">
        <f>I64-I70</f>
        <v/>
      </c>
      <c r="J71" s="35">
        <f>J64-J70</f>
        <v/>
      </c>
      <c r="K71" s="35">
        <f>K64-K70</f>
        <v/>
      </c>
      <c r="L71" s="35">
        <f>L64-L70</f>
        <v/>
      </c>
      <c r="M71" s="35">
        <f>M64-M70</f>
        <v/>
      </c>
      <c r="N71" s="35">
        <f>N64-N70</f>
        <v/>
      </c>
      <c r="O71" s="35">
        <f>O64-O70</f>
        <v/>
      </c>
      <c r="P71" s="35">
        <f>P64-P70</f>
        <v/>
      </c>
      <c r="Q71" s="35">
        <f>Q64-Q70</f>
        <v/>
      </c>
      <c r="R71" s="35">
        <f>R64-R70</f>
        <v/>
      </c>
      <c r="S71" s="35">
        <f>S64-S70</f>
        <v/>
      </c>
      <c r="T71" s="84">
        <f>T64-T70</f>
        <v/>
      </c>
      <c r="U71" s="84">
        <f>U64-U70</f>
        <v/>
      </c>
      <c r="V71" s="84">
        <f>V64-V70</f>
        <v/>
      </c>
      <c r="W71" s="17">
        <f>W64-W70</f>
        <v/>
      </c>
      <c r="X71" s="17">
        <f>X64-X70</f>
        <v/>
      </c>
      <c r="Y71" s="17">
        <f>Y64-Y70</f>
        <v/>
      </c>
      <c r="Z71" s="17">
        <f>Z64-Z70</f>
        <v/>
      </c>
      <c r="AA71" s="17">
        <f>AA64-AA70</f>
        <v/>
      </c>
      <c r="AB71" s="17">
        <f>AB64-AB70</f>
        <v/>
      </c>
      <c r="AC71" s="17">
        <f>AC64-AC70</f>
        <v/>
      </c>
      <c r="AD71" s="17">
        <f>AD64-AD70</f>
        <v/>
      </c>
      <c r="AE71" s="17">
        <f>AE64-AE70</f>
        <v/>
      </c>
      <c r="AF71" s="17">
        <f>AF64-AF70</f>
        <v/>
      </c>
      <c r="AG71" s="17">
        <f>AG64-AG70</f>
        <v/>
      </c>
      <c r="AH71" s="17">
        <f>AH64-AH70</f>
        <v/>
      </c>
      <c r="AI71" s="17">
        <f>AI64-AI70</f>
        <v/>
      </c>
      <c r="AJ71" s="17">
        <f>AJ64-AJ70</f>
        <v/>
      </c>
      <c r="AK71" s="17">
        <f>AK64-AK70</f>
        <v/>
      </c>
      <c r="AL71" s="17">
        <f>AL64-AL70</f>
        <v/>
      </c>
      <c r="AM71" s="17">
        <f>AM64-AM70</f>
        <v/>
      </c>
      <c r="AN71" s="17">
        <f>AN64-AN70</f>
        <v/>
      </c>
      <c r="AO71" s="17">
        <f>AO64-AO70</f>
        <v/>
      </c>
      <c r="AP71" s="17">
        <f>AP64-AP70</f>
        <v/>
      </c>
      <c r="AQ71" s="17">
        <f>AQ64-AQ70</f>
        <v/>
      </c>
      <c r="AR71" s="17">
        <f>AR64-AR70</f>
        <v/>
      </c>
      <c r="AS71" s="17">
        <f>AS64-AS70</f>
        <v/>
      </c>
      <c r="AT71" s="17">
        <f>AT64-AT70</f>
        <v/>
      </c>
      <c r="AU71" s="17">
        <f>AU64-AU70</f>
        <v/>
      </c>
      <c r="AV71" s="17">
        <f>AV64-AV70</f>
        <v/>
      </c>
      <c r="AW71" s="17">
        <f>AW64-AW70</f>
        <v/>
      </c>
      <c r="AX71" s="17">
        <f>AX64-AX70</f>
        <v/>
      </c>
      <c r="AY71" s="17">
        <f>AY64-AY70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ED7D31"/>
    <outlinePr summaryBelow="1" summaryRight="1"/>
    <pageSetUpPr/>
  </sheetPr>
  <dimension ref="B2:BB70"/>
  <sheetViews>
    <sheetView showGridLines="0" zoomScaleNormal="100" workbookViewId="0">
      <pane xSplit="3" ySplit="5" topLeftCell="AS6" activePane="bottomRight" state="frozen"/>
      <selection activeCell="W21" sqref="W21"/>
      <selection pane="topRight" activeCell="W21" sqref="W21"/>
      <selection pane="bottomLeft" activeCell="W21" sqref="W21"/>
      <selection pane="bottomRight" activeCell="AY13" sqref="AY13"/>
    </sheetView>
  </sheetViews>
  <sheetFormatPr baseColWidth="10" defaultColWidth="8.83203125" defaultRowHeight="15"/>
  <cols>
    <col hidden="1" width="2" customWidth="1" style="282" min="1" max="1"/>
    <col width="32" customWidth="1" style="282" min="2" max="2"/>
    <col width="10" customWidth="1" style="282" min="3" max="3"/>
    <col width="12" customWidth="1" style="282" min="4" max="39"/>
    <col width="13.33203125" customWidth="1" style="282" min="53" max="53"/>
  </cols>
  <sheetData>
    <row r="2" ht="21" customHeight="1" s="282">
      <c r="B2" s="9" t="inlineStr">
        <is>
          <t>West Portal (WP) — Profit &amp; Loss</t>
        </is>
      </c>
      <c r="T2" s="24" t="n"/>
      <c r="U2" s="24" t="n"/>
    </row>
    <row r="4" ht="16" customHeight="1" s="28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01" t="inlineStr">
        <is>
          <t>Revenue Segments as % of Total (LTM)</t>
        </is>
      </c>
    </row>
    <row r="6" ht="16" customHeight="1" s="28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BA6" s="272" t="inlineStr">
        <is>
          <t>LTM May 2026</t>
        </is>
      </c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0</v>
      </c>
      <c r="O7" s="19" t="n">
        <v>0</v>
      </c>
      <c r="P7" s="19" t="n">
        <v>0</v>
      </c>
      <c r="Q7" s="19" t="n">
        <v>0</v>
      </c>
      <c r="R7" s="19" t="n">
        <v>0</v>
      </c>
      <c r="S7" s="19" t="n">
        <v>0</v>
      </c>
      <c r="T7" s="83" t="n">
        <v>0</v>
      </c>
      <c r="U7" s="83" t="n">
        <v>0</v>
      </c>
      <c r="V7" s="83" t="n">
        <v>0</v>
      </c>
      <c r="W7" s="20">
        <f>W13*0.166667</f>
        <v/>
      </c>
      <c r="X7" s="20">
        <f>X13*0.166667</f>
        <v/>
      </c>
      <c r="Y7" s="20">
        <f>Y13*0.166667</f>
        <v/>
      </c>
      <c r="Z7" s="20">
        <f>Z13*0.166667</f>
        <v/>
      </c>
      <c r="AA7" s="20">
        <f>AA13*0.166667</f>
        <v/>
      </c>
      <c r="AB7" s="20">
        <f>AB13*0.166667</f>
        <v/>
      </c>
      <c r="AC7" s="20">
        <f>AC13*0.166667</f>
        <v/>
      </c>
      <c r="AD7" s="20">
        <f>AD13*0.166667</f>
        <v/>
      </c>
      <c r="AE7" s="20">
        <f>AE13*0.166667</f>
        <v/>
      </c>
      <c r="AF7" s="20">
        <f>AF13*0.166667</f>
        <v/>
      </c>
      <c r="AG7" s="20">
        <f>AG13*0.166667</f>
        <v/>
      </c>
      <c r="AH7" s="20">
        <f>AH13*0.166667</f>
        <v/>
      </c>
      <c r="AI7" s="20">
        <f>AI13*0.166667</f>
        <v/>
      </c>
      <c r="AJ7" s="20">
        <f>AJ13*0.166667</f>
        <v/>
      </c>
      <c r="AK7" s="20">
        <f>AK13*0.166667</f>
        <v/>
      </c>
      <c r="AL7" s="20">
        <f>AL13*0.166667</f>
        <v/>
      </c>
      <c r="AM7" s="20">
        <f>AM13*0.166667</f>
        <v/>
      </c>
      <c r="AN7" s="20">
        <f>AN13*0.166667</f>
        <v/>
      </c>
      <c r="AO7" s="20">
        <f>AO13*0.166667</f>
        <v/>
      </c>
      <c r="AP7" s="20">
        <f>AP13*0.166667</f>
        <v/>
      </c>
      <c r="AQ7" s="20">
        <f>AQ13*0.166667</f>
        <v/>
      </c>
      <c r="AR7" s="20">
        <f>AR13*0.166667</f>
        <v/>
      </c>
      <c r="AS7" s="20">
        <f>AS13*0.166667</f>
        <v/>
      </c>
      <c r="AT7" s="20">
        <f>AT13*0.166667</f>
        <v/>
      </c>
      <c r="AU7" s="20">
        <f>AU13*0.166667</f>
        <v/>
      </c>
      <c r="AV7" s="20">
        <f>AV13*0.166667</f>
        <v/>
      </c>
      <c r="AW7" s="20">
        <f>AW13*0.166667</f>
        <v/>
      </c>
      <c r="AX7" s="20">
        <f>AX13*0.166667</f>
        <v/>
      </c>
      <c r="AY7" s="20">
        <f>AY13*0.166667</f>
        <v/>
      </c>
      <c r="BA7" s="288">
        <f>SUM(I7:T7)</f>
        <v/>
      </c>
      <c r="BB7" s="274">
        <f>BA7/$BA$21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83" t="n">
        <v>0</v>
      </c>
      <c r="U8" s="83" t="n">
        <v>0</v>
      </c>
      <c r="V8" s="83" t="n">
        <v>0</v>
      </c>
      <c r="W8" s="20">
        <f>W13*0.166667</f>
        <v/>
      </c>
      <c r="X8" s="20">
        <f>X13*0.166667</f>
        <v/>
      </c>
      <c r="Y8" s="20">
        <f>Y13*0.166667</f>
        <v/>
      </c>
      <c r="Z8" s="20">
        <f>Z13*0.166667</f>
        <v/>
      </c>
      <c r="AA8" s="20">
        <f>AA13*0.166667</f>
        <v/>
      </c>
      <c r="AB8" s="20">
        <f>AB13*0.166667</f>
        <v/>
      </c>
      <c r="AC8" s="20">
        <f>AC13*0.166667</f>
        <v/>
      </c>
      <c r="AD8" s="20">
        <f>AD13*0.166667</f>
        <v/>
      </c>
      <c r="AE8" s="20">
        <f>AE13*0.166667</f>
        <v/>
      </c>
      <c r="AF8" s="20">
        <f>AF13*0.166667</f>
        <v/>
      </c>
      <c r="AG8" s="20">
        <f>AG13*0.166667</f>
        <v/>
      </c>
      <c r="AH8" s="20">
        <f>AH13*0.166667</f>
        <v/>
      </c>
      <c r="AI8" s="20">
        <f>AI13*0.166667</f>
        <v/>
      </c>
      <c r="AJ8" s="20">
        <f>AJ13*0.166667</f>
        <v/>
      </c>
      <c r="AK8" s="20">
        <f>AK13*0.166667</f>
        <v/>
      </c>
      <c r="AL8" s="20">
        <f>AL13*0.166667</f>
        <v/>
      </c>
      <c r="AM8" s="20">
        <f>AM13*0.166667</f>
        <v/>
      </c>
      <c r="AN8" s="20">
        <f>AN13*0.166667</f>
        <v/>
      </c>
      <c r="AO8" s="20">
        <f>AO13*0.166667</f>
        <v/>
      </c>
      <c r="AP8" s="20">
        <f>AP13*0.166667</f>
        <v/>
      </c>
      <c r="AQ8" s="20">
        <f>AQ13*0.166667</f>
        <v/>
      </c>
      <c r="AR8" s="20">
        <f>AR13*0.166667</f>
        <v/>
      </c>
      <c r="AS8" s="20">
        <f>AS13*0.166667</f>
        <v/>
      </c>
      <c r="AT8" s="20">
        <f>AT13*0.166667</f>
        <v/>
      </c>
      <c r="AU8" s="20">
        <f>AU13*0.166667</f>
        <v/>
      </c>
      <c r="AV8" s="20">
        <f>AV13*0.166667</f>
        <v/>
      </c>
      <c r="AW8" s="20">
        <f>AW13*0.166667</f>
        <v/>
      </c>
      <c r="AX8" s="20">
        <f>AX13*0.166667</f>
        <v/>
      </c>
      <c r="AY8" s="20">
        <f>AY13*0.166667</f>
        <v/>
      </c>
      <c r="BA8" s="288">
        <f>SUM(I8:T8)</f>
        <v/>
      </c>
      <c r="BB8" s="274">
        <f>BA8/$BA$21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0</v>
      </c>
      <c r="R9" s="19" t="n">
        <v>0</v>
      </c>
      <c r="S9" s="19" t="n">
        <v>0</v>
      </c>
      <c r="T9" s="83" t="n">
        <v>0</v>
      </c>
      <c r="U9" s="83" t="n">
        <v>0</v>
      </c>
      <c r="V9" s="83" t="n">
        <v>0</v>
      </c>
      <c r="W9" s="20">
        <f>W13*0.166667</f>
        <v/>
      </c>
      <c r="X9" s="20">
        <f>X13*0.166667</f>
        <v/>
      </c>
      <c r="Y9" s="20">
        <f>Y13*0.166667</f>
        <v/>
      </c>
      <c r="Z9" s="20">
        <f>Z13*0.166667</f>
        <v/>
      </c>
      <c r="AA9" s="20">
        <f>AA13*0.166667</f>
        <v/>
      </c>
      <c r="AB9" s="20">
        <f>AB13*0.166667</f>
        <v/>
      </c>
      <c r="AC9" s="20">
        <f>AC13*0.166667</f>
        <v/>
      </c>
      <c r="AD9" s="20">
        <f>AD13*0.166667</f>
        <v/>
      </c>
      <c r="AE9" s="20">
        <f>AE13*0.166667</f>
        <v/>
      </c>
      <c r="AF9" s="20">
        <f>AF13*0.166667</f>
        <v/>
      </c>
      <c r="AG9" s="20">
        <f>AG13*0.166667</f>
        <v/>
      </c>
      <c r="AH9" s="20">
        <f>AH13*0.166667</f>
        <v/>
      </c>
      <c r="AI9" s="20">
        <f>AI13*0.166667</f>
        <v/>
      </c>
      <c r="AJ9" s="20">
        <f>AJ13*0.166667</f>
        <v/>
      </c>
      <c r="AK9" s="20">
        <f>AK13*0.166667</f>
        <v/>
      </c>
      <c r="AL9" s="20">
        <f>AL13*0.166667</f>
        <v/>
      </c>
      <c r="AM9" s="20">
        <f>AM13*0.166667</f>
        <v/>
      </c>
      <c r="AN9" s="20">
        <f>AN13*0.166667</f>
        <v/>
      </c>
      <c r="AO9" s="20">
        <f>AO13*0.166667</f>
        <v/>
      </c>
      <c r="AP9" s="20">
        <f>AP13*0.166667</f>
        <v/>
      </c>
      <c r="AQ9" s="20">
        <f>AQ13*0.166667</f>
        <v/>
      </c>
      <c r="AR9" s="20">
        <f>AR13*0.166667</f>
        <v/>
      </c>
      <c r="AS9" s="20">
        <f>AS13*0.166667</f>
        <v/>
      </c>
      <c r="AT9" s="20">
        <f>AT13*0.166667</f>
        <v/>
      </c>
      <c r="AU9" s="20">
        <f>AU13*0.166667</f>
        <v/>
      </c>
      <c r="AV9" s="20">
        <f>AV13*0.166667</f>
        <v/>
      </c>
      <c r="AW9" s="20">
        <f>AW13*0.166667</f>
        <v/>
      </c>
      <c r="AX9" s="20">
        <f>AX13*0.166667</f>
        <v/>
      </c>
      <c r="AY9" s="20">
        <f>AY13*0.166667</f>
        <v/>
      </c>
      <c r="BA9" s="288">
        <f>SUM(I9:T9)</f>
        <v/>
      </c>
      <c r="BB9" s="274">
        <f>BA9/$BA$21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83" t="n">
        <v>0</v>
      </c>
      <c r="U10" s="83" t="n">
        <v>0</v>
      </c>
      <c r="V10" s="83" t="n">
        <v>0</v>
      </c>
      <c r="W10" s="20">
        <f>W13*0.166667</f>
        <v/>
      </c>
      <c r="X10" s="20">
        <f>X13*0.166667</f>
        <v/>
      </c>
      <c r="Y10" s="20">
        <f>Y13*0.166667</f>
        <v/>
      </c>
      <c r="Z10" s="20">
        <f>Z13*0.166667</f>
        <v/>
      </c>
      <c r="AA10" s="20">
        <f>AA13*0.166667</f>
        <v/>
      </c>
      <c r="AB10" s="20">
        <f>AB13*0.166667</f>
        <v/>
      </c>
      <c r="AC10" s="20">
        <f>AC13*0.166667</f>
        <v/>
      </c>
      <c r="AD10" s="20">
        <f>AD13*0.166667</f>
        <v/>
      </c>
      <c r="AE10" s="20">
        <f>AE13*0.166667</f>
        <v/>
      </c>
      <c r="AF10" s="20">
        <f>AF13*0.166667</f>
        <v/>
      </c>
      <c r="AG10" s="20">
        <f>AG13*0.166667</f>
        <v/>
      </c>
      <c r="AH10" s="20">
        <f>AH13*0.166667</f>
        <v/>
      </c>
      <c r="AI10" s="20">
        <f>AI13*0.166667</f>
        <v/>
      </c>
      <c r="AJ10" s="20">
        <f>AJ13*0.166667</f>
        <v/>
      </c>
      <c r="AK10" s="20">
        <f>AK13*0.166667</f>
        <v/>
      </c>
      <c r="AL10" s="20">
        <f>AL13*0.166667</f>
        <v/>
      </c>
      <c r="AM10" s="20">
        <f>AM13*0.166667</f>
        <v/>
      </c>
      <c r="AN10" s="20">
        <f>AN13*0.166667</f>
        <v/>
      </c>
      <c r="AO10" s="20">
        <f>AO13*0.166667</f>
        <v/>
      </c>
      <c r="AP10" s="20">
        <f>AP13*0.166667</f>
        <v/>
      </c>
      <c r="AQ10" s="20">
        <f>AQ13*0.166667</f>
        <v/>
      </c>
      <c r="AR10" s="20">
        <f>AR13*0.166667</f>
        <v/>
      </c>
      <c r="AS10" s="20">
        <f>AS13*0.166667</f>
        <v/>
      </c>
      <c r="AT10" s="20">
        <f>AT13*0.166667</f>
        <v/>
      </c>
      <c r="AU10" s="20">
        <f>AU13*0.166667</f>
        <v/>
      </c>
      <c r="AV10" s="20">
        <f>AV13*0.166667</f>
        <v/>
      </c>
      <c r="AW10" s="20">
        <f>AW13*0.166667</f>
        <v/>
      </c>
      <c r="AX10" s="20">
        <f>AX13*0.166667</f>
        <v/>
      </c>
      <c r="AY10" s="20">
        <f>AY13*0.166667</f>
        <v/>
      </c>
      <c r="BA10" s="288">
        <f>SUM(I10:T10)</f>
        <v/>
      </c>
      <c r="BB10" s="274">
        <f>BA10/$BA$21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0</v>
      </c>
      <c r="T11" s="83" t="n">
        <v>0</v>
      </c>
      <c r="U11" s="83" t="n">
        <v>0</v>
      </c>
      <c r="V11" s="83" t="n">
        <v>0</v>
      </c>
      <c r="W11" s="20">
        <f>W13*0.166667</f>
        <v/>
      </c>
      <c r="X11" s="20">
        <f>X13*0.166667</f>
        <v/>
      </c>
      <c r="Y11" s="20">
        <f>Y13*0.166667</f>
        <v/>
      </c>
      <c r="Z11" s="20">
        <f>Z13*0.166667</f>
        <v/>
      </c>
      <c r="AA11" s="20">
        <f>AA13*0.166667</f>
        <v/>
      </c>
      <c r="AB11" s="20">
        <f>AB13*0.166667</f>
        <v/>
      </c>
      <c r="AC11" s="20">
        <f>AC13*0.166667</f>
        <v/>
      </c>
      <c r="AD11" s="20">
        <f>AD13*0.166667</f>
        <v/>
      </c>
      <c r="AE11" s="20">
        <f>AE13*0.166667</f>
        <v/>
      </c>
      <c r="AF11" s="20">
        <f>AF13*0.166667</f>
        <v/>
      </c>
      <c r="AG11" s="20">
        <f>AG13*0.166667</f>
        <v/>
      </c>
      <c r="AH11" s="20">
        <f>AH13*0.166667</f>
        <v/>
      </c>
      <c r="AI11" s="20">
        <f>AI13*0.166667</f>
        <v/>
      </c>
      <c r="AJ11" s="20">
        <f>AJ13*0.166667</f>
        <v/>
      </c>
      <c r="AK11" s="20">
        <f>AK13*0.166667</f>
        <v/>
      </c>
      <c r="AL11" s="20">
        <f>AL13*0.166667</f>
        <v/>
      </c>
      <c r="AM11" s="20">
        <f>AM13*0.166667</f>
        <v/>
      </c>
      <c r="AN11" s="20">
        <f>AN13*0.166667</f>
        <v/>
      </c>
      <c r="AO11" s="20">
        <f>AO13*0.166667</f>
        <v/>
      </c>
      <c r="AP11" s="20">
        <f>AP13*0.166667</f>
        <v/>
      </c>
      <c r="AQ11" s="20">
        <f>AQ13*0.166667</f>
        <v/>
      </c>
      <c r="AR11" s="20">
        <f>AR13*0.166667</f>
        <v/>
      </c>
      <c r="AS11" s="20">
        <f>AS13*0.166667</f>
        <v/>
      </c>
      <c r="AT11" s="20">
        <f>AT13*0.166667</f>
        <v/>
      </c>
      <c r="AU11" s="20">
        <f>AU13*0.166667</f>
        <v/>
      </c>
      <c r="AV11" s="20">
        <f>AV13*0.166667</f>
        <v/>
      </c>
      <c r="AW11" s="20">
        <f>AW13*0.166667</f>
        <v/>
      </c>
      <c r="AX11" s="20">
        <f>AX13*0.166667</f>
        <v/>
      </c>
      <c r="AY11" s="20">
        <f>AY13*0.166667</f>
        <v/>
      </c>
      <c r="BA11" s="288">
        <f>SUM(I11:T11)</f>
        <v/>
      </c>
      <c r="BB11" s="274">
        <f>BA11/$BA$21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9" t="n">
        <v>0</v>
      </c>
      <c r="T12" s="83" t="n">
        <v>0</v>
      </c>
      <c r="U12" s="83" t="n">
        <v>0</v>
      </c>
      <c r="V12" s="83" t="n">
        <v>0</v>
      </c>
      <c r="W12" s="20">
        <f>W13*0.166667</f>
        <v/>
      </c>
      <c r="X12" s="20">
        <f>X13*0.166667</f>
        <v/>
      </c>
      <c r="Y12" s="20">
        <f>Y13*0.166667</f>
        <v/>
      </c>
      <c r="Z12" s="20">
        <f>Z13*0.166667</f>
        <v/>
      </c>
      <c r="AA12" s="20">
        <f>AA13*0.166667</f>
        <v/>
      </c>
      <c r="AB12" s="20">
        <f>AB13*0.166667</f>
        <v/>
      </c>
      <c r="AC12" s="20">
        <f>AC13*0.166667</f>
        <v/>
      </c>
      <c r="AD12" s="20">
        <f>AD13*0.166667</f>
        <v/>
      </c>
      <c r="AE12" s="20">
        <f>AE13*0.166667</f>
        <v/>
      </c>
      <c r="AF12" s="20">
        <f>AF13*0.166667</f>
        <v/>
      </c>
      <c r="AG12" s="20">
        <f>AG13*0.166667</f>
        <v/>
      </c>
      <c r="AH12" s="20">
        <f>AH13*0.166667</f>
        <v/>
      </c>
      <c r="AI12" s="20">
        <f>AI13*0.166667</f>
        <v/>
      </c>
      <c r="AJ12" s="20">
        <f>AJ13*0.166667</f>
        <v/>
      </c>
      <c r="AK12" s="20">
        <f>AK13*0.166667</f>
        <v/>
      </c>
      <c r="AL12" s="20">
        <f>AL13*0.166667</f>
        <v/>
      </c>
      <c r="AM12" s="20">
        <f>AM13*0.166667</f>
        <v/>
      </c>
      <c r="AN12" s="20">
        <f>AN13*0.166667</f>
        <v/>
      </c>
      <c r="AO12" s="20">
        <f>AO13*0.166667</f>
        <v/>
      </c>
      <c r="AP12" s="20">
        <f>AP13*0.166667</f>
        <v/>
      </c>
      <c r="AQ12" s="20">
        <f>AQ13*0.166667</f>
        <v/>
      </c>
      <c r="AR12" s="20">
        <f>AR13*0.166667</f>
        <v/>
      </c>
      <c r="AS12" s="20">
        <f>AS13*0.166667</f>
        <v/>
      </c>
      <c r="AT12" s="20">
        <f>AT13*0.166667</f>
        <v/>
      </c>
      <c r="AU12" s="20">
        <f>AU13*0.166667</f>
        <v/>
      </c>
      <c r="AV12" s="20">
        <f>AV13*0.166667</f>
        <v/>
      </c>
      <c r="AW12" s="20">
        <f>AW13*0.166667</f>
        <v/>
      </c>
      <c r="AX12" s="20">
        <f>AX13*0.166667</f>
        <v/>
      </c>
      <c r="AY12" s="20">
        <f>AY13*0.166667</f>
        <v/>
      </c>
      <c r="BA12" s="288">
        <f>SUM(I12:T12)</f>
        <v/>
      </c>
      <c r="BB12" s="274">
        <f>BA12/$BA$21</f>
        <v/>
      </c>
    </row>
    <row r="13">
      <c r="B13" s="32" t="inlineStr">
        <is>
          <t>Total Sessions</t>
        </is>
      </c>
      <c r="C13" s="34" t="n"/>
      <c r="D13" s="35">
        <f>SUM(D7:D12)</f>
        <v/>
      </c>
      <c r="E13" s="35">
        <f>SUM(E7:E12)</f>
        <v/>
      </c>
      <c r="F13" s="35">
        <f>SUM(F7:F12)</f>
        <v/>
      </c>
      <c r="G13" s="35">
        <f>SUM(G7:G12)</f>
        <v/>
      </c>
      <c r="H13" s="35">
        <f>SUM(H7:H12)</f>
        <v/>
      </c>
      <c r="I13" s="35">
        <f>SUM(I7:I12)</f>
        <v/>
      </c>
      <c r="J13" s="35">
        <f>SUM(J7:J12)</f>
        <v/>
      </c>
      <c r="K13" s="35">
        <f>SUM(K7:K12)</f>
        <v/>
      </c>
      <c r="L13" s="35">
        <f>SUM(L7:L12)</f>
        <v/>
      </c>
      <c r="M13" s="35">
        <f>SUM(M7:M12)</f>
        <v/>
      </c>
      <c r="N13" s="35">
        <f>SUM(N7:N12)</f>
        <v/>
      </c>
      <c r="O13" s="35">
        <f>SUM(O7:O12)</f>
        <v/>
      </c>
      <c r="P13" s="35">
        <f>P7+P8+P9+P10+P11+P12</f>
        <v/>
      </c>
      <c r="Q13" s="35">
        <f>Q7+Q8+Q9+Q10+Q11+Q12</f>
        <v/>
      </c>
      <c r="R13" s="35">
        <f>R7+R8+R9+R10+R11+R12</f>
        <v/>
      </c>
      <c r="S13" s="35">
        <f>S7+S8+S9+S10+S11+S12</f>
        <v/>
      </c>
      <c r="T13" s="84">
        <f>T7+T8+T9+T10+T11+T12</f>
        <v/>
      </c>
      <c r="U13" s="84">
        <f>U7+U8+U9+U10+U11+U12</f>
        <v/>
      </c>
      <c r="V13" s="84">
        <f>V7+V8+V9+V10+V11+V12</f>
        <v/>
      </c>
      <c r="W13" s="17">
        <f>'Sales Forecast'!W16*Assumptions!$C$12+'Sales Forecast'!V16*Assumptions!$D$12+'Sales Forecast'!U16*Assumptions!$E$12+'Sales Forecast'!T16*Assumptions!$F$12+'Sales Forecast'!S16*Assumptions!$G$12+'Sales Forecast'!R16*Assumptions!$H$12+'Sales Forecast'!Q16*Assumptions!$I$12</f>
        <v/>
      </c>
      <c r="X13" s="17">
        <f>'Sales Forecast'!X16*Assumptions!$C$12+'Sales Forecast'!W16*Assumptions!$D$12+'Sales Forecast'!V16*Assumptions!$E$12+'Sales Forecast'!U16*Assumptions!$F$12+'Sales Forecast'!T16*Assumptions!$G$12+'Sales Forecast'!S16*Assumptions!$H$12+'Sales Forecast'!R16*Assumptions!$I$12</f>
        <v/>
      </c>
      <c r="Y13" s="17">
        <f>'Sales Forecast'!Y16*Assumptions!$C$12+'Sales Forecast'!X16*Assumptions!$D$12+'Sales Forecast'!W16*Assumptions!$E$12+'Sales Forecast'!V16*Assumptions!$F$12+'Sales Forecast'!U16*Assumptions!$G$12+'Sales Forecast'!T16*Assumptions!$H$12+'Sales Forecast'!S16*Assumptions!$I$12</f>
        <v/>
      </c>
      <c r="Z13" s="17">
        <f>'Sales Forecast'!Z16*Assumptions!$C$12+'Sales Forecast'!Y16*Assumptions!$D$12+'Sales Forecast'!X16*Assumptions!$E$12+'Sales Forecast'!W16*Assumptions!$F$12+'Sales Forecast'!V16*Assumptions!$G$12+'Sales Forecast'!U16*Assumptions!$H$12+'Sales Forecast'!T16*Assumptions!$I$12</f>
        <v/>
      </c>
      <c r="AA13" s="17">
        <f>'Sales Forecast'!AA16*Assumptions!$C$12+'Sales Forecast'!Z16*Assumptions!$D$12+'Sales Forecast'!Y16*Assumptions!$E$12+'Sales Forecast'!X16*Assumptions!$F$12+'Sales Forecast'!W16*Assumptions!$G$12+'Sales Forecast'!V16*Assumptions!$H$12+'Sales Forecast'!U16*Assumptions!$I$12</f>
        <v/>
      </c>
      <c r="AB13" s="17">
        <f>'Sales Forecast'!AB16*Assumptions!$C$12+'Sales Forecast'!AA16*Assumptions!$D$12+'Sales Forecast'!Z16*Assumptions!$E$12+'Sales Forecast'!Y16*Assumptions!$F$12+'Sales Forecast'!X16*Assumptions!$G$12+'Sales Forecast'!W16*Assumptions!$H$12+'Sales Forecast'!V16*Assumptions!$I$12</f>
        <v/>
      </c>
      <c r="AC13" s="17">
        <f>'Sales Forecast'!AC16*Assumptions!$C$12+'Sales Forecast'!AB16*Assumptions!$D$12+'Sales Forecast'!AA16*Assumptions!$E$12+'Sales Forecast'!Z16*Assumptions!$F$12+'Sales Forecast'!Y16*Assumptions!$G$12+'Sales Forecast'!X16*Assumptions!$H$12+'Sales Forecast'!W16*Assumptions!$I$12</f>
        <v/>
      </c>
      <c r="AD13" s="17">
        <f>'Sales Forecast'!AD16*Assumptions!$C$12+'Sales Forecast'!AC16*Assumptions!$D$12+'Sales Forecast'!AB16*Assumptions!$E$12+'Sales Forecast'!AA16*Assumptions!$F$12+'Sales Forecast'!Z16*Assumptions!$G$12+'Sales Forecast'!Y16*Assumptions!$H$12+'Sales Forecast'!X16*Assumptions!$I$12</f>
        <v/>
      </c>
      <c r="AE13" s="17">
        <f>'Sales Forecast'!AE16*Assumptions!$C$12+'Sales Forecast'!AD16*Assumptions!$D$12+'Sales Forecast'!AC16*Assumptions!$E$12+'Sales Forecast'!AB16*Assumptions!$F$12+'Sales Forecast'!AA16*Assumptions!$G$12+'Sales Forecast'!Z16*Assumptions!$H$12+'Sales Forecast'!Y16*Assumptions!$I$12</f>
        <v/>
      </c>
      <c r="AF13" s="17">
        <f>'Sales Forecast'!AF16*Assumptions!$C$12+'Sales Forecast'!AE16*Assumptions!$D$12+'Sales Forecast'!AD16*Assumptions!$E$12+'Sales Forecast'!AC16*Assumptions!$F$12+'Sales Forecast'!AB16*Assumptions!$G$12+'Sales Forecast'!AA16*Assumptions!$H$12+'Sales Forecast'!Z16*Assumptions!$I$12</f>
        <v/>
      </c>
      <c r="AG13" s="17">
        <f>'Sales Forecast'!AG16*Assumptions!$C$12+'Sales Forecast'!AF16*Assumptions!$D$12+'Sales Forecast'!AE16*Assumptions!$E$12+'Sales Forecast'!AD16*Assumptions!$F$12+'Sales Forecast'!AC16*Assumptions!$G$12+'Sales Forecast'!AB16*Assumptions!$H$12+'Sales Forecast'!AA16*Assumptions!$I$12</f>
        <v/>
      </c>
      <c r="AH13" s="17">
        <f>'Sales Forecast'!AH16*Assumptions!$C$12+'Sales Forecast'!AG16*Assumptions!$D$12+'Sales Forecast'!AF16*Assumptions!$E$12+'Sales Forecast'!AE16*Assumptions!$F$12+'Sales Forecast'!AD16*Assumptions!$G$12+'Sales Forecast'!AC16*Assumptions!$H$12+'Sales Forecast'!AB16*Assumptions!$I$12</f>
        <v/>
      </c>
      <c r="AI13" s="17">
        <f>'Sales Forecast'!AI16*Assumptions!$C$12+'Sales Forecast'!AH16*Assumptions!$D$12+'Sales Forecast'!AG16*Assumptions!$E$12+'Sales Forecast'!AF16*Assumptions!$F$12+'Sales Forecast'!AE16*Assumptions!$G$12+'Sales Forecast'!AD16*Assumptions!$H$12+'Sales Forecast'!AC16*Assumptions!$I$12</f>
        <v/>
      </c>
      <c r="AJ13" s="17">
        <f>'Sales Forecast'!AJ16*Assumptions!$C$12+'Sales Forecast'!AI16*Assumptions!$D$12+'Sales Forecast'!AH16*Assumptions!$E$12+'Sales Forecast'!AG16*Assumptions!$F$12+'Sales Forecast'!AF16*Assumptions!$G$12+'Sales Forecast'!AE16*Assumptions!$H$12+'Sales Forecast'!AD16*Assumptions!$I$12</f>
        <v/>
      </c>
      <c r="AK13" s="17">
        <f>'Sales Forecast'!AK16*Assumptions!$C$12+'Sales Forecast'!AJ16*Assumptions!$D$12+'Sales Forecast'!AI16*Assumptions!$E$12+'Sales Forecast'!AH16*Assumptions!$F$12+'Sales Forecast'!AG16*Assumptions!$G$12+'Sales Forecast'!AF16*Assumptions!$H$12+'Sales Forecast'!AE16*Assumptions!$I$12</f>
        <v/>
      </c>
      <c r="AL13" s="17">
        <f>'Sales Forecast'!AL16*Assumptions!$C$12+'Sales Forecast'!AK16*Assumptions!$D$12+'Sales Forecast'!AJ16*Assumptions!$E$12+'Sales Forecast'!AI16*Assumptions!$F$12+'Sales Forecast'!AH16*Assumptions!$G$12+'Sales Forecast'!AG16*Assumptions!$H$12+'Sales Forecast'!AF16*Assumptions!$I$12</f>
        <v/>
      </c>
      <c r="AM13" s="17">
        <f>'Sales Forecast'!AM16*Assumptions!$C$12+'Sales Forecast'!AL16*Assumptions!$D$12+'Sales Forecast'!AK16*Assumptions!$E$12+'Sales Forecast'!AJ16*Assumptions!$F$12+'Sales Forecast'!AI16*Assumptions!$G$12+'Sales Forecast'!AH16*Assumptions!$H$12+'Sales Forecast'!AG16*Assumptions!$I$12</f>
        <v/>
      </c>
      <c r="AN13" s="17">
        <f>'Sales Forecast'!AN16*Assumptions!$C$12+'Sales Forecast'!AM16*Assumptions!$D$12+'Sales Forecast'!AL16*Assumptions!$E$12+'Sales Forecast'!AK16*Assumptions!$F$12+'Sales Forecast'!AJ16*Assumptions!$G$12+'Sales Forecast'!AI16*Assumptions!$H$12+'Sales Forecast'!AH16*Assumptions!$I$12</f>
        <v/>
      </c>
      <c r="AO13" s="17">
        <f>'Sales Forecast'!AO16*Assumptions!$C$12+'Sales Forecast'!AN16*Assumptions!$D$12+'Sales Forecast'!AM16*Assumptions!$E$12+'Sales Forecast'!AL16*Assumptions!$F$12+'Sales Forecast'!AK16*Assumptions!$G$12+'Sales Forecast'!AJ16*Assumptions!$H$12+'Sales Forecast'!AI16*Assumptions!$I$12</f>
        <v/>
      </c>
      <c r="AP13" s="17">
        <f>'Sales Forecast'!AP16*Assumptions!$C$12+'Sales Forecast'!AO16*Assumptions!$D$12+'Sales Forecast'!AN16*Assumptions!$E$12+'Sales Forecast'!AM16*Assumptions!$F$12+'Sales Forecast'!AL16*Assumptions!$G$12+'Sales Forecast'!AK16*Assumptions!$H$12+'Sales Forecast'!AJ16*Assumptions!$I$12</f>
        <v/>
      </c>
      <c r="AQ13" s="17">
        <f>'Sales Forecast'!AQ16*Assumptions!$C$12+'Sales Forecast'!AP16*Assumptions!$D$12+'Sales Forecast'!AO16*Assumptions!$E$12+'Sales Forecast'!AN16*Assumptions!$F$12+'Sales Forecast'!AM16*Assumptions!$G$12+'Sales Forecast'!AL16*Assumptions!$H$12+'Sales Forecast'!AK16*Assumptions!$I$12</f>
        <v/>
      </c>
      <c r="AR13" s="17">
        <f>'Sales Forecast'!AR16*Assumptions!$C$12+'Sales Forecast'!AQ16*Assumptions!$D$12+'Sales Forecast'!AP16*Assumptions!$E$12+'Sales Forecast'!AO16*Assumptions!$F$12+'Sales Forecast'!AN16*Assumptions!$G$12+'Sales Forecast'!AM16*Assumptions!$H$12+'Sales Forecast'!AL16*Assumptions!$I$12</f>
        <v/>
      </c>
      <c r="AS13" s="17">
        <f>'Sales Forecast'!AS16*Assumptions!$C$12+'Sales Forecast'!AR16*Assumptions!$D$12+'Sales Forecast'!AQ16*Assumptions!$E$12+'Sales Forecast'!AP16*Assumptions!$F$12+'Sales Forecast'!AO16*Assumptions!$G$12+'Sales Forecast'!AN16*Assumptions!$H$12+'Sales Forecast'!AM16*Assumptions!$I$12</f>
        <v/>
      </c>
      <c r="AT13" s="17">
        <f>'Sales Forecast'!AT16*Assumptions!$C$12+'Sales Forecast'!AS16*Assumptions!$D$12+'Sales Forecast'!AR16*Assumptions!$E$12+'Sales Forecast'!AQ16*Assumptions!$F$12+'Sales Forecast'!AP16*Assumptions!$G$12+'Sales Forecast'!AO16*Assumptions!$H$12+'Sales Forecast'!AN16*Assumptions!$I$12</f>
        <v/>
      </c>
      <c r="AU13" s="17">
        <f>'Sales Forecast'!AU16*Assumptions!$C$12+'Sales Forecast'!AT16*Assumptions!$D$12+'Sales Forecast'!AS16*Assumptions!$E$12+'Sales Forecast'!AR16*Assumptions!$F$12+'Sales Forecast'!AQ16*Assumptions!$G$12+'Sales Forecast'!AP16*Assumptions!$H$12+'Sales Forecast'!AO16*Assumptions!$I$12</f>
        <v/>
      </c>
      <c r="AV13" s="17">
        <f>'Sales Forecast'!AV16*Assumptions!$C$12+'Sales Forecast'!AU16*Assumptions!$D$12+'Sales Forecast'!AT16*Assumptions!$E$12+'Sales Forecast'!AS16*Assumptions!$F$12+'Sales Forecast'!AR16*Assumptions!$G$12+'Sales Forecast'!AQ16*Assumptions!$H$12+'Sales Forecast'!AP16*Assumptions!$I$12</f>
        <v/>
      </c>
      <c r="AW13" s="17">
        <f>'Sales Forecast'!AW16*Assumptions!$C$12+'Sales Forecast'!AV16*Assumptions!$D$12+'Sales Forecast'!AU16*Assumptions!$E$12+'Sales Forecast'!AT16*Assumptions!$F$12+'Sales Forecast'!AS16*Assumptions!$G$12+'Sales Forecast'!AR16*Assumptions!$H$12+'Sales Forecast'!AQ16*Assumptions!$I$12</f>
        <v/>
      </c>
      <c r="AX13" s="17">
        <f>'Sales Forecast'!AX16*Assumptions!$C$12+'Sales Forecast'!AW16*Assumptions!$D$12+'Sales Forecast'!AV16*Assumptions!$E$12+'Sales Forecast'!AU16*Assumptions!$F$12+'Sales Forecast'!AT16*Assumptions!$G$12+'Sales Forecast'!AS16*Assumptions!$H$12+'Sales Forecast'!AR16*Assumptions!$I$12</f>
        <v/>
      </c>
      <c r="AY13" s="17">
        <f>'Sales Forecast'!AY16*Assumptions!$C$12+'Sales Forecast'!AX16*Assumptions!$D$12+'Sales Forecast'!AW16*Assumptions!$E$12+'Sales Forecast'!AV16*Assumptions!$F$12+'Sales Forecast'!AU16*Assumptions!$G$12+'Sales Forecast'!AT16*Assumptions!$H$12+'Sales Forecast'!AS16*Assumptions!$I$12</f>
        <v/>
      </c>
      <c r="BA13" s="288" t="n"/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0</v>
      </c>
      <c r="O14" s="19" t="n">
        <v>0</v>
      </c>
      <c r="P14" s="19" t="n">
        <v>0</v>
      </c>
      <c r="Q14" s="19" t="n">
        <v>0</v>
      </c>
      <c r="R14" s="19" t="n">
        <v>0</v>
      </c>
      <c r="S14" s="19" t="n">
        <v>0</v>
      </c>
      <c r="T14" s="83" t="n">
        <v>0</v>
      </c>
      <c r="U14" s="83" t="n">
        <v>172</v>
      </c>
      <c r="V14" s="83" t="n">
        <v>14</v>
      </c>
      <c r="W14" s="20">
        <f>W17*0.333333</f>
        <v/>
      </c>
      <c r="X14" s="20">
        <f>X17*0.333333</f>
        <v/>
      </c>
      <c r="Y14" s="20">
        <f>Y17*0.333333</f>
        <v/>
      </c>
      <c r="Z14" s="20">
        <f>Z17*0.333333</f>
        <v/>
      </c>
      <c r="AA14" s="20">
        <f>AA17*0.333333</f>
        <v/>
      </c>
      <c r="AB14" s="20">
        <f>AB17*0.333333</f>
        <v/>
      </c>
      <c r="AC14" s="20">
        <f>AC17*0.333333</f>
        <v/>
      </c>
      <c r="AD14" s="20">
        <f>AD17*0.333333</f>
        <v/>
      </c>
      <c r="AE14" s="20">
        <f>AE17*0.333333</f>
        <v/>
      </c>
      <c r="AF14" s="20">
        <f>AF17*0.333333</f>
        <v/>
      </c>
      <c r="AG14" s="20">
        <f>AG17*0.333333</f>
        <v/>
      </c>
      <c r="AH14" s="20">
        <f>AH17*0.333333</f>
        <v/>
      </c>
      <c r="AI14" s="20">
        <f>AI17*0.333333</f>
        <v/>
      </c>
      <c r="AJ14" s="20">
        <f>AJ17*0.333333</f>
        <v/>
      </c>
      <c r="AK14" s="20">
        <f>AK17*0.333333</f>
        <v/>
      </c>
      <c r="AL14" s="20">
        <f>AL17*0.333333</f>
        <v/>
      </c>
      <c r="AM14" s="20">
        <f>AM17*0.333333</f>
        <v/>
      </c>
      <c r="AN14" s="20">
        <f>AN17*0.333333</f>
        <v/>
      </c>
      <c r="AO14" s="20">
        <f>AO17*0.333333</f>
        <v/>
      </c>
      <c r="AP14" s="20">
        <f>AP17*0.333333</f>
        <v/>
      </c>
      <c r="AQ14" s="20">
        <f>AQ17*0.333333</f>
        <v/>
      </c>
      <c r="AR14" s="20">
        <f>AR17*0.333333</f>
        <v/>
      </c>
      <c r="AS14" s="20">
        <f>AS17*0.333333</f>
        <v/>
      </c>
      <c r="AT14" s="20">
        <f>AT17*0.333333</f>
        <v/>
      </c>
      <c r="AU14" s="20">
        <f>AU17*0.333333</f>
        <v/>
      </c>
      <c r="AV14" s="20">
        <f>AV17*0.333333</f>
        <v/>
      </c>
      <c r="AW14" s="20">
        <f>AW17*0.333333</f>
        <v/>
      </c>
      <c r="AX14" s="20">
        <f>AX17*0.333333</f>
        <v/>
      </c>
      <c r="AY14" s="20">
        <f>AY17*0.333333</f>
        <v/>
      </c>
      <c r="BA14" s="288">
        <f>SUM(I14:T14)</f>
        <v/>
      </c>
      <c r="BB14" s="274">
        <f>BA14/$BA$21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0</v>
      </c>
      <c r="R15" s="19" t="n">
        <v>0</v>
      </c>
      <c r="S15" s="19" t="n">
        <v>0</v>
      </c>
      <c r="T15" s="83" t="n">
        <v>0</v>
      </c>
      <c r="U15" s="83" t="n">
        <v>0</v>
      </c>
      <c r="V15" s="83" t="n">
        <v>0</v>
      </c>
      <c r="W15" s="20">
        <f>W17*0.333333</f>
        <v/>
      </c>
      <c r="X15" s="20">
        <f>X17*0.333333</f>
        <v/>
      </c>
      <c r="Y15" s="20">
        <f>Y17*0.333333</f>
        <v/>
      </c>
      <c r="Z15" s="20">
        <f>Z17*0.333333</f>
        <v/>
      </c>
      <c r="AA15" s="20">
        <f>AA17*0.333333</f>
        <v/>
      </c>
      <c r="AB15" s="20">
        <f>AB17*0.333333</f>
        <v/>
      </c>
      <c r="AC15" s="20">
        <f>AC17*0.333333</f>
        <v/>
      </c>
      <c r="AD15" s="20">
        <f>AD17*0.333333</f>
        <v/>
      </c>
      <c r="AE15" s="20">
        <f>AE17*0.333333</f>
        <v/>
      </c>
      <c r="AF15" s="20">
        <f>AF17*0.333333</f>
        <v/>
      </c>
      <c r="AG15" s="20">
        <f>AG17*0.333333</f>
        <v/>
      </c>
      <c r="AH15" s="20">
        <f>AH17*0.333333</f>
        <v/>
      </c>
      <c r="AI15" s="20">
        <f>AI17*0.333333</f>
        <v/>
      </c>
      <c r="AJ15" s="20">
        <f>AJ17*0.333333</f>
        <v/>
      </c>
      <c r="AK15" s="20">
        <f>AK17*0.333333</f>
        <v/>
      </c>
      <c r="AL15" s="20">
        <f>AL17*0.333333</f>
        <v/>
      </c>
      <c r="AM15" s="20">
        <f>AM17*0.333333</f>
        <v/>
      </c>
      <c r="AN15" s="20">
        <f>AN17*0.333333</f>
        <v/>
      </c>
      <c r="AO15" s="20">
        <f>AO17*0.333333</f>
        <v/>
      </c>
      <c r="AP15" s="20">
        <f>AP17*0.333333</f>
        <v/>
      </c>
      <c r="AQ15" s="20">
        <f>AQ17*0.333333</f>
        <v/>
      </c>
      <c r="AR15" s="20">
        <f>AR17*0.333333</f>
        <v/>
      </c>
      <c r="AS15" s="20">
        <f>AS17*0.333333</f>
        <v/>
      </c>
      <c r="AT15" s="20">
        <f>AT17*0.333333</f>
        <v/>
      </c>
      <c r="AU15" s="20">
        <f>AU17*0.333333</f>
        <v/>
      </c>
      <c r="AV15" s="20">
        <f>AV17*0.333333</f>
        <v/>
      </c>
      <c r="AW15" s="20">
        <f>AW17*0.333333</f>
        <v/>
      </c>
      <c r="AX15" s="20">
        <f>AX17*0.333333</f>
        <v/>
      </c>
      <c r="AY15" s="20">
        <f>AY17*0.333333</f>
        <v/>
      </c>
      <c r="BA15" s="288">
        <f>SUM(I15:T15)</f>
        <v/>
      </c>
      <c r="BB15" s="274">
        <f>BA15/$BA$21</f>
        <v/>
      </c>
    </row>
    <row r="16">
      <c r="B16" s="33" t="inlineStr">
        <is>
          <t>403004 Other Breakage (incl MTT Breakage)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3" t="n">
        <v>0</v>
      </c>
      <c r="U16" s="83" t="n">
        <v>0</v>
      </c>
      <c r="V16" s="83" t="n">
        <v>0</v>
      </c>
      <c r="W16" s="20">
        <f>W17*0.333333</f>
        <v/>
      </c>
      <c r="X16" s="20">
        <f>X17*0.333333</f>
        <v/>
      </c>
      <c r="Y16" s="20">
        <f>Y17*0.333333</f>
        <v/>
      </c>
      <c r="Z16" s="20">
        <f>Z17*0.333333</f>
        <v/>
      </c>
      <c r="AA16" s="20">
        <f>AA17*0.333333</f>
        <v/>
      </c>
      <c r="AB16" s="20">
        <f>AB17*0.333333</f>
        <v/>
      </c>
      <c r="AC16" s="20">
        <f>AC17*0.333333</f>
        <v/>
      </c>
      <c r="AD16" s="20">
        <f>AD17*0.333333</f>
        <v/>
      </c>
      <c r="AE16" s="20">
        <f>AE17*0.333333</f>
        <v/>
      </c>
      <c r="AF16" s="20">
        <f>AF17*0.333333</f>
        <v/>
      </c>
      <c r="AG16" s="20">
        <f>AG17*0.333333</f>
        <v/>
      </c>
      <c r="AH16" s="20">
        <f>AH17*0.333333</f>
        <v/>
      </c>
      <c r="AI16" s="20">
        <f>AI17*0.333333</f>
        <v/>
      </c>
      <c r="AJ16" s="20">
        <f>AJ17*0.333333</f>
        <v/>
      </c>
      <c r="AK16" s="20">
        <f>AK17*0.333333</f>
        <v/>
      </c>
      <c r="AL16" s="20">
        <f>AL17*0.333333</f>
        <v/>
      </c>
      <c r="AM16" s="20">
        <f>AM17*0.333333</f>
        <v/>
      </c>
      <c r="AN16" s="20">
        <f>AN17*0.333333</f>
        <v/>
      </c>
      <c r="AO16" s="20">
        <f>AO17*0.333333</f>
        <v/>
      </c>
      <c r="AP16" s="20">
        <f>AP17*0.333333</f>
        <v/>
      </c>
      <c r="AQ16" s="20">
        <f>AQ17*0.333333</f>
        <v/>
      </c>
      <c r="AR16" s="20">
        <f>AR17*0.333333</f>
        <v/>
      </c>
      <c r="AS16" s="20">
        <f>AS17*0.333333</f>
        <v/>
      </c>
      <c r="AT16" s="20">
        <f>AT17*0.333333</f>
        <v/>
      </c>
      <c r="AU16" s="20">
        <f>AU17*0.333333</f>
        <v/>
      </c>
      <c r="AV16" s="20">
        <f>AV17*0.333333</f>
        <v/>
      </c>
      <c r="AW16" s="20">
        <f>AW17*0.333333</f>
        <v/>
      </c>
      <c r="AX16" s="20">
        <f>AX17*0.333333</f>
        <v/>
      </c>
      <c r="AY16" s="20">
        <f>AY17*0.333333</f>
        <v/>
      </c>
      <c r="BA16" s="288">
        <f>SUM(I16:T16)</f>
        <v/>
      </c>
      <c r="BB16" s="274">
        <f>BA16/$BA$21</f>
        <v/>
      </c>
    </row>
    <row r="17">
      <c r="B17" s="32" t="inlineStr">
        <is>
          <t>Total Breakage Revenue</t>
        </is>
      </c>
      <c r="C17" s="34" t="n"/>
      <c r="D17" s="35">
        <f>SUM(D14:D16)</f>
        <v/>
      </c>
      <c r="E17" s="35">
        <f>SUM(E14:E16)</f>
        <v/>
      </c>
      <c r="F17" s="35">
        <f>SUM(F14:F16)</f>
        <v/>
      </c>
      <c r="G17" s="35">
        <f>SUM(G14:G16)</f>
        <v/>
      </c>
      <c r="H17" s="35">
        <f>SUM(H14:H16)</f>
        <v/>
      </c>
      <c r="I17" s="35">
        <f>SUM(I14:I16)</f>
        <v/>
      </c>
      <c r="J17" s="35">
        <f>SUM(J14:J16)</f>
        <v/>
      </c>
      <c r="K17" s="35">
        <f>SUM(K14:K16)</f>
        <v/>
      </c>
      <c r="L17" s="35">
        <f>SUM(L14:L16)</f>
        <v/>
      </c>
      <c r="M17" s="35">
        <f>SUM(M14:M16)</f>
        <v/>
      </c>
      <c r="N17" s="35">
        <f>SUM(N14:N16)</f>
        <v/>
      </c>
      <c r="O17" s="35">
        <f>SUM(O14:O16)</f>
        <v/>
      </c>
      <c r="P17" s="35">
        <f>P14+P15+P16</f>
        <v/>
      </c>
      <c r="Q17" s="35">
        <f>Q14+Q15+Q16</f>
        <v/>
      </c>
      <c r="R17" s="35">
        <f>R14+R15+R16</f>
        <v/>
      </c>
      <c r="S17" s="35">
        <f>S14+S15+S16</f>
        <v/>
      </c>
      <c r="T17" s="84">
        <f>T14+T15+T16</f>
        <v/>
      </c>
      <c r="U17" s="84">
        <f>U14+U15+U16</f>
        <v/>
      </c>
      <c r="V17" s="84">
        <f>V14+V15+V16</f>
        <v/>
      </c>
      <c r="W17" s="17">
        <f>'Sales Forecast'!W16*Assumptions!$C$13+'Sales Forecast'!V16*Assumptions!$D$13+'Sales Forecast'!U16*Assumptions!$E$13+'Sales Forecast'!T16*Assumptions!$F$13+'Sales Forecast'!S16*Assumptions!$G$13+'Sales Forecast'!R16*Assumptions!$H$13+'Sales Forecast'!Q16*Assumptions!$I$13</f>
        <v/>
      </c>
      <c r="X17" s="17">
        <f>'Sales Forecast'!X16*Assumptions!$C$13+'Sales Forecast'!W16*Assumptions!$D$13+'Sales Forecast'!V16*Assumptions!$E$13+'Sales Forecast'!U16*Assumptions!$F$13+'Sales Forecast'!T16*Assumptions!$G$13+'Sales Forecast'!S16*Assumptions!$H$13+'Sales Forecast'!R16*Assumptions!$I$13</f>
        <v/>
      </c>
      <c r="Y17" s="17">
        <f>'Sales Forecast'!Y16*Assumptions!$C$13+'Sales Forecast'!X16*Assumptions!$D$13+'Sales Forecast'!W16*Assumptions!$E$13+'Sales Forecast'!V16*Assumptions!$F$13+'Sales Forecast'!U16*Assumptions!$G$13+'Sales Forecast'!T16*Assumptions!$H$13+'Sales Forecast'!S16*Assumptions!$I$13</f>
        <v/>
      </c>
      <c r="Z17" s="17">
        <f>'Sales Forecast'!Z16*Assumptions!$C$13+'Sales Forecast'!Y16*Assumptions!$D$13+'Sales Forecast'!X16*Assumptions!$E$13+'Sales Forecast'!W16*Assumptions!$F$13+'Sales Forecast'!V16*Assumptions!$G$13+'Sales Forecast'!U16*Assumptions!$H$13+'Sales Forecast'!T16*Assumptions!$I$13</f>
        <v/>
      </c>
      <c r="AA17" s="17">
        <f>'Sales Forecast'!AA16*Assumptions!$C$13+'Sales Forecast'!Z16*Assumptions!$D$13+'Sales Forecast'!Y16*Assumptions!$E$13+'Sales Forecast'!X16*Assumptions!$F$13+'Sales Forecast'!W16*Assumptions!$G$13+'Sales Forecast'!V16*Assumptions!$H$13+'Sales Forecast'!U16*Assumptions!$I$13</f>
        <v/>
      </c>
      <c r="AB17" s="17">
        <f>'Sales Forecast'!AB16*Assumptions!$C$13+'Sales Forecast'!AA16*Assumptions!$D$13+'Sales Forecast'!Z16*Assumptions!$E$13+'Sales Forecast'!Y16*Assumptions!$F$13+'Sales Forecast'!X16*Assumptions!$G$13+'Sales Forecast'!W16*Assumptions!$H$13+'Sales Forecast'!V16*Assumptions!$I$13</f>
        <v/>
      </c>
      <c r="AC17" s="17">
        <f>'Sales Forecast'!AC16*Assumptions!$C$13+'Sales Forecast'!AB16*Assumptions!$D$13+'Sales Forecast'!AA16*Assumptions!$E$13+'Sales Forecast'!Z16*Assumptions!$F$13+'Sales Forecast'!Y16*Assumptions!$G$13+'Sales Forecast'!X16*Assumptions!$H$13+'Sales Forecast'!W16*Assumptions!$I$13</f>
        <v/>
      </c>
      <c r="AD17" s="17">
        <f>'Sales Forecast'!AD16*Assumptions!$C$13+'Sales Forecast'!AC16*Assumptions!$D$13+'Sales Forecast'!AB16*Assumptions!$E$13+'Sales Forecast'!AA16*Assumptions!$F$13+'Sales Forecast'!Z16*Assumptions!$G$13+'Sales Forecast'!Y16*Assumptions!$H$13+'Sales Forecast'!X16*Assumptions!$I$13</f>
        <v/>
      </c>
      <c r="AE17" s="17">
        <f>'Sales Forecast'!AE16*Assumptions!$C$13+'Sales Forecast'!AD16*Assumptions!$D$13+'Sales Forecast'!AC16*Assumptions!$E$13+'Sales Forecast'!AB16*Assumptions!$F$13+'Sales Forecast'!AA16*Assumptions!$G$13+'Sales Forecast'!Z16*Assumptions!$H$13+'Sales Forecast'!Y16*Assumptions!$I$13</f>
        <v/>
      </c>
      <c r="AF17" s="17">
        <f>'Sales Forecast'!AF16*Assumptions!$C$13+'Sales Forecast'!AE16*Assumptions!$D$13+'Sales Forecast'!AD16*Assumptions!$E$13+'Sales Forecast'!AC16*Assumptions!$F$13+'Sales Forecast'!AB16*Assumptions!$G$13+'Sales Forecast'!AA16*Assumptions!$H$13+'Sales Forecast'!Z16*Assumptions!$I$13</f>
        <v/>
      </c>
      <c r="AG17" s="17">
        <f>'Sales Forecast'!AG16*Assumptions!$C$13+'Sales Forecast'!AF16*Assumptions!$D$13+'Sales Forecast'!AE16*Assumptions!$E$13+'Sales Forecast'!AD16*Assumptions!$F$13+'Sales Forecast'!AC16*Assumptions!$G$13+'Sales Forecast'!AB16*Assumptions!$H$13+'Sales Forecast'!AA16*Assumptions!$I$13</f>
        <v/>
      </c>
      <c r="AH17" s="17">
        <f>'Sales Forecast'!AH16*Assumptions!$C$13+'Sales Forecast'!AG16*Assumptions!$D$13+'Sales Forecast'!AF16*Assumptions!$E$13+'Sales Forecast'!AE16*Assumptions!$F$13+'Sales Forecast'!AD16*Assumptions!$G$13+'Sales Forecast'!AC16*Assumptions!$H$13+'Sales Forecast'!AB16*Assumptions!$I$13</f>
        <v/>
      </c>
      <c r="AI17" s="17">
        <f>'Sales Forecast'!AI16*Assumptions!$C$13+'Sales Forecast'!AH16*Assumptions!$D$13+'Sales Forecast'!AG16*Assumptions!$E$13+'Sales Forecast'!AF16*Assumptions!$F$13+'Sales Forecast'!AE16*Assumptions!$G$13+'Sales Forecast'!AD16*Assumptions!$H$13+'Sales Forecast'!AC16*Assumptions!$I$13</f>
        <v/>
      </c>
      <c r="AJ17" s="17">
        <f>'Sales Forecast'!AJ16*Assumptions!$C$13+'Sales Forecast'!AI16*Assumptions!$D$13+'Sales Forecast'!AH16*Assumptions!$E$13+'Sales Forecast'!AG16*Assumptions!$F$13+'Sales Forecast'!AF16*Assumptions!$G$13+'Sales Forecast'!AE16*Assumptions!$H$13+'Sales Forecast'!AD16*Assumptions!$I$13</f>
        <v/>
      </c>
      <c r="AK17" s="17">
        <f>'Sales Forecast'!AK16*Assumptions!$C$13+'Sales Forecast'!AJ16*Assumptions!$D$13+'Sales Forecast'!AI16*Assumptions!$E$13+'Sales Forecast'!AH16*Assumptions!$F$13+'Sales Forecast'!AG16*Assumptions!$G$13+'Sales Forecast'!AF16*Assumptions!$H$13+'Sales Forecast'!AE16*Assumptions!$I$13</f>
        <v/>
      </c>
      <c r="AL17" s="17">
        <f>'Sales Forecast'!AL16*Assumptions!$C$13+'Sales Forecast'!AK16*Assumptions!$D$13+'Sales Forecast'!AJ16*Assumptions!$E$13+'Sales Forecast'!AI16*Assumptions!$F$13+'Sales Forecast'!AH16*Assumptions!$G$13+'Sales Forecast'!AG16*Assumptions!$H$13+'Sales Forecast'!AF16*Assumptions!$I$13</f>
        <v/>
      </c>
      <c r="AM17" s="17">
        <f>'Sales Forecast'!AM16*Assumptions!$C$13+'Sales Forecast'!AL16*Assumptions!$D$13+'Sales Forecast'!AK16*Assumptions!$E$13+'Sales Forecast'!AJ16*Assumptions!$F$13+'Sales Forecast'!AI16*Assumptions!$G$13+'Sales Forecast'!AH16*Assumptions!$H$13+'Sales Forecast'!AG16*Assumptions!$I$13</f>
        <v/>
      </c>
      <c r="AN17" s="17">
        <f>'Sales Forecast'!AN16*Assumptions!$C$13+'Sales Forecast'!AM16*Assumptions!$D$13+'Sales Forecast'!AL16*Assumptions!$E$13+'Sales Forecast'!AK16*Assumptions!$F$13+'Sales Forecast'!AJ16*Assumptions!$G$13+'Sales Forecast'!AI16*Assumptions!$H$13+'Sales Forecast'!AH16*Assumptions!$I$13</f>
        <v/>
      </c>
      <c r="AO17" s="17">
        <f>'Sales Forecast'!AO16*Assumptions!$C$13+'Sales Forecast'!AN16*Assumptions!$D$13+'Sales Forecast'!AM16*Assumptions!$E$13+'Sales Forecast'!AL16*Assumptions!$F$13+'Sales Forecast'!AK16*Assumptions!$G$13+'Sales Forecast'!AJ16*Assumptions!$H$13+'Sales Forecast'!AI16*Assumptions!$I$13</f>
        <v/>
      </c>
      <c r="AP17" s="17">
        <f>'Sales Forecast'!AP16*Assumptions!$C$13+'Sales Forecast'!AO16*Assumptions!$D$13+'Sales Forecast'!AN16*Assumptions!$E$13+'Sales Forecast'!AM16*Assumptions!$F$13+'Sales Forecast'!AL16*Assumptions!$G$13+'Sales Forecast'!AK16*Assumptions!$H$13+'Sales Forecast'!AJ16*Assumptions!$I$13</f>
        <v/>
      </c>
      <c r="AQ17" s="17">
        <f>'Sales Forecast'!AQ16*Assumptions!$C$13+'Sales Forecast'!AP16*Assumptions!$D$13+'Sales Forecast'!AO16*Assumptions!$E$13+'Sales Forecast'!AN16*Assumptions!$F$13+'Sales Forecast'!AM16*Assumptions!$G$13+'Sales Forecast'!AL16*Assumptions!$H$13+'Sales Forecast'!AK16*Assumptions!$I$13</f>
        <v/>
      </c>
      <c r="AR17" s="17">
        <f>'Sales Forecast'!AR16*Assumptions!$C$13+'Sales Forecast'!AQ16*Assumptions!$D$13+'Sales Forecast'!AP16*Assumptions!$E$13+'Sales Forecast'!AO16*Assumptions!$F$13+'Sales Forecast'!AN16*Assumptions!$G$13+'Sales Forecast'!AM16*Assumptions!$H$13+'Sales Forecast'!AL16*Assumptions!$I$13</f>
        <v/>
      </c>
      <c r="AS17" s="17">
        <f>'Sales Forecast'!AS16*Assumptions!$C$13+'Sales Forecast'!AR16*Assumptions!$D$13+'Sales Forecast'!AQ16*Assumptions!$E$13+'Sales Forecast'!AP16*Assumptions!$F$13+'Sales Forecast'!AO16*Assumptions!$G$13+'Sales Forecast'!AN16*Assumptions!$H$13+'Sales Forecast'!AM16*Assumptions!$I$13</f>
        <v/>
      </c>
      <c r="AT17" s="17">
        <f>'Sales Forecast'!AT16*Assumptions!$C$13+'Sales Forecast'!AS16*Assumptions!$D$13+'Sales Forecast'!AR16*Assumptions!$E$13+'Sales Forecast'!AQ16*Assumptions!$F$13+'Sales Forecast'!AP16*Assumptions!$G$13+'Sales Forecast'!AO16*Assumptions!$H$13+'Sales Forecast'!AN16*Assumptions!$I$13</f>
        <v/>
      </c>
      <c r="AU17" s="17">
        <f>'Sales Forecast'!AU16*Assumptions!$C$13+'Sales Forecast'!AT16*Assumptions!$D$13+'Sales Forecast'!AS16*Assumptions!$E$13+'Sales Forecast'!AR16*Assumptions!$F$13+'Sales Forecast'!AQ16*Assumptions!$G$13+'Sales Forecast'!AP16*Assumptions!$H$13+'Sales Forecast'!AO16*Assumptions!$I$13</f>
        <v/>
      </c>
      <c r="AV17" s="17">
        <f>'Sales Forecast'!AV16*Assumptions!$C$13+'Sales Forecast'!AU16*Assumptions!$D$13+'Sales Forecast'!AT16*Assumptions!$E$13+'Sales Forecast'!AS16*Assumptions!$F$13+'Sales Forecast'!AR16*Assumptions!$G$13+'Sales Forecast'!AQ16*Assumptions!$H$13+'Sales Forecast'!AP16*Assumptions!$I$13</f>
        <v/>
      </c>
      <c r="AW17" s="17">
        <f>'Sales Forecast'!AW16*Assumptions!$C$13+'Sales Forecast'!AV16*Assumptions!$D$13+'Sales Forecast'!AU16*Assumptions!$E$13+'Sales Forecast'!AT16*Assumptions!$F$13+'Sales Forecast'!AS16*Assumptions!$G$13+'Sales Forecast'!AR16*Assumptions!$H$13+'Sales Forecast'!AQ16*Assumptions!$I$13</f>
        <v/>
      </c>
      <c r="AX17" s="17">
        <f>'Sales Forecast'!AX16*Assumptions!$C$13+'Sales Forecast'!AW16*Assumptions!$D$13+'Sales Forecast'!AV16*Assumptions!$E$13+'Sales Forecast'!AU16*Assumptions!$F$13+'Sales Forecast'!AT16*Assumptions!$G$13+'Sales Forecast'!AS16*Assumptions!$H$13+'Sales Forecast'!AR16*Assumptions!$I$13</f>
        <v/>
      </c>
      <c r="AY17" s="17">
        <f>'Sales Forecast'!AY16*Assumptions!$C$13+'Sales Forecast'!AX16*Assumptions!$D$13+'Sales Forecast'!AW16*Assumptions!$E$13+'Sales Forecast'!AV16*Assumptions!$F$13+'Sales Forecast'!AU16*Assumptions!$G$13+'Sales Forecast'!AT16*Assumptions!$H$13+'Sales Forecast'!AS16*Assumptions!$I$13</f>
        <v/>
      </c>
      <c r="BA17" s="288" t="n"/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  <c r="L18" s="19" t="n">
        <v>0</v>
      </c>
      <c r="M18" s="19" t="n">
        <v>0</v>
      </c>
      <c r="N18" s="19" t="n">
        <v>0</v>
      </c>
      <c r="O18" s="19" t="n">
        <v>0</v>
      </c>
      <c r="P18" s="19" t="n">
        <v>0</v>
      </c>
      <c r="Q18" s="19" t="n">
        <v>0</v>
      </c>
      <c r="R18" s="19" t="n">
        <v>0</v>
      </c>
      <c r="S18" s="19" t="n">
        <v>0</v>
      </c>
      <c r="T18" s="83" t="n">
        <v>0</v>
      </c>
      <c r="U18" s="83" t="n">
        <v>0</v>
      </c>
      <c r="V18" s="83" t="n">
        <v>0</v>
      </c>
      <c r="W18" s="20">
        <f>0</f>
        <v/>
      </c>
      <c r="X18" s="20">
        <f>0</f>
        <v/>
      </c>
      <c r="Y18" s="20">
        <f>0</f>
        <v/>
      </c>
      <c r="Z18" s="20">
        <f>0</f>
        <v/>
      </c>
      <c r="AA18" s="20">
        <f>0</f>
        <v/>
      </c>
      <c r="AB18" s="20">
        <f>0</f>
        <v/>
      </c>
      <c r="AC18" s="20">
        <f>0</f>
        <v/>
      </c>
      <c r="AD18" s="20">
        <f>0</f>
        <v/>
      </c>
      <c r="AE18" s="20">
        <f>0</f>
        <v/>
      </c>
      <c r="AF18" s="20">
        <f>0</f>
        <v/>
      </c>
      <c r="AG18" s="20">
        <f>0</f>
        <v/>
      </c>
      <c r="AH18" s="20">
        <f>0</f>
        <v/>
      </c>
      <c r="AI18" s="20">
        <f>0</f>
        <v/>
      </c>
      <c r="AJ18" s="20">
        <f>0</f>
        <v/>
      </c>
      <c r="AK18" s="20">
        <f>0</f>
        <v/>
      </c>
      <c r="AL18" s="20">
        <f>0</f>
        <v/>
      </c>
      <c r="AM18" s="20">
        <f>0</f>
        <v/>
      </c>
      <c r="AN18" s="20">
        <f>0</f>
        <v/>
      </c>
      <c r="AO18" s="20">
        <f>0</f>
        <v/>
      </c>
      <c r="AP18" s="20">
        <f>0</f>
        <v/>
      </c>
      <c r="AQ18" s="20">
        <f>0</f>
        <v/>
      </c>
      <c r="AR18" s="20">
        <f>0</f>
        <v/>
      </c>
      <c r="AS18" s="20">
        <f>0</f>
        <v/>
      </c>
      <c r="AT18" s="20">
        <f>0</f>
        <v/>
      </c>
      <c r="AU18" s="20">
        <f>0</f>
        <v/>
      </c>
      <c r="AV18" s="20">
        <f>0</f>
        <v/>
      </c>
      <c r="AW18" s="20">
        <f>0</f>
        <v/>
      </c>
      <c r="AX18" s="20">
        <f>0</f>
        <v/>
      </c>
      <c r="AY18" s="20">
        <f>0</f>
        <v/>
      </c>
      <c r="BA18" s="288">
        <f>SUM(I18:T18)</f>
        <v/>
      </c>
      <c r="BB18" s="274">
        <f>BA18/$BA$21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  <c r="Q19" s="19" t="n">
        <v>0</v>
      </c>
      <c r="R19" s="19" t="n">
        <v>0</v>
      </c>
      <c r="S19" s="19" t="n">
        <v>0</v>
      </c>
      <c r="T19" s="83" t="n">
        <v>0</v>
      </c>
      <c r="U19" s="83" t="n">
        <v>-225</v>
      </c>
      <c r="V19" s="83" t="n">
        <v>-99</v>
      </c>
      <c r="W19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Forecast'!Q16*Assumptions!$I$13+0)*Assumptions!$C$17</f>
        <v/>
      </c>
      <c r="X19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Forecast'!R16*Assumptions!$I$13+0)*Assumptions!$C$17</f>
        <v/>
      </c>
      <c r="Y19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Forecast'!S16*Assumptions!$I$13+0)*Assumptions!$C$17</f>
        <v/>
      </c>
      <c r="Z19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Forecast'!T16*Assumptions!$I$13+0)*Assumptions!$C$17</f>
        <v/>
      </c>
      <c r="AA19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Forecast'!U16*Assumptions!$I$13+0)*Assumptions!$C$17</f>
        <v/>
      </c>
      <c r="AB19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Forecast'!V16*Assumptions!$I$13+0)*Assumptions!$C$17</f>
        <v/>
      </c>
      <c r="AC19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Forecast'!W16*Assumptions!$I$13+0)*Assumptions!$C$17</f>
        <v/>
      </c>
      <c r="AD19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Forecast'!X16*Assumptions!$I$13+0)*Assumptions!$C$17</f>
        <v/>
      </c>
      <c r="AE19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Forecast'!Y16*Assumptions!$I$13+0)*Assumptions!$C$17</f>
        <v/>
      </c>
      <c r="AF19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Forecast'!Z16*Assumptions!$I$13+0)*Assumptions!$C$17</f>
        <v/>
      </c>
      <c r="AG19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Forecast'!AA16*Assumptions!$I$13+0)*Assumptions!$C$17</f>
        <v/>
      </c>
      <c r="AH19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Forecast'!AB16*Assumptions!$I$13+0)*Assumptions!$C$17</f>
        <v/>
      </c>
      <c r="AI19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Forecast'!AC16*Assumptions!$I$13+0)*Assumptions!$C$17</f>
        <v/>
      </c>
      <c r="AJ19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Forecast'!AD16*Assumptions!$I$13+0)*Assumptions!$C$17</f>
        <v/>
      </c>
      <c r="AK19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Forecast'!AE16*Assumptions!$I$13+0)*Assumptions!$C$17</f>
        <v/>
      </c>
      <c r="AL19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Forecast'!AF16*Assumptions!$I$13+0)*Assumptions!$C$17</f>
        <v/>
      </c>
      <c r="AM19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Forecast'!AG16*Assumptions!$I$13+0)*Assumptions!$C$17</f>
        <v/>
      </c>
      <c r="AN19" s="20">
        <f>('Sales Forecast'!AN16*Assumptions!$C$12+'Sales Forecast'!AM16*Assumptions!$D$12+'Sales Forecast'!AL16*Assumptions!$E$12+'Sales Forecast'!AK16*Assumptions!$F$12+'Sales Forecast'!AJ16*Assumptions!$G$12+'Sales Forecast'!AI16*Assumptions!$H$12+'Sales Forecast'!AH16*Assumptions!$I$12+'Sales Forecast'!AN16*Assumptions!$C$13+'Sales Forecast'!AM16*Assumptions!$D$13+'Sales Forecast'!AL16*Assumptions!$E$13+'Sales Forecast'!AK16*Assumptions!$F$13+'Sales Forecast'!AJ16*Assumptions!$G$13+'Sales Forecast'!AI16*Assumptions!$H$13+'Sales Forecast'!AH16*Assumptions!$I$13+0)*Assumptions!$C$17</f>
        <v/>
      </c>
      <c r="AO19" s="20">
        <f>('Sales Forecast'!AO16*Assumptions!$C$12+'Sales Forecast'!AN16*Assumptions!$D$12+'Sales Forecast'!AM16*Assumptions!$E$12+'Sales Forecast'!AL16*Assumptions!$F$12+'Sales Forecast'!AK16*Assumptions!$G$12+'Sales Forecast'!AJ16*Assumptions!$H$12+'Sales Forecast'!AI16*Assumptions!$I$12+'Sales Forecast'!AO16*Assumptions!$C$13+'Sales Forecast'!AN16*Assumptions!$D$13+'Sales Forecast'!AM16*Assumptions!$E$13+'Sales Forecast'!AL16*Assumptions!$F$13+'Sales Forecast'!AK16*Assumptions!$G$13+'Sales Forecast'!AJ16*Assumptions!$H$13+'Sales Forecast'!AI16*Assumptions!$I$13+0)*Assumptions!$C$17</f>
        <v/>
      </c>
      <c r="AP19" s="20">
        <f>('Sales Forecast'!AP16*Assumptions!$C$12+'Sales Forecast'!AO16*Assumptions!$D$12+'Sales Forecast'!AN16*Assumptions!$E$12+'Sales Forecast'!AM16*Assumptions!$F$12+'Sales Forecast'!AL16*Assumptions!$G$12+'Sales Forecast'!AK16*Assumptions!$H$12+'Sales Forecast'!AJ16*Assumptions!$I$12+'Sales Forecast'!AP16*Assumptions!$C$13+'Sales Forecast'!AO16*Assumptions!$D$13+'Sales Forecast'!AN16*Assumptions!$E$13+'Sales Forecast'!AM16*Assumptions!$F$13+'Sales Forecast'!AL16*Assumptions!$G$13+'Sales Forecast'!AK16*Assumptions!$H$13+'Sales Forecast'!AJ16*Assumptions!$I$13+0)*Assumptions!$C$17</f>
        <v/>
      </c>
      <c r="AQ19" s="20">
        <f>('Sales Forecast'!AQ16*Assumptions!$C$12+'Sales Forecast'!AP16*Assumptions!$D$12+'Sales Forecast'!AO16*Assumptions!$E$12+'Sales Forecast'!AN16*Assumptions!$F$12+'Sales Forecast'!AM16*Assumptions!$G$12+'Sales Forecast'!AL16*Assumptions!$H$12+'Sales Forecast'!AK16*Assumptions!$I$12+'Sales Forecast'!AQ16*Assumptions!$C$13+'Sales Forecast'!AP16*Assumptions!$D$13+'Sales Forecast'!AO16*Assumptions!$E$13+'Sales Forecast'!AN16*Assumptions!$F$13+'Sales Forecast'!AM16*Assumptions!$G$13+'Sales Forecast'!AL16*Assumptions!$H$13+'Sales Forecast'!AK16*Assumptions!$I$13+0)*Assumptions!$C$17</f>
        <v/>
      </c>
      <c r="AR19" s="20">
        <f>('Sales Forecast'!AR16*Assumptions!$C$12+'Sales Forecast'!AQ16*Assumptions!$D$12+'Sales Forecast'!AP16*Assumptions!$E$12+'Sales Forecast'!AO16*Assumptions!$F$12+'Sales Forecast'!AN16*Assumptions!$G$12+'Sales Forecast'!AM16*Assumptions!$H$12+'Sales Forecast'!AL16*Assumptions!$I$12+'Sales Forecast'!AR16*Assumptions!$C$13+'Sales Forecast'!AQ16*Assumptions!$D$13+'Sales Forecast'!AP16*Assumptions!$E$13+'Sales Forecast'!AO16*Assumptions!$F$13+'Sales Forecast'!AN16*Assumptions!$G$13+'Sales Forecast'!AM16*Assumptions!$H$13+'Sales Forecast'!AL16*Assumptions!$I$13+0)*Assumptions!$C$17</f>
        <v/>
      </c>
      <c r="AS19" s="20">
        <f>('Sales Forecast'!AS16*Assumptions!$C$12+'Sales Forecast'!AR16*Assumptions!$D$12+'Sales Forecast'!AQ16*Assumptions!$E$12+'Sales Forecast'!AP16*Assumptions!$F$12+'Sales Forecast'!AO16*Assumptions!$G$12+'Sales Forecast'!AN16*Assumptions!$H$12+'Sales Forecast'!AM16*Assumptions!$I$12+'Sales Forecast'!AS16*Assumptions!$C$13+'Sales Forecast'!AR16*Assumptions!$D$13+'Sales Forecast'!AQ16*Assumptions!$E$13+'Sales Forecast'!AP16*Assumptions!$F$13+'Sales Forecast'!AO16*Assumptions!$G$13+'Sales Forecast'!AN16*Assumptions!$H$13+'Sales Forecast'!AM16*Assumptions!$I$13+0)*Assumptions!$C$17</f>
        <v/>
      </c>
      <c r="AT19" s="20">
        <f>('Sales Forecast'!AT16*Assumptions!$C$12+'Sales Forecast'!AS16*Assumptions!$D$12+'Sales Forecast'!AR16*Assumptions!$E$12+'Sales Forecast'!AQ16*Assumptions!$F$12+'Sales Forecast'!AP16*Assumptions!$G$12+'Sales Forecast'!AO16*Assumptions!$H$12+'Sales Forecast'!AN16*Assumptions!$I$12+'Sales Forecast'!AT16*Assumptions!$C$13+'Sales Forecast'!AS16*Assumptions!$D$13+'Sales Forecast'!AR16*Assumptions!$E$13+'Sales Forecast'!AQ16*Assumptions!$F$13+'Sales Forecast'!AP16*Assumptions!$G$13+'Sales Forecast'!AO16*Assumptions!$H$13+'Sales Forecast'!AN16*Assumptions!$I$13+0)*Assumptions!$C$17</f>
        <v/>
      </c>
      <c r="AU19" s="20">
        <f>('Sales Forecast'!AU16*Assumptions!$C$12+'Sales Forecast'!AT16*Assumptions!$D$12+'Sales Forecast'!AS16*Assumptions!$E$12+'Sales Forecast'!AR16*Assumptions!$F$12+'Sales Forecast'!AQ16*Assumptions!$G$12+'Sales Forecast'!AP16*Assumptions!$H$12+'Sales Forecast'!AO16*Assumptions!$I$12+'Sales Forecast'!AU16*Assumptions!$C$13+'Sales Forecast'!AT16*Assumptions!$D$13+'Sales Forecast'!AS16*Assumptions!$E$13+'Sales Forecast'!AR16*Assumptions!$F$13+'Sales Forecast'!AQ16*Assumptions!$G$13+'Sales Forecast'!AP16*Assumptions!$H$13+'Sales Forecast'!AO16*Assumptions!$I$13+0)*Assumptions!$C$17</f>
        <v/>
      </c>
      <c r="AV19" s="20">
        <f>('Sales Forecast'!AV16*Assumptions!$C$12+'Sales Forecast'!AU16*Assumptions!$D$12+'Sales Forecast'!AT16*Assumptions!$E$12+'Sales Forecast'!AS16*Assumptions!$F$12+'Sales Forecast'!AR16*Assumptions!$G$12+'Sales Forecast'!AQ16*Assumptions!$H$12+'Sales Forecast'!AP16*Assumptions!$I$12+'Sales Forecast'!AV16*Assumptions!$C$13+'Sales Forecast'!AU16*Assumptions!$D$13+'Sales Forecast'!AT16*Assumptions!$E$13+'Sales Forecast'!AS16*Assumptions!$F$13+'Sales Forecast'!AR16*Assumptions!$G$13+'Sales Forecast'!AQ16*Assumptions!$H$13+'Sales Forecast'!AP16*Assumptions!$I$13+0)*Assumptions!$C$17</f>
        <v/>
      </c>
      <c r="AW19" s="20">
        <f>('Sales Forecast'!AW16*Assumptions!$C$12+'Sales Forecast'!AV16*Assumptions!$D$12+'Sales Forecast'!AU16*Assumptions!$E$12+'Sales Forecast'!AT16*Assumptions!$F$12+'Sales Forecast'!AS16*Assumptions!$G$12+'Sales Forecast'!AR16*Assumptions!$H$12+'Sales Forecast'!AQ16*Assumptions!$I$12+'Sales Forecast'!AW16*Assumptions!$C$13+'Sales Forecast'!AV16*Assumptions!$D$13+'Sales Forecast'!AU16*Assumptions!$E$13+'Sales Forecast'!AT16*Assumptions!$F$13+'Sales Forecast'!AS16*Assumptions!$G$13+'Sales Forecast'!AR16*Assumptions!$H$13+'Sales Forecast'!AQ16*Assumptions!$I$13+0)*Assumptions!$C$17</f>
        <v/>
      </c>
      <c r="AX19" s="20">
        <f>('Sales Forecast'!AX16*Assumptions!$C$12+'Sales Forecast'!AW16*Assumptions!$D$12+'Sales Forecast'!AV16*Assumptions!$E$12+'Sales Forecast'!AU16*Assumptions!$F$12+'Sales Forecast'!AT16*Assumptions!$G$12+'Sales Forecast'!AS16*Assumptions!$H$12+'Sales Forecast'!AR16*Assumptions!$I$12+'Sales Forecast'!AX16*Assumptions!$C$13+'Sales Forecast'!AW16*Assumptions!$D$13+'Sales Forecast'!AV16*Assumptions!$E$13+'Sales Forecast'!AU16*Assumptions!$F$13+'Sales Forecast'!AT16*Assumptions!$G$13+'Sales Forecast'!AS16*Assumptions!$H$13+'Sales Forecast'!AR16*Assumptions!$I$13+0)*Assumptions!$C$17</f>
        <v/>
      </c>
      <c r="AY19" s="20">
        <f>('Sales Forecast'!AY16*Assumptions!$C$12+'Sales Forecast'!AX16*Assumptions!$D$12+'Sales Forecast'!AW16*Assumptions!$E$12+'Sales Forecast'!AV16*Assumptions!$F$12+'Sales Forecast'!AU16*Assumptions!$G$12+'Sales Forecast'!AT16*Assumptions!$H$12+'Sales Forecast'!AS16*Assumptions!$I$12+'Sales Forecast'!AY16*Assumptions!$C$13+'Sales Forecast'!AX16*Assumptions!$D$13+'Sales Forecast'!AW16*Assumptions!$E$13+'Sales Forecast'!AV16*Assumptions!$F$13+'Sales Forecast'!AU16*Assumptions!$G$13+'Sales Forecast'!AT16*Assumptions!$H$13+'Sales Forecast'!AS16*Assumptions!$I$13+0)*Assumptions!$C$17</f>
        <v/>
      </c>
      <c r="BA19" s="288">
        <f>SUM(I19:T19)</f>
        <v/>
      </c>
      <c r="BB19" s="274">
        <f>BA19/$BA$21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0</v>
      </c>
      <c r="O20" s="19" t="n">
        <v>0</v>
      </c>
      <c r="P20" s="19" t="n">
        <v>0</v>
      </c>
      <c r="Q20" s="19" t="n">
        <v>0</v>
      </c>
      <c r="R20" s="19" t="n">
        <v>0</v>
      </c>
      <c r="S20" s="19" t="n">
        <v>0</v>
      </c>
      <c r="T20" s="83" t="n">
        <v>0</v>
      </c>
      <c r="U20" s="83" t="n">
        <v>0</v>
      </c>
      <c r="V20" s="83" t="n">
        <v>0</v>
      </c>
      <c r="W20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Forecast'!Q16*Assumptions!$I$13+0)*Assumptions!$C$18</f>
        <v/>
      </c>
      <c r="X20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Forecast'!R16*Assumptions!$I$13+0)*Assumptions!$C$18</f>
        <v/>
      </c>
      <c r="Y20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Forecast'!S16*Assumptions!$I$13+0)*Assumptions!$C$18</f>
        <v/>
      </c>
      <c r="Z20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Forecast'!T16*Assumptions!$I$13+0)*Assumptions!$C$18</f>
        <v/>
      </c>
      <c r="AA20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Forecast'!U16*Assumptions!$I$13+0)*Assumptions!$C$18</f>
        <v/>
      </c>
      <c r="AB20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Forecast'!V16*Assumptions!$I$13+0)*Assumptions!$C$18</f>
        <v/>
      </c>
      <c r="AC20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Forecast'!W16*Assumptions!$I$13+0)*Assumptions!$C$18</f>
        <v/>
      </c>
      <c r="AD20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Forecast'!X16*Assumptions!$I$13+0)*Assumptions!$C$18</f>
        <v/>
      </c>
      <c r="AE20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Forecast'!Y16*Assumptions!$I$13+0)*Assumptions!$C$18</f>
        <v/>
      </c>
      <c r="AF20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Forecast'!Z16*Assumptions!$I$13+0)*Assumptions!$C$18</f>
        <v/>
      </c>
      <c r="AG20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Forecast'!AA16*Assumptions!$I$13+0)*Assumptions!$C$18</f>
        <v/>
      </c>
      <c r="AH20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Forecast'!AB16*Assumptions!$I$13+0)*Assumptions!$C$18</f>
        <v/>
      </c>
      <c r="AI20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Forecast'!AC16*Assumptions!$I$13+0)*Assumptions!$C$18</f>
        <v/>
      </c>
      <c r="AJ20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Forecast'!AD16*Assumptions!$I$13+0)*Assumptions!$C$18</f>
        <v/>
      </c>
      <c r="AK20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Forecast'!AE16*Assumptions!$I$13+0)*Assumptions!$C$18</f>
        <v/>
      </c>
      <c r="AL20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Forecast'!AF16*Assumptions!$I$13+0)*Assumptions!$C$18</f>
        <v/>
      </c>
      <c r="AM20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Forecast'!AG16*Assumptions!$I$13+0)*Assumptions!$C$18</f>
        <v/>
      </c>
      <c r="AN20" s="20">
        <f>('Sales Forecast'!AN16*Assumptions!$C$12+'Sales Forecast'!AM16*Assumptions!$D$12+'Sales Forecast'!AL16*Assumptions!$E$12+'Sales Forecast'!AK16*Assumptions!$F$12+'Sales Forecast'!AJ16*Assumptions!$G$12+'Sales Forecast'!AI16*Assumptions!$H$12+'Sales Forecast'!AH16*Assumptions!$I$12+'Sales Forecast'!AN16*Assumptions!$C$13+'Sales Forecast'!AM16*Assumptions!$D$13+'Sales Forecast'!AL16*Assumptions!$E$13+'Sales Forecast'!AK16*Assumptions!$F$13+'Sales Forecast'!AJ16*Assumptions!$G$13+'Sales Forecast'!AI16*Assumptions!$H$13+'Sales Forecast'!AH16*Assumptions!$I$13+0)*Assumptions!$C$18</f>
        <v/>
      </c>
      <c r="AO20" s="20">
        <f>('Sales Forecast'!AO16*Assumptions!$C$12+'Sales Forecast'!AN16*Assumptions!$D$12+'Sales Forecast'!AM16*Assumptions!$E$12+'Sales Forecast'!AL16*Assumptions!$F$12+'Sales Forecast'!AK16*Assumptions!$G$12+'Sales Forecast'!AJ16*Assumptions!$H$12+'Sales Forecast'!AI16*Assumptions!$I$12+'Sales Forecast'!AO16*Assumptions!$C$13+'Sales Forecast'!AN16*Assumptions!$D$13+'Sales Forecast'!AM16*Assumptions!$E$13+'Sales Forecast'!AL16*Assumptions!$F$13+'Sales Forecast'!AK16*Assumptions!$G$13+'Sales Forecast'!AJ16*Assumptions!$H$13+'Sales Forecast'!AI16*Assumptions!$I$13+0)*Assumptions!$C$18</f>
        <v/>
      </c>
      <c r="AP20" s="20">
        <f>('Sales Forecast'!AP16*Assumptions!$C$12+'Sales Forecast'!AO16*Assumptions!$D$12+'Sales Forecast'!AN16*Assumptions!$E$12+'Sales Forecast'!AM16*Assumptions!$F$12+'Sales Forecast'!AL16*Assumptions!$G$12+'Sales Forecast'!AK16*Assumptions!$H$12+'Sales Forecast'!AJ16*Assumptions!$I$12+'Sales Forecast'!AP16*Assumptions!$C$13+'Sales Forecast'!AO16*Assumptions!$D$13+'Sales Forecast'!AN16*Assumptions!$E$13+'Sales Forecast'!AM16*Assumptions!$F$13+'Sales Forecast'!AL16*Assumptions!$G$13+'Sales Forecast'!AK16*Assumptions!$H$13+'Sales Forecast'!AJ16*Assumptions!$I$13+0)*Assumptions!$C$18</f>
        <v/>
      </c>
      <c r="AQ20" s="20">
        <f>('Sales Forecast'!AQ16*Assumptions!$C$12+'Sales Forecast'!AP16*Assumptions!$D$12+'Sales Forecast'!AO16*Assumptions!$E$12+'Sales Forecast'!AN16*Assumptions!$F$12+'Sales Forecast'!AM16*Assumptions!$G$12+'Sales Forecast'!AL16*Assumptions!$H$12+'Sales Forecast'!AK16*Assumptions!$I$12+'Sales Forecast'!AQ16*Assumptions!$C$13+'Sales Forecast'!AP16*Assumptions!$D$13+'Sales Forecast'!AO16*Assumptions!$E$13+'Sales Forecast'!AN16*Assumptions!$F$13+'Sales Forecast'!AM16*Assumptions!$G$13+'Sales Forecast'!AL16*Assumptions!$H$13+'Sales Forecast'!AK16*Assumptions!$I$13+0)*Assumptions!$C$18</f>
        <v/>
      </c>
      <c r="AR20" s="20">
        <f>('Sales Forecast'!AR16*Assumptions!$C$12+'Sales Forecast'!AQ16*Assumptions!$D$12+'Sales Forecast'!AP16*Assumptions!$E$12+'Sales Forecast'!AO16*Assumptions!$F$12+'Sales Forecast'!AN16*Assumptions!$G$12+'Sales Forecast'!AM16*Assumptions!$H$12+'Sales Forecast'!AL16*Assumptions!$I$12+'Sales Forecast'!AR16*Assumptions!$C$13+'Sales Forecast'!AQ16*Assumptions!$D$13+'Sales Forecast'!AP16*Assumptions!$E$13+'Sales Forecast'!AO16*Assumptions!$F$13+'Sales Forecast'!AN16*Assumptions!$G$13+'Sales Forecast'!AM16*Assumptions!$H$13+'Sales Forecast'!AL16*Assumptions!$I$13+0)*Assumptions!$C$18</f>
        <v/>
      </c>
      <c r="AS20" s="20">
        <f>('Sales Forecast'!AS16*Assumptions!$C$12+'Sales Forecast'!AR16*Assumptions!$D$12+'Sales Forecast'!AQ16*Assumptions!$E$12+'Sales Forecast'!AP16*Assumptions!$F$12+'Sales Forecast'!AO16*Assumptions!$G$12+'Sales Forecast'!AN16*Assumptions!$H$12+'Sales Forecast'!AM16*Assumptions!$I$12+'Sales Forecast'!AS16*Assumptions!$C$13+'Sales Forecast'!AR16*Assumptions!$D$13+'Sales Forecast'!AQ16*Assumptions!$E$13+'Sales Forecast'!AP16*Assumptions!$F$13+'Sales Forecast'!AO16*Assumptions!$G$13+'Sales Forecast'!AN16*Assumptions!$H$13+'Sales Forecast'!AM16*Assumptions!$I$13+0)*Assumptions!$C$18</f>
        <v/>
      </c>
      <c r="AT20" s="20">
        <f>('Sales Forecast'!AT16*Assumptions!$C$12+'Sales Forecast'!AS16*Assumptions!$D$12+'Sales Forecast'!AR16*Assumptions!$E$12+'Sales Forecast'!AQ16*Assumptions!$F$12+'Sales Forecast'!AP16*Assumptions!$G$12+'Sales Forecast'!AO16*Assumptions!$H$12+'Sales Forecast'!AN16*Assumptions!$I$12+'Sales Forecast'!AT16*Assumptions!$C$13+'Sales Forecast'!AS16*Assumptions!$D$13+'Sales Forecast'!AR16*Assumptions!$E$13+'Sales Forecast'!AQ16*Assumptions!$F$13+'Sales Forecast'!AP16*Assumptions!$G$13+'Sales Forecast'!AO16*Assumptions!$H$13+'Sales Forecast'!AN16*Assumptions!$I$13+0)*Assumptions!$C$18</f>
        <v/>
      </c>
      <c r="AU20" s="20">
        <f>('Sales Forecast'!AU16*Assumptions!$C$12+'Sales Forecast'!AT16*Assumptions!$D$12+'Sales Forecast'!AS16*Assumptions!$E$12+'Sales Forecast'!AR16*Assumptions!$F$12+'Sales Forecast'!AQ16*Assumptions!$G$12+'Sales Forecast'!AP16*Assumptions!$H$12+'Sales Forecast'!AO16*Assumptions!$I$12+'Sales Forecast'!AU16*Assumptions!$C$13+'Sales Forecast'!AT16*Assumptions!$D$13+'Sales Forecast'!AS16*Assumptions!$E$13+'Sales Forecast'!AR16*Assumptions!$F$13+'Sales Forecast'!AQ16*Assumptions!$G$13+'Sales Forecast'!AP16*Assumptions!$H$13+'Sales Forecast'!AO16*Assumptions!$I$13+0)*Assumptions!$C$18</f>
        <v/>
      </c>
      <c r="AV20" s="20">
        <f>('Sales Forecast'!AV16*Assumptions!$C$12+'Sales Forecast'!AU16*Assumptions!$D$12+'Sales Forecast'!AT16*Assumptions!$E$12+'Sales Forecast'!AS16*Assumptions!$F$12+'Sales Forecast'!AR16*Assumptions!$G$12+'Sales Forecast'!AQ16*Assumptions!$H$12+'Sales Forecast'!AP16*Assumptions!$I$12+'Sales Forecast'!AV16*Assumptions!$C$13+'Sales Forecast'!AU16*Assumptions!$D$13+'Sales Forecast'!AT16*Assumptions!$E$13+'Sales Forecast'!AS16*Assumptions!$F$13+'Sales Forecast'!AR16*Assumptions!$G$13+'Sales Forecast'!AQ16*Assumptions!$H$13+'Sales Forecast'!AP16*Assumptions!$I$13+0)*Assumptions!$C$18</f>
        <v/>
      </c>
      <c r="AW20" s="20">
        <f>('Sales Forecast'!AW16*Assumptions!$C$12+'Sales Forecast'!AV16*Assumptions!$D$12+'Sales Forecast'!AU16*Assumptions!$E$12+'Sales Forecast'!AT16*Assumptions!$F$12+'Sales Forecast'!AS16*Assumptions!$G$12+'Sales Forecast'!AR16*Assumptions!$H$12+'Sales Forecast'!AQ16*Assumptions!$I$12+'Sales Forecast'!AW16*Assumptions!$C$13+'Sales Forecast'!AV16*Assumptions!$D$13+'Sales Forecast'!AU16*Assumptions!$E$13+'Sales Forecast'!AT16*Assumptions!$F$13+'Sales Forecast'!AS16*Assumptions!$G$13+'Sales Forecast'!AR16*Assumptions!$H$13+'Sales Forecast'!AQ16*Assumptions!$I$13+0)*Assumptions!$C$18</f>
        <v/>
      </c>
      <c r="AX20" s="20">
        <f>('Sales Forecast'!AX16*Assumptions!$C$12+'Sales Forecast'!AW16*Assumptions!$D$12+'Sales Forecast'!AV16*Assumptions!$E$12+'Sales Forecast'!AU16*Assumptions!$F$12+'Sales Forecast'!AT16*Assumptions!$G$12+'Sales Forecast'!AS16*Assumptions!$H$12+'Sales Forecast'!AR16*Assumptions!$I$12+'Sales Forecast'!AX16*Assumptions!$C$13+'Sales Forecast'!AW16*Assumptions!$D$13+'Sales Forecast'!AV16*Assumptions!$E$13+'Sales Forecast'!AU16*Assumptions!$F$13+'Sales Forecast'!AT16*Assumptions!$G$13+'Sales Forecast'!AS16*Assumptions!$H$13+'Sales Forecast'!AR16*Assumptions!$I$13+0)*Assumptions!$C$18</f>
        <v/>
      </c>
      <c r="AY20" s="20">
        <f>('Sales Forecast'!AY16*Assumptions!$C$12+'Sales Forecast'!AX16*Assumptions!$D$12+'Sales Forecast'!AW16*Assumptions!$E$12+'Sales Forecast'!AV16*Assumptions!$F$12+'Sales Forecast'!AU16*Assumptions!$G$12+'Sales Forecast'!AT16*Assumptions!$H$12+'Sales Forecast'!AS16*Assumptions!$I$12+'Sales Forecast'!AY16*Assumptions!$C$13+'Sales Forecast'!AX16*Assumptions!$D$13+'Sales Forecast'!AW16*Assumptions!$E$13+'Sales Forecast'!AV16*Assumptions!$F$13+'Sales Forecast'!AU16*Assumptions!$G$13+'Sales Forecast'!AT16*Assumptions!$H$13+'Sales Forecast'!AS16*Assumptions!$I$13+0)*Assumptions!$C$18</f>
        <v/>
      </c>
      <c r="BA20" s="288">
        <f>SUM(I20:T20)</f>
        <v/>
      </c>
      <c r="BB20" s="274">
        <f>BA20/$BA$21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0</v>
      </c>
      <c r="L21" s="35" t="n">
        <v>0</v>
      </c>
      <c r="M21" s="35" t="n">
        <v>0</v>
      </c>
      <c r="N21" s="35" t="n">
        <v>0</v>
      </c>
      <c r="O21" s="35" t="n">
        <v>0</v>
      </c>
      <c r="P21" s="35">
        <f>P13+P17+P18+P19+P20</f>
        <v/>
      </c>
      <c r="Q21" s="35">
        <f>Q13+Q17+Q18+Q19+Q20</f>
        <v/>
      </c>
      <c r="R21" s="35">
        <f>R13+R17+R18+R19+R20</f>
        <v/>
      </c>
      <c r="S21" s="35">
        <f>S13+S17+S18+S19+S20</f>
        <v/>
      </c>
      <c r="T21" s="84">
        <f>T13+T17+T18+T19+T20</f>
        <v/>
      </c>
      <c r="U21" s="84">
        <f>U13+U17+U18+U19+U20</f>
        <v/>
      </c>
      <c r="V21" s="84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  <c r="BA21" s="307">
        <f>SUM(I21:T21)</f>
        <v/>
      </c>
      <c r="BB21" s="276">
        <f>SUM(BB7:BB20)</f>
        <v/>
      </c>
    </row>
    <row r="22" ht="16" customHeight="1" s="28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>501000 Product Cost (incl Inventory Shrinkage)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0</v>
      </c>
      <c r="Q23" s="19" t="n">
        <v>0</v>
      </c>
      <c r="R23" s="19" t="n">
        <v>0</v>
      </c>
      <c r="S23" s="19" t="n">
        <v>0</v>
      </c>
      <c r="T23" s="83" t="n">
        <v>0</v>
      </c>
      <c r="U23" s="83" t="n">
        <v>0</v>
      </c>
      <c r="V23" s="83" t="n">
        <v>0</v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0</v>
      </c>
      <c r="M24" s="19" t="n">
        <v>0</v>
      </c>
      <c r="N24" s="19" t="n">
        <v>34.84</v>
      </c>
      <c r="O24" s="19" t="n">
        <v>120.72</v>
      </c>
      <c r="P24" s="19" t="n">
        <v>119.95</v>
      </c>
      <c r="Q24" s="19" t="n">
        <v>159.7</v>
      </c>
      <c r="R24" s="19" t="n">
        <v>49.02</v>
      </c>
      <c r="S24" s="19" t="n">
        <v>34.81</v>
      </c>
      <c r="T24" s="83" t="n">
        <v>3.12</v>
      </c>
      <c r="U24" s="83" t="n">
        <v>0</v>
      </c>
      <c r="V24" s="83" t="n">
        <v>0</v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>
        <f>SUM(D23:D24)</f>
        <v/>
      </c>
      <c r="E25" s="35">
        <f>SUM(E23:E24)</f>
        <v/>
      </c>
      <c r="F25" s="35">
        <f>SUM(F23:F24)</f>
        <v/>
      </c>
      <c r="G25" s="35">
        <f>SUM(G23:G24)</f>
        <v/>
      </c>
      <c r="H25" s="35">
        <f>SUM(H23:H24)</f>
        <v/>
      </c>
      <c r="I25" s="35">
        <f>SUM(I23:I24)</f>
        <v/>
      </c>
      <c r="J25" s="35">
        <f>SUM(J23:J24)</f>
        <v/>
      </c>
      <c r="K25" s="35">
        <f>SUM(K23:K24)</f>
        <v/>
      </c>
      <c r="L25" s="35">
        <f>SUM(L23:L24)</f>
        <v/>
      </c>
      <c r="M25" s="35">
        <f>SUM(M23:M24)</f>
        <v/>
      </c>
      <c r="N25" s="35">
        <f>SUM(N23:N24)</f>
        <v/>
      </c>
      <c r="O25" s="35">
        <f>SUM(O23:O24)</f>
        <v/>
      </c>
      <c r="P25" s="35">
        <f>P23+P24</f>
        <v/>
      </c>
      <c r="Q25" s="35">
        <f>Q23+Q24</f>
        <v/>
      </c>
      <c r="R25" s="35">
        <f>R23+R24</f>
        <v/>
      </c>
      <c r="S25" s="35">
        <f>S23+S24</f>
        <v/>
      </c>
      <c r="T25" s="84">
        <f>T23+T24</f>
        <v/>
      </c>
      <c r="U25" s="84">
        <f>U23+U24</f>
        <v/>
      </c>
      <c r="V25" s="84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>
        <f>D21-D25</f>
        <v/>
      </c>
      <c r="E26" s="35">
        <f>E21-E25</f>
        <v/>
      </c>
      <c r="F26" s="35">
        <f>F21-F25</f>
        <v/>
      </c>
      <c r="G26" s="35">
        <f>G21-G25</f>
        <v/>
      </c>
      <c r="H26" s="35">
        <f>H21-H25</f>
        <v/>
      </c>
      <c r="I26" s="35">
        <f>I21-I25</f>
        <v/>
      </c>
      <c r="J26" s="35">
        <f>J21-J25</f>
        <v/>
      </c>
      <c r="K26" s="35">
        <f>K21-K25</f>
        <v/>
      </c>
      <c r="L26" s="35">
        <f>L21-L25</f>
        <v/>
      </c>
      <c r="M26" s="35">
        <f>M21-M25</f>
        <v/>
      </c>
      <c r="N26" s="35">
        <f>N21-N25</f>
        <v/>
      </c>
      <c r="O26" s="35">
        <f>O21-O25</f>
        <v/>
      </c>
      <c r="P26" s="35">
        <f>P21-P25</f>
        <v/>
      </c>
      <c r="Q26" s="35">
        <f>Q21-Q25</f>
        <v/>
      </c>
      <c r="R26" s="35">
        <f>R21-R25</f>
        <v/>
      </c>
      <c r="S26" s="35">
        <f>S21-S25</f>
        <v/>
      </c>
      <c r="T26" s="84">
        <f>T21-T25</f>
        <v/>
      </c>
      <c r="U26" s="84">
        <f>U21-U25</f>
        <v/>
      </c>
      <c r="V26" s="84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" customHeight="1" s="28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2419.8</v>
      </c>
      <c r="O28" s="19" t="n">
        <v>1409.13</v>
      </c>
      <c r="P28" s="19" t="n">
        <v>1415.6</v>
      </c>
      <c r="Q28" s="19" t="n">
        <v>147.64</v>
      </c>
      <c r="R28" s="19" t="n">
        <v>0</v>
      </c>
      <c r="S28" s="19" t="n">
        <v>0</v>
      </c>
      <c r="T28" s="83" t="n">
        <v>0</v>
      </c>
      <c r="U28" s="83" t="n">
        <v>0</v>
      </c>
      <c r="V28" s="83" t="n">
        <v>0</v>
      </c>
      <c r="W28" s="83" t="n">
        <v>2000</v>
      </c>
      <c r="X28" s="83" t="n">
        <v>2000</v>
      </c>
      <c r="Y28" s="20" t="n">
        <v>1415.6</v>
      </c>
      <c r="Z28" s="20" t="n">
        <v>1415.6</v>
      </c>
      <c r="AA28" s="20" t="n">
        <v>1415.6</v>
      </c>
      <c r="AB28" s="20" t="n">
        <v>1415.6</v>
      </c>
      <c r="AC28" s="20" t="n">
        <v>1415.6</v>
      </c>
      <c r="AD28" s="20" t="n">
        <v>1415.6</v>
      </c>
      <c r="AE28" s="20" t="n">
        <v>1415.6</v>
      </c>
      <c r="AF28" s="20" t="n">
        <v>1415.6</v>
      </c>
      <c r="AG28" s="20" t="n">
        <v>1415.6</v>
      </c>
      <c r="AH28" s="20" t="n">
        <v>1415.6</v>
      </c>
      <c r="AI28" s="20" t="n">
        <v>1415.6</v>
      </c>
      <c r="AJ28" s="20" t="n">
        <v>1415.6</v>
      </c>
      <c r="AK28" s="20" t="n">
        <v>1415.6</v>
      </c>
      <c r="AL28" s="20" t="n">
        <v>1415.6</v>
      </c>
      <c r="AM28" s="20" t="n">
        <v>1415.6</v>
      </c>
      <c r="AN28" s="20" t="n">
        <v>1415.6</v>
      </c>
      <c r="AO28" s="20" t="n">
        <v>1415.6</v>
      </c>
      <c r="AP28" s="20" t="n">
        <v>1415.6</v>
      </c>
      <c r="AQ28" s="20" t="n">
        <v>1415.6</v>
      </c>
      <c r="AR28" s="20" t="n">
        <v>1415.6</v>
      </c>
      <c r="AS28" s="20" t="n">
        <v>1415.6</v>
      </c>
      <c r="AT28" s="20" t="n">
        <v>1415.6</v>
      </c>
      <c r="AU28" s="20" t="n">
        <v>1415.6</v>
      </c>
      <c r="AV28" s="20" t="n">
        <v>1415.6</v>
      </c>
      <c r="AW28" s="20" t="n">
        <v>1415.6</v>
      </c>
      <c r="AX28" s="20" t="n">
        <v>1415.6</v>
      </c>
      <c r="AY28" s="20" t="n">
        <v>1415.6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0</v>
      </c>
      <c r="O29" s="19" t="n">
        <v>0</v>
      </c>
      <c r="P29" s="19" t="n">
        <v>0</v>
      </c>
      <c r="Q29" s="19" t="n">
        <v>0</v>
      </c>
      <c r="R29" s="19" t="n">
        <v>0</v>
      </c>
      <c r="S29" s="19" t="n">
        <v>0</v>
      </c>
      <c r="T29" s="83" t="n">
        <v>0</v>
      </c>
      <c r="U29" s="83" t="n">
        <v>0</v>
      </c>
      <c r="V29" s="83" t="n">
        <v>0</v>
      </c>
      <c r="W29" s="83" t="n">
        <v>0</v>
      </c>
      <c r="X29" s="83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>601006 General Marketing (incl Affiliate, PR, Trade Shows)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0</v>
      </c>
      <c r="P30" s="19" t="n">
        <v>0</v>
      </c>
      <c r="Q30" s="19" t="n">
        <v>0</v>
      </c>
      <c r="R30" s="19" t="n">
        <v>0</v>
      </c>
      <c r="S30" s="19" t="n">
        <v>0</v>
      </c>
      <c r="T30" s="83" t="n">
        <v>0</v>
      </c>
      <c r="U30" s="83" t="n">
        <v>0</v>
      </c>
      <c r="V30" s="83" t="n">
        <v>0</v>
      </c>
      <c r="W30" s="83" t="n">
        <v>0</v>
      </c>
      <c r="X30" s="83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  <c r="Q31" s="19" t="n">
        <v>0</v>
      </c>
      <c r="R31" s="19" t="n">
        <v>0</v>
      </c>
      <c r="S31" s="19" t="n">
        <v>0</v>
      </c>
      <c r="T31" s="83" t="n">
        <v>0</v>
      </c>
      <c r="U31" s="83" t="n">
        <v>0</v>
      </c>
      <c r="V31" s="83" t="n">
        <v>0</v>
      </c>
      <c r="W31" s="83" t="n">
        <v>0</v>
      </c>
      <c r="X31" s="83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83" t="n">
        <v>0</v>
      </c>
      <c r="U32" s="83" t="n">
        <v>0</v>
      </c>
      <c r="V32" s="83" t="n">
        <v>0</v>
      </c>
      <c r="W32" s="83" t="n">
        <v>0</v>
      </c>
      <c r="X32" s="83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>
        <f>SUM(D28:D32)</f>
        <v/>
      </c>
      <c r="E33" s="35">
        <f>SUM(E28:E32)</f>
        <v/>
      </c>
      <c r="F33" s="35">
        <f>SUM(F28:F32)</f>
        <v/>
      </c>
      <c r="G33" s="35">
        <f>SUM(G28:G32)</f>
        <v/>
      </c>
      <c r="H33" s="35">
        <f>SUM(H28:H32)</f>
        <v/>
      </c>
      <c r="I33" s="35">
        <f>SUM(I28:I32)</f>
        <v/>
      </c>
      <c r="J33" s="35">
        <f>SUM(J28:J32)</f>
        <v/>
      </c>
      <c r="K33" s="35">
        <f>SUM(K28:K32)</f>
        <v/>
      </c>
      <c r="L33" s="35">
        <f>SUM(L28:L32)</f>
        <v/>
      </c>
      <c r="M33" s="35">
        <f>SUM(M28:M32)</f>
        <v/>
      </c>
      <c r="N33" s="35">
        <f>SUM(N28:N32)</f>
        <v/>
      </c>
      <c r="O33" s="35">
        <f>SUM(O28:O32)</f>
        <v/>
      </c>
      <c r="P33" s="35">
        <f>P28+P29+P30+P31+P32</f>
        <v/>
      </c>
      <c r="Q33" s="35">
        <f>Q28+Q29+Q30+Q31+Q32</f>
        <v/>
      </c>
      <c r="R33" s="35">
        <f>R28+R29+R30+R31+R32</f>
        <v/>
      </c>
      <c r="S33" s="35">
        <f>S28+S29+S30+S31+S32</f>
        <v/>
      </c>
      <c r="T33" s="84">
        <f>T28+T29+T30+T31+T32</f>
        <v/>
      </c>
      <c r="U33" s="84">
        <f>U28+U29+U30+U31+U32</f>
        <v/>
      </c>
      <c r="V33" s="84">
        <f>V28+V29+V30+V31+V32</f>
        <v/>
      </c>
      <c r="W33" s="84" t="n">
        <v>0</v>
      </c>
      <c r="X33" s="84" t="n">
        <v>0</v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>602001 Wages (incl 1099 &amp; Bonus)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0</v>
      </c>
      <c r="O34" s="19" t="n">
        <v>0</v>
      </c>
      <c r="P34" s="19" t="n">
        <v>879.61</v>
      </c>
      <c r="Q34" s="19" t="n">
        <v>2038</v>
      </c>
      <c r="R34" s="19" t="n">
        <v>3170.79</v>
      </c>
      <c r="S34" s="19" t="n">
        <v>3766.64</v>
      </c>
      <c r="T34" s="83" t="n">
        <v>2400.84</v>
      </c>
      <c r="U34" s="83" t="n">
        <v>0</v>
      </c>
      <c r="V34" s="83" t="n">
        <v>0</v>
      </c>
      <c r="W34" s="83" t="n">
        <v>3065.74</v>
      </c>
      <c r="X34" s="83" t="n">
        <v>3065.74</v>
      </c>
      <c r="Y34" s="20" t="n">
        <v>26059.36</v>
      </c>
      <c r="Z34" s="20" t="n">
        <v>29600.47</v>
      </c>
      <c r="AA34" s="20" t="n">
        <v>30926.77</v>
      </c>
      <c r="AB34" s="20" t="n">
        <v>33737.28</v>
      </c>
      <c r="AC34" s="20" t="n">
        <v>33991.43</v>
      </c>
      <c r="AD34" s="20" t="n">
        <v>33569.65</v>
      </c>
      <c r="AE34" s="20" t="n">
        <v>43951.69</v>
      </c>
      <c r="AF34" s="20" t="n">
        <v>36280.88</v>
      </c>
      <c r="AG34" s="20" t="n">
        <v>31765.31</v>
      </c>
      <c r="AH34" s="20" t="n">
        <v>28685.94</v>
      </c>
      <c r="AI34" s="20" t="n">
        <v>35944.24</v>
      </c>
      <c r="AJ34" s="20" t="n">
        <v>30549.51</v>
      </c>
      <c r="AK34" s="20" t="n">
        <v>31671.95</v>
      </c>
      <c r="AL34" s="20" t="n">
        <v>31337.25</v>
      </c>
      <c r="AM34" s="20" t="n">
        <v>31337.86</v>
      </c>
      <c r="AN34" s="20" t="n">
        <v>33737.28</v>
      </c>
      <c r="AO34" s="20" t="n">
        <v>33991.43</v>
      </c>
      <c r="AP34" s="20" t="n">
        <v>33569.65</v>
      </c>
      <c r="AQ34" s="20" t="n">
        <v>43951.69</v>
      </c>
      <c r="AR34" s="20" t="n">
        <v>36280.88</v>
      </c>
      <c r="AS34" s="20" t="n">
        <v>31765.31</v>
      </c>
      <c r="AT34" s="20" t="n">
        <v>28685.94</v>
      </c>
      <c r="AU34" s="20" t="n">
        <v>35944.24</v>
      </c>
      <c r="AV34" s="20" t="n">
        <v>30549.51</v>
      </c>
      <c r="AW34" s="20" t="n">
        <v>31671.95</v>
      </c>
      <c r="AX34" s="20" t="n">
        <v>31337.25</v>
      </c>
      <c r="AY34" s="20" t="n">
        <v>31337.86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0</v>
      </c>
      <c r="N35" s="19" t="n">
        <v>0</v>
      </c>
      <c r="O35" s="19" t="n">
        <v>0</v>
      </c>
      <c r="P35" s="19" t="n">
        <v>113.91</v>
      </c>
      <c r="Q35" s="19" t="n">
        <v>263.93</v>
      </c>
      <c r="R35" s="19" t="n">
        <v>410.61</v>
      </c>
      <c r="S35" s="19" t="n">
        <v>487.76</v>
      </c>
      <c r="T35" s="83" t="n">
        <v>290.13</v>
      </c>
      <c r="U35" s="83" t="n">
        <v>0</v>
      </c>
      <c r="V35" s="83" t="n">
        <v>0</v>
      </c>
      <c r="W35" s="83" t="n">
        <v>346.29</v>
      </c>
      <c r="X35" s="83" t="n">
        <v>346.29</v>
      </c>
      <c r="Y35" s="20" t="n">
        <v>3374.64</v>
      </c>
      <c r="Z35" s="20" t="n">
        <v>3833.21</v>
      </c>
      <c r="AA35" s="20" t="n">
        <v>4004.96</v>
      </c>
      <c r="AB35" s="20" t="n">
        <v>4368.92</v>
      </c>
      <c r="AC35" s="20" t="n">
        <v>4401.83</v>
      </c>
      <c r="AD35" s="20" t="n">
        <v>4347.21</v>
      </c>
      <c r="AE35" s="20" t="n">
        <v>5691.67</v>
      </c>
      <c r="AF35" s="20" t="n">
        <v>4698.31</v>
      </c>
      <c r="AG35" s="20" t="n">
        <v>4113.55</v>
      </c>
      <c r="AH35" s="20" t="n">
        <v>3714.78</v>
      </c>
      <c r="AI35" s="20" t="n">
        <v>4654.71</v>
      </c>
      <c r="AJ35" s="20" t="n">
        <v>3956.11</v>
      </c>
      <c r="AK35" s="20" t="n">
        <v>4101.46</v>
      </c>
      <c r="AL35" s="20" t="n">
        <v>4058.12</v>
      </c>
      <c r="AM35" s="20" t="n">
        <v>4058.2</v>
      </c>
      <c r="AN35" s="20" t="n">
        <v>4368.92</v>
      </c>
      <c r="AO35" s="20" t="n">
        <v>4401.83</v>
      </c>
      <c r="AP35" s="20" t="n">
        <v>4347.21</v>
      </c>
      <c r="AQ35" s="20" t="n">
        <v>5691.67</v>
      </c>
      <c r="AR35" s="20" t="n">
        <v>4698.31</v>
      </c>
      <c r="AS35" s="20" t="n">
        <v>4113.55</v>
      </c>
      <c r="AT35" s="20" t="n">
        <v>3714.78</v>
      </c>
      <c r="AU35" s="20" t="n">
        <v>4654.71</v>
      </c>
      <c r="AV35" s="20" t="n">
        <v>3956.11</v>
      </c>
      <c r="AW35" s="20" t="n">
        <v>4101.46</v>
      </c>
      <c r="AX35" s="20" t="n">
        <v>4058.12</v>
      </c>
      <c r="AY35" s="20" t="n">
        <v>4058.2</v>
      </c>
    </row>
    <row r="36">
      <c r="B36" s="33" t="inlineStr">
        <is>
          <t>602005 Employee Benefits (incl Workers Comp)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0</v>
      </c>
      <c r="O36" s="19" t="n">
        <v>0</v>
      </c>
      <c r="P36" s="19" t="n">
        <v>0</v>
      </c>
      <c r="Q36" s="19" t="n">
        <v>0</v>
      </c>
      <c r="R36" s="19" t="n">
        <v>0</v>
      </c>
      <c r="S36" s="19" t="n">
        <v>0</v>
      </c>
      <c r="T36" s="83" t="n">
        <v>0</v>
      </c>
      <c r="U36" s="83" t="n">
        <v>0</v>
      </c>
      <c r="V36" s="83" t="n">
        <v>0</v>
      </c>
      <c r="W36" s="83" t="n">
        <v>0</v>
      </c>
      <c r="X36" s="83" t="n">
        <v>0</v>
      </c>
      <c r="Y36" s="20" t="n">
        <v>0</v>
      </c>
      <c r="Z36" s="20" t="n">
        <v>0</v>
      </c>
      <c r="AA36" s="20" t="n">
        <v>0</v>
      </c>
      <c r="AB36" s="20" t="n">
        <v>0</v>
      </c>
      <c r="AC36" s="20" t="n">
        <v>0</v>
      </c>
      <c r="AD36" s="20" t="n">
        <v>0</v>
      </c>
      <c r="AE36" s="20" t="n">
        <v>0</v>
      </c>
      <c r="AF36" s="20" t="n">
        <v>0</v>
      </c>
      <c r="AG36" s="20" t="n">
        <v>0</v>
      </c>
      <c r="AH36" s="20" t="n">
        <v>0</v>
      </c>
      <c r="AI36" s="20" t="n">
        <v>0</v>
      </c>
      <c r="AJ36" s="20" t="n">
        <v>0</v>
      </c>
      <c r="AK36" s="20" t="n">
        <v>0</v>
      </c>
      <c r="AL36" s="20" t="n">
        <v>0</v>
      </c>
      <c r="AM36" s="20" t="n">
        <v>0</v>
      </c>
      <c r="AN36" s="20" t="n">
        <v>0</v>
      </c>
      <c r="AO36" s="20" t="n">
        <v>0</v>
      </c>
      <c r="AP36" s="20" t="n">
        <v>0</v>
      </c>
      <c r="AQ36" s="20" t="n">
        <v>0</v>
      </c>
      <c r="AR36" s="20" t="n">
        <v>0</v>
      </c>
      <c r="AS36" s="20" t="n">
        <v>0</v>
      </c>
      <c r="AT36" s="20" t="n">
        <v>0</v>
      </c>
      <c r="AU36" s="20" t="n">
        <v>0</v>
      </c>
      <c r="AV36" s="20" t="n">
        <v>0</v>
      </c>
      <c r="AW36" s="20" t="n">
        <v>0</v>
      </c>
      <c r="AX36" s="20" t="n">
        <v>0</v>
      </c>
      <c r="AY36" s="20" t="n">
        <v>0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0</v>
      </c>
      <c r="N37" s="19" t="n">
        <v>0</v>
      </c>
      <c r="O37" s="19" t="n">
        <v>0</v>
      </c>
      <c r="P37" s="19" t="n">
        <v>26.42</v>
      </c>
      <c r="Q37" s="19" t="n">
        <v>80.65000000000001</v>
      </c>
      <c r="R37" s="19" t="n">
        <v>182.48</v>
      </c>
      <c r="S37" s="19" t="n">
        <v>175.22</v>
      </c>
      <c r="T37" s="83" t="n">
        <v>143.12</v>
      </c>
      <c r="U37" s="83" t="n">
        <v>0</v>
      </c>
      <c r="V37" s="83" t="n">
        <v>0</v>
      </c>
      <c r="W37" s="83" t="n">
        <v>143.12</v>
      </c>
      <c r="X37" s="83" t="n">
        <v>143.12</v>
      </c>
      <c r="Y37" s="20" t="n">
        <v>1228.98</v>
      </c>
      <c r="Z37" s="20" t="n">
        <v>1395.98</v>
      </c>
      <c r="AA37" s="20" t="n">
        <v>1458.53</v>
      </c>
      <c r="AB37" s="20" t="n">
        <v>1591.07</v>
      </c>
      <c r="AC37" s="20" t="n">
        <v>1603.06</v>
      </c>
      <c r="AD37" s="20" t="n">
        <v>1583.17</v>
      </c>
      <c r="AE37" s="20" t="n">
        <v>2072.79</v>
      </c>
      <c r="AF37" s="20" t="n">
        <v>1711.03</v>
      </c>
      <c r="AG37" s="20" t="n">
        <v>1498.07</v>
      </c>
      <c r="AH37" s="20" t="n">
        <v>1352.85</v>
      </c>
      <c r="AI37" s="20" t="n">
        <v>1695.15</v>
      </c>
      <c r="AJ37" s="20" t="n">
        <v>1440.73</v>
      </c>
      <c r="AK37" s="20" t="n">
        <v>1493.67</v>
      </c>
      <c r="AL37" s="20" t="n">
        <v>1477.88</v>
      </c>
      <c r="AM37" s="20" t="n">
        <v>1477.91</v>
      </c>
      <c r="AN37" s="20" t="n">
        <v>1591.07</v>
      </c>
      <c r="AO37" s="20" t="n">
        <v>1603.06</v>
      </c>
      <c r="AP37" s="20" t="n">
        <v>1583.17</v>
      </c>
      <c r="AQ37" s="20" t="n">
        <v>2072.79</v>
      </c>
      <c r="AR37" s="20" t="n">
        <v>1711.03</v>
      </c>
      <c r="AS37" s="20" t="n">
        <v>1498.07</v>
      </c>
      <c r="AT37" s="20" t="n">
        <v>1352.85</v>
      </c>
      <c r="AU37" s="20" t="n">
        <v>1695.15</v>
      </c>
      <c r="AV37" s="20" t="n">
        <v>1440.73</v>
      </c>
      <c r="AW37" s="20" t="n">
        <v>1493.67</v>
      </c>
      <c r="AX37" s="20" t="n">
        <v>1477.88</v>
      </c>
      <c r="AY37" s="20" t="n">
        <v>1477.91</v>
      </c>
    </row>
    <row r="38">
      <c r="B38" s="32" t="inlineStr">
        <is>
          <t>Total Payroll</t>
        </is>
      </c>
      <c r="C38" s="34" t="n"/>
      <c r="D38" s="35">
        <f>SUM(D34:D37)</f>
        <v/>
      </c>
      <c r="E38" s="35">
        <f>SUM(E34:E37)</f>
        <v/>
      </c>
      <c r="F38" s="35">
        <f>SUM(F34:F37)</f>
        <v/>
      </c>
      <c r="G38" s="35">
        <f>SUM(G34:G37)</f>
        <v/>
      </c>
      <c r="H38" s="35">
        <f>SUM(H34:H37)</f>
        <v/>
      </c>
      <c r="I38" s="35">
        <f>SUM(I34:I37)</f>
        <v/>
      </c>
      <c r="J38" s="35">
        <f>SUM(J34:J37)</f>
        <v/>
      </c>
      <c r="K38" s="35">
        <f>SUM(K34:K37)</f>
        <v/>
      </c>
      <c r="L38" s="35">
        <f>SUM(L34:L37)</f>
        <v/>
      </c>
      <c r="M38" s="35">
        <f>SUM(M34:M37)</f>
        <v/>
      </c>
      <c r="N38" s="35">
        <f>SUM(N34:N37)</f>
        <v/>
      </c>
      <c r="O38" s="35">
        <f>SUM(O34:O37)</f>
        <v/>
      </c>
      <c r="P38" s="35">
        <f>P34+P35+P36+P37</f>
        <v/>
      </c>
      <c r="Q38" s="35">
        <f>Q34+Q35+Q36+Q37</f>
        <v/>
      </c>
      <c r="R38" s="35">
        <f>R34+R35+R36+R37</f>
        <v/>
      </c>
      <c r="S38" s="35">
        <f>S34+S35+S36+S37</f>
        <v/>
      </c>
      <c r="T38" s="84">
        <f>T34+T35+T36+T37</f>
        <v/>
      </c>
      <c r="U38" s="84">
        <f>U34+U35+U36+U37</f>
        <v/>
      </c>
      <c r="V38" s="84">
        <f>V34+V35+V36+V37</f>
        <v/>
      </c>
      <c r="W38" s="84" t="n">
        <v>3555.15</v>
      </c>
      <c r="X38" s="84" t="n">
        <v>3555.15</v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221.84</v>
      </c>
      <c r="N39" s="19" t="n">
        <v>932.17</v>
      </c>
      <c r="O39" s="19" t="n">
        <v>614</v>
      </c>
      <c r="P39" s="19" t="n">
        <v>614</v>
      </c>
      <c r="Q39" s="19" t="n">
        <v>1072.35</v>
      </c>
      <c r="R39" s="19" t="n">
        <v>614</v>
      </c>
      <c r="S39" s="19" t="n">
        <v>1431.62</v>
      </c>
      <c r="T39" s="83" t="n">
        <v>639.1799999999999</v>
      </c>
      <c r="U39" s="83" t="n">
        <v>639.1799999999999</v>
      </c>
      <c r="V39" s="83" t="n">
        <v>639.1799999999999</v>
      </c>
      <c r="W39" s="83" t="n">
        <v>639.1799999999999</v>
      </c>
      <c r="X39" s="83" t="n">
        <v>639.1799999999999</v>
      </c>
      <c r="Y39" s="20" t="n">
        <v>634.52</v>
      </c>
      <c r="Z39" s="20" t="n">
        <v>634.52</v>
      </c>
      <c r="AA39" s="20" t="n">
        <v>634.52</v>
      </c>
      <c r="AB39" s="20" t="n">
        <v>634.52</v>
      </c>
      <c r="AC39" s="20" t="n">
        <v>634.52</v>
      </c>
      <c r="AD39" s="20" t="n">
        <v>634.52</v>
      </c>
      <c r="AE39" s="20" t="n">
        <v>634.52</v>
      </c>
      <c r="AF39" s="20" t="n">
        <v>634.52</v>
      </c>
      <c r="AG39" s="20" t="n">
        <v>634.52</v>
      </c>
      <c r="AH39" s="20" t="n">
        <v>634.52</v>
      </c>
      <c r="AI39" s="20" t="n">
        <v>634.52</v>
      </c>
      <c r="AJ39" s="20" t="n">
        <v>634.52</v>
      </c>
      <c r="AK39" s="20" t="n">
        <v>634.52</v>
      </c>
      <c r="AL39" s="20" t="n">
        <v>634.52</v>
      </c>
      <c r="AM39" s="20" t="n">
        <v>634.52</v>
      </c>
      <c r="AN39" s="20" t="n">
        <v>634.52</v>
      </c>
      <c r="AO39" s="20" t="n">
        <v>634.52</v>
      </c>
      <c r="AP39" s="20" t="n">
        <v>634.52</v>
      </c>
      <c r="AQ39" s="20" t="n">
        <v>634.52</v>
      </c>
      <c r="AR39" s="20" t="n">
        <v>634.52</v>
      </c>
      <c r="AS39" s="20" t="n">
        <v>634.52</v>
      </c>
      <c r="AT39" s="20" t="n">
        <v>634.52</v>
      </c>
      <c r="AU39" s="20" t="n">
        <v>634.52</v>
      </c>
      <c r="AV39" s="20" t="n">
        <v>634.52</v>
      </c>
      <c r="AW39" s="20" t="n">
        <v>634.52</v>
      </c>
      <c r="AX39" s="20" t="n">
        <v>634.52</v>
      </c>
      <c r="AY39" s="20" t="n">
        <v>634.52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-329.09</v>
      </c>
      <c r="M40" s="19" t="n">
        <v>351.3</v>
      </c>
      <c r="N40" s="19" t="n">
        <v>351.3</v>
      </c>
      <c r="O40" s="19" t="n">
        <v>351.3</v>
      </c>
      <c r="P40" s="19" t="n">
        <v>565.83</v>
      </c>
      <c r="Q40" s="19" t="n">
        <v>565.83</v>
      </c>
      <c r="R40" s="19" t="n">
        <v>874.4400000000001</v>
      </c>
      <c r="S40" s="19" t="n">
        <v>778.03</v>
      </c>
      <c r="T40" s="83" t="n">
        <v>549.72</v>
      </c>
      <c r="U40" s="83" t="n">
        <v>290.82</v>
      </c>
      <c r="V40" s="83" t="n">
        <v>290.82</v>
      </c>
      <c r="W40" s="83" t="n">
        <v>697.47</v>
      </c>
      <c r="X40" s="83" t="n">
        <v>697.47</v>
      </c>
      <c r="Y40" s="20" t="n">
        <v>600.98</v>
      </c>
      <c r="Z40" s="20" t="n">
        <v>600.98</v>
      </c>
      <c r="AA40" s="20" t="n">
        <v>600.98</v>
      </c>
      <c r="AB40" s="20" t="n">
        <v>600.98</v>
      </c>
      <c r="AC40" s="20" t="n">
        <v>600.98</v>
      </c>
      <c r="AD40" s="20" t="n">
        <v>600.98</v>
      </c>
      <c r="AE40" s="20" t="n">
        <v>600.98</v>
      </c>
      <c r="AF40" s="20" t="n">
        <v>600.98</v>
      </c>
      <c r="AG40" s="20" t="n">
        <v>600.98</v>
      </c>
      <c r="AH40" s="20" t="n">
        <v>600.98</v>
      </c>
      <c r="AI40" s="20" t="n">
        <v>600.98</v>
      </c>
      <c r="AJ40" s="20" t="n">
        <v>600.98</v>
      </c>
      <c r="AK40" s="20" t="n">
        <v>600.98</v>
      </c>
      <c r="AL40" s="20" t="n">
        <v>600.98</v>
      </c>
      <c r="AM40" s="20" t="n">
        <v>600.98</v>
      </c>
      <c r="AN40" s="20" t="n">
        <v>600.98</v>
      </c>
      <c r="AO40" s="20" t="n">
        <v>600.98</v>
      </c>
      <c r="AP40" s="20" t="n">
        <v>600.98</v>
      </c>
      <c r="AQ40" s="20" t="n">
        <v>600.98</v>
      </c>
      <c r="AR40" s="20" t="n">
        <v>600.98</v>
      </c>
      <c r="AS40" s="20" t="n">
        <v>600.98</v>
      </c>
      <c r="AT40" s="20" t="n">
        <v>600.98</v>
      </c>
      <c r="AU40" s="20" t="n">
        <v>600.98</v>
      </c>
      <c r="AV40" s="20" t="n">
        <v>600.98</v>
      </c>
      <c r="AW40" s="20" t="n">
        <v>600.98</v>
      </c>
      <c r="AX40" s="20" t="n">
        <v>600.98</v>
      </c>
      <c r="AY40" s="20" t="n">
        <v>600.98</v>
      </c>
    </row>
    <row r="41">
      <c r="B41" s="33" t="inlineStr">
        <is>
          <t>610000 Office Supplies &amp; GE (incl Licenses, Furniture, Shipping, Bank Fees, Start-Up Costs)</t>
        </is>
      </c>
      <c r="D41" s="19" t="n">
        <v>0</v>
      </c>
      <c r="E41" s="19" t="n">
        <v>0</v>
      </c>
      <c r="F41" s="19" t="n">
        <v>0</v>
      </c>
      <c r="G41" s="19" t="n">
        <v>0</v>
      </c>
      <c r="H41" s="19" t="n">
        <v>0</v>
      </c>
      <c r="I41" s="19" t="n">
        <v>0</v>
      </c>
      <c r="J41" s="19" t="n">
        <v>0</v>
      </c>
      <c r="K41" s="19" t="n">
        <v>4462</v>
      </c>
      <c r="L41" s="19" t="n">
        <v>350</v>
      </c>
      <c r="M41" s="19" t="n">
        <v>0</v>
      </c>
      <c r="N41" s="19" t="n">
        <v>0</v>
      </c>
      <c r="O41" s="19" t="n">
        <v>0</v>
      </c>
      <c r="P41" s="19" t="n">
        <v>70.98999999999999</v>
      </c>
      <c r="Q41" s="19" t="n">
        <v>0</v>
      </c>
      <c r="R41" s="19" t="n">
        <v>0</v>
      </c>
      <c r="S41" s="19" t="n">
        <v>0</v>
      </c>
      <c r="T41" s="83" t="n">
        <v>0</v>
      </c>
      <c r="U41" s="83" t="n">
        <v>0</v>
      </c>
      <c r="V41" s="83" t="n">
        <v>0</v>
      </c>
      <c r="W41" s="83" t="n">
        <v>0</v>
      </c>
      <c r="X41" s="83" t="n">
        <v>0</v>
      </c>
      <c r="Y41" s="20" t="n">
        <v>15.32</v>
      </c>
      <c r="Z41" s="20" t="n">
        <v>15.32</v>
      </c>
      <c r="AA41" s="20" t="n">
        <v>15.32</v>
      </c>
      <c r="AB41" s="20" t="n">
        <v>15.32</v>
      </c>
      <c r="AC41" s="20" t="n">
        <v>15.32</v>
      </c>
      <c r="AD41" s="20" t="n">
        <v>15.32</v>
      </c>
      <c r="AE41" s="20" t="n">
        <v>15.32</v>
      </c>
      <c r="AF41" s="20" t="n">
        <v>15.32</v>
      </c>
      <c r="AG41" s="20" t="n">
        <v>15.32</v>
      </c>
      <c r="AH41" s="20" t="n">
        <v>15.32</v>
      </c>
      <c r="AI41" s="20" t="n">
        <v>15.32</v>
      </c>
      <c r="AJ41" s="20" t="n">
        <v>15.32</v>
      </c>
      <c r="AK41" s="20" t="n">
        <v>15.32</v>
      </c>
      <c r="AL41" s="20" t="n">
        <v>15.32</v>
      </c>
      <c r="AM41" s="20" t="n">
        <v>15.32</v>
      </c>
      <c r="AN41" s="20" t="n">
        <v>15.32</v>
      </c>
      <c r="AO41" s="20" t="n">
        <v>15.32</v>
      </c>
      <c r="AP41" s="20" t="n">
        <v>15.32</v>
      </c>
      <c r="AQ41" s="20" t="n">
        <v>15.32</v>
      </c>
      <c r="AR41" s="20" t="n">
        <v>15.32</v>
      </c>
      <c r="AS41" s="20" t="n">
        <v>15.32</v>
      </c>
      <c r="AT41" s="20" t="n">
        <v>15.32</v>
      </c>
      <c r="AU41" s="20" t="n">
        <v>15.32</v>
      </c>
      <c r="AV41" s="20" t="n">
        <v>15.32</v>
      </c>
      <c r="AW41" s="20" t="n">
        <v>15.32</v>
      </c>
      <c r="AX41" s="20" t="n">
        <v>15.32</v>
      </c>
      <c r="AY41" s="20" t="n">
        <v>15.32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 t="n">
        <v>1336.65</v>
      </c>
      <c r="X42" s="17" t="n">
        <v>1336.65</v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5631.25</v>
      </c>
      <c r="O43" s="19" t="n">
        <v>0</v>
      </c>
      <c r="P43" s="19" t="n">
        <v>1814.98</v>
      </c>
      <c r="Q43" s="19" t="n">
        <v>2215.54</v>
      </c>
      <c r="R43" s="19" t="n">
        <v>0</v>
      </c>
      <c r="S43" s="19" t="n">
        <v>123</v>
      </c>
      <c r="T43" s="83" t="n">
        <v>0</v>
      </c>
      <c r="U43" s="83" t="n">
        <v>0</v>
      </c>
      <c r="V43" s="83" t="n">
        <v>0</v>
      </c>
      <c r="W43" s="83" t="n">
        <v>0</v>
      </c>
      <c r="X43" s="83" t="n">
        <v>0</v>
      </c>
      <c r="Y43" s="20" t="n">
        <v>5881.66</v>
      </c>
      <c r="Z43" s="20" t="n">
        <v>5881.66</v>
      </c>
      <c r="AA43" s="20" t="n">
        <v>5881.66</v>
      </c>
      <c r="AB43" s="20" t="n">
        <v>5881.66</v>
      </c>
      <c r="AC43" s="20" t="n">
        <v>5881.66</v>
      </c>
      <c r="AD43" s="20" t="n">
        <v>5881.66</v>
      </c>
      <c r="AE43" s="20" t="n">
        <v>5881.66</v>
      </c>
      <c r="AF43" s="20" t="n">
        <v>5881.66</v>
      </c>
      <c r="AG43" s="20" t="n">
        <v>5881.66</v>
      </c>
      <c r="AH43" s="20" t="n">
        <v>5881.66</v>
      </c>
      <c r="AI43" s="20" t="n">
        <v>5881.66</v>
      </c>
      <c r="AJ43" s="20" t="n">
        <v>5881.66</v>
      </c>
      <c r="AK43" s="20" t="n">
        <v>5881.66</v>
      </c>
      <c r="AL43" s="20" t="n">
        <v>5881.66</v>
      </c>
      <c r="AM43" s="20" t="n">
        <v>5881.66</v>
      </c>
      <c r="AN43" s="20" t="n">
        <v>5881.66</v>
      </c>
      <c r="AO43" s="20" t="n">
        <v>5881.66</v>
      </c>
      <c r="AP43" s="20" t="n">
        <v>5881.66</v>
      </c>
      <c r="AQ43" s="20" t="n">
        <v>5881.66</v>
      </c>
      <c r="AR43" s="20" t="n">
        <v>5881.66</v>
      </c>
      <c r="AS43" s="20" t="n">
        <v>5881.66</v>
      </c>
      <c r="AT43" s="20" t="n">
        <v>5881.66</v>
      </c>
      <c r="AU43" s="20" t="n">
        <v>5881.66</v>
      </c>
      <c r="AV43" s="20" t="n">
        <v>5881.66</v>
      </c>
      <c r="AW43" s="20" t="n">
        <v>5881.66</v>
      </c>
      <c r="AX43" s="20" t="n">
        <v>5881.66</v>
      </c>
      <c r="AY43" s="20" t="n">
        <v>5881.66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0</v>
      </c>
      <c r="O44" s="19" t="n">
        <v>0</v>
      </c>
      <c r="P44" s="19" t="n">
        <v>0</v>
      </c>
      <c r="Q44" s="19" t="n">
        <v>0</v>
      </c>
      <c r="R44" s="19" t="n">
        <v>1760</v>
      </c>
      <c r="S44" s="19" t="n">
        <v>2430</v>
      </c>
      <c r="T44" s="83" t="n">
        <v>1116.82</v>
      </c>
      <c r="U44" s="83" t="n">
        <v>0</v>
      </c>
      <c r="V44" s="83" t="n">
        <v>0</v>
      </c>
      <c r="W44" s="83" t="n">
        <v>1116.82</v>
      </c>
      <c r="X44" s="83" t="n">
        <v>1116.82</v>
      </c>
      <c r="Y44" s="20" t="n">
        <v>5933.32</v>
      </c>
      <c r="Z44" s="20" t="n">
        <v>5933.32</v>
      </c>
      <c r="AA44" s="20" t="n">
        <v>5933.32</v>
      </c>
      <c r="AB44" s="20" t="n">
        <v>5933.32</v>
      </c>
      <c r="AC44" s="20" t="n">
        <v>5933.32</v>
      </c>
      <c r="AD44" s="20" t="n">
        <v>5933.32</v>
      </c>
      <c r="AE44" s="20" t="n">
        <v>5933.32</v>
      </c>
      <c r="AF44" s="20" t="n">
        <v>5933.32</v>
      </c>
      <c r="AG44" s="20" t="n">
        <v>5933.32</v>
      </c>
      <c r="AH44" s="20" t="n">
        <v>5933.32</v>
      </c>
      <c r="AI44" s="20" t="n">
        <v>5933.32</v>
      </c>
      <c r="AJ44" s="20" t="n">
        <v>5933.32</v>
      </c>
      <c r="AK44" s="20" t="n">
        <v>5933.32</v>
      </c>
      <c r="AL44" s="20" t="n">
        <v>5933.32</v>
      </c>
      <c r="AM44" s="20" t="n">
        <v>5933.32</v>
      </c>
      <c r="AN44" s="20" t="n">
        <v>5933.32</v>
      </c>
      <c r="AO44" s="20" t="n">
        <v>5933.32</v>
      </c>
      <c r="AP44" s="20" t="n">
        <v>5933.32</v>
      </c>
      <c r="AQ44" s="20" t="n">
        <v>5933.32</v>
      </c>
      <c r="AR44" s="20" t="n">
        <v>5933.32</v>
      </c>
      <c r="AS44" s="20" t="n">
        <v>5933.32</v>
      </c>
      <c r="AT44" s="20" t="n">
        <v>5933.32</v>
      </c>
      <c r="AU44" s="20" t="n">
        <v>5933.32</v>
      </c>
      <c r="AV44" s="20" t="n">
        <v>5933.32</v>
      </c>
      <c r="AW44" s="20" t="n">
        <v>5933.32</v>
      </c>
      <c r="AX44" s="20" t="n">
        <v>5933.32</v>
      </c>
      <c r="AY44" s="20" t="n">
        <v>5933.32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3" t="n">
        <v>0</v>
      </c>
      <c r="U45" s="83" t="n">
        <v>0</v>
      </c>
      <c r="V45" s="83" t="n">
        <v>0</v>
      </c>
      <c r="W45" s="83" t="n">
        <v>0</v>
      </c>
      <c r="X45" s="83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0</v>
      </c>
      <c r="N46" s="19" t="n">
        <v>0</v>
      </c>
      <c r="O46" s="19" t="n">
        <v>0</v>
      </c>
      <c r="P46" s="19" t="n">
        <v>0</v>
      </c>
      <c r="Q46" s="19" t="n">
        <v>0</v>
      </c>
      <c r="R46" s="19" t="n">
        <v>0</v>
      </c>
      <c r="S46" s="19" t="n">
        <v>0</v>
      </c>
      <c r="T46" s="83" t="n">
        <v>0</v>
      </c>
      <c r="U46" s="83" t="n">
        <v>0</v>
      </c>
      <c r="V46" s="83" t="n">
        <v>0</v>
      </c>
      <c r="W46" s="83" t="n">
        <v>0</v>
      </c>
      <c r="X46" s="83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</row>
    <row r="47">
      <c r="B47" s="32" t="inlineStr">
        <is>
          <t>Total Professional Fees</t>
        </is>
      </c>
      <c r="C47" s="34" t="n"/>
      <c r="D47" s="35">
        <f>SUM(D43:D46)</f>
        <v/>
      </c>
      <c r="E47" s="35">
        <f>SUM(E43:E46)</f>
        <v/>
      </c>
      <c r="F47" s="35">
        <f>SUM(F43:F46)</f>
        <v/>
      </c>
      <c r="G47" s="35">
        <f>SUM(G43:G46)</f>
        <v/>
      </c>
      <c r="H47" s="35">
        <f>SUM(H43:H46)</f>
        <v/>
      </c>
      <c r="I47" s="35">
        <f>SUM(I43:I46)</f>
        <v/>
      </c>
      <c r="J47" s="35">
        <f>SUM(J43:J46)</f>
        <v/>
      </c>
      <c r="K47" s="35">
        <f>SUM(K43:K46)</f>
        <v/>
      </c>
      <c r="L47" s="35">
        <f>SUM(L43:L46)</f>
        <v/>
      </c>
      <c r="M47" s="35">
        <f>SUM(M43:M46)</f>
        <v/>
      </c>
      <c r="N47" s="35">
        <f>SUM(N43:N46)</f>
        <v/>
      </c>
      <c r="O47" s="35">
        <f>SUM(O43:O46)</f>
        <v/>
      </c>
      <c r="P47" s="35">
        <f>P43+P44+P45+P46</f>
        <v/>
      </c>
      <c r="Q47" s="35">
        <f>Q43+Q44+Q45+Q46</f>
        <v/>
      </c>
      <c r="R47" s="35">
        <f>R43+R44+R45+R46</f>
        <v/>
      </c>
      <c r="S47" s="35">
        <f>S43+S44+S45+S46</f>
        <v/>
      </c>
      <c r="T47" s="84">
        <f>T43+T44+T45+T46</f>
        <v/>
      </c>
      <c r="U47" s="84">
        <f>U43+U44+U45+U46</f>
        <v/>
      </c>
      <c r="V47" s="84">
        <f>V43+V44+V45+V46</f>
        <v/>
      </c>
      <c r="W47" s="84" t="n">
        <v>1116.82</v>
      </c>
      <c r="X47" s="84" t="n">
        <v>1116.82</v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>
        <v>0</v>
      </c>
      <c r="E48" s="19" t="n">
        <v>0</v>
      </c>
      <c r="F48" s="19" t="n">
        <v>0</v>
      </c>
      <c r="G48" s="19" t="n">
        <v>0</v>
      </c>
      <c r="H48" s="19" t="n">
        <v>0</v>
      </c>
      <c r="I48" s="19" t="n">
        <v>0</v>
      </c>
      <c r="J48" s="19" t="n">
        <v>0</v>
      </c>
      <c r="K48" s="19" t="n">
        <v>0</v>
      </c>
      <c r="L48" s="19" t="n">
        <v>0</v>
      </c>
      <c r="M48" s="19" t="n">
        <v>0</v>
      </c>
      <c r="N48" s="19" t="n">
        <v>0</v>
      </c>
      <c r="O48" s="19" t="n">
        <v>0</v>
      </c>
      <c r="P48" s="19" t="n">
        <v>0</v>
      </c>
      <c r="Q48" s="19" t="n">
        <v>0</v>
      </c>
      <c r="R48" s="19" t="n">
        <v>0</v>
      </c>
      <c r="S48" s="19" t="n">
        <v>0</v>
      </c>
      <c r="T48" s="83" t="n">
        <v>0</v>
      </c>
      <c r="U48" s="83" t="n">
        <v>0</v>
      </c>
      <c r="V48" s="83" t="n">
        <v>0</v>
      </c>
      <c r="W48" s="83" t="n">
        <v>0</v>
      </c>
      <c r="X48" s="83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>606000 Meals (incl Entertainment)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0</v>
      </c>
      <c r="J49" s="19" t="n">
        <v>0</v>
      </c>
      <c r="K49" s="19" t="n">
        <v>0</v>
      </c>
      <c r="L49" s="19" t="n">
        <v>0</v>
      </c>
      <c r="M49" s="19" t="n">
        <v>0</v>
      </c>
      <c r="N49" s="19" t="n">
        <v>0</v>
      </c>
      <c r="O49" s="19" t="n">
        <v>0</v>
      </c>
      <c r="P49" s="19" t="n">
        <v>0</v>
      </c>
      <c r="Q49" s="19" t="n">
        <v>0</v>
      </c>
      <c r="R49" s="19" t="n">
        <v>0</v>
      </c>
      <c r="S49" s="19" t="n">
        <v>0</v>
      </c>
      <c r="T49" s="83" t="n">
        <v>0</v>
      </c>
      <c r="U49" s="83" t="n">
        <v>0</v>
      </c>
      <c r="V49" s="83" t="n">
        <v>0</v>
      </c>
      <c r="W49" s="83" t="n">
        <v>0</v>
      </c>
      <c r="X49" s="83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 t="n">
        <v>0</v>
      </c>
      <c r="X50" s="17" t="n">
        <v>0</v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290.95</v>
      </c>
      <c r="O51" s="19" t="n">
        <v>0</v>
      </c>
      <c r="P51" s="19" t="n">
        <v>0</v>
      </c>
      <c r="Q51" s="19" t="n">
        <v>0</v>
      </c>
      <c r="R51" s="19" t="n">
        <v>0</v>
      </c>
      <c r="S51" s="19" t="n">
        <v>0</v>
      </c>
      <c r="T51" s="83" t="n">
        <v>0</v>
      </c>
      <c r="U51" s="83" t="n">
        <v>0</v>
      </c>
      <c r="V51" s="83" t="n">
        <v>0</v>
      </c>
      <c r="W51" s="83" t="n">
        <v>0</v>
      </c>
      <c r="X51" s="83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>
        <v>0</v>
      </c>
      <c r="E52" s="19" t="n">
        <v>0</v>
      </c>
      <c r="F52" s="19" t="n">
        <v>0</v>
      </c>
      <c r="G52" s="19" t="n">
        <v>0</v>
      </c>
      <c r="H52" s="19" t="n">
        <v>0</v>
      </c>
      <c r="I52" s="19" t="n">
        <v>0</v>
      </c>
      <c r="J52" s="19" t="n">
        <v>0</v>
      </c>
      <c r="K52" s="19" t="n">
        <v>0</v>
      </c>
      <c r="L52" s="19" t="n">
        <v>0</v>
      </c>
      <c r="M52" s="19" t="n">
        <v>0</v>
      </c>
      <c r="N52" s="19" t="n">
        <v>0</v>
      </c>
      <c r="O52" s="19" t="n">
        <v>0</v>
      </c>
      <c r="P52" s="19" t="n">
        <v>0</v>
      </c>
      <c r="Q52" s="19" t="n">
        <v>0</v>
      </c>
      <c r="R52" s="19" t="n">
        <v>0</v>
      </c>
      <c r="S52" s="19" t="n">
        <v>0</v>
      </c>
      <c r="T52" s="83" t="n">
        <v>0</v>
      </c>
      <c r="U52" s="83" t="n">
        <v>0</v>
      </c>
      <c r="V52" s="83" t="n">
        <v>0</v>
      </c>
      <c r="W52" s="83" t="n">
        <v>0</v>
      </c>
      <c r="X52" s="83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87.65000000000001</v>
      </c>
      <c r="P53" s="19" t="n">
        <v>80.84999999999999</v>
      </c>
      <c r="Q53" s="19" t="n">
        <v>87.12</v>
      </c>
      <c r="R53" s="19" t="n">
        <v>86.36</v>
      </c>
      <c r="S53" s="19" t="n">
        <v>87.54000000000001</v>
      </c>
      <c r="T53" s="83" t="n">
        <v>81.03</v>
      </c>
      <c r="U53" s="83" t="n">
        <v>81.05</v>
      </c>
      <c r="V53" s="83" t="n">
        <v>81.05</v>
      </c>
      <c r="W53" s="83" t="n">
        <v>81.03</v>
      </c>
      <c r="X53" s="83" t="n">
        <v>81.03</v>
      </c>
      <c r="Y53" s="20" t="n">
        <v>311.37</v>
      </c>
      <c r="Z53" s="20" t="n">
        <v>311.37</v>
      </c>
      <c r="AA53" s="20" t="n">
        <v>311.37</v>
      </c>
      <c r="AB53" s="20" t="n">
        <v>311.37</v>
      </c>
      <c r="AC53" s="20" t="n">
        <v>311.37</v>
      </c>
      <c r="AD53" s="20" t="n">
        <v>311.37</v>
      </c>
      <c r="AE53" s="20" t="n">
        <v>311.37</v>
      </c>
      <c r="AF53" s="20" t="n">
        <v>311.37</v>
      </c>
      <c r="AG53" s="20" t="n">
        <v>311.37</v>
      </c>
      <c r="AH53" s="20" t="n">
        <v>311.37</v>
      </c>
      <c r="AI53" s="20" t="n">
        <v>311.37</v>
      </c>
      <c r="AJ53" s="20" t="n">
        <v>311.37</v>
      </c>
      <c r="AK53" s="20" t="n">
        <v>311.37</v>
      </c>
      <c r="AL53" s="20" t="n">
        <v>311.37</v>
      </c>
      <c r="AM53" s="20" t="n">
        <v>311.37</v>
      </c>
      <c r="AN53" s="20" t="n">
        <v>311.37</v>
      </c>
      <c r="AO53" s="20" t="n">
        <v>311.37</v>
      </c>
      <c r="AP53" s="20" t="n">
        <v>311.37</v>
      </c>
      <c r="AQ53" s="20" t="n">
        <v>311.37</v>
      </c>
      <c r="AR53" s="20" t="n">
        <v>311.37</v>
      </c>
      <c r="AS53" s="20" t="n">
        <v>311.37</v>
      </c>
      <c r="AT53" s="20" t="n">
        <v>311.37</v>
      </c>
      <c r="AU53" s="20" t="n">
        <v>311.37</v>
      </c>
      <c r="AV53" s="20" t="n">
        <v>311.37</v>
      </c>
      <c r="AW53" s="20" t="n">
        <v>311.37</v>
      </c>
      <c r="AX53" s="20" t="n">
        <v>311.37</v>
      </c>
      <c r="AY53" s="20" t="n">
        <v>311.37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N54" s="19" t="n">
        <v>0</v>
      </c>
      <c r="O54" s="19" t="n">
        <v>326.46</v>
      </c>
      <c r="P54" s="19" t="n">
        <v>34.88</v>
      </c>
      <c r="Q54" s="19" t="n">
        <v>34.88</v>
      </c>
      <c r="R54" s="19" t="n">
        <v>34.88</v>
      </c>
      <c r="S54" s="19" t="n">
        <v>0</v>
      </c>
      <c r="T54" s="83" t="n">
        <v>117.32</v>
      </c>
      <c r="U54" s="83" t="n">
        <v>0</v>
      </c>
      <c r="V54" s="83" t="n">
        <v>0</v>
      </c>
      <c r="W54" s="83" t="n">
        <v>117.32</v>
      </c>
      <c r="X54" s="83" t="n">
        <v>117.32</v>
      </c>
      <c r="Y54" s="20" t="n">
        <v>95.31</v>
      </c>
      <c r="Z54" s="20" t="n">
        <v>95.31</v>
      </c>
      <c r="AA54" s="20" t="n">
        <v>95.31</v>
      </c>
      <c r="AB54" s="20" t="n">
        <v>95.31</v>
      </c>
      <c r="AC54" s="20" t="n">
        <v>95.31</v>
      </c>
      <c r="AD54" s="20" t="n">
        <v>95.31</v>
      </c>
      <c r="AE54" s="20" t="n">
        <v>95.31</v>
      </c>
      <c r="AF54" s="20" t="n">
        <v>95.31</v>
      </c>
      <c r="AG54" s="20" t="n">
        <v>95.31</v>
      </c>
      <c r="AH54" s="20" t="n">
        <v>95.31</v>
      </c>
      <c r="AI54" s="20" t="n">
        <v>95.31</v>
      </c>
      <c r="AJ54" s="20" t="n">
        <v>95.31</v>
      </c>
      <c r="AK54" s="20" t="n">
        <v>95.31</v>
      </c>
      <c r="AL54" s="20" t="n">
        <v>95.31</v>
      </c>
      <c r="AM54" s="20" t="n">
        <v>95.31</v>
      </c>
      <c r="AN54" s="20" t="n">
        <v>95.31</v>
      </c>
      <c r="AO54" s="20" t="n">
        <v>95.31</v>
      </c>
      <c r="AP54" s="20" t="n">
        <v>95.31</v>
      </c>
      <c r="AQ54" s="20" t="n">
        <v>95.31</v>
      </c>
      <c r="AR54" s="20" t="n">
        <v>95.31</v>
      </c>
      <c r="AS54" s="20" t="n">
        <v>95.31</v>
      </c>
      <c r="AT54" s="20" t="n">
        <v>95.31</v>
      </c>
      <c r="AU54" s="20" t="n">
        <v>95.31</v>
      </c>
      <c r="AV54" s="20" t="n">
        <v>95.31</v>
      </c>
      <c r="AW54" s="20" t="n">
        <v>95.31</v>
      </c>
      <c r="AX54" s="20" t="n">
        <v>95.31</v>
      </c>
      <c r="AY54" s="20" t="n">
        <v>95.31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3" t="n">
        <v>0</v>
      </c>
      <c r="U55" s="83" t="n">
        <v>0</v>
      </c>
      <c r="V55" s="83" t="n">
        <v>0</v>
      </c>
      <c r="W55" s="83" t="n">
        <v>0</v>
      </c>
      <c r="X55" s="83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>
        <f>SUM(D51:D55)</f>
        <v/>
      </c>
      <c r="E56" s="35">
        <f>SUM(E51:E55)</f>
        <v/>
      </c>
      <c r="F56" s="35">
        <f>SUM(F51:F55)</f>
        <v/>
      </c>
      <c r="G56" s="35">
        <f>SUM(G51:G55)</f>
        <v/>
      </c>
      <c r="H56" s="35">
        <f>SUM(H51:H55)</f>
        <v/>
      </c>
      <c r="I56" s="35">
        <f>SUM(I51:I55)</f>
        <v/>
      </c>
      <c r="J56" s="35">
        <f>SUM(J51:J55)</f>
        <v/>
      </c>
      <c r="K56" s="35">
        <f>SUM(K51:K55)</f>
        <v/>
      </c>
      <c r="L56" s="35">
        <f>SUM(L51:L55)</f>
        <v/>
      </c>
      <c r="M56" s="35">
        <f>SUM(M51:M55)</f>
        <v/>
      </c>
      <c r="N56" s="35">
        <f>SUM(N51:N55)</f>
        <v/>
      </c>
      <c r="O56" s="35">
        <f>SUM(O51:O55)</f>
        <v/>
      </c>
      <c r="P56" s="35">
        <f>P51+P52+P53+P54+P55</f>
        <v/>
      </c>
      <c r="Q56" s="35">
        <f>Q51+Q52+Q53+Q54+Q55</f>
        <v/>
      </c>
      <c r="R56" s="35">
        <f>R51+R52+R53+R54+R55</f>
        <v/>
      </c>
      <c r="S56" s="35">
        <f>S51+S52+S53+S54+S55</f>
        <v/>
      </c>
      <c r="T56" s="84">
        <f>T51+T52+T53+T54+T55</f>
        <v/>
      </c>
      <c r="U56" s="84">
        <f>U51+U52+U53+U54+U55</f>
        <v/>
      </c>
      <c r="V56" s="84">
        <f>V51+V52+V53+V54+V55</f>
        <v/>
      </c>
      <c r="W56" s="84" t="n">
        <v>198.35</v>
      </c>
      <c r="X56" s="84" t="n">
        <v>198.35</v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10605.32</v>
      </c>
      <c r="M57" s="19" t="n">
        <v>10605.32</v>
      </c>
      <c r="N57" s="19" t="n">
        <v>10605.32</v>
      </c>
      <c r="O57" s="19" t="n">
        <v>10605.32</v>
      </c>
      <c r="P57" s="19" t="n">
        <v>10605.32</v>
      </c>
      <c r="Q57" s="19" t="n">
        <v>10605.32</v>
      </c>
      <c r="R57" s="19" t="n">
        <v>7176.75</v>
      </c>
      <c r="S57" s="19" t="n">
        <v>10605.32</v>
      </c>
      <c r="T57" s="83" t="n">
        <v>10605.32</v>
      </c>
      <c r="U57" s="83" t="n">
        <v>10605.32</v>
      </c>
      <c r="V57" s="83" t="n">
        <v>10605.32</v>
      </c>
      <c r="W57" s="83" t="n">
        <v>10605.32</v>
      </c>
      <c r="X57" s="83" t="n">
        <v>10605.32</v>
      </c>
      <c r="Y57" s="20" t="n">
        <v>10605.32</v>
      </c>
      <c r="Z57" s="20" t="n">
        <v>10605.32</v>
      </c>
      <c r="AA57" s="20" t="n">
        <v>10605.32</v>
      </c>
      <c r="AB57" s="20" t="n">
        <v>10605.32</v>
      </c>
      <c r="AC57" s="20" t="n">
        <v>10605.32</v>
      </c>
      <c r="AD57" s="20" t="n">
        <v>10605.32</v>
      </c>
      <c r="AE57" s="20" t="n">
        <v>10605.32</v>
      </c>
      <c r="AF57" s="20" t="n">
        <v>10605.32</v>
      </c>
      <c r="AG57" s="20" t="n">
        <v>10605.32</v>
      </c>
      <c r="AH57" s="20" t="n">
        <v>10605.32</v>
      </c>
      <c r="AI57" s="20" t="n">
        <v>10605.32</v>
      </c>
      <c r="AJ57" s="20" t="n">
        <v>10605.32</v>
      </c>
      <c r="AK57" s="20" t="n">
        <v>10605.32</v>
      </c>
      <c r="AL57" s="20" t="n">
        <v>10605.32</v>
      </c>
      <c r="AM57" s="20" t="n">
        <v>10605.32</v>
      </c>
      <c r="AN57" s="20" t="n">
        <v>10605.32</v>
      </c>
      <c r="AO57" s="20" t="n">
        <v>10605.32</v>
      </c>
      <c r="AP57" s="20" t="n">
        <v>10605.32</v>
      </c>
      <c r="AQ57" s="20" t="n">
        <v>10605.32</v>
      </c>
      <c r="AR57" s="20" t="n">
        <v>10605.32</v>
      </c>
      <c r="AS57" s="20" t="n">
        <v>10605.32</v>
      </c>
      <c r="AT57" s="20" t="n">
        <v>10605.32</v>
      </c>
      <c r="AU57" s="20" t="n">
        <v>10605.32</v>
      </c>
      <c r="AV57" s="20" t="n">
        <v>10605.32</v>
      </c>
      <c r="AW57" s="20" t="n">
        <v>10605.32</v>
      </c>
      <c r="AX57" s="20" t="n">
        <v>10605.32</v>
      </c>
      <c r="AY57" s="20" t="n">
        <v>10605.32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19" t="n">
        <v>0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83" t="n">
        <v>0</v>
      </c>
      <c r="U58" s="83" t="n">
        <v>0</v>
      </c>
      <c r="V58" s="83" t="n">
        <v>0</v>
      </c>
      <c r="W58" s="83" t="n">
        <v>0</v>
      </c>
      <c r="X58" s="83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9" t="n">
        <v>0</v>
      </c>
      <c r="M59" s="19" t="n">
        <v>128.75</v>
      </c>
      <c r="N59" s="19" t="n">
        <v>0</v>
      </c>
      <c r="O59" s="19" t="n">
        <v>0</v>
      </c>
      <c r="P59" s="19" t="n">
        <v>0</v>
      </c>
      <c r="Q59" s="19" t="n">
        <v>0</v>
      </c>
      <c r="R59" s="19" t="n">
        <v>0</v>
      </c>
      <c r="S59" s="19" t="n">
        <v>0</v>
      </c>
      <c r="T59" s="83" t="n">
        <v>0</v>
      </c>
      <c r="U59" s="83" t="n">
        <v>0</v>
      </c>
      <c r="V59" s="83" t="n">
        <v>0</v>
      </c>
      <c r="W59" s="83" t="n">
        <v>0</v>
      </c>
      <c r="X59" s="83" t="n">
        <v>0</v>
      </c>
      <c r="Y59" s="20" t="n">
        <v>0</v>
      </c>
      <c r="Z59" s="20" t="n">
        <v>0</v>
      </c>
      <c r="AA59" s="20" t="n">
        <v>0</v>
      </c>
      <c r="AB59" s="20" t="n">
        <v>0</v>
      </c>
      <c r="AC59" s="20" t="n">
        <v>0</v>
      </c>
      <c r="AD59" s="20" t="n">
        <v>0</v>
      </c>
      <c r="AE59" s="20" t="n">
        <v>0</v>
      </c>
      <c r="AF59" s="20" t="n">
        <v>0</v>
      </c>
      <c r="AG59" s="20" t="n">
        <v>0</v>
      </c>
      <c r="AH59" s="20" t="n">
        <v>0</v>
      </c>
      <c r="AI59" s="20" t="n">
        <v>0</v>
      </c>
      <c r="AJ59" s="20" t="n">
        <v>0</v>
      </c>
      <c r="AK59" s="20" t="n">
        <v>0</v>
      </c>
      <c r="AL59" s="20" t="n">
        <v>0</v>
      </c>
      <c r="AM59" s="20" t="n">
        <v>0</v>
      </c>
      <c r="AN59" s="20" t="n">
        <v>0</v>
      </c>
      <c r="AO59" s="20" t="n">
        <v>0</v>
      </c>
      <c r="AP59" s="20" t="n">
        <v>0</v>
      </c>
      <c r="AQ59" s="20" t="n">
        <v>0</v>
      </c>
      <c r="AR59" s="20" t="n">
        <v>0</v>
      </c>
      <c r="AS59" s="20" t="n">
        <v>0</v>
      </c>
      <c r="AT59" s="20" t="n">
        <v>0</v>
      </c>
      <c r="AU59" s="20" t="n">
        <v>0</v>
      </c>
      <c r="AV59" s="20" t="n">
        <v>0</v>
      </c>
      <c r="AW59" s="20" t="n">
        <v>0</v>
      </c>
      <c r="AX59" s="20" t="n">
        <v>0</v>
      </c>
      <c r="AY59" s="20" t="n">
        <v>0</v>
      </c>
    </row>
    <row r="60">
      <c r="B60" s="33" t="inlineStr">
        <is>
          <t>705000 Property Maintenance (incl Repairs &amp; Parking)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19" t="n">
        <v>0</v>
      </c>
      <c r="I60" s="19" t="n">
        <v>0</v>
      </c>
      <c r="J60" s="19" t="n">
        <v>0</v>
      </c>
      <c r="K60" s="19" t="n">
        <v>0</v>
      </c>
      <c r="L60" s="19" t="n">
        <v>0</v>
      </c>
      <c r="M60" s="19" t="n">
        <v>0</v>
      </c>
      <c r="N60" s="19" t="n">
        <v>961.7</v>
      </c>
      <c r="O60" s="19" t="n">
        <v>0</v>
      </c>
      <c r="P60" s="19" t="n">
        <v>0</v>
      </c>
      <c r="Q60" s="19" t="n">
        <v>0</v>
      </c>
      <c r="R60" s="19" t="n">
        <v>0</v>
      </c>
      <c r="S60" s="19" t="n">
        <v>0</v>
      </c>
      <c r="T60" s="83" t="n">
        <v>0</v>
      </c>
      <c r="U60" s="83" t="n">
        <v>0</v>
      </c>
      <c r="V60" s="83" t="n">
        <v>0</v>
      </c>
      <c r="W60" s="83" t="n">
        <v>0</v>
      </c>
      <c r="X60" s="83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>
        <f>SUM(D57:D60)</f>
        <v/>
      </c>
      <c r="E61" s="35">
        <f>SUM(E57:E60)</f>
        <v/>
      </c>
      <c r="F61" s="35">
        <f>SUM(F57:F60)</f>
        <v/>
      </c>
      <c r="G61" s="35">
        <f>SUM(G57:G60)</f>
        <v/>
      </c>
      <c r="H61" s="35">
        <f>SUM(H57:H60)</f>
        <v/>
      </c>
      <c r="I61" s="35">
        <f>SUM(I57:I60)</f>
        <v/>
      </c>
      <c r="J61" s="35">
        <f>SUM(J57:J60)</f>
        <v/>
      </c>
      <c r="K61" s="35">
        <f>SUM(K57:K60)</f>
        <v/>
      </c>
      <c r="L61" s="35">
        <f>SUM(L57:L60)</f>
        <v/>
      </c>
      <c r="M61" s="35">
        <f>SUM(M57:M60)</f>
        <v/>
      </c>
      <c r="N61" s="35">
        <f>SUM(N57:N60)</f>
        <v/>
      </c>
      <c r="O61" s="35">
        <f>SUM(O57:O60)</f>
        <v/>
      </c>
      <c r="P61" s="35">
        <f>P57+P58+P59+P60</f>
        <v/>
      </c>
      <c r="Q61" s="35">
        <f>Q57+Q58+Q59+Q60</f>
        <v/>
      </c>
      <c r="R61" s="35">
        <f>R57+R58+R59+R60</f>
        <v/>
      </c>
      <c r="S61" s="35">
        <f>S57+S58+S59+S60</f>
        <v/>
      </c>
      <c r="T61" s="84">
        <f>T57+T58+T59+T60</f>
        <v/>
      </c>
      <c r="U61" s="84">
        <f>U57+U58+U59+U60</f>
        <v/>
      </c>
      <c r="V61" s="84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>
        <f>D33+D38+D42+D47+D50+D56+D61</f>
        <v/>
      </c>
      <c r="E62" s="35">
        <f>E33+E38+E42+E47+E50+E56+E61</f>
        <v/>
      </c>
      <c r="F62" s="35">
        <f>F33+F38+F42+F47+F50+F56+F61</f>
        <v/>
      </c>
      <c r="G62" s="35">
        <f>G33+G38+G42+G47+G50+G56+G61</f>
        <v/>
      </c>
      <c r="H62" s="35">
        <f>H33+H38+H42+H47+H50+H56+H61</f>
        <v/>
      </c>
      <c r="I62" s="35">
        <f>I33+I38+I42+I47+I50+I56+I61</f>
        <v/>
      </c>
      <c r="J62" s="35">
        <f>J33+J38+J42+J47+J50+J56+J61</f>
        <v/>
      </c>
      <c r="K62" s="35">
        <f>K33+K38+K42+K47+K50+K56+K61</f>
        <v/>
      </c>
      <c r="L62" s="35">
        <f>L33+L38+L42+L47+L50+L56+L61</f>
        <v/>
      </c>
      <c r="M62" s="35">
        <f>M33+M38+M42+M47+M50+M56+M61</f>
        <v/>
      </c>
      <c r="N62" s="35">
        <f>N33+N38+N42+N47+N50+N56+N61</f>
        <v/>
      </c>
      <c r="O62" s="35">
        <f>O33+O38+O42+O47+O50+O56+O61</f>
        <v/>
      </c>
      <c r="P62" s="35">
        <f>P33+P38+P42+P47+P50+P56+P61</f>
        <v/>
      </c>
      <c r="Q62" s="35">
        <f>Q33+Q38+Q42+Q47+Q50+Q56+Q61</f>
        <v/>
      </c>
      <c r="R62" s="35">
        <f>R33+R38+R42+R47+R50+R56+R61</f>
        <v/>
      </c>
      <c r="S62" s="35">
        <f>S33+S38+S42+S47+S50+S56+S61</f>
        <v/>
      </c>
      <c r="T62" s="84">
        <f>T33+T38+T42+T47+T50+T56+T61</f>
        <v/>
      </c>
      <c r="U62" s="84">
        <f>U33+U38+U42+U47+U50+U56+U61</f>
        <v/>
      </c>
      <c r="V62" s="84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>
        <f>D26-D62</f>
        <v/>
      </c>
      <c r="E63" s="35">
        <f>E26-E62</f>
        <v/>
      </c>
      <c r="F63" s="35">
        <f>F26-F62</f>
        <v/>
      </c>
      <c r="G63" s="35">
        <f>G26-G62</f>
        <v/>
      </c>
      <c r="H63" s="35">
        <f>H26-H62</f>
        <v/>
      </c>
      <c r="I63" s="35">
        <f>I26-I62</f>
        <v/>
      </c>
      <c r="J63" s="35">
        <f>J26-J62</f>
        <v/>
      </c>
      <c r="K63" s="35">
        <f>K26-K62</f>
        <v/>
      </c>
      <c r="L63" s="35">
        <f>L26-L62</f>
        <v/>
      </c>
      <c r="M63" s="35">
        <f>M26-M62</f>
        <v/>
      </c>
      <c r="N63" s="35">
        <f>N26-N62</f>
        <v/>
      </c>
      <c r="O63" s="35">
        <f>O26-O62</f>
        <v/>
      </c>
      <c r="P63" s="35">
        <f>P26-P62</f>
        <v/>
      </c>
      <c r="Q63" s="35">
        <f>Q26-Q62</f>
        <v/>
      </c>
      <c r="R63" s="35">
        <f>R26-R62</f>
        <v/>
      </c>
      <c r="S63" s="35">
        <f>S26-S62</f>
        <v/>
      </c>
      <c r="T63" s="84">
        <f>T26-T62</f>
        <v/>
      </c>
      <c r="U63" s="84">
        <f>U26-U62</f>
        <v/>
      </c>
      <c r="V63" s="84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" customHeight="1" s="28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4.88</v>
      </c>
      <c r="I65" s="19" t="n">
        <v>4.88</v>
      </c>
      <c r="J65" s="19" t="n">
        <v>14.63</v>
      </c>
      <c r="K65" s="19" t="n">
        <v>42.21</v>
      </c>
      <c r="L65" s="19" t="n">
        <v>469.44</v>
      </c>
      <c r="M65" s="19" t="n">
        <v>635.23</v>
      </c>
      <c r="N65" s="19" t="n">
        <v>635.23</v>
      </c>
      <c r="O65" s="19" t="n">
        <v>-201.99</v>
      </c>
      <c r="P65" s="19" t="n">
        <v>772.58</v>
      </c>
      <c r="Q65" s="19" t="n">
        <v>826.9299999999999</v>
      </c>
      <c r="R65" s="19" t="n">
        <v>1038.11</v>
      </c>
      <c r="S65" s="19" t="n">
        <v>1038.11</v>
      </c>
      <c r="T65" s="83" t="n">
        <v>1038.11</v>
      </c>
      <c r="U65" s="83" t="n">
        <v>1038.11</v>
      </c>
      <c r="V65" s="83" t="n">
        <v>1038.11</v>
      </c>
      <c r="W65" s="20" t="n">
        <v>1038.11</v>
      </c>
      <c r="X65" s="20" t="n">
        <v>1038.11</v>
      </c>
      <c r="Y65" s="20" t="n">
        <v>1038.11</v>
      </c>
      <c r="Z65" s="20" t="n">
        <v>1038.11</v>
      </c>
      <c r="AA65" s="20" t="n">
        <v>1038.11</v>
      </c>
      <c r="AB65" s="20" t="n">
        <v>1038.11</v>
      </c>
      <c r="AC65" s="20" t="n">
        <v>1038.11</v>
      </c>
      <c r="AD65" s="20" t="n">
        <v>1038.11</v>
      </c>
      <c r="AE65" s="20" t="n">
        <v>1038.11</v>
      </c>
      <c r="AF65" s="20" t="n">
        <v>1038.11</v>
      </c>
      <c r="AG65" s="20" t="n">
        <v>1038.11</v>
      </c>
      <c r="AH65" s="20" t="n">
        <v>1038.11</v>
      </c>
      <c r="AI65" s="20" t="n">
        <v>1038.11</v>
      </c>
      <c r="AJ65" s="20" t="n">
        <v>1038.11</v>
      </c>
      <c r="AK65" s="20" t="n">
        <v>1038.11</v>
      </c>
      <c r="AL65" s="20" t="n">
        <v>1038.11</v>
      </c>
      <c r="AM65" s="20" t="n">
        <v>1038.11</v>
      </c>
      <c r="AN65" s="20" t="n">
        <v>1038.11</v>
      </c>
      <c r="AO65" s="20" t="n">
        <v>1038.11</v>
      </c>
      <c r="AP65" s="20" t="n">
        <v>1038.11</v>
      </c>
      <c r="AQ65" s="20" t="n">
        <v>1038.11</v>
      </c>
      <c r="AR65" s="20" t="n">
        <v>1038.11</v>
      </c>
      <c r="AS65" s="20" t="n">
        <v>1038.11</v>
      </c>
      <c r="AT65" s="20" t="n">
        <v>1038.11</v>
      </c>
      <c r="AU65" s="20" t="n">
        <v>1038.11</v>
      </c>
      <c r="AV65" s="20" t="n">
        <v>1038.11</v>
      </c>
      <c r="AW65" s="20" t="n">
        <v>1038.11</v>
      </c>
      <c r="AX65" s="20" t="n">
        <v>1038.11</v>
      </c>
      <c r="AY65" s="20" t="n">
        <v>1038.11</v>
      </c>
    </row>
    <row r="66">
      <c r="B66" s="33" t="inlineStr">
        <is>
          <t>901000 Interest Expense (incl Other Exp/Inc)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19" t="n">
        <v>0</v>
      </c>
      <c r="I66" s="19" t="n">
        <v>0</v>
      </c>
      <c r="J66" s="19" t="n">
        <v>0</v>
      </c>
      <c r="K66" s="19" t="n">
        <v>0</v>
      </c>
      <c r="L66" s="19" t="n">
        <v>0</v>
      </c>
      <c r="M66" s="19" t="n">
        <v>0</v>
      </c>
      <c r="N66" s="19" t="n">
        <v>0</v>
      </c>
      <c r="O66" s="19" t="n">
        <v>0</v>
      </c>
      <c r="P66" s="19" t="n">
        <v>0</v>
      </c>
      <c r="Q66" s="19" t="n">
        <v>0</v>
      </c>
      <c r="R66" s="19" t="n">
        <v>0</v>
      </c>
      <c r="S66" s="19" t="n">
        <v>0</v>
      </c>
      <c r="T66" s="83" t="n">
        <v>0</v>
      </c>
      <c r="U66" s="83" t="n">
        <v>0</v>
      </c>
      <c r="V66" s="83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0</v>
      </c>
      <c r="F67" s="19" t="n">
        <v>0</v>
      </c>
      <c r="G67" s="19" t="n">
        <v>0</v>
      </c>
      <c r="H67" s="19" t="n">
        <v>0</v>
      </c>
      <c r="I67" s="19" t="n">
        <v>0</v>
      </c>
      <c r="J67" s="19" t="n">
        <v>0</v>
      </c>
      <c r="K67" s="19" t="n">
        <v>0</v>
      </c>
      <c r="L67" s="19" t="n">
        <v>0</v>
      </c>
      <c r="M67" s="19" t="n">
        <v>0</v>
      </c>
      <c r="N67" s="19" t="n">
        <v>0</v>
      </c>
      <c r="O67" s="19" t="n">
        <v>0</v>
      </c>
      <c r="P67" s="19" t="n">
        <v>0</v>
      </c>
      <c r="Q67" s="19" t="n">
        <v>0</v>
      </c>
      <c r="R67" s="19" t="n">
        <v>0</v>
      </c>
      <c r="S67" s="19" t="n">
        <v>0</v>
      </c>
      <c r="T67" s="83" t="n">
        <v>0</v>
      </c>
      <c r="U67" s="83" t="n">
        <v>0</v>
      </c>
      <c r="V67" s="83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0</v>
      </c>
      <c r="AP67" s="20" t="n">
        <v>0</v>
      </c>
      <c r="AQ67" s="20" t="n">
        <v>0</v>
      </c>
      <c r="AR67" s="20" t="n">
        <v>0</v>
      </c>
      <c r="AS67" s="20" t="n">
        <v>0</v>
      </c>
      <c r="AT67" s="20" t="n">
        <v>0</v>
      </c>
      <c r="AU67" s="20" t="n">
        <v>0</v>
      </c>
      <c r="AV67" s="20" t="n">
        <v>0</v>
      </c>
      <c r="AW67" s="20" t="n">
        <v>0</v>
      </c>
      <c r="AX67" s="20" t="n">
        <v>0</v>
      </c>
      <c r="AY67" s="20" t="n">
        <v>0</v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3" t="n">
        <v>0</v>
      </c>
      <c r="U68" s="83" t="n">
        <v>0</v>
      </c>
      <c r="V68" s="83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P65+P66+P67+P68</f>
        <v/>
      </c>
      <c r="Q69" s="35">
        <f>Q65+Q66+Q67+Q68</f>
        <v/>
      </c>
      <c r="R69" s="35">
        <f>R65+R66+R67+R68</f>
        <v/>
      </c>
      <c r="S69" s="35">
        <f>S65+S66+S67+S68</f>
        <v/>
      </c>
      <c r="T69" s="84">
        <f>T65+T66+T67+T68</f>
        <v/>
      </c>
      <c r="U69" s="84">
        <f>U65+U66+U67+U68</f>
        <v/>
      </c>
      <c r="V69" s="84">
        <f>V65+V66+V67+V68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>
        <f>D63-D69</f>
        <v/>
      </c>
      <c r="E70" s="35">
        <f>E63-E69</f>
        <v/>
      </c>
      <c r="F70" s="35">
        <f>F63-F69</f>
        <v/>
      </c>
      <c r="G70" s="35">
        <f>G63-G69</f>
        <v/>
      </c>
      <c r="H70" s="35">
        <f>H63-H69</f>
        <v/>
      </c>
      <c r="I70" s="35">
        <f>I63-I69</f>
        <v/>
      </c>
      <c r="J70" s="35">
        <f>J63-J69</f>
        <v/>
      </c>
      <c r="K70" s="35">
        <f>K63-K69</f>
        <v/>
      </c>
      <c r="L70" s="35">
        <f>L63-L69</f>
        <v/>
      </c>
      <c r="M70" s="35">
        <f>M63-M69</f>
        <v/>
      </c>
      <c r="N70" s="35">
        <f>N63-N69</f>
        <v/>
      </c>
      <c r="O70" s="35">
        <f>O63-O69</f>
        <v/>
      </c>
      <c r="P70" s="35">
        <f>P63-P69</f>
        <v/>
      </c>
      <c r="Q70" s="35">
        <f>Q63-Q69</f>
        <v/>
      </c>
      <c r="R70" s="35">
        <f>R63-R69</f>
        <v/>
      </c>
      <c r="S70" s="35">
        <f>S63-S69</f>
        <v/>
      </c>
      <c r="T70" s="84">
        <f>T63-T69</f>
        <v/>
      </c>
      <c r="U70" s="84">
        <f>U63-U69</f>
        <v/>
      </c>
      <c r="V70" s="84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ED7D31"/>
    <outlinePr summaryBelow="1" summaryRight="1"/>
    <pageSetUpPr/>
  </sheetPr>
  <dimension ref="B2:BB71"/>
  <sheetViews>
    <sheetView showGridLines="0" workbookViewId="0">
      <pane xSplit="3" ySplit="5" topLeftCell="AD6" activePane="bottomRight" state="frozen"/>
      <selection activeCell="W21" sqref="W21"/>
      <selection pane="topRight" activeCell="W21" sqref="W21"/>
      <selection pane="bottomLeft" activeCell="W21" sqref="W21"/>
      <selection pane="bottomRight" activeCell="AY13" sqref="AY13"/>
    </sheetView>
  </sheetViews>
  <sheetFormatPr baseColWidth="10" defaultColWidth="8.83203125" defaultRowHeight="15"/>
  <cols>
    <col hidden="1" width="2" customWidth="1" style="282" min="1" max="1"/>
    <col width="32" customWidth="1" style="282" min="2" max="2"/>
    <col width="10" customWidth="1" style="282" min="3" max="3"/>
    <col width="12" customWidth="1" style="282" min="4" max="39"/>
    <col width="13.33203125" customWidth="1" style="282" min="53" max="53"/>
  </cols>
  <sheetData>
    <row r="2" ht="21" customHeight="1" s="282">
      <c r="B2" s="9" t="inlineStr">
        <is>
          <t>Westwood (WW) — Profit &amp; Loss</t>
        </is>
      </c>
      <c r="P2" t="n">
        <v>-1</v>
      </c>
      <c r="T2" s="24" t="n"/>
      <c r="U2" s="24" t="n"/>
    </row>
    <row r="4" ht="16" customHeight="1" s="28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01" t="inlineStr">
        <is>
          <t>Revenue Segments as % of Total (LTM)</t>
        </is>
      </c>
    </row>
    <row r="6" ht="16" customHeight="1" s="28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BA6" s="272" t="inlineStr">
        <is>
          <t>LTM May 2026</t>
        </is>
      </c>
    </row>
    <row r="7">
      <c r="B7" s="33" t="inlineStr">
        <is>
          <t xml:space="preserve">  401001 Machine</t>
        </is>
      </c>
      <c r="D7" s="19" t="n">
        <v>32137.11</v>
      </c>
      <c r="E7" s="19" t="n">
        <v>41947.41</v>
      </c>
      <c r="F7" s="19" t="n">
        <v>44519.3</v>
      </c>
      <c r="G7" s="19" t="n">
        <v>45286.77</v>
      </c>
      <c r="H7" s="19" t="n">
        <v>42018.94</v>
      </c>
      <c r="I7" s="19" t="n">
        <v>36617.04</v>
      </c>
      <c r="J7" s="19" t="n">
        <v>41689.02</v>
      </c>
      <c r="K7" s="19" t="n">
        <v>36724.81</v>
      </c>
      <c r="L7" s="19" t="n">
        <v>34206.18</v>
      </c>
      <c r="M7" s="19" t="n">
        <v>38423.47</v>
      </c>
      <c r="N7" s="19" t="n">
        <v>33434.44</v>
      </c>
      <c r="O7" s="19" t="n">
        <v>31426.15</v>
      </c>
      <c r="P7" s="19" t="n">
        <v>37940.63</v>
      </c>
      <c r="Q7" s="19" t="n">
        <v>36174.8</v>
      </c>
      <c r="R7" s="19" t="n">
        <v>34226.42</v>
      </c>
      <c r="S7" s="19" t="n">
        <v>30242.29</v>
      </c>
      <c r="T7" s="83" t="n">
        <v>29638.85</v>
      </c>
      <c r="U7" s="83" t="n">
        <v>26310.98</v>
      </c>
      <c r="V7" s="83" t="n">
        <v>24624.55</v>
      </c>
      <c r="W7" s="20">
        <f>W13*0.56594</f>
        <v/>
      </c>
      <c r="X7" s="20">
        <f>X13*0.56594</f>
        <v/>
      </c>
      <c r="Y7" s="20">
        <f>Y13*0.56594</f>
        <v/>
      </c>
      <c r="Z7" s="20">
        <f>Z13*0.56594</f>
        <v/>
      </c>
      <c r="AA7" s="20">
        <f>AA13*0.56594</f>
        <v/>
      </c>
      <c r="AB7" s="20">
        <f>AB13*0.56594</f>
        <v/>
      </c>
      <c r="AC7" s="20">
        <f>AC13*0.56594</f>
        <v/>
      </c>
      <c r="AD7" s="20">
        <f>AD13*0.56594</f>
        <v/>
      </c>
      <c r="AE7" s="20">
        <f>AE13*0.56594</f>
        <v/>
      </c>
      <c r="AF7" s="20">
        <f>AF13*0.56594</f>
        <v/>
      </c>
      <c r="AG7" s="20">
        <f>AG13*0.56594</f>
        <v/>
      </c>
      <c r="AH7" s="20">
        <f>AH13*0.56594</f>
        <v/>
      </c>
      <c r="AI7" s="20">
        <f>AI13*0.56594</f>
        <v/>
      </c>
      <c r="AJ7" s="20">
        <f>AJ13*0.56594</f>
        <v/>
      </c>
      <c r="AK7" s="20">
        <f>AK13*0.56594</f>
        <v/>
      </c>
      <c r="AL7" s="20">
        <f>AL13*0.56594</f>
        <v/>
      </c>
      <c r="AM7" s="20">
        <f>AM13*0.56594</f>
        <v/>
      </c>
      <c r="AN7" s="20">
        <f>AN13*0.56594</f>
        <v/>
      </c>
      <c r="AO7" s="20">
        <f>AO13*0.56594</f>
        <v/>
      </c>
      <c r="AP7" s="20">
        <f>AP13*0.56594</f>
        <v/>
      </c>
      <c r="AQ7" s="20">
        <f>AQ13*0.56594</f>
        <v/>
      </c>
      <c r="AR7" s="20">
        <f>AR13*0.56594</f>
        <v/>
      </c>
      <c r="AS7" s="20">
        <f>AS13*0.56594</f>
        <v/>
      </c>
      <c r="AT7" s="20">
        <f>AT13*0.56594</f>
        <v/>
      </c>
      <c r="AU7" s="20">
        <f>AU13*0.56594</f>
        <v/>
      </c>
      <c r="AV7" s="20">
        <f>AV13*0.56594</f>
        <v/>
      </c>
      <c r="AW7" s="20">
        <f>AW13*0.56594</f>
        <v/>
      </c>
      <c r="AX7" s="20">
        <f>AX13*0.56594</f>
        <v/>
      </c>
      <c r="AY7" s="20">
        <f>AY13*0.56594</f>
        <v/>
      </c>
      <c r="BA7" s="288">
        <f>SUM(I7:T7)</f>
        <v/>
      </c>
      <c r="BB7" s="274">
        <f>BA7/$BA$22</f>
        <v/>
      </c>
    </row>
    <row r="8">
      <c r="B8" s="33" t="inlineStr">
        <is>
          <t xml:space="preserve">  401002 Private Pilates</t>
        </is>
      </c>
      <c r="D8" s="19" t="n">
        <v>3585</v>
      </c>
      <c r="E8" s="19" t="n">
        <v>7013.75</v>
      </c>
      <c r="F8" s="19" t="n">
        <v>7482.5</v>
      </c>
      <c r="G8" s="19" t="n">
        <v>5435</v>
      </c>
      <c r="H8" s="19" t="n">
        <v>6560</v>
      </c>
      <c r="I8" s="19" t="n">
        <v>6851.43</v>
      </c>
      <c r="J8" s="19" t="n">
        <v>6622.32</v>
      </c>
      <c r="K8" s="19" t="n">
        <v>6285.54</v>
      </c>
      <c r="L8" s="19" t="n">
        <v>5266.43</v>
      </c>
      <c r="M8" s="19" t="n">
        <v>5268</v>
      </c>
      <c r="N8" s="19" t="n">
        <v>3484.75</v>
      </c>
      <c r="O8" s="19" t="n">
        <v>4515.25</v>
      </c>
      <c r="P8" s="19" t="n">
        <v>4066</v>
      </c>
      <c r="Q8" s="19" t="n">
        <v>5239.25</v>
      </c>
      <c r="R8" s="19" t="n">
        <v>6355.25</v>
      </c>
      <c r="S8" s="19" t="n">
        <v>5943.5</v>
      </c>
      <c r="T8" s="83" t="n">
        <v>6046</v>
      </c>
      <c r="U8" s="83" t="n">
        <v>6026.67</v>
      </c>
      <c r="V8" s="83" t="n">
        <v>3614</v>
      </c>
      <c r="W8" s="20">
        <f>W13*0.088225</f>
        <v/>
      </c>
      <c r="X8" s="20">
        <f>X13*0.088225</f>
        <v/>
      </c>
      <c r="Y8" s="20">
        <f>Y13*0.088225</f>
        <v/>
      </c>
      <c r="Z8" s="20">
        <f>Z13*0.088225</f>
        <v/>
      </c>
      <c r="AA8" s="20">
        <f>AA13*0.088225</f>
        <v/>
      </c>
      <c r="AB8" s="20">
        <f>AB13*0.088225</f>
        <v/>
      </c>
      <c r="AC8" s="20">
        <f>AC13*0.088225</f>
        <v/>
      </c>
      <c r="AD8" s="20">
        <f>AD13*0.088225</f>
        <v/>
      </c>
      <c r="AE8" s="20">
        <f>AE13*0.088225</f>
        <v/>
      </c>
      <c r="AF8" s="20">
        <f>AF13*0.088225</f>
        <v/>
      </c>
      <c r="AG8" s="20">
        <f>AG13*0.088225</f>
        <v/>
      </c>
      <c r="AH8" s="20">
        <f>AH13*0.088225</f>
        <v/>
      </c>
      <c r="AI8" s="20">
        <f>AI13*0.088225</f>
        <v/>
      </c>
      <c r="AJ8" s="20">
        <f>AJ13*0.088225</f>
        <v/>
      </c>
      <c r="AK8" s="20">
        <f>AK13*0.088225</f>
        <v/>
      </c>
      <c r="AL8" s="20">
        <f>AL13*0.088225</f>
        <v/>
      </c>
      <c r="AM8" s="20">
        <f>AM13*0.088225</f>
        <v/>
      </c>
      <c r="AN8" s="20">
        <f>AN13*0.088225</f>
        <v/>
      </c>
      <c r="AO8" s="20">
        <f>AO13*0.088225</f>
        <v/>
      </c>
      <c r="AP8" s="20">
        <f>AP13*0.088225</f>
        <v/>
      </c>
      <c r="AQ8" s="20">
        <f>AQ13*0.088225</f>
        <v/>
      </c>
      <c r="AR8" s="20">
        <f>AR13*0.088225</f>
        <v/>
      </c>
      <c r="AS8" s="20">
        <f>AS13*0.088225</f>
        <v/>
      </c>
      <c r="AT8" s="20">
        <f>AT13*0.088225</f>
        <v/>
      </c>
      <c r="AU8" s="20">
        <f>AU13*0.088225</f>
        <v/>
      </c>
      <c r="AV8" s="20">
        <f>AV13*0.088225</f>
        <v/>
      </c>
      <c r="AW8" s="20">
        <f>AW13*0.088225</f>
        <v/>
      </c>
      <c r="AX8" s="20">
        <f>AX13*0.088225</f>
        <v/>
      </c>
      <c r="AY8" s="20">
        <f>AY13*0.088225</f>
        <v/>
      </c>
      <c r="BA8" s="288">
        <f>SUM(I8:T8)</f>
        <v/>
      </c>
      <c r="BB8" s="274">
        <f>BA8/$BA$22</f>
        <v/>
      </c>
    </row>
    <row r="9">
      <c r="B9" s="33" t="inlineStr">
        <is>
          <t xml:space="preserve">  401003 Class Pass</t>
        </is>
      </c>
      <c r="D9" s="19" t="n">
        <v>16877.59</v>
      </c>
      <c r="E9" s="19" t="n">
        <v>22141.88</v>
      </c>
      <c r="F9" s="19" t="n">
        <v>25865.51</v>
      </c>
      <c r="G9" s="19" t="n">
        <v>24468.92</v>
      </c>
      <c r="H9" s="19" t="n">
        <v>21413.8</v>
      </c>
      <c r="I9" s="19" t="n">
        <v>18295.05</v>
      </c>
      <c r="J9" s="19" t="n">
        <v>15781.76</v>
      </c>
      <c r="K9" s="19" t="n">
        <v>17353.59</v>
      </c>
      <c r="L9" s="19" t="n">
        <v>14927.71</v>
      </c>
      <c r="M9" s="19" t="n">
        <v>16726.97</v>
      </c>
      <c r="N9" s="19" t="n">
        <v>17142.96</v>
      </c>
      <c r="O9" s="19" t="n">
        <v>15853.73</v>
      </c>
      <c r="P9" s="19" t="n">
        <v>20991.71</v>
      </c>
      <c r="Q9" s="19" t="n">
        <v>16098.88</v>
      </c>
      <c r="R9" s="19" t="n">
        <v>15697.36</v>
      </c>
      <c r="S9" s="19" t="n">
        <v>14902</v>
      </c>
      <c r="T9" s="83" t="n">
        <v>12802.12</v>
      </c>
      <c r="U9" s="83" t="n">
        <v>11157.6</v>
      </c>
      <c r="V9" s="83" t="n">
        <v>10720</v>
      </c>
      <c r="W9" s="20">
        <f>W13*0.276427</f>
        <v/>
      </c>
      <c r="X9" s="20">
        <f>X13*0.276427</f>
        <v/>
      </c>
      <c r="Y9" s="20">
        <f>Y13*0.276427</f>
        <v/>
      </c>
      <c r="Z9" s="20">
        <f>Z13*0.276427</f>
        <v/>
      </c>
      <c r="AA9" s="20">
        <f>AA13*0.276427</f>
        <v/>
      </c>
      <c r="AB9" s="20">
        <f>AB13*0.276427</f>
        <v/>
      </c>
      <c r="AC9" s="20">
        <f>AC13*0.276427</f>
        <v/>
      </c>
      <c r="AD9" s="20">
        <f>AD13*0.276427</f>
        <v/>
      </c>
      <c r="AE9" s="20">
        <f>AE13*0.276427</f>
        <v/>
      </c>
      <c r="AF9" s="20">
        <f>AF13*0.276427</f>
        <v/>
      </c>
      <c r="AG9" s="20">
        <f>AG13*0.276427</f>
        <v/>
      </c>
      <c r="AH9" s="20">
        <f>AH13*0.276427</f>
        <v/>
      </c>
      <c r="AI9" s="20">
        <f>AI13*0.276427</f>
        <v/>
      </c>
      <c r="AJ9" s="20">
        <f>AJ13*0.276427</f>
        <v/>
      </c>
      <c r="AK9" s="20">
        <f>AK13*0.276427</f>
        <v/>
      </c>
      <c r="AL9" s="20">
        <f>AL13*0.276427</f>
        <v/>
      </c>
      <c r="AM9" s="20">
        <f>AM13*0.276427</f>
        <v/>
      </c>
      <c r="AN9" s="20">
        <f>AN13*0.276427</f>
        <v/>
      </c>
      <c r="AO9" s="20">
        <f>AO13*0.276427</f>
        <v/>
      </c>
      <c r="AP9" s="20">
        <f>AP13*0.276427</f>
        <v/>
      </c>
      <c r="AQ9" s="20">
        <f>AQ13*0.276427</f>
        <v/>
      </c>
      <c r="AR9" s="20">
        <f>AR13*0.276427</f>
        <v/>
      </c>
      <c r="AS9" s="20">
        <f>AS13*0.276427</f>
        <v/>
      </c>
      <c r="AT9" s="20">
        <f>AT13*0.276427</f>
        <v/>
      </c>
      <c r="AU9" s="20">
        <f>AU13*0.276427</f>
        <v/>
      </c>
      <c r="AV9" s="20">
        <f>AV13*0.276427</f>
        <v/>
      </c>
      <c r="AW9" s="20">
        <f>AW13*0.276427</f>
        <v/>
      </c>
      <c r="AX9" s="20">
        <f>AX13*0.276427</f>
        <v/>
      </c>
      <c r="AY9" s="20">
        <f>AY13*0.276427</f>
        <v/>
      </c>
      <c r="BA9" s="288">
        <f>SUM(I9:T9)</f>
        <v/>
      </c>
      <c r="BB9" s="274">
        <f>BA9/$BA$22</f>
        <v/>
      </c>
    </row>
    <row r="10">
      <c r="B10" s="33" t="inlineStr">
        <is>
          <t xml:space="preserve">  401004 Mighty Teacher Training</t>
        </is>
      </c>
      <c r="D10" s="19" t="n">
        <v>640</v>
      </c>
      <c r="E10" s="19" t="n">
        <v>1480</v>
      </c>
      <c r="F10" s="19" t="n">
        <v>18272</v>
      </c>
      <c r="G10" s="19" t="n">
        <v>0</v>
      </c>
      <c r="H10" s="19" t="n">
        <v>4140</v>
      </c>
      <c r="I10" s="19" t="n">
        <v>6500</v>
      </c>
      <c r="J10" s="19" t="n">
        <v>13540</v>
      </c>
      <c r="K10" s="19" t="n">
        <v>320</v>
      </c>
      <c r="L10" s="19" t="n">
        <v>6280</v>
      </c>
      <c r="M10" s="19" t="n">
        <v>0</v>
      </c>
      <c r="N10" s="19" t="n">
        <v>0</v>
      </c>
      <c r="O10" s="19" t="n">
        <v>0</v>
      </c>
      <c r="P10" s="19" t="n">
        <v>4819</v>
      </c>
      <c r="Q10" s="19" t="n">
        <v>29482.57</v>
      </c>
      <c r="R10" s="19" t="n">
        <v>7173.44</v>
      </c>
      <c r="S10" s="19" t="n">
        <v>0</v>
      </c>
      <c r="T10" s="83" t="n">
        <v>22654.3</v>
      </c>
      <c r="U10" s="83" t="n">
        <v>7394.16</v>
      </c>
      <c r="V10" s="83" t="n">
        <v>0</v>
      </c>
      <c r="W10" s="20">
        <f>W13*0.067783</f>
        <v/>
      </c>
      <c r="X10" s="20">
        <f>X13*0.067783</f>
        <v/>
      </c>
      <c r="Y10" s="20">
        <f>Y13*0.067783</f>
        <v/>
      </c>
      <c r="Z10" s="20">
        <f>Z13*0.067783</f>
        <v/>
      </c>
      <c r="AA10" s="20">
        <f>AA13*0.067783</f>
        <v/>
      </c>
      <c r="AB10" s="20">
        <f>AB13*0.067783</f>
        <v/>
      </c>
      <c r="AC10" s="20">
        <f>AC13*0.067783</f>
        <v/>
      </c>
      <c r="AD10" s="20">
        <f>AD13*0.067783</f>
        <v/>
      </c>
      <c r="AE10" s="20">
        <f>AE13*0.067783</f>
        <v/>
      </c>
      <c r="AF10" s="20">
        <f>AF13*0.067783</f>
        <v/>
      </c>
      <c r="AG10" s="20">
        <f>AG13*0.067783</f>
        <v/>
      </c>
      <c r="AH10" s="20">
        <f>AH13*0.067783</f>
        <v/>
      </c>
      <c r="AI10" s="20">
        <f>AI13*0.067783</f>
        <v/>
      </c>
      <c r="AJ10" s="20">
        <f>AJ13*0.067783</f>
        <v/>
      </c>
      <c r="AK10" s="20">
        <f>AK13*0.067783</f>
        <v/>
      </c>
      <c r="AL10" s="20">
        <f>AL13*0.067783</f>
        <v/>
      </c>
      <c r="AM10" s="20">
        <f>AM13*0.067783</f>
        <v/>
      </c>
      <c r="AN10" s="20">
        <f>AN13*0.067783</f>
        <v/>
      </c>
      <c r="AO10" s="20">
        <f>AO13*0.067783</f>
        <v/>
      </c>
      <c r="AP10" s="20">
        <f>AP13*0.067783</f>
        <v/>
      </c>
      <c r="AQ10" s="20">
        <f>AQ13*0.067783</f>
        <v/>
      </c>
      <c r="AR10" s="20">
        <f>AR13*0.067783</f>
        <v/>
      </c>
      <c r="AS10" s="20">
        <f>AS13*0.067783</f>
        <v/>
      </c>
      <c r="AT10" s="20">
        <f>AT13*0.067783</f>
        <v/>
      </c>
      <c r="AU10" s="20">
        <f>AU13*0.067783</f>
        <v/>
      </c>
      <c r="AV10" s="20">
        <f>AV13*0.067783</f>
        <v/>
      </c>
      <c r="AW10" s="20">
        <f>AW13*0.067783</f>
        <v/>
      </c>
      <c r="AX10" s="20">
        <f>AX13*0.067783</f>
        <v/>
      </c>
      <c r="AY10" s="20">
        <f>AY13*0.067783</f>
        <v/>
      </c>
      <c r="BA10" s="288">
        <f>SUM(I10:T10)</f>
        <v/>
      </c>
      <c r="BB10" s="274">
        <f>BA10/$BA$22</f>
        <v/>
      </c>
    </row>
    <row r="11">
      <c r="B11" s="33" t="inlineStr">
        <is>
          <t xml:space="preserve">  401005 Livestream Classes</t>
        </is>
      </c>
      <c r="D11" s="19" t="n">
        <v>14</v>
      </c>
      <c r="E11" s="19" t="n">
        <v>0</v>
      </c>
      <c r="F11" s="19" t="n">
        <v>0</v>
      </c>
      <c r="G11" s="19" t="n">
        <v>14</v>
      </c>
      <c r="H11" s="19" t="n">
        <v>0</v>
      </c>
      <c r="I11" s="19" t="n">
        <v>0</v>
      </c>
      <c r="J11" s="19" t="n">
        <v>14</v>
      </c>
      <c r="K11" s="19" t="n">
        <v>56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12.06</v>
      </c>
      <c r="Q11" s="19" t="n">
        <v>21.27</v>
      </c>
      <c r="R11" s="19" t="n">
        <v>15.46</v>
      </c>
      <c r="S11" s="19" t="n">
        <v>15.45</v>
      </c>
      <c r="T11" s="83" t="n">
        <v>15.97</v>
      </c>
      <c r="U11" s="83" t="n">
        <v>0</v>
      </c>
      <c r="V11" s="83" t="n">
        <v>0</v>
      </c>
      <c r="W11" s="20">
        <f>W13*0.000262</f>
        <v/>
      </c>
      <c r="X11" s="20">
        <f>X13*0.000262</f>
        <v/>
      </c>
      <c r="Y11" s="20">
        <f>Y13*0.000262</f>
        <v/>
      </c>
      <c r="Z11" s="20">
        <f>Z13*0.000262</f>
        <v/>
      </c>
      <c r="AA11" s="20">
        <f>AA13*0.000262</f>
        <v/>
      </c>
      <c r="AB11" s="20">
        <f>AB13*0.000262</f>
        <v/>
      </c>
      <c r="AC11" s="20">
        <f>AC13*0.000262</f>
        <v/>
      </c>
      <c r="AD11" s="20">
        <f>AD13*0.000262</f>
        <v/>
      </c>
      <c r="AE11" s="20">
        <f>AE13*0.000262</f>
        <v/>
      </c>
      <c r="AF11" s="20">
        <f>AF13*0.000262</f>
        <v/>
      </c>
      <c r="AG11" s="20">
        <f>AG13*0.000262</f>
        <v/>
      </c>
      <c r="AH11" s="20">
        <f>AH13*0.000262</f>
        <v/>
      </c>
      <c r="AI11" s="20">
        <f>AI13*0.000262</f>
        <v/>
      </c>
      <c r="AJ11" s="20">
        <f>AJ13*0.000262</f>
        <v/>
      </c>
      <c r="AK11" s="20">
        <f>AK13*0.000262</f>
        <v/>
      </c>
      <c r="AL11" s="20">
        <f>AL13*0.000262</f>
        <v/>
      </c>
      <c r="AM11" s="20">
        <f>AM13*0.000262</f>
        <v/>
      </c>
      <c r="AN11" s="20">
        <f>AN13*0.000262</f>
        <v/>
      </c>
      <c r="AO11" s="20">
        <f>AO13*0.000262</f>
        <v/>
      </c>
      <c r="AP11" s="20">
        <f>AP13*0.000262</f>
        <v/>
      </c>
      <c r="AQ11" s="20">
        <f>AQ13*0.000262</f>
        <v/>
      </c>
      <c r="AR11" s="20">
        <f>AR13*0.000262</f>
        <v/>
      </c>
      <c r="AS11" s="20">
        <f>AS13*0.000262</f>
        <v/>
      </c>
      <c r="AT11" s="20">
        <f>AT13*0.000262</f>
        <v/>
      </c>
      <c r="AU11" s="20">
        <f>AU13*0.000262</f>
        <v/>
      </c>
      <c r="AV11" s="20">
        <f>AV13*0.000262</f>
        <v/>
      </c>
      <c r="AW11" s="20">
        <f>AW13*0.000262</f>
        <v/>
      </c>
      <c r="AX11" s="20">
        <f>AX13*0.000262</f>
        <v/>
      </c>
      <c r="AY11" s="20">
        <f>AY13*0.000262</f>
        <v/>
      </c>
      <c r="BA11" s="288">
        <f>SUM(I11:T11)</f>
        <v/>
      </c>
      <c r="BB11" s="274">
        <f>BA11/$BA$22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26.27</v>
      </c>
      <c r="H12" s="19" t="n">
        <v>70.93000000000001</v>
      </c>
      <c r="I12" s="19" t="n">
        <v>105.08</v>
      </c>
      <c r="J12" s="19" t="n">
        <v>176.01</v>
      </c>
      <c r="K12" s="19" t="n">
        <v>386.17</v>
      </c>
      <c r="L12" s="19" t="n">
        <v>262.7</v>
      </c>
      <c r="M12" s="19" t="n">
        <v>262.7</v>
      </c>
      <c r="N12" s="19" t="n">
        <v>157.62</v>
      </c>
      <c r="O12" s="19" t="n">
        <v>131.35</v>
      </c>
      <c r="P12" s="19" t="n">
        <v>123.47</v>
      </c>
      <c r="Q12" s="19" t="n">
        <v>131.35</v>
      </c>
      <c r="R12" s="19" t="n">
        <v>52.54</v>
      </c>
      <c r="S12" s="19" t="n">
        <v>26.27</v>
      </c>
      <c r="T12" s="83" t="n">
        <v>105.08</v>
      </c>
      <c r="U12" s="83" t="n">
        <v>52.54</v>
      </c>
      <c r="V12" s="83" t="n">
        <v>105.08</v>
      </c>
      <c r="W12" s="20">
        <f>W13*0.001362</f>
        <v/>
      </c>
      <c r="X12" s="20">
        <f>X13*0.001362</f>
        <v/>
      </c>
      <c r="Y12" s="20">
        <f>Y13*0.001362</f>
        <v/>
      </c>
      <c r="Z12" s="20">
        <f>Z13*0.001362</f>
        <v/>
      </c>
      <c r="AA12" s="20">
        <f>AA13*0.001362</f>
        <v/>
      </c>
      <c r="AB12" s="20">
        <f>AB13*0.001362</f>
        <v/>
      </c>
      <c r="AC12" s="20">
        <f>AC13*0.001362</f>
        <v/>
      </c>
      <c r="AD12" s="20">
        <f>AD13*0.001362</f>
        <v/>
      </c>
      <c r="AE12" s="20">
        <f>AE13*0.001362</f>
        <v/>
      </c>
      <c r="AF12" s="20">
        <f>AF13*0.001362</f>
        <v/>
      </c>
      <c r="AG12" s="20">
        <f>AG13*0.001362</f>
        <v/>
      </c>
      <c r="AH12" s="20">
        <f>AH13*0.001362</f>
        <v/>
      </c>
      <c r="AI12" s="20">
        <f>AI13*0.001362</f>
        <v/>
      </c>
      <c r="AJ12" s="20">
        <f>AJ13*0.001362</f>
        <v/>
      </c>
      <c r="AK12" s="20">
        <f>AK13*0.001362</f>
        <v/>
      </c>
      <c r="AL12" s="20">
        <f>AL13*0.001362</f>
        <v/>
      </c>
      <c r="AM12" s="20">
        <f>AM13*0.001362</f>
        <v/>
      </c>
      <c r="AN12" s="20">
        <f>AN13*0.001362</f>
        <v/>
      </c>
      <c r="AO12" s="20">
        <f>AO13*0.001362</f>
        <v/>
      </c>
      <c r="AP12" s="20">
        <f>AP13*0.001362</f>
        <v/>
      </c>
      <c r="AQ12" s="20">
        <f>AQ13*0.001362</f>
        <v/>
      </c>
      <c r="AR12" s="20">
        <f>AR13*0.001362</f>
        <v/>
      </c>
      <c r="AS12" s="20">
        <f>AS13*0.001362</f>
        <v/>
      </c>
      <c r="AT12" s="20">
        <f>AT13*0.001362</f>
        <v/>
      </c>
      <c r="AU12" s="20">
        <f>AU13*0.001362</f>
        <v/>
      </c>
      <c r="AV12" s="20">
        <f>AV13*0.001362</f>
        <v/>
      </c>
      <c r="AW12" s="20">
        <f>AW13*0.001362</f>
        <v/>
      </c>
      <c r="AX12" s="20">
        <f>AX13*0.001362</f>
        <v/>
      </c>
      <c r="AY12" s="20">
        <f>AY13*0.001362</f>
        <v/>
      </c>
      <c r="BA12" s="288">
        <f>SUM(I12:T12)</f>
        <v/>
      </c>
      <c r="BB12" s="274">
        <f>BA12/$BA$22</f>
        <v/>
      </c>
    </row>
    <row r="13">
      <c r="B13" s="32" t="inlineStr">
        <is>
          <t>Total Sessions</t>
        </is>
      </c>
      <c r="C13" s="34" t="n"/>
      <c r="D13" s="35">
        <f>SUM(D7:D12)</f>
        <v/>
      </c>
      <c r="E13" s="35">
        <f>SUM(E7:E12)</f>
        <v/>
      </c>
      <c r="F13" s="35">
        <f>SUM(F7:F12)</f>
        <v/>
      </c>
      <c r="G13" s="35">
        <f>SUM(G7:G12)</f>
        <v/>
      </c>
      <c r="H13" s="35">
        <f>SUM(H7:H12)</f>
        <v/>
      </c>
      <c r="I13" s="35">
        <f>SUM(I7:I12)</f>
        <v/>
      </c>
      <c r="J13" s="35">
        <f>SUM(J7:J12)</f>
        <v/>
      </c>
      <c r="K13" s="35">
        <f>SUM(K7:K12)</f>
        <v/>
      </c>
      <c r="L13" s="35">
        <f>SUM(L7:L12)</f>
        <v/>
      </c>
      <c r="M13" s="35">
        <f>SUM(M7:M12)</f>
        <v/>
      </c>
      <c r="N13" s="35">
        <f>SUM(N7:N12)</f>
        <v/>
      </c>
      <c r="O13" s="35">
        <f>SUM(O7:O12)</f>
        <v/>
      </c>
      <c r="P13" s="35">
        <f>P7+P8+P9+P10+P11+P12</f>
        <v/>
      </c>
      <c r="Q13" s="35">
        <f>Q7+Q8+Q9+Q10+Q11+Q12</f>
        <v/>
      </c>
      <c r="R13" s="35">
        <f>R7+R8+R9+R10+R11+R12</f>
        <v/>
      </c>
      <c r="S13" s="35">
        <f>S7+S8+S9+S10+S11+S12</f>
        <v/>
      </c>
      <c r="T13" s="84">
        <f>T7+T8+T9+T10+T11+T12</f>
        <v/>
      </c>
      <c r="U13" s="84">
        <f>U7+U8+U9+U10+U11+U12</f>
        <v/>
      </c>
      <c r="V13" s="84">
        <f>V7+V8+V9+V10+V11+V12</f>
        <v/>
      </c>
      <c r="W13" s="17">
        <f>'Sales Forecast'!W17*Assumptions!$C$12+'Sales Forecast'!V17*Assumptions!$D$12+'Sales Forecast'!U17*Assumptions!$E$12+'Sales Forecast'!T17*Assumptions!$F$12+'Sales Forecast'!S17*Assumptions!$G$12+'Sales Forecast'!R17*Assumptions!$H$12+'Sales Forecast'!Q17*Assumptions!$I$12</f>
        <v/>
      </c>
      <c r="X13" s="17">
        <f>'Sales Forecast'!X17*Assumptions!$C$12+'Sales Forecast'!W17*Assumptions!$D$12+'Sales Forecast'!V17*Assumptions!$E$12+'Sales Forecast'!U17*Assumptions!$F$12+'Sales Forecast'!T17*Assumptions!$G$12+'Sales Forecast'!S17*Assumptions!$H$12+'Sales Forecast'!R17*Assumptions!$I$12</f>
        <v/>
      </c>
      <c r="Y13" s="17">
        <f>'Sales Forecast'!Y17*Assumptions!$C$12+'Sales Forecast'!X17*Assumptions!$D$12+'Sales Forecast'!W17*Assumptions!$E$12+'Sales Forecast'!V17*Assumptions!$F$12+'Sales Forecast'!U17*Assumptions!$G$12+'Sales Forecast'!T17*Assumptions!$H$12+'Sales Forecast'!S17*Assumptions!$I$12</f>
        <v/>
      </c>
      <c r="Z13" s="17">
        <f>'Sales Forecast'!Z17*Assumptions!$C$12+'Sales Forecast'!Y17*Assumptions!$D$12+'Sales Forecast'!X17*Assumptions!$E$12+'Sales Forecast'!W17*Assumptions!$F$12+'Sales Forecast'!V17*Assumptions!$G$12+'Sales Forecast'!U17*Assumptions!$H$12+'Sales Forecast'!T17*Assumptions!$I$12</f>
        <v/>
      </c>
      <c r="AA13" s="17">
        <f>'Sales Forecast'!AA17*Assumptions!$C$12+'Sales Forecast'!Z17*Assumptions!$D$12+'Sales Forecast'!Y17*Assumptions!$E$12+'Sales Forecast'!X17*Assumptions!$F$12+'Sales Forecast'!W17*Assumptions!$G$12+'Sales Forecast'!V17*Assumptions!$H$12+'Sales Forecast'!U17*Assumptions!$I$12</f>
        <v/>
      </c>
      <c r="AB13" s="17">
        <f>'Sales Forecast'!AB17*Assumptions!$C$12+'Sales Forecast'!AA17*Assumptions!$D$12+'Sales Forecast'!Z17*Assumptions!$E$12+'Sales Forecast'!Y17*Assumptions!$F$12+'Sales Forecast'!X17*Assumptions!$G$12+'Sales Forecast'!W17*Assumptions!$H$12+'Sales Forecast'!V17*Assumptions!$I$12</f>
        <v/>
      </c>
      <c r="AC13" s="17">
        <f>'Sales Forecast'!AC17*Assumptions!$C$12+'Sales Forecast'!AB17*Assumptions!$D$12+'Sales Forecast'!AA17*Assumptions!$E$12+'Sales Forecast'!Z17*Assumptions!$F$12+'Sales Forecast'!Y17*Assumptions!$G$12+'Sales Forecast'!X17*Assumptions!$H$12+'Sales Forecast'!W17*Assumptions!$I$12</f>
        <v/>
      </c>
      <c r="AD13" s="17">
        <f>'Sales Forecast'!AD17*Assumptions!$C$12+'Sales Forecast'!AC17*Assumptions!$D$12+'Sales Forecast'!AB17*Assumptions!$E$12+'Sales Forecast'!AA17*Assumptions!$F$12+'Sales Forecast'!Z17*Assumptions!$G$12+'Sales Forecast'!Y17*Assumptions!$H$12+'Sales Forecast'!X17*Assumptions!$I$12</f>
        <v/>
      </c>
      <c r="AE13" s="17">
        <f>'Sales Forecast'!AE17*Assumptions!$C$12+'Sales Forecast'!AD17*Assumptions!$D$12+'Sales Forecast'!AC17*Assumptions!$E$12+'Sales Forecast'!AB17*Assumptions!$F$12+'Sales Forecast'!AA17*Assumptions!$G$12+'Sales Forecast'!Z17*Assumptions!$H$12+'Sales Forecast'!Y17*Assumptions!$I$12</f>
        <v/>
      </c>
      <c r="AF13" s="17">
        <f>'Sales Forecast'!AF17*Assumptions!$C$12+'Sales Forecast'!AE17*Assumptions!$D$12+'Sales Forecast'!AD17*Assumptions!$E$12+'Sales Forecast'!AC17*Assumptions!$F$12+'Sales Forecast'!AB17*Assumptions!$G$12+'Sales Forecast'!AA17*Assumptions!$H$12+'Sales Forecast'!Z17*Assumptions!$I$12</f>
        <v/>
      </c>
      <c r="AG13" s="17">
        <f>'Sales Forecast'!AG17*Assumptions!$C$12+'Sales Forecast'!AF17*Assumptions!$D$12+'Sales Forecast'!AE17*Assumptions!$E$12+'Sales Forecast'!AD17*Assumptions!$F$12+'Sales Forecast'!AC17*Assumptions!$G$12+'Sales Forecast'!AB17*Assumptions!$H$12+'Sales Forecast'!AA17*Assumptions!$I$12</f>
        <v/>
      </c>
      <c r="AH13" s="17">
        <f>'Sales Forecast'!AH17*Assumptions!$C$12+'Sales Forecast'!AG17*Assumptions!$D$12+'Sales Forecast'!AF17*Assumptions!$E$12+'Sales Forecast'!AE17*Assumptions!$F$12+'Sales Forecast'!AD17*Assumptions!$G$12+'Sales Forecast'!AC17*Assumptions!$H$12+'Sales Forecast'!AB17*Assumptions!$I$12</f>
        <v/>
      </c>
      <c r="AI13" s="17">
        <f>'Sales Forecast'!AI17*Assumptions!$C$12+'Sales Forecast'!AH17*Assumptions!$D$12+'Sales Forecast'!AG17*Assumptions!$E$12+'Sales Forecast'!AF17*Assumptions!$F$12+'Sales Forecast'!AE17*Assumptions!$G$12+'Sales Forecast'!AD17*Assumptions!$H$12+'Sales Forecast'!AC17*Assumptions!$I$12</f>
        <v/>
      </c>
      <c r="AJ13" s="17">
        <f>'Sales Forecast'!AJ17*Assumptions!$C$12+'Sales Forecast'!AI17*Assumptions!$D$12+'Sales Forecast'!AH17*Assumptions!$E$12+'Sales Forecast'!AG17*Assumptions!$F$12+'Sales Forecast'!AF17*Assumptions!$G$12+'Sales Forecast'!AE17*Assumptions!$H$12+'Sales Forecast'!AD17*Assumptions!$I$12</f>
        <v/>
      </c>
      <c r="AK13" s="17">
        <f>'Sales Forecast'!AK17*Assumptions!$C$12+'Sales Forecast'!AJ17*Assumptions!$D$12+'Sales Forecast'!AI17*Assumptions!$E$12+'Sales Forecast'!AH17*Assumptions!$F$12+'Sales Forecast'!AG17*Assumptions!$G$12+'Sales Forecast'!AF17*Assumptions!$H$12+'Sales Forecast'!AE17*Assumptions!$I$12</f>
        <v/>
      </c>
      <c r="AL13" s="17">
        <f>'Sales Forecast'!AL17*Assumptions!$C$12+'Sales Forecast'!AK17*Assumptions!$D$12+'Sales Forecast'!AJ17*Assumptions!$E$12+'Sales Forecast'!AI17*Assumptions!$F$12+'Sales Forecast'!AH17*Assumptions!$G$12+'Sales Forecast'!AG17*Assumptions!$H$12+'Sales Forecast'!AF17*Assumptions!$I$12</f>
        <v/>
      </c>
      <c r="AM13" s="17">
        <f>'Sales Forecast'!AM17*Assumptions!$C$12+'Sales Forecast'!AL17*Assumptions!$D$12+'Sales Forecast'!AK17*Assumptions!$E$12+'Sales Forecast'!AJ17*Assumptions!$F$12+'Sales Forecast'!AI17*Assumptions!$G$12+'Sales Forecast'!AH17*Assumptions!$H$12+'Sales Forecast'!AG17*Assumptions!$I$12</f>
        <v/>
      </c>
      <c r="AN13" s="17">
        <f>'Sales Forecast'!AN17*Assumptions!$C$12+'Sales Forecast'!AM17*Assumptions!$D$12+'Sales Forecast'!AL17*Assumptions!$E$12+'Sales Forecast'!AK17*Assumptions!$F$12+'Sales Forecast'!AJ17*Assumptions!$G$12+'Sales Forecast'!AI17*Assumptions!$H$12+'Sales Forecast'!AH17*Assumptions!$I$12</f>
        <v/>
      </c>
      <c r="AO13" s="17">
        <f>'Sales Forecast'!AO17*Assumptions!$C$12+'Sales Forecast'!AN17*Assumptions!$D$12+'Sales Forecast'!AM17*Assumptions!$E$12+'Sales Forecast'!AL17*Assumptions!$F$12+'Sales Forecast'!AK17*Assumptions!$G$12+'Sales Forecast'!AJ17*Assumptions!$H$12+'Sales Forecast'!AI17*Assumptions!$I$12</f>
        <v/>
      </c>
      <c r="AP13" s="17">
        <f>'Sales Forecast'!AP17*Assumptions!$C$12+'Sales Forecast'!AO17*Assumptions!$D$12+'Sales Forecast'!AN17*Assumptions!$E$12+'Sales Forecast'!AM17*Assumptions!$F$12+'Sales Forecast'!AL17*Assumptions!$G$12+'Sales Forecast'!AK17*Assumptions!$H$12+'Sales Forecast'!AJ17*Assumptions!$I$12</f>
        <v/>
      </c>
      <c r="AQ13" s="17">
        <f>'Sales Forecast'!AQ17*Assumptions!$C$12+'Sales Forecast'!AP17*Assumptions!$D$12+'Sales Forecast'!AO17*Assumptions!$E$12+'Sales Forecast'!AN17*Assumptions!$F$12+'Sales Forecast'!AM17*Assumptions!$G$12+'Sales Forecast'!AL17*Assumptions!$H$12+'Sales Forecast'!AK17*Assumptions!$I$12</f>
        <v/>
      </c>
      <c r="AR13" s="17">
        <f>'Sales Forecast'!AR17*Assumptions!$C$12+'Sales Forecast'!AQ17*Assumptions!$D$12+'Sales Forecast'!AP17*Assumptions!$E$12+'Sales Forecast'!AO17*Assumptions!$F$12+'Sales Forecast'!AN17*Assumptions!$G$12+'Sales Forecast'!AM17*Assumptions!$H$12+'Sales Forecast'!AL17*Assumptions!$I$12</f>
        <v/>
      </c>
      <c r="AS13" s="17">
        <f>'Sales Forecast'!AS17*Assumptions!$C$12+'Sales Forecast'!AR17*Assumptions!$D$12+'Sales Forecast'!AQ17*Assumptions!$E$12+'Sales Forecast'!AP17*Assumptions!$F$12+'Sales Forecast'!AO17*Assumptions!$G$12+'Sales Forecast'!AN17*Assumptions!$H$12+'Sales Forecast'!AM17*Assumptions!$I$12</f>
        <v/>
      </c>
      <c r="AT13" s="17">
        <f>'Sales Forecast'!AT17*Assumptions!$C$12+'Sales Forecast'!AS17*Assumptions!$D$12+'Sales Forecast'!AR17*Assumptions!$E$12+'Sales Forecast'!AQ17*Assumptions!$F$12+'Sales Forecast'!AP17*Assumptions!$G$12+'Sales Forecast'!AO17*Assumptions!$H$12+'Sales Forecast'!AN17*Assumptions!$I$12</f>
        <v/>
      </c>
      <c r="AU13" s="17">
        <f>'Sales Forecast'!AU17*Assumptions!$C$12+'Sales Forecast'!AT17*Assumptions!$D$12+'Sales Forecast'!AS17*Assumptions!$E$12+'Sales Forecast'!AR17*Assumptions!$F$12+'Sales Forecast'!AQ17*Assumptions!$G$12+'Sales Forecast'!AP17*Assumptions!$H$12+'Sales Forecast'!AO17*Assumptions!$I$12</f>
        <v/>
      </c>
      <c r="AV13" s="17">
        <f>'Sales Forecast'!AV17*Assumptions!$C$12+'Sales Forecast'!AU17*Assumptions!$D$12+'Sales Forecast'!AT17*Assumptions!$E$12+'Sales Forecast'!AS17*Assumptions!$F$12+'Sales Forecast'!AR17*Assumptions!$G$12+'Sales Forecast'!AQ17*Assumptions!$H$12+'Sales Forecast'!AP17*Assumptions!$I$12</f>
        <v/>
      </c>
      <c r="AW13" s="17">
        <f>'Sales Forecast'!AW17*Assumptions!$C$12+'Sales Forecast'!AV17*Assumptions!$D$12+'Sales Forecast'!AU17*Assumptions!$E$12+'Sales Forecast'!AT17*Assumptions!$F$12+'Sales Forecast'!AS17*Assumptions!$G$12+'Sales Forecast'!AR17*Assumptions!$H$12+'Sales Forecast'!AQ17*Assumptions!$I$12</f>
        <v/>
      </c>
      <c r="AX13" s="17">
        <f>'Sales Forecast'!AX17*Assumptions!$C$12+'Sales Forecast'!AW17*Assumptions!$D$12+'Sales Forecast'!AV17*Assumptions!$E$12+'Sales Forecast'!AU17*Assumptions!$F$12+'Sales Forecast'!AT17*Assumptions!$G$12+'Sales Forecast'!AS17*Assumptions!$H$12+'Sales Forecast'!AR17*Assumptions!$I$12</f>
        <v/>
      </c>
      <c r="AY13" s="17">
        <f>'Sales Forecast'!AY17*Assumptions!$C$12+'Sales Forecast'!AX17*Assumptions!$D$12+'Sales Forecast'!AW17*Assumptions!$E$12+'Sales Forecast'!AV17*Assumptions!$F$12+'Sales Forecast'!AU17*Assumptions!$G$12+'Sales Forecast'!AT17*Assumptions!$H$12+'Sales Forecast'!AS17*Assumptions!$I$12</f>
        <v/>
      </c>
      <c r="BA13" s="288" t="n"/>
    </row>
    <row r="14">
      <c r="B14" s="32" t="inlineStr">
        <is>
          <t>Revenue from Old Mighty</t>
        </is>
      </c>
      <c r="C14" s="34" t="n"/>
      <c r="D14" s="278" t="n">
        <v>11218.23</v>
      </c>
      <c r="E14" s="278" t="n">
        <v>6084.05</v>
      </c>
      <c r="F14" s="278" t="n">
        <v>3180.05</v>
      </c>
      <c r="G14" s="278" t="n">
        <v>1551.94</v>
      </c>
      <c r="H14" s="278" t="n">
        <v>600.72</v>
      </c>
      <c r="I14" s="278" t="n">
        <v>398.71</v>
      </c>
      <c r="J14" s="278" t="n">
        <v>218.47</v>
      </c>
      <c r="K14" s="278" t="n">
        <v>214.13</v>
      </c>
      <c r="L14" s="278" t="n">
        <v>136.3</v>
      </c>
      <c r="M14" s="278" t="n">
        <v>94.40000000000001</v>
      </c>
      <c r="N14" s="278" t="n">
        <v>37</v>
      </c>
      <c r="O14" s="278" t="n">
        <v>79</v>
      </c>
      <c r="P14" s="278" t="n">
        <v>0</v>
      </c>
      <c r="Q14" s="278" t="n">
        <v>0</v>
      </c>
      <c r="R14" s="278" t="n">
        <v>0</v>
      </c>
      <c r="S14" s="278" t="n">
        <v>0</v>
      </c>
      <c r="T14" s="84" t="n">
        <v>0</v>
      </c>
      <c r="U14" s="84" t="n">
        <v>0</v>
      </c>
      <c r="V14" s="84" t="n">
        <v>0</v>
      </c>
      <c r="W14" s="279" t="n"/>
      <c r="X14" s="279" t="n"/>
      <c r="Y14" s="279" t="n"/>
      <c r="Z14" s="279" t="n"/>
      <c r="AA14" s="279" t="n"/>
      <c r="AB14" s="279" t="n"/>
      <c r="AC14" s="279" t="n"/>
      <c r="AD14" s="279" t="n"/>
      <c r="AE14" s="279" t="n"/>
      <c r="AF14" s="279" t="n"/>
      <c r="AG14" s="279" t="n"/>
      <c r="AH14" s="279" t="n"/>
      <c r="AI14" s="279" t="n"/>
      <c r="AJ14" s="279" t="n"/>
      <c r="AK14" s="279" t="n"/>
      <c r="AL14" s="279" t="n"/>
      <c r="AM14" s="279" t="n"/>
      <c r="AN14" s="279" t="n"/>
      <c r="AO14" s="279" t="n"/>
      <c r="AP14" s="279" t="n"/>
      <c r="AQ14" s="279" t="n"/>
      <c r="AR14" s="279" t="n"/>
      <c r="AS14" s="279" t="n"/>
      <c r="AT14" s="279" t="n"/>
      <c r="AU14" s="279" t="n"/>
      <c r="AV14" s="279" t="n"/>
      <c r="AW14" s="279" t="n"/>
      <c r="AX14" s="279" t="n"/>
      <c r="AY14" s="279" t="n"/>
      <c r="BA14" s="288" t="n"/>
    </row>
    <row r="15">
      <c r="B15" s="33" t="inlineStr">
        <is>
          <t xml:space="preserve">  403001 Machine Breakage</t>
        </is>
      </c>
      <c r="D15" s="19" t="n">
        <v>4839</v>
      </c>
      <c r="E15" s="19" t="n">
        <v>6272.2</v>
      </c>
      <c r="F15" s="19" t="n">
        <v>10426.7</v>
      </c>
      <c r="G15" s="19" t="n">
        <v>13423.2</v>
      </c>
      <c r="H15" s="19" t="n">
        <v>10291.36</v>
      </c>
      <c r="I15" s="19" t="n">
        <v>11899.57</v>
      </c>
      <c r="J15" s="19" t="n">
        <v>9913.809999999999</v>
      </c>
      <c r="K15" s="19" t="n">
        <v>12502.81</v>
      </c>
      <c r="L15" s="19" t="n">
        <v>9702.5</v>
      </c>
      <c r="M15" s="19" t="n">
        <v>11728.26</v>
      </c>
      <c r="N15" s="19" t="n">
        <v>10875.53</v>
      </c>
      <c r="O15" s="19" t="n">
        <v>18491.73</v>
      </c>
      <c r="P15" s="19" t="n">
        <v>13157.19</v>
      </c>
      <c r="Q15" s="19" t="n">
        <v>12037.93</v>
      </c>
      <c r="R15" s="19" t="n">
        <v>10513.08</v>
      </c>
      <c r="S15" s="19" t="n">
        <v>11003.92</v>
      </c>
      <c r="T15" s="83" t="n">
        <v>8279.93</v>
      </c>
      <c r="U15" s="83" t="n">
        <v>9554.09</v>
      </c>
      <c r="V15" s="83" t="n">
        <v>9200.299999999999</v>
      </c>
      <c r="W15" s="20">
        <f>W18*0.878488</f>
        <v/>
      </c>
      <c r="X15" s="20">
        <f>X18*0.878488</f>
        <v/>
      </c>
      <c r="Y15" s="20">
        <f>Y18*0.878488</f>
        <v/>
      </c>
      <c r="Z15" s="20">
        <f>Z18*0.878488</f>
        <v/>
      </c>
      <c r="AA15" s="20">
        <f>AA18*0.878488</f>
        <v/>
      </c>
      <c r="AB15" s="20">
        <f>AB18*0.878488</f>
        <v/>
      </c>
      <c r="AC15" s="20">
        <f>AC18*0.878488</f>
        <v/>
      </c>
      <c r="AD15" s="20">
        <f>AD18*0.878488</f>
        <v/>
      </c>
      <c r="AE15" s="20">
        <f>AE18*0.878488</f>
        <v/>
      </c>
      <c r="AF15" s="20">
        <f>AF18*0.878488</f>
        <v/>
      </c>
      <c r="AG15" s="20">
        <f>AG18*0.878488</f>
        <v/>
      </c>
      <c r="AH15" s="20">
        <f>AH18*0.878488</f>
        <v/>
      </c>
      <c r="AI15" s="20">
        <f>AI18*0.878488</f>
        <v/>
      </c>
      <c r="AJ15" s="20">
        <f>AJ18*0.878488</f>
        <v/>
      </c>
      <c r="AK15" s="20">
        <f>AK18*0.878488</f>
        <v/>
      </c>
      <c r="AL15" s="20">
        <f>AL18*0.878488</f>
        <v/>
      </c>
      <c r="AM15" s="20">
        <f>AM18*0.878488</f>
        <v/>
      </c>
      <c r="AN15" s="20">
        <f>AN18*0.878488</f>
        <v/>
      </c>
      <c r="AO15" s="20">
        <f>AO18*0.878488</f>
        <v/>
      </c>
      <c r="AP15" s="20">
        <f>AP18*0.878488</f>
        <v/>
      </c>
      <c r="AQ15" s="20">
        <f>AQ18*0.878488</f>
        <v/>
      </c>
      <c r="AR15" s="20">
        <f>AR18*0.878488</f>
        <v/>
      </c>
      <c r="AS15" s="20">
        <f>AS18*0.878488</f>
        <v/>
      </c>
      <c r="AT15" s="20">
        <f>AT18*0.878488</f>
        <v/>
      </c>
      <c r="AU15" s="20">
        <f>AU18*0.878488</f>
        <v/>
      </c>
      <c r="AV15" s="20">
        <f>AV18*0.878488</f>
        <v/>
      </c>
      <c r="AW15" s="20">
        <f>AW18*0.878488</f>
        <v/>
      </c>
      <c r="AX15" s="20">
        <f>AX18*0.878488</f>
        <v/>
      </c>
      <c r="AY15" s="20">
        <f>AY18*0.878488</f>
        <v/>
      </c>
      <c r="BA15" s="288">
        <f>SUM(I15:T15)</f>
        <v/>
      </c>
      <c r="BB15" s="274">
        <f>BA15/$BA$22</f>
        <v/>
      </c>
    </row>
    <row r="16">
      <c r="B16" s="33" t="inlineStr">
        <is>
          <t xml:space="preserve">  403003 Private Pilates Breakage</t>
        </is>
      </c>
      <c r="D16" s="19" t="n">
        <v>166</v>
      </c>
      <c r="E16" s="19" t="n">
        <v>2245</v>
      </c>
      <c r="F16" s="19" t="n">
        <v>466.25</v>
      </c>
      <c r="G16" s="19" t="n">
        <v>1377.5</v>
      </c>
      <c r="H16" s="19" t="n">
        <v>1225</v>
      </c>
      <c r="I16" s="19" t="n">
        <v>2135</v>
      </c>
      <c r="J16" s="19" t="n">
        <v>1745</v>
      </c>
      <c r="K16" s="19" t="n">
        <v>857.14</v>
      </c>
      <c r="L16" s="19" t="n">
        <v>1180</v>
      </c>
      <c r="M16" s="19" t="n">
        <v>3338</v>
      </c>
      <c r="N16" s="19" t="n">
        <v>1280</v>
      </c>
      <c r="O16" s="19" t="n">
        <v>750</v>
      </c>
      <c r="P16" s="19" t="n">
        <v>450</v>
      </c>
      <c r="Q16" s="19" t="n">
        <v>1155</v>
      </c>
      <c r="R16" s="19" t="n">
        <v>744</v>
      </c>
      <c r="S16" s="19" t="n">
        <v>225</v>
      </c>
      <c r="T16" s="83" t="n">
        <v>300</v>
      </c>
      <c r="U16" s="83" t="n">
        <v>3459</v>
      </c>
      <c r="V16" s="83" t="n">
        <v>450</v>
      </c>
      <c r="W16" s="20">
        <f>W18*0.048408</f>
        <v/>
      </c>
      <c r="X16" s="20">
        <f>X18*0.048408</f>
        <v/>
      </c>
      <c r="Y16" s="20">
        <f>Y18*0.048408</f>
        <v/>
      </c>
      <c r="Z16" s="20">
        <f>Z18*0.048408</f>
        <v/>
      </c>
      <c r="AA16" s="20">
        <f>AA18*0.048408</f>
        <v/>
      </c>
      <c r="AB16" s="20">
        <f>AB18*0.048408</f>
        <v/>
      </c>
      <c r="AC16" s="20">
        <f>AC18*0.048408</f>
        <v/>
      </c>
      <c r="AD16" s="20">
        <f>AD18*0.048408</f>
        <v/>
      </c>
      <c r="AE16" s="20">
        <f>AE18*0.048408</f>
        <v/>
      </c>
      <c r="AF16" s="20">
        <f>AF18*0.048408</f>
        <v/>
      </c>
      <c r="AG16" s="20">
        <f>AG18*0.048408</f>
        <v/>
      </c>
      <c r="AH16" s="20">
        <f>AH18*0.048408</f>
        <v/>
      </c>
      <c r="AI16" s="20">
        <f>AI18*0.048408</f>
        <v/>
      </c>
      <c r="AJ16" s="20">
        <f>AJ18*0.048408</f>
        <v/>
      </c>
      <c r="AK16" s="20">
        <f>AK18*0.048408</f>
        <v/>
      </c>
      <c r="AL16" s="20">
        <f>AL18*0.048408</f>
        <v/>
      </c>
      <c r="AM16" s="20">
        <f>AM18*0.048408</f>
        <v/>
      </c>
      <c r="AN16" s="20">
        <f>AN18*0.048408</f>
        <v/>
      </c>
      <c r="AO16" s="20">
        <f>AO18*0.048408</f>
        <v/>
      </c>
      <c r="AP16" s="20">
        <f>AP18*0.048408</f>
        <v/>
      </c>
      <c r="AQ16" s="20">
        <f>AQ18*0.048408</f>
        <v/>
      </c>
      <c r="AR16" s="20">
        <f>AR18*0.048408</f>
        <v/>
      </c>
      <c r="AS16" s="20">
        <f>AS18*0.048408</f>
        <v/>
      </c>
      <c r="AT16" s="20">
        <f>AT18*0.048408</f>
        <v/>
      </c>
      <c r="AU16" s="20">
        <f>AU18*0.048408</f>
        <v/>
      </c>
      <c r="AV16" s="20">
        <f>AV18*0.048408</f>
        <v/>
      </c>
      <c r="AW16" s="20">
        <f>AW18*0.048408</f>
        <v/>
      </c>
      <c r="AX16" s="20">
        <f>AX18*0.048408</f>
        <v/>
      </c>
      <c r="AY16" s="20">
        <f>AY18*0.048408</f>
        <v/>
      </c>
      <c r="BA16" s="288">
        <f>SUM(I16:T16)</f>
        <v/>
      </c>
      <c r="BB16" s="274">
        <f>BA16/$BA$22</f>
        <v/>
      </c>
    </row>
    <row r="17">
      <c r="B17" s="33" t="inlineStr">
        <is>
          <t>403004 Other Breakage (incl MTT Breakage)</t>
        </is>
      </c>
      <c r="D17" s="19" t="n">
        <v>480</v>
      </c>
      <c r="E17" s="19" t="n">
        <v>160</v>
      </c>
      <c r="F17" s="19" t="n">
        <v>160</v>
      </c>
      <c r="G17" s="19" t="n">
        <v>0</v>
      </c>
      <c r="H17" s="19" t="n">
        <v>715</v>
      </c>
      <c r="I17" s="19" t="n">
        <v>320</v>
      </c>
      <c r="J17" s="19" t="n">
        <v>1974</v>
      </c>
      <c r="K17" s="19" t="n">
        <v>320</v>
      </c>
      <c r="L17" s="19" t="n">
        <v>160</v>
      </c>
      <c r="M17" s="19" t="n">
        <v>640</v>
      </c>
      <c r="N17" s="19" t="n">
        <v>2880</v>
      </c>
      <c r="O17" s="19" t="n">
        <v>4285</v>
      </c>
      <c r="P17" s="19" t="n">
        <v>960</v>
      </c>
      <c r="Q17" s="19" t="n">
        <v>640</v>
      </c>
      <c r="R17" s="19" t="n">
        <v>687.2</v>
      </c>
      <c r="S17" s="19" t="n">
        <v>1600</v>
      </c>
      <c r="T17" s="83" t="n">
        <v>960</v>
      </c>
      <c r="U17" s="83" t="n">
        <v>0</v>
      </c>
      <c r="V17" s="83" t="n">
        <v>0</v>
      </c>
      <c r="W17" s="20">
        <f>W18*0.073104</f>
        <v/>
      </c>
      <c r="X17" s="20">
        <f>X18*0.073104</f>
        <v/>
      </c>
      <c r="Y17" s="20">
        <f>Y18*0.073104</f>
        <v/>
      </c>
      <c r="Z17" s="20">
        <f>Z18*0.073104</f>
        <v/>
      </c>
      <c r="AA17" s="20">
        <f>AA18*0.073104</f>
        <v/>
      </c>
      <c r="AB17" s="20">
        <f>AB18*0.073104</f>
        <v/>
      </c>
      <c r="AC17" s="20">
        <f>AC18*0.073104</f>
        <v/>
      </c>
      <c r="AD17" s="20">
        <f>AD18*0.073104</f>
        <v/>
      </c>
      <c r="AE17" s="20">
        <f>AE18*0.073104</f>
        <v/>
      </c>
      <c r="AF17" s="20">
        <f>AF18*0.073104</f>
        <v/>
      </c>
      <c r="AG17" s="20">
        <f>AG18*0.073104</f>
        <v/>
      </c>
      <c r="AH17" s="20">
        <f>AH18*0.073104</f>
        <v/>
      </c>
      <c r="AI17" s="20">
        <f>AI18*0.073104</f>
        <v/>
      </c>
      <c r="AJ17" s="20">
        <f>AJ18*0.073104</f>
        <v/>
      </c>
      <c r="AK17" s="20">
        <f>AK18*0.073104</f>
        <v/>
      </c>
      <c r="AL17" s="20">
        <f>AL18*0.073104</f>
        <v/>
      </c>
      <c r="AM17" s="20">
        <f>AM18*0.073104</f>
        <v/>
      </c>
      <c r="AN17" s="20">
        <f>AN18*0.073104</f>
        <v/>
      </c>
      <c r="AO17" s="20">
        <f>AO18*0.073104</f>
        <v/>
      </c>
      <c r="AP17" s="20">
        <f>AP18*0.073104</f>
        <v/>
      </c>
      <c r="AQ17" s="20">
        <f>AQ18*0.073104</f>
        <v/>
      </c>
      <c r="AR17" s="20">
        <f>AR18*0.073104</f>
        <v/>
      </c>
      <c r="AS17" s="20">
        <f>AS18*0.073104</f>
        <v/>
      </c>
      <c r="AT17" s="20">
        <f>AT18*0.073104</f>
        <v/>
      </c>
      <c r="AU17" s="20">
        <f>AU18*0.073104</f>
        <v/>
      </c>
      <c r="AV17" s="20">
        <f>AV18*0.073104</f>
        <v/>
      </c>
      <c r="AW17" s="20">
        <f>AW18*0.073104</f>
        <v/>
      </c>
      <c r="AX17" s="20">
        <f>AX18*0.073104</f>
        <v/>
      </c>
      <c r="AY17" s="20">
        <f>AY18*0.073104</f>
        <v/>
      </c>
      <c r="BA17" s="288">
        <f>SUM(I17:T17)</f>
        <v/>
      </c>
      <c r="BB17" s="274">
        <f>BA17/$BA$22</f>
        <v/>
      </c>
    </row>
    <row r="18">
      <c r="B18" s="32" t="inlineStr">
        <is>
          <t>Total Breakage Revenue</t>
        </is>
      </c>
      <c r="C18" s="34" t="n"/>
      <c r="D18" s="35">
        <f>SUM(D15:D17)</f>
        <v/>
      </c>
      <c r="E18" s="35">
        <f>SUM(E15:E17)</f>
        <v/>
      </c>
      <c r="F18" s="35">
        <f>SUM(F15:F17)</f>
        <v/>
      </c>
      <c r="G18" s="35">
        <f>SUM(G15:G17)</f>
        <v/>
      </c>
      <c r="H18" s="35">
        <f>SUM(H15:H17)</f>
        <v/>
      </c>
      <c r="I18" s="35">
        <f>SUM(I15:I17)</f>
        <v/>
      </c>
      <c r="J18" s="35">
        <f>SUM(J15:J17)</f>
        <v/>
      </c>
      <c r="K18" s="35">
        <f>SUM(K15:K17)</f>
        <v/>
      </c>
      <c r="L18" s="35">
        <f>SUM(L15:L17)</f>
        <v/>
      </c>
      <c r="M18" s="35">
        <f>SUM(M15:M17)</f>
        <v/>
      </c>
      <c r="N18" s="35">
        <f>SUM(N15:N17)</f>
        <v/>
      </c>
      <c r="O18" s="35">
        <f>SUM(O15:O17)</f>
        <v/>
      </c>
      <c r="P18" s="35">
        <f>P15+P16+P17</f>
        <v/>
      </c>
      <c r="Q18" s="35">
        <f>Q15+Q16+Q17</f>
        <v/>
      </c>
      <c r="R18" s="35">
        <f>R15+R16+R17</f>
        <v/>
      </c>
      <c r="S18" s="35">
        <f>S15+S16+S17</f>
        <v/>
      </c>
      <c r="T18" s="84">
        <f>T15+T16+T17</f>
        <v/>
      </c>
      <c r="U18" s="84">
        <f>U15+U16+U17</f>
        <v/>
      </c>
      <c r="V18" s="84">
        <f>V15+V16+V17</f>
        <v/>
      </c>
      <c r="W18" s="17">
        <f>'Sales Forecast'!W17*Assumptions!$C$13+'Sales Forecast'!V17*Assumptions!$D$13+'Sales Forecast'!U17*Assumptions!$E$13+'Sales Forecast'!T17*Assumptions!$F$13+'Sales Forecast'!S17*Assumptions!$G$13+'Sales Forecast'!R17*Assumptions!$H$13+'Sales Forecast'!Q17*Assumptions!$I$13</f>
        <v/>
      </c>
      <c r="X18" s="17">
        <f>'Sales Forecast'!X17*Assumptions!$C$13+'Sales Forecast'!W17*Assumptions!$D$13+'Sales Forecast'!V17*Assumptions!$E$13+'Sales Forecast'!U17*Assumptions!$F$13+'Sales Forecast'!T17*Assumptions!$G$13+'Sales Forecast'!S17*Assumptions!$H$13+'Sales Forecast'!R17*Assumptions!$I$13</f>
        <v/>
      </c>
      <c r="Y18" s="17">
        <f>'Sales Forecast'!Y17*Assumptions!$C$13+'Sales Forecast'!X17*Assumptions!$D$13+'Sales Forecast'!W17*Assumptions!$E$13+'Sales Forecast'!V17*Assumptions!$F$13+'Sales Forecast'!U17*Assumptions!$G$13+'Sales Forecast'!T17*Assumptions!$H$13+'Sales Forecast'!S17*Assumptions!$I$13</f>
        <v/>
      </c>
      <c r="Z18" s="17">
        <f>'Sales Forecast'!Z17*Assumptions!$C$13+'Sales Forecast'!Y17*Assumptions!$D$13+'Sales Forecast'!X17*Assumptions!$E$13+'Sales Forecast'!W17*Assumptions!$F$13+'Sales Forecast'!V17*Assumptions!$G$13+'Sales Forecast'!U17*Assumptions!$H$13+'Sales Forecast'!T17*Assumptions!$I$13</f>
        <v/>
      </c>
      <c r="AA18" s="17">
        <f>'Sales Forecast'!AA17*Assumptions!$C$13+'Sales Forecast'!Z17*Assumptions!$D$13+'Sales Forecast'!Y17*Assumptions!$E$13+'Sales Forecast'!X17*Assumptions!$F$13+'Sales Forecast'!W17*Assumptions!$G$13+'Sales Forecast'!V17*Assumptions!$H$13+'Sales Forecast'!U17*Assumptions!$I$13</f>
        <v/>
      </c>
      <c r="AB18" s="17">
        <f>'Sales Forecast'!AB17*Assumptions!$C$13+'Sales Forecast'!AA17*Assumptions!$D$13+'Sales Forecast'!Z17*Assumptions!$E$13+'Sales Forecast'!Y17*Assumptions!$F$13+'Sales Forecast'!X17*Assumptions!$G$13+'Sales Forecast'!W17*Assumptions!$H$13+'Sales Forecast'!V17*Assumptions!$I$13</f>
        <v/>
      </c>
      <c r="AC18" s="17">
        <f>'Sales Forecast'!AC17*Assumptions!$C$13+'Sales Forecast'!AB17*Assumptions!$D$13+'Sales Forecast'!AA17*Assumptions!$E$13+'Sales Forecast'!Z17*Assumptions!$F$13+'Sales Forecast'!Y17*Assumptions!$G$13+'Sales Forecast'!X17*Assumptions!$H$13+'Sales Forecast'!W17*Assumptions!$I$13</f>
        <v/>
      </c>
      <c r="AD18" s="17">
        <f>'Sales Forecast'!AD17*Assumptions!$C$13+'Sales Forecast'!AC17*Assumptions!$D$13+'Sales Forecast'!AB17*Assumptions!$E$13+'Sales Forecast'!AA17*Assumptions!$F$13+'Sales Forecast'!Z17*Assumptions!$G$13+'Sales Forecast'!Y17*Assumptions!$H$13+'Sales Forecast'!X17*Assumptions!$I$13</f>
        <v/>
      </c>
      <c r="AE18" s="17">
        <f>'Sales Forecast'!AE17*Assumptions!$C$13+'Sales Forecast'!AD17*Assumptions!$D$13+'Sales Forecast'!AC17*Assumptions!$E$13+'Sales Forecast'!AB17*Assumptions!$F$13+'Sales Forecast'!AA17*Assumptions!$G$13+'Sales Forecast'!Z17*Assumptions!$H$13+'Sales Forecast'!Y17*Assumptions!$I$13</f>
        <v/>
      </c>
      <c r="AF18" s="17">
        <f>'Sales Forecast'!AF17*Assumptions!$C$13+'Sales Forecast'!AE17*Assumptions!$D$13+'Sales Forecast'!AD17*Assumptions!$E$13+'Sales Forecast'!AC17*Assumptions!$F$13+'Sales Forecast'!AB17*Assumptions!$G$13+'Sales Forecast'!AA17*Assumptions!$H$13+'Sales Forecast'!Z17*Assumptions!$I$13</f>
        <v/>
      </c>
      <c r="AG18" s="17">
        <f>'Sales Forecast'!AG17*Assumptions!$C$13+'Sales Forecast'!AF17*Assumptions!$D$13+'Sales Forecast'!AE17*Assumptions!$E$13+'Sales Forecast'!AD17*Assumptions!$F$13+'Sales Forecast'!AC17*Assumptions!$G$13+'Sales Forecast'!AB17*Assumptions!$H$13+'Sales Forecast'!AA17*Assumptions!$I$13</f>
        <v/>
      </c>
      <c r="AH18" s="17">
        <f>'Sales Forecast'!AH17*Assumptions!$C$13+'Sales Forecast'!AG17*Assumptions!$D$13+'Sales Forecast'!AF17*Assumptions!$E$13+'Sales Forecast'!AE17*Assumptions!$F$13+'Sales Forecast'!AD17*Assumptions!$G$13+'Sales Forecast'!AC17*Assumptions!$H$13+'Sales Forecast'!AB17*Assumptions!$I$13</f>
        <v/>
      </c>
      <c r="AI18" s="17">
        <f>'Sales Forecast'!AI17*Assumptions!$C$13+'Sales Forecast'!AH17*Assumptions!$D$13+'Sales Forecast'!AG17*Assumptions!$E$13+'Sales Forecast'!AF17*Assumptions!$F$13+'Sales Forecast'!AE17*Assumptions!$G$13+'Sales Forecast'!AD17*Assumptions!$H$13+'Sales Forecast'!AC17*Assumptions!$I$13</f>
        <v/>
      </c>
      <c r="AJ18" s="17">
        <f>'Sales Forecast'!AJ17*Assumptions!$C$13+'Sales Forecast'!AI17*Assumptions!$D$13+'Sales Forecast'!AH17*Assumptions!$E$13+'Sales Forecast'!AG17*Assumptions!$F$13+'Sales Forecast'!AF17*Assumptions!$G$13+'Sales Forecast'!AE17*Assumptions!$H$13+'Sales Forecast'!AD17*Assumptions!$I$13</f>
        <v/>
      </c>
      <c r="AK18" s="17">
        <f>'Sales Forecast'!AK17*Assumptions!$C$13+'Sales Forecast'!AJ17*Assumptions!$D$13+'Sales Forecast'!AI17*Assumptions!$E$13+'Sales Forecast'!AH17*Assumptions!$F$13+'Sales Forecast'!AG17*Assumptions!$G$13+'Sales Forecast'!AF17*Assumptions!$H$13+'Sales Forecast'!AE17*Assumptions!$I$13</f>
        <v/>
      </c>
      <c r="AL18" s="17">
        <f>'Sales Forecast'!AL17*Assumptions!$C$13+'Sales Forecast'!AK17*Assumptions!$D$13+'Sales Forecast'!AJ17*Assumptions!$E$13+'Sales Forecast'!AI17*Assumptions!$F$13+'Sales Forecast'!AH17*Assumptions!$G$13+'Sales Forecast'!AG17*Assumptions!$H$13+'Sales Forecast'!AF17*Assumptions!$I$13</f>
        <v/>
      </c>
      <c r="AM18" s="17">
        <f>'Sales Forecast'!AM17*Assumptions!$C$13+'Sales Forecast'!AL17*Assumptions!$D$13+'Sales Forecast'!AK17*Assumptions!$E$13+'Sales Forecast'!AJ17*Assumptions!$F$13+'Sales Forecast'!AI17*Assumptions!$G$13+'Sales Forecast'!AH17*Assumptions!$H$13+'Sales Forecast'!AG17*Assumptions!$I$13</f>
        <v/>
      </c>
      <c r="AN18" s="17">
        <f>'Sales Forecast'!AN17*Assumptions!$C$13+'Sales Forecast'!AM17*Assumptions!$D$13+'Sales Forecast'!AL17*Assumptions!$E$13+'Sales Forecast'!AK17*Assumptions!$F$13+'Sales Forecast'!AJ17*Assumptions!$G$13+'Sales Forecast'!AI17*Assumptions!$H$13+'Sales Forecast'!AH17*Assumptions!$I$13</f>
        <v/>
      </c>
      <c r="AO18" s="17">
        <f>'Sales Forecast'!AO17*Assumptions!$C$13+'Sales Forecast'!AN17*Assumptions!$D$13+'Sales Forecast'!AM17*Assumptions!$E$13+'Sales Forecast'!AL17*Assumptions!$F$13+'Sales Forecast'!AK17*Assumptions!$G$13+'Sales Forecast'!AJ17*Assumptions!$H$13+'Sales Forecast'!AI17*Assumptions!$I$13</f>
        <v/>
      </c>
      <c r="AP18" s="17">
        <f>'Sales Forecast'!AP17*Assumptions!$C$13+'Sales Forecast'!AO17*Assumptions!$D$13+'Sales Forecast'!AN17*Assumptions!$E$13+'Sales Forecast'!AM17*Assumptions!$F$13+'Sales Forecast'!AL17*Assumptions!$G$13+'Sales Forecast'!AK17*Assumptions!$H$13+'Sales Forecast'!AJ17*Assumptions!$I$13</f>
        <v/>
      </c>
      <c r="AQ18" s="17">
        <f>'Sales Forecast'!AQ17*Assumptions!$C$13+'Sales Forecast'!AP17*Assumptions!$D$13+'Sales Forecast'!AO17*Assumptions!$E$13+'Sales Forecast'!AN17*Assumptions!$F$13+'Sales Forecast'!AM17*Assumptions!$G$13+'Sales Forecast'!AL17*Assumptions!$H$13+'Sales Forecast'!AK17*Assumptions!$I$13</f>
        <v/>
      </c>
      <c r="AR18" s="17">
        <f>'Sales Forecast'!AR17*Assumptions!$C$13+'Sales Forecast'!AQ17*Assumptions!$D$13+'Sales Forecast'!AP17*Assumptions!$E$13+'Sales Forecast'!AO17*Assumptions!$F$13+'Sales Forecast'!AN17*Assumptions!$G$13+'Sales Forecast'!AM17*Assumptions!$H$13+'Sales Forecast'!AL17*Assumptions!$I$13</f>
        <v/>
      </c>
      <c r="AS18" s="17">
        <f>'Sales Forecast'!AS17*Assumptions!$C$13+'Sales Forecast'!AR17*Assumptions!$D$13+'Sales Forecast'!AQ17*Assumptions!$E$13+'Sales Forecast'!AP17*Assumptions!$F$13+'Sales Forecast'!AO17*Assumptions!$G$13+'Sales Forecast'!AN17*Assumptions!$H$13+'Sales Forecast'!AM17*Assumptions!$I$13</f>
        <v/>
      </c>
      <c r="AT18" s="17">
        <f>'Sales Forecast'!AT17*Assumptions!$C$13+'Sales Forecast'!AS17*Assumptions!$D$13+'Sales Forecast'!AR17*Assumptions!$E$13+'Sales Forecast'!AQ17*Assumptions!$F$13+'Sales Forecast'!AP17*Assumptions!$G$13+'Sales Forecast'!AO17*Assumptions!$H$13+'Sales Forecast'!AN17*Assumptions!$I$13</f>
        <v/>
      </c>
      <c r="AU18" s="17">
        <f>'Sales Forecast'!AU17*Assumptions!$C$13+'Sales Forecast'!AT17*Assumptions!$D$13+'Sales Forecast'!AS17*Assumptions!$E$13+'Sales Forecast'!AR17*Assumptions!$F$13+'Sales Forecast'!AQ17*Assumptions!$G$13+'Sales Forecast'!AP17*Assumptions!$H$13+'Sales Forecast'!AO17*Assumptions!$I$13</f>
        <v/>
      </c>
      <c r="AV18" s="17">
        <f>'Sales Forecast'!AV17*Assumptions!$C$13+'Sales Forecast'!AU17*Assumptions!$D$13+'Sales Forecast'!AT17*Assumptions!$E$13+'Sales Forecast'!AS17*Assumptions!$F$13+'Sales Forecast'!AR17*Assumptions!$G$13+'Sales Forecast'!AQ17*Assumptions!$H$13+'Sales Forecast'!AP17*Assumptions!$I$13</f>
        <v/>
      </c>
      <c r="AW18" s="17">
        <f>'Sales Forecast'!AW17*Assumptions!$C$13+'Sales Forecast'!AV17*Assumptions!$D$13+'Sales Forecast'!AU17*Assumptions!$E$13+'Sales Forecast'!AT17*Assumptions!$F$13+'Sales Forecast'!AS17*Assumptions!$G$13+'Sales Forecast'!AR17*Assumptions!$H$13+'Sales Forecast'!AQ17*Assumptions!$I$13</f>
        <v/>
      </c>
      <c r="AX18" s="17">
        <f>'Sales Forecast'!AX17*Assumptions!$C$13+'Sales Forecast'!AW17*Assumptions!$D$13+'Sales Forecast'!AV17*Assumptions!$E$13+'Sales Forecast'!AU17*Assumptions!$F$13+'Sales Forecast'!AT17*Assumptions!$G$13+'Sales Forecast'!AS17*Assumptions!$H$13+'Sales Forecast'!AR17*Assumptions!$I$13</f>
        <v/>
      </c>
      <c r="AY18" s="17">
        <f>'Sales Forecast'!AY17*Assumptions!$C$13+'Sales Forecast'!AX17*Assumptions!$D$13+'Sales Forecast'!AW17*Assumptions!$E$13+'Sales Forecast'!AV17*Assumptions!$F$13+'Sales Forecast'!AU17*Assumptions!$G$13+'Sales Forecast'!AT17*Assumptions!$H$13+'Sales Forecast'!AS17*Assumptions!$I$13</f>
        <v/>
      </c>
      <c r="BA18" s="288" t="n"/>
    </row>
    <row r="19">
      <c r="B19" s="33" t="inlineStr">
        <is>
          <t xml:space="preserve">  404000 Retail Sales</t>
        </is>
      </c>
      <c r="D19" s="19" t="n">
        <v>6152</v>
      </c>
      <c r="E19" s="19" t="n">
        <v>3339.92</v>
      </c>
      <c r="F19" s="19" t="n">
        <v>2502</v>
      </c>
      <c r="G19" s="19" t="n">
        <v>2155</v>
      </c>
      <c r="H19" s="19" t="n">
        <v>2116</v>
      </c>
      <c r="I19" s="19" t="n">
        <v>1734</v>
      </c>
      <c r="J19" s="19" t="n">
        <v>2791</v>
      </c>
      <c r="K19" s="19" t="n">
        <v>2366</v>
      </c>
      <c r="L19" s="19" t="n">
        <v>1863</v>
      </c>
      <c r="M19" s="19" t="n">
        <v>2455</v>
      </c>
      <c r="N19" s="19" t="n">
        <v>1235</v>
      </c>
      <c r="O19" s="19" t="n">
        <v>1964</v>
      </c>
      <c r="P19" s="19" t="n">
        <v>2763</v>
      </c>
      <c r="Q19" s="19" t="n">
        <v>2407</v>
      </c>
      <c r="R19" s="19" t="n">
        <v>1522</v>
      </c>
      <c r="S19" s="19" t="n">
        <v>1074</v>
      </c>
      <c r="T19" s="83" t="n">
        <v>1255</v>
      </c>
      <c r="U19" s="83" t="n">
        <v>1371</v>
      </c>
      <c r="V19" s="83" t="n">
        <v>1182</v>
      </c>
      <c r="W19" s="20">
        <f>1941.5</f>
        <v/>
      </c>
      <c r="X19" s="20">
        <f>1941.5</f>
        <v/>
      </c>
      <c r="Y19" s="20">
        <f>1941.5</f>
        <v/>
      </c>
      <c r="Z19" s="20">
        <f>1941.5</f>
        <v/>
      </c>
      <c r="AA19" s="20">
        <f>1941.5</f>
        <v/>
      </c>
      <c r="AB19" s="20">
        <f>1941.5</f>
        <v/>
      </c>
      <c r="AC19" s="20">
        <f>1941.5</f>
        <v/>
      </c>
      <c r="AD19" s="20">
        <f>1941.5</f>
        <v/>
      </c>
      <c r="AE19" s="20">
        <f>1941.5</f>
        <v/>
      </c>
      <c r="AF19" s="20">
        <f>1941.5</f>
        <v/>
      </c>
      <c r="AG19" s="20">
        <f>1941.5</f>
        <v/>
      </c>
      <c r="AH19" s="20">
        <f>1941.5</f>
        <v/>
      </c>
      <c r="AI19" s="20">
        <f>1941.5</f>
        <v/>
      </c>
      <c r="AJ19" s="20">
        <f>1941.5</f>
        <v/>
      </c>
      <c r="AK19" s="20">
        <f>1941.5</f>
        <v/>
      </c>
      <c r="AL19" s="20">
        <f>1941.5</f>
        <v/>
      </c>
      <c r="AM19" s="20">
        <f>1941.5</f>
        <v/>
      </c>
      <c r="AN19" s="20">
        <f>1941.5</f>
        <v/>
      </c>
      <c r="AO19" s="20">
        <f>1941.5</f>
        <v/>
      </c>
      <c r="AP19" s="20">
        <f>1941.5</f>
        <v/>
      </c>
      <c r="AQ19" s="20">
        <f>1941.5</f>
        <v/>
      </c>
      <c r="AR19" s="20">
        <f>1941.5</f>
        <v/>
      </c>
      <c r="AS19" s="20">
        <f>1941.5</f>
        <v/>
      </c>
      <c r="AT19" s="20">
        <f>1941.5</f>
        <v/>
      </c>
      <c r="AU19" s="20">
        <f>1941.5</f>
        <v/>
      </c>
      <c r="AV19" s="20">
        <f>1941.5</f>
        <v/>
      </c>
      <c r="AW19" s="20">
        <f>1941.5</f>
        <v/>
      </c>
      <c r="AX19" s="20">
        <f>1941.5</f>
        <v/>
      </c>
      <c r="AY19" s="20">
        <f>1941.5</f>
        <v/>
      </c>
      <c r="BA19" s="288">
        <f>SUM(I19:T19)</f>
        <v/>
      </c>
      <c r="BB19" s="274">
        <f>BA19/$BA$22</f>
        <v/>
      </c>
    </row>
    <row r="20">
      <c r="B20" s="33" t="inlineStr">
        <is>
          <t xml:space="preserve">  406000 Refunds</t>
        </is>
      </c>
      <c r="D20" s="19" t="n">
        <v>-385</v>
      </c>
      <c r="E20" s="19" t="n">
        <v>-58</v>
      </c>
      <c r="F20" s="19" t="n">
        <v>-1918</v>
      </c>
      <c r="G20" s="19" t="n">
        <v>-565</v>
      </c>
      <c r="H20" s="19" t="n">
        <v>-1870</v>
      </c>
      <c r="I20" s="19" t="n">
        <v>-3281</v>
      </c>
      <c r="J20" s="19" t="n">
        <v>-1484</v>
      </c>
      <c r="K20" s="19" t="n">
        <v>0</v>
      </c>
      <c r="L20" s="19" t="n">
        <v>-3722</v>
      </c>
      <c r="M20" s="19" t="n">
        <v>-1053</v>
      </c>
      <c r="N20" s="19" t="n">
        <v>-1318.5</v>
      </c>
      <c r="O20" s="19" t="n">
        <v>-1619.5</v>
      </c>
      <c r="P20" s="19" t="n">
        <v>-4628.5</v>
      </c>
      <c r="Q20" s="19" t="n">
        <v>-694.5</v>
      </c>
      <c r="R20" s="19" t="n">
        <v>-2634.25</v>
      </c>
      <c r="S20" s="19" t="n">
        <v>-160</v>
      </c>
      <c r="T20" s="19" t="n">
        <v>-969</v>
      </c>
      <c r="U20" s="19" t="n">
        <v>-2811.3</v>
      </c>
      <c r="V20" s="19" t="n">
        <v>-852.75</v>
      </c>
      <c r="W20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Forecast'!Q17*Assumptions!$I$13+1941.5)*Assumptions!$C$17</f>
        <v/>
      </c>
      <c r="X20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Forecast'!R17*Assumptions!$I$13+1941.5)*Assumptions!$C$17</f>
        <v/>
      </c>
      <c r="Y20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Forecast'!S17*Assumptions!$I$13+1941.5)*Assumptions!$C$17</f>
        <v/>
      </c>
      <c r="Z20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Forecast'!T17*Assumptions!$I$13+1941.5)*Assumptions!$C$17</f>
        <v/>
      </c>
      <c r="AA20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Forecast'!U17*Assumptions!$I$13+1941.5)*Assumptions!$C$17</f>
        <v/>
      </c>
      <c r="AB20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Forecast'!V17*Assumptions!$I$13+1941.5)*Assumptions!$C$17</f>
        <v/>
      </c>
      <c r="AC20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Forecast'!W17*Assumptions!$I$13+1941.5)*Assumptions!$C$17</f>
        <v/>
      </c>
      <c r="AD20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Forecast'!X17*Assumptions!$I$13+1941.5)*Assumptions!$C$17</f>
        <v/>
      </c>
      <c r="AE20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Forecast'!Y17*Assumptions!$I$13+1941.5)*Assumptions!$C$17</f>
        <v/>
      </c>
      <c r="AF20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Forecast'!Z17*Assumptions!$I$13+1941.5)*Assumptions!$C$17</f>
        <v/>
      </c>
      <c r="AG20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Forecast'!AA17*Assumptions!$I$13+1941.5)*Assumptions!$C$17</f>
        <v/>
      </c>
      <c r="AH20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Forecast'!AB17*Assumptions!$I$13+1941.5)*Assumptions!$C$17</f>
        <v/>
      </c>
      <c r="AI20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Forecast'!AC17*Assumptions!$I$13+1941.5)*Assumptions!$C$17</f>
        <v/>
      </c>
      <c r="AJ20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Forecast'!AD17*Assumptions!$I$13+1941.5)*Assumptions!$C$17</f>
        <v/>
      </c>
      <c r="AK20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Forecast'!AE17*Assumptions!$I$13+1941.5)*Assumptions!$C$17</f>
        <v/>
      </c>
      <c r="AL20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Forecast'!AF17*Assumptions!$I$13+1941.5)*Assumptions!$C$17</f>
        <v/>
      </c>
      <c r="AM20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Forecast'!AG17*Assumptions!$I$13+1941.5)*Assumptions!$C$17</f>
        <v/>
      </c>
      <c r="AN20" s="20">
        <f>('Sales Forecast'!AN17*Assumptions!$C$12+'Sales Forecast'!AM17*Assumptions!$D$12+'Sales Forecast'!AL17*Assumptions!$E$12+'Sales Forecast'!AK17*Assumptions!$F$12+'Sales Forecast'!AJ17*Assumptions!$G$12+'Sales Forecast'!AI17*Assumptions!$H$12+'Sales Forecast'!AH17*Assumptions!$I$12+'Sales Forecast'!AN17*Assumptions!$C$13+'Sales Forecast'!AM17*Assumptions!$D$13+'Sales Forecast'!AL17*Assumptions!$E$13+'Sales Forecast'!AK17*Assumptions!$F$13+'Sales Forecast'!AJ17*Assumptions!$G$13+'Sales Forecast'!AI17*Assumptions!$H$13+'Sales Forecast'!AH17*Assumptions!$I$13+1941.5)*Assumptions!$C$17</f>
        <v/>
      </c>
      <c r="AO20" s="20">
        <f>('Sales Forecast'!AO17*Assumptions!$C$12+'Sales Forecast'!AN17*Assumptions!$D$12+'Sales Forecast'!AM17*Assumptions!$E$12+'Sales Forecast'!AL17*Assumptions!$F$12+'Sales Forecast'!AK17*Assumptions!$G$12+'Sales Forecast'!AJ17*Assumptions!$H$12+'Sales Forecast'!AI17*Assumptions!$I$12+'Sales Forecast'!AO17*Assumptions!$C$13+'Sales Forecast'!AN17*Assumptions!$D$13+'Sales Forecast'!AM17*Assumptions!$E$13+'Sales Forecast'!AL17*Assumptions!$F$13+'Sales Forecast'!AK17*Assumptions!$G$13+'Sales Forecast'!AJ17*Assumptions!$H$13+'Sales Forecast'!AI17*Assumptions!$I$13+1941.5)*Assumptions!$C$17</f>
        <v/>
      </c>
      <c r="AP20" s="20">
        <f>('Sales Forecast'!AP17*Assumptions!$C$12+'Sales Forecast'!AO17*Assumptions!$D$12+'Sales Forecast'!AN17*Assumptions!$E$12+'Sales Forecast'!AM17*Assumptions!$F$12+'Sales Forecast'!AL17*Assumptions!$G$12+'Sales Forecast'!AK17*Assumptions!$H$12+'Sales Forecast'!AJ17*Assumptions!$I$12+'Sales Forecast'!AP17*Assumptions!$C$13+'Sales Forecast'!AO17*Assumptions!$D$13+'Sales Forecast'!AN17*Assumptions!$E$13+'Sales Forecast'!AM17*Assumptions!$F$13+'Sales Forecast'!AL17*Assumptions!$G$13+'Sales Forecast'!AK17*Assumptions!$H$13+'Sales Forecast'!AJ17*Assumptions!$I$13+1941.5)*Assumptions!$C$17</f>
        <v/>
      </c>
      <c r="AQ20" s="20">
        <f>('Sales Forecast'!AQ17*Assumptions!$C$12+'Sales Forecast'!AP17*Assumptions!$D$12+'Sales Forecast'!AO17*Assumptions!$E$12+'Sales Forecast'!AN17*Assumptions!$F$12+'Sales Forecast'!AM17*Assumptions!$G$12+'Sales Forecast'!AL17*Assumptions!$H$12+'Sales Forecast'!AK17*Assumptions!$I$12+'Sales Forecast'!AQ17*Assumptions!$C$13+'Sales Forecast'!AP17*Assumptions!$D$13+'Sales Forecast'!AO17*Assumptions!$E$13+'Sales Forecast'!AN17*Assumptions!$F$13+'Sales Forecast'!AM17*Assumptions!$G$13+'Sales Forecast'!AL17*Assumptions!$H$13+'Sales Forecast'!AK17*Assumptions!$I$13+1941.5)*Assumptions!$C$17</f>
        <v/>
      </c>
      <c r="AR20" s="20">
        <f>('Sales Forecast'!AR17*Assumptions!$C$12+'Sales Forecast'!AQ17*Assumptions!$D$12+'Sales Forecast'!AP17*Assumptions!$E$12+'Sales Forecast'!AO17*Assumptions!$F$12+'Sales Forecast'!AN17*Assumptions!$G$12+'Sales Forecast'!AM17*Assumptions!$H$12+'Sales Forecast'!AL17*Assumptions!$I$12+'Sales Forecast'!AR17*Assumptions!$C$13+'Sales Forecast'!AQ17*Assumptions!$D$13+'Sales Forecast'!AP17*Assumptions!$E$13+'Sales Forecast'!AO17*Assumptions!$F$13+'Sales Forecast'!AN17*Assumptions!$G$13+'Sales Forecast'!AM17*Assumptions!$H$13+'Sales Forecast'!AL17*Assumptions!$I$13+1941.5)*Assumptions!$C$17</f>
        <v/>
      </c>
      <c r="AS20" s="20">
        <f>('Sales Forecast'!AS17*Assumptions!$C$12+'Sales Forecast'!AR17*Assumptions!$D$12+'Sales Forecast'!AQ17*Assumptions!$E$12+'Sales Forecast'!AP17*Assumptions!$F$12+'Sales Forecast'!AO17*Assumptions!$G$12+'Sales Forecast'!AN17*Assumptions!$H$12+'Sales Forecast'!AM17*Assumptions!$I$12+'Sales Forecast'!AS17*Assumptions!$C$13+'Sales Forecast'!AR17*Assumptions!$D$13+'Sales Forecast'!AQ17*Assumptions!$E$13+'Sales Forecast'!AP17*Assumptions!$F$13+'Sales Forecast'!AO17*Assumptions!$G$13+'Sales Forecast'!AN17*Assumptions!$H$13+'Sales Forecast'!AM17*Assumptions!$I$13+1941.5)*Assumptions!$C$17</f>
        <v/>
      </c>
      <c r="AT20" s="20">
        <f>('Sales Forecast'!AT17*Assumptions!$C$12+'Sales Forecast'!AS17*Assumptions!$D$12+'Sales Forecast'!AR17*Assumptions!$E$12+'Sales Forecast'!AQ17*Assumptions!$F$12+'Sales Forecast'!AP17*Assumptions!$G$12+'Sales Forecast'!AO17*Assumptions!$H$12+'Sales Forecast'!AN17*Assumptions!$I$12+'Sales Forecast'!AT17*Assumptions!$C$13+'Sales Forecast'!AS17*Assumptions!$D$13+'Sales Forecast'!AR17*Assumptions!$E$13+'Sales Forecast'!AQ17*Assumptions!$F$13+'Sales Forecast'!AP17*Assumptions!$G$13+'Sales Forecast'!AO17*Assumptions!$H$13+'Sales Forecast'!AN17*Assumptions!$I$13+1941.5)*Assumptions!$C$17</f>
        <v/>
      </c>
      <c r="AU20" s="20">
        <f>('Sales Forecast'!AU17*Assumptions!$C$12+'Sales Forecast'!AT17*Assumptions!$D$12+'Sales Forecast'!AS17*Assumptions!$E$12+'Sales Forecast'!AR17*Assumptions!$F$12+'Sales Forecast'!AQ17*Assumptions!$G$12+'Sales Forecast'!AP17*Assumptions!$H$12+'Sales Forecast'!AO17*Assumptions!$I$12+'Sales Forecast'!AU17*Assumptions!$C$13+'Sales Forecast'!AT17*Assumptions!$D$13+'Sales Forecast'!AS17*Assumptions!$E$13+'Sales Forecast'!AR17*Assumptions!$F$13+'Sales Forecast'!AQ17*Assumptions!$G$13+'Sales Forecast'!AP17*Assumptions!$H$13+'Sales Forecast'!AO17*Assumptions!$I$13+1941.5)*Assumptions!$C$17</f>
        <v/>
      </c>
      <c r="AV20" s="20">
        <f>('Sales Forecast'!AV17*Assumptions!$C$12+'Sales Forecast'!AU17*Assumptions!$D$12+'Sales Forecast'!AT17*Assumptions!$E$12+'Sales Forecast'!AS17*Assumptions!$F$12+'Sales Forecast'!AR17*Assumptions!$G$12+'Sales Forecast'!AQ17*Assumptions!$H$12+'Sales Forecast'!AP17*Assumptions!$I$12+'Sales Forecast'!AV17*Assumptions!$C$13+'Sales Forecast'!AU17*Assumptions!$D$13+'Sales Forecast'!AT17*Assumptions!$E$13+'Sales Forecast'!AS17*Assumptions!$F$13+'Sales Forecast'!AR17*Assumptions!$G$13+'Sales Forecast'!AQ17*Assumptions!$H$13+'Sales Forecast'!AP17*Assumptions!$I$13+1941.5)*Assumptions!$C$17</f>
        <v/>
      </c>
      <c r="AW20" s="20">
        <f>('Sales Forecast'!AW17*Assumptions!$C$12+'Sales Forecast'!AV17*Assumptions!$D$12+'Sales Forecast'!AU17*Assumptions!$E$12+'Sales Forecast'!AT17*Assumptions!$F$12+'Sales Forecast'!AS17*Assumptions!$G$12+'Sales Forecast'!AR17*Assumptions!$H$12+'Sales Forecast'!AQ17*Assumptions!$I$12+'Sales Forecast'!AW17*Assumptions!$C$13+'Sales Forecast'!AV17*Assumptions!$D$13+'Sales Forecast'!AU17*Assumptions!$E$13+'Sales Forecast'!AT17*Assumptions!$F$13+'Sales Forecast'!AS17*Assumptions!$G$13+'Sales Forecast'!AR17*Assumptions!$H$13+'Sales Forecast'!AQ17*Assumptions!$I$13+1941.5)*Assumptions!$C$17</f>
        <v/>
      </c>
      <c r="AX20" s="20">
        <f>('Sales Forecast'!AX17*Assumptions!$C$12+'Sales Forecast'!AW17*Assumptions!$D$12+'Sales Forecast'!AV17*Assumptions!$E$12+'Sales Forecast'!AU17*Assumptions!$F$12+'Sales Forecast'!AT17*Assumptions!$G$12+'Sales Forecast'!AS17*Assumptions!$H$12+'Sales Forecast'!AR17*Assumptions!$I$12+'Sales Forecast'!AX17*Assumptions!$C$13+'Sales Forecast'!AW17*Assumptions!$D$13+'Sales Forecast'!AV17*Assumptions!$E$13+'Sales Forecast'!AU17*Assumptions!$F$13+'Sales Forecast'!AT17*Assumptions!$G$13+'Sales Forecast'!AS17*Assumptions!$H$13+'Sales Forecast'!AR17*Assumptions!$I$13+1941.5)*Assumptions!$C$17</f>
        <v/>
      </c>
      <c r="AY20" s="20">
        <f>('Sales Forecast'!AY17*Assumptions!$C$12+'Sales Forecast'!AX17*Assumptions!$D$12+'Sales Forecast'!AW17*Assumptions!$E$12+'Sales Forecast'!AV17*Assumptions!$F$12+'Sales Forecast'!AU17*Assumptions!$G$12+'Sales Forecast'!AT17*Assumptions!$H$12+'Sales Forecast'!AS17*Assumptions!$I$12+'Sales Forecast'!AY17*Assumptions!$C$13+'Sales Forecast'!AX17*Assumptions!$D$13+'Sales Forecast'!AW17*Assumptions!$E$13+'Sales Forecast'!AV17*Assumptions!$F$13+'Sales Forecast'!AU17*Assumptions!$G$13+'Sales Forecast'!AT17*Assumptions!$H$13+'Sales Forecast'!AS17*Assumptions!$I$13+1941.5)*Assumptions!$C$17</f>
        <v/>
      </c>
      <c r="BA20" s="288">
        <f>SUM(I20:T20)</f>
        <v/>
      </c>
      <c r="BB20" s="274">
        <f>BA20/$BA$22</f>
        <v/>
      </c>
    </row>
    <row r="21">
      <c r="B21" s="33" t="inlineStr">
        <is>
          <t xml:space="preserve">  407000 Discounts</t>
        </is>
      </c>
      <c r="D21" s="19" t="n">
        <v>-11260.9</v>
      </c>
      <c r="E21" s="19" t="n">
        <v>-10833.7</v>
      </c>
      <c r="F21" s="19" t="n">
        <v>-13115.9</v>
      </c>
      <c r="G21" s="19" t="n">
        <v>-9269.83</v>
      </c>
      <c r="H21" s="19" t="n">
        <v>-8808</v>
      </c>
      <c r="I21" s="19" t="n">
        <v>-6955.6</v>
      </c>
      <c r="J21" s="19" t="n">
        <v>-3731.55</v>
      </c>
      <c r="K21" s="19" t="n">
        <v>-8091</v>
      </c>
      <c r="L21" s="19" t="n">
        <v>-8771.5</v>
      </c>
      <c r="M21" s="19" t="n">
        <v>-5432.72</v>
      </c>
      <c r="N21" s="19" t="n">
        <v>-5242.4</v>
      </c>
      <c r="O21" s="19" t="n">
        <v>-2693.2</v>
      </c>
      <c r="P21" s="19" t="n">
        <v>-2292.4</v>
      </c>
      <c r="Q21" s="19" t="n">
        <v>-4554.8</v>
      </c>
      <c r="R21" s="19" t="n">
        <v>-4726.3</v>
      </c>
      <c r="S21" s="19" t="n">
        <v>-3387.4</v>
      </c>
      <c r="T21" s="19" t="n">
        <v>-2775.4</v>
      </c>
      <c r="U21" s="19" t="n">
        <v>-2417.2</v>
      </c>
      <c r="V21" s="19" t="n">
        <v>-4945.93</v>
      </c>
      <c r="W21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Forecast'!Q17*Assumptions!$I$13+1941.5)*Assumptions!$C$18</f>
        <v/>
      </c>
      <c r="X21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Forecast'!R17*Assumptions!$I$13+1941.5)*Assumptions!$C$18</f>
        <v/>
      </c>
      <c r="Y21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Forecast'!S17*Assumptions!$I$13+1941.5)*Assumptions!$C$18</f>
        <v/>
      </c>
      <c r="Z21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Forecast'!T17*Assumptions!$I$13+1941.5)*Assumptions!$C$18</f>
        <v/>
      </c>
      <c r="AA21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Forecast'!U17*Assumptions!$I$13+1941.5)*Assumptions!$C$18</f>
        <v/>
      </c>
      <c r="AB21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Forecast'!V17*Assumptions!$I$13+1941.5)*Assumptions!$C$18</f>
        <v/>
      </c>
      <c r="AC21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Forecast'!W17*Assumptions!$I$13+1941.5)*Assumptions!$C$18</f>
        <v/>
      </c>
      <c r="AD21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Forecast'!X17*Assumptions!$I$13+1941.5)*Assumptions!$C$18</f>
        <v/>
      </c>
      <c r="AE21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Forecast'!Y17*Assumptions!$I$13+1941.5)*Assumptions!$C$18</f>
        <v/>
      </c>
      <c r="AF21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Forecast'!Z17*Assumptions!$I$13+1941.5)*Assumptions!$C$18</f>
        <v/>
      </c>
      <c r="AG21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Forecast'!AA17*Assumptions!$I$13+1941.5)*Assumptions!$C$18</f>
        <v/>
      </c>
      <c r="AH21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Forecast'!AB17*Assumptions!$I$13+1941.5)*Assumptions!$C$18</f>
        <v/>
      </c>
      <c r="AI21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Forecast'!AC17*Assumptions!$I$13+1941.5)*Assumptions!$C$18</f>
        <v/>
      </c>
      <c r="AJ21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Forecast'!AD17*Assumptions!$I$13+1941.5)*Assumptions!$C$18</f>
        <v/>
      </c>
      <c r="AK21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Forecast'!AE17*Assumptions!$I$13+1941.5)*Assumptions!$C$18</f>
        <v/>
      </c>
      <c r="AL21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Forecast'!AF17*Assumptions!$I$13+1941.5)*Assumptions!$C$18</f>
        <v/>
      </c>
      <c r="AM21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Forecast'!AG17*Assumptions!$I$13+1941.5)*Assumptions!$C$18</f>
        <v/>
      </c>
      <c r="AN21" s="20">
        <f>('Sales Forecast'!AN17*Assumptions!$C$12+'Sales Forecast'!AM17*Assumptions!$D$12+'Sales Forecast'!AL17*Assumptions!$E$12+'Sales Forecast'!AK17*Assumptions!$F$12+'Sales Forecast'!AJ17*Assumptions!$G$12+'Sales Forecast'!AI17*Assumptions!$H$12+'Sales Forecast'!AH17*Assumptions!$I$12+'Sales Forecast'!AN17*Assumptions!$C$13+'Sales Forecast'!AM17*Assumptions!$D$13+'Sales Forecast'!AL17*Assumptions!$E$13+'Sales Forecast'!AK17*Assumptions!$F$13+'Sales Forecast'!AJ17*Assumptions!$G$13+'Sales Forecast'!AI17*Assumptions!$H$13+'Sales Forecast'!AH17*Assumptions!$I$13+1941.5)*Assumptions!$C$18</f>
        <v/>
      </c>
      <c r="AO21" s="20">
        <f>('Sales Forecast'!AO17*Assumptions!$C$12+'Sales Forecast'!AN17*Assumptions!$D$12+'Sales Forecast'!AM17*Assumptions!$E$12+'Sales Forecast'!AL17*Assumptions!$F$12+'Sales Forecast'!AK17*Assumptions!$G$12+'Sales Forecast'!AJ17*Assumptions!$H$12+'Sales Forecast'!AI17*Assumptions!$I$12+'Sales Forecast'!AO17*Assumptions!$C$13+'Sales Forecast'!AN17*Assumptions!$D$13+'Sales Forecast'!AM17*Assumptions!$E$13+'Sales Forecast'!AL17*Assumptions!$F$13+'Sales Forecast'!AK17*Assumptions!$G$13+'Sales Forecast'!AJ17*Assumptions!$H$13+'Sales Forecast'!AI17*Assumptions!$I$13+1941.5)*Assumptions!$C$18</f>
        <v/>
      </c>
      <c r="AP21" s="20">
        <f>('Sales Forecast'!AP17*Assumptions!$C$12+'Sales Forecast'!AO17*Assumptions!$D$12+'Sales Forecast'!AN17*Assumptions!$E$12+'Sales Forecast'!AM17*Assumptions!$F$12+'Sales Forecast'!AL17*Assumptions!$G$12+'Sales Forecast'!AK17*Assumptions!$H$12+'Sales Forecast'!AJ17*Assumptions!$I$12+'Sales Forecast'!AP17*Assumptions!$C$13+'Sales Forecast'!AO17*Assumptions!$D$13+'Sales Forecast'!AN17*Assumptions!$E$13+'Sales Forecast'!AM17*Assumptions!$F$13+'Sales Forecast'!AL17*Assumptions!$G$13+'Sales Forecast'!AK17*Assumptions!$H$13+'Sales Forecast'!AJ17*Assumptions!$I$13+1941.5)*Assumptions!$C$18</f>
        <v/>
      </c>
      <c r="AQ21" s="20">
        <f>('Sales Forecast'!AQ17*Assumptions!$C$12+'Sales Forecast'!AP17*Assumptions!$D$12+'Sales Forecast'!AO17*Assumptions!$E$12+'Sales Forecast'!AN17*Assumptions!$F$12+'Sales Forecast'!AM17*Assumptions!$G$12+'Sales Forecast'!AL17*Assumptions!$H$12+'Sales Forecast'!AK17*Assumptions!$I$12+'Sales Forecast'!AQ17*Assumptions!$C$13+'Sales Forecast'!AP17*Assumptions!$D$13+'Sales Forecast'!AO17*Assumptions!$E$13+'Sales Forecast'!AN17*Assumptions!$F$13+'Sales Forecast'!AM17*Assumptions!$G$13+'Sales Forecast'!AL17*Assumptions!$H$13+'Sales Forecast'!AK17*Assumptions!$I$13+1941.5)*Assumptions!$C$18</f>
        <v/>
      </c>
      <c r="AR21" s="20">
        <f>('Sales Forecast'!AR17*Assumptions!$C$12+'Sales Forecast'!AQ17*Assumptions!$D$12+'Sales Forecast'!AP17*Assumptions!$E$12+'Sales Forecast'!AO17*Assumptions!$F$12+'Sales Forecast'!AN17*Assumptions!$G$12+'Sales Forecast'!AM17*Assumptions!$H$12+'Sales Forecast'!AL17*Assumptions!$I$12+'Sales Forecast'!AR17*Assumptions!$C$13+'Sales Forecast'!AQ17*Assumptions!$D$13+'Sales Forecast'!AP17*Assumptions!$E$13+'Sales Forecast'!AO17*Assumptions!$F$13+'Sales Forecast'!AN17*Assumptions!$G$13+'Sales Forecast'!AM17*Assumptions!$H$13+'Sales Forecast'!AL17*Assumptions!$I$13+1941.5)*Assumptions!$C$18</f>
        <v/>
      </c>
      <c r="AS21" s="20">
        <f>('Sales Forecast'!AS17*Assumptions!$C$12+'Sales Forecast'!AR17*Assumptions!$D$12+'Sales Forecast'!AQ17*Assumptions!$E$12+'Sales Forecast'!AP17*Assumptions!$F$12+'Sales Forecast'!AO17*Assumptions!$G$12+'Sales Forecast'!AN17*Assumptions!$H$12+'Sales Forecast'!AM17*Assumptions!$I$12+'Sales Forecast'!AS17*Assumptions!$C$13+'Sales Forecast'!AR17*Assumptions!$D$13+'Sales Forecast'!AQ17*Assumptions!$E$13+'Sales Forecast'!AP17*Assumptions!$F$13+'Sales Forecast'!AO17*Assumptions!$G$13+'Sales Forecast'!AN17*Assumptions!$H$13+'Sales Forecast'!AM17*Assumptions!$I$13+1941.5)*Assumptions!$C$18</f>
        <v/>
      </c>
      <c r="AT21" s="20">
        <f>('Sales Forecast'!AT17*Assumptions!$C$12+'Sales Forecast'!AS17*Assumptions!$D$12+'Sales Forecast'!AR17*Assumptions!$E$12+'Sales Forecast'!AQ17*Assumptions!$F$12+'Sales Forecast'!AP17*Assumptions!$G$12+'Sales Forecast'!AO17*Assumptions!$H$12+'Sales Forecast'!AN17*Assumptions!$I$12+'Sales Forecast'!AT17*Assumptions!$C$13+'Sales Forecast'!AS17*Assumptions!$D$13+'Sales Forecast'!AR17*Assumptions!$E$13+'Sales Forecast'!AQ17*Assumptions!$F$13+'Sales Forecast'!AP17*Assumptions!$G$13+'Sales Forecast'!AO17*Assumptions!$H$13+'Sales Forecast'!AN17*Assumptions!$I$13+1941.5)*Assumptions!$C$18</f>
        <v/>
      </c>
      <c r="AU21" s="20">
        <f>('Sales Forecast'!AU17*Assumptions!$C$12+'Sales Forecast'!AT17*Assumptions!$D$12+'Sales Forecast'!AS17*Assumptions!$E$12+'Sales Forecast'!AR17*Assumptions!$F$12+'Sales Forecast'!AQ17*Assumptions!$G$12+'Sales Forecast'!AP17*Assumptions!$H$12+'Sales Forecast'!AO17*Assumptions!$I$12+'Sales Forecast'!AU17*Assumptions!$C$13+'Sales Forecast'!AT17*Assumptions!$D$13+'Sales Forecast'!AS17*Assumptions!$E$13+'Sales Forecast'!AR17*Assumptions!$F$13+'Sales Forecast'!AQ17*Assumptions!$G$13+'Sales Forecast'!AP17*Assumptions!$H$13+'Sales Forecast'!AO17*Assumptions!$I$13+1941.5)*Assumptions!$C$18</f>
        <v/>
      </c>
      <c r="AV21" s="20">
        <f>('Sales Forecast'!AV17*Assumptions!$C$12+'Sales Forecast'!AU17*Assumptions!$D$12+'Sales Forecast'!AT17*Assumptions!$E$12+'Sales Forecast'!AS17*Assumptions!$F$12+'Sales Forecast'!AR17*Assumptions!$G$12+'Sales Forecast'!AQ17*Assumptions!$H$12+'Sales Forecast'!AP17*Assumptions!$I$12+'Sales Forecast'!AV17*Assumptions!$C$13+'Sales Forecast'!AU17*Assumptions!$D$13+'Sales Forecast'!AT17*Assumptions!$E$13+'Sales Forecast'!AS17*Assumptions!$F$13+'Sales Forecast'!AR17*Assumptions!$G$13+'Sales Forecast'!AQ17*Assumptions!$H$13+'Sales Forecast'!AP17*Assumptions!$I$13+1941.5)*Assumptions!$C$18</f>
        <v/>
      </c>
      <c r="AW21" s="20">
        <f>('Sales Forecast'!AW17*Assumptions!$C$12+'Sales Forecast'!AV17*Assumptions!$D$12+'Sales Forecast'!AU17*Assumptions!$E$12+'Sales Forecast'!AT17*Assumptions!$F$12+'Sales Forecast'!AS17*Assumptions!$G$12+'Sales Forecast'!AR17*Assumptions!$H$12+'Sales Forecast'!AQ17*Assumptions!$I$12+'Sales Forecast'!AW17*Assumptions!$C$13+'Sales Forecast'!AV17*Assumptions!$D$13+'Sales Forecast'!AU17*Assumptions!$E$13+'Sales Forecast'!AT17*Assumptions!$F$13+'Sales Forecast'!AS17*Assumptions!$G$13+'Sales Forecast'!AR17*Assumptions!$H$13+'Sales Forecast'!AQ17*Assumptions!$I$13+1941.5)*Assumptions!$C$18</f>
        <v/>
      </c>
      <c r="AX21" s="20">
        <f>('Sales Forecast'!AX17*Assumptions!$C$12+'Sales Forecast'!AW17*Assumptions!$D$12+'Sales Forecast'!AV17*Assumptions!$E$12+'Sales Forecast'!AU17*Assumptions!$F$12+'Sales Forecast'!AT17*Assumptions!$G$12+'Sales Forecast'!AS17*Assumptions!$H$12+'Sales Forecast'!AR17*Assumptions!$I$12+'Sales Forecast'!AX17*Assumptions!$C$13+'Sales Forecast'!AW17*Assumptions!$D$13+'Sales Forecast'!AV17*Assumptions!$E$13+'Sales Forecast'!AU17*Assumptions!$F$13+'Sales Forecast'!AT17*Assumptions!$G$13+'Sales Forecast'!AS17*Assumptions!$H$13+'Sales Forecast'!AR17*Assumptions!$I$13+1941.5)*Assumptions!$C$18</f>
        <v/>
      </c>
      <c r="AY21" s="20">
        <f>('Sales Forecast'!AY17*Assumptions!$C$12+'Sales Forecast'!AX17*Assumptions!$D$12+'Sales Forecast'!AW17*Assumptions!$E$12+'Sales Forecast'!AV17*Assumptions!$F$12+'Sales Forecast'!AU17*Assumptions!$G$12+'Sales Forecast'!AT17*Assumptions!$H$12+'Sales Forecast'!AS17*Assumptions!$I$12+'Sales Forecast'!AY17*Assumptions!$C$13+'Sales Forecast'!AX17*Assumptions!$D$13+'Sales Forecast'!AW17*Assumptions!$E$13+'Sales Forecast'!AV17*Assumptions!$F$13+'Sales Forecast'!AU17*Assumptions!$G$13+'Sales Forecast'!AT17*Assumptions!$H$13+'Sales Forecast'!AS17*Assumptions!$I$13+1941.5)*Assumptions!$C$18</f>
        <v/>
      </c>
      <c r="BA21" s="288">
        <f>SUM(I21:T21)</f>
        <v/>
      </c>
      <c r="BB21" s="274">
        <f>BA21/$BA$22</f>
        <v/>
      </c>
    </row>
    <row r="22">
      <c r="B22" s="32" t="inlineStr">
        <is>
          <t>TOTAL REVENUE</t>
        </is>
      </c>
      <c r="C22" s="34" t="n"/>
      <c r="D22" s="84">
        <f>SUM(D21,D20,D19,D18,D13,D14)</f>
        <v/>
      </c>
      <c r="E22" s="84">
        <f>SUM(E21,E20,E19,E18,E13,E14)</f>
        <v/>
      </c>
      <c r="F22" s="84">
        <f>SUM(F21,F20,F19,F18,F13,F14)</f>
        <v/>
      </c>
      <c r="G22" s="84">
        <f>SUM(G21,G20,G19,G18,G13,G14)</f>
        <v/>
      </c>
      <c r="H22" s="84">
        <f>SUM(H21,H20,H19,H18,H13,H14)</f>
        <v/>
      </c>
      <c r="I22" s="84">
        <f>SUM(I21,I20,I19,I18,I13,I14)</f>
        <v/>
      </c>
      <c r="J22" s="84">
        <f>SUM(J21,J20,J19,J18,J13,J14)</f>
        <v/>
      </c>
      <c r="K22" s="84">
        <f>SUM(K21,K20,K19,K18,K13,K14)</f>
        <v/>
      </c>
      <c r="L22" s="84">
        <f>SUM(L21,L20,L19,L18,L13,L14)</f>
        <v/>
      </c>
      <c r="M22" s="84">
        <f>SUM(M21,M20,M19,M18,M13,M14)</f>
        <v/>
      </c>
      <c r="N22" s="84">
        <f>SUM(N21,N20,N19,N18,N13,N14)</f>
        <v/>
      </c>
      <c r="O22" s="84">
        <f>SUM(O21,O20,O19,O18,O13,O14)</f>
        <v/>
      </c>
      <c r="P22" s="84">
        <f>P13+P14+P18+P19+P20+P21</f>
        <v/>
      </c>
      <c r="Q22" s="84">
        <f>Q13+Q14+Q18+Q19+Q20+Q21</f>
        <v/>
      </c>
      <c r="R22" s="84">
        <f>R13+R14+R18+R19+R20+R21</f>
        <v/>
      </c>
      <c r="S22" s="84">
        <f>S13+S14+S18+S19+S20+S21</f>
        <v/>
      </c>
      <c r="T22" s="84">
        <f>T13+T14+T18+T19+T20+T21</f>
        <v/>
      </c>
      <c r="U22" s="84">
        <f>U13+U14+U18+U19+U20+U21</f>
        <v/>
      </c>
      <c r="V22" s="84">
        <f>V13+V14+V18+V19+V20+V21</f>
        <v/>
      </c>
      <c r="W22" s="17">
        <f>W13+W18+W19+W20+W21</f>
        <v/>
      </c>
      <c r="X22" s="17">
        <f>X13+X18+X19+X20+X21</f>
        <v/>
      </c>
      <c r="Y22" s="17">
        <f>Y13+Y18+Y19+Y20+Y21</f>
        <v/>
      </c>
      <c r="Z22" s="17">
        <f>Z13+Z18+Z19+Z20+Z21</f>
        <v/>
      </c>
      <c r="AA22" s="17">
        <f>AA13+AA18+AA19+AA20+AA21</f>
        <v/>
      </c>
      <c r="AB22" s="17">
        <f>AB13+AB18+AB19+AB20+AB21</f>
        <v/>
      </c>
      <c r="AC22" s="17">
        <f>AC13+AC18+AC19+AC20+AC21</f>
        <v/>
      </c>
      <c r="AD22" s="17">
        <f>AD13+AD18+AD19+AD20+AD21</f>
        <v/>
      </c>
      <c r="AE22" s="17">
        <f>AE13+AE18+AE19+AE20+AE21</f>
        <v/>
      </c>
      <c r="AF22" s="17">
        <f>AF13+AF18+AF19+AF20+AF21</f>
        <v/>
      </c>
      <c r="AG22" s="17">
        <f>AG13+AG18+AG19+AG20+AG21</f>
        <v/>
      </c>
      <c r="AH22" s="17">
        <f>AH13+AH18+AH19+AH20+AH21</f>
        <v/>
      </c>
      <c r="AI22" s="17">
        <f>AI13+AI18+AI19+AI20+AI21</f>
        <v/>
      </c>
      <c r="AJ22" s="17">
        <f>AJ13+AJ18+AJ19+AJ20+AJ21</f>
        <v/>
      </c>
      <c r="AK22" s="17">
        <f>AK13+AK18+AK19+AK20+AK21</f>
        <v/>
      </c>
      <c r="AL22" s="17">
        <f>AL13+AL18+AL19+AL20+AL21</f>
        <v/>
      </c>
      <c r="AM22" s="17">
        <f>AM13+AM18+AM19+AM20+AM21</f>
        <v/>
      </c>
      <c r="AN22" s="17">
        <f>AN13+AN18+AN19+AN20+AN21</f>
        <v/>
      </c>
      <c r="AO22" s="17">
        <f>AO13+AO18+AO19+AO20+AO21</f>
        <v/>
      </c>
      <c r="AP22" s="17">
        <f>AP13+AP18+AP19+AP20+AP21</f>
        <v/>
      </c>
      <c r="AQ22" s="17">
        <f>AQ13+AQ18+AQ19+AQ20+AQ21</f>
        <v/>
      </c>
      <c r="AR22" s="17">
        <f>AR13+AR18+AR19+AR20+AR21</f>
        <v/>
      </c>
      <c r="AS22" s="17">
        <f>AS13+AS18+AS19+AS20+AS21</f>
        <v/>
      </c>
      <c r="AT22" s="17">
        <f>AT13+AT18+AT19+AT20+AT21</f>
        <v/>
      </c>
      <c r="AU22" s="17">
        <f>AU13+AU18+AU19+AU20+AU21</f>
        <v/>
      </c>
      <c r="AV22" s="17">
        <f>AV13+AV18+AV19+AV20+AV21</f>
        <v/>
      </c>
      <c r="AW22" s="17">
        <f>AW13+AW18+AW19+AW20+AW21</f>
        <v/>
      </c>
      <c r="AX22" s="17">
        <f>AX13+AX18+AX19+AX20+AX21</f>
        <v/>
      </c>
      <c r="AY22" s="17">
        <f>AY13+AY18+AY19+AY20+AY21</f>
        <v/>
      </c>
      <c r="BA22" s="307">
        <f>SUM(I22:T22)</f>
        <v/>
      </c>
      <c r="BB22" s="276">
        <f>SUM(BB7:BB21)</f>
        <v/>
      </c>
    </row>
    <row r="23" ht="16" customHeight="1" s="282">
      <c r="B23" s="10" t="inlineStr">
        <is>
          <t>COST OF GOODS SOLD</t>
        </is>
      </c>
      <c r="C23" s="11" t="n"/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</row>
    <row r="24">
      <c r="B24" s="33" t="inlineStr">
        <is>
          <t>501000 Product Cost (incl Inventory Shrinkage)</t>
        </is>
      </c>
      <c r="D24" s="19" t="n">
        <v>2799.5</v>
      </c>
      <c r="E24" s="19" t="n">
        <v>1557.5</v>
      </c>
      <c r="F24" s="19" t="n">
        <v>1159.5</v>
      </c>
      <c r="G24" s="19" t="n">
        <v>1021.25</v>
      </c>
      <c r="H24" s="19" t="n">
        <v>1015</v>
      </c>
      <c r="I24" s="19" t="n">
        <v>839</v>
      </c>
      <c r="J24" s="19" t="n">
        <v>1382</v>
      </c>
      <c r="K24" s="19" t="n">
        <v>1147.25</v>
      </c>
      <c r="L24" s="19" t="n">
        <v>933</v>
      </c>
      <c r="M24" s="19" t="n">
        <v>1188</v>
      </c>
      <c r="N24" s="19" t="n">
        <v>614</v>
      </c>
      <c r="O24" s="19" t="n">
        <v>2522.84</v>
      </c>
      <c r="P24" s="19" t="n">
        <v>1291.5</v>
      </c>
      <c r="Q24" s="19" t="n">
        <v>1155</v>
      </c>
      <c r="R24" s="19" t="n">
        <v>743.5</v>
      </c>
      <c r="S24" s="19" t="n">
        <v>538.5</v>
      </c>
      <c r="T24" s="83" t="n">
        <v>627</v>
      </c>
      <c r="U24" s="83" t="n">
        <v>681</v>
      </c>
      <c r="V24" s="83" t="n">
        <v>589</v>
      </c>
      <c r="W24" s="20">
        <f>W22*Assumptions!$C$20</f>
        <v/>
      </c>
      <c r="X24" s="20">
        <f>X22*Assumptions!$C$20</f>
        <v/>
      </c>
      <c r="Y24" s="20">
        <f>Y22*Assumptions!$C$20</f>
        <v/>
      </c>
      <c r="Z24" s="20">
        <f>Z22*Assumptions!$C$20</f>
        <v/>
      </c>
      <c r="AA24" s="20">
        <f>AA22*Assumptions!$C$20</f>
        <v/>
      </c>
      <c r="AB24" s="20">
        <f>AB22*Assumptions!$C$20</f>
        <v/>
      </c>
      <c r="AC24" s="20">
        <f>AC22*Assumptions!$C$20</f>
        <v/>
      </c>
      <c r="AD24" s="20">
        <f>AD22*Assumptions!$C$20</f>
        <v/>
      </c>
      <c r="AE24" s="20">
        <f>AE22*Assumptions!$C$20</f>
        <v/>
      </c>
      <c r="AF24" s="20">
        <f>AF22*Assumptions!$C$20</f>
        <v/>
      </c>
      <c r="AG24" s="20">
        <f>AG22*Assumptions!$C$20</f>
        <v/>
      </c>
      <c r="AH24" s="20">
        <f>AH22*Assumptions!$C$20</f>
        <v/>
      </c>
      <c r="AI24" s="20">
        <f>AI22*Assumptions!$C$20</f>
        <v/>
      </c>
      <c r="AJ24" s="20">
        <f>AJ22*Assumptions!$C$20</f>
        <v/>
      </c>
      <c r="AK24" s="20">
        <f>AK22*Assumptions!$C$20</f>
        <v/>
      </c>
      <c r="AL24" s="20">
        <f>AL22*Assumptions!$C$20</f>
        <v/>
      </c>
      <c r="AM24" s="20">
        <f>AM22*Assumptions!$C$20</f>
        <v/>
      </c>
      <c r="AN24" s="20">
        <f>AN22*Assumptions!$C$20</f>
        <v/>
      </c>
      <c r="AO24" s="20">
        <f>AO22*Assumptions!$C$20</f>
        <v/>
      </c>
      <c r="AP24" s="20">
        <f>AP22*Assumptions!$C$20</f>
        <v/>
      </c>
      <c r="AQ24" s="20">
        <f>AQ22*Assumptions!$C$20</f>
        <v/>
      </c>
      <c r="AR24" s="20">
        <f>AR22*Assumptions!$C$20</f>
        <v/>
      </c>
      <c r="AS24" s="20">
        <f>AS22*Assumptions!$C$20</f>
        <v/>
      </c>
      <c r="AT24" s="20">
        <f>AT22*Assumptions!$C$20</f>
        <v/>
      </c>
      <c r="AU24" s="20">
        <f>AU22*Assumptions!$C$20</f>
        <v/>
      </c>
      <c r="AV24" s="20">
        <f>AV22*Assumptions!$C$20</f>
        <v/>
      </c>
      <c r="AW24" s="20">
        <f>AW22*Assumptions!$C$20</f>
        <v/>
      </c>
      <c r="AX24" s="20">
        <f>AX22*Assumptions!$C$20</f>
        <v/>
      </c>
      <c r="AY24" s="20">
        <f>AY22*Assumptions!$C$20</f>
        <v/>
      </c>
    </row>
    <row r="25">
      <c r="B25" s="33" t="inlineStr">
        <is>
          <t xml:space="preserve">  506000 Merchant Account Fees</t>
        </is>
      </c>
      <c r="D25" s="19" t="n">
        <v>2921.69</v>
      </c>
      <c r="E25" s="19" t="n">
        <v>2096.46</v>
      </c>
      <c r="F25" s="19" t="n">
        <v>2432.33</v>
      </c>
      <c r="G25" s="19" t="n">
        <v>1768.34</v>
      </c>
      <c r="H25" s="19" t="n">
        <v>2119.79</v>
      </c>
      <c r="I25" s="19" t="n">
        <v>2070.91</v>
      </c>
      <c r="J25" s="19" t="n">
        <v>2121.41</v>
      </c>
      <c r="K25" s="19" t="n">
        <v>1369.72</v>
      </c>
      <c r="L25" s="19" t="n">
        <v>2153.23</v>
      </c>
      <c r="M25" s="19" t="n">
        <v>1736.16</v>
      </c>
      <c r="N25" s="19" t="n">
        <v>1871.58</v>
      </c>
      <c r="O25" s="19" t="n">
        <v>1686.79</v>
      </c>
      <c r="P25" s="19" t="n">
        <v>1953.48</v>
      </c>
      <c r="Q25" s="19" t="n">
        <v>1708.35</v>
      </c>
      <c r="R25" s="19" t="n">
        <v>1947.17</v>
      </c>
      <c r="S25" s="19" t="n">
        <v>1189.07</v>
      </c>
      <c r="T25" s="83" t="n">
        <v>1424.49</v>
      </c>
      <c r="U25" s="83" t="n">
        <v>1395.2</v>
      </c>
      <c r="V25" s="83" t="n">
        <v>1178.98</v>
      </c>
      <c r="W25" s="20">
        <f>W22*Assumptions!$C$19</f>
        <v/>
      </c>
      <c r="X25" s="20">
        <f>X22*Assumptions!$C$19</f>
        <v/>
      </c>
      <c r="Y25" s="20">
        <f>Y22*Assumptions!$C$19</f>
        <v/>
      </c>
      <c r="Z25" s="20">
        <f>Z22*Assumptions!$C$19</f>
        <v/>
      </c>
      <c r="AA25" s="20">
        <f>AA22*Assumptions!$C$19</f>
        <v/>
      </c>
      <c r="AB25" s="20">
        <f>AB22*Assumptions!$C$19</f>
        <v/>
      </c>
      <c r="AC25" s="20">
        <f>AC22*Assumptions!$C$19</f>
        <v/>
      </c>
      <c r="AD25" s="20">
        <f>AD22*Assumptions!$C$19</f>
        <v/>
      </c>
      <c r="AE25" s="20">
        <f>AE22*Assumptions!$C$19</f>
        <v/>
      </c>
      <c r="AF25" s="20">
        <f>AF22*Assumptions!$C$19</f>
        <v/>
      </c>
      <c r="AG25" s="20">
        <f>AG22*Assumptions!$C$19</f>
        <v/>
      </c>
      <c r="AH25" s="20">
        <f>AH22*Assumptions!$C$19</f>
        <v/>
      </c>
      <c r="AI25" s="20">
        <f>AI22*Assumptions!$C$19</f>
        <v/>
      </c>
      <c r="AJ25" s="20">
        <f>AJ22*Assumptions!$C$19</f>
        <v/>
      </c>
      <c r="AK25" s="20">
        <f>AK22*Assumptions!$C$19</f>
        <v/>
      </c>
      <c r="AL25" s="20">
        <f>AL22*Assumptions!$C$19</f>
        <v/>
      </c>
      <c r="AM25" s="20">
        <f>AM22*Assumptions!$C$19</f>
        <v/>
      </c>
      <c r="AN25" s="20">
        <f>AN22*Assumptions!$C$19</f>
        <v/>
      </c>
      <c r="AO25" s="20">
        <f>AO22*Assumptions!$C$19</f>
        <v/>
      </c>
      <c r="AP25" s="20">
        <f>AP22*Assumptions!$C$19</f>
        <v/>
      </c>
      <c r="AQ25" s="20">
        <f>AQ22*Assumptions!$C$19</f>
        <v/>
      </c>
      <c r="AR25" s="20">
        <f>AR22*Assumptions!$C$19</f>
        <v/>
      </c>
      <c r="AS25" s="20">
        <f>AS22*Assumptions!$C$19</f>
        <v/>
      </c>
      <c r="AT25" s="20">
        <f>AT22*Assumptions!$C$19</f>
        <v/>
      </c>
      <c r="AU25" s="20">
        <f>AU22*Assumptions!$C$19</f>
        <v/>
      </c>
      <c r="AV25" s="20">
        <f>AV22*Assumptions!$C$19</f>
        <v/>
      </c>
      <c r="AW25" s="20">
        <f>AW22*Assumptions!$C$19</f>
        <v/>
      </c>
      <c r="AX25" s="20">
        <f>AX22*Assumptions!$C$19</f>
        <v/>
      </c>
      <c r="AY25" s="20">
        <f>AY22*Assumptions!$C$19</f>
        <v/>
      </c>
    </row>
    <row r="26">
      <c r="B26" s="32" t="inlineStr">
        <is>
          <t>Total Cost of Goods Sold</t>
        </is>
      </c>
      <c r="C26" s="34" t="n"/>
      <c r="D26" s="35">
        <f>SUM(D24:D25)</f>
        <v/>
      </c>
      <c r="E26" s="35">
        <f>SUM(E24:E25)</f>
        <v/>
      </c>
      <c r="F26" s="35">
        <f>SUM(F24:F25)</f>
        <v/>
      </c>
      <c r="G26" s="35">
        <f>SUM(G24:G25)</f>
        <v/>
      </c>
      <c r="H26" s="35">
        <f>SUM(H24:H25)</f>
        <v/>
      </c>
      <c r="I26" s="35">
        <f>SUM(I24:I25)</f>
        <v/>
      </c>
      <c r="J26" s="35">
        <f>SUM(J24:J25)</f>
        <v/>
      </c>
      <c r="K26" s="35">
        <f>SUM(K24:K25)</f>
        <v/>
      </c>
      <c r="L26" s="35">
        <f>SUM(L24:L25)</f>
        <v/>
      </c>
      <c r="M26" s="35">
        <f>SUM(M24:M25)</f>
        <v/>
      </c>
      <c r="N26" s="35">
        <f>SUM(N24:N25)</f>
        <v/>
      </c>
      <c r="O26" s="35">
        <f>SUM(O24:O25)</f>
        <v/>
      </c>
      <c r="P26" s="35">
        <f>P24+P25</f>
        <v/>
      </c>
      <c r="Q26" s="35">
        <f>Q24+Q25</f>
        <v/>
      </c>
      <c r="R26" s="35">
        <f>R24+R25</f>
        <v/>
      </c>
      <c r="S26" s="35">
        <f>S24+S25</f>
        <v/>
      </c>
      <c r="T26" s="84">
        <f>T24+T25</f>
        <v/>
      </c>
      <c r="U26" s="84">
        <f>U24+U25</f>
        <v/>
      </c>
      <c r="V26" s="84">
        <f>V24+V25</f>
        <v/>
      </c>
      <c r="W26" s="17">
        <f>W24+W25</f>
        <v/>
      </c>
      <c r="X26" s="17">
        <f>X24+X25</f>
        <v/>
      </c>
      <c r="Y26" s="17">
        <f>Y24+Y25</f>
        <v/>
      </c>
      <c r="Z26" s="17">
        <f>Z24+Z25</f>
        <v/>
      </c>
      <c r="AA26" s="17">
        <f>AA24+AA25</f>
        <v/>
      </c>
      <c r="AB26" s="17">
        <f>AB24+AB25</f>
        <v/>
      </c>
      <c r="AC26" s="17">
        <f>AC24+AC25</f>
        <v/>
      </c>
      <c r="AD26" s="17">
        <f>AD24+AD25</f>
        <v/>
      </c>
      <c r="AE26" s="17">
        <f>AE24+AE25</f>
        <v/>
      </c>
      <c r="AF26" s="17">
        <f>AF24+AF25</f>
        <v/>
      </c>
      <c r="AG26" s="17">
        <f>AG24+AG25</f>
        <v/>
      </c>
      <c r="AH26" s="17">
        <f>AH24+AH25</f>
        <v/>
      </c>
      <c r="AI26" s="17">
        <f>AI24+AI25</f>
        <v/>
      </c>
      <c r="AJ26" s="17">
        <f>AJ24+AJ25</f>
        <v/>
      </c>
      <c r="AK26" s="17">
        <f>AK24+AK25</f>
        <v/>
      </c>
      <c r="AL26" s="17">
        <f>AL24+AL25</f>
        <v/>
      </c>
      <c r="AM26" s="17">
        <f>AM24+AM25</f>
        <v/>
      </c>
      <c r="AN26" s="17">
        <f>AN24+AN25</f>
        <v/>
      </c>
      <c r="AO26" s="17">
        <f>AO24+AO25</f>
        <v/>
      </c>
      <c r="AP26" s="17">
        <f>AP24+AP25</f>
        <v/>
      </c>
      <c r="AQ26" s="17">
        <f>AQ24+AQ25</f>
        <v/>
      </c>
      <c r="AR26" s="17">
        <f>AR24+AR25</f>
        <v/>
      </c>
      <c r="AS26" s="17">
        <f>AS24+AS25</f>
        <v/>
      </c>
      <c r="AT26" s="17">
        <f>AT24+AT25</f>
        <v/>
      </c>
      <c r="AU26" s="17">
        <f>AU24+AU25</f>
        <v/>
      </c>
      <c r="AV26" s="17">
        <f>AV24+AV25</f>
        <v/>
      </c>
      <c r="AW26" s="17">
        <f>AW24+AW25</f>
        <v/>
      </c>
      <c r="AX26" s="17">
        <f>AX24+AX25</f>
        <v/>
      </c>
      <c r="AY26" s="17">
        <f>AY24+AY25</f>
        <v/>
      </c>
    </row>
    <row r="27">
      <c r="B27" s="32" t="inlineStr">
        <is>
          <t>GROSS PROFIT</t>
        </is>
      </c>
      <c r="C27" s="34" t="n"/>
      <c r="D27" s="35">
        <f>D22-D26</f>
        <v/>
      </c>
      <c r="E27" s="35">
        <f>E22-E26</f>
        <v/>
      </c>
      <c r="F27" s="35">
        <f>F22-F26</f>
        <v/>
      </c>
      <c r="G27" s="35">
        <f>G22-G26</f>
        <v/>
      </c>
      <c r="H27" s="35">
        <f>H22-H26</f>
        <v/>
      </c>
      <c r="I27" s="35">
        <f>I22-I26</f>
        <v/>
      </c>
      <c r="J27" s="35">
        <f>J22-J26</f>
        <v/>
      </c>
      <c r="K27" s="35">
        <f>K22-K26</f>
        <v/>
      </c>
      <c r="L27" s="35">
        <f>L22-L26</f>
        <v/>
      </c>
      <c r="M27" s="35">
        <f>M22-M26</f>
        <v/>
      </c>
      <c r="N27" s="35">
        <f>N22-N26</f>
        <v/>
      </c>
      <c r="O27" s="35">
        <f>O22-O26</f>
        <v/>
      </c>
      <c r="P27" s="35">
        <f>P22-P26</f>
        <v/>
      </c>
      <c r="Q27" s="35">
        <f>Q22-Q26</f>
        <v/>
      </c>
      <c r="R27" s="35">
        <f>R22-R26</f>
        <v/>
      </c>
      <c r="S27" s="35">
        <f>S22-S26</f>
        <v/>
      </c>
      <c r="T27" s="84">
        <f>T22-T26</f>
        <v/>
      </c>
      <c r="U27" s="84">
        <f>U22-U26</f>
        <v/>
      </c>
      <c r="V27" s="84">
        <f>V22-V26</f>
        <v/>
      </c>
      <c r="W27" s="17">
        <f>W22-W26</f>
        <v/>
      </c>
      <c r="X27" s="17">
        <f>X22-X26</f>
        <v/>
      </c>
      <c r="Y27" s="17">
        <f>Y22-Y26</f>
        <v/>
      </c>
      <c r="Z27" s="17">
        <f>Z22-Z26</f>
        <v/>
      </c>
      <c r="AA27" s="17">
        <f>AA22-AA26</f>
        <v/>
      </c>
      <c r="AB27" s="17">
        <f>AB22-AB26</f>
        <v/>
      </c>
      <c r="AC27" s="17">
        <f>AC22-AC26</f>
        <v/>
      </c>
      <c r="AD27" s="17">
        <f>AD22-AD26</f>
        <v/>
      </c>
      <c r="AE27" s="17">
        <f>AE22-AE26</f>
        <v/>
      </c>
      <c r="AF27" s="17">
        <f>AF22-AF26</f>
        <v/>
      </c>
      <c r="AG27" s="17">
        <f>AG22-AG26</f>
        <v/>
      </c>
      <c r="AH27" s="17">
        <f>AH22-AH26</f>
        <v/>
      </c>
      <c r="AI27" s="17">
        <f>AI22-AI26</f>
        <v/>
      </c>
      <c r="AJ27" s="17">
        <f>AJ22-AJ26</f>
        <v/>
      </c>
      <c r="AK27" s="17">
        <f>AK22-AK26</f>
        <v/>
      </c>
      <c r="AL27" s="17">
        <f>AL22-AL26</f>
        <v/>
      </c>
      <c r="AM27" s="17">
        <f>AM22-AM26</f>
        <v/>
      </c>
      <c r="AN27" s="17">
        <f>AN22-AN26</f>
        <v/>
      </c>
      <c r="AO27" s="17">
        <f>AO22-AO26</f>
        <v/>
      </c>
      <c r="AP27" s="17">
        <f>AP22-AP26</f>
        <v/>
      </c>
      <c r="AQ27" s="17">
        <f>AQ22-AQ26</f>
        <v/>
      </c>
      <c r="AR27" s="17">
        <f>AR22-AR26</f>
        <v/>
      </c>
      <c r="AS27" s="17">
        <f>AS22-AS26</f>
        <v/>
      </c>
      <c r="AT27" s="17">
        <f>AT22-AT26</f>
        <v/>
      </c>
      <c r="AU27" s="17">
        <f>AU22-AU26</f>
        <v/>
      </c>
      <c r="AV27" s="17">
        <f>AV22-AV26</f>
        <v/>
      </c>
      <c r="AW27" s="17">
        <f>AW22-AW26</f>
        <v/>
      </c>
      <c r="AX27" s="17">
        <f>AX22-AX26</f>
        <v/>
      </c>
      <c r="AY27" s="17">
        <f>AY22-AY26</f>
        <v/>
      </c>
    </row>
    <row r="28" ht="16" customHeight="1" s="282">
      <c r="B28" s="10" t="inlineStr">
        <is>
          <t>OPERATING EXPENSES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</row>
    <row r="29">
      <c r="B29" s="33" t="inlineStr">
        <is>
          <t xml:space="preserve">  601001 Paid Ads</t>
        </is>
      </c>
      <c r="D29" s="19" t="n">
        <v>5583.91</v>
      </c>
      <c r="E29" s="19" t="n">
        <v>4111.28</v>
      </c>
      <c r="F29" s="19" t="n">
        <v>5455.76</v>
      </c>
      <c r="G29" s="19" t="n">
        <v>4201.5</v>
      </c>
      <c r="H29" s="19" t="n">
        <v>5710.77</v>
      </c>
      <c r="I29" s="19" t="n">
        <v>5142.58</v>
      </c>
      <c r="J29" s="19" t="n">
        <v>2513.85</v>
      </c>
      <c r="K29" s="19" t="n">
        <v>3737.88</v>
      </c>
      <c r="L29" s="19" t="n">
        <v>2396.1</v>
      </c>
      <c r="M29" s="19" t="n">
        <v>2483.27</v>
      </c>
      <c r="N29" s="19" t="n">
        <v>3074.26</v>
      </c>
      <c r="O29" s="19" t="n">
        <v>1974.29</v>
      </c>
      <c r="P29" s="19" t="n">
        <v>3080.39</v>
      </c>
      <c r="Q29" s="19" t="n">
        <v>4578.22</v>
      </c>
      <c r="R29" s="19" t="n">
        <v>2803.96</v>
      </c>
      <c r="S29" s="19" t="n">
        <v>755.11</v>
      </c>
      <c r="T29" s="83" t="n">
        <v>747.4299999999999</v>
      </c>
      <c r="U29" s="83" t="n">
        <v>844.75</v>
      </c>
      <c r="V29" s="83" t="n">
        <v>753.25</v>
      </c>
      <c r="W29" s="20" t="n">
        <v>2500</v>
      </c>
      <c r="X29" s="20" t="n">
        <v>2500</v>
      </c>
      <c r="Y29" s="20" t="n">
        <v>2500</v>
      </c>
      <c r="Z29" s="20" t="n">
        <v>2500</v>
      </c>
      <c r="AA29" s="20" t="n">
        <v>2500</v>
      </c>
      <c r="AB29" s="20" t="n">
        <v>2500</v>
      </c>
      <c r="AC29" s="20" t="n">
        <v>2500</v>
      </c>
      <c r="AD29" s="20" t="n">
        <v>2500</v>
      </c>
      <c r="AE29" s="20" t="n">
        <v>2500</v>
      </c>
      <c r="AF29" s="20" t="n">
        <v>2500</v>
      </c>
      <c r="AG29" s="20" t="n">
        <v>2500</v>
      </c>
      <c r="AH29" s="20" t="n">
        <v>2500</v>
      </c>
      <c r="AI29" s="20" t="n">
        <v>2500</v>
      </c>
      <c r="AJ29" s="20" t="n">
        <v>2500</v>
      </c>
      <c r="AK29" s="20" t="n">
        <v>2500</v>
      </c>
      <c r="AL29" s="20" t="n">
        <v>2500</v>
      </c>
      <c r="AM29" s="20" t="n">
        <v>2500</v>
      </c>
      <c r="AN29" s="20" t="n">
        <v>2500</v>
      </c>
      <c r="AO29" s="20" t="n">
        <v>2500</v>
      </c>
      <c r="AP29" s="20" t="n">
        <v>2500</v>
      </c>
      <c r="AQ29" s="20" t="n">
        <v>2500</v>
      </c>
      <c r="AR29" s="20" t="n">
        <v>2500</v>
      </c>
      <c r="AS29" s="20" t="n">
        <v>2500</v>
      </c>
      <c r="AT29" s="20" t="n">
        <v>2500</v>
      </c>
      <c r="AU29" s="20" t="n">
        <v>2500</v>
      </c>
      <c r="AV29" s="20" t="n">
        <v>2500</v>
      </c>
      <c r="AW29" s="20" t="n">
        <v>2500</v>
      </c>
      <c r="AX29" s="20" t="n">
        <v>2500</v>
      </c>
      <c r="AY29" s="20" t="n">
        <v>2500</v>
      </c>
    </row>
    <row r="30">
      <c r="B30" s="33" t="inlineStr">
        <is>
          <t xml:space="preserve">  601005 Content Creation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0</v>
      </c>
      <c r="P30" s="19" t="n">
        <v>0</v>
      </c>
      <c r="Q30" s="19" t="n">
        <v>0</v>
      </c>
      <c r="R30" s="19" t="n">
        <v>0</v>
      </c>
      <c r="S30" s="19" t="n">
        <v>0</v>
      </c>
      <c r="T30" s="83" t="n">
        <v>0</v>
      </c>
      <c r="U30" s="83" t="n">
        <v>0</v>
      </c>
      <c r="V30" s="83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>601006 General Marketing (incl Affiliate, PR, Trade Shows)</t>
        </is>
      </c>
      <c r="D31" s="19" t="n">
        <v>0</v>
      </c>
      <c r="E31" s="19" t="n">
        <v>0</v>
      </c>
      <c r="F31" s="19" t="n">
        <v>0</v>
      </c>
      <c r="G31" s="19" t="n">
        <v>336.84</v>
      </c>
      <c r="H31" s="19" t="n">
        <v>238.02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  <c r="Q31" s="19" t="n">
        <v>0</v>
      </c>
      <c r="R31" s="19" t="n">
        <v>0</v>
      </c>
      <c r="S31" s="19" t="n">
        <v>0</v>
      </c>
      <c r="T31" s="83" t="n">
        <v>0</v>
      </c>
      <c r="U31" s="83" t="n">
        <v>0</v>
      </c>
      <c r="V31" s="83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601007 Contractors/Agencies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83" t="n">
        <v>0</v>
      </c>
      <c r="U32" s="83" t="n">
        <v>0</v>
      </c>
      <c r="V32" s="83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3" t="inlineStr">
        <is>
          <t xml:space="preserve">  601010 Website Development</t>
        </is>
      </c>
      <c r="D33" s="19" t="n">
        <v>0</v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0</v>
      </c>
      <c r="N33" s="19" t="n">
        <v>0</v>
      </c>
      <c r="O33" s="19" t="n">
        <v>0</v>
      </c>
      <c r="P33" s="19" t="n">
        <v>0</v>
      </c>
      <c r="Q33" s="19" t="n">
        <v>0</v>
      </c>
      <c r="R33" s="19" t="n">
        <v>0</v>
      </c>
      <c r="S33" s="19" t="n">
        <v>0</v>
      </c>
      <c r="T33" s="83" t="n">
        <v>0</v>
      </c>
      <c r="U33" s="83" t="n">
        <v>0</v>
      </c>
      <c r="V33" s="83" t="n">
        <v>0</v>
      </c>
      <c r="W33" s="20" t="n">
        <v>0</v>
      </c>
      <c r="X33" s="20" t="n">
        <v>0</v>
      </c>
      <c r="Y33" s="20" t="n">
        <v>0</v>
      </c>
      <c r="Z33" s="20" t="n">
        <v>0</v>
      </c>
      <c r="AA33" s="20" t="n">
        <v>0</v>
      </c>
      <c r="AB33" s="20" t="n">
        <v>0</v>
      </c>
      <c r="AC33" s="20" t="n">
        <v>0</v>
      </c>
      <c r="AD33" s="20" t="n">
        <v>0</v>
      </c>
      <c r="AE33" s="20" t="n">
        <v>0</v>
      </c>
      <c r="AF33" s="20" t="n">
        <v>0</v>
      </c>
      <c r="AG33" s="20" t="n">
        <v>0</v>
      </c>
      <c r="AH33" s="20" t="n">
        <v>0</v>
      </c>
      <c r="AI33" s="20" t="n">
        <v>0</v>
      </c>
      <c r="AJ33" s="20" t="n">
        <v>0</v>
      </c>
      <c r="AK33" s="20" t="n">
        <v>0</v>
      </c>
      <c r="AL33" s="20" t="n">
        <v>0</v>
      </c>
      <c r="AM33" s="20" t="n">
        <v>0</v>
      </c>
      <c r="AN33" s="20" t="n">
        <v>0</v>
      </c>
      <c r="AO33" s="20" t="n">
        <v>0</v>
      </c>
      <c r="AP33" s="20" t="n">
        <v>0</v>
      </c>
      <c r="AQ33" s="20" t="n">
        <v>0</v>
      </c>
      <c r="AR33" s="20" t="n">
        <v>0</v>
      </c>
      <c r="AS33" s="20" t="n">
        <v>0</v>
      </c>
      <c r="AT33" s="20" t="n">
        <v>0</v>
      </c>
      <c r="AU33" s="20" t="n">
        <v>0</v>
      </c>
      <c r="AV33" s="20" t="n">
        <v>0</v>
      </c>
      <c r="AW33" s="20" t="n">
        <v>0</v>
      </c>
      <c r="AX33" s="20" t="n">
        <v>0</v>
      </c>
      <c r="AY33" s="20" t="n">
        <v>0</v>
      </c>
    </row>
    <row r="34">
      <c r="B34" s="32" t="inlineStr">
        <is>
          <t>Total Marketing</t>
        </is>
      </c>
      <c r="C34" s="34" t="n"/>
      <c r="D34" s="35">
        <f>SUM(D29:D33)</f>
        <v/>
      </c>
      <c r="E34" s="35">
        <f>SUM(E29:E33)</f>
        <v/>
      </c>
      <c r="F34" s="35">
        <f>SUM(F29:F33)</f>
        <v/>
      </c>
      <c r="G34" s="35">
        <f>SUM(G29:G33)</f>
        <v/>
      </c>
      <c r="H34" s="35">
        <f>SUM(H29:H33)</f>
        <v/>
      </c>
      <c r="I34" s="35">
        <f>SUM(I29:I33)</f>
        <v/>
      </c>
      <c r="J34" s="35">
        <f>SUM(J29:J33)</f>
        <v/>
      </c>
      <c r="K34" s="35">
        <f>SUM(K29:K33)</f>
        <v/>
      </c>
      <c r="L34" s="35">
        <f>SUM(L29:L33)</f>
        <v/>
      </c>
      <c r="M34" s="35">
        <f>SUM(M29:M33)</f>
        <v/>
      </c>
      <c r="N34" s="35">
        <f>SUM(N29:N33)</f>
        <v/>
      </c>
      <c r="O34" s="35">
        <f>SUM(O29:O33)</f>
        <v/>
      </c>
      <c r="P34" s="35">
        <f>P29+P30+P31+P32+P33</f>
        <v/>
      </c>
      <c r="Q34" s="35">
        <f>Q29+Q30+Q31+Q32+Q33</f>
        <v/>
      </c>
      <c r="R34" s="35">
        <f>R29+R30+R31+R32+R33</f>
        <v/>
      </c>
      <c r="S34" s="35">
        <f>S29+S30+S31+S32+S33</f>
        <v/>
      </c>
      <c r="T34" s="35">
        <f>T29+T30+T31+T32+T33</f>
        <v/>
      </c>
      <c r="U34" s="35">
        <f>U29+U30+U31+U32+U33</f>
        <v/>
      </c>
      <c r="V34" s="35">
        <f>V29+V30+V31+V32+V33</f>
        <v/>
      </c>
      <c r="W34" s="17">
        <f>W29+W30+W31+W32+W33</f>
        <v/>
      </c>
      <c r="X34" s="17">
        <f>X29+X30+X31+X32+X33</f>
        <v/>
      </c>
      <c r="Y34" s="17">
        <f>Y29+Y30+Y31+Y32+Y33</f>
        <v/>
      </c>
      <c r="Z34" s="17">
        <f>Z29+Z30+Z31+Z32+Z33</f>
        <v/>
      </c>
      <c r="AA34" s="17">
        <f>AA29+AA30+AA31+AA32+AA33</f>
        <v/>
      </c>
      <c r="AB34" s="17">
        <f>AB29+AB30+AB31+AB32+AB33</f>
        <v/>
      </c>
      <c r="AC34" s="17">
        <f>AC29+AC30+AC31+AC32+AC33</f>
        <v/>
      </c>
      <c r="AD34" s="17">
        <f>AD29+AD30+AD31+AD32+AD33</f>
        <v/>
      </c>
      <c r="AE34" s="17">
        <f>AE29+AE30+AE31+AE32+AE33</f>
        <v/>
      </c>
      <c r="AF34" s="17">
        <f>AF29+AF30+AF31+AF32+AF33</f>
        <v/>
      </c>
      <c r="AG34" s="17">
        <f>AG29+AG30+AG31+AG32+AG33</f>
        <v/>
      </c>
      <c r="AH34" s="17">
        <f>AH29+AH30+AH31+AH32+AH33</f>
        <v/>
      </c>
      <c r="AI34" s="17">
        <f>AI29+AI30+AI31+AI32+AI33</f>
        <v/>
      </c>
      <c r="AJ34" s="17">
        <f>AJ29+AJ30+AJ31+AJ32+AJ33</f>
        <v/>
      </c>
      <c r="AK34" s="17">
        <f>AK29+AK30+AK31+AK32+AK33</f>
        <v/>
      </c>
      <c r="AL34" s="17">
        <f>AL29+AL30+AL31+AL32+AL33</f>
        <v/>
      </c>
      <c r="AM34" s="17">
        <f>AM29+AM30+AM31+AM32+AM33</f>
        <v/>
      </c>
      <c r="AN34" s="17">
        <f>AN29+AN30+AN31+AN32+AN33</f>
        <v/>
      </c>
      <c r="AO34" s="17">
        <f>AO29+AO30+AO31+AO32+AO33</f>
        <v/>
      </c>
      <c r="AP34" s="17">
        <f>AP29+AP30+AP31+AP32+AP33</f>
        <v/>
      </c>
      <c r="AQ34" s="17">
        <f>AQ29+AQ30+AQ31+AQ32+AQ33</f>
        <v/>
      </c>
      <c r="AR34" s="17">
        <f>AR29+AR30+AR31+AR32+AR33</f>
        <v/>
      </c>
      <c r="AS34" s="17">
        <f>AS29+AS30+AS31+AS32+AS33</f>
        <v/>
      </c>
      <c r="AT34" s="17">
        <f>AT29+AT30+AT31+AT32+AT33</f>
        <v/>
      </c>
      <c r="AU34" s="17">
        <f>AU29+AU30+AU31+AU32+AU33</f>
        <v/>
      </c>
      <c r="AV34" s="17">
        <f>AV29+AV30+AV31+AV32+AV33</f>
        <v/>
      </c>
      <c r="AW34" s="17">
        <f>AW29+AW30+AW31+AW32+AW33</f>
        <v/>
      </c>
      <c r="AX34" s="17">
        <f>AX29+AX30+AX31+AX32+AX33</f>
        <v/>
      </c>
      <c r="AY34" s="17">
        <f>AY29+AY30+AY31+AY32+AY33</f>
        <v/>
      </c>
    </row>
    <row r="35">
      <c r="B35" s="33" t="inlineStr">
        <is>
          <t>602001 Wages (incl 1099 &amp; Bonus)</t>
        </is>
      </c>
      <c r="D35" s="19" t="n">
        <v>35208.59</v>
      </c>
      <c r="E35" s="19" t="n">
        <v>42411.1</v>
      </c>
      <c r="F35" s="19" t="n">
        <v>47211.91</v>
      </c>
      <c r="G35" s="19" t="n">
        <v>40467.33</v>
      </c>
      <c r="H35" s="19" t="n">
        <v>43663.8</v>
      </c>
      <c r="I35" s="19" t="n">
        <v>38123.84</v>
      </c>
      <c r="J35" s="19" t="n">
        <v>38775.11</v>
      </c>
      <c r="K35" s="19" t="n">
        <v>40128.29</v>
      </c>
      <c r="L35" s="19" t="n">
        <v>40013.44</v>
      </c>
      <c r="M35" s="19" t="n">
        <v>40203.24</v>
      </c>
      <c r="N35" s="19" t="n">
        <v>33831.9</v>
      </c>
      <c r="O35" s="19" t="n">
        <v>30221.17</v>
      </c>
      <c r="P35" s="19" t="n">
        <v>36361.46</v>
      </c>
      <c r="Q35" s="19" t="n">
        <v>34881.33</v>
      </c>
      <c r="R35" s="19" t="n">
        <v>35148.06</v>
      </c>
      <c r="S35" s="19" t="n">
        <v>32450.36</v>
      </c>
      <c r="T35" s="83" t="n">
        <v>33521.24</v>
      </c>
      <c r="U35" s="83" t="n">
        <v>36456.8</v>
      </c>
      <c r="V35" s="83" t="n">
        <v>31610.7</v>
      </c>
      <c r="W35" s="20" t="n">
        <v>34625.92</v>
      </c>
      <c r="X35" s="20" t="n">
        <v>34372.17</v>
      </c>
      <c r="Y35" s="20" t="n">
        <v>38494.3</v>
      </c>
      <c r="Z35" s="20" t="n">
        <v>34625.92</v>
      </c>
      <c r="AA35" s="20" t="n">
        <v>32977.07</v>
      </c>
      <c r="AB35" s="20" t="n">
        <v>31626.63</v>
      </c>
      <c r="AC35" s="20" t="n">
        <v>31626.63</v>
      </c>
      <c r="AD35" s="20" t="n">
        <v>31626.63</v>
      </c>
      <c r="AE35" s="20" t="n">
        <v>31626.63</v>
      </c>
      <c r="AF35" s="20" t="n">
        <v>31626.63</v>
      </c>
      <c r="AG35" s="20" t="n">
        <v>31626.63</v>
      </c>
      <c r="AH35" s="20" t="n">
        <v>31626.63</v>
      </c>
      <c r="AI35" s="20" t="n">
        <v>31626.63</v>
      </c>
      <c r="AJ35" s="20" t="n">
        <v>31626.63</v>
      </c>
      <c r="AK35" s="20" t="n">
        <v>31626.63</v>
      </c>
      <c r="AL35" s="20" t="n">
        <v>31626.63</v>
      </c>
      <c r="AM35" s="20" t="n">
        <v>31626.63</v>
      </c>
      <c r="AN35" s="20" t="n">
        <v>31626.63</v>
      </c>
      <c r="AO35" s="20" t="n">
        <v>31626.63</v>
      </c>
      <c r="AP35" s="20" t="n">
        <v>31626.63</v>
      </c>
      <c r="AQ35" s="20" t="n">
        <v>31626.63</v>
      </c>
      <c r="AR35" s="20" t="n">
        <v>31626.63</v>
      </c>
      <c r="AS35" s="20" t="n">
        <v>31626.63</v>
      </c>
      <c r="AT35" s="20" t="n">
        <v>31626.63</v>
      </c>
      <c r="AU35" s="20" t="n">
        <v>31626.63</v>
      </c>
      <c r="AV35" s="20" t="n">
        <v>31626.63</v>
      </c>
      <c r="AW35" s="20" t="n">
        <v>31626.63</v>
      </c>
      <c r="AX35" s="20" t="n">
        <v>31626.63</v>
      </c>
      <c r="AY35" s="20" t="n">
        <v>31626.63</v>
      </c>
    </row>
    <row r="36">
      <c r="B36" s="33" t="inlineStr">
        <is>
          <t xml:space="preserve">  602004 Payroll Taxes</t>
        </is>
      </c>
      <c r="D36" s="19" t="n">
        <v>4220.65</v>
      </c>
      <c r="E36" s="19" t="n">
        <v>4852.48</v>
      </c>
      <c r="F36" s="19" t="n">
        <v>4990.88</v>
      </c>
      <c r="G36" s="19" t="n">
        <v>3964.9</v>
      </c>
      <c r="H36" s="19" t="n">
        <v>4114.33</v>
      </c>
      <c r="I36" s="19" t="n">
        <v>3607.11</v>
      </c>
      <c r="J36" s="19" t="n">
        <v>3610.81</v>
      </c>
      <c r="K36" s="19" t="n">
        <v>3622.97</v>
      </c>
      <c r="L36" s="19" t="n">
        <v>3601.54</v>
      </c>
      <c r="M36" s="19" t="n">
        <v>3653.63</v>
      </c>
      <c r="N36" s="19" t="n">
        <v>3253.01</v>
      </c>
      <c r="O36" s="19" t="n">
        <v>3298.43</v>
      </c>
      <c r="P36" s="19" t="n">
        <v>7649.27</v>
      </c>
      <c r="Q36" s="19" t="n">
        <v>3941.7</v>
      </c>
      <c r="R36" s="19" t="n">
        <v>3566.17</v>
      </c>
      <c r="S36" s="19" t="n">
        <v>3153.97</v>
      </c>
      <c r="T36" s="83" t="n">
        <v>3080.92</v>
      </c>
      <c r="U36" s="83" t="n">
        <v>3237.94</v>
      </c>
      <c r="V36" s="83" t="n">
        <v>2722.26</v>
      </c>
      <c r="W36" s="20" t="n">
        <v>4566.65</v>
      </c>
      <c r="X36" s="20" t="n">
        <v>4533.18</v>
      </c>
      <c r="Y36" s="20" t="n">
        <v>5076.83</v>
      </c>
      <c r="Z36" s="20" t="n">
        <v>4566.65</v>
      </c>
      <c r="AA36" s="20" t="n">
        <v>4349.19</v>
      </c>
      <c r="AB36" s="20" t="n">
        <v>4171.09</v>
      </c>
      <c r="AC36" s="20" t="n">
        <v>4171.09</v>
      </c>
      <c r="AD36" s="20" t="n">
        <v>4171.09</v>
      </c>
      <c r="AE36" s="20" t="n">
        <v>4171.09</v>
      </c>
      <c r="AF36" s="20" t="n">
        <v>4171.09</v>
      </c>
      <c r="AG36" s="20" t="n">
        <v>4171.09</v>
      </c>
      <c r="AH36" s="20" t="n">
        <v>4171.09</v>
      </c>
      <c r="AI36" s="20" t="n">
        <v>4171.09</v>
      </c>
      <c r="AJ36" s="20" t="n">
        <v>4171.09</v>
      </c>
      <c r="AK36" s="20" t="n">
        <v>4171.09</v>
      </c>
      <c r="AL36" s="20" t="n">
        <v>4171.09</v>
      </c>
      <c r="AM36" s="20" t="n">
        <v>4171.09</v>
      </c>
      <c r="AN36" s="20" t="n">
        <v>4171.09</v>
      </c>
      <c r="AO36" s="20" t="n">
        <v>4171.09</v>
      </c>
      <c r="AP36" s="20" t="n">
        <v>4171.09</v>
      </c>
      <c r="AQ36" s="20" t="n">
        <v>4171.09</v>
      </c>
      <c r="AR36" s="20" t="n">
        <v>4171.09</v>
      </c>
      <c r="AS36" s="20" t="n">
        <v>4171.09</v>
      </c>
      <c r="AT36" s="20" t="n">
        <v>4171.09</v>
      </c>
      <c r="AU36" s="20" t="n">
        <v>4171.09</v>
      </c>
      <c r="AV36" s="20" t="n">
        <v>4171.09</v>
      </c>
      <c r="AW36" s="20" t="n">
        <v>4171.09</v>
      </c>
      <c r="AX36" s="20" t="n">
        <v>4171.09</v>
      </c>
      <c r="AY36" s="20" t="n">
        <v>4171.09</v>
      </c>
    </row>
    <row r="37">
      <c r="B37" s="33" t="inlineStr">
        <is>
          <t>602005 Employee Benefits (incl Workers Comp)</t>
        </is>
      </c>
      <c r="D37" s="19" t="n">
        <v>613.89</v>
      </c>
      <c r="E37" s="19" t="n">
        <v>842.09</v>
      </c>
      <c r="F37" s="19" t="n">
        <v>875.2</v>
      </c>
      <c r="G37" s="19" t="n">
        <v>3446.35</v>
      </c>
      <c r="H37" s="19" t="n">
        <v>1367.8</v>
      </c>
      <c r="I37" s="19" t="n">
        <v>1567.29</v>
      </c>
      <c r="J37" s="19" t="n">
        <v>504.85</v>
      </c>
      <c r="K37" s="19" t="n">
        <v>1043.88</v>
      </c>
      <c r="L37" s="19" t="n">
        <v>1236.59</v>
      </c>
      <c r="M37" s="19" t="n">
        <v>1238.11</v>
      </c>
      <c r="N37" s="19" t="n">
        <v>1046.84</v>
      </c>
      <c r="O37" s="19" t="n">
        <v>851</v>
      </c>
      <c r="P37" s="19" t="n">
        <v>458.86</v>
      </c>
      <c r="Q37" s="19" t="n">
        <v>549.23</v>
      </c>
      <c r="R37" s="19" t="n">
        <v>682.76</v>
      </c>
      <c r="S37" s="19" t="n">
        <v>589.23</v>
      </c>
      <c r="T37" s="83" t="n">
        <v>1452.71</v>
      </c>
      <c r="U37" s="83" t="n">
        <v>513.58</v>
      </c>
      <c r="V37" s="83" t="n">
        <v>457.79</v>
      </c>
      <c r="W37" s="20" t="n">
        <v>528.73</v>
      </c>
      <c r="X37" s="20" t="n">
        <v>524.86</v>
      </c>
      <c r="Y37" s="20" t="n">
        <v>587.8</v>
      </c>
      <c r="Z37" s="20" t="n">
        <v>528.73</v>
      </c>
      <c r="AA37" s="20" t="n">
        <v>503.55</v>
      </c>
      <c r="AB37" s="20" t="n">
        <v>482.93</v>
      </c>
      <c r="AC37" s="20" t="n">
        <v>482.93</v>
      </c>
      <c r="AD37" s="20" t="n">
        <v>482.93</v>
      </c>
      <c r="AE37" s="20" t="n">
        <v>482.93</v>
      </c>
      <c r="AF37" s="20" t="n">
        <v>482.93</v>
      </c>
      <c r="AG37" s="20" t="n">
        <v>482.93</v>
      </c>
      <c r="AH37" s="20" t="n">
        <v>482.93</v>
      </c>
      <c r="AI37" s="20" t="n">
        <v>482.93</v>
      </c>
      <c r="AJ37" s="20" t="n">
        <v>482.93</v>
      </c>
      <c r="AK37" s="20" t="n">
        <v>482.93</v>
      </c>
      <c r="AL37" s="20" t="n">
        <v>482.93</v>
      </c>
      <c r="AM37" s="20" t="n">
        <v>482.93</v>
      </c>
      <c r="AN37" s="20" t="n">
        <v>482.93</v>
      </c>
      <c r="AO37" s="20" t="n">
        <v>482.93</v>
      </c>
      <c r="AP37" s="20" t="n">
        <v>482.93</v>
      </c>
      <c r="AQ37" s="20" t="n">
        <v>482.93</v>
      </c>
      <c r="AR37" s="20" t="n">
        <v>482.93</v>
      </c>
      <c r="AS37" s="20" t="n">
        <v>482.93</v>
      </c>
      <c r="AT37" s="20" t="n">
        <v>482.93</v>
      </c>
      <c r="AU37" s="20" t="n">
        <v>482.93</v>
      </c>
      <c r="AV37" s="20" t="n">
        <v>482.93</v>
      </c>
      <c r="AW37" s="20" t="n">
        <v>482.93</v>
      </c>
      <c r="AX37" s="20" t="n">
        <v>482.93</v>
      </c>
      <c r="AY37" s="20" t="n">
        <v>482.93</v>
      </c>
    </row>
    <row r="38">
      <c r="B38" s="33" t="inlineStr">
        <is>
          <t xml:space="preserve">  602010 Payroll Processing Fees</t>
        </is>
      </c>
      <c r="D38" s="19" t="n">
        <v>1642.89</v>
      </c>
      <c r="E38" s="19" t="n">
        <v>411.29</v>
      </c>
      <c r="F38" s="19" t="n">
        <v>428.39</v>
      </c>
      <c r="G38" s="19" t="n">
        <v>546.36</v>
      </c>
      <c r="H38" s="19" t="n">
        <v>419.84</v>
      </c>
      <c r="I38" s="19" t="n">
        <v>425.54</v>
      </c>
      <c r="J38" s="19" t="n">
        <v>534.96</v>
      </c>
      <c r="K38" s="19" t="n">
        <v>609.8099999999999</v>
      </c>
      <c r="L38" s="19" t="n">
        <v>650.08</v>
      </c>
      <c r="M38" s="19" t="n">
        <v>425.54</v>
      </c>
      <c r="N38" s="19" t="n">
        <v>641.53</v>
      </c>
      <c r="O38" s="19" t="n">
        <v>992.14</v>
      </c>
      <c r="P38" s="19" t="n">
        <v>3625.62</v>
      </c>
      <c r="Q38" s="19" t="n">
        <v>1699.97</v>
      </c>
      <c r="R38" s="19" t="n">
        <v>2295.93</v>
      </c>
      <c r="S38" s="19" t="n">
        <v>1515.49</v>
      </c>
      <c r="T38" s="83" t="n">
        <v>1402.71</v>
      </c>
      <c r="U38" s="83" t="n">
        <v>1762.9</v>
      </c>
      <c r="V38" s="83" t="n">
        <v>1498.67</v>
      </c>
      <c r="W38" s="20" t="n">
        <v>2278.7</v>
      </c>
      <c r="X38" s="20" t="n">
        <v>2262</v>
      </c>
      <c r="Y38" s="20" t="n">
        <v>2533.27</v>
      </c>
      <c r="Z38" s="20" t="n">
        <v>2278.7</v>
      </c>
      <c r="AA38" s="20" t="n">
        <v>2170.19</v>
      </c>
      <c r="AB38" s="20" t="n">
        <v>2081.32</v>
      </c>
      <c r="AC38" s="20" t="n">
        <v>2081.32</v>
      </c>
      <c r="AD38" s="20" t="n">
        <v>2081.32</v>
      </c>
      <c r="AE38" s="20" t="n">
        <v>2081.32</v>
      </c>
      <c r="AF38" s="20" t="n">
        <v>2081.32</v>
      </c>
      <c r="AG38" s="20" t="n">
        <v>2081.32</v>
      </c>
      <c r="AH38" s="20" t="n">
        <v>2081.32</v>
      </c>
      <c r="AI38" s="20" t="n">
        <v>2081.32</v>
      </c>
      <c r="AJ38" s="20" t="n">
        <v>2081.32</v>
      </c>
      <c r="AK38" s="20" t="n">
        <v>2081.32</v>
      </c>
      <c r="AL38" s="20" t="n">
        <v>2081.32</v>
      </c>
      <c r="AM38" s="20" t="n">
        <v>2081.32</v>
      </c>
      <c r="AN38" s="20" t="n">
        <v>2081.32</v>
      </c>
      <c r="AO38" s="20" t="n">
        <v>2081.32</v>
      </c>
      <c r="AP38" s="20" t="n">
        <v>2081.32</v>
      </c>
      <c r="AQ38" s="20" t="n">
        <v>2081.32</v>
      </c>
      <c r="AR38" s="20" t="n">
        <v>2081.32</v>
      </c>
      <c r="AS38" s="20" t="n">
        <v>2081.32</v>
      </c>
      <c r="AT38" s="20" t="n">
        <v>2081.32</v>
      </c>
      <c r="AU38" s="20" t="n">
        <v>2081.32</v>
      </c>
      <c r="AV38" s="20" t="n">
        <v>2081.32</v>
      </c>
      <c r="AW38" s="20" t="n">
        <v>2081.32</v>
      </c>
      <c r="AX38" s="20" t="n">
        <v>2081.32</v>
      </c>
      <c r="AY38" s="20" t="n">
        <v>2081.32</v>
      </c>
    </row>
    <row r="39">
      <c r="B39" s="32" t="inlineStr">
        <is>
          <t>Total Payroll</t>
        </is>
      </c>
      <c r="C39" s="34" t="n"/>
      <c r="D39" s="35">
        <f>SUM(D35:D38)</f>
        <v/>
      </c>
      <c r="E39" s="35">
        <f>SUM(E35:E38)</f>
        <v/>
      </c>
      <c r="F39" s="35">
        <f>SUM(F35:F38)</f>
        <v/>
      </c>
      <c r="G39" s="35">
        <f>SUM(G35:G38)</f>
        <v/>
      </c>
      <c r="H39" s="35">
        <f>SUM(H35:H38)</f>
        <v/>
      </c>
      <c r="I39" s="35">
        <f>SUM(I35:I38)</f>
        <v/>
      </c>
      <c r="J39" s="35">
        <f>SUM(J35:J38)</f>
        <v/>
      </c>
      <c r="K39" s="35">
        <f>SUM(K35:K38)</f>
        <v/>
      </c>
      <c r="L39" s="35">
        <f>SUM(L35:L38)</f>
        <v/>
      </c>
      <c r="M39" s="35">
        <f>SUM(M35:M38)</f>
        <v/>
      </c>
      <c r="N39" s="35">
        <f>SUM(N35:N38)</f>
        <v/>
      </c>
      <c r="O39" s="35">
        <f>SUM(O35:O38)</f>
        <v/>
      </c>
      <c r="P39" s="35">
        <f>P35+P36+P37+P38</f>
        <v/>
      </c>
      <c r="Q39" s="35">
        <f>Q35+Q36+Q37+Q38</f>
        <v/>
      </c>
      <c r="R39" s="35">
        <f>R35+R36+R37+R38</f>
        <v/>
      </c>
      <c r="S39" s="35">
        <f>S35+S36+S37+S38</f>
        <v/>
      </c>
      <c r="T39" s="35">
        <f>T35+T36+T37+T38</f>
        <v/>
      </c>
      <c r="U39" s="35">
        <f>U35+U36+U37+U38</f>
        <v/>
      </c>
      <c r="V39" s="35">
        <f>V35+V36+V37+V38</f>
        <v/>
      </c>
      <c r="W39" s="17">
        <f>W35+W36+W37+W38</f>
        <v/>
      </c>
      <c r="X39" s="17">
        <f>X35+X36+X37+X38</f>
        <v/>
      </c>
      <c r="Y39" s="17">
        <f>Y35+Y36+Y37+Y38</f>
        <v/>
      </c>
      <c r="Z39" s="17">
        <f>Z35+Z36+Z37+Z38</f>
        <v/>
      </c>
      <c r="AA39" s="17">
        <f>AA35+AA36+AA37+AA38</f>
        <v/>
      </c>
      <c r="AB39" s="17">
        <f>AB35+AB36+AB37+AB38</f>
        <v/>
      </c>
      <c r="AC39" s="17">
        <f>AC35+AC36+AC37+AC38</f>
        <v/>
      </c>
      <c r="AD39" s="17">
        <f>AD35+AD36+AD37+AD38</f>
        <v/>
      </c>
      <c r="AE39" s="17">
        <f>AE35+AE36+AE37+AE38</f>
        <v/>
      </c>
      <c r="AF39" s="17">
        <f>AF35+AF36+AF37+AF38</f>
        <v/>
      </c>
      <c r="AG39" s="17">
        <f>AG35+AG36+AG37+AG38</f>
        <v/>
      </c>
      <c r="AH39" s="17">
        <f>AH35+AH36+AH37+AH38</f>
        <v/>
      </c>
      <c r="AI39" s="17">
        <f>AI35+AI36+AI37+AI38</f>
        <v/>
      </c>
      <c r="AJ39" s="17">
        <f>AJ35+AJ36+AJ37+AJ38</f>
        <v/>
      </c>
      <c r="AK39" s="17">
        <f>AK35+AK36+AK37+AK38</f>
        <v/>
      </c>
      <c r="AL39" s="17">
        <f>AL35+AL36+AL37+AL38</f>
        <v/>
      </c>
      <c r="AM39" s="17">
        <f>AM35+AM36+AM37+AM38</f>
        <v/>
      </c>
      <c r="AN39" s="17">
        <f>AN35+AN36+AN37+AN38</f>
        <v/>
      </c>
      <c r="AO39" s="17">
        <f>AO35+AO36+AO37+AO38</f>
        <v/>
      </c>
      <c r="AP39" s="17">
        <f>AP35+AP36+AP37+AP38</f>
        <v/>
      </c>
      <c r="AQ39" s="17">
        <f>AQ35+AQ36+AQ37+AQ38</f>
        <v/>
      </c>
      <c r="AR39" s="17">
        <f>AR35+AR36+AR37+AR38</f>
        <v/>
      </c>
      <c r="AS39" s="17">
        <f>AS35+AS36+AS37+AS38</f>
        <v/>
      </c>
      <c r="AT39" s="17">
        <f>AT35+AT36+AT37+AT38</f>
        <v/>
      </c>
      <c r="AU39" s="17">
        <f>AU35+AU36+AU37+AU38</f>
        <v/>
      </c>
      <c r="AV39" s="17">
        <f>AV35+AV36+AV37+AV38</f>
        <v/>
      </c>
      <c r="AW39" s="17">
        <f>AW35+AW36+AW37+AW38</f>
        <v/>
      </c>
      <c r="AX39" s="17">
        <f>AX35+AX36+AX37+AX38</f>
        <v/>
      </c>
      <c r="AY39" s="17">
        <f>AY35+AY36+AY37+AY38</f>
        <v/>
      </c>
    </row>
    <row r="40">
      <c r="B40" s="33" t="inlineStr">
        <is>
          <t xml:space="preserve">  603000 Software &amp; Web Services</t>
        </is>
      </c>
      <c r="D40" s="19" t="n">
        <v>740.83</v>
      </c>
      <c r="E40" s="19" t="n">
        <v>694.22</v>
      </c>
      <c r="F40" s="19" t="n">
        <v>618.25</v>
      </c>
      <c r="G40" s="19" t="n">
        <v>1500.01</v>
      </c>
      <c r="H40" s="19" t="n">
        <v>1288.95</v>
      </c>
      <c r="I40" s="19" t="n">
        <v>486.45</v>
      </c>
      <c r="J40" s="19" t="n">
        <v>762.9400000000001</v>
      </c>
      <c r="K40" s="19" t="n">
        <v>1714.72</v>
      </c>
      <c r="L40" s="19" t="n">
        <v>645</v>
      </c>
      <c r="M40" s="19" t="n">
        <v>753.1</v>
      </c>
      <c r="N40" s="19" t="n">
        <v>777.6</v>
      </c>
      <c r="O40" s="19" t="n">
        <v>780.6</v>
      </c>
      <c r="P40" s="19" t="n">
        <v>777.6</v>
      </c>
      <c r="Q40" s="19" t="n">
        <v>1436.24</v>
      </c>
      <c r="R40" s="19" t="n">
        <v>723.1</v>
      </c>
      <c r="S40" s="19" t="n">
        <v>1540.69</v>
      </c>
      <c r="T40" s="83" t="n">
        <v>779.28</v>
      </c>
      <c r="U40" s="83" t="n">
        <v>758.6799999999999</v>
      </c>
      <c r="V40" s="83" t="n">
        <v>1063.28</v>
      </c>
      <c r="W40" s="20" t="n">
        <v>1426.46</v>
      </c>
      <c r="X40" s="20" t="n">
        <v>1426.46</v>
      </c>
      <c r="Y40" s="20" t="n">
        <v>1426.46</v>
      </c>
      <c r="Z40" s="20" t="n">
        <v>1426.46</v>
      </c>
      <c r="AA40" s="20" t="n">
        <v>1426.46</v>
      </c>
      <c r="AB40" s="20" t="n">
        <v>1426.46</v>
      </c>
      <c r="AC40" s="20" t="n">
        <v>1426.46</v>
      </c>
      <c r="AD40" s="20" t="n">
        <v>1426.46</v>
      </c>
      <c r="AE40" s="20" t="n">
        <v>1426.46</v>
      </c>
      <c r="AF40" s="20" t="n">
        <v>1426.46</v>
      </c>
      <c r="AG40" s="20" t="n">
        <v>1426.46</v>
      </c>
      <c r="AH40" s="20" t="n">
        <v>1426.46</v>
      </c>
      <c r="AI40" s="20" t="n">
        <v>1426.46</v>
      </c>
      <c r="AJ40" s="20" t="n">
        <v>1426.46</v>
      </c>
      <c r="AK40" s="20" t="n">
        <v>1426.46</v>
      </c>
      <c r="AL40" s="20" t="n">
        <v>1426.46</v>
      </c>
      <c r="AM40" s="20" t="n">
        <v>1426.46</v>
      </c>
      <c r="AN40" s="20" t="n">
        <v>1426.46</v>
      </c>
      <c r="AO40" s="20" t="n">
        <v>1426.46</v>
      </c>
      <c r="AP40" s="20" t="n">
        <v>1426.46</v>
      </c>
      <c r="AQ40" s="20" t="n">
        <v>1426.46</v>
      </c>
      <c r="AR40" s="20" t="n">
        <v>1426.46</v>
      </c>
      <c r="AS40" s="20" t="n">
        <v>1426.46</v>
      </c>
      <c r="AT40" s="20" t="n">
        <v>1426.46</v>
      </c>
      <c r="AU40" s="20" t="n">
        <v>1426.46</v>
      </c>
      <c r="AV40" s="20" t="n">
        <v>1426.46</v>
      </c>
      <c r="AW40" s="20" t="n">
        <v>1426.46</v>
      </c>
      <c r="AX40" s="20" t="n">
        <v>1426.46</v>
      </c>
      <c r="AY40" s="20" t="n">
        <v>1426.46</v>
      </c>
    </row>
    <row r="41">
      <c r="B41" s="33" t="inlineStr">
        <is>
          <t xml:space="preserve">  608000 Insurance</t>
        </is>
      </c>
      <c r="D41" s="19" t="n">
        <v>1804.29</v>
      </c>
      <c r="E41" s="19" t="n">
        <v>2018.29</v>
      </c>
      <c r="F41" s="19" t="n">
        <v>1911.29</v>
      </c>
      <c r="G41" s="19" t="n">
        <v>1911.29</v>
      </c>
      <c r="H41" s="19" t="n">
        <v>1911.29</v>
      </c>
      <c r="I41" s="19" t="n">
        <v>1911.29</v>
      </c>
      <c r="J41" s="19" t="n">
        <v>1911.29</v>
      </c>
      <c r="K41" s="19" t="n">
        <v>1911.29</v>
      </c>
      <c r="L41" s="19" t="n">
        <v>1911.29</v>
      </c>
      <c r="M41" s="19" t="n">
        <v>2269.41</v>
      </c>
      <c r="N41" s="19" t="n">
        <v>2269.41</v>
      </c>
      <c r="O41" s="19" t="n">
        <v>2269.41</v>
      </c>
      <c r="P41" s="19" t="n">
        <v>1583.83</v>
      </c>
      <c r="Q41" s="19" t="n">
        <v>1583.83</v>
      </c>
      <c r="R41" s="19" t="n">
        <v>1813.75</v>
      </c>
      <c r="S41" s="19" t="n">
        <v>1813.75</v>
      </c>
      <c r="T41" s="83" t="n">
        <v>1718.86</v>
      </c>
      <c r="U41" s="83" t="n">
        <v>1714.84</v>
      </c>
      <c r="V41" s="83" t="n">
        <v>1714.84</v>
      </c>
      <c r="W41" s="20" t="n">
        <v>1283.42</v>
      </c>
      <c r="X41" s="20" t="n">
        <v>1283.42</v>
      </c>
      <c r="Y41" s="20" t="n">
        <v>1283.42</v>
      </c>
      <c r="Z41" s="20" t="n">
        <v>1283.42</v>
      </c>
      <c r="AA41" s="20" t="n">
        <v>1283.42</v>
      </c>
      <c r="AB41" s="20" t="n">
        <v>1283.42</v>
      </c>
      <c r="AC41" s="20" t="n">
        <v>1283.42</v>
      </c>
      <c r="AD41" s="20" t="n">
        <v>1283.42</v>
      </c>
      <c r="AE41" s="20" t="n">
        <v>1283.42</v>
      </c>
      <c r="AF41" s="20" t="n">
        <v>1283.42</v>
      </c>
      <c r="AG41" s="20" t="n">
        <v>1283.42</v>
      </c>
      <c r="AH41" s="20" t="n">
        <v>1283.42</v>
      </c>
      <c r="AI41" s="20" t="n">
        <v>1283.42</v>
      </c>
      <c r="AJ41" s="20" t="n">
        <v>1283.42</v>
      </c>
      <c r="AK41" s="20" t="n">
        <v>1283.42</v>
      </c>
      <c r="AL41" s="20" t="n">
        <v>1283.42</v>
      </c>
      <c r="AM41" s="20" t="n">
        <v>1283.42</v>
      </c>
      <c r="AN41" s="20" t="n">
        <v>1283.42</v>
      </c>
      <c r="AO41" s="20" t="n">
        <v>1283.42</v>
      </c>
      <c r="AP41" s="20" t="n">
        <v>1283.42</v>
      </c>
      <c r="AQ41" s="20" t="n">
        <v>1283.42</v>
      </c>
      <c r="AR41" s="20" t="n">
        <v>1283.42</v>
      </c>
      <c r="AS41" s="20" t="n">
        <v>1283.42</v>
      </c>
      <c r="AT41" s="20" t="n">
        <v>1283.42</v>
      </c>
      <c r="AU41" s="20" t="n">
        <v>1283.42</v>
      </c>
      <c r="AV41" s="20" t="n">
        <v>1283.42</v>
      </c>
      <c r="AW41" s="20" t="n">
        <v>1283.42</v>
      </c>
      <c r="AX41" s="20" t="n">
        <v>1283.42</v>
      </c>
      <c r="AY41" s="20" t="n">
        <v>1283.42</v>
      </c>
    </row>
    <row r="42">
      <c r="B42" s="33" t="inlineStr">
        <is>
          <t>610000 Office Supplies &amp; GE (incl Licenses, Furniture, Shipping, Bank Fees, Start-Up Costs)</t>
        </is>
      </c>
      <c r="D42" s="19" t="n">
        <v>1312.7</v>
      </c>
      <c r="E42" s="19" t="n">
        <v>2097.71</v>
      </c>
      <c r="F42" s="19" t="n">
        <v>1413.31</v>
      </c>
      <c r="G42" s="19" t="n">
        <v>1290.16</v>
      </c>
      <c r="H42" s="19" t="n">
        <v>1149.53</v>
      </c>
      <c r="I42" s="19" t="n">
        <v>725.77</v>
      </c>
      <c r="J42" s="19" t="n">
        <v>975.42</v>
      </c>
      <c r="K42" s="19" t="n">
        <v>646.15</v>
      </c>
      <c r="L42" s="19" t="n">
        <v>792.52</v>
      </c>
      <c r="M42" s="19" t="n">
        <v>2132.23</v>
      </c>
      <c r="N42" s="19" t="n">
        <v>836.96</v>
      </c>
      <c r="O42" s="19" t="n">
        <v>1011.29</v>
      </c>
      <c r="P42" s="19" t="n">
        <v>1573.27</v>
      </c>
      <c r="Q42" s="19" t="n">
        <v>605.89</v>
      </c>
      <c r="R42" s="19" t="n">
        <v>967.74</v>
      </c>
      <c r="S42" s="19" t="n">
        <v>1133.24</v>
      </c>
      <c r="T42" s="83" t="n">
        <v>1684.72</v>
      </c>
      <c r="U42" s="83" t="n">
        <v>645.15</v>
      </c>
      <c r="V42" s="83" t="n">
        <v>1198.13</v>
      </c>
      <c r="W42" s="20" t="n">
        <v>419.25</v>
      </c>
      <c r="X42" s="20" t="n">
        <v>419.25</v>
      </c>
      <c r="Y42" s="20" t="n">
        <v>419.25</v>
      </c>
      <c r="Z42" s="20" t="n">
        <v>419.25</v>
      </c>
      <c r="AA42" s="20" t="n">
        <v>419.25</v>
      </c>
      <c r="AB42" s="20" t="n">
        <v>419.25</v>
      </c>
      <c r="AC42" s="20" t="n">
        <v>419.25</v>
      </c>
      <c r="AD42" s="20" t="n">
        <v>419.25</v>
      </c>
      <c r="AE42" s="20" t="n">
        <v>419.25</v>
      </c>
      <c r="AF42" s="20" t="n">
        <v>419.25</v>
      </c>
      <c r="AG42" s="20" t="n">
        <v>419.25</v>
      </c>
      <c r="AH42" s="20" t="n">
        <v>419.25</v>
      </c>
      <c r="AI42" s="20" t="n">
        <v>419.25</v>
      </c>
      <c r="AJ42" s="20" t="n">
        <v>419.25</v>
      </c>
      <c r="AK42" s="20" t="n">
        <v>419.25</v>
      </c>
      <c r="AL42" s="20" t="n">
        <v>419.25</v>
      </c>
      <c r="AM42" s="20" t="n">
        <v>419.25</v>
      </c>
      <c r="AN42" s="20" t="n">
        <v>419.25</v>
      </c>
      <c r="AO42" s="20" t="n">
        <v>419.25</v>
      </c>
      <c r="AP42" s="20" t="n">
        <v>419.25</v>
      </c>
      <c r="AQ42" s="20" t="n">
        <v>419.25</v>
      </c>
      <c r="AR42" s="20" t="n">
        <v>419.25</v>
      </c>
      <c r="AS42" s="20" t="n">
        <v>419.25</v>
      </c>
      <c r="AT42" s="20" t="n">
        <v>419.25</v>
      </c>
      <c r="AU42" s="20" t="n">
        <v>419.25</v>
      </c>
      <c r="AV42" s="20" t="n">
        <v>419.25</v>
      </c>
      <c r="AW42" s="20" t="n">
        <v>419.25</v>
      </c>
      <c r="AX42" s="20" t="n">
        <v>419.25</v>
      </c>
      <c r="AY42" s="20" t="n">
        <v>419.25</v>
      </c>
    </row>
    <row r="43">
      <c r="B43" s="32" t="inlineStr">
        <is>
          <t>Total Software &amp; Admin</t>
        </is>
      </c>
      <c r="C43" s="34" t="n"/>
      <c r="D43" s="35">
        <f>D40+D41+D42</f>
        <v/>
      </c>
      <c r="E43" s="35">
        <f>E40+E41+E42</f>
        <v/>
      </c>
      <c r="F43" s="35">
        <f>F40+F41+F42</f>
        <v/>
      </c>
      <c r="G43" s="35">
        <f>G40+G41+G42</f>
        <v/>
      </c>
      <c r="H43" s="35">
        <f>H40+H41+H42</f>
        <v/>
      </c>
      <c r="I43" s="35">
        <f>I40+I41+I42</f>
        <v/>
      </c>
      <c r="J43" s="35">
        <f>J40+J41+J42</f>
        <v/>
      </c>
      <c r="K43" s="35">
        <f>K40+K41+K42</f>
        <v/>
      </c>
      <c r="L43" s="35">
        <f>L40+L41+L42</f>
        <v/>
      </c>
      <c r="M43" s="35">
        <f>M40+M41+M42</f>
        <v/>
      </c>
      <c r="N43" s="35">
        <f>N40+N41+N42</f>
        <v/>
      </c>
      <c r="O43" s="35">
        <f>O40+O41+O42</f>
        <v/>
      </c>
      <c r="P43" s="35">
        <f>P40+P41+P42</f>
        <v/>
      </c>
      <c r="Q43" s="35">
        <f>Q40+Q41+Q42</f>
        <v/>
      </c>
      <c r="R43" s="35">
        <f>R40+R41+R42</f>
        <v/>
      </c>
      <c r="S43" s="35">
        <f>S40+S41+S42</f>
        <v/>
      </c>
      <c r="T43" s="35">
        <f>T40+T41+T42</f>
        <v/>
      </c>
      <c r="U43" s="35">
        <f>U40+U41+U42</f>
        <v/>
      </c>
      <c r="V43" s="35">
        <f>V40+V41+V42</f>
        <v/>
      </c>
      <c r="W43" s="17">
        <f>W40+W41+W42</f>
        <v/>
      </c>
      <c r="X43" s="17">
        <f>X40+X41+X42</f>
        <v/>
      </c>
      <c r="Y43" s="17">
        <f>Y40+Y41+Y42</f>
        <v/>
      </c>
      <c r="Z43" s="17">
        <f>Z40+Z41+Z42</f>
        <v/>
      </c>
      <c r="AA43" s="17">
        <f>AA40+AA41+AA42</f>
        <v/>
      </c>
      <c r="AB43" s="17">
        <f>AB40+AB41+AB42</f>
        <v/>
      </c>
      <c r="AC43" s="17">
        <f>AC40+AC41+AC42</f>
        <v/>
      </c>
      <c r="AD43" s="17">
        <f>AD40+AD41+AD42</f>
        <v/>
      </c>
      <c r="AE43" s="17">
        <f>AE40+AE41+AE42</f>
        <v/>
      </c>
      <c r="AF43" s="17">
        <f>AF40+AF41+AF42</f>
        <v/>
      </c>
      <c r="AG43" s="17">
        <f>AG40+AG41+AG42</f>
        <v/>
      </c>
      <c r="AH43" s="17">
        <f>AH40+AH41+AH42</f>
        <v/>
      </c>
      <c r="AI43" s="17">
        <f>AI40+AI41+AI42</f>
        <v/>
      </c>
      <c r="AJ43" s="17">
        <f>AJ40+AJ41+AJ42</f>
        <v/>
      </c>
      <c r="AK43" s="17">
        <f>AK40+AK41+AK42</f>
        <v/>
      </c>
      <c r="AL43" s="17">
        <f>AL40+AL41+AL42</f>
        <v/>
      </c>
      <c r="AM43" s="17">
        <f>AM40+AM41+AM42</f>
        <v/>
      </c>
      <c r="AN43" s="17">
        <f>AN40+AN41+AN42</f>
        <v/>
      </c>
      <c r="AO43" s="17">
        <f>AO40+AO41+AO42</f>
        <v/>
      </c>
      <c r="AP43" s="17">
        <f>AP40+AP41+AP42</f>
        <v/>
      </c>
      <c r="AQ43" s="17">
        <f>AQ40+AQ41+AQ42</f>
        <v/>
      </c>
      <c r="AR43" s="17">
        <f>AR40+AR41+AR42</f>
        <v/>
      </c>
      <c r="AS43" s="17">
        <f>AS40+AS41+AS42</f>
        <v/>
      </c>
      <c r="AT43" s="17">
        <f>AT40+AT41+AT42</f>
        <v/>
      </c>
      <c r="AU43" s="17">
        <f>AU40+AU41+AU42</f>
        <v/>
      </c>
      <c r="AV43" s="17">
        <f>AV40+AV41+AV42</f>
        <v/>
      </c>
      <c r="AW43" s="17">
        <f>AW40+AW41+AW42</f>
        <v/>
      </c>
      <c r="AX43" s="17">
        <f>AX40+AX41+AX42</f>
        <v/>
      </c>
      <c r="AY43" s="17">
        <f>AY40+AY41+AY42</f>
        <v/>
      </c>
    </row>
    <row r="44">
      <c r="B44" s="33" t="inlineStr">
        <is>
          <t xml:space="preserve">  604100 Legal Fees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0</v>
      </c>
      <c r="O44" s="19" t="n">
        <v>0</v>
      </c>
      <c r="P44" s="19" t="n">
        <v>0</v>
      </c>
      <c r="Q44" s="19" t="n">
        <v>0</v>
      </c>
      <c r="R44" s="19" t="n">
        <v>0</v>
      </c>
      <c r="S44" s="19" t="n">
        <v>0</v>
      </c>
      <c r="T44" s="83" t="n">
        <v>0</v>
      </c>
      <c r="U44" s="83" t="n">
        <v>0</v>
      </c>
      <c r="V44" s="83" t="n">
        <v>0</v>
      </c>
      <c r="W44" s="20" t="n">
        <v>0</v>
      </c>
      <c r="X44" s="20" t="n">
        <v>0</v>
      </c>
      <c r="Y44" s="20" t="n">
        <v>0</v>
      </c>
      <c r="Z44" s="20" t="n">
        <v>0</v>
      </c>
      <c r="AA44" s="20" t="n">
        <v>0</v>
      </c>
      <c r="AB44" s="20" t="n">
        <v>0</v>
      </c>
      <c r="AC44" s="20" t="n">
        <v>0</v>
      </c>
      <c r="AD44" s="20" t="n">
        <v>0</v>
      </c>
      <c r="AE44" s="20" t="n">
        <v>0</v>
      </c>
      <c r="AF44" s="20" t="n">
        <v>0</v>
      </c>
      <c r="AG44" s="20" t="n">
        <v>0</v>
      </c>
      <c r="AH44" s="20" t="n">
        <v>0</v>
      </c>
      <c r="AI44" s="20" t="n">
        <v>0</v>
      </c>
      <c r="AJ44" s="20" t="n">
        <v>0</v>
      </c>
      <c r="AK44" s="20" t="n">
        <v>0</v>
      </c>
      <c r="AL44" s="20" t="n">
        <v>0</v>
      </c>
      <c r="AM44" s="20" t="n">
        <v>0</v>
      </c>
      <c r="AN44" s="20" t="n">
        <v>0</v>
      </c>
      <c r="AO44" s="20" t="n">
        <v>0</v>
      </c>
      <c r="AP44" s="20" t="n">
        <v>0</v>
      </c>
      <c r="AQ44" s="20" t="n">
        <v>0</v>
      </c>
      <c r="AR44" s="20" t="n">
        <v>0</v>
      </c>
      <c r="AS44" s="20" t="n">
        <v>0</v>
      </c>
      <c r="AT44" s="20" t="n">
        <v>0</v>
      </c>
      <c r="AU44" s="20" t="n">
        <v>0</v>
      </c>
      <c r="AV44" s="20" t="n">
        <v>0</v>
      </c>
      <c r="AW44" s="20" t="n">
        <v>0</v>
      </c>
      <c r="AX44" s="20" t="n">
        <v>0</v>
      </c>
      <c r="AY44" s="20" t="n">
        <v>0</v>
      </c>
    </row>
    <row r="45">
      <c r="B45" s="33" t="inlineStr">
        <is>
          <t xml:space="preserve">  604200 Accounting</t>
        </is>
      </c>
      <c r="D45" s="19" t="n">
        <v>321.75</v>
      </c>
      <c r="E45" s="19" t="n">
        <v>140.5</v>
      </c>
      <c r="F45" s="19" t="n">
        <v>248</v>
      </c>
      <c r="G45" s="19" t="n">
        <v>45.25</v>
      </c>
      <c r="H45" s="19" t="n">
        <v>1345</v>
      </c>
      <c r="I45" s="19" t="n">
        <v>45.5</v>
      </c>
      <c r="J45" s="19" t="n">
        <v>45.5</v>
      </c>
      <c r="K45" s="19" t="n">
        <v>951.75</v>
      </c>
      <c r="L45" s="19" t="n">
        <v>52.5</v>
      </c>
      <c r="M45" s="19" t="n">
        <v>162.5</v>
      </c>
      <c r="N45" s="19" t="n">
        <v>154.54</v>
      </c>
      <c r="O45" s="19" t="n">
        <v>101.59</v>
      </c>
      <c r="P45" s="19" t="n">
        <v>0</v>
      </c>
      <c r="Q45" s="19" t="n">
        <v>301.8</v>
      </c>
      <c r="R45" s="19" t="n">
        <v>440</v>
      </c>
      <c r="S45" s="19" t="n">
        <v>0</v>
      </c>
      <c r="T45" s="83" t="n">
        <v>1116.8</v>
      </c>
      <c r="U45" s="83" t="n">
        <v>0</v>
      </c>
      <c r="V45" s="83" t="n">
        <v>0</v>
      </c>
      <c r="W45" s="20" t="n">
        <v>136.42</v>
      </c>
      <c r="X45" s="20" t="n">
        <v>136.42</v>
      </c>
      <c r="Y45" s="20" t="n">
        <v>136.42</v>
      </c>
      <c r="Z45" s="20" t="n">
        <v>136.42</v>
      </c>
      <c r="AA45" s="20" t="n">
        <v>136.42</v>
      </c>
      <c r="AB45" s="20" t="n">
        <v>136.42</v>
      </c>
      <c r="AC45" s="20" t="n">
        <v>136.42</v>
      </c>
      <c r="AD45" s="20" t="n">
        <v>136.42</v>
      </c>
      <c r="AE45" s="20" t="n">
        <v>136.42</v>
      </c>
      <c r="AF45" s="20" t="n">
        <v>136.42</v>
      </c>
      <c r="AG45" s="20" t="n">
        <v>136.42</v>
      </c>
      <c r="AH45" s="20" t="n">
        <v>136.42</v>
      </c>
      <c r="AI45" s="20" t="n">
        <v>136.42</v>
      </c>
      <c r="AJ45" s="20" t="n">
        <v>136.42</v>
      </c>
      <c r="AK45" s="20" t="n">
        <v>136.42</v>
      </c>
      <c r="AL45" s="20" t="n">
        <v>136.42</v>
      </c>
      <c r="AM45" s="20" t="n">
        <v>136.42</v>
      </c>
      <c r="AN45" s="20" t="n">
        <v>136.42</v>
      </c>
      <c r="AO45" s="20" t="n">
        <v>136.42</v>
      </c>
      <c r="AP45" s="20" t="n">
        <v>136.42</v>
      </c>
      <c r="AQ45" s="20" t="n">
        <v>136.42</v>
      </c>
      <c r="AR45" s="20" t="n">
        <v>136.42</v>
      </c>
      <c r="AS45" s="20" t="n">
        <v>136.42</v>
      </c>
      <c r="AT45" s="20" t="n">
        <v>136.42</v>
      </c>
      <c r="AU45" s="20" t="n">
        <v>136.42</v>
      </c>
      <c r="AV45" s="20" t="n">
        <v>136.42</v>
      </c>
      <c r="AW45" s="20" t="n">
        <v>136.42</v>
      </c>
      <c r="AX45" s="20" t="n">
        <v>136.42</v>
      </c>
      <c r="AY45" s="20" t="n">
        <v>136.42</v>
      </c>
    </row>
    <row r="46">
      <c r="B46" s="33" t="inlineStr">
        <is>
          <t xml:space="preserve">  604300 Recruiting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0</v>
      </c>
      <c r="N46" s="19" t="n">
        <v>0</v>
      </c>
      <c r="O46" s="19" t="n">
        <v>0</v>
      </c>
      <c r="P46" s="19" t="n">
        <v>0</v>
      </c>
      <c r="Q46" s="19" t="n">
        <v>0</v>
      </c>
      <c r="R46" s="19" t="n">
        <v>0</v>
      </c>
      <c r="S46" s="19" t="n">
        <v>0</v>
      </c>
      <c r="T46" s="83" t="n">
        <v>0</v>
      </c>
      <c r="U46" s="83" t="n">
        <v>0</v>
      </c>
      <c r="V46" s="83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</row>
    <row r="47">
      <c r="B47" s="33" t="inlineStr">
        <is>
          <t xml:space="preserve">  604400 Other Professional Fees</t>
        </is>
      </c>
      <c r="D47" s="19" t="n">
        <v>0</v>
      </c>
      <c r="E47" s="19" t="n">
        <v>0</v>
      </c>
      <c r="F47" s="19" t="n">
        <v>0</v>
      </c>
      <c r="G47" s="19" t="n">
        <v>0</v>
      </c>
      <c r="H47" s="19" t="n">
        <v>0</v>
      </c>
      <c r="I47" s="19" t="n">
        <v>0</v>
      </c>
      <c r="J47" s="19" t="n">
        <v>479.1</v>
      </c>
      <c r="K47" s="19" t="n">
        <v>479.1</v>
      </c>
      <c r="L47" s="19" t="n">
        <v>479.1</v>
      </c>
      <c r="M47" s="19" t="n">
        <v>743.5</v>
      </c>
      <c r="N47" s="19" t="n">
        <v>481</v>
      </c>
      <c r="O47" s="19" t="n">
        <v>497.18</v>
      </c>
      <c r="P47" s="19" t="n">
        <v>516</v>
      </c>
      <c r="Q47" s="19" t="n">
        <v>516</v>
      </c>
      <c r="R47" s="19" t="n">
        <v>516</v>
      </c>
      <c r="S47" s="19" t="n">
        <v>516</v>
      </c>
      <c r="T47" s="83" t="n">
        <v>516</v>
      </c>
      <c r="U47" s="83" t="n">
        <v>516</v>
      </c>
      <c r="V47" s="83" t="n">
        <v>516</v>
      </c>
      <c r="W47" s="20" t="n">
        <v>379.58</v>
      </c>
      <c r="X47" s="20" t="n">
        <v>379.58</v>
      </c>
      <c r="Y47" s="20" t="n">
        <v>379.58</v>
      </c>
      <c r="Z47" s="20" t="n">
        <v>379.58</v>
      </c>
      <c r="AA47" s="20" t="n">
        <v>379.58</v>
      </c>
      <c r="AB47" s="20" t="n">
        <v>379.58</v>
      </c>
      <c r="AC47" s="20" t="n">
        <v>379.58</v>
      </c>
      <c r="AD47" s="20" t="n">
        <v>379.58</v>
      </c>
      <c r="AE47" s="20" t="n">
        <v>379.58</v>
      </c>
      <c r="AF47" s="20" t="n">
        <v>379.58</v>
      </c>
      <c r="AG47" s="20" t="n">
        <v>379.58</v>
      </c>
      <c r="AH47" s="20" t="n">
        <v>379.58</v>
      </c>
      <c r="AI47" s="20" t="n">
        <v>379.58</v>
      </c>
      <c r="AJ47" s="20" t="n">
        <v>379.58</v>
      </c>
      <c r="AK47" s="20" t="n">
        <v>379.58</v>
      </c>
      <c r="AL47" s="20" t="n">
        <v>379.58</v>
      </c>
      <c r="AM47" s="20" t="n">
        <v>379.58</v>
      </c>
      <c r="AN47" s="20" t="n">
        <v>379.58</v>
      </c>
      <c r="AO47" s="20" t="n">
        <v>379.58</v>
      </c>
      <c r="AP47" s="20" t="n">
        <v>379.58</v>
      </c>
      <c r="AQ47" s="20" t="n">
        <v>379.58</v>
      </c>
      <c r="AR47" s="20" t="n">
        <v>379.58</v>
      </c>
      <c r="AS47" s="20" t="n">
        <v>379.58</v>
      </c>
      <c r="AT47" s="20" t="n">
        <v>379.58</v>
      </c>
      <c r="AU47" s="20" t="n">
        <v>379.58</v>
      </c>
      <c r="AV47" s="20" t="n">
        <v>379.58</v>
      </c>
      <c r="AW47" s="20" t="n">
        <v>379.58</v>
      </c>
      <c r="AX47" s="20" t="n">
        <v>379.58</v>
      </c>
      <c r="AY47" s="20" t="n">
        <v>379.58</v>
      </c>
    </row>
    <row r="48">
      <c r="B48" s="32" t="inlineStr">
        <is>
          <t>Total Professional Fees</t>
        </is>
      </c>
      <c r="C48" s="34" t="n"/>
      <c r="D48" s="35">
        <f>SUM(D44:D47)</f>
        <v/>
      </c>
      <c r="E48" s="35">
        <f>SUM(E44:E47)</f>
        <v/>
      </c>
      <c r="F48" s="35">
        <f>SUM(F44:F47)</f>
        <v/>
      </c>
      <c r="G48" s="35">
        <f>SUM(G44:G47)</f>
        <v/>
      </c>
      <c r="H48" s="35">
        <f>SUM(H44:H47)</f>
        <v/>
      </c>
      <c r="I48" s="35">
        <f>SUM(I44:I47)</f>
        <v/>
      </c>
      <c r="J48" s="35">
        <f>SUM(J44:J47)</f>
        <v/>
      </c>
      <c r="K48" s="35">
        <f>SUM(K44:K47)</f>
        <v/>
      </c>
      <c r="L48" s="35">
        <f>SUM(L44:L47)</f>
        <v/>
      </c>
      <c r="M48" s="35">
        <f>SUM(M44:M47)</f>
        <v/>
      </c>
      <c r="N48" s="35">
        <f>SUM(N44:N47)</f>
        <v/>
      </c>
      <c r="O48" s="35">
        <f>SUM(O44:O47)</f>
        <v/>
      </c>
      <c r="P48" s="35">
        <f>P44+P45+P46+P47</f>
        <v/>
      </c>
      <c r="Q48" s="35">
        <f>Q44+Q45+Q46+Q47</f>
        <v/>
      </c>
      <c r="R48" s="35">
        <f>R44+R45+R46+R47</f>
        <v/>
      </c>
      <c r="S48" s="35">
        <f>S44+S45+S46+S47</f>
        <v/>
      </c>
      <c r="T48" s="35">
        <f>T44+T45+T46+T47</f>
        <v/>
      </c>
      <c r="U48" s="35">
        <f>U44+U45+U46+U47</f>
        <v/>
      </c>
      <c r="V48" s="35">
        <f>V44+V45+V46+V47</f>
        <v/>
      </c>
      <c r="W48" s="17">
        <f>W44+W45+W46+W47</f>
        <v/>
      </c>
      <c r="X48" s="17">
        <f>X44+X45+X46+X47</f>
        <v/>
      </c>
      <c r="Y48" s="17">
        <f>Y44+Y45+Y46+Y47</f>
        <v/>
      </c>
      <c r="Z48" s="17">
        <f>Z44+Z45+Z46+Z47</f>
        <v/>
      </c>
      <c r="AA48" s="17">
        <f>AA44+AA45+AA46+AA47</f>
        <v/>
      </c>
      <c r="AB48" s="17">
        <f>AB44+AB45+AB46+AB47</f>
        <v/>
      </c>
      <c r="AC48" s="17">
        <f>AC44+AC45+AC46+AC47</f>
        <v/>
      </c>
      <c r="AD48" s="17">
        <f>AD44+AD45+AD46+AD47</f>
        <v/>
      </c>
      <c r="AE48" s="17">
        <f>AE44+AE45+AE46+AE47</f>
        <v/>
      </c>
      <c r="AF48" s="17">
        <f>AF44+AF45+AF46+AF47</f>
        <v/>
      </c>
      <c r="AG48" s="17">
        <f>AG44+AG45+AG46+AG47</f>
        <v/>
      </c>
      <c r="AH48" s="17">
        <f>AH44+AH45+AH46+AH47</f>
        <v/>
      </c>
      <c r="AI48" s="17">
        <f>AI44+AI45+AI46+AI47</f>
        <v/>
      </c>
      <c r="AJ48" s="17">
        <f>AJ44+AJ45+AJ46+AJ47</f>
        <v/>
      </c>
      <c r="AK48" s="17">
        <f>AK44+AK45+AK46+AK47</f>
        <v/>
      </c>
      <c r="AL48" s="17">
        <f>AL44+AL45+AL46+AL47</f>
        <v/>
      </c>
      <c r="AM48" s="17">
        <f>AM44+AM45+AM46+AM47</f>
        <v/>
      </c>
      <c r="AN48" s="17">
        <f>AN44+AN45+AN46+AN47</f>
        <v/>
      </c>
      <c r="AO48" s="17">
        <f>AO44+AO45+AO46+AO47</f>
        <v/>
      </c>
      <c r="AP48" s="17">
        <f>AP44+AP45+AP46+AP47</f>
        <v/>
      </c>
      <c r="AQ48" s="17">
        <f>AQ44+AQ45+AQ46+AQ47</f>
        <v/>
      </c>
      <c r="AR48" s="17">
        <f>AR44+AR45+AR46+AR47</f>
        <v/>
      </c>
      <c r="AS48" s="17">
        <f>AS44+AS45+AS46+AS47</f>
        <v/>
      </c>
      <c r="AT48" s="17">
        <f>AT44+AT45+AT46+AT47</f>
        <v/>
      </c>
      <c r="AU48" s="17">
        <f>AU44+AU45+AU46+AU47</f>
        <v/>
      </c>
      <c r="AV48" s="17">
        <f>AV44+AV45+AV46+AV47</f>
        <v/>
      </c>
      <c r="AW48" s="17">
        <f>AW44+AW45+AW46+AW47</f>
        <v/>
      </c>
      <c r="AX48" s="17">
        <f>AX44+AX45+AX46+AX47</f>
        <v/>
      </c>
      <c r="AY48" s="17">
        <f>AY44+AY45+AY46+AY47</f>
        <v/>
      </c>
    </row>
    <row r="49">
      <c r="B49" s="33" t="inlineStr">
        <is>
          <t xml:space="preserve">  605000 Travel</t>
        </is>
      </c>
      <c r="D49" s="19" t="n">
        <v>129.2</v>
      </c>
      <c r="E49" s="19" t="n">
        <v>115.47</v>
      </c>
      <c r="F49" s="19" t="n">
        <v>135.68</v>
      </c>
      <c r="G49" s="19" t="n">
        <v>793.26</v>
      </c>
      <c r="H49" s="19" t="n">
        <v>54.9</v>
      </c>
      <c r="I49" s="19" t="n">
        <v>37</v>
      </c>
      <c r="J49" s="19" t="n">
        <v>43.77</v>
      </c>
      <c r="K49" s="19" t="n">
        <v>68.98999999999999</v>
      </c>
      <c r="L49" s="19" t="n">
        <v>130.81</v>
      </c>
      <c r="M49" s="19" t="n">
        <v>609.96</v>
      </c>
      <c r="N49" s="19" t="n">
        <v>41.28</v>
      </c>
      <c r="O49" s="19" t="n">
        <v>28.54</v>
      </c>
      <c r="P49" s="19" t="n">
        <v>81.41</v>
      </c>
      <c r="Q49" s="19" t="n">
        <v>76.58</v>
      </c>
      <c r="R49" s="19" t="n">
        <v>78.47</v>
      </c>
      <c r="S49" s="19" t="n">
        <v>38.66</v>
      </c>
      <c r="T49" s="83" t="n">
        <v>41</v>
      </c>
      <c r="U49" s="83" t="n">
        <v>41.4</v>
      </c>
      <c r="V49" s="83" t="n">
        <v>0</v>
      </c>
      <c r="W49" s="20" t="n">
        <v>69.5</v>
      </c>
      <c r="X49" s="20" t="n">
        <v>69.5</v>
      </c>
      <c r="Y49" s="20" t="n">
        <v>69.5</v>
      </c>
      <c r="Z49" s="20" t="n">
        <v>69.5</v>
      </c>
      <c r="AA49" s="20" t="n">
        <v>69.5</v>
      </c>
      <c r="AB49" s="20" t="n">
        <v>69.5</v>
      </c>
      <c r="AC49" s="20" t="n">
        <v>69.5</v>
      </c>
      <c r="AD49" s="20" t="n">
        <v>69.5</v>
      </c>
      <c r="AE49" s="20" t="n">
        <v>69.5</v>
      </c>
      <c r="AF49" s="20" t="n">
        <v>69.5</v>
      </c>
      <c r="AG49" s="20" t="n">
        <v>69.5</v>
      </c>
      <c r="AH49" s="20" t="n">
        <v>69.5</v>
      </c>
      <c r="AI49" s="20" t="n">
        <v>69.5</v>
      </c>
      <c r="AJ49" s="20" t="n">
        <v>69.5</v>
      </c>
      <c r="AK49" s="20" t="n">
        <v>69.5</v>
      </c>
      <c r="AL49" s="20" t="n">
        <v>69.5</v>
      </c>
      <c r="AM49" s="20" t="n">
        <v>69.5</v>
      </c>
      <c r="AN49" s="20" t="n">
        <v>69.5</v>
      </c>
      <c r="AO49" s="20" t="n">
        <v>69.5</v>
      </c>
      <c r="AP49" s="20" t="n">
        <v>69.5</v>
      </c>
      <c r="AQ49" s="20" t="n">
        <v>69.5</v>
      </c>
      <c r="AR49" s="20" t="n">
        <v>69.5</v>
      </c>
      <c r="AS49" s="20" t="n">
        <v>69.5</v>
      </c>
      <c r="AT49" s="20" t="n">
        <v>69.5</v>
      </c>
      <c r="AU49" s="20" t="n">
        <v>69.5</v>
      </c>
      <c r="AV49" s="20" t="n">
        <v>69.5</v>
      </c>
      <c r="AW49" s="20" t="n">
        <v>69.5</v>
      </c>
      <c r="AX49" s="20" t="n">
        <v>69.5</v>
      </c>
      <c r="AY49" s="20" t="n">
        <v>69.5</v>
      </c>
    </row>
    <row r="50">
      <c r="B50" s="33" t="inlineStr">
        <is>
          <t>606000 Meals (incl Entertainment)</t>
        </is>
      </c>
      <c r="D50" s="19" t="n">
        <v>0</v>
      </c>
      <c r="E50" s="19" t="n">
        <v>72.86</v>
      </c>
      <c r="F50" s="19" t="n">
        <v>51.25</v>
      </c>
      <c r="G50" s="19" t="n">
        <v>156.68</v>
      </c>
      <c r="H50" s="19" t="n">
        <v>111.67</v>
      </c>
      <c r="I50" s="19" t="n">
        <v>0</v>
      </c>
      <c r="J50" s="19" t="n">
        <v>130.25</v>
      </c>
      <c r="K50" s="19" t="n">
        <v>0</v>
      </c>
      <c r="L50" s="19" t="n">
        <v>205.66</v>
      </c>
      <c r="M50" s="19" t="n">
        <v>88.48999999999999</v>
      </c>
      <c r="N50" s="19" t="n">
        <v>0</v>
      </c>
      <c r="O50" s="19" t="n">
        <v>154.36</v>
      </c>
      <c r="P50" s="19" t="n">
        <v>48.55</v>
      </c>
      <c r="Q50" s="19" t="n">
        <v>0</v>
      </c>
      <c r="R50" s="19" t="n">
        <v>28.15</v>
      </c>
      <c r="S50" s="19" t="n">
        <v>144.77</v>
      </c>
      <c r="T50" s="83" t="n">
        <v>63.21</v>
      </c>
      <c r="U50" s="83" t="n">
        <v>62.86</v>
      </c>
      <c r="V50" s="83" t="n">
        <v>33.21</v>
      </c>
      <c r="W50" s="20" t="n">
        <v>60.46</v>
      </c>
      <c r="X50" s="20" t="n">
        <v>60.46</v>
      </c>
      <c r="Y50" s="20" t="n">
        <v>60.46</v>
      </c>
      <c r="Z50" s="20" t="n">
        <v>60.46</v>
      </c>
      <c r="AA50" s="20" t="n">
        <v>60.46</v>
      </c>
      <c r="AB50" s="20" t="n">
        <v>60.46</v>
      </c>
      <c r="AC50" s="20" t="n">
        <v>60.46</v>
      </c>
      <c r="AD50" s="20" t="n">
        <v>60.46</v>
      </c>
      <c r="AE50" s="20" t="n">
        <v>60.46</v>
      </c>
      <c r="AF50" s="20" t="n">
        <v>60.46</v>
      </c>
      <c r="AG50" s="20" t="n">
        <v>60.46</v>
      </c>
      <c r="AH50" s="20" t="n">
        <v>60.46</v>
      </c>
      <c r="AI50" s="20" t="n">
        <v>60.46</v>
      </c>
      <c r="AJ50" s="20" t="n">
        <v>60.46</v>
      </c>
      <c r="AK50" s="20" t="n">
        <v>60.46</v>
      </c>
      <c r="AL50" s="20" t="n">
        <v>60.46</v>
      </c>
      <c r="AM50" s="20" t="n">
        <v>60.46</v>
      </c>
      <c r="AN50" s="20" t="n">
        <v>60.46</v>
      </c>
      <c r="AO50" s="20" t="n">
        <v>60.46</v>
      </c>
      <c r="AP50" s="20" t="n">
        <v>60.46</v>
      </c>
      <c r="AQ50" s="20" t="n">
        <v>60.46</v>
      </c>
      <c r="AR50" s="20" t="n">
        <v>60.46</v>
      </c>
      <c r="AS50" s="20" t="n">
        <v>60.46</v>
      </c>
      <c r="AT50" s="20" t="n">
        <v>60.46</v>
      </c>
      <c r="AU50" s="20" t="n">
        <v>60.46</v>
      </c>
      <c r="AV50" s="20" t="n">
        <v>60.46</v>
      </c>
      <c r="AW50" s="20" t="n">
        <v>60.46</v>
      </c>
      <c r="AX50" s="20" t="n">
        <v>60.46</v>
      </c>
      <c r="AY50" s="20" t="n">
        <v>60.46</v>
      </c>
    </row>
    <row r="51">
      <c r="B51" s="32" t="inlineStr">
        <is>
          <t>Total Travel &amp; Meals</t>
        </is>
      </c>
      <c r="C51" s="34" t="n"/>
      <c r="D51" s="35">
        <f>D49+D50</f>
        <v/>
      </c>
      <c r="E51" s="35">
        <f>E49+E50</f>
        <v/>
      </c>
      <c r="F51" s="35">
        <f>F49+F50</f>
        <v/>
      </c>
      <c r="G51" s="35">
        <f>G49+G50</f>
        <v/>
      </c>
      <c r="H51" s="35">
        <f>H49+H50</f>
        <v/>
      </c>
      <c r="I51" s="35">
        <f>I49+I50</f>
        <v/>
      </c>
      <c r="J51" s="35">
        <f>J49+J50</f>
        <v/>
      </c>
      <c r="K51" s="35">
        <f>K49+K50</f>
        <v/>
      </c>
      <c r="L51" s="35">
        <f>L49+L50</f>
        <v/>
      </c>
      <c r="M51" s="35">
        <f>M49+M50</f>
        <v/>
      </c>
      <c r="N51" s="35">
        <f>N49+N50</f>
        <v/>
      </c>
      <c r="O51" s="35">
        <f>O49+O50</f>
        <v/>
      </c>
      <c r="P51" s="35">
        <f>P49+P50</f>
        <v/>
      </c>
      <c r="Q51" s="35">
        <f>Q49+Q50</f>
        <v/>
      </c>
      <c r="R51" s="35">
        <f>R49+R50</f>
        <v/>
      </c>
      <c r="S51" s="35">
        <f>S49+S50</f>
        <v/>
      </c>
      <c r="T51" s="35">
        <f>T49+T50</f>
        <v/>
      </c>
      <c r="U51" s="35">
        <f>U49+U50</f>
        <v/>
      </c>
      <c r="V51" s="35">
        <f>V49+V50</f>
        <v/>
      </c>
      <c r="W51" s="17">
        <f>W49+W50</f>
        <v/>
      </c>
      <c r="X51" s="17">
        <f>X49+X50</f>
        <v/>
      </c>
      <c r="Y51" s="17">
        <f>Y49+Y50</f>
        <v/>
      </c>
      <c r="Z51" s="17">
        <f>Z49+Z50</f>
        <v/>
      </c>
      <c r="AA51" s="17">
        <f>AA49+AA50</f>
        <v/>
      </c>
      <c r="AB51" s="17">
        <f>AB49+AB50</f>
        <v/>
      </c>
      <c r="AC51" s="17">
        <f>AC49+AC50</f>
        <v/>
      </c>
      <c r="AD51" s="17">
        <f>AD49+AD50</f>
        <v/>
      </c>
      <c r="AE51" s="17">
        <f>AE49+AE50</f>
        <v/>
      </c>
      <c r="AF51" s="17">
        <f>AF49+AF50</f>
        <v/>
      </c>
      <c r="AG51" s="17">
        <f>AG49+AG50</f>
        <v/>
      </c>
      <c r="AH51" s="17">
        <f>AH49+AH50</f>
        <v/>
      </c>
      <c r="AI51" s="17">
        <f>AI49+AI50</f>
        <v/>
      </c>
      <c r="AJ51" s="17">
        <f>AJ49+AJ50</f>
        <v/>
      </c>
      <c r="AK51" s="17">
        <f>AK49+AK50</f>
        <v/>
      </c>
      <c r="AL51" s="17">
        <f>AL49+AL50</f>
        <v/>
      </c>
      <c r="AM51" s="17">
        <f>AM49+AM50</f>
        <v/>
      </c>
      <c r="AN51" s="17">
        <f>AN49+AN50</f>
        <v/>
      </c>
      <c r="AO51" s="17">
        <f>AO49+AO50</f>
        <v/>
      </c>
      <c r="AP51" s="17">
        <f>AP49+AP50</f>
        <v/>
      </c>
      <c r="AQ51" s="17">
        <f>AQ49+AQ50</f>
        <v/>
      </c>
      <c r="AR51" s="17">
        <f>AR49+AR50</f>
        <v/>
      </c>
      <c r="AS51" s="17">
        <f>AS49+AS50</f>
        <v/>
      </c>
      <c r="AT51" s="17">
        <f>AT49+AT50</f>
        <v/>
      </c>
      <c r="AU51" s="17">
        <f>AU49+AU50</f>
        <v/>
      </c>
      <c r="AV51" s="17">
        <f>AV49+AV50</f>
        <v/>
      </c>
      <c r="AW51" s="17">
        <f>AW49+AW50</f>
        <v/>
      </c>
      <c r="AX51" s="17">
        <f>AX49+AX50</f>
        <v/>
      </c>
      <c r="AY51" s="17">
        <f>AY49+AY50</f>
        <v/>
      </c>
    </row>
    <row r="52">
      <c r="B52" s="33" t="inlineStr">
        <is>
          <t xml:space="preserve">  616001 Electricity</t>
        </is>
      </c>
      <c r="D52" s="19" t="n">
        <v>634.51</v>
      </c>
      <c r="E52" s="19" t="n">
        <v>0</v>
      </c>
      <c r="F52" s="19" t="n">
        <v>0</v>
      </c>
      <c r="G52" s="19" t="n">
        <v>504.23</v>
      </c>
      <c r="H52" s="19" t="n">
        <v>303.91</v>
      </c>
      <c r="I52" s="19" t="n">
        <v>214.85</v>
      </c>
      <c r="J52" s="19" t="n">
        <v>0</v>
      </c>
      <c r="K52" s="19" t="n">
        <v>1498.15</v>
      </c>
      <c r="L52" s="19" t="n">
        <v>316.89</v>
      </c>
      <c r="M52" s="19" t="n">
        <v>633.78</v>
      </c>
      <c r="N52" s="19" t="n">
        <v>591.92</v>
      </c>
      <c r="O52" s="19" t="n">
        <v>275.03</v>
      </c>
      <c r="P52" s="19" t="n">
        <v>0</v>
      </c>
      <c r="Q52" s="19" t="n">
        <v>0</v>
      </c>
      <c r="R52" s="19" t="n">
        <v>0</v>
      </c>
      <c r="S52" s="19" t="n">
        <v>0</v>
      </c>
      <c r="T52" s="83" t="n">
        <v>0</v>
      </c>
      <c r="U52" s="83" t="n">
        <v>0</v>
      </c>
      <c r="V52" s="83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616002 Internet &amp; TV</t>
        </is>
      </c>
      <c r="D53" s="19" t="n">
        <v>121.24</v>
      </c>
      <c r="E53" s="19" t="n">
        <v>121.24</v>
      </c>
      <c r="F53" s="19" t="n">
        <v>121.24</v>
      </c>
      <c r="G53" s="19" t="n">
        <v>121.24</v>
      </c>
      <c r="H53" s="19" t="n">
        <v>121.24</v>
      </c>
      <c r="I53" s="19" t="n">
        <v>121.24</v>
      </c>
      <c r="J53" s="19" t="n">
        <v>121.24</v>
      </c>
      <c r="K53" s="19" t="n">
        <v>121.24</v>
      </c>
      <c r="L53" s="19" t="n">
        <v>121.24</v>
      </c>
      <c r="M53" s="19" t="n">
        <v>121.24</v>
      </c>
      <c r="N53" s="19" t="n">
        <v>176.45</v>
      </c>
      <c r="O53" s="19" t="n">
        <v>81.25</v>
      </c>
      <c r="P53" s="19" t="n">
        <v>141.25</v>
      </c>
      <c r="Q53" s="19" t="n">
        <v>141.25</v>
      </c>
      <c r="R53" s="19" t="n">
        <v>145.25</v>
      </c>
      <c r="S53" s="19" t="n">
        <v>145.25</v>
      </c>
      <c r="T53" s="19" t="n">
        <v>145.25</v>
      </c>
      <c r="U53" s="19" t="n">
        <v>145.25</v>
      </c>
      <c r="V53" s="19" t="n">
        <v>144</v>
      </c>
      <c r="W53" s="20" t="n">
        <v>105.02</v>
      </c>
      <c r="X53" s="20" t="n">
        <v>105.02</v>
      </c>
      <c r="Y53" s="20" t="n">
        <v>105.02</v>
      </c>
      <c r="Z53" s="20" t="n">
        <v>105.02</v>
      </c>
      <c r="AA53" s="20" t="n">
        <v>105.02</v>
      </c>
      <c r="AB53" s="20" t="n">
        <v>105.02</v>
      </c>
      <c r="AC53" s="20" t="n">
        <v>105.02</v>
      </c>
      <c r="AD53" s="20" t="n">
        <v>105.02</v>
      </c>
      <c r="AE53" s="20" t="n">
        <v>105.02</v>
      </c>
      <c r="AF53" s="20" t="n">
        <v>105.02</v>
      </c>
      <c r="AG53" s="20" t="n">
        <v>105.02</v>
      </c>
      <c r="AH53" s="20" t="n">
        <v>105.02</v>
      </c>
      <c r="AI53" s="20" t="n">
        <v>105.02</v>
      </c>
      <c r="AJ53" s="20" t="n">
        <v>105.02</v>
      </c>
      <c r="AK53" s="20" t="n">
        <v>105.02</v>
      </c>
      <c r="AL53" s="20" t="n">
        <v>105.02</v>
      </c>
      <c r="AM53" s="20" t="n">
        <v>105.02</v>
      </c>
      <c r="AN53" s="20" t="n">
        <v>105.02</v>
      </c>
      <c r="AO53" s="20" t="n">
        <v>105.02</v>
      </c>
      <c r="AP53" s="20" t="n">
        <v>105.02</v>
      </c>
      <c r="AQ53" s="20" t="n">
        <v>105.02</v>
      </c>
      <c r="AR53" s="20" t="n">
        <v>105.02</v>
      </c>
      <c r="AS53" s="20" t="n">
        <v>105.02</v>
      </c>
      <c r="AT53" s="20" t="n">
        <v>105.02</v>
      </c>
      <c r="AU53" s="20" t="n">
        <v>105.02</v>
      </c>
      <c r="AV53" s="20" t="n">
        <v>105.02</v>
      </c>
      <c r="AW53" s="20" t="n">
        <v>105.02</v>
      </c>
      <c r="AX53" s="20" t="n">
        <v>105.02</v>
      </c>
      <c r="AY53" s="20" t="n">
        <v>105.02</v>
      </c>
    </row>
    <row r="54">
      <c r="B54" s="33" t="inlineStr">
        <is>
          <t xml:space="preserve">  616003 Phone service</t>
        </is>
      </c>
      <c r="D54" s="19" t="n">
        <v>131.2</v>
      </c>
      <c r="E54" s="19" t="n">
        <v>165.49</v>
      </c>
      <c r="F54" s="19" t="n">
        <v>229</v>
      </c>
      <c r="G54" s="19" t="n">
        <v>67.52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N54" s="19" t="n">
        <v>0</v>
      </c>
      <c r="O54" s="19" t="n">
        <v>87.64</v>
      </c>
      <c r="P54" s="19" t="n">
        <v>87.68000000000001</v>
      </c>
      <c r="Q54" s="19" t="n">
        <v>87.11</v>
      </c>
      <c r="R54" s="19" t="n">
        <v>86.36</v>
      </c>
      <c r="S54" s="19" t="n">
        <v>87.54000000000001</v>
      </c>
      <c r="T54" s="83" t="n">
        <v>81.03</v>
      </c>
      <c r="U54" s="83" t="n">
        <v>81.04000000000001</v>
      </c>
      <c r="V54" s="83" t="n">
        <v>81.04000000000001</v>
      </c>
      <c r="W54" s="20" t="n">
        <v>63.91</v>
      </c>
      <c r="X54" s="20" t="n">
        <v>63.91</v>
      </c>
      <c r="Y54" s="20" t="n">
        <v>63.91</v>
      </c>
      <c r="Z54" s="20" t="n">
        <v>63.91</v>
      </c>
      <c r="AA54" s="20" t="n">
        <v>63.91</v>
      </c>
      <c r="AB54" s="20" t="n">
        <v>63.91</v>
      </c>
      <c r="AC54" s="20" t="n">
        <v>63.91</v>
      </c>
      <c r="AD54" s="20" t="n">
        <v>63.91</v>
      </c>
      <c r="AE54" s="20" t="n">
        <v>63.91</v>
      </c>
      <c r="AF54" s="20" t="n">
        <v>63.91</v>
      </c>
      <c r="AG54" s="20" t="n">
        <v>63.91</v>
      </c>
      <c r="AH54" s="20" t="n">
        <v>63.91</v>
      </c>
      <c r="AI54" s="20" t="n">
        <v>63.91</v>
      </c>
      <c r="AJ54" s="20" t="n">
        <v>63.91</v>
      </c>
      <c r="AK54" s="20" t="n">
        <v>63.91</v>
      </c>
      <c r="AL54" s="20" t="n">
        <v>63.91</v>
      </c>
      <c r="AM54" s="20" t="n">
        <v>63.91</v>
      </c>
      <c r="AN54" s="20" t="n">
        <v>63.91</v>
      </c>
      <c r="AO54" s="20" t="n">
        <v>63.91</v>
      </c>
      <c r="AP54" s="20" t="n">
        <v>63.91</v>
      </c>
      <c r="AQ54" s="20" t="n">
        <v>63.91</v>
      </c>
      <c r="AR54" s="20" t="n">
        <v>63.91</v>
      </c>
      <c r="AS54" s="20" t="n">
        <v>63.91</v>
      </c>
      <c r="AT54" s="20" t="n">
        <v>63.91</v>
      </c>
      <c r="AU54" s="20" t="n">
        <v>63.91</v>
      </c>
      <c r="AV54" s="20" t="n">
        <v>63.91</v>
      </c>
      <c r="AW54" s="20" t="n">
        <v>63.91</v>
      </c>
      <c r="AX54" s="20" t="n">
        <v>63.91</v>
      </c>
      <c r="AY54" s="20" t="n">
        <v>63.91</v>
      </c>
    </row>
    <row r="55">
      <c r="B55" s="33" t="inlineStr">
        <is>
          <t xml:space="preserve">  616004 Water &amp; sewer</t>
        </is>
      </c>
      <c r="D55" s="19" t="n">
        <v>0</v>
      </c>
      <c r="E55" s="19" t="n">
        <v>323.39</v>
      </c>
      <c r="F55" s="19" t="n">
        <v>167.83</v>
      </c>
      <c r="G55" s="19" t="n">
        <v>167.82</v>
      </c>
      <c r="H55" s="19" t="n">
        <v>186.23</v>
      </c>
      <c r="I55" s="19" t="n">
        <v>186.22</v>
      </c>
      <c r="J55" s="19" t="n">
        <v>0</v>
      </c>
      <c r="K55" s="19" t="n">
        <v>360.18</v>
      </c>
      <c r="L55" s="19" t="n">
        <v>0</v>
      </c>
      <c r="M55" s="19" t="n">
        <v>458.86</v>
      </c>
      <c r="N55" s="19" t="n">
        <v>0</v>
      </c>
      <c r="O55" s="19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3" t="n">
        <v>0</v>
      </c>
      <c r="U55" s="83" t="n">
        <v>0</v>
      </c>
      <c r="V55" s="83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3" t="inlineStr">
        <is>
          <t xml:space="preserve">  616005 Disposal Services</t>
        </is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83" t="n">
        <v>0</v>
      </c>
      <c r="U56" s="83" t="n">
        <v>0</v>
      </c>
      <c r="V56" s="83" t="n">
        <v>0</v>
      </c>
      <c r="W56" s="20" t="n">
        <v>0</v>
      </c>
      <c r="X56" s="20" t="n">
        <v>0</v>
      </c>
      <c r="Y56" s="20" t="n">
        <v>0</v>
      </c>
      <c r="Z56" s="20" t="n">
        <v>0</v>
      </c>
      <c r="AA56" s="20" t="n">
        <v>0</v>
      </c>
      <c r="AB56" s="20" t="n">
        <v>0</v>
      </c>
      <c r="AC56" s="20" t="n">
        <v>0</v>
      </c>
      <c r="AD56" s="20" t="n">
        <v>0</v>
      </c>
      <c r="AE56" s="20" t="n">
        <v>0</v>
      </c>
      <c r="AF56" s="20" t="n">
        <v>0</v>
      </c>
      <c r="AG56" s="20" t="n">
        <v>0</v>
      </c>
      <c r="AH56" s="20" t="n">
        <v>0</v>
      </c>
      <c r="AI56" s="20" t="n">
        <v>0</v>
      </c>
      <c r="AJ56" s="20" t="n">
        <v>0</v>
      </c>
      <c r="AK56" s="20" t="n">
        <v>0</v>
      </c>
      <c r="AL56" s="20" t="n">
        <v>0</v>
      </c>
      <c r="AM56" s="20" t="n">
        <v>0</v>
      </c>
      <c r="AN56" s="20" t="n">
        <v>0</v>
      </c>
      <c r="AO56" s="20" t="n">
        <v>0</v>
      </c>
      <c r="AP56" s="20" t="n">
        <v>0</v>
      </c>
      <c r="AQ56" s="20" t="n">
        <v>0</v>
      </c>
      <c r="AR56" s="20" t="n">
        <v>0</v>
      </c>
      <c r="AS56" s="20" t="n">
        <v>0</v>
      </c>
      <c r="AT56" s="20" t="n">
        <v>0</v>
      </c>
      <c r="AU56" s="20" t="n">
        <v>0</v>
      </c>
      <c r="AV56" s="20" t="n">
        <v>0</v>
      </c>
      <c r="AW56" s="20" t="n">
        <v>0</v>
      </c>
      <c r="AX56" s="20" t="n">
        <v>0</v>
      </c>
      <c r="AY56" s="20" t="n">
        <v>0</v>
      </c>
    </row>
    <row r="57">
      <c r="B57" s="32" t="inlineStr">
        <is>
          <t>Total Utilities</t>
        </is>
      </c>
      <c r="C57" s="34" t="n"/>
      <c r="D57" s="35">
        <f>SUM(D52:D56)</f>
        <v/>
      </c>
      <c r="E57" s="35">
        <f>SUM(E52:E56)</f>
        <v/>
      </c>
      <c r="F57" s="35">
        <f>SUM(F52:F56)</f>
        <v/>
      </c>
      <c r="G57" s="35">
        <f>SUM(G52:G56)</f>
        <v/>
      </c>
      <c r="H57" s="35">
        <f>SUM(H52:H56)</f>
        <v/>
      </c>
      <c r="I57" s="35">
        <f>SUM(I52:I56)</f>
        <v/>
      </c>
      <c r="J57" s="35">
        <f>SUM(J52:J56)</f>
        <v/>
      </c>
      <c r="K57" s="35">
        <f>SUM(K52:K56)</f>
        <v/>
      </c>
      <c r="L57" s="35">
        <f>SUM(L52:L56)</f>
        <v/>
      </c>
      <c r="M57" s="35">
        <f>SUM(M52:M56)</f>
        <v/>
      </c>
      <c r="N57" s="35">
        <f>SUM(N52:N56)</f>
        <v/>
      </c>
      <c r="O57" s="35">
        <f>SUM(O52:O56)</f>
        <v/>
      </c>
      <c r="P57" s="35">
        <f>P52+P53+P54+P55+P56</f>
        <v/>
      </c>
      <c r="Q57" s="35">
        <f>Q52+Q53+Q54+Q55+Q56</f>
        <v/>
      </c>
      <c r="R57" s="35">
        <f>R52+R53+R54+R55+R56</f>
        <v/>
      </c>
      <c r="S57" s="35">
        <f>S52+S53+S54+S55+S56</f>
        <v/>
      </c>
      <c r="T57" s="35">
        <f>T52+T53+T54+T55+T56</f>
        <v/>
      </c>
      <c r="U57" s="35">
        <f>U52+U53+U54+U55+U56</f>
        <v/>
      </c>
      <c r="V57" s="35">
        <f>V52+V53+V54+V55+V56</f>
        <v/>
      </c>
      <c r="W57" s="17">
        <f>W52+W53+W54+W55+W56</f>
        <v/>
      </c>
      <c r="X57" s="17">
        <f>X52+X53+X54+X55+X56</f>
        <v/>
      </c>
      <c r="Y57" s="17">
        <f>Y52+Y53+Y54+Y55+Y56</f>
        <v/>
      </c>
      <c r="Z57" s="17">
        <f>Z52+Z53+Z54+Z55+Z56</f>
        <v/>
      </c>
      <c r="AA57" s="17">
        <f>AA52+AA53+AA54+AA55+AA56</f>
        <v/>
      </c>
      <c r="AB57" s="17">
        <f>AB52+AB53+AB54+AB55+AB56</f>
        <v/>
      </c>
      <c r="AC57" s="17">
        <f>AC52+AC53+AC54+AC55+AC56</f>
        <v/>
      </c>
      <c r="AD57" s="17">
        <f>AD52+AD53+AD54+AD55+AD56</f>
        <v/>
      </c>
      <c r="AE57" s="17">
        <f>AE52+AE53+AE54+AE55+AE56</f>
        <v/>
      </c>
      <c r="AF57" s="17">
        <f>AF52+AF53+AF54+AF55+AF56</f>
        <v/>
      </c>
      <c r="AG57" s="17">
        <f>AG52+AG53+AG54+AG55+AG56</f>
        <v/>
      </c>
      <c r="AH57" s="17">
        <f>AH52+AH53+AH54+AH55+AH56</f>
        <v/>
      </c>
      <c r="AI57" s="17">
        <f>AI52+AI53+AI54+AI55+AI56</f>
        <v/>
      </c>
      <c r="AJ57" s="17">
        <f>AJ52+AJ53+AJ54+AJ55+AJ56</f>
        <v/>
      </c>
      <c r="AK57" s="17">
        <f>AK52+AK53+AK54+AK55+AK56</f>
        <v/>
      </c>
      <c r="AL57" s="17">
        <f>AL52+AL53+AL54+AL55+AL56</f>
        <v/>
      </c>
      <c r="AM57" s="17">
        <f>AM52+AM53+AM54+AM55+AM56</f>
        <v/>
      </c>
      <c r="AN57" s="17">
        <f>AN52+AN53+AN54+AN55+AN56</f>
        <v/>
      </c>
      <c r="AO57" s="17">
        <f>AO52+AO53+AO54+AO55+AO56</f>
        <v/>
      </c>
      <c r="AP57" s="17">
        <f>AP52+AP53+AP54+AP55+AP56</f>
        <v/>
      </c>
      <c r="AQ57" s="17">
        <f>AQ52+AQ53+AQ54+AQ55+AQ56</f>
        <v/>
      </c>
      <c r="AR57" s="17">
        <f>AR52+AR53+AR54+AR55+AR56</f>
        <v/>
      </c>
      <c r="AS57" s="17">
        <f>AS52+AS53+AS54+AS55+AS56</f>
        <v/>
      </c>
      <c r="AT57" s="17">
        <f>AT52+AT53+AT54+AT55+AT56</f>
        <v/>
      </c>
      <c r="AU57" s="17">
        <f>AU52+AU53+AU54+AU55+AU56</f>
        <v/>
      </c>
      <c r="AV57" s="17">
        <f>AV52+AV53+AV54+AV55+AV56</f>
        <v/>
      </c>
      <c r="AW57" s="17">
        <f>AW52+AW53+AW54+AW55+AW56</f>
        <v/>
      </c>
      <c r="AX57" s="17">
        <f>AX52+AX53+AX54+AX55+AX56</f>
        <v/>
      </c>
      <c r="AY57" s="17">
        <f>AY52+AY53+AY54+AY55+AY56</f>
        <v/>
      </c>
    </row>
    <row r="58">
      <c r="B58" s="33" t="inlineStr">
        <is>
          <t xml:space="preserve">  701000 Rent</t>
        </is>
      </c>
      <c r="D58" s="19" t="n">
        <v>19577.86</v>
      </c>
      <c r="E58" s="19" t="n">
        <v>19577.86</v>
      </c>
      <c r="F58" s="19" t="n">
        <v>19577.86</v>
      </c>
      <c r="G58" s="19" t="n">
        <v>19577.86</v>
      </c>
      <c r="H58" s="19" t="n">
        <v>19577.86</v>
      </c>
      <c r="I58" s="19" t="n">
        <v>19577.86</v>
      </c>
      <c r="J58" s="19" t="n">
        <v>19577.86</v>
      </c>
      <c r="K58" s="19" t="n">
        <v>19616.62</v>
      </c>
      <c r="L58" s="19" t="n">
        <v>19577.86</v>
      </c>
      <c r="M58" s="19" t="n">
        <v>19577.86</v>
      </c>
      <c r="N58" s="19" t="n">
        <v>19577.86</v>
      </c>
      <c r="O58" s="19" t="n">
        <v>19577.86</v>
      </c>
      <c r="P58" s="19" t="n">
        <v>19577.86</v>
      </c>
      <c r="Q58" s="19" t="n">
        <v>19577.86</v>
      </c>
      <c r="R58" s="19" t="n">
        <v>19577.86</v>
      </c>
      <c r="S58" s="19" t="n">
        <v>19577.86</v>
      </c>
      <c r="T58" s="83" t="n">
        <v>19577.86</v>
      </c>
      <c r="U58" s="83" t="n">
        <v>19577.86</v>
      </c>
      <c r="V58" s="83" t="n">
        <v>19577.86</v>
      </c>
      <c r="W58" s="20" t="n">
        <v>19523.9</v>
      </c>
      <c r="X58" s="20" t="n">
        <v>19523.9</v>
      </c>
      <c r="Y58" s="20" t="n">
        <v>19523.9</v>
      </c>
      <c r="Z58" s="20" t="n">
        <v>19523.9</v>
      </c>
      <c r="AA58" s="20" t="n">
        <v>19523.9</v>
      </c>
      <c r="AB58" s="20" t="n">
        <v>19523.9</v>
      </c>
      <c r="AC58" s="20" t="n">
        <v>19523.9</v>
      </c>
      <c r="AD58" s="20" t="n">
        <v>19523.9</v>
      </c>
      <c r="AE58" s="20" t="n">
        <v>19523.9</v>
      </c>
      <c r="AF58" s="20" t="n">
        <v>19523.9</v>
      </c>
      <c r="AG58" s="20" t="n">
        <v>19523.9</v>
      </c>
      <c r="AH58" s="20" t="n">
        <v>19523.9</v>
      </c>
      <c r="AI58" s="20" t="n">
        <v>19523.9</v>
      </c>
      <c r="AJ58" s="20" t="n">
        <v>19523.9</v>
      </c>
      <c r="AK58" s="20" t="n">
        <v>19523.9</v>
      </c>
      <c r="AL58" s="20" t="n">
        <v>19523.9</v>
      </c>
      <c r="AM58" s="20" t="n">
        <v>19523.9</v>
      </c>
      <c r="AN58" s="20" t="n">
        <v>19523.9</v>
      </c>
      <c r="AO58" s="20" t="n">
        <v>19523.9</v>
      </c>
      <c r="AP58" s="20" t="n">
        <v>19523.9</v>
      </c>
      <c r="AQ58" s="20" t="n">
        <v>19523.9</v>
      </c>
      <c r="AR58" s="20" t="n">
        <v>19523.9</v>
      </c>
      <c r="AS58" s="20" t="n">
        <v>19523.9</v>
      </c>
      <c r="AT58" s="20" t="n">
        <v>19523.9</v>
      </c>
      <c r="AU58" s="20" t="n">
        <v>19523.9</v>
      </c>
      <c r="AV58" s="20" t="n">
        <v>19523.9</v>
      </c>
      <c r="AW58" s="20" t="n">
        <v>19523.9</v>
      </c>
      <c r="AX58" s="20" t="n">
        <v>19523.9</v>
      </c>
      <c r="AY58" s="20" t="n">
        <v>19523.9</v>
      </c>
    </row>
    <row r="59">
      <c r="B59" s="33" t="inlineStr">
        <is>
          <t xml:space="preserve">  702000 Security</t>
        </is>
      </c>
      <c r="D59" s="19" t="n">
        <v>0</v>
      </c>
      <c r="E59" s="19" t="n">
        <v>0</v>
      </c>
      <c r="F59" s="19" t="n">
        <v>185</v>
      </c>
      <c r="G59" s="19" t="n">
        <v>0</v>
      </c>
      <c r="H59" s="19" t="n">
        <v>587.5</v>
      </c>
      <c r="I59" s="19" t="n">
        <v>0</v>
      </c>
      <c r="J59" s="19" t="n">
        <v>0</v>
      </c>
      <c r="K59" s="19" t="n">
        <v>0</v>
      </c>
      <c r="L59" s="19" t="n">
        <v>0</v>
      </c>
      <c r="M59" s="19" t="n">
        <v>0</v>
      </c>
      <c r="N59" s="19" t="n">
        <v>0</v>
      </c>
      <c r="O59" s="19" t="n">
        <v>0</v>
      </c>
      <c r="P59" s="19" t="n">
        <v>0</v>
      </c>
      <c r="Q59" s="19" t="n">
        <v>0</v>
      </c>
      <c r="R59" s="19" t="n">
        <v>0</v>
      </c>
      <c r="S59" s="19" t="n">
        <v>0</v>
      </c>
      <c r="T59" s="83" t="n">
        <v>0</v>
      </c>
      <c r="U59" s="83" t="n">
        <v>217</v>
      </c>
      <c r="V59" s="83" t="n">
        <v>0</v>
      </c>
      <c r="W59" s="20" t="n">
        <v>0</v>
      </c>
      <c r="X59" s="20" t="n">
        <v>0</v>
      </c>
      <c r="Y59" s="20" t="n">
        <v>0</v>
      </c>
      <c r="Z59" s="20" t="n">
        <v>0</v>
      </c>
      <c r="AA59" s="20" t="n">
        <v>0</v>
      </c>
      <c r="AB59" s="20" t="n">
        <v>0</v>
      </c>
      <c r="AC59" s="20" t="n">
        <v>0</v>
      </c>
      <c r="AD59" s="20" t="n">
        <v>0</v>
      </c>
      <c r="AE59" s="20" t="n">
        <v>0</v>
      </c>
      <c r="AF59" s="20" t="n">
        <v>0</v>
      </c>
      <c r="AG59" s="20" t="n">
        <v>0</v>
      </c>
      <c r="AH59" s="20" t="n">
        <v>0</v>
      </c>
      <c r="AI59" s="20" t="n">
        <v>0</v>
      </c>
      <c r="AJ59" s="20" t="n">
        <v>0</v>
      </c>
      <c r="AK59" s="20" t="n">
        <v>0</v>
      </c>
      <c r="AL59" s="20" t="n">
        <v>0</v>
      </c>
      <c r="AM59" s="20" t="n">
        <v>0</v>
      </c>
      <c r="AN59" s="20" t="n">
        <v>0</v>
      </c>
      <c r="AO59" s="20" t="n">
        <v>0</v>
      </c>
      <c r="AP59" s="20" t="n">
        <v>0</v>
      </c>
      <c r="AQ59" s="20" t="n">
        <v>0</v>
      </c>
      <c r="AR59" s="20" t="n">
        <v>0</v>
      </c>
      <c r="AS59" s="20" t="n">
        <v>0</v>
      </c>
      <c r="AT59" s="20" t="n">
        <v>0</v>
      </c>
      <c r="AU59" s="20" t="n">
        <v>0</v>
      </c>
      <c r="AV59" s="20" t="n">
        <v>0</v>
      </c>
      <c r="AW59" s="20" t="n">
        <v>0</v>
      </c>
      <c r="AX59" s="20" t="n">
        <v>0</v>
      </c>
      <c r="AY59" s="20" t="n">
        <v>0</v>
      </c>
    </row>
    <row r="60">
      <c r="B60" s="33" t="inlineStr">
        <is>
          <t xml:space="preserve">  703000 Cleaning</t>
        </is>
      </c>
      <c r="D60" s="19" t="n">
        <v>783.16</v>
      </c>
      <c r="E60" s="19" t="n">
        <v>128.11</v>
      </c>
      <c r="F60" s="19" t="n">
        <v>63</v>
      </c>
      <c r="G60" s="19" t="n">
        <v>0</v>
      </c>
      <c r="H60" s="19" t="n">
        <v>27.67</v>
      </c>
      <c r="I60" s="19" t="n">
        <v>234.71</v>
      </c>
      <c r="J60" s="19" t="n">
        <v>343.49</v>
      </c>
      <c r="K60" s="19" t="n">
        <v>68.45</v>
      </c>
      <c r="L60" s="19" t="n">
        <v>50.52</v>
      </c>
      <c r="M60" s="19" t="n">
        <v>145.17</v>
      </c>
      <c r="N60" s="19" t="n">
        <v>388.16</v>
      </c>
      <c r="O60" s="19" t="n">
        <v>363.22</v>
      </c>
      <c r="P60" s="19" t="n">
        <v>162.91</v>
      </c>
      <c r="Q60" s="19" t="n">
        <v>0</v>
      </c>
      <c r="R60" s="19" t="n">
        <v>573.27</v>
      </c>
      <c r="S60" s="19" t="n">
        <v>161.21</v>
      </c>
      <c r="T60" s="83" t="n">
        <v>201.75</v>
      </c>
      <c r="U60" s="83" t="n">
        <v>297.8</v>
      </c>
      <c r="V60" s="83" t="n">
        <v>243.34</v>
      </c>
      <c r="W60" s="20" t="n">
        <v>223.73</v>
      </c>
      <c r="X60" s="20" t="n">
        <v>223.73</v>
      </c>
      <c r="Y60" s="20" t="n">
        <v>223.73</v>
      </c>
      <c r="Z60" s="20" t="n">
        <v>223.73</v>
      </c>
      <c r="AA60" s="20" t="n">
        <v>223.73</v>
      </c>
      <c r="AB60" s="20" t="n">
        <v>223.73</v>
      </c>
      <c r="AC60" s="20" t="n">
        <v>223.73</v>
      </c>
      <c r="AD60" s="20" t="n">
        <v>223.73</v>
      </c>
      <c r="AE60" s="20" t="n">
        <v>223.73</v>
      </c>
      <c r="AF60" s="20" t="n">
        <v>223.73</v>
      </c>
      <c r="AG60" s="20" t="n">
        <v>223.73</v>
      </c>
      <c r="AH60" s="20" t="n">
        <v>223.73</v>
      </c>
      <c r="AI60" s="20" t="n">
        <v>223.73</v>
      </c>
      <c r="AJ60" s="20" t="n">
        <v>223.73</v>
      </c>
      <c r="AK60" s="20" t="n">
        <v>223.73</v>
      </c>
      <c r="AL60" s="20" t="n">
        <v>223.73</v>
      </c>
      <c r="AM60" s="20" t="n">
        <v>223.73</v>
      </c>
      <c r="AN60" s="20" t="n">
        <v>223.73</v>
      </c>
      <c r="AO60" s="20" t="n">
        <v>223.73</v>
      </c>
      <c r="AP60" s="20" t="n">
        <v>223.73</v>
      </c>
      <c r="AQ60" s="20" t="n">
        <v>223.73</v>
      </c>
      <c r="AR60" s="20" t="n">
        <v>223.73</v>
      </c>
      <c r="AS60" s="20" t="n">
        <v>223.73</v>
      </c>
      <c r="AT60" s="20" t="n">
        <v>223.73</v>
      </c>
      <c r="AU60" s="20" t="n">
        <v>223.73</v>
      </c>
      <c r="AV60" s="20" t="n">
        <v>223.73</v>
      </c>
      <c r="AW60" s="20" t="n">
        <v>223.73</v>
      </c>
      <c r="AX60" s="20" t="n">
        <v>223.73</v>
      </c>
      <c r="AY60" s="20" t="n">
        <v>223.73</v>
      </c>
    </row>
    <row r="61">
      <c r="B61" s="33" t="inlineStr">
        <is>
          <t>705000 Property Maintenance (incl Repairs &amp; Parking)</t>
        </is>
      </c>
      <c r="D61" s="19" t="n">
        <v>1888.83</v>
      </c>
      <c r="E61" s="19" t="n">
        <v>1888.83</v>
      </c>
      <c r="F61" s="19" t="n">
        <v>3187.57</v>
      </c>
      <c r="G61" s="19" t="n">
        <v>1888.83</v>
      </c>
      <c r="H61" s="19" t="n">
        <v>1909.08</v>
      </c>
      <c r="I61" s="19" t="n">
        <v>1888.83</v>
      </c>
      <c r="J61" s="19" t="n">
        <v>1888.83</v>
      </c>
      <c r="K61" s="19" t="n">
        <v>1888.83</v>
      </c>
      <c r="L61" s="19" t="n">
        <v>2199.8</v>
      </c>
      <c r="M61" s="19" t="n">
        <v>2801.33</v>
      </c>
      <c r="N61" s="19" t="n">
        <v>3028.83</v>
      </c>
      <c r="O61" s="19" t="n">
        <v>2636.83</v>
      </c>
      <c r="P61" s="19" t="n">
        <v>3693</v>
      </c>
      <c r="Q61" s="19" t="n">
        <v>2517.61</v>
      </c>
      <c r="R61" s="19" t="n">
        <v>2488</v>
      </c>
      <c r="S61" s="19" t="n">
        <v>2498.95</v>
      </c>
      <c r="T61" s="83" t="n">
        <v>2488</v>
      </c>
      <c r="U61" s="83" t="n">
        <v>2494.12</v>
      </c>
      <c r="V61" s="83" t="n">
        <v>2502.26</v>
      </c>
      <c r="W61" s="20" t="n">
        <v>2481.14</v>
      </c>
      <c r="X61" s="20" t="n">
        <v>2481.14</v>
      </c>
      <c r="Y61" s="20" t="n">
        <v>2481.14</v>
      </c>
      <c r="Z61" s="20" t="n">
        <v>2481.14</v>
      </c>
      <c r="AA61" s="20" t="n">
        <v>2481.14</v>
      </c>
      <c r="AB61" s="20" t="n">
        <v>2481.14</v>
      </c>
      <c r="AC61" s="20" t="n">
        <v>2481.14</v>
      </c>
      <c r="AD61" s="20" t="n">
        <v>2481.14</v>
      </c>
      <c r="AE61" s="20" t="n">
        <v>2481.14</v>
      </c>
      <c r="AF61" s="20" t="n">
        <v>2481.14</v>
      </c>
      <c r="AG61" s="20" t="n">
        <v>2481.14</v>
      </c>
      <c r="AH61" s="20" t="n">
        <v>2481.14</v>
      </c>
      <c r="AI61" s="20" t="n">
        <v>2481.14</v>
      </c>
      <c r="AJ61" s="20" t="n">
        <v>2481.14</v>
      </c>
      <c r="AK61" s="20" t="n">
        <v>2481.14</v>
      </c>
      <c r="AL61" s="20" t="n">
        <v>2481.14</v>
      </c>
      <c r="AM61" s="20" t="n">
        <v>2481.14</v>
      </c>
      <c r="AN61" s="20" t="n">
        <v>2481.14</v>
      </c>
      <c r="AO61" s="20" t="n">
        <v>2481.14</v>
      </c>
      <c r="AP61" s="20" t="n">
        <v>2481.14</v>
      </c>
      <c r="AQ61" s="20" t="n">
        <v>2481.14</v>
      </c>
      <c r="AR61" s="20" t="n">
        <v>2481.14</v>
      </c>
      <c r="AS61" s="20" t="n">
        <v>2481.14</v>
      </c>
      <c r="AT61" s="20" t="n">
        <v>2481.14</v>
      </c>
      <c r="AU61" s="20" t="n">
        <v>2481.14</v>
      </c>
      <c r="AV61" s="20" t="n">
        <v>2481.14</v>
      </c>
      <c r="AW61" s="20" t="n">
        <v>2481.14</v>
      </c>
      <c r="AX61" s="20" t="n">
        <v>2481.14</v>
      </c>
      <c r="AY61" s="20" t="n">
        <v>2481.14</v>
      </c>
    </row>
    <row r="62">
      <c r="B62" s="32" t="inlineStr">
        <is>
          <t>Total Property Costs</t>
        </is>
      </c>
      <c r="C62" s="34" t="n"/>
      <c r="D62" s="35">
        <f>SUM(D58:D61)</f>
        <v/>
      </c>
      <c r="E62" s="35">
        <f>SUM(E58:E61)</f>
        <v/>
      </c>
      <c r="F62" s="35">
        <f>SUM(F58:F61)</f>
        <v/>
      </c>
      <c r="G62" s="35">
        <f>SUM(G58:G61)</f>
        <v/>
      </c>
      <c r="H62" s="35">
        <f>SUM(H58:H61)</f>
        <v/>
      </c>
      <c r="I62" s="35">
        <f>SUM(I58:I61)</f>
        <v/>
      </c>
      <c r="J62" s="35">
        <f>SUM(J58:J61)</f>
        <v/>
      </c>
      <c r="K62" s="35">
        <f>SUM(K58:K61)</f>
        <v/>
      </c>
      <c r="L62" s="35">
        <f>SUM(L58:L61)</f>
        <v/>
      </c>
      <c r="M62" s="35">
        <f>SUM(M58:M61)</f>
        <v/>
      </c>
      <c r="N62" s="35">
        <f>SUM(N58:N61)</f>
        <v/>
      </c>
      <c r="O62" s="35">
        <f>SUM(O58:O61)</f>
        <v/>
      </c>
      <c r="P62" s="35">
        <f>P58+P59+P60+P61</f>
        <v/>
      </c>
      <c r="Q62" s="35">
        <f>Q58+Q59+Q60+Q61</f>
        <v/>
      </c>
      <c r="R62" s="35">
        <f>R58+R59+R60+R61</f>
        <v/>
      </c>
      <c r="S62" s="35">
        <f>S58+S59+S60+S61</f>
        <v/>
      </c>
      <c r="T62" s="84">
        <f>T58+T59+T60+T61</f>
        <v/>
      </c>
      <c r="U62" s="84">
        <f>U58+U59+U60+U61</f>
        <v/>
      </c>
      <c r="V62" s="84">
        <f>V58+V59+V60+V61</f>
        <v/>
      </c>
      <c r="W62" s="17">
        <f>W58+W59+W60+W61</f>
        <v/>
      </c>
      <c r="X62" s="17">
        <f>X58+X59+X60+X61</f>
        <v/>
      </c>
      <c r="Y62" s="17">
        <f>Y58+Y59+Y60+Y61</f>
        <v/>
      </c>
      <c r="Z62" s="17">
        <f>Z58+Z59+Z60+Z61</f>
        <v/>
      </c>
      <c r="AA62" s="17">
        <f>AA58+AA59+AA60+AA61</f>
        <v/>
      </c>
      <c r="AB62" s="17">
        <f>AB58+AB59+AB60+AB61</f>
        <v/>
      </c>
      <c r="AC62" s="17">
        <f>AC58+AC59+AC60+AC61</f>
        <v/>
      </c>
      <c r="AD62" s="17">
        <f>AD58+AD59+AD60+AD61</f>
        <v/>
      </c>
      <c r="AE62" s="17">
        <f>AE58+AE59+AE60+AE61</f>
        <v/>
      </c>
      <c r="AF62" s="17">
        <f>AF58+AF59+AF60+AF61</f>
        <v/>
      </c>
      <c r="AG62" s="17">
        <f>AG58+AG59+AG60+AG61</f>
        <v/>
      </c>
      <c r="AH62" s="17">
        <f>AH58+AH59+AH60+AH61</f>
        <v/>
      </c>
      <c r="AI62" s="17">
        <f>AI58+AI59+AI60+AI61</f>
        <v/>
      </c>
      <c r="AJ62" s="17">
        <f>AJ58+AJ59+AJ60+AJ61</f>
        <v/>
      </c>
      <c r="AK62" s="17">
        <f>AK58+AK59+AK60+AK61</f>
        <v/>
      </c>
      <c r="AL62" s="17">
        <f>AL58+AL59+AL60+AL61</f>
        <v/>
      </c>
      <c r="AM62" s="17">
        <f>AM58+AM59+AM60+AM61</f>
        <v/>
      </c>
      <c r="AN62" s="17">
        <f>AN58+AN59+AN60+AN61</f>
        <v/>
      </c>
      <c r="AO62" s="17">
        <f>AO58+AO59+AO60+AO61</f>
        <v/>
      </c>
      <c r="AP62" s="17">
        <f>AP58+AP59+AP60+AP61</f>
        <v/>
      </c>
      <c r="AQ62" s="17">
        <f>AQ58+AQ59+AQ60+AQ61</f>
        <v/>
      </c>
      <c r="AR62" s="17">
        <f>AR58+AR59+AR60+AR61</f>
        <v/>
      </c>
      <c r="AS62" s="17">
        <f>AS58+AS59+AS60+AS61</f>
        <v/>
      </c>
      <c r="AT62" s="17">
        <f>AT58+AT59+AT60+AT61</f>
        <v/>
      </c>
      <c r="AU62" s="17">
        <f>AU58+AU59+AU60+AU61</f>
        <v/>
      </c>
      <c r="AV62" s="17">
        <f>AV58+AV59+AV60+AV61</f>
        <v/>
      </c>
      <c r="AW62" s="17">
        <f>AW58+AW59+AW60+AW61</f>
        <v/>
      </c>
      <c r="AX62" s="17">
        <f>AX58+AX59+AX60+AX61</f>
        <v/>
      </c>
      <c r="AY62" s="17">
        <f>AY58+AY59+AY60+AY61</f>
        <v/>
      </c>
    </row>
    <row r="63">
      <c r="B63" s="32" t="inlineStr">
        <is>
          <t>TOTAL OPERATING EXPENSES</t>
        </is>
      </c>
      <c r="C63" s="34" t="n"/>
      <c r="D63" s="35">
        <f>D34+D39+D43+D48+D51+D57+D62</f>
        <v/>
      </c>
      <c r="E63" s="35">
        <f>E34+E39+E43+E48+E51+E57+E62</f>
        <v/>
      </c>
      <c r="F63" s="35">
        <f>F34+F39+F43+F48+F51+F57+F62</f>
        <v/>
      </c>
      <c r="G63" s="35">
        <f>G34+G39+G43+G48+G51+G57+G62</f>
        <v/>
      </c>
      <c r="H63" s="35">
        <f>H34+H39+H43+H48+H51+H57+H62</f>
        <v/>
      </c>
      <c r="I63" s="35">
        <f>I34+I39+I43+I48+I51+I57+I62</f>
        <v/>
      </c>
      <c r="J63" s="35">
        <f>J34+J39+J43+J48+J51+J57+J62</f>
        <v/>
      </c>
      <c r="K63" s="35">
        <f>K34+K39+K43+K48+K51+K57+K62</f>
        <v/>
      </c>
      <c r="L63" s="35">
        <f>L34+L39+L43+L48+L51+L57+L62</f>
        <v/>
      </c>
      <c r="M63" s="35">
        <f>M34+M39+M43+M48+M51+M57+M62</f>
        <v/>
      </c>
      <c r="N63" s="35">
        <f>N34+N39+N43+N48+N51+N57+N62</f>
        <v/>
      </c>
      <c r="O63" s="35">
        <f>O34+O39+O43+O48+O51+O57+O62</f>
        <v/>
      </c>
      <c r="P63" s="35">
        <f>P34+P39+P43+P48+P51+P57+P62</f>
        <v/>
      </c>
      <c r="Q63" s="35">
        <f>Q34+Q39+Q43+Q48+Q51+Q57+Q62</f>
        <v/>
      </c>
      <c r="R63" s="35">
        <f>R34+R39+R43+R48+R51+R57+R62</f>
        <v/>
      </c>
      <c r="S63" s="35">
        <f>S34+S39+S43+S48+S51+S57+S62</f>
        <v/>
      </c>
      <c r="T63" s="84">
        <f>T34+T39+T43+T48+T51+T57+T62</f>
        <v/>
      </c>
      <c r="U63" s="84">
        <f>U34+U39+U43+U48+U51+U57+U62</f>
        <v/>
      </c>
      <c r="V63" s="84">
        <f>V34+V39+V43+V48+V51+V57+V62</f>
        <v/>
      </c>
      <c r="W63" s="17">
        <f>W34+W39+W43+W48+W51+W57+W62</f>
        <v/>
      </c>
      <c r="X63" s="17">
        <f>X34+X39+X43+X48+X51+X57+X62</f>
        <v/>
      </c>
      <c r="Y63" s="17">
        <f>Y34+Y39+Y43+Y48+Y51+Y57+Y62</f>
        <v/>
      </c>
      <c r="Z63" s="17">
        <f>Z34+Z39+Z43+Z48+Z51+Z57+Z62</f>
        <v/>
      </c>
      <c r="AA63" s="17">
        <f>AA34+AA39+AA43+AA48+AA51+AA57+AA62</f>
        <v/>
      </c>
      <c r="AB63" s="17">
        <f>AB34+AB39+AB43+AB48+AB51+AB57+AB62</f>
        <v/>
      </c>
      <c r="AC63" s="17">
        <f>AC34+AC39+AC43+AC48+AC51+AC57+AC62</f>
        <v/>
      </c>
      <c r="AD63" s="17">
        <f>AD34+AD39+AD43+AD48+AD51+AD57+AD62</f>
        <v/>
      </c>
      <c r="AE63" s="17">
        <f>AE34+AE39+AE43+AE48+AE51+AE57+AE62</f>
        <v/>
      </c>
      <c r="AF63" s="17">
        <f>AF34+AF39+AF43+AF48+AF51+AF57+AF62</f>
        <v/>
      </c>
      <c r="AG63" s="17">
        <f>AG34+AG39+AG43+AG48+AG51+AG57+AG62</f>
        <v/>
      </c>
      <c r="AH63" s="17">
        <f>AH34+AH39+AH43+AH48+AH51+AH57+AH62</f>
        <v/>
      </c>
      <c r="AI63" s="17">
        <f>AI34+AI39+AI43+AI48+AI51+AI57+AI62</f>
        <v/>
      </c>
      <c r="AJ63" s="17">
        <f>AJ34+AJ39+AJ43+AJ48+AJ51+AJ57+AJ62</f>
        <v/>
      </c>
      <c r="AK63" s="17">
        <f>AK34+AK39+AK43+AK48+AK51+AK57+AK62</f>
        <v/>
      </c>
      <c r="AL63" s="17">
        <f>AL34+AL39+AL43+AL48+AL51+AL57+AL62</f>
        <v/>
      </c>
      <c r="AM63" s="17">
        <f>AM34+AM39+AM43+AM48+AM51+AM57+AM62</f>
        <v/>
      </c>
      <c r="AN63" s="17">
        <f>AN34+AN39+AN43+AN48+AN51+AN57+AN62</f>
        <v/>
      </c>
      <c r="AO63" s="17">
        <f>AO34+AO39+AO43+AO48+AO51+AO57+AO62</f>
        <v/>
      </c>
      <c r="AP63" s="17">
        <f>AP34+AP39+AP43+AP48+AP51+AP57+AP62</f>
        <v/>
      </c>
      <c r="AQ63" s="17">
        <f>AQ34+AQ39+AQ43+AQ48+AQ51+AQ57+AQ62</f>
        <v/>
      </c>
      <c r="AR63" s="17">
        <f>AR34+AR39+AR43+AR48+AR51+AR57+AR62</f>
        <v/>
      </c>
      <c r="AS63" s="17">
        <f>AS34+AS39+AS43+AS48+AS51+AS57+AS62</f>
        <v/>
      </c>
      <c r="AT63" s="17">
        <f>AT34+AT39+AT43+AT48+AT51+AT57+AT62</f>
        <v/>
      </c>
      <c r="AU63" s="17">
        <f>AU34+AU39+AU43+AU48+AU51+AU57+AU62</f>
        <v/>
      </c>
      <c r="AV63" s="17">
        <f>AV34+AV39+AV43+AV48+AV51+AV57+AV62</f>
        <v/>
      </c>
      <c r="AW63" s="17">
        <f>AW34+AW39+AW43+AW48+AW51+AW57+AW62</f>
        <v/>
      </c>
      <c r="AX63" s="17">
        <f>AX34+AX39+AX43+AX48+AX51+AX57+AX62</f>
        <v/>
      </c>
      <c r="AY63" s="17">
        <f>AY34+AY39+AY43+AY48+AY51+AY57+AY62</f>
        <v/>
      </c>
    </row>
    <row r="64">
      <c r="B64" s="32" t="inlineStr">
        <is>
          <t>NET OPERATING INCOME (EBITDA)</t>
        </is>
      </c>
      <c r="C64" s="34" t="n"/>
      <c r="D64" s="35">
        <f>D27-D63</f>
        <v/>
      </c>
      <c r="E64" s="35">
        <f>E27-E63</f>
        <v/>
      </c>
      <c r="F64" s="35">
        <f>F27-F63</f>
        <v/>
      </c>
      <c r="G64" s="35">
        <f>G27-G63</f>
        <v/>
      </c>
      <c r="H64" s="35">
        <f>H27-H63</f>
        <v/>
      </c>
      <c r="I64" s="35">
        <f>I27-I63</f>
        <v/>
      </c>
      <c r="J64" s="35">
        <f>J27-J63</f>
        <v/>
      </c>
      <c r="K64" s="35">
        <f>K27-K63</f>
        <v/>
      </c>
      <c r="L64" s="35">
        <f>L27-L63</f>
        <v/>
      </c>
      <c r="M64" s="35">
        <f>M27-M63</f>
        <v/>
      </c>
      <c r="N64" s="35">
        <f>N27-N63</f>
        <v/>
      </c>
      <c r="O64" s="35">
        <f>O27-O63</f>
        <v/>
      </c>
      <c r="P64" s="35">
        <f>P27-P63</f>
        <v/>
      </c>
      <c r="Q64" s="35">
        <f>Q27-Q63</f>
        <v/>
      </c>
      <c r="R64" s="35">
        <f>R27-R63</f>
        <v/>
      </c>
      <c r="S64" s="35">
        <f>S27-S63</f>
        <v/>
      </c>
      <c r="T64" s="84">
        <f>T27-T63</f>
        <v/>
      </c>
      <c r="U64" s="84">
        <f>U27-U63</f>
        <v/>
      </c>
      <c r="V64" s="84">
        <f>V27-V63</f>
        <v/>
      </c>
      <c r="W64" s="17">
        <f>W27-W63</f>
        <v/>
      </c>
      <c r="X64" s="17">
        <f>X27-X63</f>
        <v/>
      </c>
      <c r="Y64" s="17">
        <f>Y27-Y63</f>
        <v/>
      </c>
      <c r="Z64" s="17">
        <f>Z27-Z63</f>
        <v/>
      </c>
      <c r="AA64" s="17">
        <f>AA27-AA63</f>
        <v/>
      </c>
      <c r="AB64" s="17">
        <f>AB27-AB63</f>
        <v/>
      </c>
      <c r="AC64" s="17">
        <f>AC27-AC63</f>
        <v/>
      </c>
      <c r="AD64" s="17">
        <f>AD27-AD63</f>
        <v/>
      </c>
      <c r="AE64" s="17">
        <f>AE27-AE63</f>
        <v/>
      </c>
      <c r="AF64" s="17">
        <f>AF27-AF63</f>
        <v/>
      </c>
      <c r="AG64" s="17">
        <f>AG27-AG63</f>
        <v/>
      </c>
      <c r="AH64" s="17">
        <f>AH27-AH63</f>
        <v/>
      </c>
      <c r="AI64" s="17">
        <f>AI27-AI63</f>
        <v/>
      </c>
      <c r="AJ64" s="17">
        <f>AJ27-AJ63</f>
        <v/>
      </c>
      <c r="AK64" s="17">
        <f>AK27-AK63</f>
        <v/>
      </c>
      <c r="AL64" s="17">
        <f>AL27-AL63</f>
        <v/>
      </c>
      <c r="AM64" s="17">
        <f>AM27-AM63</f>
        <v/>
      </c>
      <c r="AN64" s="17">
        <f>AN27-AN63</f>
        <v/>
      </c>
      <c r="AO64" s="17">
        <f>AO27-AO63</f>
        <v/>
      </c>
      <c r="AP64" s="17">
        <f>AP27-AP63</f>
        <v/>
      </c>
      <c r="AQ64" s="17">
        <f>AQ27-AQ63</f>
        <v/>
      </c>
      <c r="AR64" s="17">
        <f>AR27-AR63</f>
        <v/>
      </c>
      <c r="AS64" s="17">
        <f>AS27-AS63</f>
        <v/>
      </c>
      <c r="AT64" s="17">
        <f>AT27-AT63</f>
        <v/>
      </c>
      <c r="AU64" s="17">
        <f>AU27-AU63</f>
        <v/>
      </c>
      <c r="AV64" s="17">
        <f>AV27-AV63</f>
        <v/>
      </c>
      <c r="AW64" s="17">
        <f>AW27-AW63</f>
        <v/>
      </c>
      <c r="AX64" s="17">
        <f>AX27-AX63</f>
        <v/>
      </c>
      <c r="AY64" s="17">
        <f>AY27-AY63</f>
        <v/>
      </c>
    </row>
    <row r="65" ht="16" customHeight="1" s="282">
      <c r="B65" s="10" t="inlineStr">
        <is>
          <t>OTHER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</row>
    <row r="66">
      <c r="B66" s="33" t="inlineStr">
        <is>
          <t xml:space="preserve">  810000 Depreciation</t>
        </is>
      </c>
      <c r="D66" s="19" t="n">
        <v>1861.07</v>
      </c>
      <c r="E66" s="19" t="n">
        <v>1866.22</v>
      </c>
      <c r="F66" s="19" t="n">
        <v>1927.7</v>
      </c>
      <c r="G66" s="19" t="n">
        <v>1941.94</v>
      </c>
      <c r="H66" s="19" t="n">
        <v>1941.94</v>
      </c>
      <c r="I66" s="19" t="n">
        <v>1941.94</v>
      </c>
      <c r="J66" s="19" t="n">
        <v>1947.15</v>
      </c>
      <c r="K66" s="19" t="n">
        <v>1950.35</v>
      </c>
      <c r="L66" s="19" t="n">
        <v>1950.35</v>
      </c>
      <c r="M66" s="19" t="n">
        <v>1950.35</v>
      </c>
      <c r="N66" s="19" t="n">
        <v>1991.93</v>
      </c>
      <c r="O66" s="19" t="n">
        <v>-199.17</v>
      </c>
      <c r="P66" s="19" t="n">
        <v>1780.99</v>
      </c>
      <c r="Q66" s="19" t="n">
        <v>1780.99</v>
      </c>
      <c r="R66" s="19" t="n">
        <v>1780.99</v>
      </c>
      <c r="S66" s="19" t="n">
        <v>1780.99</v>
      </c>
      <c r="T66" s="83" t="n">
        <v>1780.99</v>
      </c>
      <c r="U66" s="83" t="n">
        <v>1780.99</v>
      </c>
      <c r="V66" s="83" t="n">
        <v>1780.99</v>
      </c>
      <c r="W66" s="20" t="n">
        <v>1780.99</v>
      </c>
      <c r="X66" s="20" t="n">
        <v>1780.99</v>
      </c>
      <c r="Y66" s="20" t="n">
        <v>1780.99</v>
      </c>
      <c r="Z66" s="20" t="n">
        <v>1780.99</v>
      </c>
      <c r="AA66" s="20" t="n">
        <v>1780.99</v>
      </c>
      <c r="AB66" s="20" t="n">
        <v>1780.99</v>
      </c>
      <c r="AC66" s="20" t="n">
        <v>1780.99</v>
      </c>
      <c r="AD66" s="20" t="n">
        <v>1780.99</v>
      </c>
      <c r="AE66" s="20" t="n">
        <v>1780.99</v>
      </c>
      <c r="AF66" s="20" t="n">
        <v>1780.99</v>
      </c>
      <c r="AG66" s="20" t="n">
        <v>1780.99</v>
      </c>
      <c r="AH66" s="20" t="n">
        <v>1780.99</v>
      </c>
      <c r="AI66" s="20" t="n">
        <v>1780.99</v>
      </c>
      <c r="AJ66" s="20" t="n">
        <v>1780.99</v>
      </c>
      <c r="AK66" s="20" t="n">
        <v>1780.99</v>
      </c>
      <c r="AL66" s="20" t="n">
        <v>1780.99</v>
      </c>
      <c r="AM66" s="20" t="n">
        <v>1780.99</v>
      </c>
      <c r="AN66" s="20" t="n">
        <v>1780.99</v>
      </c>
      <c r="AO66" s="20" t="n">
        <v>1780.99</v>
      </c>
      <c r="AP66" s="20" t="n">
        <v>1780.99</v>
      </c>
      <c r="AQ66" s="20" t="n">
        <v>1780.99</v>
      </c>
      <c r="AR66" s="20" t="n">
        <v>1780.99</v>
      </c>
      <c r="AS66" s="20" t="n">
        <v>1780.99</v>
      </c>
      <c r="AT66" s="20" t="n">
        <v>1780.99</v>
      </c>
      <c r="AU66" s="20" t="n">
        <v>1780.99</v>
      </c>
      <c r="AV66" s="20" t="n">
        <v>1780.99</v>
      </c>
      <c r="AW66" s="20" t="n">
        <v>1780.99</v>
      </c>
      <c r="AX66" s="20" t="n">
        <v>1780.99</v>
      </c>
      <c r="AY66" s="20" t="n">
        <v>1780.99</v>
      </c>
    </row>
    <row r="67">
      <c r="B67" s="33" t="inlineStr">
        <is>
          <t>901000 Interest Expense (incl Other Exp/Inc)</t>
        </is>
      </c>
      <c r="D67" s="19" t="n">
        <v>0</v>
      </c>
      <c r="E67" s="19" t="n">
        <v>0</v>
      </c>
      <c r="F67" s="19" t="n">
        <v>0</v>
      </c>
      <c r="G67" s="19" t="n">
        <v>0</v>
      </c>
      <c r="H67" s="19" t="n">
        <v>0</v>
      </c>
      <c r="I67" s="19" t="n">
        <v>0</v>
      </c>
      <c r="J67" s="19" t="n">
        <v>0</v>
      </c>
      <c r="K67" s="19" t="n">
        <v>0</v>
      </c>
      <c r="L67" s="19" t="n">
        <v>0</v>
      </c>
      <c r="M67" s="19" t="n">
        <v>0</v>
      </c>
      <c r="N67" s="19" t="n">
        <v>-1000</v>
      </c>
      <c r="O67" s="19" t="n">
        <v>0</v>
      </c>
      <c r="P67" s="19" t="n">
        <v>0</v>
      </c>
      <c r="Q67" s="19" t="n">
        <v>0</v>
      </c>
      <c r="R67" s="19" t="n">
        <v>0</v>
      </c>
      <c r="S67" s="19" t="n">
        <v>0</v>
      </c>
      <c r="T67" s="83" t="n">
        <v>0</v>
      </c>
      <c r="U67" s="83" t="n">
        <v>0</v>
      </c>
      <c r="V67" s="83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0</v>
      </c>
      <c r="AP67" s="20" t="n">
        <v>0</v>
      </c>
      <c r="AQ67" s="20" t="n">
        <v>0</v>
      </c>
      <c r="AR67" s="20" t="n">
        <v>0</v>
      </c>
      <c r="AS67" s="20" t="n">
        <v>0</v>
      </c>
      <c r="AT67" s="20" t="n">
        <v>0</v>
      </c>
      <c r="AU67" s="20" t="n">
        <v>0</v>
      </c>
      <c r="AV67" s="20" t="n">
        <v>0</v>
      </c>
      <c r="AW67" s="20" t="n">
        <v>0</v>
      </c>
      <c r="AX67" s="20" t="n">
        <v>0</v>
      </c>
      <c r="AY67" s="20" t="n">
        <v>0</v>
      </c>
    </row>
    <row r="68">
      <c r="B68" s="33" t="inlineStr">
        <is>
          <t xml:space="preserve">  902000 Taxes Paid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3" t="n">
        <v>0</v>
      </c>
      <c r="U68" s="83" t="n">
        <v>0</v>
      </c>
      <c r="V68" s="83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>
        <f>AN70*0.022208</f>
        <v/>
      </c>
      <c r="AO68" s="20">
        <f>AO70*0.022208</f>
        <v/>
      </c>
      <c r="AP68" s="20">
        <f>AP70*0.022208</f>
        <v/>
      </c>
      <c r="AQ68" s="20">
        <f>AQ70*0.022208</f>
        <v/>
      </c>
      <c r="AR68" s="20">
        <f>AR70*0.022208</f>
        <v/>
      </c>
      <c r="AS68" s="20">
        <f>AS70*0.022208</f>
        <v/>
      </c>
      <c r="AT68" s="20">
        <f>AT70*0.022208</f>
        <v/>
      </c>
      <c r="AU68" s="20">
        <f>AU70*0.022208</f>
        <v/>
      </c>
      <c r="AV68" s="20">
        <f>AV70*0.022208</f>
        <v/>
      </c>
      <c r="AW68" s="20">
        <f>AW70*0.022208</f>
        <v/>
      </c>
      <c r="AX68" s="20">
        <f>AX70*0.022208</f>
        <v/>
      </c>
      <c r="AY68" s="20">
        <f>AY70*0.022208</f>
        <v/>
      </c>
    </row>
    <row r="69">
      <c r="B69" s="33" t="inlineStr">
        <is>
          <t xml:space="preserve">  903000 Property taxes</t>
        </is>
      </c>
      <c r="D69" s="19" t="n">
        <v>3356.51</v>
      </c>
      <c r="E69" s="19" t="n">
        <v>3526.51</v>
      </c>
      <c r="F69" s="19" t="n">
        <v>3441.51</v>
      </c>
      <c r="G69" s="19" t="n">
        <v>3441.51</v>
      </c>
      <c r="H69" s="19" t="n">
        <v>3441.51</v>
      </c>
      <c r="I69" s="19" t="n">
        <v>3441.51</v>
      </c>
      <c r="J69" s="19" t="n">
        <v>5341.36</v>
      </c>
      <c r="K69" s="19" t="n">
        <v>3441.51</v>
      </c>
      <c r="L69" s="19" t="n">
        <v>3441.51</v>
      </c>
      <c r="M69" s="19" t="n">
        <v>3441.51</v>
      </c>
      <c r="N69" s="19" t="n">
        <v>3441.51</v>
      </c>
      <c r="O69" s="19" t="n">
        <v>3441.52</v>
      </c>
      <c r="P69" s="19" t="n">
        <v>3673</v>
      </c>
      <c r="Q69" s="19" t="n">
        <v>3673</v>
      </c>
      <c r="R69" s="19" t="n">
        <v>3673</v>
      </c>
      <c r="S69" s="19" t="n">
        <v>3673</v>
      </c>
      <c r="T69" s="83" t="n">
        <v>3673</v>
      </c>
      <c r="U69" s="83" t="n">
        <v>3673</v>
      </c>
      <c r="V69" s="83" t="n">
        <v>3794.45</v>
      </c>
      <c r="W69" s="20" t="n">
        <v>0</v>
      </c>
      <c r="X69" s="20" t="n">
        <v>0</v>
      </c>
      <c r="Y69" s="20" t="n">
        <v>0</v>
      </c>
      <c r="Z69" s="20" t="n">
        <v>0</v>
      </c>
      <c r="AA69" s="20" t="n">
        <v>0</v>
      </c>
      <c r="AB69" s="20" t="n">
        <v>0</v>
      </c>
      <c r="AC69" s="20" t="n">
        <v>0</v>
      </c>
      <c r="AD69" s="20" t="n">
        <v>0</v>
      </c>
      <c r="AE69" s="20" t="n">
        <v>0</v>
      </c>
      <c r="AF69" s="20" t="n">
        <v>0</v>
      </c>
      <c r="AG69" s="20" t="n">
        <v>0</v>
      </c>
      <c r="AH69" s="20" t="n">
        <v>0</v>
      </c>
      <c r="AI69" s="20" t="n">
        <v>0</v>
      </c>
      <c r="AJ69" s="20" t="n">
        <v>0</v>
      </c>
      <c r="AK69" s="20" t="n">
        <v>0</v>
      </c>
      <c r="AL69" s="20" t="n">
        <v>0</v>
      </c>
      <c r="AM69" s="20" t="n">
        <v>0</v>
      </c>
      <c r="AN69" s="20">
        <f>AN70*0.658496</f>
        <v/>
      </c>
      <c r="AO69" s="20">
        <f>AO70*0.658496</f>
        <v/>
      </c>
      <c r="AP69" s="20">
        <f>AP70*0.658496</f>
        <v/>
      </c>
      <c r="AQ69" s="20">
        <f>AQ70*0.658496</f>
        <v/>
      </c>
      <c r="AR69" s="20">
        <f>AR70*0.658496</f>
        <v/>
      </c>
      <c r="AS69" s="20">
        <f>AS70*0.658496</f>
        <v/>
      </c>
      <c r="AT69" s="20">
        <f>AT70*0.658496</f>
        <v/>
      </c>
      <c r="AU69" s="20">
        <f>AU70*0.658496</f>
        <v/>
      </c>
      <c r="AV69" s="20">
        <f>AV70*0.658496</f>
        <v/>
      </c>
      <c r="AW69" s="20">
        <f>AW70*0.658496</f>
        <v/>
      </c>
      <c r="AX69" s="20">
        <f>AX70*0.658496</f>
        <v/>
      </c>
      <c r="AY69" s="20">
        <f>AY70*0.658496</f>
        <v/>
      </c>
    </row>
    <row r="70">
      <c r="B70" s="32" t="inlineStr">
        <is>
          <t>Total Other Expenses</t>
        </is>
      </c>
      <c r="C70" s="34" t="n"/>
      <c r="D70" s="35">
        <f>SUM(D66:D69)</f>
        <v/>
      </c>
      <c r="E70" s="35">
        <f>SUM(E66:E69)</f>
        <v/>
      </c>
      <c r="F70" s="35">
        <f>SUM(F66:F69)</f>
        <v/>
      </c>
      <c r="G70" s="35">
        <f>SUM(G66:G69)</f>
        <v/>
      </c>
      <c r="H70" s="35">
        <f>SUM(H66:H69)</f>
        <v/>
      </c>
      <c r="I70" s="35">
        <f>SUM(I66:I69)</f>
        <v/>
      </c>
      <c r="J70" s="35">
        <f>SUM(J66:J69)</f>
        <v/>
      </c>
      <c r="K70" s="35">
        <f>SUM(K66:K69)</f>
        <v/>
      </c>
      <c r="L70" s="35">
        <f>SUM(L66:L69)</f>
        <v/>
      </c>
      <c r="M70" s="35">
        <f>SUM(M66:M69)</f>
        <v/>
      </c>
      <c r="N70" s="35">
        <f>SUM(N66:N69)</f>
        <v/>
      </c>
      <c r="O70" s="35">
        <f>SUM(O66:O69)</f>
        <v/>
      </c>
      <c r="P70" s="35">
        <f>P66+P67+P68+P69</f>
        <v/>
      </c>
      <c r="Q70" s="35">
        <f>Q66+Q67+Q68+Q69</f>
        <v/>
      </c>
      <c r="R70" s="35">
        <f>R66+R67+R68+R69</f>
        <v/>
      </c>
      <c r="S70" s="35">
        <f>S66+S67+S68+S69</f>
        <v/>
      </c>
      <c r="T70" s="84">
        <f>T66+T67+T68+T69</f>
        <v/>
      </c>
      <c r="U70" s="84">
        <f>U66+U67+U68+U69</f>
        <v/>
      </c>
      <c r="V70" s="84">
        <f>V66+V67+V68+V69</f>
        <v/>
      </c>
      <c r="W70" s="17">
        <f>SUM(W66:W69)</f>
        <v/>
      </c>
      <c r="X70" s="17">
        <f>SUM(X66:X69)</f>
        <v/>
      </c>
      <c r="Y70" s="17">
        <f>SUM(Y66:Y69)</f>
        <v/>
      </c>
      <c r="Z70" s="17">
        <f>SUM(Z66:Z69)</f>
        <v/>
      </c>
      <c r="AA70" s="17">
        <f>SUM(AA66:AA69)</f>
        <v/>
      </c>
      <c r="AB70" s="17">
        <f>SUM(AB66:AB69)</f>
        <v/>
      </c>
      <c r="AC70" s="17">
        <f>SUM(AC66:AC69)</f>
        <v/>
      </c>
      <c r="AD70" s="17">
        <f>SUM(AD66:AD69)</f>
        <v/>
      </c>
      <c r="AE70" s="17">
        <f>SUM(AE66:AE69)</f>
        <v/>
      </c>
      <c r="AF70" s="17">
        <f>SUM(AF66:AF69)</f>
        <v/>
      </c>
      <c r="AG70" s="17">
        <f>SUM(AG66:AG69)</f>
        <v/>
      </c>
      <c r="AH70" s="17">
        <f>SUM(AH66:AH69)</f>
        <v/>
      </c>
      <c r="AI70" s="17">
        <f>SUM(AI66:AI69)</f>
        <v/>
      </c>
      <c r="AJ70" s="17">
        <f>SUM(AJ66:AJ69)</f>
        <v/>
      </c>
      <c r="AK70" s="17">
        <f>SUM(AK66:AK69)</f>
        <v/>
      </c>
      <c r="AL70" s="17">
        <f>SUM(AL66:AL69)</f>
        <v/>
      </c>
      <c r="AM70" s="17">
        <f>SUM(AM66:AM69)</f>
        <v/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</row>
    <row r="71">
      <c r="B71" s="32" t="inlineStr">
        <is>
          <t>NET INCOME</t>
        </is>
      </c>
      <c r="C71" s="34" t="n"/>
      <c r="D71" s="35">
        <f>D64-D70</f>
        <v/>
      </c>
      <c r="E71" s="35">
        <f>E64-E70</f>
        <v/>
      </c>
      <c r="F71" s="35">
        <f>F64-F70</f>
        <v/>
      </c>
      <c r="G71" s="35">
        <f>G64-G70</f>
        <v/>
      </c>
      <c r="H71" s="35">
        <f>H64-H70</f>
        <v/>
      </c>
      <c r="I71" s="35">
        <f>I64-I70</f>
        <v/>
      </c>
      <c r="J71" s="35">
        <f>J64-J70</f>
        <v/>
      </c>
      <c r="K71" s="35">
        <f>K64-K70</f>
        <v/>
      </c>
      <c r="L71" s="35">
        <f>L64-L70</f>
        <v/>
      </c>
      <c r="M71" s="35">
        <f>M64-M70</f>
        <v/>
      </c>
      <c r="N71" s="35">
        <f>N64-N70</f>
        <v/>
      </c>
      <c r="O71" s="35">
        <f>O64-O70</f>
        <v/>
      </c>
      <c r="P71" s="35">
        <f>P64-P70</f>
        <v/>
      </c>
      <c r="Q71" s="35">
        <f>Q64-Q70</f>
        <v/>
      </c>
      <c r="R71" s="35">
        <f>R64-R70</f>
        <v/>
      </c>
      <c r="S71" s="35">
        <f>S64-S70</f>
        <v/>
      </c>
      <c r="T71" s="84">
        <f>T64-T70</f>
        <v/>
      </c>
      <c r="U71" s="84">
        <f>U64-U70</f>
        <v/>
      </c>
      <c r="V71" s="84">
        <f>V64-V70</f>
        <v/>
      </c>
      <c r="W71" s="17">
        <f>W64-W70</f>
        <v/>
      </c>
      <c r="X71" s="17">
        <f>X64-X70</f>
        <v/>
      </c>
      <c r="Y71" s="17">
        <f>Y64-Y70</f>
        <v/>
      </c>
      <c r="Z71" s="17">
        <f>Z64-Z70</f>
        <v/>
      </c>
      <c r="AA71" s="17">
        <f>AA64-AA70</f>
        <v/>
      </c>
      <c r="AB71" s="17">
        <f>AB64-AB70</f>
        <v/>
      </c>
      <c r="AC71" s="17">
        <f>AC64-AC70</f>
        <v/>
      </c>
      <c r="AD71" s="17">
        <f>AD64-AD70</f>
        <v/>
      </c>
      <c r="AE71" s="17">
        <f>AE64-AE70</f>
        <v/>
      </c>
      <c r="AF71" s="17">
        <f>AF64-AF70</f>
        <v/>
      </c>
      <c r="AG71" s="17">
        <f>AG64-AG70</f>
        <v/>
      </c>
      <c r="AH71" s="17">
        <f>AH64-AH70</f>
        <v/>
      </c>
      <c r="AI71" s="17">
        <f>AI64-AI70</f>
        <v/>
      </c>
      <c r="AJ71" s="17">
        <f>AJ64-AJ70</f>
        <v/>
      </c>
      <c r="AK71" s="17">
        <f>AK64-AK70</f>
        <v/>
      </c>
      <c r="AL71" s="17">
        <f>AL64-AL70</f>
        <v/>
      </c>
      <c r="AM71" s="17">
        <f>AM64-AM70</f>
        <v/>
      </c>
      <c r="AN71" s="17">
        <f>AN64-AN70</f>
        <v/>
      </c>
      <c r="AO71" s="17">
        <f>AO64-AO70</f>
        <v/>
      </c>
      <c r="AP71" s="17">
        <f>AP64-AP70</f>
        <v/>
      </c>
      <c r="AQ71" s="17">
        <f>AQ64-AQ70</f>
        <v/>
      </c>
      <c r="AR71" s="17">
        <f>AR64-AR70</f>
        <v/>
      </c>
      <c r="AS71" s="17">
        <f>AS64-AS70</f>
        <v/>
      </c>
      <c r="AT71" s="17">
        <f>AT64-AT70</f>
        <v/>
      </c>
      <c r="AU71" s="17">
        <f>AU64-AU70</f>
        <v/>
      </c>
      <c r="AV71" s="17">
        <f>AV64-AV70</f>
        <v/>
      </c>
      <c r="AW71" s="17">
        <f>AW64-AW70</f>
        <v/>
      </c>
      <c r="AX71" s="17">
        <f>AX64-AX70</f>
        <v/>
      </c>
      <c r="AY71" s="17">
        <f>AY64-AY70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ED7D31"/>
    <outlinePr summaryBelow="1" summaryRight="1"/>
    <pageSetUpPr/>
  </sheetPr>
  <dimension ref="B2:AY47"/>
  <sheetViews>
    <sheetView showGridLines="0" workbookViewId="0">
      <pane xSplit="3" ySplit="5" topLeftCell="AD6" activePane="bottomRight" state="frozen"/>
      <selection activeCell="BD7" sqref="BD7"/>
      <selection pane="topRight" activeCell="BD7" sqref="BD7"/>
      <selection pane="bottomLeft" activeCell="BD7" sqref="BD7"/>
      <selection pane="bottomRight" activeCell="P36" sqref="P36"/>
    </sheetView>
  </sheetViews>
  <sheetFormatPr baseColWidth="10" defaultColWidth="8.83203125" defaultRowHeight="15"/>
  <cols>
    <col hidden="1" width="2" customWidth="1" style="282" min="1" max="1"/>
    <col width="34" customWidth="1" style="282" min="2" max="2"/>
    <col width="10" customWidth="1" style="282" min="3" max="3"/>
    <col width="12" customWidth="1" style="282" min="4" max="39"/>
  </cols>
  <sheetData>
    <row r="2" ht="21" customHeight="1" s="282">
      <c r="B2" s="42" t="inlineStr">
        <is>
          <t>Head Office (HO) — Profit &amp; Loss</t>
        </is>
      </c>
    </row>
    <row r="3">
      <c r="B3" s="43" t="inlineStr">
        <is>
          <t>Corporate overhead. No revenue — flows into consolidated P&amp;L as an OpEx contribution that reduces consolidated EBITDA.</t>
        </is>
      </c>
    </row>
    <row r="4" ht="16" customHeight="1" s="282">
      <c r="B4" s="44" t="inlineStr">
        <is>
          <t>Monthly P&amp;L (Overhead)</t>
        </is>
      </c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5" t="n"/>
      <c r="AJ4" s="45" t="n"/>
      <c r="AK4" s="45" t="n"/>
      <c r="AL4" s="45" t="n"/>
      <c r="AM4" s="45" t="n"/>
      <c r="AN4" s="45" t="n"/>
      <c r="AO4" s="45" t="n"/>
      <c r="AP4" s="45" t="n"/>
      <c r="AQ4" s="45" t="n"/>
      <c r="AR4" s="45" t="n"/>
      <c r="AS4" s="45" t="n"/>
      <c r="AT4" s="45" t="n"/>
      <c r="AU4" s="45" t="n"/>
      <c r="AV4" s="45" t="n"/>
      <c r="AW4" s="45" t="n"/>
      <c r="AX4" s="45" t="n"/>
      <c r="AY4" s="45" t="n"/>
    </row>
    <row r="5">
      <c r="B5" s="46" t="inlineStr">
        <is>
          <t>Line Item</t>
        </is>
      </c>
      <c r="D5" s="47" t="inlineStr">
        <is>
          <t>Jan 2025 (A)</t>
        </is>
      </c>
      <c r="E5" s="47" t="inlineStr">
        <is>
          <t>Feb 2025 (A)</t>
        </is>
      </c>
      <c r="F5" s="47" t="inlineStr">
        <is>
          <t>Mar 2025 (A)</t>
        </is>
      </c>
      <c r="G5" s="47" t="inlineStr">
        <is>
          <t>Apr 2025 (A)</t>
        </is>
      </c>
      <c r="H5" s="47" t="inlineStr">
        <is>
          <t>May 2025 (A)</t>
        </is>
      </c>
      <c r="I5" s="47" t="inlineStr">
        <is>
          <t>Jun 2025 (A)</t>
        </is>
      </c>
      <c r="J5" s="47" t="inlineStr">
        <is>
          <t>Jul 2025 (A)</t>
        </is>
      </c>
      <c r="K5" s="47" t="inlineStr">
        <is>
          <t>Aug 2025 (A)</t>
        </is>
      </c>
      <c r="L5" s="47" t="inlineStr">
        <is>
          <t>Sep 2025 (A)</t>
        </is>
      </c>
      <c r="M5" s="47" t="inlineStr">
        <is>
          <t>Oct 2025 (A)</t>
        </is>
      </c>
      <c r="N5" s="47" t="inlineStr">
        <is>
          <t>Nov 2025 (A)</t>
        </is>
      </c>
      <c r="O5" s="47" t="inlineStr">
        <is>
          <t>Dec 2025 (A)</t>
        </is>
      </c>
      <c r="P5" s="47" t="inlineStr">
        <is>
          <t>Jan 2026 (A)</t>
        </is>
      </c>
      <c r="Q5" s="47" t="inlineStr">
        <is>
          <t>Feb 2026 (A)</t>
        </is>
      </c>
      <c r="R5" s="47" t="inlineStr">
        <is>
          <t>Mar 2026 (A)</t>
        </is>
      </c>
      <c r="S5" s="47" t="inlineStr">
        <is>
          <t>Apr 2026 (A)</t>
        </is>
      </c>
      <c r="T5" s="86" t="inlineStr">
        <is>
          <t>May 2026 (A)</t>
        </is>
      </c>
      <c r="U5" s="86" t="inlineStr">
        <is>
          <t>Jun 2026 (A)</t>
        </is>
      </c>
      <c r="V5" s="48" t="inlineStr">
        <is>
          <t>Jul 2026 (A)</t>
        </is>
      </c>
      <c r="W5" s="48" t="inlineStr">
        <is>
          <t>Aug 2026</t>
        </is>
      </c>
      <c r="X5" s="48" t="inlineStr">
        <is>
          <t>Sep 2026</t>
        </is>
      </c>
      <c r="Y5" s="48" t="inlineStr">
        <is>
          <t>Oct 2026</t>
        </is>
      </c>
      <c r="Z5" s="48" t="inlineStr">
        <is>
          <t>Nov 2026</t>
        </is>
      </c>
      <c r="AA5" s="48" t="inlineStr">
        <is>
          <t>Dec 2026</t>
        </is>
      </c>
      <c r="AB5" s="48" t="inlineStr">
        <is>
          <t>Jan 2027</t>
        </is>
      </c>
      <c r="AC5" s="48" t="inlineStr">
        <is>
          <t>Feb 2027</t>
        </is>
      </c>
      <c r="AD5" s="48" t="inlineStr">
        <is>
          <t>Mar 2027</t>
        </is>
      </c>
      <c r="AE5" s="48" t="inlineStr">
        <is>
          <t>Apr 2027</t>
        </is>
      </c>
      <c r="AF5" s="48" t="inlineStr">
        <is>
          <t>May 2027</t>
        </is>
      </c>
      <c r="AG5" s="48" t="inlineStr">
        <is>
          <t>Jun 2027</t>
        </is>
      </c>
      <c r="AH5" s="48" t="inlineStr">
        <is>
          <t>Jul 2027</t>
        </is>
      </c>
      <c r="AI5" s="48" t="inlineStr">
        <is>
          <t>Aug 2027</t>
        </is>
      </c>
      <c r="AJ5" s="48" t="inlineStr">
        <is>
          <t>Sep 2027</t>
        </is>
      </c>
      <c r="AK5" s="48" t="inlineStr">
        <is>
          <t>Oct 2027</t>
        </is>
      </c>
      <c r="AL5" s="48" t="inlineStr">
        <is>
          <t>Nov 2027</t>
        </is>
      </c>
      <c r="AM5" s="48" t="inlineStr">
        <is>
          <t>Dec 2027</t>
        </is>
      </c>
      <c r="AN5" s="48" t="inlineStr">
        <is>
          <t>Jan 2028</t>
        </is>
      </c>
      <c r="AO5" s="48" t="inlineStr">
        <is>
          <t>Feb 2028</t>
        </is>
      </c>
      <c r="AP5" s="48" t="inlineStr">
        <is>
          <t>Mar 2028</t>
        </is>
      </c>
      <c r="AQ5" s="48" t="inlineStr">
        <is>
          <t>Apr 2028</t>
        </is>
      </c>
      <c r="AR5" s="48" t="inlineStr">
        <is>
          <t>May 2028</t>
        </is>
      </c>
      <c r="AS5" s="48" t="inlineStr">
        <is>
          <t>Jun 2028</t>
        </is>
      </c>
      <c r="AT5" s="48" t="inlineStr">
        <is>
          <t>Jul 2028</t>
        </is>
      </c>
      <c r="AU5" s="48" t="inlineStr">
        <is>
          <t>Aug 2028</t>
        </is>
      </c>
      <c r="AV5" s="48" t="inlineStr">
        <is>
          <t>Sep 2028</t>
        </is>
      </c>
      <c r="AW5" s="48" t="inlineStr">
        <is>
          <t>Oct 2028</t>
        </is>
      </c>
      <c r="AX5" s="48" t="inlineStr">
        <is>
          <t>Nov 2028</t>
        </is>
      </c>
      <c r="AY5" s="48" t="inlineStr">
        <is>
          <t>Dec 2028</t>
        </is>
      </c>
    </row>
    <row r="6" ht="16" customHeight="1" s="282">
      <c r="B6" s="44" t="inlineStr">
        <is>
          <t>OPERATING EXPENSES</t>
        </is>
      </c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  <c r="AL6" s="45" t="n"/>
      <c r="AM6" s="45" t="n"/>
      <c r="AN6" s="45" t="n"/>
      <c r="AO6" s="45" t="n"/>
      <c r="AP6" s="45" t="n"/>
      <c r="AQ6" s="45" t="n"/>
      <c r="AR6" s="45" t="n"/>
      <c r="AS6" s="45" t="n"/>
      <c r="AT6" s="45" t="n"/>
      <c r="AU6" s="45" t="n"/>
      <c r="AV6" s="45" t="n"/>
      <c r="AW6" s="45" t="n"/>
      <c r="AX6" s="45" t="n"/>
      <c r="AY6" s="45" t="n"/>
    </row>
    <row r="7">
      <c r="B7" s="49" t="inlineStr">
        <is>
          <t xml:space="preserve">  601001 Paid Ads</t>
        </is>
      </c>
      <c r="D7" s="40" t="n">
        <v>5222.87</v>
      </c>
      <c r="E7" s="40" t="n">
        <v>3500</v>
      </c>
      <c r="F7" s="40" t="n">
        <v>8928.360000000001</v>
      </c>
      <c r="G7" s="40" t="n">
        <v>1654.75</v>
      </c>
      <c r="H7" s="40" t="n">
        <v>4571.34</v>
      </c>
      <c r="I7" s="40" t="n">
        <v>2578.32</v>
      </c>
      <c r="J7" s="40" t="n">
        <v>6766.11</v>
      </c>
      <c r="K7" s="40" t="n">
        <v>304.07</v>
      </c>
      <c r="L7" s="40" t="n">
        <v>8806.35</v>
      </c>
      <c r="M7" s="40" t="n">
        <v>7580</v>
      </c>
      <c r="N7" s="40" t="n">
        <v>4545.88</v>
      </c>
      <c r="O7" s="40" t="n">
        <v>5019.72</v>
      </c>
      <c r="P7" s="40" t="n">
        <v>0</v>
      </c>
      <c r="Q7" s="40" t="n">
        <v>0</v>
      </c>
      <c r="R7" s="40" t="n">
        <v>0</v>
      </c>
      <c r="S7" s="40" t="n">
        <v>0</v>
      </c>
      <c r="T7" s="40" t="n">
        <v>0</v>
      </c>
      <c r="U7" s="40" t="n">
        <v>0</v>
      </c>
      <c r="V7" s="40" t="n">
        <v>0</v>
      </c>
      <c r="W7" s="41" t="n">
        <v>1437.9</v>
      </c>
      <c r="X7" s="41" t="n">
        <v>1437.9</v>
      </c>
      <c r="Y7" s="41" t="n">
        <v>1437.9</v>
      </c>
      <c r="Z7" s="41" t="n">
        <v>1437.9</v>
      </c>
      <c r="AA7" s="41" t="n">
        <v>1437.9</v>
      </c>
      <c r="AB7" s="41" t="n">
        <v>1509.8</v>
      </c>
      <c r="AC7" s="41" t="n">
        <v>1509.8</v>
      </c>
      <c r="AD7" s="41" t="n">
        <v>1509.8</v>
      </c>
      <c r="AE7" s="41" t="n">
        <v>1509.8</v>
      </c>
      <c r="AF7" s="41" t="n">
        <v>1509.8</v>
      </c>
      <c r="AG7" s="41" t="n">
        <v>1509.8</v>
      </c>
      <c r="AH7" s="41" t="n">
        <v>1509.8</v>
      </c>
      <c r="AI7" s="41" t="n">
        <v>1509.8</v>
      </c>
      <c r="AJ7" s="41" t="n">
        <v>1509.8</v>
      </c>
      <c r="AK7" s="41" t="n">
        <v>1509.8</v>
      </c>
      <c r="AL7" s="41" t="n">
        <v>1509.8</v>
      </c>
      <c r="AM7" s="41" t="n">
        <v>1509.8</v>
      </c>
      <c r="AN7" s="41" t="n">
        <v>1509.8</v>
      </c>
      <c r="AO7" s="41" t="n">
        <v>1509.8</v>
      </c>
      <c r="AP7" s="41" t="n">
        <v>1509.8</v>
      </c>
      <c r="AQ7" s="41" t="n">
        <v>1509.8</v>
      </c>
      <c r="AR7" s="41" t="n">
        <v>1509.8</v>
      </c>
      <c r="AS7" s="41" t="n">
        <v>1509.8</v>
      </c>
      <c r="AT7" s="41" t="n">
        <v>1509.8</v>
      </c>
      <c r="AU7" s="41" t="n">
        <v>1509.8</v>
      </c>
      <c r="AV7" s="41" t="n">
        <v>1509.8</v>
      </c>
      <c r="AW7" s="41" t="n">
        <v>1509.8</v>
      </c>
      <c r="AX7" s="41" t="n">
        <v>1509.8</v>
      </c>
      <c r="AY7" s="41" t="n">
        <v>1509.8</v>
      </c>
    </row>
    <row r="8">
      <c r="B8" s="49" t="inlineStr">
        <is>
          <t xml:space="preserve">  601005 Content Creation</t>
        </is>
      </c>
      <c r="D8" s="40" t="n">
        <v>0</v>
      </c>
      <c r="E8" s="40" t="n">
        <v>0</v>
      </c>
      <c r="F8" s="40" t="n">
        <v>0</v>
      </c>
      <c r="G8" s="40" t="n">
        <v>0</v>
      </c>
      <c r="H8" s="40" t="n">
        <v>0</v>
      </c>
      <c r="I8" s="40" t="n">
        <v>0</v>
      </c>
      <c r="J8" s="40" t="n">
        <v>0</v>
      </c>
      <c r="K8" s="40" t="n">
        <v>0</v>
      </c>
      <c r="L8" s="40" t="n">
        <v>0</v>
      </c>
      <c r="M8" s="40" t="n">
        <v>0</v>
      </c>
      <c r="N8" s="40" t="n">
        <v>0</v>
      </c>
      <c r="O8" s="40" t="n">
        <v>0</v>
      </c>
      <c r="P8" s="40" t="n">
        <v>0</v>
      </c>
      <c r="Q8" s="40" t="n">
        <v>0</v>
      </c>
      <c r="R8" s="40" t="n">
        <v>0</v>
      </c>
      <c r="S8" s="40" t="n">
        <v>0</v>
      </c>
      <c r="T8" s="40" t="n">
        <v>0</v>
      </c>
      <c r="U8" s="40" t="n">
        <v>0</v>
      </c>
      <c r="V8" s="40" t="n">
        <v>0</v>
      </c>
      <c r="W8" s="41" t="n">
        <v>0</v>
      </c>
      <c r="X8" s="41" t="n">
        <v>0</v>
      </c>
      <c r="Y8" s="41" t="n">
        <v>0</v>
      </c>
      <c r="Z8" s="41" t="n">
        <v>0</v>
      </c>
      <c r="AA8" s="41" t="n">
        <v>0</v>
      </c>
      <c r="AB8" s="41" t="n">
        <v>0</v>
      </c>
      <c r="AC8" s="41" t="n">
        <v>0</v>
      </c>
      <c r="AD8" s="41" t="n">
        <v>0</v>
      </c>
      <c r="AE8" s="41" t="n">
        <v>0</v>
      </c>
      <c r="AF8" s="41" t="n">
        <v>0</v>
      </c>
      <c r="AG8" s="41" t="n">
        <v>0</v>
      </c>
      <c r="AH8" s="41" t="n">
        <v>0</v>
      </c>
      <c r="AI8" s="41" t="n">
        <v>0</v>
      </c>
      <c r="AJ8" s="41" t="n">
        <v>0</v>
      </c>
      <c r="AK8" s="41" t="n">
        <v>0</v>
      </c>
      <c r="AL8" s="41" t="n">
        <v>0</v>
      </c>
      <c r="AM8" s="41" t="n">
        <v>0</v>
      </c>
      <c r="AN8" s="41" t="n">
        <v>0</v>
      </c>
      <c r="AO8" s="41" t="n">
        <v>0</v>
      </c>
      <c r="AP8" s="41" t="n">
        <v>0</v>
      </c>
      <c r="AQ8" s="41" t="n">
        <v>0</v>
      </c>
      <c r="AR8" s="41" t="n">
        <v>0</v>
      </c>
      <c r="AS8" s="41" t="n">
        <v>0</v>
      </c>
      <c r="AT8" s="41" t="n">
        <v>0</v>
      </c>
      <c r="AU8" s="41" t="n">
        <v>0</v>
      </c>
      <c r="AV8" s="41" t="n">
        <v>0</v>
      </c>
      <c r="AW8" s="41" t="n">
        <v>0</v>
      </c>
      <c r="AX8" s="41" t="n">
        <v>0</v>
      </c>
      <c r="AY8" s="41" t="n">
        <v>0</v>
      </c>
    </row>
    <row r="9">
      <c r="B9" s="49" t="inlineStr">
        <is>
          <t xml:space="preserve">  601006 General Marketing</t>
        </is>
      </c>
      <c r="D9" s="40" t="n">
        <v>0</v>
      </c>
      <c r="E9" s="40" t="n">
        <v>0</v>
      </c>
      <c r="F9" s="40" t="n">
        <v>1107.42</v>
      </c>
      <c r="G9" s="40" t="n">
        <v>0</v>
      </c>
      <c r="H9" s="40" t="n">
        <v>1218.03</v>
      </c>
      <c r="I9" s="40" t="n">
        <v>0</v>
      </c>
      <c r="J9" s="40" t="n">
        <v>0</v>
      </c>
      <c r="K9" s="40" t="n">
        <v>1588.47</v>
      </c>
      <c r="L9" s="40" t="n">
        <v>20.84</v>
      </c>
      <c r="M9" s="40" t="n">
        <v>396.92</v>
      </c>
      <c r="N9" s="40" t="n">
        <v>0</v>
      </c>
      <c r="O9" s="40" t="n">
        <v>254.31</v>
      </c>
      <c r="P9" s="40" t="n">
        <v>0</v>
      </c>
      <c r="Q9" s="40" t="n">
        <v>0</v>
      </c>
      <c r="R9" s="40" t="n">
        <v>860</v>
      </c>
      <c r="S9" s="40" t="n">
        <v>0</v>
      </c>
      <c r="T9" s="40" t="n">
        <v>0</v>
      </c>
      <c r="U9" s="40" t="n">
        <v>0</v>
      </c>
      <c r="V9" s="40" t="n">
        <v>0</v>
      </c>
      <c r="W9" s="41" t="n">
        <v>0</v>
      </c>
      <c r="X9" s="41" t="n">
        <v>0</v>
      </c>
      <c r="Y9" s="41" t="n">
        <v>0</v>
      </c>
      <c r="Z9" s="41" t="n">
        <v>0</v>
      </c>
      <c r="AA9" s="41" t="n">
        <v>0</v>
      </c>
      <c r="AB9" s="41" t="n">
        <v>0</v>
      </c>
      <c r="AC9" s="41" t="n">
        <v>0</v>
      </c>
      <c r="AD9" s="41" t="n">
        <v>0</v>
      </c>
      <c r="AE9" s="41" t="n">
        <v>0</v>
      </c>
      <c r="AF9" s="41" t="n">
        <v>0</v>
      </c>
      <c r="AG9" s="41" t="n">
        <v>0</v>
      </c>
      <c r="AH9" s="41" t="n">
        <v>0</v>
      </c>
      <c r="AI9" s="41" t="n">
        <v>0</v>
      </c>
      <c r="AJ9" s="41" t="n">
        <v>0</v>
      </c>
      <c r="AK9" s="41" t="n">
        <v>0</v>
      </c>
      <c r="AL9" s="41" t="n">
        <v>0</v>
      </c>
      <c r="AM9" s="41" t="n">
        <v>0</v>
      </c>
      <c r="AN9" s="41" t="n">
        <v>0</v>
      </c>
      <c r="AO9" s="41" t="n">
        <v>0</v>
      </c>
      <c r="AP9" s="41" t="n">
        <v>0</v>
      </c>
      <c r="AQ9" s="41" t="n">
        <v>0</v>
      </c>
      <c r="AR9" s="41" t="n">
        <v>0</v>
      </c>
      <c r="AS9" s="41" t="n">
        <v>0</v>
      </c>
      <c r="AT9" s="41" t="n">
        <v>0</v>
      </c>
      <c r="AU9" s="41" t="n">
        <v>0</v>
      </c>
      <c r="AV9" s="41" t="n">
        <v>0</v>
      </c>
      <c r="AW9" s="41" t="n">
        <v>0</v>
      </c>
      <c r="AX9" s="41" t="n">
        <v>0</v>
      </c>
      <c r="AY9" s="41" t="n">
        <v>0</v>
      </c>
    </row>
    <row r="10">
      <c r="B10" s="49" t="inlineStr">
        <is>
          <t xml:space="preserve">  601007 Contractors/Agencies</t>
        </is>
      </c>
      <c r="D10" s="40" t="n">
        <v>0</v>
      </c>
      <c r="E10" s="40" t="n">
        <v>0</v>
      </c>
      <c r="F10" s="40" t="n">
        <v>0</v>
      </c>
      <c r="G10" s="40" t="n">
        <v>0</v>
      </c>
      <c r="H10" s="40" t="n">
        <v>0</v>
      </c>
      <c r="I10" s="40" t="n">
        <v>0</v>
      </c>
      <c r="J10" s="40" t="n">
        <v>0</v>
      </c>
      <c r="K10" s="40" t="n">
        <v>0</v>
      </c>
      <c r="L10" s="40" t="n">
        <v>0</v>
      </c>
      <c r="M10" s="40" t="n">
        <v>0</v>
      </c>
      <c r="N10" s="40" t="n">
        <v>0</v>
      </c>
      <c r="O10" s="40" t="n">
        <v>0</v>
      </c>
      <c r="P10" s="40" t="n">
        <v>0</v>
      </c>
      <c r="Q10" s="40" t="n">
        <v>0</v>
      </c>
      <c r="R10" s="40" t="n">
        <v>0</v>
      </c>
      <c r="S10" s="40" t="n">
        <v>0</v>
      </c>
      <c r="T10" s="40" t="n">
        <v>0</v>
      </c>
      <c r="U10" s="40" t="n">
        <v>0</v>
      </c>
      <c r="V10" s="40" t="n">
        <v>0</v>
      </c>
      <c r="W10" s="41" t="n">
        <v>0</v>
      </c>
      <c r="X10" s="41" t="n">
        <v>0</v>
      </c>
      <c r="Y10" s="41" t="n">
        <v>0</v>
      </c>
      <c r="Z10" s="41" t="n">
        <v>0</v>
      </c>
      <c r="AA10" s="41" t="n">
        <v>0</v>
      </c>
      <c r="AB10" s="41" t="n">
        <v>0</v>
      </c>
      <c r="AC10" s="41" t="n">
        <v>0</v>
      </c>
      <c r="AD10" s="41" t="n">
        <v>0</v>
      </c>
      <c r="AE10" s="41" t="n">
        <v>0</v>
      </c>
      <c r="AF10" s="41" t="n">
        <v>0</v>
      </c>
      <c r="AG10" s="41" t="n">
        <v>0</v>
      </c>
      <c r="AH10" s="41" t="n">
        <v>0</v>
      </c>
      <c r="AI10" s="41" t="n">
        <v>0</v>
      </c>
      <c r="AJ10" s="41" t="n">
        <v>0</v>
      </c>
      <c r="AK10" s="41" t="n">
        <v>0</v>
      </c>
      <c r="AL10" s="41" t="n">
        <v>0</v>
      </c>
      <c r="AM10" s="41" t="n">
        <v>0</v>
      </c>
      <c r="AN10" s="41" t="n">
        <v>0</v>
      </c>
      <c r="AO10" s="41" t="n">
        <v>0</v>
      </c>
      <c r="AP10" s="41" t="n">
        <v>0</v>
      </c>
      <c r="AQ10" s="41" t="n">
        <v>0</v>
      </c>
      <c r="AR10" s="41" t="n">
        <v>0</v>
      </c>
      <c r="AS10" s="41" t="n">
        <v>0</v>
      </c>
      <c r="AT10" s="41" t="n">
        <v>0</v>
      </c>
      <c r="AU10" s="41" t="n">
        <v>0</v>
      </c>
      <c r="AV10" s="41" t="n">
        <v>0</v>
      </c>
      <c r="AW10" s="41" t="n">
        <v>0</v>
      </c>
      <c r="AX10" s="41" t="n">
        <v>0</v>
      </c>
      <c r="AY10" s="41" t="n">
        <v>0</v>
      </c>
    </row>
    <row r="11">
      <c r="B11" s="49" t="inlineStr">
        <is>
          <t xml:space="preserve">  601010 Website Development</t>
        </is>
      </c>
      <c r="D11" s="40" t="n">
        <v>4218.75</v>
      </c>
      <c r="E11" s="40" t="n">
        <v>4375</v>
      </c>
      <c r="F11" s="40" t="n">
        <v>2500</v>
      </c>
      <c r="G11" s="40" t="n">
        <v>2500</v>
      </c>
      <c r="H11" s="40" t="n">
        <v>3143.75</v>
      </c>
      <c r="I11" s="40" t="n">
        <v>2500</v>
      </c>
      <c r="J11" s="40" t="n">
        <v>2500</v>
      </c>
      <c r="K11" s="40" t="n">
        <v>2500</v>
      </c>
      <c r="L11" s="40" t="n">
        <v>2500</v>
      </c>
      <c r="M11" s="40" t="n">
        <v>2500</v>
      </c>
      <c r="N11" s="40" t="n">
        <v>2500</v>
      </c>
      <c r="O11" s="40" t="n">
        <v>2500</v>
      </c>
      <c r="P11" s="40" t="n">
        <v>2500</v>
      </c>
      <c r="Q11" s="40" t="n">
        <v>2500</v>
      </c>
      <c r="R11" s="40" t="n">
        <v>0</v>
      </c>
      <c r="S11" s="40" t="n">
        <v>0</v>
      </c>
      <c r="T11" s="40" t="n">
        <v>0</v>
      </c>
      <c r="U11" s="40" t="n">
        <v>0</v>
      </c>
      <c r="V11" s="40" t="n">
        <v>0</v>
      </c>
      <c r="W11" s="41" t="n">
        <v>1062.1</v>
      </c>
      <c r="X11" s="41" t="n">
        <v>1062.1</v>
      </c>
      <c r="Y11" s="41" t="n">
        <v>1062.1</v>
      </c>
      <c r="Z11" s="41" t="n">
        <v>1062.1</v>
      </c>
      <c r="AA11" s="41" t="n">
        <v>1062.1</v>
      </c>
      <c r="AB11" s="41" t="n">
        <v>1115.2</v>
      </c>
      <c r="AC11" s="41" t="n">
        <v>1115.2</v>
      </c>
      <c r="AD11" s="41" t="n">
        <v>1115.2</v>
      </c>
      <c r="AE11" s="41" t="n">
        <v>1115.2</v>
      </c>
      <c r="AF11" s="41" t="n">
        <v>1115.2</v>
      </c>
      <c r="AG11" s="41" t="n">
        <v>1115.2</v>
      </c>
      <c r="AH11" s="41" t="n">
        <v>1115.2</v>
      </c>
      <c r="AI11" s="41" t="n">
        <v>1115.2</v>
      </c>
      <c r="AJ11" s="41" t="n">
        <v>1115.2</v>
      </c>
      <c r="AK11" s="41" t="n">
        <v>1115.2</v>
      </c>
      <c r="AL11" s="41" t="n">
        <v>1115.2</v>
      </c>
      <c r="AM11" s="41" t="n">
        <v>1115.2</v>
      </c>
      <c r="AN11" s="41" t="n">
        <v>1115.2</v>
      </c>
      <c r="AO11" s="41" t="n">
        <v>1115.2</v>
      </c>
      <c r="AP11" s="41" t="n">
        <v>1115.2</v>
      </c>
      <c r="AQ11" s="41" t="n">
        <v>1115.2</v>
      </c>
      <c r="AR11" s="41" t="n">
        <v>1115.2</v>
      </c>
      <c r="AS11" s="41" t="n">
        <v>1115.2</v>
      </c>
      <c r="AT11" s="41" t="n">
        <v>1115.2</v>
      </c>
      <c r="AU11" s="41" t="n">
        <v>1115.2</v>
      </c>
      <c r="AV11" s="41" t="n">
        <v>1115.2</v>
      </c>
      <c r="AW11" s="41" t="n">
        <v>1115.2</v>
      </c>
      <c r="AX11" s="41" t="n">
        <v>1115.2</v>
      </c>
      <c r="AY11" s="41" t="n">
        <v>1115.2</v>
      </c>
    </row>
    <row r="12">
      <c r="B12" s="50" t="inlineStr">
        <is>
          <t>Total Marketing</t>
        </is>
      </c>
      <c r="C12" s="51" t="n"/>
      <c r="D12" s="52">
        <f>SUM(D7:D11)</f>
        <v/>
      </c>
      <c r="E12" s="52">
        <f>SUM(E7:E11)</f>
        <v/>
      </c>
      <c r="F12" s="52">
        <f>SUM(F7:F11)</f>
        <v/>
      </c>
      <c r="G12" s="52">
        <f>SUM(G7:G11)</f>
        <v/>
      </c>
      <c r="H12" s="52">
        <f>SUM(H7:H11)</f>
        <v/>
      </c>
      <c r="I12" s="52">
        <f>SUM(I7:I11)</f>
        <v/>
      </c>
      <c r="J12" s="52">
        <f>SUM(J7:J11)</f>
        <v/>
      </c>
      <c r="K12" s="52">
        <f>SUM(K7:K11)</f>
        <v/>
      </c>
      <c r="L12" s="52">
        <f>SUM(L7:L11)</f>
        <v/>
      </c>
      <c r="M12" s="52">
        <f>SUM(M7:M11)</f>
        <v/>
      </c>
      <c r="N12" s="52">
        <f>SUM(N7:N11)</f>
        <v/>
      </c>
      <c r="O12" s="52">
        <f>SUM(O7:O11)</f>
        <v/>
      </c>
      <c r="P12" s="52">
        <f>P7+P8+P9+P10+P11</f>
        <v/>
      </c>
      <c r="Q12" s="52">
        <f>Q7+Q8+Q9+Q10+Q11</f>
        <v/>
      </c>
      <c r="R12" s="52">
        <f>R7+R8+R9+R10+R11</f>
        <v/>
      </c>
      <c r="S12" s="52">
        <f>S7+S8+S9+S10+S11</f>
        <v/>
      </c>
      <c r="T12" s="52">
        <f>T7+T8+T9+T10+T11</f>
        <v/>
      </c>
      <c r="U12" s="52">
        <f>U7+U8+U9+U10+U11</f>
        <v/>
      </c>
      <c r="V12" s="52">
        <f>V7+V8+V9+V10+V11</f>
        <v/>
      </c>
      <c r="W12" s="53">
        <f>W7+W8+W9+W10+W11</f>
        <v/>
      </c>
      <c r="X12" s="53">
        <f>X7+X8+X9+X10+X11</f>
        <v/>
      </c>
      <c r="Y12" s="53">
        <f>Y7+Y8+Y9+Y10+Y11</f>
        <v/>
      </c>
      <c r="Z12" s="53">
        <f>Z7+Z8+Z9+Z10+Z11</f>
        <v/>
      </c>
      <c r="AA12" s="53">
        <f>AA7+AA8+AA9+AA10+AA11</f>
        <v/>
      </c>
      <c r="AB12" s="53">
        <f>AB7+AB8+AB9+AB10+AB11</f>
        <v/>
      </c>
      <c r="AC12" s="53">
        <f>AC7+AC8+AC9+AC10+AC11</f>
        <v/>
      </c>
      <c r="AD12" s="53">
        <f>AD7+AD8+AD9+AD10+AD11</f>
        <v/>
      </c>
      <c r="AE12" s="53">
        <f>AE7+AE8+AE9+AE10+AE11</f>
        <v/>
      </c>
      <c r="AF12" s="53">
        <f>AF7+AF8+AF9+AF10+AF11</f>
        <v/>
      </c>
      <c r="AG12" s="53">
        <f>AG7+AG8+AG9+AG10+AG11</f>
        <v/>
      </c>
      <c r="AH12" s="53">
        <f>AH7+AH8+AH9+AH10+AH11</f>
        <v/>
      </c>
      <c r="AI12" s="53">
        <f>AI7+AI8+AI9+AI10+AI11</f>
        <v/>
      </c>
      <c r="AJ12" s="53">
        <f>AJ7+AJ8+AJ9+AJ10+AJ11</f>
        <v/>
      </c>
      <c r="AK12" s="53">
        <f>AK7+AK8+AK9+AK10+AK11</f>
        <v/>
      </c>
      <c r="AL12" s="53">
        <f>AL7+AL8+AL9+AL10+AL11</f>
        <v/>
      </c>
      <c r="AM12" s="53">
        <f>AM7+AM8+AM9+AM10+AM11</f>
        <v/>
      </c>
      <c r="AN12" s="53">
        <f>AN7+AN8+AN9+AN10+AN11</f>
        <v/>
      </c>
      <c r="AO12" s="53">
        <f>AO7+AO8+AO9+AO10+AO11</f>
        <v/>
      </c>
      <c r="AP12" s="53">
        <f>AP7+AP8+AP9+AP10+AP11</f>
        <v/>
      </c>
      <c r="AQ12" s="53">
        <f>AQ7+AQ8+AQ9+AQ10+AQ11</f>
        <v/>
      </c>
      <c r="AR12" s="53">
        <f>AR7+AR8+AR9+AR10+AR11</f>
        <v/>
      </c>
      <c r="AS12" s="53">
        <f>AS7+AS8+AS9+AS10+AS11</f>
        <v/>
      </c>
      <c r="AT12" s="53">
        <f>AT7+AT8+AT9+AT10+AT11</f>
        <v/>
      </c>
      <c r="AU12" s="53">
        <f>AU7+AU8+AU9+AU10+AU11</f>
        <v/>
      </c>
      <c r="AV12" s="53">
        <f>AV7+AV8+AV9+AV10+AV11</f>
        <v/>
      </c>
      <c r="AW12" s="53">
        <f>AW7+AW8+AW9+AW10+AW11</f>
        <v/>
      </c>
      <c r="AX12" s="53">
        <f>AX7+AX8+AX9+AX10+AX11</f>
        <v/>
      </c>
      <c r="AY12" s="53">
        <f>AY7+AY8+AY9+AY10+AY11</f>
        <v/>
      </c>
    </row>
    <row r="13">
      <c r="B13" s="49" t="inlineStr">
        <is>
          <t>602001 Wages (incl 1099 &amp; Bonus)</t>
        </is>
      </c>
      <c r="D13" s="40" t="n">
        <v>57497.75</v>
      </c>
      <c r="E13" s="40" t="n">
        <v>54560.1</v>
      </c>
      <c r="F13" s="40" t="n">
        <v>53914.03</v>
      </c>
      <c r="G13" s="40" t="n">
        <v>56534.48</v>
      </c>
      <c r="H13" s="40" t="n">
        <v>75815.60000000001</v>
      </c>
      <c r="I13" s="40" t="n">
        <v>82296.64999999999</v>
      </c>
      <c r="J13" s="40" t="n">
        <v>83422.8</v>
      </c>
      <c r="K13" s="40" t="n">
        <v>84626.05</v>
      </c>
      <c r="L13" s="40" t="n">
        <v>88044.17999999999</v>
      </c>
      <c r="M13" s="40" t="n">
        <v>87522.83</v>
      </c>
      <c r="N13" s="40" t="n">
        <v>88585.28999999999</v>
      </c>
      <c r="O13" s="40" t="n">
        <v>103922.36</v>
      </c>
      <c r="P13" s="40" t="n">
        <v>104383.39</v>
      </c>
      <c r="Q13" s="40" t="n">
        <v>100043.77</v>
      </c>
      <c r="R13" s="40" t="n">
        <v>118026.97</v>
      </c>
      <c r="S13" s="40" t="n">
        <v>95811.32000000001</v>
      </c>
      <c r="T13" s="40" t="n">
        <v>111488.27</v>
      </c>
      <c r="U13" s="40" t="n">
        <v>87093.60000000001</v>
      </c>
      <c r="V13" s="40" t="n">
        <v>84036.78</v>
      </c>
      <c r="W13" s="41" t="n">
        <v>107196.71</v>
      </c>
      <c r="X13" s="41" t="n">
        <v>107196.71</v>
      </c>
      <c r="Y13" s="41" t="n">
        <v>107196.71</v>
      </c>
      <c r="Z13" s="41" t="n">
        <v>107196.71</v>
      </c>
      <c r="AA13" s="41" t="n">
        <v>107196.71</v>
      </c>
      <c r="AB13" s="41" t="n">
        <v>112556.54</v>
      </c>
      <c r="AC13" s="41" t="n">
        <v>112556.54</v>
      </c>
      <c r="AD13" s="41" t="n">
        <v>112556.54</v>
      </c>
      <c r="AE13" s="41" t="n">
        <v>112556.54</v>
      </c>
      <c r="AF13" s="41" t="n">
        <v>112556.54</v>
      </c>
      <c r="AG13" s="41" t="n">
        <v>112556.54</v>
      </c>
      <c r="AH13" s="41" t="n">
        <v>112556.54</v>
      </c>
      <c r="AI13" s="41" t="n">
        <v>112556.54</v>
      </c>
      <c r="AJ13" s="41" t="n">
        <v>112556.54</v>
      </c>
      <c r="AK13" s="41" t="n">
        <v>112556.54</v>
      </c>
      <c r="AL13" s="41" t="n">
        <v>112556.54</v>
      </c>
      <c r="AM13" s="41" t="n">
        <v>112556.54</v>
      </c>
      <c r="AN13" s="41" t="n">
        <v>112556.54</v>
      </c>
      <c r="AO13" s="41" t="n">
        <v>112556.54</v>
      </c>
      <c r="AP13" s="41" t="n">
        <v>112556.54</v>
      </c>
      <c r="AQ13" s="41" t="n">
        <v>112556.54</v>
      </c>
      <c r="AR13" s="41" t="n">
        <v>112556.54</v>
      </c>
      <c r="AS13" s="41" t="n">
        <v>112556.54</v>
      </c>
      <c r="AT13" s="41" t="n">
        <v>112556.54</v>
      </c>
      <c r="AU13" s="41" t="n">
        <v>112556.54</v>
      </c>
      <c r="AV13" s="41" t="n">
        <v>112556.54</v>
      </c>
      <c r="AW13" s="41" t="n">
        <v>112556.54</v>
      </c>
      <c r="AX13" s="41" t="n">
        <v>112556.54</v>
      </c>
      <c r="AY13" s="41" t="n">
        <v>112556.54</v>
      </c>
    </row>
    <row r="14">
      <c r="B14" s="49" t="inlineStr">
        <is>
          <t xml:space="preserve">  602004 Payroll Taxes</t>
        </is>
      </c>
      <c r="D14" s="40" t="n">
        <v>4557.48</v>
      </c>
      <c r="E14" s="40" t="n">
        <v>3823.52</v>
      </c>
      <c r="F14" s="40" t="n">
        <v>3987.9</v>
      </c>
      <c r="G14" s="40" t="n">
        <v>3454.02</v>
      </c>
      <c r="H14" s="40" t="n">
        <v>5002.82</v>
      </c>
      <c r="I14" s="40" t="n">
        <v>5522.13</v>
      </c>
      <c r="J14" s="40" t="n">
        <v>5773.53</v>
      </c>
      <c r="K14" s="40" t="n">
        <v>6141.48</v>
      </c>
      <c r="L14" s="40" t="n">
        <v>6340.75</v>
      </c>
      <c r="M14" s="40" t="n">
        <v>5695.16</v>
      </c>
      <c r="N14" s="40" t="n">
        <v>4643.07</v>
      </c>
      <c r="O14" s="40" t="n">
        <v>12840.78</v>
      </c>
      <c r="P14" s="40" t="n">
        <v>10904.51</v>
      </c>
      <c r="Q14" s="40" t="n">
        <v>7827.04</v>
      </c>
      <c r="R14" s="40" t="n">
        <v>9030.51</v>
      </c>
      <c r="S14" s="40" t="n">
        <v>7329.78</v>
      </c>
      <c r="T14" s="40" t="n">
        <v>8529.219999999999</v>
      </c>
      <c r="U14" s="40" t="n">
        <v>6662.97</v>
      </c>
      <c r="V14" s="40" t="n">
        <v>6422.56</v>
      </c>
      <c r="W14" s="41" t="n">
        <v>8993.639999999999</v>
      </c>
      <c r="X14" s="41" t="n">
        <v>8993.639999999999</v>
      </c>
      <c r="Y14" s="41" t="n">
        <v>8993.639999999999</v>
      </c>
      <c r="Z14" s="41" t="n">
        <v>8993.639999999999</v>
      </c>
      <c r="AA14" s="41" t="n">
        <v>8993.639999999999</v>
      </c>
      <c r="AB14" s="41" t="n">
        <v>9443.32</v>
      </c>
      <c r="AC14" s="41" t="n">
        <v>9443.32</v>
      </c>
      <c r="AD14" s="41" t="n">
        <v>9443.32</v>
      </c>
      <c r="AE14" s="41" t="n">
        <v>9443.32</v>
      </c>
      <c r="AF14" s="41" t="n">
        <v>9443.32</v>
      </c>
      <c r="AG14" s="41" t="n">
        <v>9443.32</v>
      </c>
      <c r="AH14" s="41" t="n">
        <v>9443.32</v>
      </c>
      <c r="AI14" s="41" t="n">
        <v>9443.32</v>
      </c>
      <c r="AJ14" s="41" t="n">
        <v>9443.32</v>
      </c>
      <c r="AK14" s="41" t="n">
        <v>9443.32</v>
      </c>
      <c r="AL14" s="41" t="n">
        <v>9443.32</v>
      </c>
      <c r="AM14" s="41" t="n">
        <v>9443.32</v>
      </c>
      <c r="AN14" s="41" t="n">
        <v>9443.32</v>
      </c>
      <c r="AO14" s="41" t="n">
        <v>9443.32</v>
      </c>
      <c r="AP14" s="41" t="n">
        <v>9443.32</v>
      </c>
      <c r="AQ14" s="41" t="n">
        <v>9443.32</v>
      </c>
      <c r="AR14" s="41" t="n">
        <v>9443.32</v>
      </c>
      <c r="AS14" s="41" t="n">
        <v>9443.32</v>
      </c>
      <c r="AT14" s="41" t="n">
        <v>9443.32</v>
      </c>
      <c r="AU14" s="41" t="n">
        <v>9443.32</v>
      </c>
      <c r="AV14" s="41" t="n">
        <v>9443.32</v>
      </c>
      <c r="AW14" s="41" t="n">
        <v>9443.32</v>
      </c>
      <c r="AX14" s="41" t="n">
        <v>9443.32</v>
      </c>
      <c r="AY14" s="41" t="n">
        <v>9443.32</v>
      </c>
    </row>
    <row r="15">
      <c r="B15" s="49" t="inlineStr">
        <is>
          <t>602005 Employee Benefits (incl Workers Comp)</t>
        </is>
      </c>
      <c r="D15" s="40" t="n">
        <v>384.15</v>
      </c>
      <c r="E15" s="40" t="n">
        <v>-90.41</v>
      </c>
      <c r="F15" s="40" t="n">
        <v>-605.76</v>
      </c>
      <c r="G15" s="40" t="n">
        <v>-1378.64</v>
      </c>
      <c r="H15" s="40" t="n">
        <v>-1297.44</v>
      </c>
      <c r="I15" s="40" t="n">
        <v>-91.2</v>
      </c>
      <c r="J15" s="40" t="n">
        <v>-906.38</v>
      </c>
      <c r="K15" s="40" t="n">
        <v>3604.33</v>
      </c>
      <c r="L15" s="40" t="n">
        <v>1141.24</v>
      </c>
      <c r="M15" s="40" t="n">
        <v>1311.24</v>
      </c>
      <c r="N15" s="40" t="n">
        <v>3165.44</v>
      </c>
      <c r="O15" s="40" t="n">
        <v>1803.48</v>
      </c>
      <c r="P15" s="40" t="n">
        <v>2720.62</v>
      </c>
      <c r="Q15" s="40" t="n">
        <v>5010.06</v>
      </c>
      <c r="R15" s="40" t="n">
        <v>3538.58</v>
      </c>
      <c r="S15" s="40" t="n">
        <v>3912.25</v>
      </c>
      <c r="T15" s="40" t="n">
        <v>3848.5</v>
      </c>
      <c r="U15" s="40" t="n">
        <v>4641.3</v>
      </c>
      <c r="V15" s="40" t="n">
        <v>2056.76</v>
      </c>
      <c r="W15" s="41" t="n">
        <v>2600.32</v>
      </c>
      <c r="X15" s="41" t="n">
        <v>2600.32</v>
      </c>
      <c r="Y15" s="41" t="n">
        <v>2600.32</v>
      </c>
      <c r="Z15" s="41" t="n">
        <v>2600.32</v>
      </c>
      <c r="AA15" s="41" t="n">
        <v>2600.32</v>
      </c>
      <c r="AB15" s="41" t="n">
        <v>2730.34</v>
      </c>
      <c r="AC15" s="41" t="n">
        <v>2730.34</v>
      </c>
      <c r="AD15" s="41" t="n">
        <v>2730.34</v>
      </c>
      <c r="AE15" s="41" t="n">
        <v>2730.34</v>
      </c>
      <c r="AF15" s="41" t="n">
        <v>2730.34</v>
      </c>
      <c r="AG15" s="41" t="n">
        <v>2730.34</v>
      </c>
      <c r="AH15" s="41" t="n">
        <v>2730.34</v>
      </c>
      <c r="AI15" s="41" t="n">
        <v>2730.34</v>
      </c>
      <c r="AJ15" s="41" t="n">
        <v>2730.34</v>
      </c>
      <c r="AK15" s="41" t="n">
        <v>2730.34</v>
      </c>
      <c r="AL15" s="41" t="n">
        <v>2730.34</v>
      </c>
      <c r="AM15" s="41" t="n">
        <v>2730.34</v>
      </c>
      <c r="AN15" s="41" t="n">
        <v>2730.34</v>
      </c>
      <c r="AO15" s="41" t="n">
        <v>2730.34</v>
      </c>
      <c r="AP15" s="41" t="n">
        <v>2730.34</v>
      </c>
      <c r="AQ15" s="41" t="n">
        <v>2730.34</v>
      </c>
      <c r="AR15" s="41" t="n">
        <v>2730.34</v>
      </c>
      <c r="AS15" s="41" t="n">
        <v>2730.34</v>
      </c>
      <c r="AT15" s="41" t="n">
        <v>2730.34</v>
      </c>
      <c r="AU15" s="41" t="n">
        <v>2730.34</v>
      </c>
      <c r="AV15" s="41" t="n">
        <v>2730.34</v>
      </c>
      <c r="AW15" s="41" t="n">
        <v>2730.34</v>
      </c>
      <c r="AX15" s="41" t="n">
        <v>2730.34</v>
      </c>
      <c r="AY15" s="41" t="n">
        <v>2730.34</v>
      </c>
    </row>
    <row r="16">
      <c r="B16" s="49" t="inlineStr">
        <is>
          <t xml:space="preserve">  602010 Payroll Processing Fees</t>
        </is>
      </c>
      <c r="D16" s="40" t="n">
        <v>209.52</v>
      </c>
      <c r="E16" s="40" t="n">
        <v>187.92</v>
      </c>
      <c r="F16" s="40" t="n">
        <v>1734.88</v>
      </c>
      <c r="G16" s="40" t="n">
        <v>1522.77</v>
      </c>
      <c r="H16" s="40" t="n">
        <v>215.28</v>
      </c>
      <c r="I16" s="40" t="n">
        <v>1685.49</v>
      </c>
      <c r="J16" s="40" t="n">
        <v>1611.01</v>
      </c>
      <c r="K16" s="40" t="n">
        <v>1769.85</v>
      </c>
      <c r="L16" s="40" t="n">
        <v>1793.54</v>
      </c>
      <c r="M16" s="40" t="n">
        <v>3489.71</v>
      </c>
      <c r="N16" s="40" t="n">
        <v>758.72</v>
      </c>
      <c r="O16" s="40" t="n">
        <v>882.0599999999999</v>
      </c>
      <c r="P16" s="40" t="n">
        <v>5405.52</v>
      </c>
      <c r="Q16" s="40" t="n">
        <v>5602.34</v>
      </c>
      <c r="R16" s="40" t="n">
        <v>8598.57</v>
      </c>
      <c r="S16" s="40" t="n">
        <v>5436.59</v>
      </c>
      <c r="T16" s="40" t="n">
        <v>5613.63</v>
      </c>
      <c r="U16" s="40" t="n">
        <v>4842.02</v>
      </c>
      <c r="V16" s="40" t="n">
        <v>8320.92</v>
      </c>
      <c r="W16" s="41" t="n">
        <v>8351.969999999999</v>
      </c>
      <c r="X16" s="41" t="n">
        <v>8351.969999999999</v>
      </c>
      <c r="Y16" s="41" t="n">
        <v>8351.969999999999</v>
      </c>
      <c r="Z16" s="41" t="n">
        <v>8351.969999999999</v>
      </c>
      <c r="AA16" s="41" t="n">
        <v>8351.969999999999</v>
      </c>
      <c r="AB16" s="41" t="n">
        <v>8769.57</v>
      </c>
      <c r="AC16" s="41" t="n">
        <v>8769.57</v>
      </c>
      <c r="AD16" s="41" t="n">
        <v>8769.57</v>
      </c>
      <c r="AE16" s="41" t="n">
        <v>8769.57</v>
      </c>
      <c r="AF16" s="41" t="n">
        <v>8769.57</v>
      </c>
      <c r="AG16" s="41" t="n">
        <v>8769.57</v>
      </c>
      <c r="AH16" s="41" t="n">
        <v>8769.57</v>
      </c>
      <c r="AI16" s="41" t="n">
        <v>8769.57</v>
      </c>
      <c r="AJ16" s="41" t="n">
        <v>8769.57</v>
      </c>
      <c r="AK16" s="41" t="n">
        <v>8769.57</v>
      </c>
      <c r="AL16" s="41" t="n">
        <v>8769.57</v>
      </c>
      <c r="AM16" s="41" t="n">
        <v>8769.57</v>
      </c>
      <c r="AN16" s="41" t="n">
        <v>8769.57</v>
      </c>
      <c r="AO16" s="41" t="n">
        <v>8769.57</v>
      </c>
      <c r="AP16" s="41" t="n">
        <v>8769.57</v>
      </c>
      <c r="AQ16" s="41" t="n">
        <v>8769.57</v>
      </c>
      <c r="AR16" s="41" t="n">
        <v>8769.57</v>
      </c>
      <c r="AS16" s="41" t="n">
        <v>8769.57</v>
      </c>
      <c r="AT16" s="41" t="n">
        <v>8769.57</v>
      </c>
      <c r="AU16" s="41" t="n">
        <v>8769.57</v>
      </c>
      <c r="AV16" s="41" t="n">
        <v>8769.57</v>
      </c>
      <c r="AW16" s="41" t="n">
        <v>8769.57</v>
      </c>
      <c r="AX16" s="41" t="n">
        <v>8769.57</v>
      </c>
      <c r="AY16" s="41" t="n">
        <v>8769.57</v>
      </c>
    </row>
    <row r="17">
      <c r="B17" s="50" t="inlineStr">
        <is>
          <t>Total Payroll</t>
        </is>
      </c>
      <c r="C17" s="51" t="n"/>
      <c r="D17" s="52">
        <f>SUM(D13:D16)</f>
        <v/>
      </c>
      <c r="E17" s="52">
        <f>SUM(E13:E16)</f>
        <v/>
      </c>
      <c r="F17" s="52">
        <f>SUM(F13:F16)</f>
        <v/>
      </c>
      <c r="G17" s="52">
        <f>SUM(G13:G16)</f>
        <v/>
      </c>
      <c r="H17" s="52">
        <f>SUM(H13:H16)</f>
        <v/>
      </c>
      <c r="I17" s="52">
        <f>SUM(I13:I16)</f>
        <v/>
      </c>
      <c r="J17" s="52">
        <f>SUM(J13:J16)</f>
        <v/>
      </c>
      <c r="K17" s="52">
        <f>SUM(K13:K16)</f>
        <v/>
      </c>
      <c r="L17" s="52">
        <f>SUM(L13:L16)</f>
        <v/>
      </c>
      <c r="M17" s="52">
        <f>SUM(M13:M16)</f>
        <v/>
      </c>
      <c r="N17" s="52">
        <f>SUM(N13:N16)</f>
        <v/>
      </c>
      <c r="O17" s="52">
        <f>SUM(O13:O16)</f>
        <v/>
      </c>
      <c r="P17" s="52">
        <f>P13+P14+P15+P16</f>
        <v/>
      </c>
      <c r="Q17" s="52">
        <f>Q13+Q14+Q15+Q16</f>
        <v/>
      </c>
      <c r="R17" s="52">
        <f>R13+R14+R15+R16</f>
        <v/>
      </c>
      <c r="S17" s="52">
        <f>S13+S14+S15+S16</f>
        <v/>
      </c>
      <c r="T17" s="52">
        <f>T13+T14+T15+T16</f>
        <v/>
      </c>
      <c r="U17" s="52">
        <f>U13+U14+U15+U16</f>
        <v/>
      </c>
      <c r="V17" s="52">
        <f>V13+V14+V15+V16</f>
        <v/>
      </c>
      <c r="W17" s="53">
        <f>W13+W14+W15+W16</f>
        <v/>
      </c>
      <c r="X17" s="53">
        <f>X13+X14+X15+X16</f>
        <v/>
      </c>
      <c r="Y17" s="53">
        <f>Y13+Y14+Y15+Y16</f>
        <v/>
      </c>
      <c r="Z17" s="53">
        <f>Z13+Z14+Z15+Z16</f>
        <v/>
      </c>
      <c r="AA17" s="53">
        <f>AA13+AA14+AA15+AA16</f>
        <v/>
      </c>
      <c r="AB17" s="53">
        <f>AB13+AB14+AB15+AB16</f>
        <v/>
      </c>
      <c r="AC17" s="53">
        <f>AC13+AC14+AC15+AC16</f>
        <v/>
      </c>
      <c r="AD17" s="53">
        <f>AD13+AD14+AD15+AD16</f>
        <v/>
      </c>
      <c r="AE17" s="53">
        <f>AE13+AE14+AE15+AE16</f>
        <v/>
      </c>
      <c r="AF17" s="53">
        <f>AF13+AF14+AF15+AF16</f>
        <v/>
      </c>
      <c r="AG17" s="53">
        <f>AG13+AG14+AG15+AG16</f>
        <v/>
      </c>
      <c r="AH17" s="53">
        <f>AH13+AH14+AH15+AH16</f>
        <v/>
      </c>
      <c r="AI17" s="53">
        <f>AI13+AI14+AI15+AI16</f>
        <v/>
      </c>
      <c r="AJ17" s="53">
        <f>AJ13+AJ14+AJ15+AJ16</f>
        <v/>
      </c>
      <c r="AK17" s="53">
        <f>AK13+AK14+AK15+AK16</f>
        <v/>
      </c>
      <c r="AL17" s="53">
        <f>AL13+AL14+AL15+AL16</f>
        <v/>
      </c>
      <c r="AM17" s="53">
        <f>AM13+AM14+AM15+AM16</f>
        <v/>
      </c>
      <c r="AN17" s="53">
        <f>AN13+AN14+AN15+AN16</f>
        <v/>
      </c>
      <c r="AO17" s="53">
        <f>AO13+AO14+AO15+AO16</f>
        <v/>
      </c>
      <c r="AP17" s="53">
        <f>AP13+AP14+AP15+AP16</f>
        <v/>
      </c>
      <c r="AQ17" s="53">
        <f>AQ13+AQ14+AQ15+AQ16</f>
        <v/>
      </c>
      <c r="AR17" s="53">
        <f>AR13+AR14+AR15+AR16</f>
        <v/>
      </c>
      <c r="AS17" s="53">
        <f>AS13+AS14+AS15+AS16</f>
        <v/>
      </c>
      <c r="AT17" s="53">
        <f>AT13+AT14+AT15+AT16</f>
        <v/>
      </c>
      <c r="AU17" s="53">
        <f>AU13+AU14+AU15+AU16</f>
        <v/>
      </c>
      <c r="AV17" s="53">
        <f>AV13+AV14+AV15+AV16</f>
        <v/>
      </c>
      <c r="AW17" s="53">
        <f>AW13+AW14+AW15+AW16</f>
        <v/>
      </c>
      <c r="AX17" s="53">
        <f>AX13+AX14+AX15+AX16</f>
        <v/>
      </c>
      <c r="AY17" s="53">
        <f>AY13+AY14+AY15+AY16</f>
        <v/>
      </c>
    </row>
    <row r="18">
      <c r="B18" s="49" t="inlineStr">
        <is>
          <t xml:space="preserve">  603000 Software &amp; Web Services</t>
        </is>
      </c>
      <c r="D18" s="40" t="n">
        <v>6798.1</v>
      </c>
      <c r="E18" s="40" t="n">
        <v>1494.34</v>
      </c>
      <c r="F18" s="40" t="n">
        <v>3285.23</v>
      </c>
      <c r="G18" s="40" t="n">
        <v>3326.92</v>
      </c>
      <c r="H18" s="40" t="n">
        <v>-292.94</v>
      </c>
      <c r="I18" s="40" t="n">
        <v>4017.87</v>
      </c>
      <c r="J18" s="40" t="n">
        <v>1418.36</v>
      </c>
      <c r="K18" s="40" t="n">
        <v>1759.49</v>
      </c>
      <c r="L18" s="40" t="n">
        <v>3577.78</v>
      </c>
      <c r="M18" s="40" t="n">
        <v>2899.03</v>
      </c>
      <c r="N18" s="40" t="n">
        <v>1231.38</v>
      </c>
      <c r="O18" s="40" t="n">
        <v>3764.77</v>
      </c>
      <c r="P18" s="40" t="n">
        <v>1377.91</v>
      </c>
      <c r="Q18" s="40" t="n">
        <v>-3322.6</v>
      </c>
      <c r="R18" s="40" t="n">
        <v>776.21</v>
      </c>
      <c r="S18" s="40" t="n">
        <v>2173.46</v>
      </c>
      <c r="T18" s="40" t="n">
        <v>1684.6</v>
      </c>
      <c r="U18" s="40" t="n">
        <v>50.99</v>
      </c>
      <c r="V18" s="40" t="n">
        <v>3187.14</v>
      </c>
      <c r="W18" s="41" t="n">
        <v>849.78</v>
      </c>
      <c r="X18" s="41" t="n">
        <v>849.78</v>
      </c>
      <c r="Y18" s="41" t="n">
        <v>849.78</v>
      </c>
      <c r="Z18" s="41" t="n">
        <v>849.78</v>
      </c>
      <c r="AA18" s="41" t="n">
        <v>849.78</v>
      </c>
      <c r="AB18" s="41" t="n">
        <v>892.27</v>
      </c>
      <c r="AC18" s="41" t="n">
        <v>892.27</v>
      </c>
      <c r="AD18" s="41" t="n">
        <v>892.27</v>
      </c>
      <c r="AE18" s="41" t="n">
        <v>892.27</v>
      </c>
      <c r="AF18" s="41" t="n">
        <v>892.27</v>
      </c>
      <c r="AG18" s="41" t="n">
        <v>892.27</v>
      </c>
      <c r="AH18" s="41" t="n">
        <v>892.27</v>
      </c>
      <c r="AI18" s="41" t="n">
        <v>892.27</v>
      </c>
      <c r="AJ18" s="41" t="n">
        <v>892.27</v>
      </c>
      <c r="AK18" s="41" t="n">
        <v>892.27</v>
      </c>
      <c r="AL18" s="41" t="n">
        <v>892.27</v>
      </c>
      <c r="AM18" s="41" t="n">
        <v>892.27</v>
      </c>
      <c r="AN18" s="41" t="n">
        <v>892.27</v>
      </c>
      <c r="AO18" s="41" t="n">
        <v>892.27</v>
      </c>
      <c r="AP18" s="41" t="n">
        <v>892.27</v>
      </c>
      <c r="AQ18" s="41" t="n">
        <v>892.27</v>
      </c>
      <c r="AR18" s="41" t="n">
        <v>892.27</v>
      </c>
      <c r="AS18" s="41" t="n">
        <v>892.27</v>
      </c>
      <c r="AT18" s="41" t="n">
        <v>892.27</v>
      </c>
      <c r="AU18" s="41" t="n">
        <v>892.27</v>
      </c>
      <c r="AV18" s="41" t="n">
        <v>892.27</v>
      </c>
      <c r="AW18" s="41" t="n">
        <v>892.27</v>
      </c>
      <c r="AX18" s="41" t="n">
        <v>892.27</v>
      </c>
      <c r="AY18" s="41" t="n">
        <v>892.27</v>
      </c>
    </row>
    <row r="19">
      <c r="B19" s="49" t="inlineStr">
        <is>
          <t xml:space="preserve">  608000 Insurance</t>
        </is>
      </c>
      <c r="D19" s="40" t="n">
        <v>0</v>
      </c>
      <c r="E19" s="40" t="n">
        <v>483.35</v>
      </c>
      <c r="F19" s="40" t="n">
        <v>0</v>
      </c>
      <c r="G19" s="40" t="n">
        <v>0</v>
      </c>
      <c r="H19" s="40" t="n">
        <v>0</v>
      </c>
      <c r="I19" s="40" t="n">
        <v>0</v>
      </c>
      <c r="J19" s="40" t="n">
        <v>0</v>
      </c>
      <c r="K19" s="40" t="n">
        <v>0</v>
      </c>
      <c r="L19" s="40" t="n">
        <v>0</v>
      </c>
      <c r="M19" s="40" t="n">
        <v>0</v>
      </c>
      <c r="N19" s="40" t="n">
        <v>0</v>
      </c>
      <c r="O19" s="40" t="n">
        <v>0</v>
      </c>
      <c r="P19" s="40" t="n">
        <v>0</v>
      </c>
      <c r="Q19" s="40" t="n">
        <v>0</v>
      </c>
      <c r="R19" s="40" t="n">
        <v>0</v>
      </c>
      <c r="S19" s="40" t="n">
        <v>0</v>
      </c>
      <c r="T19" s="40" t="n">
        <v>0</v>
      </c>
      <c r="U19" s="40" t="n">
        <v>0</v>
      </c>
      <c r="V19" s="40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1" t="n">
        <v>0</v>
      </c>
      <c r="AG19" s="41" t="n">
        <v>0</v>
      </c>
      <c r="AH19" s="41" t="n">
        <v>0</v>
      </c>
      <c r="AI19" s="41" t="n">
        <v>0</v>
      </c>
      <c r="AJ19" s="41" t="n">
        <v>0</v>
      </c>
      <c r="AK19" s="41" t="n">
        <v>0</v>
      </c>
      <c r="AL19" s="41" t="n">
        <v>0</v>
      </c>
      <c r="AM19" s="41" t="n">
        <v>0</v>
      </c>
      <c r="AN19" s="41" t="n">
        <v>0</v>
      </c>
      <c r="AO19" s="41" t="n">
        <v>0</v>
      </c>
      <c r="AP19" s="41" t="n">
        <v>0</v>
      </c>
      <c r="AQ19" s="41" t="n">
        <v>0</v>
      </c>
      <c r="AR19" s="41" t="n">
        <v>0</v>
      </c>
      <c r="AS19" s="41" t="n">
        <v>0</v>
      </c>
      <c r="AT19" s="41" t="n">
        <v>0</v>
      </c>
      <c r="AU19" s="41" t="n">
        <v>0</v>
      </c>
      <c r="AV19" s="41" t="n">
        <v>0</v>
      </c>
      <c r="AW19" s="41" t="n">
        <v>0</v>
      </c>
      <c r="AX19" s="41" t="n">
        <v>0</v>
      </c>
      <c r="AY19" s="41" t="n">
        <v>0</v>
      </c>
    </row>
    <row r="20">
      <c r="B20" s="49" t="inlineStr">
        <is>
          <t>610000 Office Supplies (incl Utilities, Furniture, Shipping)</t>
        </is>
      </c>
      <c r="D20" s="40" t="n">
        <v>9017.34</v>
      </c>
      <c r="E20" s="40" t="n">
        <v>2912.62</v>
      </c>
      <c r="F20" s="40" t="n">
        <v>1461.6</v>
      </c>
      <c r="G20" s="40" t="n">
        <v>121.24</v>
      </c>
      <c r="H20" s="40" t="n">
        <v>1376.29</v>
      </c>
      <c r="I20" s="40" t="n">
        <v>3347.4</v>
      </c>
      <c r="J20" s="40" t="n">
        <v>1756.66</v>
      </c>
      <c r="K20" s="40" t="n">
        <v>552.33</v>
      </c>
      <c r="L20" s="40" t="n">
        <v>1846.3</v>
      </c>
      <c r="M20" s="40" t="n">
        <v>11365.24</v>
      </c>
      <c r="N20" s="40" t="n">
        <v>2987.88</v>
      </c>
      <c r="O20" s="40" t="n">
        <v>7722.94</v>
      </c>
      <c r="P20" s="40" t="n">
        <v>1012.63</v>
      </c>
      <c r="Q20" s="40" t="n">
        <v>-73.89</v>
      </c>
      <c r="R20" s="40" t="n">
        <v>1536.47</v>
      </c>
      <c r="S20" s="40" t="n">
        <v>361.22</v>
      </c>
      <c r="T20" s="40" t="n">
        <v>316.09</v>
      </c>
      <c r="U20" s="40" t="n">
        <v>1230.08</v>
      </c>
      <c r="V20" s="40" t="n">
        <v>146.65</v>
      </c>
      <c r="W20" s="41" t="n">
        <v>1064.89</v>
      </c>
      <c r="X20" s="41" t="n">
        <v>1064.89</v>
      </c>
      <c r="Y20" s="41" t="n">
        <v>1064.89</v>
      </c>
      <c r="Z20" s="41" t="n">
        <v>1064.89</v>
      </c>
      <c r="AA20" s="41" t="n">
        <v>1064.89</v>
      </c>
      <c r="AB20" s="41" t="n">
        <v>1118.14</v>
      </c>
      <c r="AC20" s="41" t="n">
        <v>1118.14</v>
      </c>
      <c r="AD20" s="41" t="n">
        <v>1118.14</v>
      </c>
      <c r="AE20" s="41" t="n">
        <v>1118.14</v>
      </c>
      <c r="AF20" s="41" t="n">
        <v>1118.14</v>
      </c>
      <c r="AG20" s="41" t="n">
        <v>1118.14</v>
      </c>
      <c r="AH20" s="41" t="n">
        <v>1118.14</v>
      </c>
      <c r="AI20" s="41" t="n">
        <v>1118.14</v>
      </c>
      <c r="AJ20" s="41" t="n">
        <v>1118.14</v>
      </c>
      <c r="AK20" s="41" t="n">
        <v>1118.14</v>
      </c>
      <c r="AL20" s="41" t="n">
        <v>1118.14</v>
      </c>
      <c r="AM20" s="41" t="n">
        <v>1118.14</v>
      </c>
      <c r="AN20" s="41" t="n">
        <v>1118.14</v>
      </c>
      <c r="AO20" s="41" t="n">
        <v>1118.14</v>
      </c>
      <c r="AP20" s="41" t="n">
        <v>1118.14</v>
      </c>
      <c r="AQ20" s="41" t="n">
        <v>1118.14</v>
      </c>
      <c r="AR20" s="41" t="n">
        <v>1118.14</v>
      </c>
      <c r="AS20" s="41" t="n">
        <v>1118.14</v>
      </c>
      <c r="AT20" s="41" t="n">
        <v>1118.14</v>
      </c>
      <c r="AU20" s="41" t="n">
        <v>1118.14</v>
      </c>
      <c r="AV20" s="41" t="n">
        <v>1118.14</v>
      </c>
      <c r="AW20" s="41" t="n">
        <v>1118.14</v>
      </c>
      <c r="AX20" s="41" t="n">
        <v>1118.14</v>
      </c>
      <c r="AY20" s="41" t="n">
        <v>1118.14</v>
      </c>
    </row>
    <row r="21">
      <c r="B21" s="49" t="inlineStr">
        <is>
          <t xml:space="preserve">  613000 Bank Fees</t>
        </is>
      </c>
      <c r="D21" s="40" t="n">
        <v>0</v>
      </c>
      <c r="E21" s="40" t="n">
        <v>605.97</v>
      </c>
      <c r="F21" s="40" t="n">
        <v>38.3</v>
      </c>
      <c r="G21" s="40" t="n">
        <v>145.41</v>
      </c>
      <c r="H21" s="40" t="n">
        <v>156.64</v>
      </c>
      <c r="I21" s="40" t="n">
        <v>209.17</v>
      </c>
      <c r="J21" s="40" t="n">
        <v>241.65</v>
      </c>
      <c r="K21" s="40" t="n">
        <v>472.27</v>
      </c>
      <c r="L21" s="40" t="n">
        <v>337.91</v>
      </c>
      <c r="M21" s="40" t="n">
        <v>336.04</v>
      </c>
      <c r="N21" s="40" t="n">
        <v>267.24</v>
      </c>
      <c r="O21" s="40" t="n">
        <v>162.67</v>
      </c>
      <c r="P21" s="40" t="n">
        <v>627.26</v>
      </c>
      <c r="Q21" s="40" t="n">
        <v>642.7</v>
      </c>
      <c r="R21" s="40" t="n">
        <v>313.17</v>
      </c>
      <c r="S21" s="40" t="n">
        <v>321.83</v>
      </c>
      <c r="T21" s="40" t="n">
        <v>315.41</v>
      </c>
      <c r="U21" s="40" t="n">
        <v>413.48</v>
      </c>
      <c r="V21" s="40" t="n">
        <v>431.64</v>
      </c>
      <c r="W21" s="41" t="n">
        <v>378.77</v>
      </c>
      <c r="X21" s="41" t="n">
        <v>378.77</v>
      </c>
      <c r="Y21" s="41" t="n">
        <v>378.77</v>
      </c>
      <c r="Z21" s="41" t="n">
        <v>378.77</v>
      </c>
      <c r="AA21" s="41" t="n">
        <v>378.77</v>
      </c>
      <c r="AB21" s="41" t="n">
        <v>397.71</v>
      </c>
      <c r="AC21" s="41" t="n">
        <v>397.71</v>
      </c>
      <c r="AD21" s="41" t="n">
        <v>397.71</v>
      </c>
      <c r="AE21" s="41" t="n">
        <v>397.71</v>
      </c>
      <c r="AF21" s="41" t="n">
        <v>397.71</v>
      </c>
      <c r="AG21" s="41" t="n">
        <v>397.71</v>
      </c>
      <c r="AH21" s="41" t="n">
        <v>397.71</v>
      </c>
      <c r="AI21" s="41" t="n">
        <v>397.71</v>
      </c>
      <c r="AJ21" s="41" t="n">
        <v>397.71</v>
      </c>
      <c r="AK21" s="41" t="n">
        <v>397.71</v>
      </c>
      <c r="AL21" s="41" t="n">
        <v>397.71</v>
      </c>
      <c r="AM21" s="41" t="n">
        <v>397.71</v>
      </c>
      <c r="AN21" s="41" t="n">
        <v>397.71</v>
      </c>
      <c r="AO21" s="41" t="n">
        <v>397.71</v>
      </c>
      <c r="AP21" s="41" t="n">
        <v>397.71</v>
      </c>
      <c r="AQ21" s="41" t="n">
        <v>397.71</v>
      </c>
      <c r="AR21" s="41" t="n">
        <v>397.71</v>
      </c>
      <c r="AS21" s="41" t="n">
        <v>397.71</v>
      </c>
      <c r="AT21" s="41" t="n">
        <v>397.71</v>
      </c>
      <c r="AU21" s="41" t="n">
        <v>397.71</v>
      </c>
      <c r="AV21" s="41" t="n">
        <v>397.71</v>
      </c>
      <c r="AW21" s="41" t="n">
        <v>397.71</v>
      </c>
      <c r="AX21" s="41" t="n">
        <v>397.71</v>
      </c>
      <c r="AY21" s="41" t="n">
        <v>397.71</v>
      </c>
    </row>
    <row r="22">
      <c r="B22" s="50" t="inlineStr">
        <is>
          <t>Total Software &amp; Admin</t>
        </is>
      </c>
      <c r="C22" s="51" t="n"/>
      <c r="D22" s="52">
        <f>SUM(D18:D21)</f>
        <v/>
      </c>
      <c r="E22" s="52">
        <f>SUM(E18:E21)</f>
        <v/>
      </c>
      <c r="F22" s="52">
        <f>SUM(F18:F21)</f>
        <v/>
      </c>
      <c r="G22" s="52">
        <f>SUM(G18:G21)</f>
        <v/>
      </c>
      <c r="H22" s="52">
        <f>SUM(H18:H21)</f>
        <v/>
      </c>
      <c r="I22" s="52">
        <f>SUM(I18:I21)</f>
        <v/>
      </c>
      <c r="J22" s="52">
        <f>SUM(J18:J21)</f>
        <v/>
      </c>
      <c r="K22" s="52">
        <f>SUM(K18:K21)</f>
        <v/>
      </c>
      <c r="L22" s="52">
        <f>SUM(L18:L21)</f>
        <v/>
      </c>
      <c r="M22" s="52">
        <f>SUM(M18:M21)</f>
        <v/>
      </c>
      <c r="N22" s="52">
        <f>SUM(N18:N21)</f>
        <v/>
      </c>
      <c r="O22" s="52">
        <f>SUM(O18:O21)</f>
        <v/>
      </c>
      <c r="P22" s="52">
        <f>P18+P19+P20+P21</f>
        <v/>
      </c>
      <c r="Q22" s="52">
        <f>Q18+Q19+Q20+Q21</f>
        <v/>
      </c>
      <c r="R22" s="52">
        <f>R18+R19+R20+R21</f>
        <v/>
      </c>
      <c r="S22" s="52">
        <f>S18+S19+S20+S21</f>
        <v/>
      </c>
      <c r="T22" s="52">
        <f>T18+T19+T20+T21</f>
        <v/>
      </c>
      <c r="U22" s="52">
        <f>U18+U19+U20+U21</f>
        <v/>
      </c>
      <c r="V22" s="52">
        <f>V18+V19+V20+V21</f>
        <v/>
      </c>
      <c r="W22" s="53">
        <f>W18+W19+W20+W21</f>
        <v/>
      </c>
      <c r="X22" s="53">
        <f>X18+X19+X20+X21</f>
        <v/>
      </c>
      <c r="Y22" s="53">
        <f>Y18+Y19+Y20+Y21</f>
        <v/>
      </c>
      <c r="Z22" s="53">
        <f>Z18+Z19+Z20+Z21</f>
        <v/>
      </c>
      <c r="AA22" s="53">
        <f>AA18+AA19+AA20+AA21</f>
        <v/>
      </c>
      <c r="AB22" s="53">
        <f>AB18+AB19+AB20+AB21</f>
        <v/>
      </c>
      <c r="AC22" s="53">
        <f>AC18+AC19+AC20+AC21</f>
        <v/>
      </c>
      <c r="AD22" s="53">
        <f>AD18+AD19+AD20+AD21</f>
        <v/>
      </c>
      <c r="AE22" s="53">
        <f>AE18+AE19+AE20+AE21</f>
        <v/>
      </c>
      <c r="AF22" s="53">
        <f>AF18+AF19+AF20+AF21</f>
        <v/>
      </c>
      <c r="AG22" s="53">
        <f>AG18+AG19+AG20+AG21</f>
        <v/>
      </c>
      <c r="AH22" s="53">
        <f>AH18+AH19+AH20+AH21</f>
        <v/>
      </c>
      <c r="AI22" s="53">
        <f>AI18+AI19+AI20+AI21</f>
        <v/>
      </c>
      <c r="AJ22" s="53">
        <f>AJ18+AJ19+AJ20+AJ21</f>
        <v/>
      </c>
      <c r="AK22" s="53">
        <f>AK18+AK19+AK20+AK21</f>
        <v/>
      </c>
      <c r="AL22" s="53">
        <f>AL18+AL19+AL20+AL21</f>
        <v/>
      </c>
      <c r="AM22" s="53">
        <f>AM18+AM19+AM20+AM21</f>
        <v/>
      </c>
      <c r="AN22" s="53">
        <f>AN18+AN19+AN20+AN21</f>
        <v/>
      </c>
      <c r="AO22" s="53">
        <f>AO18+AO19+AO20+AO21</f>
        <v/>
      </c>
      <c r="AP22" s="53">
        <f>AP18+AP19+AP20+AP21</f>
        <v/>
      </c>
      <c r="AQ22" s="53">
        <f>AQ18+AQ19+AQ20+AQ21</f>
        <v/>
      </c>
      <c r="AR22" s="53">
        <f>AR18+AR19+AR20+AR21</f>
        <v/>
      </c>
      <c r="AS22" s="53">
        <f>AS18+AS19+AS20+AS21</f>
        <v/>
      </c>
      <c r="AT22" s="53">
        <f>AT18+AT19+AT20+AT21</f>
        <v/>
      </c>
      <c r="AU22" s="53">
        <f>AU18+AU19+AU20+AU21</f>
        <v/>
      </c>
      <c r="AV22" s="53">
        <f>AV18+AV19+AV20+AV21</f>
        <v/>
      </c>
      <c r="AW22" s="53">
        <f>AW18+AW19+AW20+AW21</f>
        <v/>
      </c>
      <c r="AX22" s="53">
        <f>AX18+AX19+AX20+AX21</f>
        <v/>
      </c>
      <c r="AY22" s="53">
        <f>AY18+AY19+AY20+AY21</f>
        <v/>
      </c>
    </row>
    <row r="23">
      <c r="B23" s="49" t="inlineStr">
        <is>
          <t xml:space="preserve">  604100 Legal Fees</t>
        </is>
      </c>
      <c r="D23" s="40" t="n">
        <v>0</v>
      </c>
      <c r="E23" s="40" t="n">
        <v>0</v>
      </c>
      <c r="F23" s="40" t="n">
        <v>0</v>
      </c>
      <c r="G23" s="40" t="n">
        <v>0</v>
      </c>
      <c r="H23" s="40" t="n">
        <v>0</v>
      </c>
      <c r="I23" s="40" t="n">
        <v>0</v>
      </c>
      <c r="J23" s="40" t="n">
        <v>0</v>
      </c>
      <c r="K23" s="40" t="n">
        <v>0</v>
      </c>
      <c r="L23" s="40" t="n">
        <v>0</v>
      </c>
      <c r="M23" s="40" t="n">
        <v>2540</v>
      </c>
      <c r="N23" s="40" t="n">
        <v>0</v>
      </c>
      <c r="O23" s="40" t="n">
        <v>2359.5</v>
      </c>
      <c r="P23" s="40" t="n">
        <v>1142.5</v>
      </c>
      <c r="Q23" s="40" t="n">
        <v>0</v>
      </c>
      <c r="R23" s="40" t="n">
        <v>3995.5</v>
      </c>
      <c r="S23" s="40" t="n">
        <v>0</v>
      </c>
      <c r="T23" s="40" t="n">
        <v>0</v>
      </c>
      <c r="U23" s="40" t="n">
        <v>770.5</v>
      </c>
      <c r="V23" s="40" t="n">
        <v>2210</v>
      </c>
      <c r="W23" s="41" t="n">
        <v>1205.96</v>
      </c>
      <c r="X23" s="41" t="n">
        <v>1205.96</v>
      </c>
      <c r="Y23" s="41" t="n">
        <v>1205.96</v>
      </c>
      <c r="Z23" s="41" t="n">
        <v>1205.96</v>
      </c>
      <c r="AA23" s="41" t="n">
        <v>1205.96</v>
      </c>
      <c r="AB23" s="41" t="n">
        <v>1429.14</v>
      </c>
      <c r="AC23" s="41" t="n">
        <v>1429.14</v>
      </c>
      <c r="AD23" s="41" t="n">
        <v>1429.14</v>
      </c>
      <c r="AE23" s="41" t="n">
        <v>1429.14</v>
      </c>
      <c r="AF23" s="41" t="n">
        <v>1429.14</v>
      </c>
      <c r="AG23" s="41" t="n">
        <v>1429.14</v>
      </c>
      <c r="AH23" s="41" t="n">
        <v>1429.14</v>
      </c>
      <c r="AI23" s="41" t="n">
        <v>1429.14</v>
      </c>
      <c r="AJ23" s="41" t="n">
        <v>1429.14</v>
      </c>
      <c r="AK23" s="41" t="n">
        <v>1429.14</v>
      </c>
      <c r="AL23" s="41" t="n">
        <v>1429.14</v>
      </c>
      <c r="AM23" s="41" t="n">
        <v>1429.14</v>
      </c>
      <c r="AN23" s="41" t="n">
        <v>1429.14</v>
      </c>
      <c r="AO23" s="41" t="n">
        <v>1429.14</v>
      </c>
      <c r="AP23" s="41" t="n">
        <v>1429.14</v>
      </c>
      <c r="AQ23" s="41" t="n">
        <v>1429.14</v>
      </c>
      <c r="AR23" s="41" t="n">
        <v>1429.14</v>
      </c>
      <c r="AS23" s="41" t="n">
        <v>1429.14</v>
      </c>
      <c r="AT23" s="41" t="n">
        <v>1429.14</v>
      </c>
      <c r="AU23" s="41" t="n">
        <v>1429.14</v>
      </c>
      <c r="AV23" s="41" t="n">
        <v>1429.14</v>
      </c>
      <c r="AW23" s="41" t="n">
        <v>1429.14</v>
      </c>
      <c r="AX23" s="41" t="n">
        <v>1429.14</v>
      </c>
      <c r="AY23" s="41" t="n">
        <v>1429.14</v>
      </c>
    </row>
    <row r="24">
      <c r="B24" s="49" t="inlineStr">
        <is>
          <t xml:space="preserve">  604200 Accounting</t>
        </is>
      </c>
      <c r="D24" s="40" t="n">
        <v>3000</v>
      </c>
      <c r="E24" s="40" t="n">
        <v>0</v>
      </c>
      <c r="F24" s="40" t="n">
        <v>0</v>
      </c>
      <c r="G24" s="40" t="n">
        <v>0</v>
      </c>
      <c r="H24" s="40" t="n">
        <v>0</v>
      </c>
      <c r="I24" s="40" t="n">
        <v>760</v>
      </c>
      <c r="J24" s="40" t="n">
        <v>0</v>
      </c>
      <c r="K24" s="40" t="n">
        <v>1700</v>
      </c>
      <c r="L24" s="40" t="n">
        <v>11470.95</v>
      </c>
      <c r="M24" s="40" t="n">
        <v>46756</v>
      </c>
      <c r="N24" s="40" t="n">
        <v>29843.1</v>
      </c>
      <c r="O24" s="40" t="n">
        <v>35183.5</v>
      </c>
      <c r="P24" s="40" t="n">
        <v>26943.5</v>
      </c>
      <c r="Q24" s="40" t="n">
        <v>11648.28</v>
      </c>
      <c r="R24" s="40" t="n">
        <v>7356</v>
      </c>
      <c r="S24" s="40" t="n">
        <v>11836</v>
      </c>
      <c r="T24" s="40" t="n">
        <v>12311</v>
      </c>
      <c r="U24" s="40" t="n">
        <v>11148.28</v>
      </c>
      <c r="V24" s="40" t="n">
        <v>11454.75</v>
      </c>
      <c r="W24" s="41" t="n">
        <v>13562.61</v>
      </c>
      <c r="X24" s="41" t="n">
        <v>13562.61</v>
      </c>
      <c r="Y24" s="41" t="n">
        <v>13562.61</v>
      </c>
      <c r="Z24" s="41" t="n">
        <v>13562.61</v>
      </c>
      <c r="AA24" s="41" t="n">
        <v>13562.61</v>
      </c>
      <c r="AB24" s="41" t="n">
        <v>16072.61</v>
      </c>
      <c r="AC24" s="41" t="n">
        <v>16072.61</v>
      </c>
      <c r="AD24" s="41" t="n">
        <v>16072.61</v>
      </c>
      <c r="AE24" s="41" t="n">
        <v>16072.61</v>
      </c>
      <c r="AF24" s="41" t="n">
        <v>16072.61</v>
      </c>
      <c r="AG24" s="41" t="n">
        <v>16072.61</v>
      </c>
      <c r="AH24" s="41" t="n">
        <v>16072.61</v>
      </c>
      <c r="AI24" s="41" t="n">
        <v>16072.61</v>
      </c>
      <c r="AJ24" s="41" t="n">
        <v>16072.61</v>
      </c>
      <c r="AK24" s="41" t="n">
        <v>16072.61</v>
      </c>
      <c r="AL24" s="41" t="n">
        <v>16072.61</v>
      </c>
      <c r="AM24" s="41" t="n">
        <v>16072.61</v>
      </c>
      <c r="AN24" s="41" t="n">
        <v>16072.61</v>
      </c>
      <c r="AO24" s="41" t="n">
        <v>16072.61</v>
      </c>
      <c r="AP24" s="41" t="n">
        <v>16072.61</v>
      </c>
      <c r="AQ24" s="41" t="n">
        <v>16072.61</v>
      </c>
      <c r="AR24" s="41" t="n">
        <v>16072.61</v>
      </c>
      <c r="AS24" s="41" t="n">
        <v>16072.61</v>
      </c>
      <c r="AT24" s="41" t="n">
        <v>16072.61</v>
      </c>
      <c r="AU24" s="41" t="n">
        <v>16072.61</v>
      </c>
      <c r="AV24" s="41" t="n">
        <v>16072.61</v>
      </c>
      <c r="AW24" s="41" t="n">
        <v>16072.61</v>
      </c>
      <c r="AX24" s="41" t="n">
        <v>16072.61</v>
      </c>
      <c r="AY24" s="41" t="n">
        <v>16072.61</v>
      </c>
    </row>
    <row r="25">
      <c r="B25" s="49" t="inlineStr">
        <is>
          <t xml:space="preserve">  604300 Recruiting</t>
        </is>
      </c>
      <c r="D25" s="40" t="n">
        <v>0</v>
      </c>
      <c r="E25" s="40" t="n">
        <v>868.67</v>
      </c>
      <c r="F25" s="40" t="n">
        <v>2092.62</v>
      </c>
      <c r="G25" s="40" t="n">
        <v>678.14</v>
      </c>
      <c r="H25" s="40" t="n">
        <v>2640.46</v>
      </c>
      <c r="I25" s="40" t="n">
        <v>3147.1</v>
      </c>
      <c r="J25" s="40" t="n">
        <v>2516.42</v>
      </c>
      <c r="K25" s="40" t="n">
        <v>3708.19</v>
      </c>
      <c r="L25" s="40" t="n">
        <v>2281.03</v>
      </c>
      <c r="M25" s="40" t="n">
        <v>2641.54</v>
      </c>
      <c r="N25" s="40" t="n">
        <v>2685.63</v>
      </c>
      <c r="O25" s="40" t="n">
        <v>2859.99</v>
      </c>
      <c r="P25" s="40" t="n">
        <v>2409.4</v>
      </c>
      <c r="Q25" s="40" t="n">
        <v>270.88</v>
      </c>
      <c r="R25" s="40" t="n">
        <v>223.34</v>
      </c>
      <c r="S25" s="40" t="n">
        <v>0</v>
      </c>
      <c r="T25" s="40" t="n">
        <v>0</v>
      </c>
      <c r="U25" s="40" t="n">
        <v>0</v>
      </c>
      <c r="V25" s="40" t="n">
        <v>0</v>
      </c>
      <c r="W25" s="41" t="n">
        <v>681.52</v>
      </c>
      <c r="X25" s="41" t="n">
        <v>681.52</v>
      </c>
      <c r="Y25" s="41" t="n">
        <v>681.52</v>
      </c>
      <c r="Z25" s="41" t="n">
        <v>681.52</v>
      </c>
      <c r="AA25" s="41" t="n">
        <v>681.52</v>
      </c>
      <c r="AB25" s="41" t="n">
        <v>807.64</v>
      </c>
      <c r="AC25" s="41" t="n">
        <v>807.64</v>
      </c>
      <c r="AD25" s="41" t="n">
        <v>807.64</v>
      </c>
      <c r="AE25" s="41" t="n">
        <v>807.64</v>
      </c>
      <c r="AF25" s="41" t="n">
        <v>807.64</v>
      </c>
      <c r="AG25" s="41" t="n">
        <v>807.64</v>
      </c>
      <c r="AH25" s="41" t="n">
        <v>807.64</v>
      </c>
      <c r="AI25" s="41" t="n">
        <v>807.64</v>
      </c>
      <c r="AJ25" s="41" t="n">
        <v>807.64</v>
      </c>
      <c r="AK25" s="41" t="n">
        <v>807.64</v>
      </c>
      <c r="AL25" s="41" t="n">
        <v>807.64</v>
      </c>
      <c r="AM25" s="41" t="n">
        <v>807.64</v>
      </c>
      <c r="AN25" s="41" t="n">
        <v>807.64</v>
      </c>
      <c r="AO25" s="41" t="n">
        <v>807.64</v>
      </c>
      <c r="AP25" s="41" t="n">
        <v>807.64</v>
      </c>
      <c r="AQ25" s="41" t="n">
        <v>807.64</v>
      </c>
      <c r="AR25" s="41" t="n">
        <v>807.64</v>
      </c>
      <c r="AS25" s="41" t="n">
        <v>807.64</v>
      </c>
      <c r="AT25" s="41" t="n">
        <v>807.64</v>
      </c>
      <c r="AU25" s="41" t="n">
        <v>807.64</v>
      </c>
      <c r="AV25" s="41" t="n">
        <v>807.64</v>
      </c>
      <c r="AW25" s="41" t="n">
        <v>807.64</v>
      </c>
      <c r="AX25" s="41" t="n">
        <v>807.64</v>
      </c>
      <c r="AY25" s="41" t="n">
        <v>807.64</v>
      </c>
    </row>
    <row r="26">
      <c r="B26" s="49" t="inlineStr">
        <is>
          <t xml:space="preserve">  604400 Other Professional Fees</t>
        </is>
      </c>
      <c r="D26" s="40" t="n">
        <v>5831.51</v>
      </c>
      <c r="E26" s="40" t="n">
        <v>1732.5</v>
      </c>
      <c r="F26" s="40" t="n">
        <v>0</v>
      </c>
      <c r="G26" s="40" t="n">
        <v>240</v>
      </c>
      <c r="H26" s="40" t="n">
        <v>0</v>
      </c>
      <c r="I26" s="40" t="n">
        <v>23840</v>
      </c>
      <c r="J26" s="40" t="n">
        <v>8249.1</v>
      </c>
      <c r="K26" s="40" t="n">
        <v>479.1</v>
      </c>
      <c r="L26" s="40" t="n">
        <v>5684.01</v>
      </c>
      <c r="M26" s="40" t="n">
        <v>481</v>
      </c>
      <c r="N26" s="40" t="n">
        <v>481</v>
      </c>
      <c r="O26" s="40" t="n">
        <v>11500</v>
      </c>
      <c r="P26" s="40" t="n">
        <v>4746.41</v>
      </c>
      <c r="Q26" s="40" t="n">
        <v>0</v>
      </c>
      <c r="R26" s="40" t="n">
        <v>25</v>
      </c>
      <c r="S26" s="40" t="n">
        <v>0</v>
      </c>
      <c r="T26" s="40" t="n">
        <v>0</v>
      </c>
      <c r="U26" s="40" t="n">
        <v>3451</v>
      </c>
      <c r="V26" s="40" t="n">
        <v>3125</v>
      </c>
      <c r="W26" s="41" t="n">
        <v>1119.91</v>
      </c>
      <c r="X26" s="41" t="n">
        <v>1119.91</v>
      </c>
      <c r="Y26" s="41" t="n">
        <v>1119.91</v>
      </c>
      <c r="Z26" s="41" t="n">
        <v>1119.91</v>
      </c>
      <c r="AA26" s="41" t="n">
        <v>1119.91</v>
      </c>
      <c r="AB26" s="41" t="n">
        <v>1327.17</v>
      </c>
      <c r="AC26" s="41" t="n">
        <v>1327.17</v>
      </c>
      <c r="AD26" s="41" t="n">
        <v>1327.17</v>
      </c>
      <c r="AE26" s="41" t="n">
        <v>1327.17</v>
      </c>
      <c r="AF26" s="41" t="n">
        <v>1327.17</v>
      </c>
      <c r="AG26" s="41" t="n">
        <v>1327.17</v>
      </c>
      <c r="AH26" s="41" t="n">
        <v>1327.17</v>
      </c>
      <c r="AI26" s="41" t="n">
        <v>1327.17</v>
      </c>
      <c r="AJ26" s="41" t="n">
        <v>1327.17</v>
      </c>
      <c r="AK26" s="41" t="n">
        <v>1327.17</v>
      </c>
      <c r="AL26" s="41" t="n">
        <v>1327.17</v>
      </c>
      <c r="AM26" s="41" t="n">
        <v>1327.17</v>
      </c>
      <c r="AN26" s="41" t="n">
        <v>1327.17</v>
      </c>
      <c r="AO26" s="41" t="n">
        <v>1327.17</v>
      </c>
      <c r="AP26" s="41" t="n">
        <v>1327.17</v>
      </c>
      <c r="AQ26" s="41" t="n">
        <v>1327.17</v>
      </c>
      <c r="AR26" s="41" t="n">
        <v>1327.17</v>
      </c>
      <c r="AS26" s="41" t="n">
        <v>1327.17</v>
      </c>
      <c r="AT26" s="41" t="n">
        <v>1327.17</v>
      </c>
      <c r="AU26" s="41" t="n">
        <v>1327.17</v>
      </c>
      <c r="AV26" s="41" t="n">
        <v>1327.17</v>
      </c>
      <c r="AW26" s="41" t="n">
        <v>1327.17</v>
      </c>
      <c r="AX26" s="41" t="n">
        <v>1327.17</v>
      </c>
      <c r="AY26" s="41" t="n">
        <v>1327.17</v>
      </c>
    </row>
    <row r="27">
      <c r="B27" s="50" t="inlineStr">
        <is>
          <t>Total Professional Fees</t>
        </is>
      </c>
      <c r="C27" s="51" t="n"/>
      <c r="D27" s="52">
        <f>SUM(D23:D26)</f>
        <v/>
      </c>
      <c r="E27" s="52">
        <f>SUM(E23:E26)</f>
        <v/>
      </c>
      <c r="F27" s="52">
        <f>SUM(F23:F26)</f>
        <v/>
      </c>
      <c r="G27" s="52">
        <f>SUM(G23:G26)</f>
        <v/>
      </c>
      <c r="H27" s="52">
        <f>SUM(H23:H26)</f>
        <v/>
      </c>
      <c r="I27" s="52">
        <f>SUM(I23:I26)</f>
        <v/>
      </c>
      <c r="J27" s="52">
        <f>SUM(J23:J26)</f>
        <v/>
      </c>
      <c r="K27" s="52">
        <f>SUM(K23:K26)</f>
        <v/>
      </c>
      <c r="L27" s="52">
        <f>SUM(L23:L26)</f>
        <v/>
      </c>
      <c r="M27" s="52">
        <f>SUM(M23:M26)</f>
        <v/>
      </c>
      <c r="N27" s="52">
        <f>SUM(N23:N26)</f>
        <v/>
      </c>
      <c r="O27" s="52">
        <f>SUM(O23:O26)</f>
        <v/>
      </c>
      <c r="P27" s="52">
        <f>P23+P24+P25+P26</f>
        <v/>
      </c>
      <c r="Q27" s="52">
        <f>Q23+Q24+Q25+Q26</f>
        <v/>
      </c>
      <c r="R27" s="52">
        <f>R23+R24+R25+R26</f>
        <v/>
      </c>
      <c r="S27" s="52">
        <f>S23+S24+S25+S26</f>
        <v/>
      </c>
      <c r="T27" s="52">
        <f>T23+T24+T25+T26</f>
        <v/>
      </c>
      <c r="U27" s="52">
        <f>U23+U24+U25+U26</f>
        <v/>
      </c>
      <c r="V27" s="52">
        <f>V23+V24+V25+V26</f>
        <v/>
      </c>
      <c r="W27" s="53">
        <f>W23+W24+W25+W26</f>
        <v/>
      </c>
      <c r="X27" s="53">
        <f>X23+X24+X25+X26</f>
        <v/>
      </c>
      <c r="Y27" s="53">
        <f>Y23+Y24+Y25+Y26</f>
        <v/>
      </c>
      <c r="Z27" s="53">
        <f>Z23+Z24+Z25+Z26</f>
        <v/>
      </c>
      <c r="AA27" s="53">
        <f>AA23+AA24+AA25+AA26</f>
        <v/>
      </c>
      <c r="AB27" s="53">
        <f>AB23+AB24+AB25+AB26</f>
        <v/>
      </c>
      <c r="AC27" s="53">
        <f>AC23+AC24+AC25+AC26</f>
        <v/>
      </c>
      <c r="AD27" s="53">
        <f>AD23+AD24+AD25+AD26</f>
        <v/>
      </c>
      <c r="AE27" s="53">
        <f>AE23+AE24+AE25+AE26</f>
        <v/>
      </c>
      <c r="AF27" s="53">
        <f>AF23+AF24+AF25+AF26</f>
        <v/>
      </c>
      <c r="AG27" s="53">
        <f>AG23+AG24+AG25+AG26</f>
        <v/>
      </c>
      <c r="AH27" s="53">
        <f>AH23+AH24+AH25+AH26</f>
        <v/>
      </c>
      <c r="AI27" s="53">
        <f>AI23+AI24+AI25+AI26</f>
        <v/>
      </c>
      <c r="AJ27" s="53">
        <f>AJ23+AJ24+AJ25+AJ26</f>
        <v/>
      </c>
      <c r="AK27" s="53">
        <f>AK23+AK24+AK25+AK26</f>
        <v/>
      </c>
      <c r="AL27" s="53">
        <f>AL23+AL24+AL25+AL26</f>
        <v/>
      </c>
      <c r="AM27" s="53">
        <f>AM23+AM24+AM25+AM26</f>
        <v/>
      </c>
      <c r="AN27" s="53">
        <f>AN23+AN24+AN25+AN26</f>
        <v/>
      </c>
      <c r="AO27" s="53">
        <f>AO23+AO24+AO25+AO26</f>
        <v/>
      </c>
      <c r="AP27" s="53">
        <f>AP23+AP24+AP25+AP26</f>
        <v/>
      </c>
      <c r="AQ27" s="53">
        <f>AQ23+AQ24+AQ25+AQ26</f>
        <v/>
      </c>
      <c r="AR27" s="53">
        <f>AR23+AR24+AR25+AR26</f>
        <v/>
      </c>
      <c r="AS27" s="53">
        <f>AS23+AS24+AS25+AS26</f>
        <v/>
      </c>
      <c r="AT27" s="53">
        <f>AT23+AT24+AT25+AT26</f>
        <v/>
      </c>
      <c r="AU27" s="53">
        <f>AU23+AU24+AU25+AU26</f>
        <v/>
      </c>
      <c r="AV27" s="53">
        <f>AV23+AV24+AV25+AV26</f>
        <v/>
      </c>
      <c r="AW27" s="53">
        <f>AW23+AW24+AW25+AW26</f>
        <v/>
      </c>
      <c r="AX27" s="53">
        <f>AX23+AX24+AX25+AX26</f>
        <v/>
      </c>
      <c r="AY27" s="53">
        <f>AY23+AY24+AY25+AY26</f>
        <v/>
      </c>
    </row>
    <row r="28">
      <c r="B28" s="49" t="inlineStr">
        <is>
          <t xml:space="preserve">  605000 Travel</t>
        </is>
      </c>
      <c r="D28" s="40" t="n">
        <v>0</v>
      </c>
      <c r="E28" s="40" t="n">
        <v>2752.04</v>
      </c>
      <c r="F28" s="40" t="n">
        <v>1850.08</v>
      </c>
      <c r="G28" s="40" t="n">
        <v>2335.71</v>
      </c>
      <c r="H28" s="40" t="n">
        <v>666.51</v>
      </c>
      <c r="I28" s="40" t="n">
        <v>3907.64</v>
      </c>
      <c r="J28" s="40" t="n">
        <v>384.36</v>
      </c>
      <c r="K28" s="40" t="n">
        <v>2956.14</v>
      </c>
      <c r="L28" s="40" t="n">
        <v>1058</v>
      </c>
      <c r="M28" s="40" t="n">
        <v>283.65</v>
      </c>
      <c r="N28" s="40" t="n">
        <v>24.85</v>
      </c>
      <c r="O28" s="40" t="n">
        <v>0</v>
      </c>
      <c r="P28" s="40" t="n">
        <v>796.5700000000001</v>
      </c>
      <c r="Q28" s="40" t="n">
        <v>283.06</v>
      </c>
      <c r="R28" s="40" t="n">
        <v>2275.29</v>
      </c>
      <c r="S28" s="40" t="n">
        <v>1381.14</v>
      </c>
      <c r="T28" s="40" t="n">
        <v>84</v>
      </c>
      <c r="U28" s="40" t="n">
        <v>3353.74</v>
      </c>
      <c r="V28" s="40" t="n">
        <v>0</v>
      </c>
      <c r="W28" s="41" t="n">
        <v>1376.87</v>
      </c>
      <c r="X28" s="41" t="n">
        <v>1376.87</v>
      </c>
      <c r="Y28" s="41" t="n">
        <v>1376.87</v>
      </c>
      <c r="Z28" s="41" t="n">
        <v>1376.87</v>
      </c>
      <c r="AA28" s="41" t="n">
        <v>1376.87</v>
      </c>
      <c r="AB28" s="41" t="n">
        <v>1431.94</v>
      </c>
      <c r="AC28" s="41" t="n">
        <v>1431.94</v>
      </c>
      <c r="AD28" s="41" t="n">
        <v>1431.94</v>
      </c>
      <c r="AE28" s="41" t="n">
        <v>1431.94</v>
      </c>
      <c r="AF28" s="41" t="n">
        <v>1431.94</v>
      </c>
      <c r="AG28" s="41" t="n">
        <v>1431.94</v>
      </c>
      <c r="AH28" s="41" t="n">
        <v>1431.94</v>
      </c>
      <c r="AI28" s="41" t="n">
        <v>1431.94</v>
      </c>
      <c r="AJ28" s="41" t="n">
        <v>1431.94</v>
      </c>
      <c r="AK28" s="41" t="n">
        <v>1431.94</v>
      </c>
      <c r="AL28" s="41" t="n">
        <v>1431.94</v>
      </c>
      <c r="AM28" s="41" t="n">
        <v>1431.94</v>
      </c>
      <c r="AN28" s="41" t="n">
        <v>1489.22</v>
      </c>
      <c r="AO28" s="41" t="n">
        <v>1489.22</v>
      </c>
      <c r="AP28" s="41" t="n">
        <v>1489.22</v>
      </c>
      <c r="AQ28" s="41" t="n">
        <v>1489.22</v>
      </c>
      <c r="AR28" s="41" t="n">
        <v>1489.22</v>
      </c>
      <c r="AS28" s="41" t="n">
        <v>1489.22</v>
      </c>
      <c r="AT28" s="41" t="n">
        <v>1489.22</v>
      </c>
      <c r="AU28" s="41" t="n">
        <v>1489.22</v>
      </c>
      <c r="AV28" s="41" t="n">
        <v>1489.22</v>
      </c>
      <c r="AW28" s="41" t="n">
        <v>1489.22</v>
      </c>
      <c r="AX28" s="41" t="n">
        <v>1489.22</v>
      </c>
      <c r="AY28" s="41" t="n">
        <v>1489.22</v>
      </c>
    </row>
    <row r="29">
      <c r="B29" s="49" t="inlineStr">
        <is>
          <t>606000 Meals (incl Entertainment)</t>
        </is>
      </c>
      <c r="D29" s="40" t="n">
        <v>5618.87</v>
      </c>
      <c r="E29" s="40" t="n">
        <v>1090.72</v>
      </c>
      <c r="F29" s="40" t="n">
        <v>1527.29</v>
      </c>
      <c r="G29" s="40" t="n">
        <v>109.96</v>
      </c>
      <c r="H29" s="40" t="n">
        <v>255.81</v>
      </c>
      <c r="I29" s="40" t="n">
        <v>140.05</v>
      </c>
      <c r="J29" s="40" t="n">
        <v>506.36</v>
      </c>
      <c r="K29" s="40" t="n">
        <v>339.46</v>
      </c>
      <c r="L29" s="40" t="n">
        <v>152.42</v>
      </c>
      <c r="M29" s="40" t="n">
        <v>1248.47</v>
      </c>
      <c r="N29" s="40" t="n">
        <v>1142.38</v>
      </c>
      <c r="O29" s="40" t="n">
        <v>1595.01</v>
      </c>
      <c r="P29" s="40" t="n">
        <v>37.11</v>
      </c>
      <c r="Q29" s="40" t="n">
        <v>180</v>
      </c>
      <c r="R29" s="40" t="n">
        <v>224.62</v>
      </c>
      <c r="S29" s="40" t="n">
        <v>115.35</v>
      </c>
      <c r="T29" s="40" t="n">
        <v>132.99</v>
      </c>
      <c r="U29" s="40" t="n">
        <v>777.35</v>
      </c>
      <c r="V29" s="40" t="n">
        <v>0</v>
      </c>
      <c r="W29" s="41" t="n">
        <v>109.62</v>
      </c>
      <c r="X29" s="41" t="n">
        <v>109.62</v>
      </c>
      <c r="Y29" s="41" t="n">
        <v>109.62</v>
      </c>
      <c r="Z29" s="41" t="n">
        <v>109.62</v>
      </c>
      <c r="AA29" s="41" t="n">
        <v>109.62</v>
      </c>
      <c r="AB29" s="41" t="n">
        <v>114.01</v>
      </c>
      <c r="AC29" s="41" t="n">
        <v>114.01</v>
      </c>
      <c r="AD29" s="41" t="n">
        <v>114.01</v>
      </c>
      <c r="AE29" s="41" t="n">
        <v>114.01</v>
      </c>
      <c r="AF29" s="41" t="n">
        <v>114.01</v>
      </c>
      <c r="AG29" s="41" t="n">
        <v>114.01</v>
      </c>
      <c r="AH29" s="41" t="n">
        <v>114.01</v>
      </c>
      <c r="AI29" s="41" t="n">
        <v>114.01</v>
      </c>
      <c r="AJ29" s="41" t="n">
        <v>114.01</v>
      </c>
      <c r="AK29" s="41" t="n">
        <v>114.01</v>
      </c>
      <c r="AL29" s="41" t="n">
        <v>114.01</v>
      </c>
      <c r="AM29" s="41" t="n">
        <v>114.01</v>
      </c>
      <c r="AN29" s="41" t="n">
        <v>118.57</v>
      </c>
      <c r="AO29" s="41" t="n">
        <v>118.57</v>
      </c>
      <c r="AP29" s="41" t="n">
        <v>118.57</v>
      </c>
      <c r="AQ29" s="41" t="n">
        <v>118.57</v>
      </c>
      <c r="AR29" s="41" t="n">
        <v>118.57</v>
      </c>
      <c r="AS29" s="41" t="n">
        <v>118.57</v>
      </c>
      <c r="AT29" s="41" t="n">
        <v>118.57</v>
      </c>
      <c r="AU29" s="41" t="n">
        <v>118.57</v>
      </c>
      <c r="AV29" s="41" t="n">
        <v>118.57</v>
      </c>
      <c r="AW29" s="41" t="n">
        <v>118.57</v>
      </c>
      <c r="AX29" s="41" t="n">
        <v>118.57</v>
      </c>
      <c r="AY29" s="41" t="n">
        <v>118.57</v>
      </c>
    </row>
    <row r="30">
      <c r="B30" s="50" t="inlineStr">
        <is>
          <t>Total Travel &amp; Meals</t>
        </is>
      </c>
      <c r="C30" s="51" t="n"/>
      <c r="D30" s="52">
        <f>D28+D29</f>
        <v/>
      </c>
      <c r="E30" s="52">
        <f>E28+E29</f>
        <v/>
      </c>
      <c r="F30" s="52">
        <f>F28+F29</f>
        <v/>
      </c>
      <c r="G30" s="52">
        <f>G28+G29</f>
        <v/>
      </c>
      <c r="H30" s="52">
        <f>H28+H29</f>
        <v/>
      </c>
      <c r="I30" s="52">
        <f>I28+I29</f>
        <v/>
      </c>
      <c r="J30" s="52">
        <f>J28+J29</f>
        <v/>
      </c>
      <c r="K30" s="52">
        <f>K28+K29</f>
        <v/>
      </c>
      <c r="L30" s="52">
        <f>L28+L29</f>
        <v/>
      </c>
      <c r="M30" s="52">
        <f>M28+M29</f>
        <v/>
      </c>
      <c r="N30" s="52">
        <f>N28+N29</f>
        <v/>
      </c>
      <c r="O30" s="52">
        <f>O28+O29</f>
        <v/>
      </c>
      <c r="P30" s="52">
        <f>P28+P29</f>
        <v/>
      </c>
      <c r="Q30" s="52">
        <f>Q28+Q29</f>
        <v/>
      </c>
      <c r="R30" s="52">
        <f>R28+R29</f>
        <v/>
      </c>
      <c r="S30" s="52">
        <f>S28+S29</f>
        <v/>
      </c>
      <c r="T30" s="52">
        <f>T28+T29</f>
        <v/>
      </c>
      <c r="U30" s="52">
        <f>U28+U29</f>
        <v/>
      </c>
      <c r="V30" s="52">
        <f>V28+V29</f>
        <v/>
      </c>
      <c r="W30" s="53">
        <f>W28+W29</f>
        <v/>
      </c>
      <c r="X30" s="53">
        <f>X28+X29</f>
        <v/>
      </c>
      <c r="Y30" s="53">
        <f>Y28+Y29</f>
        <v/>
      </c>
      <c r="Z30" s="53">
        <f>Z28+Z29</f>
        <v/>
      </c>
      <c r="AA30" s="53">
        <f>AA28+AA29</f>
        <v/>
      </c>
      <c r="AB30" s="53">
        <f>AB28+AB29</f>
        <v/>
      </c>
      <c r="AC30" s="53">
        <f>AC28+AC29</f>
        <v/>
      </c>
      <c r="AD30" s="53">
        <f>AD28+AD29</f>
        <v/>
      </c>
      <c r="AE30" s="53">
        <f>AE28+AE29</f>
        <v/>
      </c>
      <c r="AF30" s="53">
        <f>AF28+AF29</f>
        <v/>
      </c>
      <c r="AG30" s="53">
        <f>AG28+AG29</f>
        <v/>
      </c>
      <c r="AH30" s="53">
        <f>AH28+AH29</f>
        <v/>
      </c>
      <c r="AI30" s="53">
        <f>AI28+AI29</f>
        <v/>
      </c>
      <c r="AJ30" s="53">
        <f>AJ28+AJ29</f>
        <v/>
      </c>
      <c r="AK30" s="53">
        <f>AK28+AK29</f>
        <v/>
      </c>
      <c r="AL30" s="53">
        <f>AL28+AL29</f>
        <v/>
      </c>
      <c r="AM30" s="53">
        <f>AM28+AM29</f>
        <v/>
      </c>
      <c r="AN30" s="53">
        <f>AN28+AN29</f>
        <v/>
      </c>
      <c r="AO30" s="53">
        <f>AO28+AO29</f>
        <v/>
      </c>
      <c r="AP30" s="53">
        <f>AP28+AP29</f>
        <v/>
      </c>
      <c r="AQ30" s="53">
        <f>AQ28+AQ29</f>
        <v/>
      </c>
      <c r="AR30" s="53">
        <f>AR28+AR29</f>
        <v/>
      </c>
      <c r="AS30" s="53">
        <f>AS28+AS29</f>
        <v/>
      </c>
      <c r="AT30" s="53">
        <f>AT28+AT29</f>
        <v/>
      </c>
      <c r="AU30" s="53">
        <f>AU28+AU29</f>
        <v/>
      </c>
      <c r="AV30" s="53">
        <f>AV28+AV29</f>
        <v/>
      </c>
      <c r="AW30" s="53">
        <f>AW28+AW29</f>
        <v/>
      </c>
      <c r="AX30" s="53">
        <f>AX28+AX29</f>
        <v/>
      </c>
      <c r="AY30" s="53">
        <f>AY28+AY29</f>
        <v/>
      </c>
    </row>
    <row r="31">
      <c r="B31" s="49" t="inlineStr">
        <is>
          <t>701000 Rent / Virtual Office (incl Cleaning &amp; Repairs)</t>
        </is>
      </c>
      <c r="D31" s="40" t="n">
        <v>202.42</v>
      </c>
      <c r="E31" s="40" t="n">
        <v>89.5</v>
      </c>
      <c r="F31" s="40" t="n">
        <v>0</v>
      </c>
      <c r="G31" s="40" t="n">
        <v>0</v>
      </c>
      <c r="H31" s="40" t="n">
        <v>0</v>
      </c>
      <c r="I31" s="40" t="n">
        <v>0</v>
      </c>
      <c r="J31" s="40" t="n">
        <v>0</v>
      </c>
      <c r="K31" s="40" t="n">
        <v>66.8</v>
      </c>
      <c r="L31" s="40" t="n">
        <v>0</v>
      </c>
      <c r="M31" s="40" t="n">
        <v>0</v>
      </c>
      <c r="N31" s="40" t="n">
        <v>993.46</v>
      </c>
      <c r="O31" s="40" t="n">
        <v>0</v>
      </c>
      <c r="P31" s="40" t="n">
        <v>0</v>
      </c>
      <c r="Q31" s="40" t="n">
        <v>0</v>
      </c>
      <c r="R31" s="40" t="n">
        <v>0</v>
      </c>
      <c r="S31" s="40" t="n">
        <v>639.33</v>
      </c>
      <c r="T31" s="40" t="n">
        <v>26.02</v>
      </c>
      <c r="U31" s="40" t="n">
        <v>0</v>
      </c>
      <c r="V31" s="40" t="n">
        <v>435</v>
      </c>
      <c r="W31" s="41" t="n">
        <v>0</v>
      </c>
      <c r="X31" s="41" t="n">
        <v>0</v>
      </c>
      <c r="Y31" s="41" t="n">
        <v>0</v>
      </c>
      <c r="Z31" s="41" t="n">
        <v>0</v>
      </c>
      <c r="AA31" s="41" t="n">
        <v>0</v>
      </c>
      <c r="AB31" s="41" t="n">
        <v>0</v>
      </c>
      <c r="AC31" s="41" t="n">
        <v>0</v>
      </c>
      <c r="AD31" s="41" t="n">
        <v>0</v>
      </c>
      <c r="AE31" s="41" t="n">
        <v>0</v>
      </c>
      <c r="AF31" s="41" t="n">
        <v>0</v>
      </c>
      <c r="AG31" s="41" t="n">
        <v>0</v>
      </c>
      <c r="AH31" s="41" t="n">
        <v>0</v>
      </c>
      <c r="AI31" s="41" t="n">
        <v>0</v>
      </c>
      <c r="AJ31" s="41" t="n">
        <v>0</v>
      </c>
      <c r="AK31" s="41" t="n">
        <v>0</v>
      </c>
      <c r="AL31" s="41" t="n">
        <v>0</v>
      </c>
      <c r="AM31" s="41" t="n">
        <v>0</v>
      </c>
      <c r="AN31" s="41" t="n">
        <v>0</v>
      </c>
      <c r="AO31" s="41" t="n">
        <v>0</v>
      </c>
      <c r="AP31" s="41" t="n">
        <v>0</v>
      </c>
      <c r="AQ31" s="41" t="n">
        <v>0</v>
      </c>
      <c r="AR31" s="41" t="n">
        <v>0</v>
      </c>
      <c r="AS31" s="41" t="n">
        <v>0</v>
      </c>
      <c r="AT31" s="41" t="n">
        <v>0</v>
      </c>
      <c r="AU31" s="41" t="n">
        <v>0</v>
      </c>
      <c r="AV31" s="41" t="n">
        <v>0</v>
      </c>
      <c r="AW31" s="41" t="n">
        <v>0</v>
      </c>
      <c r="AX31" s="41" t="n">
        <v>0</v>
      </c>
      <c r="AY31" s="41" t="n">
        <v>0</v>
      </c>
    </row>
    <row r="32">
      <c r="B32" s="50" t="inlineStr">
        <is>
          <t>Total Property Costs</t>
        </is>
      </c>
      <c r="C32" s="51" t="n"/>
      <c r="D32" s="52">
        <f>D31</f>
        <v/>
      </c>
      <c r="E32" s="52">
        <f>E31</f>
        <v/>
      </c>
      <c r="F32" s="52">
        <f>F31</f>
        <v/>
      </c>
      <c r="G32" s="52">
        <f>G31</f>
        <v/>
      </c>
      <c r="H32" s="52">
        <f>H31</f>
        <v/>
      </c>
      <c r="I32" s="52">
        <f>I31</f>
        <v/>
      </c>
      <c r="J32" s="52">
        <f>J31</f>
        <v/>
      </c>
      <c r="K32" s="52">
        <f>K31</f>
        <v/>
      </c>
      <c r="L32" s="52">
        <f>L31</f>
        <v/>
      </c>
      <c r="M32" s="52">
        <f>M31</f>
        <v/>
      </c>
      <c r="N32" s="52">
        <f>N31</f>
        <v/>
      </c>
      <c r="O32" s="52">
        <f>O31</f>
        <v/>
      </c>
      <c r="P32" s="52">
        <f>P31</f>
        <v/>
      </c>
      <c r="Q32" s="52">
        <f>Q31</f>
        <v/>
      </c>
      <c r="R32" s="52">
        <f>R31</f>
        <v/>
      </c>
      <c r="S32" s="52">
        <f>S31</f>
        <v/>
      </c>
      <c r="T32" s="52">
        <f>T31</f>
        <v/>
      </c>
      <c r="U32" s="52">
        <f>U31</f>
        <v/>
      </c>
      <c r="V32" s="52">
        <f>V31</f>
        <v/>
      </c>
      <c r="W32" s="53">
        <f>W31</f>
        <v/>
      </c>
      <c r="X32" s="53">
        <f>X31</f>
        <v/>
      </c>
      <c r="Y32" s="53">
        <f>Y31</f>
        <v/>
      </c>
      <c r="Z32" s="53">
        <f>Z31</f>
        <v/>
      </c>
      <c r="AA32" s="53">
        <f>AA31</f>
        <v/>
      </c>
      <c r="AB32" s="53">
        <f>AB31</f>
        <v/>
      </c>
      <c r="AC32" s="53">
        <f>AC31</f>
        <v/>
      </c>
      <c r="AD32" s="53">
        <f>AD31</f>
        <v/>
      </c>
      <c r="AE32" s="53">
        <f>AE31</f>
        <v/>
      </c>
      <c r="AF32" s="53">
        <f>AF31</f>
        <v/>
      </c>
      <c r="AG32" s="53">
        <f>AG31</f>
        <v/>
      </c>
      <c r="AH32" s="53">
        <f>AH31</f>
        <v/>
      </c>
      <c r="AI32" s="53">
        <f>AI31</f>
        <v/>
      </c>
      <c r="AJ32" s="53">
        <f>AJ31</f>
        <v/>
      </c>
      <c r="AK32" s="53">
        <f>AK31</f>
        <v/>
      </c>
      <c r="AL32" s="53">
        <f>AL31</f>
        <v/>
      </c>
      <c r="AM32" s="53">
        <f>AM31</f>
        <v/>
      </c>
      <c r="AN32" s="53">
        <f>AN31</f>
        <v/>
      </c>
      <c r="AO32" s="53">
        <f>AO31</f>
        <v/>
      </c>
      <c r="AP32" s="53">
        <f>AP31</f>
        <v/>
      </c>
      <c r="AQ32" s="53">
        <f>AQ31</f>
        <v/>
      </c>
      <c r="AR32" s="53">
        <f>AR31</f>
        <v/>
      </c>
      <c r="AS32" s="53">
        <f>AS31</f>
        <v/>
      </c>
      <c r="AT32" s="53">
        <f>AT31</f>
        <v/>
      </c>
      <c r="AU32" s="53">
        <f>AU31</f>
        <v/>
      </c>
      <c r="AV32" s="53">
        <f>AV31</f>
        <v/>
      </c>
      <c r="AW32" s="53">
        <f>AW31</f>
        <v/>
      </c>
      <c r="AX32" s="53">
        <f>AX31</f>
        <v/>
      </c>
      <c r="AY32" s="53">
        <f>AY31</f>
        <v/>
      </c>
    </row>
    <row r="33">
      <c r="B33" s="49" t="inlineStr">
        <is>
          <t xml:space="preserve">  902000 Taxes (Franchise/State)</t>
        </is>
      </c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>
        <v>0</v>
      </c>
      <c r="Q33" s="40" t="n">
        <v>0</v>
      </c>
      <c r="R33" s="40" t="n">
        <v>0</v>
      </c>
      <c r="S33" s="40" t="n">
        <v>0</v>
      </c>
      <c r="T33" s="40" t="n"/>
      <c r="U33" s="40" t="n"/>
      <c r="V33" s="40" t="n">
        <v>0</v>
      </c>
      <c r="W33" s="41" t="n">
        <v>1188.6</v>
      </c>
      <c r="X33" s="41" t="n">
        <v>1188.6</v>
      </c>
      <c r="Y33" s="41" t="n">
        <v>1188.6</v>
      </c>
      <c r="Z33" s="41" t="n">
        <v>1188.6</v>
      </c>
      <c r="AA33" s="41" t="n">
        <v>1188.6</v>
      </c>
      <c r="AB33" s="41" t="n">
        <v>1188.6</v>
      </c>
      <c r="AC33" s="41" t="n">
        <v>1188.6</v>
      </c>
      <c r="AD33" s="41" t="n">
        <v>1188.6</v>
      </c>
      <c r="AE33" s="41" t="n">
        <v>1188.6</v>
      </c>
      <c r="AF33" s="41" t="n">
        <v>1188.6</v>
      </c>
      <c r="AG33" s="41" t="n">
        <v>1188.6</v>
      </c>
      <c r="AH33" s="41" t="n">
        <v>1188.6</v>
      </c>
      <c r="AI33" s="41" t="n">
        <v>1188.6</v>
      </c>
      <c r="AJ33" s="41" t="n">
        <v>1188.6</v>
      </c>
      <c r="AK33" s="41" t="n">
        <v>1188.6</v>
      </c>
      <c r="AL33" s="41" t="n">
        <v>1188.6</v>
      </c>
      <c r="AM33" s="41" t="n">
        <v>1188.6</v>
      </c>
      <c r="AN33" s="41" t="n">
        <v>1188.6</v>
      </c>
      <c r="AO33" s="41" t="n">
        <v>1188.6</v>
      </c>
      <c r="AP33" s="41" t="n">
        <v>1188.6</v>
      </c>
      <c r="AQ33" s="41" t="n">
        <v>1188.6</v>
      </c>
      <c r="AR33" s="41" t="n">
        <v>1188.6</v>
      </c>
      <c r="AS33" s="41" t="n">
        <v>1188.6</v>
      </c>
      <c r="AT33" s="41" t="n">
        <v>1188.6</v>
      </c>
      <c r="AU33" s="41" t="n">
        <v>1188.6</v>
      </c>
      <c r="AV33" s="41" t="n">
        <v>1188.6</v>
      </c>
      <c r="AW33" s="41" t="n">
        <v>1188.6</v>
      </c>
      <c r="AX33" s="41" t="n">
        <v>1188.6</v>
      </c>
      <c r="AY33" s="41" t="n">
        <v>1188.6</v>
      </c>
    </row>
    <row r="34">
      <c r="B34" s="50" t="inlineStr">
        <is>
          <t>Total Taxes</t>
        </is>
      </c>
      <c r="C34" s="51" t="n"/>
      <c r="D34" s="52">
        <f>D39</f>
        <v/>
      </c>
      <c r="E34" s="52">
        <f>E39</f>
        <v/>
      </c>
      <c r="F34" s="52">
        <f>F39</f>
        <v/>
      </c>
      <c r="G34" s="52">
        <f>G39</f>
        <v/>
      </c>
      <c r="H34" s="52">
        <f>H39</f>
        <v/>
      </c>
      <c r="I34" s="52">
        <f>I39</f>
        <v/>
      </c>
      <c r="J34" s="52">
        <f>J39</f>
        <v/>
      </c>
      <c r="K34" s="52">
        <f>K39</f>
        <v/>
      </c>
      <c r="L34" s="52">
        <f>L39</f>
        <v/>
      </c>
      <c r="M34" s="52">
        <f>M39</f>
        <v/>
      </c>
      <c r="N34" s="52">
        <f>N39</f>
        <v/>
      </c>
      <c r="O34" s="52">
        <f>O39</f>
        <v/>
      </c>
      <c r="P34" s="52">
        <f>P33</f>
        <v/>
      </c>
      <c r="Q34" s="52">
        <f>Q33</f>
        <v/>
      </c>
      <c r="R34" s="52">
        <f>R33</f>
        <v/>
      </c>
      <c r="S34" s="52">
        <f>S33</f>
        <v/>
      </c>
      <c r="T34" s="52">
        <f>T33</f>
        <v/>
      </c>
      <c r="U34" s="52">
        <f>U33</f>
        <v/>
      </c>
      <c r="V34" s="52">
        <f>V33</f>
        <v/>
      </c>
      <c r="W34" s="53">
        <f>W33</f>
        <v/>
      </c>
      <c r="X34" s="53">
        <f>X33</f>
        <v/>
      </c>
      <c r="Y34" s="53">
        <f>Y33</f>
        <v/>
      </c>
      <c r="Z34" s="53">
        <f>Z33</f>
        <v/>
      </c>
      <c r="AA34" s="53">
        <f>AA33</f>
        <v/>
      </c>
      <c r="AB34" s="53">
        <f>AB33</f>
        <v/>
      </c>
      <c r="AC34" s="53">
        <f>AC33</f>
        <v/>
      </c>
      <c r="AD34" s="53">
        <f>AD33</f>
        <v/>
      </c>
      <c r="AE34" s="53">
        <f>AE33</f>
        <v/>
      </c>
      <c r="AF34" s="53">
        <f>AF33</f>
        <v/>
      </c>
      <c r="AG34" s="53">
        <f>AG33</f>
        <v/>
      </c>
      <c r="AH34" s="53">
        <f>AH33</f>
        <v/>
      </c>
      <c r="AI34" s="53">
        <f>AI33</f>
        <v/>
      </c>
      <c r="AJ34" s="53">
        <f>AJ33</f>
        <v/>
      </c>
      <c r="AK34" s="53">
        <f>AK33</f>
        <v/>
      </c>
      <c r="AL34" s="53">
        <f>AL33</f>
        <v/>
      </c>
      <c r="AM34" s="53">
        <f>AM33</f>
        <v/>
      </c>
      <c r="AN34" s="53">
        <f>AN33</f>
        <v/>
      </c>
      <c r="AO34" s="53">
        <f>AO33</f>
        <v/>
      </c>
      <c r="AP34" s="53">
        <f>AP33</f>
        <v/>
      </c>
      <c r="AQ34" s="53">
        <f>AQ33</f>
        <v/>
      </c>
      <c r="AR34" s="53">
        <f>AR33</f>
        <v/>
      </c>
      <c r="AS34" s="53">
        <f>AS33</f>
        <v/>
      </c>
      <c r="AT34" s="53">
        <f>AT33</f>
        <v/>
      </c>
      <c r="AU34" s="53">
        <f>AU33</f>
        <v/>
      </c>
      <c r="AV34" s="53">
        <f>AV33</f>
        <v/>
      </c>
      <c r="AW34" s="53">
        <f>AW33</f>
        <v/>
      </c>
      <c r="AX34" s="53">
        <f>AX33</f>
        <v/>
      </c>
      <c r="AY34" s="53">
        <f>AY33</f>
        <v/>
      </c>
    </row>
    <row r="35">
      <c r="B35" s="50" t="inlineStr">
        <is>
          <t>TOTAL OPERATING EXPENSES</t>
        </is>
      </c>
      <c r="C35" s="51" t="n"/>
      <c r="D35" s="52">
        <f>D12+D17+D22+D27+D30+D32+D34</f>
        <v/>
      </c>
      <c r="E35" s="52">
        <f>E12+E17+E22+E27+E30+E32+E34</f>
        <v/>
      </c>
      <c r="F35" s="52">
        <f>F12+F17+F22+F27+F30+F32+F34</f>
        <v/>
      </c>
      <c r="G35" s="52">
        <f>G12+G17+G22+G27+G30+G32+G34</f>
        <v/>
      </c>
      <c r="H35" s="52">
        <f>H12+H17+H22+H27+H30+H32+H34</f>
        <v/>
      </c>
      <c r="I35" s="52">
        <f>I12+I17+I22+I27+I30+I32+I34</f>
        <v/>
      </c>
      <c r="J35" s="52">
        <f>J12+J17+J22+J27+J30+J32+J34</f>
        <v/>
      </c>
      <c r="K35" s="52">
        <f>K12+K17+K22+K27+K30+K32+K34</f>
        <v/>
      </c>
      <c r="L35" s="52">
        <f>L12+L17+L22+L27+L30+L32+L34</f>
        <v/>
      </c>
      <c r="M35" s="52">
        <f>M12+M17+M22+M27+M30+M32+M34</f>
        <v/>
      </c>
      <c r="N35" s="52">
        <f>N12+N17+N22+N27+N30+N32+N34</f>
        <v/>
      </c>
      <c r="O35" s="52">
        <f>O12+O17+O22+O27+O30+O32+O34</f>
        <v/>
      </c>
      <c r="P35" s="52">
        <f>P12+P17+P22+P27+P30+P32+P34</f>
        <v/>
      </c>
      <c r="Q35" s="52">
        <f>Q12+Q17+Q22+Q27+Q30+Q32+Q34</f>
        <v/>
      </c>
      <c r="R35" s="52">
        <f>R12+R17+R22+R27+R30+R32+R34</f>
        <v/>
      </c>
      <c r="S35" s="52">
        <f>S12+S17+S22+S27+S30+S32+S34</f>
        <v/>
      </c>
      <c r="T35" s="52">
        <f>T12+T17+T22+T27+T30+T32+T34</f>
        <v/>
      </c>
      <c r="U35" s="52">
        <f>U12+U17+U22+U27+U30+U32+U34</f>
        <v/>
      </c>
      <c r="V35" s="52">
        <f>V12+V17+V22+V27+V30+V32+V34</f>
        <v/>
      </c>
      <c r="W35" s="53">
        <f>W12+W17+W22+W27+W30+W32+W34</f>
        <v/>
      </c>
      <c r="X35" s="53">
        <f>X12+X17+X22+X27+X30+X32+X34</f>
        <v/>
      </c>
      <c r="Y35" s="53">
        <f>Y12+Y17+Y22+Y27+Y30+Y32+Y34</f>
        <v/>
      </c>
      <c r="Z35" s="53">
        <f>Z12+Z17+Z22+Z27+Z30+Z32+Z34</f>
        <v/>
      </c>
      <c r="AA35" s="53">
        <f>AA12+AA17+AA22+AA27+AA30+AA32+AA34</f>
        <v/>
      </c>
      <c r="AB35" s="53">
        <f>AB12+AB17+AB22+AB27+AB30+AB32+AB34</f>
        <v/>
      </c>
      <c r="AC35" s="53">
        <f>AC12+AC17+AC22+AC27+AC30+AC32+AC34</f>
        <v/>
      </c>
      <c r="AD35" s="53">
        <f>AD12+AD17+AD22+AD27+AD30+AD32+AD34</f>
        <v/>
      </c>
      <c r="AE35" s="53">
        <f>AE12+AE17+AE22+AE27+AE30+AE32+AE34</f>
        <v/>
      </c>
      <c r="AF35" s="53">
        <f>AF12+AF17+AF22+AF27+AF30+AF32+AF34</f>
        <v/>
      </c>
      <c r="AG35" s="53">
        <f>AG12+AG17+AG22+AG27+AG30+AG32+AG34</f>
        <v/>
      </c>
      <c r="AH35" s="53">
        <f>AH12+AH17+AH22+AH27+AH30+AH32+AH34</f>
        <v/>
      </c>
      <c r="AI35" s="53">
        <f>AI12+AI17+AI22+AI27+AI30+AI32+AI34</f>
        <v/>
      </c>
      <c r="AJ35" s="53">
        <f>AJ12+AJ17+AJ22+AJ27+AJ30+AJ32+AJ34</f>
        <v/>
      </c>
      <c r="AK35" s="53">
        <f>AK12+AK17+AK22+AK27+AK30+AK32+AK34</f>
        <v/>
      </c>
      <c r="AL35" s="53">
        <f>AL12+AL17+AL22+AL27+AL30+AL32+AL34</f>
        <v/>
      </c>
      <c r="AM35" s="53">
        <f>AM12+AM17+AM22+AM27+AM30+AM32+AM34</f>
        <v/>
      </c>
      <c r="AN35" s="53">
        <f>AN12+AN17+AN22+AN27+AN30+AN32+AN34</f>
        <v/>
      </c>
      <c r="AO35" s="53">
        <f>AO12+AO17+AO22+AO27+AO30+AO32+AO34</f>
        <v/>
      </c>
      <c r="AP35" s="53">
        <f>AP12+AP17+AP22+AP27+AP30+AP32+AP34</f>
        <v/>
      </c>
      <c r="AQ35" s="53">
        <f>AQ12+AQ17+AQ22+AQ27+AQ30+AQ32+AQ34</f>
        <v/>
      </c>
      <c r="AR35" s="53">
        <f>AR12+AR17+AR22+AR27+AR30+AR32+AR34</f>
        <v/>
      </c>
      <c r="AS35" s="53">
        <f>AS12+AS17+AS22+AS27+AS30+AS32+AS34</f>
        <v/>
      </c>
      <c r="AT35" s="53">
        <f>AT12+AT17+AT22+AT27+AT30+AT32+AT34</f>
        <v/>
      </c>
      <c r="AU35" s="53">
        <f>AU12+AU17+AU22+AU27+AU30+AU32+AU34</f>
        <v/>
      </c>
      <c r="AV35" s="53">
        <f>AV12+AV17+AV22+AV27+AV30+AV32+AV34</f>
        <v/>
      </c>
      <c r="AW35" s="53">
        <f>AW12+AW17+AW22+AW27+AW30+AW32+AW34</f>
        <v/>
      </c>
      <c r="AX35" s="53">
        <f>AX12+AX17+AX22+AX27+AX30+AX32+AX34</f>
        <v/>
      </c>
      <c r="AY35" s="53">
        <f>AY12+AY17+AY22+AY27+AY30+AY32+AY34</f>
        <v/>
      </c>
    </row>
    <row r="36">
      <c r="B36" s="50" t="inlineStr">
        <is>
          <t>NET OPERATING INCOME (EBITDA)</t>
        </is>
      </c>
      <c r="C36" s="51" t="n"/>
      <c r="D36" s="52">
        <f>-D35</f>
        <v/>
      </c>
      <c r="E36" s="52">
        <f>-E35</f>
        <v/>
      </c>
      <c r="F36" s="52">
        <f>-F35</f>
        <v/>
      </c>
      <c r="G36" s="52">
        <f>-G35</f>
        <v/>
      </c>
      <c r="H36" s="52">
        <f>-H35</f>
        <v/>
      </c>
      <c r="I36" s="52">
        <f>-I35</f>
        <v/>
      </c>
      <c r="J36" s="52">
        <f>-J35</f>
        <v/>
      </c>
      <c r="K36" s="52">
        <f>-K35</f>
        <v/>
      </c>
      <c r="L36" s="52">
        <f>-L35</f>
        <v/>
      </c>
      <c r="M36" s="52">
        <f>-M35</f>
        <v/>
      </c>
      <c r="N36" s="52">
        <f>-N35</f>
        <v/>
      </c>
      <c r="O36" s="52">
        <f>-O35</f>
        <v/>
      </c>
      <c r="P36" s="52">
        <f>-P35</f>
        <v/>
      </c>
      <c r="Q36" s="52">
        <f>-Q35</f>
        <v/>
      </c>
      <c r="R36" s="52">
        <f>-R35</f>
        <v/>
      </c>
      <c r="S36" s="52">
        <f>-S35</f>
        <v/>
      </c>
      <c r="T36" s="52">
        <f>-T35</f>
        <v/>
      </c>
      <c r="U36" s="52">
        <f>-U35</f>
        <v/>
      </c>
      <c r="V36" s="52">
        <f>-V35</f>
        <v/>
      </c>
      <c r="W36" s="53">
        <f>-W35</f>
        <v/>
      </c>
      <c r="X36" s="53">
        <f>-X35</f>
        <v/>
      </c>
      <c r="Y36" s="53">
        <f>-Y35</f>
        <v/>
      </c>
      <c r="Z36" s="53">
        <f>-Z35</f>
        <v/>
      </c>
      <c r="AA36" s="53">
        <f>-AA35</f>
        <v/>
      </c>
      <c r="AB36" s="53">
        <f>-AB35</f>
        <v/>
      </c>
      <c r="AC36" s="53">
        <f>-AC35</f>
        <v/>
      </c>
      <c r="AD36" s="53">
        <f>-AD35</f>
        <v/>
      </c>
      <c r="AE36" s="53">
        <f>-AE35</f>
        <v/>
      </c>
      <c r="AF36" s="53">
        <f>-AF35</f>
        <v/>
      </c>
      <c r="AG36" s="53">
        <f>-AG35</f>
        <v/>
      </c>
      <c r="AH36" s="53">
        <f>-AH35</f>
        <v/>
      </c>
      <c r="AI36" s="53">
        <f>-AI35</f>
        <v/>
      </c>
      <c r="AJ36" s="53">
        <f>-AJ35</f>
        <v/>
      </c>
      <c r="AK36" s="53">
        <f>-AK35</f>
        <v/>
      </c>
      <c r="AL36" s="53">
        <f>-AL35</f>
        <v/>
      </c>
      <c r="AM36" s="53">
        <f>-AM35</f>
        <v/>
      </c>
      <c r="AN36" s="53">
        <f>-AN35</f>
        <v/>
      </c>
      <c r="AO36" s="53">
        <f>-AO35</f>
        <v/>
      </c>
      <c r="AP36" s="53">
        <f>-AP35</f>
        <v/>
      </c>
      <c r="AQ36" s="53">
        <f>-AQ35</f>
        <v/>
      </c>
      <c r="AR36" s="53">
        <f>-AR35</f>
        <v/>
      </c>
      <c r="AS36" s="53">
        <f>-AS35</f>
        <v/>
      </c>
      <c r="AT36" s="53">
        <f>-AT35</f>
        <v/>
      </c>
      <c r="AU36" s="53">
        <f>-AU35</f>
        <v/>
      </c>
      <c r="AV36" s="53">
        <f>-AV35</f>
        <v/>
      </c>
      <c r="AW36" s="53">
        <f>-AW35</f>
        <v/>
      </c>
      <c r="AX36" s="53">
        <f>-AX35</f>
        <v/>
      </c>
      <c r="AY36" s="53">
        <f>-AY35</f>
        <v/>
      </c>
    </row>
    <row r="37" ht="16" customHeight="1" s="282">
      <c r="B37" s="44" t="inlineStr">
        <is>
          <t>OTHER</t>
        </is>
      </c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  <c r="AL37" s="45" t="n"/>
      <c r="AM37" s="45" t="n"/>
      <c r="AN37" s="45" t="n"/>
      <c r="AO37" s="45" t="n"/>
      <c r="AP37" s="45" t="n"/>
      <c r="AQ37" s="45" t="n"/>
      <c r="AR37" s="45" t="n"/>
      <c r="AS37" s="45" t="n"/>
      <c r="AT37" s="45" t="n"/>
      <c r="AU37" s="45" t="n"/>
      <c r="AV37" s="45" t="n"/>
      <c r="AW37" s="45" t="n"/>
      <c r="AX37" s="45" t="n"/>
      <c r="AY37" s="45" t="n"/>
    </row>
    <row r="38">
      <c r="B38" s="49" t="inlineStr">
        <is>
          <t xml:space="preserve">  810000 Depreciation</t>
        </is>
      </c>
      <c r="D38" s="40" t="n">
        <v>407.03</v>
      </c>
      <c r="E38" s="40" t="n">
        <v>407.03</v>
      </c>
      <c r="F38" s="40" t="n">
        <v>407.03</v>
      </c>
      <c r="G38" s="40" t="n">
        <v>408.58</v>
      </c>
      <c r="H38" s="40" t="n">
        <v>408.58</v>
      </c>
      <c r="I38" s="40" t="n">
        <v>382.03</v>
      </c>
      <c r="J38" s="40" t="n">
        <v>382.03</v>
      </c>
      <c r="K38" s="40" t="n">
        <v>382.03</v>
      </c>
      <c r="L38" s="40" t="n">
        <v>382.03</v>
      </c>
      <c r="M38" s="40" t="n">
        <v>886.49</v>
      </c>
      <c r="N38" s="40" t="n">
        <v>968.13</v>
      </c>
      <c r="O38" s="40" t="n">
        <v>-5828.02</v>
      </c>
      <c r="P38" s="40" t="n">
        <v>0</v>
      </c>
      <c r="Q38" s="40" t="n">
        <v>0</v>
      </c>
      <c r="R38" s="40" t="n">
        <v>0</v>
      </c>
      <c r="S38" s="40" t="n">
        <v>0</v>
      </c>
      <c r="T38" s="40" t="n">
        <v>0</v>
      </c>
      <c r="U38" s="40" t="n">
        <v>0</v>
      </c>
      <c r="V38" s="40" t="n">
        <v>0</v>
      </c>
      <c r="W38" s="41" t="n">
        <v>0</v>
      </c>
      <c r="X38" s="41" t="n">
        <v>0</v>
      </c>
      <c r="Y38" s="41" t="n">
        <v>0</v>
      </c>
      <c r="Z38" s="41" t="n">
        <v>0</v>
      </c>
      <c r="AA38" s="41" t="n">
        <v>0</v>
      </c>
      <c r="AB38" s="41" t="n">
        <v>0</v>
      </c>
      <c r="AC38" s="41" t="n">
        <v>0</v>
      </c>
      <c r="AD38" s="41" t="n">
        <v>0</v>
      </c>
      <c r="AE38" s="41" t="n">
        <v>0</v>
      </c>
      <c r="AF38" s="41" t="n">
        <v>0</v>
      </c>
      <c r="AG38" s="41" t="n">
        <v>0</v>
      </c>
      <c r="AH38" s="41" t="n">
        <v>0</v>
      </c>
      <c r="AI38" s="41" t="n">
        <v>0</v>
      </c>
      <c r="AJ38" s="41" t="n">
        <v>0</v>
      </c>
      <c r="AK38" s="41" t="n">
        <v>0</v>
      </c>
      <c r="AL38" s="41" t="n">
        <v>0</v>
      </c>
      <c r="AM38" s="41" t="n">
        <v>0</v>
      </c>
      <c r="AN38" s="41" t="n">
        <v>0</v>
      </c>
      <c r="AO38" s="41" t="n">
        <v>0</v>
      </c>
      <c r="AP38" s="41" t="n">
        <v>0</v>
      </c>
      <c r="AQ38" s="41" t="n">
        <v>0</v>
      </c>
      <c r="AR38" s="41" t="n">
        <v>0</v>
      </c>
      <c r="AS38" s="41" t="n">
        <v>0</v>
      </c>
      <c r="AT38" s="41" t="n">
        <v>0</v>
      </c>
      <c r="AU38" s="41" t="n">
        <v>0</v>
      </c>
      <c r="AV38" s="41" t="n">
        <v>0</v>
      </c>
      <c r="AW38" s="41" t="n">
        <v>0</v>
      </c>
      <c r="AX38" s="41" t="n">
        <v>0</v>
      </c>
      <c r="AY38" s="41" t="n">
        <v>0</v>
      </c>
    </row>
    <row r="39">
      <c r="B39" s="49" t="inlineStr">
        <is>
          <t xml:space="preserve">  902000 Taxes (Franchise/State)</t>
        </is>
      </c>
      <c r="D39" s="262" t="n">
        <v>0</v>
      </c>
      <c r="E39" s="262" t="n">
        <v>9041.24</v>
      </c>
      <c r="F39" s="262" t="n">
        <v>1700</v>
      </c>
      <c r="G39" s="262" t="n">
        <v>800</v>
      </c>
      <c r="H39" s="262" t="n">
        <v>0</v>
      </c>
      <c r="I39" s="262" t="n">
        <v>0</v>
      </c>
      <c r="J39" s="262" t="n">
        <v>0</v>
      </c>
      <c r="K39" s="262" t="n">
        <v>0</v>
      </c>
      <c r="L39" s="262" t="n">
        <v>0</v>
      </c>
      <c r="M39" s="262" t="n">
        <v>11790</v>
      </c>
      <c r="N39" s="262" t="n">
        <v>0</v>
      </c>
      <c r="O39" s="262" t="n">
        <v>0</v>
      </c>
      <c r="P39" s="262" t="n"/>
      <c r="Q39" s="262" t="n"/>
      <c r="R39" s="262" t="n"/>
      <c r="S39" s="262" t="n"/>
      <c r="T39" s="40" t="n">
        <v>800</v>
      </c>
      <c r="U39" s="40" t="n">
        <v>11790</v>
      </c>
      <c r="V39" s="40" t="n">
        <v>0</v>
      </c>
      <c r="W39" s="263" t="n"/>
      <c r="X39" s="263" t="n"/>
      <c r="Y39" s="263" t="n"/>
      <c r="Z39" s="263" t="n"/>
      <c r="AA39" s="263" t="n"/>
      <c r="AB39" s="263" t="n"/>
      <c r="AC39" s="263" t="n"/>
      <c r="AD39" s="263" t="n"/>
      <c r="AE39" s="263" t="n"/>
      <c r="AF39" s="263" t="n"/>
      <c r="AG39" s="263" t="n"/>
      <c r="AH39" s="263" t="n"/>
      <c r="AI39" s="263" t="n"/>
      <c r="AJ39" s="263" t="n"/>
      <c r="AK39" s="263" t="n"/>
      <c r="AL39" s="263" t="n"/>
      <c r="AM39" s="263" t="n"/>
      <c r="AN39" s="263" t="n"/>
      <c r="AO39" s="263" t="n"/>
      <c r="AP39" s="263" t="n"/>
      <c r="AQ39" s="263" t="n"/>
      <c r="AR39" s="263" t="n"/>
      <c r="AS39" s="263" t="n"/>
      <c r="AT39" s="263" t="n"/>
      <c r="AU39" s="263" t="n"/>
      <c r="AV39" s="263" t="n"/>
      <c r="AW39" s="263" t="n"/>
      <c r="AX39" s="263" t="n"/>
      <c r="AY39" s="263" t="n"/>
    </row>
    <row r="40">
      <c r="B40" s="49" t="inlineStr">
        <is>
          <t xml:space="preserve">  901000 Interest Expense</t>
        </is>
      </c>
      <c r="D40" s="40" t="n">
        <v>0</v>
      </c>
      <c r="E40" s="40" t="n">
        <v>0</v>
      </c>
      <c r="F40" s="40" t="n">
        <v>0</v>
      </c>
      <c r="G40" s="40" t="n">
        <v>0</v>
      </c>
      <c r="H40" s="40" t="n">
        <v>0</v>
      </c>
      <c r="I40" s="40" t="n">
        <v>0</v>
      </c>
      <c r="J40" s="40" t="n">
        <v>0</v>
      </c>
      <c r="K40" s="40" t="n">
        <v>0</v>
      </c>
      <c r="L40" s="40" t="n">
        <v>0</v>
      </c>
      <c r="M40" s="40" t="n">
        <v>0</v>
      </c>
      <c r="N40" s="40" t="n">
        <v>10812.5</v>
      </c>
      <c r="O40" s="40" t="n">
        <v>10812.5</v>
      </c>
      <c r="P40" s="40" t="n">
        <v>19562.5</v>
      </c>
      <c r="Q40" s="40" t="n">
        <v>19562.5</v>
      </c>
      <c r="R40" s="40" t="n">
        <v>21229.17</v>
      </c>
      <c r="S40" s="40" t="n">
        <v>21229.17</v>
      </c>
      <c r="T40" s="40" t="n">
        <v>21229.17</v>
      </c>
      <c r="U40" s="40" t="n">
        <v>46551.08</v>
      </c>
      <c r="V40" s="40" t="n">
        <v>16833.33</v>
      </c>
      <c r="W40" s="41">
        <f>'Cash Flow Forecast (w prototype'!W49+14026</f>
        <v/>
      </c>
      <c r="X40" s="41">
        <f>'Cash Flow Forecast (w prototype'!X49</f>
        <v/>
      </c>
      <c r="Y40" s="41">
        <f>'Cash Flow Forecast (w prototype'!Y49</f>
        <v/>
      </c>
      <c r="Z40" s="41">
        <f>'Cash Flow Forecast (w prototype'!Z49</f>
        <v/>
      </c>
      <c r="AA40" s="41">
        <f>'Cash Flow Forecast (w prototype'!AA49</f>
        <v/>
      </c>
      <c r="AB40" s="41">
        <f>'Cash Flow Forecast (w prototype'!AB49</f>
        <v/>
      </c>
      <c r="AC40" s="41">
        <f>'Cash Flow Forecast (w prototype'!AC49</f>
        <v/>
      </c>
      <c r="AD40" s="41">
        <f>'Cash Flow Forecast (w prototype'!AD49</f>
        <v/>
      </c>
      <c r="AE40" s="41">
        <f>'Cash Flow Forecast (w prototype'!AE49</f>
        <v/>
      </c>
      <c r="AF40" s="41">
        <f>'Cash Flow Forecast (w prototype'!AF49</f>
        <v/>
      </c>
      <c r="AG40" s="41">
        <f>'Cash Flow Forecast (w prototype'!AG49</f>
        <v/>
      </c>
      <c r="AH40" s="41">
        <f>'Cash Flow Forecast (w prototype'!AH49</f>
        <v/>
      </c>
      <c r="AI40" s="41">
        <f>'Cash Flow Forecast (w prototype'!AI49</f>
        <v/>
      </c>
      <c r="AJ40" s="41">
        <f>'Cash Flow Forecast (w prototype'!AJ49</f>
        <v/>
      </c>
      <c r="AK40" s="41">
        <f>'Cash Flow Forecast (w prototype'!AK49</f>
        <v/>
      </c>
      <c r="AL40" s="41">
        <f>'Cash Flow Forecast (w prototype'!AL49</f>
        <v/>
      </c>
      <c r="AM40" s="41">
        <f>'Cash Flow Forecast (w prototype'!AM49</f>
        <v/>
      </c>
      <c r="AN40" s="41">
        <f>'Cash Flow Forecast (w prototype'!AN49</f>
        <v/>
      </c>
      <c r="AO40" s="41">
        <f>'Cash Flow Forecast (w prototype'!AO49</f>
        <v/>
      </c>
      <c r="AP40" s="41">
        <f>'Cash Flow Forecast (w prototype'!AP49</f>
        <v/>
      </c>
      <c r="AQ40" s="41">
        <f>'Cash Flow Forecast (w prototype'!AQ49</f>
        <v/>
      </c>
      <c r="AR40" s="41">
        <f>'Cash Flow Forecast (w prototype'!AR49</f>
        <v/>
      </c>
      <c r="AS40" s="41">
        <f>'Cash Flow Forecast (w prototype'!AS49</f>
        <v/>
      </c>
      <c r="AT40" s="41">
        <f>'Cash Flow Forecast (w prototype'!AT49</f>
        <v/>
      </c>
      <c r="AU40" s="41">
        <f>'Cash Flow Forecast (w prototype'!AU49</f>
        <v/>
      </c>
      <c r="AV40" s="41">
        <f>'Cash Flow Forecast (w prototype'!AV49</f>
        <v/>
      </c>
      <c r="AW40" s="41">
        <f>'Cash Flow Forecast (w prototype'!AW49</f>
        <v/>
      </c>
      <c r="AX40" s="41">
        <f>'Cash Flow Forecast (w prototype'!AX49</f>
        <v/>
      </c>
      <c r="AY40" s="41">
        <f>'Cash Flow Forecast (w prototype'!AY49</f>
        <v/>
      </c>
    </row>
    <row r="41">
      <c r="B41" s="49" t="inlineStr">
        <is>
          <t xml:space="preserve">  900000 Other Income/(Expense)</t>
        </is>
      </c>
      <c r="D41" s="40" t="n">
        <v>0</v>
      </c>
      <c r="E41" s="40" t="n">
        <v>0</v>
      </c>
      <c r="F41" s="40" t="n">
        <v>0</v>
      </c>
      <c r="G41" s="40" t="n">
        <v>0</v>
      </c>
      <c r="H41" s="40" t="n">
        <v>0</v>
      </c>
      <c r="I41" s="40" t="n">
        <v>0</v>
      </c>
      <c r="J41" s="40" t="n">
        <v>0</v>
      </c>
      <c r="K41" s="40" t="n">
        <v>0</v>
      </c>
      <c r="L41" s="40" t="n">
        <v>12500</v>
      </c>
      <c r="M41" s="40" t="n">
        <v>0</v>
      </c>
      <c r="N41" s="40" t="n">
        <v>0</v>
      </c>
      <c r="O41" s="40" t="n">
        <v>0</v>
      </c>
      <c r="P41" s="40" t="n">
        <v>-22.9</v>
      </c>
      <c r="Q41" s="40" t="n">
        <v>0</v>
      </c>
      <c r="R41" s="40" t="n">
        <v>0</v>
      </c>
      <c r="S41" s="40" t="n">
        <v>11000</v>
      </c>
      <c r="T41" s="40" t="n">
        <v>5000</v>
      </c>
      <c r="U41" s="40" t="n">
        <v>0</v>
      </c>
      <c r="V41" s="40" t="n">
        <v>0</v>
      </c>
      <c r="W41" s="41" t="n">
        <v>0</v>
      </c>
      <c r="X41" s="41" t="n">
        <v>0</v>
      </c>
      <c r="Y41" s="41" t="n">
        <v>0</v>
      </c>
      <c r="Z41" s="41" t="n">
        <v>0</v>
      </c>
      <c r="AA41" s="41" t="n">
        <v>0</v>
      </c>
      <c r="AB41" s="41" t="n">
        <v>0</v>
      </c>
      <c r="AC41" s="41" t="n">
        <v>0</v>
      </c>
      <c r="AD41" s="41" t="n">
        <v>0</v>
      </c>
      <c r="AE41" s="41" t="n">
        <v>0</v>
      </c>
      <c r="AF41" s="41" t="n">
        <v>0</v>
      </c>
      <c r="AG41" s="41" t="n">
        <v>0</v>
      </c>
      <c r="AH41" s="41" t="n">
        <v>0</v>
      </c>
      <c r="AI41" s="41" t="n">
        <v>0</v>
      </c>
      <c r="AJ41" s="41" t="n">
        <v>0</v>
      </c>
      <c r="AK41" s="41" t="n">
        <v>0</v>
      </c>
      <c r="AL41" s="41" t="n">
        <v>0</v>
      </c>
      <c r="AM41" s="41" t="n">
        <v>0</v>
      </c>
      <c r="AN41" s="41" t="n">
        <v>0</v>
      </c>
      <c r="AO41" s="41" t="n">
        <v>0</v>
      </c>
      <c r="AP41" s="41" t="n">
        <v>0</v>
      </c>
      <c r="AQ41" s="41" t="n">
        <v>0</v>
      </c>
      <c r="AR41" s="41" t="n">
        <v>0</v>
      </c>
      <c r="AS41" s="41" t="n">
        <v>0</v>
      </c>
      <c r="AT41" s="41" t="n">
        <v>0</v>
      </c>
      <c r="AU41" s="41" t="n">
        <v>0</v>
      </c>
      <c r="AV41" s="41" t="n">
        <v>0</v>
      </c>
      <c r="AW41" s="41" t="n">
        <v>0</v>
      </c>
      <c r="AX41" s="41" t="n">
        <v>0</v>
      </c>
      <c r="AY41" s="41" t="n">
        <v>0</v>
      </c>
    </row>
    <row r="42">
      <c r="B42" s="50" t="inlineStr">
        <is>
          <t>Total Other Expenses</t>
        </is>
      </c>
      <c r="C42" s="51" t="n"/>
      <c r="D42" s="52">
        <f>SUM(D38:D41)</f>
        <v/>
      </c>
      <c r="E42" s="52">
        <f>SUM(E38:E41)</f>
        <v/>
      </c>
      <c r="F42" s="52">
        <f>SUM(F38:F41)</f>
        <v/>
      </c>
      <c r="G42" s="52">
        <f>SUM(G38:G41)</f>
        <v/>
      </c>
      <c r="H42" s="52">
        <f>SUM(H38:H41)</f>
        <v/>
      </c>
      <c r="I42" s="52">
        <f>SUM(I38:I41)</f>
        <v/>
      </c>
      <c r="J42" s="52">
        <f>SUM(J38:J41)</f>
        <v/>
      </c>
      <c r="K42" s="52">
        <f>SUM(K38:K41)</f>
        <v/>
      </c>
      <c r="L42" s="52">
        <f>SUM(L38:L41)</f>
        <v/>
      </c>
      <c r="M42" s="52">
        <f>SUM(M38:M41)</f>
        <v/>
      </c>
      <c r="N42" s="52">
        <f>SUM(N38:N41)</f>
        <v/>
      </c>
      <c r="O42" s="52">
        <f>SUM(O38:O41)</f>
        <v/>
      </c>
      <c r="P42" s="52">
        <f>SUM(P38:P41)</f>
        <v/>
      </c>
      <c r="Q42" s="52">
        <f>SUM(Q38:Q41)</f>
        <v/>
      </c>
      <c r="R42" s="52">
        <f>SUM(R38:R41)</f>
        <v/>
      </c>
      <c r="S42" s="52">
        <f>SUM(S38:S41)</f>
        <v/>
      </c>
      <c r="T42" s="52">
        <f>SUM(T38:T41)</f>
        <v/>
      </c>
      <c r="U42" s="52">
        <f>SUM(U38:U41)</f>
        <v/>
      </c>
      <c r="V42" s="52">
        <f>SUM(V38:V41)</f>
        <v/>
      </c>
      <c r="W42" s="53">
        <f>W38+W40+W41</f>
        <v/>
      </c>
      <c r="X42" s="53">
        <f>X38+X40+X41</f>
        <v/>
      </c>
      <c r="Y42" s="53">
        <f>Y38+Y40+Y41</f>
        <v/>
      </c>
      <c r="Z42" s="53">
        <f>Z38+Z40+Z41</f>
        <v/>
      </c>
      <c r="AA42" s="53">
        <f>AA38+AA40+AA41</f>
        <v/>
      </c>
      <c r="AB42" s="53">
        <f>AB38+AB40+AB41</f>
        <v/>
      </c>
      <c r="AC42" s="53">
        <f>AC38+AC40+AC41</f>
        <v/>
      </c>
      <c r="AD42" s="53">
        <f>AD38+AD40+AD41</f>
        <v/>
      </c>
      <c r="AE42" s="53">
        <f>AE38+AE40+AE41</f>
        <v/>
      </c>
      <c r="AF42" s="53">
        <f>AF38+AF40+AF41</f>
        <v/>
      </c>
      <c r="AG42" s="53">
        <f>AG38+AG40+AG41</f>
        <v/>
      </c>
      <c r="AH42" s="53">
        <f>AH38+AH40+AH41</f>
        <v/>
      </c>
      <c r="AI42" s="53">
        <f>AI38+AI40+AI41</f>
        <v/>
      </c>
      <c r="AJ42" s="53">
        <f>AJ38+AJ40+AJ41</f>
        <v/>
      </c>
      <c r="AK42" s="53">
        <f>AK38+AK40+AK41</f>
        <v/>
      </c>
      <c r="AL42" s="53">
        <f>AL38+AL40+AL41</f>
        <v/>
      </c>
      <c r="AM42" s="53">
        <f>AM38+AM40+AM41</f>
        <v/>
      </c>
      <c r="AN42" s="53">
        <f>AN38+AN40+AN41</f>
        <v/>
      </c>
      <c r="AO42" s="53">
        <f>AO38+AO40+AO41</f>
        <v/>
      </c>
      <c r="AP42" s="53">
        <f>AP38+AP40+AP41</f>
        <v/>
      </c>
      <c r="AQ42" s="53">
        <f>AQ38+AQ40+AQ41</f>
        <v/>
      </c>
      <c r="AR42" s="53">
        <f>AR38+AR40+AR41</f>
        <v/>
      </c>
      <c r="AS42" s="53">
        <f>AS38+AS40+AS41</f>
        <v/>
      </c>
      <c r="AT42" s="53">
        <f>AT38+AT40+AT41</f>
        <v/>
      </c>
      <c r="AU42" s="53">
        <f>AU38+AU40+AU41</f>
        <v/>
      </c>
      <c r="AV42" s="53">
        <f>AV38+AV40+AV41</f>
        <v/>
      </c>
      <c r="AW42" s="53">
        <f>AW38+AW40+AW41</f>
        <v/>
      </c>
      <c r="AX42" s="53">
        <f>AX38+AX40+AX41</f>
        <v/>
      </c>
      <c r="AY42" s="53">
        <f>AY38+AY40+AY41</f>
        <v/>
      </c>
    </row>
    <row r="43">
      <c r="B43" s="50" t="inlineStr">
        <is>
          <t>NET INCOME</t>
        </is>
      </c>
      <c r="C43" s="51" t="n"/>
      <c r="D43" s="52">
        <f>D36-D42</f>
        <v/>
      </c>
      <c r="E43" s="52">
        <f>E36-E42</f>
        <v/>
      </c>
      <c r="F43" s="52">
        <f>F36-F42</f>
        <v/>
      </c>
      <c r="G43" s="52">
        <f>G36-G42</f>
        <v/>
      </c>
      <c r="H43" s="52">
        <f>H36-H42</f>
        <v/>
      </c>
      <c r="I43" s="52">
        <f>I36-I42</f>
        <v/>
      </c>
      <c r="J43" s="52">
        <f>J36-J42</f>
        <v/>
      </c>
      <c r="K43" s="52">
        <f>K36-K42</f>
        <v/>
      </c>
      <c r="L43" s="52">
        <f>L36-L42</f>
        <v/>
      </c>
      <c r="M43" s="52">
        <f>M36-M42</f>
        <v/>
      </c>
      <c r="N43" s="52">
        <f>N36-N42</f>
        <v/>
      </c>
      <c r="O43" s="52">
        <f>O36-O42</f>
        <v/>
      </c>
      <c r="P43" s="52">
        <f>P36-P42</f>
        <v/>
      </c>
      <c r="Q43" s="52">
        <f>Q36-Q42</f>
        <v/>
      </c>
      <c r="R43" s="52">
        <f>R36-R42</f>
        <v/>
      </c>
      <c r="S43" s="52">
        <f>S36-S42</f>
        <v/>
      </c>
      <c r="T43" s="52">
        <f>T36-T42</f>
        <v/>
      </c>
      <c r="U43" s="52">
        <f>U36-U42</f>
        <v/>
      </c>
      <c r="V43" s="52">
        <f>V36-V42</f>
        <v/>
      </c>
      <c r="W43" s="53">
        <f>W36-W42</f>
        <v/>
      </c>
      <c r="X43" s="53">
        <f>X36-X42</f>
        <v/>
      </c>
      <c r="Y43" s="53">
        <f>Y36-Y42</f>
        <v/>
      </c>
      <c r="Z43" s="53">
        <f>Z36-Z42</f>
        <v/>
      </c>
      <c r="AA43" s="53">
        <f>AA36-AA42</f>
        <v/>
      </c>
      <c r="AB43" s="53">
        <f>AB36-AB42</f>
        <v/>
      </c>
      <c r="AC43" s="53">
        <f>AC36-AC42</f>
        <v/>
      </c>
      <c r="AD43" s="53">
        <f>AD36-AD42</f>
        <v/>
      </c>
      <c r="AE43" s="53">
        <f>AE36-AE42</f>
        <v/>
      </c>
      <c r="AF43" s="53">
        <f>AF36-AF42</f>
        <v/>
      </c>
      <c r="AG43" s="53">
        <f>AG36-AG42</f>
        <v/>
      </c>
      <c r="AH43" s="53">
        <f>AH36-AH42</f>
        <v/>
      </c>
      <c r="AI43" s="53">
        <f>AI36-AI42</f>
        <v/>
      </c>
      <c r="AJ43" s="53">
        <f>AJ36-AJ42</f>
        <v/>
      </c>
      <c r="AK43" s="53">
        <f>AK36-AK42</f>
        <v/>
      </c>
      <c r="AL43" s="53">
        <f>AL36-AL42</f>
        <v/>
      </c>
      <c r="AM43" s="53">
        <f>AM36-AM42</f>
        <v/>
      </c>
      <c r="AN43" s="53">
        <f>AN36-AN42</f>
        <v/>
      </c>
      <c r="AO43" s="53">
        <f>AO36-AO42</f>
        <v/>
      </c>
      <c r="AP43" s="53">
        <f>AP36-AP42</f>
        <v/>
      </c>
      <c r="AQ43" s="53">
        <f>AQ36-AQ42</f>
        <v/>
      </c>
      <c r="AR43" s="53">
        <f>AR36-AR42</f>
        <v/>
      </c>
      <c r="AS43" s="53">
        <f>AS36-AS42</f>
        <v/>
      </c>
      <c r="AT43" s="53">
        <f>AT36-AT42</f>
        <v/>
      </c>
      <c r="AU43" s="53">
        <f>AU36-AU42</f>
        <v/>
      </c>
      <c r="AV43" s="53">
        <f>AV36-AV42</f>
        <v/>
      </c>
      <c r="AW43" s="53">
        <f>AW36-AW42</f>
        <v/>
      </c>
      <c r="AX43" s="53">
        <f>AX36-AX42</f>
        <v/>
      </c>
      <c r="AY43" s="53">
        <f>AY36-AY42</f>
        <v/>
      </c>
    </row>
    <row r="44"/>
    <row r="45"/>
    <row r="46"/>
    <row r="47">
      <c r="K47" s="87" t="n"/>
      <c r="L47" s="8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FFFFD966"/>
    <outlinePr summaryBelow="1" summaryRight="1"/>
    <pageSetUpPr/>
  </sheetPr>
  <dimension ref="B2:G15"/>
  <sheetViews>
    <sheetView showGridLines="0" topLeftCell="B1" workbookViewId="0">
      <selection activeCell="B1" sqref="B1"/>
    </sheetView>
  </sheetViews>
  <sheetFormatPr baseColWidth="10" defaultColWidth="8.83203125" defaultRowHeight="15"/>
  <cols>
    <col hidden="1" width="2" customWidth="1" style="282" min="1" max="1"/>
    <col width="30" customWidth="1" style="282" min="2" max="2"/>
    <col width="14" customWidth="1" style="282" min="3" max="3"/>
    <col width="16" customWidth="1" style="282" min="4" max="4"/>
    <col width="14" customWidth="1" style="282" min="5" max="7"/>
  </cols>
  <sheetData>
    <row r="2" ht="21" customHeight="1" s="282">
      <c r="B2" s="9" t="inlineStr">
        <is>
          <t>CapEx &amp; Studio Buildout</t>
        </is>
      </c>
    </row>
    <row r="3">
      <c r="B3" s="3" t="inlineStr">
        <is>
          <t>Add planned capital expenditures here. Outflows feed Cash Flow Forecast investing section.</t>
        </is>
      </c>
    </row>
    <row r="4" ht="16" customHeight="1" s="282">
      <c r="B4" s="10" t="inlineStr">
        <is>
          <t>Projects</t>
        </is>
      </c>
      <c r="C4" s="11" t="n"/>
      <c r="D4" s="11" t="n"/>
      <c r="E4" s="11" t="n"/>
      <c r="F4" s="11" t="n"/>
      <c r="G4" s="11" t="n"/>
    </row>
    <row r="5">
      <c r="B5" s="14" t="inlineStr">
        <is>
          <t>Project</t>
        </is>
      </c>
      <c r="C5" s="14" t="inlineStr">
        <is>
          <t>Type</t>
        </is>
      </c>
      <c r="D5" s="14" t="inlineStr">
        <is>
          <t>Location</t>
        </is>
      </c>
      <c r="E5" s="14" t="inlineStr">
        <is>
          <t>Total Budget</t>
        </is>
      </c>
      <c r="F5" s="14" t="inlineStr">
        <is>
          <t>Start Month</t>
        </is>
      </c>
      <c r="G5" s="14" t="inlineStr">
        <is>
          <t>Duration (mo)</t>
        </is>
      </c>
    </row>
    <row r="6">
      <c r="B6" s="72" t="inlineStr">
        <is>
          <t>West Portal Build-Out</t>
        </is>
      </c>
      <c r="C6" s="72" t="inlineStr">
        <is>
          <t>WP</t>
        </is>
      </c>
      <c r="D6" s="72" t="inlineStr">
        <is>
          <t>WP</t>
        </is>
      </c>
      <c r="E6" s="73" t="n">
        <v>400000</v>
      </c>
      <c r="F6" s="266" t="inlineStr">
        <is>
          <t>2026-09</t>
        </is>
      </c>
      <c r="G6" s="74" t="n">
        <v>2</v>
      </c>
    </row>
    <row r="7">
      <c r="B7" s="72" t="inlineStr">
        <is>
          <t>Santa Monica Redo</t>
        </is>
      </c>
      <c r="C7" s="72" t="inlineStr">
        <is>
          <t>SM</t>
        </is>
      </c>
      <c r="D7" s="72" t="inlineStr">
        <is>
          <t>SM</t>
        </is>
      </c>
      <c r="E7" s="73" t="n">
        <v>225000</v>
      </c>
      <c r="F7" s="266" t="inlineStr">
        <is>
          <t>2026-09</t>
        </is>
      </c>
      <c r="G7" s="74" t="n">
        <v>1</v>
      </c>
    </row>
    <row r="8">
      <c r="B8" s="38" t="n"/>
      <c r="C8" s="38" t="n"/>
      <c r="D8" s="38" t="n"/>
      <c r="E8" s="38" t="n"/>
      <c r="F8" s="38" t="n"/>
      <c r="G8" s="38" t="n"/>
    </row>
    <row r="9">
      <c r="B9" s="38" t="n"/>
      <c r="C9" s="38" t="n"/>
      <c r="D9" s="38" t="n"/>
      <c r="E9" s="38" t="n"/>
      <c r="F9" s="38" t="n"/>
      <c r="G9" s="38" t="n"/>
    </row>
    <row r="10">
      <c r="B10" s="38" t="n"/>
      <c r="C10" s="38" t="n"/>
      <c r="D10" s="38" t="n"/>
      <c r="E10" s="38" t="n"/>
      <c r="F10" s="38" t="n"/>
      <c r="G10" s="38" t="n"/>
    </row>
    <row r="11">
      <c r="B11" s="38" t="n"/>
      <c r="C11" s="38" t="n"/>
      <c r="D11" s="38" t="n"/>
      <c r="E11" s="38" t="n"/>
      <c r="F11" s="38" t="n"/>
      <c r="G11" s="38" t="n"/>
    </row>
    <row r="12">
      <c r="B12" s="38" t="n"/>
      <c r="C12" s="38" t="n"/>
      <c r="D12" s="38" t="n"/>
      <c r="E12" s="38" t="n"/>
      <c r="F12" s="38" t="n"/>
      <c r="G12" s="38" t="n"/>
    </row>
    <row r="13">
      <c r="B13" s="38" t="n"/>
      <c r="C13" s="38" t="n"/>
      <c r="D13" s="38" t="n"/>
      <c r="E13" s="38" t="n"/>
      <c r="F13" s="38" t="n"/>
      <c r="G13" s="38" t="n"/>
    </row>
    <row r="14">
      <c r="B14" s="38" t="n"/>
      <c r="C14" s="38" t="n"/>
      <c r="D14" s="38" t="n"/>
      <c r="E14" s="38" t="n"/>
      <c r="F14" s="38" t="n"/>
      <c r="G14" s="38" t="n"/>
    </row>
    <row r="15">
      <c r="B15" s="38" t="n"/>
      <c r="C15" s="38" t="n"/>
      <c r="D15" s="38" t="n"/>
      <c r="E15" s="38" t="n"/>
      <c r="F15" s="38" t="n"/>
      <c r="G15" s="38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FF7030A0"/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tabColor rgb="FF7030A0"/>
    <outlinePr summaryBelow="1" summaryRight="1"/>
    <pageSetUpPr/>
  </sheetPr>
  <dimension ref="A1:BQ60"/>
  <sheetViews>
    <sheetView showGridLines="0" zoomScale="70" zoomScaleNormal="70" workbookViewId="0">
      <pane xSplit="1" topLeftCell="B1" activePane="topRight" state="frozen"/>
      <selection activeCell="B11" sqref="B11"/>
      <selection pane="topRight" activeCell="B1" sqref="B1"/>
    </sheetView>
  </sheetViews>
  <sheetFormatPr baseColWidth="10" defaultColWidth="9" defaultRowHeight="16"/>
  <cols>
    <col width="42.6640625" customWidth="1" style="140" min="1" max="1"/>
    <col width="11.33203125" customWidth="1" style="140" min="2" max="61"/>
    <col width="2.5" customWidth="1" style="140" min="62" max="62"/>
    <col width="11.6640625" customWidth="1" style="140" min="63" max="67"/>
    <col width="2.83203125" customWidth="1" style="140" min="68" max="68"/>
    <col width="76.5" customWidth="1" style="140" min="69" max="69"/>
    <col width="9" customWidth="1" style="140" min="70" max="75"/>
    <col width="9" customWidth="1" style="140" min="76" max="16384"/>
  </cols>
  <sheetData>
    <row r="1" ht="21" customHeight="1" s="282">
      <c r="A1" s="184" t="inlineStr">
        <is>
          <t>Mighty Pilates — Prototype Studio Model</t>
        </is>
      </c>
    </row>
    <row r="3">
      <c r="A3" s="142" t="inlineStr">
        <is>
          <t>KEY ASSUMPTIONS (editable inputs in blue)</t>
        </is>
      </c>
      <c r="G3" s="183" t="inlineStr">
        <is>
          <t>Basis / Source</t>
        </is>
      </c>
      <c r="BQ3" s="148" t="n"/>
    </row>
    <row r="4">
      <c r="A4" s="140" t="inlineStr">
        <is>
          <t>Prototype configuration</t>
        </is>
      </c>
      <c r="C4" s="182" t="inlineStr">
        <is>
          <t>Single Studio · Warm · Tier 1</t>
        </is>
      </c>
      <c r="G4" s="177" t="inlineStr">
        <is>
          <t>Per Cricket: future openings are Tier 1, single-classroom "Warm" studios.</t>
        </is>
      </c>
      <c r="BQ4" s="148" t="n"/>
    </row>
    <row r="5">
      <c r="A5" s="140" t="inlineStr">
        <is>
          <t>Stabilized monthly revenue (Yr 1 exit run-rate)</t>
        </is>
      </c>
      <c r="C5" s="308">
        <f>'All Calculations'!T12</f>
        <v/>
      </c>
      <c r="G5" s="177" t="inlineStr">
        <is>
          <t>Stabilized run-rate is linked to the model's Tier 1 Single Warm month-12 exit value = $95K. Russian Hill is the Tier 1 EBITDA proxy Cricket referenced.</t>
        </is>
      </c>
      <c r="BQ5" s="148" t="n"/>
    </row>
    <row r="6">
      <c r="A6" s="140" t="inlineStr">
        <is>
          <t>Annual revenue growth (Yr 2–5)</t>
        </is>
      </c>
      <c r="C6" s="257">
        <f>Assumptions!C25</f>
        <v/>
      </c>
      <c r="G6" s="177" t="inlineStr">
        <is>
          <t>Tied to management assumptions tab</t>
        </is>
      </c>
      <c r="BQ6" s="148" t="n"/>
    </row>
    <row r="7">
      <c r="A7" s="140" t="inlineStr">
        <is>
          <t>OpEx inflation (Yr 2–5)</t>
        </is>
      </c>
      <c r="C7" s="257">
        <f>Assumptions!C24</f>
        <v/>
      </c>
      <c r="G7" s="177" t="inlineStr">
        <is>
          <t>Tied to management assumptions tab</t>
        </is>
      </c>
      <c r="BQ7" s="148" t="n"/>
    </row>
    <row r="8" ht="17" customHeight="1" s="282" thickBot="1">
      <c r="A8" s="140" t="inlineStr">
        <is>
          <t>Model start / open month (Month 1)</t>
        </is>
      </c>
      <c r="C8" s="309">
        <f>DATE(2027,1,1)</f>
        <v/>
      </c>
      <c r="G8" s="177" t="inlineStr">
        <is>
          <t>Your instruction: first studio built / opens January 2027. Drives all month labels.</t>
        </is>
      </c>
      <c r="BQ8" s="148" t="n"/>
    </row>
    <row r="9" ht="52" customHeight="1" s="282" thickBot="1">
      <c r="A9" s="142" t="inlineStr">
        <is>
          <t>PROTOTYPE BUILDOUT COST</t>
        </is>
      </c>
      <c r="C9" s="179" t="inlineStr">
        <is>
          <t>Ocean Park (source)</t>
        </is>
      </c>
      <c r="D9" s="179" t="inlineStr">
        <is>
          <t>Santa Barbara (source)</t>
        </is>
      </c>
      <c r="E9" s="178" t="inlineStr">
        <is>
          <t>Santa Barbara</t>
        </is>
      </c>
      <c r="G9" s="177" t="n"/>
      <c r="BQ9" s="148" t="n"/>
    </row>
    <row r="10">
      <c r="A10" s="168" t="inlineStr">
        <is>
          <t>Soft Costs</t>
        </is>
      </c>
      <c r="B10" s="171" t="n"/>
      <c r="C10" s="171" t="n"/>
      <c r="D10" s="171" t="n"/>
      <c r="E10" s="176" t="n"/>
      <c r="BQ10" s="148" t="n"/>
    </row>
    <row r="11">
      <c r="A11" s="171" t="inlineStr">
        <is>
          <t xml:space="preserve">   Retail Space</t>
        </is>
      </c>
      <c r="B11" s="171" t="n"/>
      <c r="C11" s="310" t="n">
        <v>54325</v>
      </c>
      <c r="D11" s="310" t="n">
        <v>24024</v>
      </c>
      <c r="E11" s="311">
        <f>IF($E$9="Ocean Park",C11,D11)</f>
        <v/>
      </c>
      <c r="BQ11" s="148" t="n"/>
    </row>
    <row r="12">
      <c r="A12" s="171" t="inlineStr">
        <is>
          <t xml:space="preserve">   Architectural Fees</t>
        </is>
      </c>
      <c r="B12" s="171" t="n"/>
      <c r="C12" s="310" t="n">
        <v>5897</v>
      </c>
      <c r="D12" s="310" t="n">
        <v>5897</v>
      </c>
      <c r="E12" s="311">
        <f>IF($E$9="Ocean Park",C12,D12)</f>
        <v/>
      </c>
      <c r="BQ12" s="148" t="n"/>
    </row>
    <row r="13">
      <c r="A13" s="171" t="inlineStr">
        <is>
          <t xml:space="preserve">   Marketing</t>
        </is>
      </c>
      <c r="B13" s="171" t="n"/>
      <c r="C13" s="310" t="n">
        <v>8400</v>
      </c>
      <c r="D13" s="310" t="n">
        <v>10900</v>
      </c>
      <c r="E13" s="311">
        <f>IF($E$9="Ocean Park",C13,D13)</f>
        <v/>
      </c>
      <c r="BQ13" s="148" t="n"/>
    </row>
    <row r="14">
      <c r="A14" s="171" t="inlineStr">
        <is>
          <t xml:space="preserve">   Project Management</t>
        </is>
      </c>
      <c r="B14" s="171" t="n"/>
      <c r="C14" s="310" t="n">
        <v>5000</v>
      </c>
      <c r="D14" s="310" t="n">
        <v>13000</v>
      </c>
      <c r="E14" s="311">
        <f>IF($E$9="Ocean Park",C14,D14)</f>
        <v/>
      </c>
      <c r="BQ14" s="148" t="n"/>
    </row>
    <row r="15">
      <c r="A15" s="171" t="inlineStr">
        <is>
          <t xml:space="preserve">   Consultant Fees</t>
        </is>
      </c>
      <c r="B15" s="171" t="n"/>
      <c r="C15" s="310" t="n">
        <v>1100</v>
      </c>
      <c r="D15" s="310" t="n">
        <v>3800</v>
      </c>
      <c r="E15" s="311">
        <f>IF($E$9="Ocean Park",C15,D15)</f>
        <v/>
      </c>
      <c r="BQ15" s="148" t="n"/>
    </row>
    <row r="16">
      <c r="A16" s="171" t="inlineStr">
        <is>
          <t xml:space="preserve">   Permit Fees &amp; Impact Fees</t>
        </is>
      </c>
      <c r="B16" s="171" t="n"/>
      <c r="C16" s="310" t="n">
        <v>3631</v>
      </c>
      <c r="D16" s="310" t="n">
        <v>3600</v>
      </c>
      <c r="E16" s="311">
        <f>IF($E$9="Ocean Park",C16,D16)</f>
        <v/>
      </c>
      <c r="BQ16" s="148" t="n"/>
    </row>
    <row r="17">
      <c r="A17" s="171" t="inlineStr">
        <is>
          <t xml:space="preserve">   Other Soft Costs</t>
        </is>
      </c>
      <c r="B17" s="171" t="n"/>
      <c r="C17" s="310" t="n">
        <v>0</v>
      </c>
      <c r="D17" s="310" t="n">
        <v>0</v>
      </c>
      <c r="E17" s="311">
        <f>IF($E$9="Ocean Park",C17,D17)</f>
        <v/>
      </c>
      <c r="BQ17" s="148" t="n"/>
    </row>
    <row r="18">
      <c r="A18" s="168" t="inlineStr">
        <is>
          <t xml:space="preserve">   Total Soft Costs</t>
        </is>
      </c>
      <c r="B18" s="168" t="n"/>
      <c r="C18" s="312">
        <f>SUM(C11:C17)</f>
        <v/>
      </c>
      <c r="D18" s="312">
        <f>SUM(D11:D17)</f>
        <v/>
      </c>
      <c r="E18" s="313">
        <f>IF($E$9="Ocean Park",C18,D18)</f>
        <v/>
      </c>
      <c r="BQ18" s="148" t="n"/>
    </row>
    <row r="19">
      <c r="A19" s="168" t="inlineStr">
        <is>
          <t>Hard Costs</t>
        </is>
      </c>
      <c r="B19" s="171" t="n"/>
      <c r="C19" s="314" t="n"/>
      <c r="D19" s="314" t="n"/>
      <c r="E19" s="311" t="n"/>
      <c r="BQ19" s="148" t="n"/>
    </row>
    <row r="20">
      <c r="A20" s="171" t="inlineStr">
        <is>
          <t xml:space="preserve">   Upfit</t>
        </is>
      </c>
      <c r="B20" s="171" t="n"/>
      <c r="C20" s="310" t="n">
        <v>52533</v>
      </c>
      <c r="D20" s="310" t="n">
        <v>130500</v>
      </c>
      <c r="E20" s="311">
        <f>IF($E$9="Ocean Park",C20,D20)</f>
        <v/>
      </c>
      <c r="BQ20" s="148" t="n"/>
    </row>
    <row r="21">
      <c r="A21" s="171" t="inlineStr">
        <is>
          <t xml:space="preserve">   Other Hard Costs</t>
        </is>
      </c>
      <c r="B21" s="171" t="n"/>
      <c r="C21" s="310" t="n">
        <v>0</v>
      </c>
      <c r="D21" s="310" t="n">
        <v>0</v>
      </c>
      <c r="E21" s="311">
        <f>IF($E$9="Ocean Park",C21,D21)</f>
        <v/>
      </c>
      <c r="BQ21" s="148" t="n"/>
    </row>
    <row r="22">
      <c r="A22" s="168" t="inlineStr">
        <is>
          <t xml:space="preserve">   Total Hard Costs</t>
        </is>
      </c>
      <c r="B22" s="168" t="n"/>
      <c r="C22" s="312">
        <f>SUM(C20:C21)</f>
        <v/>
      </c>
      <c r="D22" s="312">
        <f>SUM(D20:D21)</f>
        <v/>
      </c>
      <c r="E22" s="313">
        <f>IF($E$9="Ocean Park",C22,D22)</f>
        <v/>
      </c>
      <c r="BQ22" s="148" t="n"/>
    </row>
    <row r="23">
      <c r="A23" s="168" t="inlineStr">
        <is>
          <t>FF&amp;E</t>
        </is>
      </c>
      <c r="B23" s="171" t="n"/>
      <c r="C23" s="314" t="n"/>
      <c r="D23" s="314" t="n"/>
      <c r="E23" s="311" t="n"/>
      <c r="BQ23" s="148" t="n"/>
    </row>
    <row r="24">
      <c r="A24" s="171" t="inlineStr">
        <is>
          <t xml:space="preserve">   Gym Equipment</t>
        </is>
      </c>
      <c r="B24" s="171" t="n"/>
      <c r="C24" s="310" t="n">
        <v>82790</v>
      </c>
      <c r="D24" s="310" t="n">
        <v>82277</v>
      </c>
      <c r="E24" s="311">
        <f>IF($E$9="Ocean Park",C24,D24)</f>
        <v/>
      </c>
      <c r="BQ24" s="148" t="n"/>
    </row>
    <row r="25">
      <c r="A25" s="171" t="inlineStr">
        <is>
          <t xml:space="preserve">   Furniture</t>
        </is>
      </c>
      <c r="B25" s="171" t="n"/>
      <c r="C25" s="310" t="n">
        <v>24191</v>
      </c>
      <c r="D25" s="310" t="n">
        <v>28100</v>
      </c>
      <c r="E25" s="311">
        <f>IF($E$9="Ocean Park",C25,D25)</f>
        <v/>
      </c>
      <c r="BQ25" s="148" t="n"/>
    </row>
    <row r="26">
      <c r="A26" s="171" t="inlineStr">
        <is>
          <t xml:space="preserve">   Misc.</t>
        </is>
      </c>
      <c r="B26" s="171" t="n"/>
      <c r="C26" s="310" t="n">
        <v>14200</v>
      </c>
      <c r="D26" s="310" t="n">
        <v>17800</v>
      </c>
      <c r="E26" s="311">
        <f>IF($E$9="Ocean Park",C26,D26)</f>
        <v/>
      </c>
      <c r="BQ26" s="148" t="n"/>
    </row>
    <row r="27">
      <c r="A27" s="168" t="inlineStr">
        <is>
          <t xml:space="preserve">   Total FF&amp;E</t>
        </is>
      </c>
      <c r="B27" s="168" t="n"/>
      <c r="C27" s="312">
        <f>SUM(C24:C26)</f>
        <v/>
      </c>
      <c r="D27" s="312">
        <f>SUM(D24:D26)</f>
        <v/>
      </c>
      <c r="E27" s="311">
        <f>IF($E$9="Ocean Park",C27,D27)</f>
        <v/>
      </c>
      <c r="BQ27" s="148" t="n"/>
    </row>
    <row r="28">
      <c r="A28" s="168" t="inlineStr">
        <is>
          <t>SUBTOTAL</t>
        </is>
      </c>
      <c r="B28" s="168" t="n"/>
      <c r="C28" s="312">
        <f>C18+C22+C27</f>
        <v/>
      </c>
      <c r="D28" s="312">
        <f>D18+D22+D27</f>
        <v/>
      </c>
      <c r="E28" s="311">
        <f>IF($E$9="Ocean Park",C28,D28)</f>
        <v/>
      </c>
      <c r="BQ28" s="148" t="n"/>
    </row>
    <row r="29">
      <c r="A29" s="171" t="inlineStr">
        <is>
          <t>Owner's Contingency</t>
        </is>
      </c>
      <c r="B29" s="171" t="n"/>
      <c r="C29" s="310" t="n">
        <v>0</v>
      </c>
      <c r="D29" s="310" t="n">
        <v>0</v>
      </c>
      <c r="E29" s="315">
        <f>IF($E$9="Ocean Park",C29,D29)</f>
        <v/>
      </c>
      <c r="BQ29" s="148" t="n"/>
    </row>
    <row r="30" ht="17" customHeight="1" s="282" thickBot="1">
      <c r="A30" s="168" t="inlineStr">
        <is>
          <t>TOTAL BUILDOUT</t>
        </is>
      </c>
      <c r="B30" s="168" t="n"/>
      <c r="C30" s="316">
        <f>C28+C29</f>
        <v/>
      </c>
      <c r="D30" s="316">
        <f>D28+D29</f>
        <v/>
      </c>
      <c r="E30" s="317">
        <f>IF($E$9="Ocean Park",C30,D30)</f>
        <v/>
      </c>
      <c r="BQ30" s="148" t="n"/>
    </row>
    <row r="31">
      <c r="BQ31" s="148" t="n"/>
    </row>
    <row r="32">
      <c r="A32" s="142" t="inlineStr">
        <is>
          <t>MONTHLY P&amp;L — 60 MONTHS + ANNUAL ROLLUP</t>
        </is>
      </c>
      <c r="BQ32" s="148" t="n"/>
    </row>
    <row r="33" ht="16" customHeight="1" s="282">
      <c r="A33" s="165" t="inlineStr">
        <is>
          <t>Month #</t>
        </is>
      </c>
      <c r="B33" s="164">
        <f>$C$8</f>
        <v/>
      </c>
      <c r="C33" s="164">
        <f>EDATE(B33,1)</f>
        <v/>
      </c>
      <c r="D33" s="164">
        <f>EDATE(C33,1)</f>
        <v/>
      </c>
      <c r="E33" s="164">
        <f>EDATE(D33,1)</f>
        <v/>
      </c>
      <c r="F33" s="164">
        <f>EDATE(E33,1)</f>
        <v/>
      </c>
      <c r="G33" s="164">
        <f>EDATE(F33,1)</f>
        <v/>
      </c>
      <c r="H33" s="164">
        <f>EDATE(G33,1)</f>
        <v/>
      </c>
      <c r="I33" s="164">
        <f>EDATE(H33,1)</f>
        <v/>
      </c>
      <c r="J33" s="164">
        <f>EDATE(I33,1)</f>
        <v/>
      </c>
      <c r="K33" s="164">
        <f>EDATE(J33,1)</f>
        <v/>
      </c>
      <c r="L33" s="164">
        <f>EDATE(K33,1)</f>
        <v/>
      </c>
      <c r="M33" s="164">
        <f>EDATE(L33,1)</f>
        <v/>
      </c>
      <c r="N33" s="164">
        <f>EDATE(M33,1)</f>
        <v/>
      </c>
      <c r="O33" s="164">
        <f>EDATE(N33,1)</f>
        <v/>
      </c>
      <c r="P33" s="164">
        <f>EDATE(O33,1)</f>
        <v/>
      </c>
      <c r="Q33" s="164">
        <f>EDATE(P33,1)</f>
        <v/>
      </c>
      <c r="R33" s="164">
        <f>EDATE(Q33,1)</f>
        <v/>
      </c>
      <c r="S33" s="164">
        <f>EDATE(R33,1)</f>
        <v/>
      </c>
      <c r="T33" s="164">
        <f>EDATE(S33,1)</f>
        <v/>
      </c>
      <c r="U33" s="164">
        <f>EDATE(T33,1)</f>
        <v/>
      </c>
      <c r="V33" s="164">
        <f>EDATE(U33,1)</f>
        <v/>
      </c>
      <c r="W33" s="164">
        <f>EDATE(V33,1)</f>
        <v/>
      </c>
      <c r="X33" s="164">
        <f>EDATE(W33,1)</f>
        <v/>
      </c>
      <c r="Y33" s="164">
        <f>EDATE(X33,1)</f>
        <v/>
      </c>
      <c r="Z33" s="164">
        <f>EDATE(Y33,1)</f>
        <v/>
      </c>
      <c r="AA33" s="164">
        <f>EDATE(Z33,1)</f>
        <v/>
      </c>
      <c r="AB33" s="164">
        <f>EDATE(AA33,1)</f>
        <v/>
      </c>
      <c r="AC33" s="164">
        <f>EDATE(AB33,1)</f>
        <v/>
      </c>
      <c r="AD33" s="164">
        <f>EDATE(AC33,1)</f>
        <v/>
      </c>
      <c r="AE33" s="164">
        <f>EDATE(AD33,1)</f>
        <v/>
      </c>
      <c r="AF33" s="164">
        <f>EDATE(AE33,1)</f>
        <v/>
      </c>
      <c r="AG33" s="164">
        <f>EDATE(AF33,1)</f>
        <v/>
      </c>
      <c r="AH33" s="164">
        <f>EDATE(AG33,1)</f>
        <v/>
      </c>
      <c r="AI33" s="164">
        <f>EDATE(AH33,1)</f>
        <v/>
      </c>
      <c r="AJ33" s="164">
        <f>EDATE(AI33,1)</f>
        <v/>
      </c>
      <c r="AK33" s="164">
        <f>EDATE(AJ33,1)</f>
        <v/>
      </c>
      <c r="AL33" s="164">
        <f>EDATE(AK33,1)</f>
        <v/>
      </c>
      <c r="AM33" s="164">
        <f>EDATE(AL33,1)</f>
        <v/>
      </c>
      <c r="AN33" s="164">
        <f>EDATE(AM33,1)</f>
        <v/>
      </c>
      <c r="AO33" s="164">
        <f>EDATE(AN33,1)</f>
        <v/>
      </c>
      <c r="AP33" s="164">
        <f>EDATE(AO33,1)</f>
        <v/>
      </c>
      <c r="AQ33" s="164">
        <f>EDATE(AP33,1)</f>
        <v/>
      </c>
      <c r="AR33" s="164">
        <f>EDATE(AQ33,1)</f>
        <v/>
      </c>
      <c r="AS33" s="164">
        <f>EDATE(AR33,1)</f>
        <v/>
      </c>
      <c r="AT33" s="164">
        <f>EDATE(AS33,1)</f>
        <v/>
      </c>
      <c r="AU33" s="164">
        <f>EDATE(AT33,1)</f>
        <v/>
      </c>
      <c r="AV33" s="164">
        <f>EDATE(AU33,1)</f>
        <v/>
      </c>
      <c r="AW33" s="164">
        <f>EDATE(AV33,1)</f>
        <v/>
      </c>
      <c r="AX33" s="164">
        <f>EDATE(AW33,1)</f>
        <v/>
      </c>
      <c r="AY33" s="164">
        <f>EDATE(AX33,1)</f>
        <v/>
      </c>
      <c r="AZ33" s="164">
        <f>EDATE(AY33,1)</f>
        <v/>
      </c>
      <c r="BA33" s="164">
        <f>EDATE(AZ33,1)</f>
        <v/>
      </c>
      <c r="BB33" s="164">
        <f>EDATE(BA33,1)</f>
        <v/>
      </c>
      <c r="BC33" s="164">
        <f>EDATE(BB33,1)</f>
        <v/>
      </c>
      <c r="BD33" s="164">
        <f>EDATE(BC33,1)</f>
        <v/>
      </c>
      <c r="BE33" s="164">
        <f>EDATE(BD33,1)</f>
        <v/>
      </c>
      <c r="BF33" s="164">
        <f>EDATE(BE33,1)</f>
        <v/>
      </c>
      <c r="BG33" s="164">
        <f>EDATE(BF33,1)</f>
        <v/>
      </c>
      <c r="BH33" s="164">
        <f>EDATE(BG33,1)</f>
        <v/>
      </c>
      <c r="BI33" s="164">
        <f>EDATE(BH33,1)</f>
        <v/>
      </c>
      <c r="BJ33" s="163" t="n"/>
      <c r="BK33" s="163">
        <f>"Yr 1 ("&amp;TEXT(EDATE($C$8,0),"yyyy")&amp;")"</f>
        <v/>
      </c>
      <c r="BL33" s="163">
        <f>"Yr 2 ("&amp;TEXT(EDATE($C$8,12),"yyyy")&amp;")"</f>
        <v/>
      </c>
      <c r="BM33" s="163">
        <f>"Yr 3 ("&amp;TEXT(EDATE($C$8,24),"yyyy")&amp;")"</f>
        <v/>
      </c>
      <c r="BN33" s="163">
        <f>"Yr 4 ("&amp;TEXT(EDATE($C$8,36),"yyyy")&amp;")"</f>
        <v/>
      </c>
      <c r="BO33" s="163">
        <f>"Yr 5 ("&amp;TEXT(EDATE($C$8,48),"yyyy")&amp;")"</f>
        <v/>
      </c>
      <c r="BQ33" s="148" t="n"/>
    </row>
    <row r="34" ht="14" customHeight="1" s="282">
      <c r="A34" s="162" t="inlineStr">
        <is>
          <t>Year</t>
        </is>
      </c>
      <c r="B34" s="161">
        <f>INT((COLUMN(B34)-COLUMN($B$34))/12)+1</f>
        <v/>
      </c>
      <c r="C34" s="161">
        <f>INT((COLUMN(C34)-COLUMN($B$34))/12)+1</f>
        <v/>
      </c>
      <c r="D34" s="161">
        <f>INT((COLUMN(D34)-COLUMN($B$34))/12)+1</f>
        <v/>
      </c>
      <c r="E34" s="161">
        <f>INT((COLUMN(E34)-COLUMN($B$34))/12)+1</f>
        <v/>
      </c>
      <c r="F34" s="161">
        <f>INT((COLUMN(F34)-COLUMN($B$34))/12)+1</f>
        <v/>
      </c>
      <c r="G34" s="161">
        <f>INT((COLUMN(G34)-COLUMN($B$34))/12)+1</f>
        <v/>
      </c>
      <c r="H34" s="161">
        <f>INT((COLUMN(H34)-COLUMN($B$34))/12)+1</f>
        <v/>
      </c>
      <c r="I34" s="161">
        <f>INT((COLUMN(I34)-COLUMN($B$34))/12)+1</f>
        <v/>
      </c>
      <c r="J34" s="161">
        <f>INT((COLUMN(J34)-COLUMN($B$34))/12)+1</f>
        <v/>
      </c>
      <c r="K34" s="161">
        <f>INT((COLUMN(K34)-COLUMN($B$34))/12)+1</f>
        <v/>
      </c>
      <c r="L34" s="161">
        <f>INT((COLUMN(L34)-COLUMN($B$34))/12)+1</f>
        <v/>
      </c>
      <c r="M34" s="161">
        <f>INT((COLUMN(M34)-COLUMN($B$34))/12)+1</f>
        <v/>
      </c>
      <c r="N34" s="161">
        <f>INT((COLUMN(N34)-COLUMN($B$34))/12)+1</f>
        <v/>
      </c>
      <c r="O34" s="161">
        <f>INT((COLUMN(O34)-COLUMN($B$34))/12)+1</f>
        <v/>
      </c>
      <c r="P34" s="161">
        <f>INT((COLUMN(P34)-COLUMN($B$34))/12)+1</f>
        <v/>
      </c>
      <c r="Q34" s="161">
        <f>INT((COLUMN(Q34)-COLUMN($B$34))/12)+1</f>
        <v/>
      </c>
      <c r="R34" s="161">
        <f>INT((COLUMN(R34)-COLUMN($B$34))/12)+1</f>
        <v/>
      </c>
      <c r="S34" s="161">
        <f>INT((COLUMN(S34)-COLUMN($B$34))/12)+1</f>
        <v/>
      </c>
      <c r="T34" s="161">
        <f>INT((COLUMN(T34)-COLUMN($B$34))/12)+1</f>
        <v/>
      </c>
      <c r="U34" s="161">
        <f>INT((COLUMN(U34)-COLUMN($B$34))/12)+1</f>
        <v/>
      </c>
      <c r="V34" s="161">
        <f>INT((COLUMN(V34)-COLUMN($B$34))/12)+1</f>
        <v/>
      </c>
      <c r="W34" s="161">
        <f>INT((COLUMN(W34)-COLUMN($B$34))/12)+1</f>
        <v/>
      </c>
      <c r="X34" s="161">
        <f>INT((COLUMN(X34)-COLUMN($B$34))/12)+1</f>
        <v/>
      </c>
      <c r="Y34" s="161">
        <f>INT((COLUMN(Y34)-COLUMN($B$34))/12)+1</f>
        <v/>
      </c>
      <c r="Z34" s="161">
        <f>INT((COLUMN(Z34)-COLUMN($B$34))/12)+1</f>
        <v/>
      </c>
      <c r="AA34" s="161">
        <f>INT((COLUMN(AA34)-COLUMN($B$34))/12)+1</f>
        <v/>
      </c>
      <c r="AB34" s="161">
        <f>INT((COLUMN(AB34)-COLUMN($B$34))/12)+1</f>
        <v/>
      </c>
      <c r="AC34" s="161">
        <f>INT((COLUMN(AC34)-COLUMN($B$34))/12)+1</f>
        <v/>
      </c>
      <c r="AD34" s="161">
        <f>INT((COLUMN(AD34)-COLUMN($B$34))/12)+1</f>
        <v/>
      </c>
      <c r="AE34" s="161">
        <f>INT((COLUMN(AE34)-COLUMN($B$34))/12)+1</f>
        <v/>
      </c>
      <c r="AF34" s="161">
        <f>INT((COLUMN(AF34)-COLUMN($B$34))/12)+1</f>
        <v/>
      </c>
      <c r="AG34" s="161">
        <f>INT((COLUMN(AG34)-COLUMN($B$34))/12)+1</f>
        <v/>
      </c>
      <c r="AH34" s="161">
        <f>INT((COLUMN(AH34)-COLUMN($B$34))/12)+1</f>
        <v/>
      </c>
      <c r="AI34" s="161">
        <f>INT((COLUMN(AI34)-COLUMN($B$34))/12)+1</f>
        <v/>
      </c>
      <c r="AJ34" s="161">
        <f>INT((COLUMN(AJ34)-COLUMN($B$34))/12)+1</f>
        <v/>
      </c>
      <c r="AK34" s="161">
        <f>INT((COLUMN(AK34)-COLUMN($B$34))/12)+1</f>
        <v/>
      </c>
      <c r="AL34" s="161">
        <f>INT((COLUMN(AL34)-COLUMN($B$34))/12)+1</f>
        <v/>
      </c>
      <c r="AM34" s="161">
        <f>INT((COLUMN(AM34)-COLUMN($B$34))/12)+1</f>
        <v/>
      </c>
      <c r="AN34" s="161">
        <f>INT((COLUMN(AN34)-COLUMN($B$34))/12)+1</f>
        <v/>
      </c>
      <c r="AO34" s="161">
        <f>INT((COLUMN(AO34)-COLUMN($B$34))/12)+1</f>
        <v/>
      </c>
      <c r="AP34" s="161">
        <f>INT((COLUMN(AP34)-COLUMN($B$34))/12)+1</f>
        <v/>
      </c>
      <c r="AQ34" s="161">
        <f>INT((COLUMN(AQ34)-COLUMN($B$34))/12)+1</f>
        <v/>
      </c>
      <c r="AR34" s="161">
        <f>INT((COLUMN(AR34)-COLUMN($B$34))/12)+1</f>
        <v/>
      </c>
      <c r="AS34" s="161">
        <f>INT((COLUMN(AS34)-COLUMN($B$34))/12)+1</f>
        <v/>
      </c>
      <c r="AT34" s="161">
        <f>INT((COLUMN(AT34)-COLUMN($B$34))/12)+1</f>
        <v/>
      </c>
      <c r="AU34" s="161">
        <f>INT((COLUMN(AU34)-COLUMN($B$34))/12)+1</f>
        <v/>
      </c>
      <c r="AV34" s="161">
        <f>INT((COLUMN(AV34)-COLUMN($B$34))/12)+1</f>
        <v/>
      </c>
      <c r="AW34" s="161">
        <f>INT((COLUMN(AW34)-COLUMN($B$34))/12)+1</f>
        <v/>
      </c>
      <c r="AX34" s="161">
        <f>INT((COLUMN(AX34)-COLUMN($B$34))/12)+1</f>
        <v/>
      </c>
      <c r="AY34" s="161">
        <f>INT((COLUMN(AY34)-COLUMN($B$34))/12)+1</f>
        <v/>
      </c>
      <c r="AZ34" s="161">
        <f>INT((COLUMN(AZ34)-COLUMN($B$34))/12)+1</f>
        <v/>
      </c>
      <c r="BA34" s="161">
        <f>INT((COLUMN(BA34)-COLUMN($B$34))/12)+1</f>
        <v/>
      </c>
      <c r="BB34" s="161">
        <f>INT((COLUMN(BB34)-COLUMN($B$34))/12)+1</f>
        <v/>
      </c>
      <c r="BC34" s="161">
        <f>INT((COLUMN(BC34)-COLUMN($B$34))/12)+1</f>
        <v/>
      </c>
      <c r="BD34" s="161">
        <f>INT((COLUMN(BD34)-COLUMN($B$34))/12)+1</f>
        <v/>
      </c>
      <c r="BE34" s="161">
        <f>INT((COLUMN(BE34)-COLUMN($B$34))/12)+1</f>
        <v/>
      </c>
      <c r="BF34" s="161">
        <f>INT((COLUMN(BF34)-COLUMN($B$34))/12)+1</f>
        <v/>
      </c>
      <c r="BG34" s="161">
        <f>INT((COLUMN(BG34)-COLUMN($B$34))/12)+1</f>
        <v/>
      </c>
      <c r="BH34" s="161">
        <f>INT((COLUMN(BH34)-COLUMN($B$34))/12)+1</f>
        <v/>
      </c>
      <c r="BI34" s="161">
        <f>INT((COLUMN(BI34)-COLUMN($B$34))/12)+1</f>
        <v/>
      </c>
      <c r="BJ34" s="161" t="n"/>
      <c r="BK34" s="160" t="n"/>
      <c r="BL34" s="160" t="n"/>
      <c r="BM34" s="160" t="n"/>
      <c r="BN34" s="160" t="n"/>
      <c r="BO34" s="160" t="n"/>
      <c r="BQ34" s="148" t="n"/>
    </row>
    <row r="35" ht="50" customHeight="1" s="282">
      <c r="A35" s="145" t="inlineStr">
        <is>
          <t>Revenue</t>
        </is>
      </c>
      <c r="B35" s="318">
        <f>'All Calculations'!I12</f>
        <v/>
      </c>
      <c r="C35" s="318">
        <f>'All Calculations'!J12</f>
        <v/>
      </c>
      <c r="D35" s="318">
        <f>'All Calculations'!K12</f>
        <v/>
      </c>
      <c r="E35" s="318">
        <f>'All Calculations'!L12</f>
        <v/>
      </c>
      <c r="F35" s="318">
        <f>'All Calculations'!M12</f>
        <v/>
      </c>
      <c r="G35" s="318">
        <f>'All Calculations'!N12</f>
        <v/>
      </c>
      <c r="H35" s="318">
        <f>'All Calculations'!O12</f>
        <v/>
      </c>
      <c r="I35" s="318">
        <f>'All Calculations'!P12</f>
        <v/>
      </c>
      <c r="J35" s="318">
        <f>'All Calculations'!Q12</f>
        <v/>
      </c>
      <c r="K35" s="318">
        <f>'All Calculations'!R12</f>
        <v/>
      </c>
      <c r="L35" s="318">
        <f>'All Calculations'!S12</f>
        <v/>
      </c>
      <c r="M35" s="318">
        <f>'All Calculations'!T12</f>
        <v/>
      </c>
      <c r="N35" s="319">
        <f>$C$5*(1+$C$6)^(N34-1)</f>
        <v/>
      </c>
      <c r="O35" s="319">
        <f>$C$5*(1+$C$6)^(O34-1)</f>
        <v/>
      </c>
      <c r="P35" s="319">
        <f>$C$5*(1+$C$6)^(P34-1)</f>
        <v/>
      </c>
      <c r="Q35" s="319">
        <f>$C$5*(1+$C$6)^(Q34-1)</f>
        <v/>
      </c>
      <c r="R35" s="319">
        <f>$C$5*(1+$C$6)^(R34-1)</f>
        <v/>
      </c>
      <c r="S35" s="319">
        <f>$C$5*(1+$C$6)^(S34-1)</f>
        <v/>
      </c>
      <c r="T35" s="319">
        <f>$C$5*(1+$C$6)^(T34-1)</f>
        <v/>
      </c>
      <c r="U35" s="319">
        <f>$C$5*(1+$C$6)^(U34-1)</f>
        <v/>
      </c>
      <c r="V35" s="319">
        <f>$C$5*(1+$C$6)^(V34-1)</f>
        <v/>
      </c>
      <c r="W35" s="319">
        <f>$C$5*(1+$C$6)^(W34-1)</f>
        <v/>
      </c>
      <c r="X35" s="319">
        <f>$C$5*(1+$C$6)^(X34-1)</f>
        <v/>
      </c>
      <c r="Y35" s="319">
        <f>$C$5*(1+$C$6)^(Y34-1)</f>
        <v/>
      </c>
      <c r="Z35" s="319">
        <f>$C$5*(1+$C$6)^(Z34-1)</f>
        <v/>
      </c>
      <c r="AA35" s="319">
        <f>$C$5*(1+$C$6)^(AA34-1)</f>
        <v/>
      </c>
      <c r="AB35" s="319">
        <f>$C$5*(1+$C$6)^(AB34-1)</f>
        <v/>
      </c>
      <c r="AC35" s="319">
        <f>$C$5*(1+$C$6)^(AC34-1)</f>
        <v/>
      </c>
      <c r="AD35" s="319">
        <f>$C$5*(1+$C$6)^(AD34-1)</f>
        <v/>
      </c>
      <c r="AE35" s="319">
        <f>$C$5*(1+$C$6)^(AE34-1)</f>
        <v/>
      </c>
      <c r="AF35" s="319">
        <f>$C$5*(1+$C$6)^(AF34-1)</f>
        <v/>
      </c>
      <c r="AG35" s="319">
        <f>$C$5*(1+$C$6)^(AG34-1)</f>
        <v/>
      </c>
      <c r="AH35" s="319">
        <f>$C$5*(1+$C$6)^(AH34-1)</f>
        <v/>
      </c>
      <c r="AI35" s="319">
        <f>$C$5*(1+$C$6)^(AI34-1)</f>
        <v/>
      </c>
      <c r="AJ35" s="319">
        <f>$C$5*(1+$C$6)^(AJ34-1)</f>
        <v/>
      </c>
      <c r="AK35" s="319">
        <f>$C$5*(1+$C$6)^(AK34-1)</f>
        <v/>
      </c>
      <c r="AL35" s="319">
        <f>$C$5*(1+$C$6)^(AL34-1)</f>
        <v/>
      </c>
      <c r="AM35" s="319">
        <f>$C$5*(1+$C$6)^(AM34-1)</f>
        <v/>
      </c>
      <c r="AN35" s="319">
        <f>$C$5*(1+$C$6)^(AN34-1)</f>
        <v/>
      </c>
      <c r="AO35" s="319">
        <f>$C$5*(1+$C$6)^(AO34-1)</f>
        <v/>
      </c>
      <c r="AP35" s="319">
        <f>$C$5*(1+$C$6)^(AP34-1)</f>
        <v/>
      </c>
      <c r="AQ35" s="319">
        <f>$C$5*(1+$C$6)^(AQ34-1)</f>
        <v/>
      </c>
      <c r="AR35" s="319">
        <f>$C$5*(1+$C$6)^(AR34-1)</f>
        <v/>
      </c>
      <c r="AS35" s="319">
        <f>$C$5*(1+$C$6)^(AS34-1)</f>
        <v/>
      </c>
      <c r="AT35" s="319">
        <f>$C$5*(1+$C$6)^(AT34-1)</f>
        <v/>
      </c>
      <c r="AU35" s="319">
        <f>$C$5*(1+$C$6)^(AU34-1)</f>
        <v/>
      </c>
      <c r="AV35" s="319">
        <f>$C$5*(1+$C$6)^(AV34-1)</f>
        <v/>
      </c>
      <c r="AW35" s="319">
        <f>$C$5*(1+$C$6)^(AW34-1)</f>
        <v/>
      </c>
      <c r="AX35" s="319">
        <f>$C$5*(1+$C$6)^(AX34-1)</f>
        <v/>
      </c>
      <c r="AY35" s="319">
        <f>$C$5*(1+$C$6)^(AY34-1)</f>
        <v/>
      </c>
      <c r="AZ35" s="319">
        <f>$C$5*(1+$C$6)^(AZ34-1)</f>
        <v/>
      </c>
      <c r="BA35" s="319">
        <f>$C$5*(1+$C$6)^(BA34-1)</f>
        <v/>
      </c>
      <c r="BB35" s="319">
        <f>$C$5*(1+$C$6)^(BB34-1)</f>
        <v/>
      </c>
      <c r="BC35" s="319">
        <f>$C$5*(1+$C$6)^(BC34-1)</f>
        <v/>
      </c>
      <c r="BD35" s="319">
        <f>$C$5*(1+$C$6)^(BD34-1)</f>
        <v/>
      </c>
      <c r="BE35" s="319">
        <f>$C$5*(1+$C$6)^(BE34-1)</f>
        <v/>
      </c>
      <c r="BF35" s="319">
        <f>$C$5*(1+$C$6)^(BF34-1)</f>
        <v/>
      </c>
      <c r="BG35" s="319">
        <f>$C$5*(1+$C$6)^(BG34-1)</f>
        <v/>
      </c>
      <c r="BH35" s="319">
        <f>$C$5*(1+$C$6)^(BH34-1)</f>
        <v/>
      </c>
      <c r="BI35" s="319">
        <f>$C$5*(1+$C$6)^(BI34-1)</f>
        <v/>
      </c>
      <c r="BJ35" s="319" t="n"/>
      <c r="BK35" s="320">
        <f>SUM(B35:M35)</f>
        <v/>
      </c>
      <c r="BL35" s="320">
        <f>SUM(N35:Y35)</f>
        <v/>
      </c>
      <c r="BM35" s="320">
        <f>SUM(Z35:AK35)</f>
        <v/>
      </c>
      <c r="BN35" s="320">
        <f>SUM(AL35:AW35)</f>
        <v/>
      </c>
      <c r="BO35" s="320">
        <f>SUM(AX35:BI35)</f>
        <v/>
      </c>
      <c r="BQ35" s="148" t="n"/>
    </row>
    <row r="36" ht="15" customHeight="1" s="282">
      <c r="A36" s="145" t="inlineStr">
        <is>
          <t>Operating Expenses</t>
        </is>
      </c>
      <c r="BK36" s="149" t="n"/>
      <c r="BL36" s="149" t="n"/>
      <c r="BM36" s="149" t="n"/>
      <c r="BN36" s="149" t="n"/>
      <c r="BO36" s="149" t="n"/>
      <c r="BQ36" s="148" t="n"/>
    </row>
    <row r="37" ht="30" customHeight="1" s="282">
      <c r="A37" s="258" t="inlineStr">
        <is>
          <t xml:space="preserve">  Property Costs (Rent)</t>
        </is>
      </c>
      <c r="B37" s="321">
        <f>'All Calculations'!I41</f>
        <v/>
      </c>
      <c r="C37" s="321">
        <f>'All Calculations'!J41</f>
        <v/>
      </c>
      <c r="D37" s="321">
        <f>'All Calculations'!K41</f>
        <v/>
      </c>
      <c r="E37" s="321">
        <f>'All Calculations'!L41</f>
        <v/>
      </c>
      <c r="F37" s="321">
        <f>'All Calculations'!M41</f>
        <v/>
      </c>
      <c r="G37" s="321">
        <f>'All Calculations'!N41</f>
        <v/>
      </c>
      <c r="H37" s="321">
        <f>'All Calculations'!O41</f>
        <v/>
      </c>
      <c r="I37" s="321">
        <f>'All Calculations'!P41</f>
        <v/>
      </c>
      <c r="J37" s="321">
        <f>'All Calculations'!Q41</f>
        <v/>
      </c>
      <c r="K37" s="321">
        <f>'All Calculations'!R41</f>
        <v/>
      </c>
      <c r="L37" s="321">
        <f>'All Calculations'!S41</f>
        <v/>
      </c>
      <c r="M37" s="321">
        <f>'All Calculations'!T41</f>
        <v/>
      </c>
      <c r="N37" s="322">
        <f>$M37*(1+$C$7)^(N34-1)</f>
        <v/>
      </c>
      <c r="O37" s="322">
        <f>$M37*(1+$C$7)^(O34-1)</f>
        <v/>
      </c>
      <c r="P37" s="322">
        <f>$M37*(1+$C$7)^(P34-1)</f>
        <v/>
      </c>
      <c r="Q37" s="322">
        <f>$M37*(1+$C$7)^(Q34-1)</f>
        <v/>
      </c>
      <c r="R37" s="322">
        <f>$M37*(1+$C$7)^(R34-1)</f>
        <v/>
      </c>
      <c r="S37" s="322">
        <f>$M37*(1+$C$7)^(S34-1)</f>
        <v/>
      </c>
      <c r="T37" s="322">
        <f>$M37*(1+$C$7)^(T34-1)</f>
        <v/>
      </c>
      <c r="U37" s="322">
        <f>$M37*(1+$C$7)^(U34-1)</f>
        <v/>
      </c>
      <c r="V37" s="322">
        <f>$M37*(1+$C$7)^(V34-1)</f>
        <v/>
      </c>
      <c r="W37" s="322">
        <f>$M37*(1+$C$7)^(W34-1)</f>
        <v/>
      </c>
      <c r="X37" s="322">
        <f>$M37*(1+$C$7)^(X34-1)</f>
        <v/>
      </c>
      <c r="Y37" s="322">
        <f>$M37*(1+$C$7)^(Y34-1)</f>
        <v/>
      </c>
      <c r="Z37" s="322">
        <f>$M37*(1+$C$7)^(Z34-1)</f>
        <v/>
      </c>
      <c r="AA37" s="322">
        <f>$M37*(1+$C$7)^(AA34-1)</f>
        <v/>
      </c>
      <c r="AB37" s="322">
        <f>$M37*(1+$C$7)^(AB34-1)</f>
        <v/>
      </c>
      <c r="AC37" s="322">
        <f>$M37*(1+$C$7)^(AC34-1)</f>
        <v/>
      </c>
      <c r="AD37" s="322">
        <f>$M37*(1+$C$7)^(AD34-1)</f>
        <v/>
      </c>
      <c r="AE37" s="322">
        <f>$M37*(1+$C$7)^(AE34-1)</f>
        <v/>
      </c>
      <c r="AF37" s="322">
        <f>$M37*(1+$C$7)^(AF34-1)</f>
        <v/>
      </c>
      <c r="AG37" s="322">
        <f>$M37*(1+$C$7)^(AG34-1)</f>
        <v/>
      </c>
      <c r="AH37" s="322">
        <f>$M37*(1+$C$7)^(AH34-1)</f>
        <v/>
      </c>
      <c r="AI37" s="322">
        <f>$M37*(1+$C$7)^(AI34-1)</f>
        <v/>
      </c>
      <c r="AJ37" s="322">
        <f>$M37*(1+$C$7)^(AJ34-1)</f>
        <v/>
      </c>
      <c r="AK37" s="322">
        <f>$M37*(1+$C$7)^(AK34-1)</f>
        <v/>
      </c>
      <c r="AL37" s="322">
        <f>$M37*(1+$C$7)^(AL34-1)</f>
        <v/>
      </c>
      <c r="AM37" s="322">
        <f>$M37*(1+$C$7)^(AM34-1)</f>
        <v/>
      </c>
      <c r="AN37" s="322">
        <f>$M37*(1+$C$7)^(AN34-1)</f>
        <v/>
      </c>
      <c r="AO37" s="322">
        <f>$M37*(1+$C$7)^(AO34-1)</f>
        <v/>
      </c>
      <c r="AP37" s="322">
        <f>$M37*(1+$C$7)^(AP34-1)</f>
        <v/>
      </c>
      <c r="AQ37" s="322">
        <f>$M37*(1+$C$7)^(AQ34-1)</f>
        <v/>
      </c>
      <c r="AR37" s="322">
        <f>$M37*(1+$C$7)^(AR34-1)</f>
        <v/>
      </c>
      <c r="AS37" s="322">
        <f>$M37*(1+$C$7)^(AS34-1)</f>
        <v/>
      </c>
      <c r="AT37" s="322">
        <f>$M37*(1+$C$7)^(AT34-1)</f>
        <v/>
      </c>
      <c r="AU37" s="322">
        <f>$M37*(1+$C$7)^(AU34-1)</f>
        <v/>
      </c>
      <c r="AV37" s="322">
        <f>$M37*(1+$C$7)^(AV34-1)</f>
        <v/>
      </c>
      <c r="AW37" s="322">
        <f>$M37*(1+$C$7)^(AW34-1)</f>
        <v/>
      </c>
      <c r="AX37" s="322">
        <f>$M37*(1+$C$7)^(AX34-1)</f>
        <v/>
      </c>
      <c r="AY37" s="322">
        <f>$M37*(1+$C$7)^(AY34-1)</f>
        <v/>
      </c>
      <c r="AZ37" s="322">
        <f>$M37*(1+$C$7)^(AZ34-1)</f>
        <v/>
      </c>
      <c r="BA37" s="322">
        <f>$M37*(1+$C$7)^(BA34-1)</f>
        <v/>
      </c>
      <c r="BB37" s="322">
        <f>$M37*(1+$C$7)^(BB34-1)</f>
        <v/>
      </c>
      <c r="BC37" s="322">
        <f>$M37*(1+$C$7)^(BC34-1)</f>
        <v/>
      </c>
      <c r="BD37" s="322">
        <f>$M37*(1+$C$7)^(BD34-1)</f>
        <v/>
      </c>
      <c r="BE37" s="322">
        <f>$M37*(1+$C$7)^(BE34-1)</f>
        <v/>
      </c>
      <c r="BF37" s="322">
        <f>$M37*(1+$C$7)^(BF34-1)</f>
        <v/>
      </c>
      <c r="BG37" s="322">
        <f>$M37*(1+$C$7)^(BG34-1)</f>
        <v/>
      </c>
      <c r="BH37" s="322">
        <f>$M37*(1+$C$7)^(BH34-1)</f>
        <v/>
      </c>
      <c r="BI37" s="322">
        <f>$M37*(1+$C$7)^(BI34-1)</f>
        <v/>
      </c>
      <c r="BJ37" s="322" t="n"/>
      <c r="BK37" s="323">
        <f>SUM(B37:M37)</f>
        <v/>
      </c>
      <c r="BL37" s="323">
        <f>SUM(N37:Y37)</f>
        <v/>
      </c>
      <c r="BM37" s="323">
        <f>SUM(Z37:AK37)</f>
        <v/>
      </c>
      <c r="BN37" s="323">
        <f>SUM(AL37:AW37)</f>
        <v/>
      </c>
      <c r="BO37" s="323">
        <f>SUM(AX37:BI37)</f>
        <v/>
      </c>
      <c r="BQ37" s="148" t="n"/>
    </row>
    <row r="38" ht="30" customHeight="1" s="282">
      <c r="A38" s="258" t="inlineStr">
        <is>
          <t xml:space="preserve">  Staff Costs</t>
        </is>
      </c>
      <c r="B38" s="321">
        <f>'All Calculations'!I47</f>
        <v/>
      </c>
      <c r="C38" s="321">
        <f>'All Calculations'!J47</f>
        <v/>
      </c>
      <c r="D38" s="321">
        <f>'All Calculations'!K47</f>
        <v/>
      </c>
      <c r="E38" s="321">
        <f>'All Calculations'!L47</f>
        <v/>
      </c>
      <c r="F38" s="321">
        <f>'All Calculations'!M47</f>
        <v/>
      </c>
      <c r="G38" s="321">
        <f>'All Calculations'!N47</f>
        <v/>
      </c>
      <c r="H38" s="321">
        <f>'All Calculations'!O47</f>
        <v/>
      </c>
      <c r="I38" s="321">
        <f>'All Calculations'!P47</f>
        <v/>
      </c>
      <c r="J38" s="321">
        <f>'All Calculations'!Q47</f>
        <v/>
      </c>
      <c r="K38" s="321">
        <f>'All Calculations'!R47</f>
        <v/>
      </c>
      <c r="L38" s="321">
        <f>'All Calculations'!S47</f>
        <v/>
      </c>
      <c r="M38" s="321">
        <f>'All Calculations'!T47</f>
        <v/>
      </c>
      <c r="N38" s="322">
        <f>$M38*(1+$C$7)^(N34-1)</f>
        <v/>
      </c>
      <c r="O38" s="322">
        <f>$M38*(1+$C$7)^(O34-1)</f>
        <v/>
      </c>
      <c r="P38" s="322">
        <f>$M38*(1+$C$7)^(P34-1)</f>
        <v/>
      </c>
      <c r="Q38" s="322">
        <f>$M38*(1+$C$7)^(Q34-1)</f>
        <v/>
      </c>
      <c r="R38" s="322">
        <f>$M38*(1+$C$7)^(R34-1)</f>
        <v/>
      </c>
      <c r="S38" s="322">
        <f>$M38*(1+$C$7)^(S34-1)</f>
        <v/>
      </c>
      <c r="T38" s="322">
        <f>$M38*(1+$C$7)^(T34-1)</f>
        <v/>
      </c>
      <c r="U38" s="322">
        <f>$M38*(1+$C$7)^(U34-1)</f>
        <v/>
      </c>
      <c r="V38" s="322">
        <f>$M38*(1+$C$7)^(V34-1)</f>
        <v/>
      </c>
      <c r="W38" s="322">
        <f>$M38*(1+$C$7)^(W34-1)</f>
        <v/>
      </c>
      <c r="X38" s="322">
        <f>$M38*(1+$C$7)^(X34-1)</f>
        <v/>
      </c>
      <c r="Y38" s="322">
        <f>$M38*(1+$C$7)^(Y34-1)</f>
        <v/>
      </c>
      <c r="Z38" s="322">
        <f>$M38*(1+$C$7)^(Z34-1)</f>
        <v/>
      </c>
      <c r="AA38" s="322">
        <f>$M38*(1+$C$7)^(AA34-1)</f>
        <v/>
      </c>
      <c r="AB38" s="322">
        <f>$M38*(1+$C$7)^(AB34-1)</f>
        <v/>
      </c>
      <c r="AC38" s="322">
        <f>$M38*(1+$C$7)^(AC34-1)</f>
        <v/>
      </c>
      <c r="AD38" s="322">
        <f>$M38*(1+$C$7)^(AD34-1)</f>
        <v/>
      </c>
      <c r="AE38" s="322">
        <f>$M38*(1+$C$7)^(AE34-1)</f>
        <v/>
      </c>
      <c r="AF38" s="322">
        <f>$M38*(1+$C$7)^(AF34-1)</f>
        <v/>
      </c>
      <c r="AG38" s="322">
        <f>$M38*(1+$C$7)^(AG34-1)</f>
        <v/>
      </c>
      <c r="AH38" s="322">
        <f>$M38*(1+$C$7)^(AH34-1)</f>
        <v/>
      </c>
      <c r="AI38" s="322">
        <f>$M38*(1+$C$7)^(AI34-1)</f>
        <v/>
      </c>
      <c r="AJ38" s="322">
        <f>$M38*(1+$C$7)^(AJ34-1)</f>
        <v/>
      </c>
      <c r="AK38" s="322">
        <f>$M38*(1+$C$7)^(AK34-1)</f>
        <v/>
      </c>
      <c r="AL38" s="322">
        <f>$M38*(1+$C$7)^(AL34-1)</f>
        <v/>
      </c>
      <c r="AM38" s="322">
        <f>$M38*(1+$C$7)^(AM34-1)</f>
        <v/>
      </c>
      <c r="AN38" s="322">
        <f>$M38*(1+$C$7)^(AN34-1)</f>
        <v/>
      </c>
      <c r="AO38" s="322">
        <f>$M38*(1+$C$7)^(AO34-1)</f>
        <v/>
      </c>
      <c r="AP38" s="322">
        <f>$M38*(1+$C$7)^(AP34-1)</f>
        <v/>
      </c>
      <c r="AQ38" s="322">
        <f>$M38*(1+$C$7)^(AQ34-1)</f>
        <v/>
      </c>
      <c r="AR38" s="322">
        <f>$M38*(1+$C$7)^(AR34-1)</f>
        <v/>
      </c>
      <c r="AS38" s="322">
        <f>$M38*(1+$C$7)^(AS34-1)</f>
        <v/>
      </c>
      <c r="AT38" s="322">
        <f>$M38*(1+$C$7)^(AT34-1)</f>
        <v/>
      </c>
      <c r="AU38" s="322">
        <f>$M38*(1+$C$7)^(AU34-1)</f>
        <v/>
      </c>
      <c r="AV38" s="322">
        <f>$M38*(1+$C$7)^(AV34-1)</f>
        <v/>
      </c>
      <c r="AW38" s="322">
        <f>$M38*(1+$C$7)^(AW34-1)</f>
        <v/>
      </c>
      <c r="AX38" s="322">
        <f>$M38*(1+$C$7)^(AX34-1)</f>
        <v/>
      </c>
      <c r="AY38" s="322">
        <f>$M38*(1+$C$7)^(AY34-1)</f>
        <v/>
      </c>
      <c r="AZ38" s="322">
        <f>$M38*(1+$C$7)^(AZ34-1)</f>
        <v/>
      </c>
      <c r="BA38" s="322">
        <f>$M38*(1+$C$7)^(BA34-1)</f>
        <v/>
      </c>
      <c r="BB38" s="322">
        <f>$M38*(1+$C$7)^(BB34-1)</f>
        <v/>
      </c>
      <c r="BC38" s="322">
        <f>$M38*(1+$C$7)^(BC34-1)</f>
        <v/>
      </c>
      <c r="BD38" s="322">
        <f>$M38*(1+$C$7)^(BD34-1)</f>
        <v/>
      </c>
      <c r="BE38" s="322">
        <f>$M38*(1+$C$7)^(BE34-1)</f>
        <v/>
      </c>
      <c r="BF38" s="322">
        <f>$M38*(1+$C$7)^(BF34-1)</f>
        <v/>
      </c>
      <c r="BG38" s="322">
        <f>$M38*(1+$C$7)^(BG34-1)</f>
        <v/>
      </c>
      <c r="BH38" s="322">
        <f>$M38*(1+$C$7)^(BH34-1)</f>
        <v/>
      </c>
      <c r="BI38" s="322">
        <f>$M38*(1+$C$7)^(BI34-1)</f>
        <v/>
      </c>
      <c r="BJ38" s="322" t="n"/>
      <c r="BK38" s="323">
        <f>SUM(B38:M38)</f>
        <v/>
      </c>
      <c r="BL38" s="323">
        <f>SUM(N38:Y38)</f>
        <v/>
      </c>
      <c r="BM38" s="323">
        <f>SUM(Z38:AK38)</f>
        <v/>
      </c>
      <c r="BN38" s="323">
        <f>SUM(AL38:AW38)</f>
        <v/>
      </c>
      <c r="BO38" s="323">
        <f>SUM(AX38:BI38)</f>
        <v/>
      </c>
      <c r="BQ38" s="148" t="n"/>
    </row>
    <row r="39" ht="30" customHeight="1" s="282">
      <c r="A39" s="258" t="inlineStr">
        <is>
          <t xml:space="preserve">  Utilities</t>
        </is>
      </c>
      <c r="B39" s="321">
        <f>'All Calculations'!I53</f>
        <v/>
      </c>
      <c r="C39" s="321">
        <f>'All Calculations'!J53</f>
        <v/>
      </c>
      <c r="D39" s="321">
        <f>'All Calculations'!K53</f>
        <v/>
      </c>
      <c r="E39" s="321">
        <f>'All Calculations'!L53</f>
        <v/>
      </c>
      <c r="F39" s="321">
        <f>'All Calculations'!M53</f>
        <v/>
      </c>
      <c r="G39" s="321">
        <f>'All Calculations'!N53</f>
        <v/>
      </c>
      <c r="H39" s="321">
        <f>'All Calculations'!O53</f>
        <v/>
      </c>
      <c r="I39" s="321">
        <f>'All Calculations'!P53</f>
        <v/>
      </c>
      <c r="J39" s="321">
        <f>'All Calculations'!Q53</f>
        <v/>
      </c>
      <c r="K39" s="321">
        <f>'All Calculations'!R53</f>
        <v/>
      </c>
      <c r="L39" s="321">
        <f>'All Calculations'!S53</f>
        <v/>
      </c>
      <c r="M39" s="321">
        <f>'All Calculations'!T53</f>
        <v/>
      </c>
      <c r="N39" s="322">
        <f>$M39*(1+$C$7)^(N34-1)</f>
        <v/>
      </c>
      <c r="O39" s="322">
        <f>$M39*(1+$C$7)^(O34-1)</f>
        <v/>
      </c>
      <c r="P39" s="322">
        <f>$M39*(1+$C$7)^(P34-1)</f>
        <v/>
      </c>
      <c r="Q39" s="322">
        <f>$M39*(1+$C$7)^(Q34-1)</f>
        <v/>
      </c>
      <c r="R39" s="322">
        <f>$M39*(1+$C$7)^(R34-1)</f>
        <v/>
      </c>
      <c r="S39" s="322">
        <f>$M39*(1+$C$7)^(S34-1)</f>
        <v/>
      </c>
      <c r="T39" s="322">
        <f>$M39*(1+$C$7)^(T34-1)</f>
        <v/>
      </c>
      <c r="U39" s="322">
        <f>$M39*(1+$C$7)^(U34-1)</f>
        <v/>
      </c>
      <c r="V39" s="322">
        <f>$M39*(1+$C$7)^(V34-1)</f>
        <v/>
      </c>
      <c r="W39" s="322">
        <f>$M39*(1+$C$7)^(W34-1)</f>
        <v/>
      </c>
      <c r="X39" s="322">
        <f>$M39*(1+$C$7)^(X34-1)</f>
        <v/>
      </c>
      <c r="Y39" s="322">
        <f>$M39*(1+$C$7)^(Y34-1)</f>
        <v/>
      </c>
      <c r="Z39" s="322">
        <f>$M39*(1+$C$7)^(Z34-1)</f>
        <v/>
      </c>
      <c r="AA39" s="322">
        <f>$M39*(1+$C$7)^(AA34-1)</f>
        <v/>
      </c>
      <c r="AB39" s="322">
        <f>$M39*(1+$C$7)^(AB34-1)</f>
        <v/>
      </c>
      <c r="AC39" s="322">
        <f>$M39*(1+$C$7)^(AC34-1)</f>
        <v/>
      </c>
      <c r="AD39" s="322">
        <f>$M39*(1+$C$7)^(AD34-1)</f>
        <v/>
      </c>
      <c r="AE39" s="322">
        <f>$M39*(1+$C$7)^(AE34-1)</f>
        <v/>
      </c>
      <c r="AF39" s="322">
        <f>$M39*(1+$C$7)^(AF34-1)</f>
        <v/>
      </c>
      <c r="AG39" s="322">
        <f>$M39*(1+$C$7)^(AG34-1)</f>
        <v/>
      </c>
      <c r="AH39" s="322">
        <f>$M39*(1+$C$7)^(AH34-1)</f>
        <v/>
      </c>
      <c r="AI39" s="322">
        <f>$M39*(1+$C$7)^(AI34-1)</f>
        <v/>
      </c>
      <c r="AJ39" s="322">
        <f>$M39*(1+$C$7)^(AJ34-1)</f>
        <v/>
      </c>
      <c r="AK39" s="322">
        <f>$M39*(1+$C$7)^(AK34-1)</f>
        <v/>
      </c>
      <c r="AL39" s="322">
        <f>$M39*(1+$C$7)^(AL34-1)</f>
        <v/>
      </c>
      <c r="AM39" s="322">
        <f>$M39*(1+$C$7)^(AM34-1)</f>
        <v/>
      </c>
      <c r="AN39" s="322">
        <f>$M39*(1+$C$7)^(AN34-1)</f>
        <v/>
      </c>
      <c r="AO39" s="322">
        <f>$M39*(1+$C$7)^(AO34-1)</f>
        <v/>
      </c>
      <c r="AP39" s="322">
        <f>$M39*(1+$C$7)^(AP34-1)</f>
        <v/>
      </c>
      <c r="AQ39" s="322">
        <f>$M39*(1+$C$7)^(AQ34-1)</f>
        <v/>
      </c>
      <c r="AR39" s="322">
        <f>$M39*(1+$C$7)^(AR34-1)</f>
        <v/>
      </c>
      <c r="AS39" s="322">
        <f>$M39*(1+$C$7)^(AS34-1)</f>
        <v/>
      </c>
      <c r="AT39" s="322">
        <f>$M39*(1+$C$7)^(AT34-1)</f>
        <v/>
      </c>
      <c r="AU39" s="322">
        <f>$M39*(1+$C$7)^(AU34-1)</f>
        <v/>
      </c>
      <c r="AV39" s="322">
        <f>$M39*(1+$C$7)^(AV34-1)</f>
        <v/>
      </c>
      <c r="AW39" s="322">
        <f>$M39*(1+$C$7)^(AW34-1)</f>
        <v/>
      </c>
      <c r="AX39" s="322">
        <f>$M39*(1+$C$7)^(AX34-1)</f>
        <v/>
      </c>
      <c r="AY39" s="322">
        <f>$M39*(1+$C$7)^(AY34-1)</f>
        <v/>
      </c>
      <c r="AZ39" s="322">
        <f>$M39*(1+$C$7)^(AZ34-1)</f>
        <v/>
      </c>
      <c r="BA39" s="322">
        <f>$M39*(1+$C$7)^(BA34-1)</f>
        <v/>
      </c>
      <c r="BB39" s="322">
        <f>$M39*(1+$C$7)^(BB34-1)</f>
        <v/>
      </c>
      <c r="BC39" s="322">
        <f>$M39*(1+$C$7)^(BC34-1)</f>
        <v/>
      </c>
      <c r="BD39" s="322">
        <f>$M39*(1+$C$7)^(BD34-1)</f>
        <v/>
      </c>
      <c r="BE39" s="322">
        <f>$M39*(1+$C$7)^(BE34-1)</f>
        <v/>
      </c>
      <c r="BF39" s="322">
        <f>$M39*(1+$C$7)^(BF34-1)</f>
        <v/>
      </c>
      <c r="BG39" s="322">
        <f>$M39*(1+$C$7)^(BG34-1)</f>
        <v/>
      </c>
      <c r="BH39" s="322">
        <f>$M39*(1+$C$7)^(BH34-1)</f>
        <v/>
      </c>
      <c r="BI39" s="322">
        <f>$M39*(1+$C$7)^(BI34-1)</f>
        <v/>
      </c>
      <c r="BJ39" s="322" t="n"/>
      <c r="BK39" s="323">
        <f>SUM(B39:M39)</f>
        <v/>
      </c>
      <c r="BL39" s="323">
        <f>SUM(N39:Y39)</f>
        <v/>
      </c>
      <c r="BM39" s="323">
        <f>SUM(Z39:AK39)</f>
        <v/>
      </c>
      <c r="BN39" s="323">
        <f>SUM(AL39:AW39)</f>
        <v/>
      </c>
      <c r="BO39" s="323">
        <f>SUM(AX39:BI39)</f>
        <v/>
      </c>
      <c r="BQ39" s="148" t="n"/>
    </row>
    <row r="40" ht="30" customHeight="1" s="282">
      <c r="A40" s="258" t="inlineStr">
        <is>
          <t xml:space="preserve">  Studio Facility &amp; Equipment Maintenance</t>
        </is>
      </c>
      <c r="B40" s="321">
        <f>'All Calculations'!I59</f>
        <v/>
      </c>
      <c r="C40" s="321">
        <f>'All Calculations'!J59</f>
        <v/>
      </c>
      <c r="D40" s="321">
        <f>'All Calculations'!K59</f>
        <v/>
      </c>
      <c r="E40" s="321">
        <f>'All Calculations'!L59</f>
        <v/>
      </c>
      <c r="F40" s="321">
        <f>'All Calculations'!M59</f>
        <v/>
      </c>
      <c r="G40" s="321">
        <f>'All Calculations'!N59</f>
        <v/>
      </c>
      <c r="H40" s="321">
        <f>'All Calculations'!O59</f>
        <v/>
      </c>
      <c r="I40" s="321">
        <f>'All Calculations'!P59</f>
        <v/>
      </c>
      <c r="J40" s="321">
        <f>'All Calculations'!Q59</f>
        <v/>
      </c>
      <c r="K40" s="321">
        <f>'All Calculations'!R59</f>
        <v/>
      </c>
      <c r="L40" s="321">
        <f>'All Calculations'!S59</f>
        <v/>
      </c>
      <c r="M40" s="321">
        <f>'All Calculations'!T59</f>
        <v/>
      </c>
      <c r="N40" s="322">
        <f>$M40*(1+$C$7)^(N34-1)</f>
        <v/>
      </c>
      <c r="O40" s="322">
        <f>$M40*(1+$C$7)^(O34-1)</f>
        <v/>
      </c>
      <c r="P40" s="322">
        <f>$M40*(1+$C$7)^(P34-1)</f>
        <v/>
      </c>
      <c r="Q40" s="322">
        <f>$M40*(1+$C$7)^(Q34-1)</f>
        <v/>
      </c>
      <c r="R40" s="322">
        <f>$M40*(1+$C$7)^(R34-1)</f>
        <v/>
      </c>
      <c r="S40" s="322">
        <f>$M40*(1+$C$7)^(S34-1)</f>
        <v/>
      </c>
      <c r="T40" s="322">
        <f>$M40*(1+$C$7)^(T34-1)</f>
        <v/>
      </c>
      <c r="U40" s="322">
        <f>$M40*(1+$C$7)^(U34-1)</f>
        <v/>
      </c>
      <c r="V40" s="322">
        <f>$M40*(1+$C$7)^(V34-1)</f>
        <v/>
      </c>
      <c r="W40" s="322">
        <f>$M40*(1+$C$7)^(W34-1)</f>
        <v/>
      </c>
      <c r="X40" s="322">
        <f>$M40*(1+$C$7)^(X34-1)</f>
        <v/>
      </c>
      <c r="Y40" s="322">
        <f>$M40*(1+$C$7)^(Y34-1)</f>
        <v/>
      </c>
      <c r="Z40" s="322">
        <f>$M40*(1+$C$7)^(Z34-1)</f>
        <v/>
      </c>
      <c r="AA40" s="322">
        <f>$M40*(1+$C$7)^(AA34-1)</f>
        <v/>
      </c>
      <c r="AB40" s="322">
        <f>$M40*(1+$C$7)^(AB34-1)</f>
        <v/>
      </c>
      <c r="AC40" s="322">
        <f>$M40*(1+$C$7)^(AC34-1)</f>
        <v/>
      </c>
      <c r="AD40" s="322">
        <f>$M40*(1+$C$7)^(AD34-1)</f>
        <v/>
      </c>
      <c r="AE40" s="322">
        <f>$M40*(1+$C$7)^(AE34-1)</f>
        <v/>
      </c>
      <c r="AF40" s="322">
        <f>$M40*(1+$C$7)^(AF34-1)</f>
        <v/>
      </c>
      <c r="AG40" s="322">
        <f>$M40*(1+$C$7)^(AG34-1)</f>
        <v/>
      </c>
      <c r="AH40" s="322">
        <f>$M40*(1+$C$7)^(AH34-1)</f>
        <v/>
      </c>
      <c r="AI40" s="322">
        <f>$M40*(1+$C$7)^(AI34-1)</f>
        <v/>
      </c>
      <c r="AJ40" s="322">
        <f>$M40*(1+$C$7)^(AJ34-1)</f>
        <v/>
      </c>
      <c r="AK40" s="322">
        <f>$M40*(1+$C$7)^(AK34-1)</f>
        <v/>
      </c>
      <c r="AL40" s="322">
        <f>$M40*(1+$C$7)^(AL34-1)</f>
        <v/>
      </c>
      <c r="AM40" s="322">
        <f>$M40*(1+$C$7)^(AM34-1)</f>
        <v/>
      </c>
      <c r="AN40" s="322">
        <f>$M40*(1+$C$7)^(AN34-1)</f>
        <v/>
      </c>
      <c r="AO40" s="322">
        <f>$M40*(1+$C$7)^(AO34-1)</f>
        <v/>
      </c>
      <c r="AP40" s="322">
        <f>$M40*(1+$C$7)^(AP34-1)</f>
        <v/>
      </c>
      <c r="AQ40" s="322">
        <f>$M40*(1+$C$7)^(AQ34-1)</f>
        <v/>
      </c>
      <c r="AR40" s="322">
        <f>$M40*(1+$C$7)^(AR34-1)</f>
        <v/>
      </c>
      <c r="AS40" s="322">
        <f>$M40*(1+$C$7)^(AS34-1)</f>
        <v/>
      </c>
      <c r="AT40" s="322">
        <f>$M40*(1+$C$7)^(AT34-1)</f>
        <v/>
      </c>
      <c r="AU40" s="322">
        <f>$M40*(1+$C$7)^(AU34-1)</f>
        <v/>
      </c>
      <c r="AV40" s="322">
        <f>$M40*(1+$C$7)^(AV34-1)</f>
        <v/>
      </c>
      <c r="AW40" s="322">
        <f>$M40*(1+$C$7)^(AW34-1)</f>
        <v/>
      </c>
      <c r="AX40" s="322">
        <f>$M40*(1+$C$7)^(AX34-1)</f>
        <v/>
      </c>
      <c r="AY40" s="322">
        <f>$M40*(1+$C$7)^(AY34-1)</f>
        <v/>
      </c>
      <c r="AZ40" s="322">
        <f>$M40*(1+$C$7)^(AZ34-1)</f>
        <v/>
      </c>
      <c r="BA40" s="322">
        <f>$M40*(1+$C$7)^(BA34-1)</f>
        <v/>
      </c>
      <c r="BB40" s="322">
        <f>$M40*(1+$C$7)^(BB34-1)</f>
        <v/>
      </c>
      <c r="BC40" s="322">
        <f>$M40*(1+$C$7)^(BC34-1)</f>
        <v/>
      </c>
      <c r="BD40" s="322">
        <f>$M40*(1+$C$7)^(BD34-1)</f>
        <v/>
      </c>
      <c r="BE40" s="322">
        <f>$M40*(1+$C$7)^(BE34-1)</f>
        <v/>
      </c>
      <c r="BF40" s="322">
        <f>$M40*(1+$C$7)^(BF34-1)</f>
        <v/>
      </c>
      <c r="BG40" s="322">
        <f>$M40*(1+$C$7)^(BG34-1)</f>
        <v/>
      </c>
      <c r="BH40" s="322">
        <f>$M40*(1+$C$7)^(BH34-1)</f>
        <v/>
      </c>
      <c r="BI40" s="322">
        <f>$M40*(1+$C$7)^(BI34-1)</f>
        <v/>
      </c>
      <c r="BJ40" s="322" t="n"/>
      <c r="BK40" s="323">
        <f>SUM(B40:M40)</f>
        <v/>
      </c>
      <c r="BL40" s="323">
        <f>SUM(N40:Y40)</f>
        <v/>
      </c>
      <c r="BM40" s="323">
        <f>SUM(Z40:AK40)</f>
        <v/>
      </c>
      <c r="BN40" s="323">
        <f>SUM(AL40:AW40)</f>
        <v/>
      </c>
      <c r="BO40" s="323">
        <f>SUM(AX40:BI40)</f>
        <v/>
      </c>
      <c r="BQ40" s="148" t="n"/>
    </row>
    <row r="41" ht="30" customHeight="1" s="282">
      <c r="A41" s="258" t="inlineStr">
        <is>
          <t xml:space="preserve">  Marketing &amp; Promotion</t>
        </is>
      </c>
      <c r="B41" s="321">
        <f>'All Calculations'!I65</f>
        <v/>
      </c>
      <c r="C41" s="321">
        <f>'All Calculations'!J65</f>
        <v/>
      </c>
      <c r="D41" s="321">
        <f>'All Calculations'!K65</f>
        <v/>
      </c>
      <c r="E41" s="321">
        <f>'All Calculations'!L65</f>
        <v/>
      </c>
      <c r="F41" s="321">
        <f>'All Calculations'!M65</f>
        <v/>
      </c>
      <c r="G41" s="321">
        <f>'All Calculations'!N65</f>
        <v/>
      </c>
      <c r="H41" s="321">
        <f>'All Calculations'!O65</f>
        <v/>
      </c>
      <c r="I41" s="321">
        <f>'All Calculations'!P65</f>
        <v/>
      </c>
      <c r="J41" s="321">
        <f>'All Calculations'!Q65</f>
        <v/>
      </c>
      <c r="K41" s="321">
        <f>'All Calculations'!R65</f>
        <v/>
      </c>
      <c r="L41" s="321">
        <f>'All Calculations'!S65</f>
        <v/>
      </c>
      <c r="M41" s="321">
        <f>'All Calculations'!T65</f>
        <v/>
      </c>
      <c r="N41" s="322">
        <f>$M41*(1+$C$7)^(N34-1)</f>
        <v/>
      </c>
      <c r="O41" s="322">
        <f>$M41*(1+$C$7)^(O34-1)</f>
        <v/>
      </c>
      <c r="P41" s="322">
        <f>$M41*(1+$C$7)^(P34-1)</f>
        <v/>
      </c>
      <c r="Q41" s="322">
        <f>$M41*(1+$C$7)^(Q34-1)</f>
        <v/>
      </c>
      <c r="R41" s="322">
        <f>$M41*(1+$C$7)^(R34-1)</f>
        <v/>
      </c>
      <c r="S41" s="322">
        <f>$M41*(1+$C$7)^(S34-1)</f>
        <v/>
      </c>
      <c r="T41" s="322">
        <f>$M41*(1+$C$7)^(T34-1)</f>
        <v/>
      </c>
      <c r="U41" s="322">
        <f>$M41*(1+$C$7)^(U34-1)</f>
        <v/>
      </c>
      <c r="V41" s="322">
        <f>$M41*(1+$C$7)^(V34-1)</f>
        <v/>
      </c>
      <c r="W41" s="322">
        <f>$M41*(1+$C$7)^(W34-1)</f>
        <v/>
      </c>
      <c r="X41" s="322">
        <f>$M41*(1+$C$7)^(X34-1)</f>
        <v/>
      </c>
      <c r="Y41" s="322">
        <f>$M41*(1+$C$7)^(Y34-1)</f>
        <v/>
      </c>
      <c r="Z41" s="322">
        <f>$M41*(1+$C$7)^(Z34-1)</f>
        <v/>
      </c>
      <c r="AA41" s="322">
        <f>$M41*(1+$C$7)^(AA34-1)</f>
        <v/>
      </c>
      <c r="AB41" s="322">
        <f>$M41*(1+$C$7)^(AB34-1)</f>
        <v/>
      </c>
      <c r="AC41" s="322">
        <f>$M41*(1+$C$7)^(AC34-1)</f>
        <v/>
      </c>
      <c r="AD41" s="322">
        <f>$M41*(1+$C$7)^(AD34-1)</f>
        <v/>
      </c>
      <c r="AE41" s="322">
        <f>$M41*(1+$C$7)^(AE34-1)</f>
        <v/>
      </c>
      <c r="AF41" s="322">
        <f>$M41*(1+$C$7)^(AF34-1)</f>
        <v/>
      </c>
      <c r="AG41" s="322">
        <f>$M41*(1+$C$7)^(AG34-1)</f>
        <v/>
      </c>
      <c r="AH41" s="322">
        <f>$M41*(1+$C$7)^(AH34-1)</f>
        <v/>
      </c>
      <c r="AI41" s="322">
        <f>$M41*(1+$C$7)^(AI34-1)</f>
        <v/>
      </c>
      <c r="AJ41" s="322">
        <f>$M41*(1+$C$7)^(AJ34-1)</f>
        <v/>
      </c>
      <c r="AK41" s="322">
        <f>$M41*(1+$C$7)^(AK34-1)</f>
        <v/>
      </c>
      <c r="AL41" s="322">
        <f>$M41*(1+$C$7)^(AL34-1)</f>
        <v/>
      </c>
      <c r="AM41" s="322">
        <f>$M41*(1+$C$7)^(AM34-1)</f>
        <v/>
      </c>
      <c r="AN41" s="322">
        <f>$M41*(1+$C$7)^(AN34-1)</f>
        <v/>
      </c>
      <c r="AO41" s="322">
        <f>$M41*(1+$C$7)^(AO34-1)</f>
        <v/>
      </c>
      <c r="AP41" s="322">
        <f>$M41*(1+$C$7)^(AP34-1)</f>
        <v/>
      </c>
      <c r="AQ41" s="322">
        <f>$M41*(1+$C$7)^(AQ34-1)</f>
        <v/>
      </c>
      <c r="AR41" s="322">
        <f>$M41*(1+$C$7)^(AR34-1)</f>
        <v/>
      </c>
      <c r="AS41" s="322">
        <f>$M41*(1+$C$7)^(AS34-1)</f>
        <v/>
      </c>
      <c r="AT41" s="322">
        <f>$M41*(1+$C$7)^(AT34-1)</f>
        <v/>
      </c>
      <c r="AU41" s="322">
        <f>$M41*(1+$C$7)^(AU34-1)</f>
        <v/>
      </c>
      <c r="AV41" s="322">
        <f>$M41*(1+$C$7)^(AV34-1)</f>
        <v/>
      </c>
      <c r="AW41" s="322">
        <f>$M41*(1+$C$7)^(AW34-1)</f>
        <v/>
      </c>
      <c r="AX41" s="322">
        <f>$M41*(1+$C$7)^(AX34-1)</f>
        <v/>
      </c>
      <c r="AY41" s="322">
        <f>$M41*(1+$C$7)^(AY34-1)</f>
        <v/>
      </c>
      <c r="AZ41" s="322">
        <f>$M41*(1+$C$7)^(AZ34-1)</f>
        <v/>
      </c>
      <c r="BA41" s="322">
        <f>$M41*(1+$C$7)^(BA34-1)</f>
        <v/>
      </c>
      <c r="BB41" s="322">
        <f>$M41*(1+$C$7)^(BB34-1)</f>
        <v/>
      </c>
      <c r="BC41" s="322">
        <f>$M41*(1+$C$7)^(BC34-1)</f>
        <v/>
      </c>
      <c r="BD41" s="322">
        <f>$M41*(1+$C$7)^(BD34-1)</f>
        <v/>
      </c>
      <c r="BE41" s="322">
        <f>$M41*(1+$C$7)^(BE34-1)</f>
        <v/>
      </c>
      <c r="BF41" s="322">
        <f>$M41*(1+$C$7)^(BF34-1)</f>
        <v/>
      </c>
      <c r="BG41" s="322">
        <f>$M41*(1+$C$7)^(BG34-1)</f>
        <v/>
      </c>
      <c r="BH41" s="322">
        <f>$M41*(1+$C$7)^(BH34-1)</f>
        <v/>
      </c>
      <c r="BI41" s="322">
        <f>$M41*(1+$C$7)^(BI34-1)</f>
        <v/>
      </c>
      <c r="BJ41" s="322" t="n"/>
      <c r="BK41" s="323">
        <f>SUM(B41:M41)</f>
        <v/>
      </c>
      <c r="BL41" s="323">
        <f>SUM(N41:Y41)</f>
        <v/>
      </c>
      <c r="BM41" s="323">
        <f>SUM(Z41:AK41)</f>
        <v/>
      </c>
      <c r="BN41" s="323">
        <f>SUM(AL41:AW41)</f>
        <v/>
      </c>
      <c r="BO41" s="323">
        <f>SUM(AX41:BI41)</f>
        <v/>
      </c>
      <c r="BQ41" s="148" t="n"/>
    </row>
    <row r="42" ht="30" customHeight="1" s="282">
      <c r="A42" s="258" t="inlineStr">
        <is>
          <t xml:space="preserve">  Administrative Costs</t>
        </is>
      </c>
      <c r="B42" s="321">
        <f>'All Calculations'!I71</f>
        <v/>
      </c>
      <c r="C42" s="321">
        <f>'All Calculations'!J71</f>
        <v/>
      </c>
      <c r="D42" s="321">
        <f>'All Calculations'!K71</f>
        <v/>
      </c>
      <c r="E42" s="321">
        <f>'All Calculations'!L71</f>
        <v/>
      </c>
      <c r="F42" s="321">
        <f>'All Calculations'!M71</f>
        <v/>
      </c>
      <c r="G42" s="321">
        <f>'All Calculations'!N71</f>
        <v/>
      </c>
      <c r="H42" s="321">
        <f>'All Calculations'!O71</f>
        <v/>
      </c>
      <c r="I42" s="321">
        <f>'All Calculations'!P71</f>
        <v/>
      </c>
      <c r="J42" s="321">
        <f>'All Calculations'!Q71</f>
        <v/>
      </c>
      <c r="K42" s="321">
        <f>'All Calculations'!R71</f>
        <v/>
      </c>
      <c r="L42" s="321">
        <f>'All Calculations'!S71</f>
        <v/>
      </c>
      <c r="M42" s="321">
        <f>'All Calculations'!T71</f>
        <v/>
      </c>
      <c r="N42" s="322">
        <f>$M42*(1+$C$7)^(N34-1)</f>
        <v/>
      </c>
      <c r="O42" s="322">
        <f>$M42*(1+$C$7)^(O34-1)</f>
        <v/>
      </c>
      <c r="P42" s="322">
        <f>$M42*(1+$C$7)^(P34-1)</f>
        <v/>
      </c>
      <c r="Q42" s="322">
        <f>$M42*(1+$C$7)^(Q34-1)</f>
        <v/>
      </c>
      <c r="R42" s="322">
        <f>$M42*(1+$C$7)^(R34-1)</f>
        <v/>
      </c>
      <c r="S42" s="322">
        <f>$M42*(1+$C$7)^(S34-1)</f>
        <v/>
      </c>
      <c r="T42" s="322">
        <f>$M42*(1+$C$7)^(T34-1)</f>
        <v/>
      </c>
      <c r="U42" s="322">
        <f>$M42*(1+$C$7)^(U34-1)</f>
        <v/>
      </c>
      <c r="V42" s="322">
        <f>$M42*(1+$C$7)^(V34-1)</f>
        <v/>
      </c>
      <c r="W42" s="322">
        <f>$M42*(1+$C$7)^(W34-1)</f>
        <v/>
      </c>
      <c r="X42" s="322">
        <f>$M42*(1+$C$7)^(X34-1)</f>
        <v/>
      </c>
      <c r="Y42" s="322">
        <f>$M42*(1+$C$7)^(Y34-1)</f>
        <v/>
      </c>
      <c r="Z42" s="322">
        <f>$M42*(1+$C$7)^(Z34-1)</f>
        <v/>
      </c>
      <c r="AA42" s="322">
        <f>$M42*(1+$C$7)^(AA34-1)</f>
        <v/>
      </c>
      <c r="AB42" s="322">
        <f>$M42*(1+$C$7)^(AB34-1)</f>
        <v/>
      </c>
      <c r="AC42" s="322">
        <f>$M42*(1+$C$7)^(AC34-1)</f>
        <v/>
      </c>
      <c r="AD42" s="322">
        <f>$M42*(1+$C$7)^(AD34-1)</f>
        <v/>
      </c>
      <c r="AE42" s="322">
        <f>$M42*(1+$C$7)^(AE34-1)</f>
        <v/>
      </c>
      <c r="AF42" s="322">
        <f>$M42*(1+$C$7)^(AF34-1)</f>
        <v/>
      </c>
      <c r="AG42" s="322">
        <f>$M42*(1+$C$7)^(AG34-1)</f>
        <v/>
      </c>
      <c r="AH42" s="322">
        <f>$M42*(1+$C$7)^(AH34-1)</f>
        <v/>
      </c>
      <c r="AI42" s="322">
        <f>$M42*(1+$C$7)^(AI34-1)</f>
        <v/>
      </c>
      <c r="AJ42" s="322">
        <f>$M42*(1+$C$7)^(AJ34-1)</f>
        <v/>
      </c>
      <c r="AK42" s="322">
        <f>$M42*(1+$C$7)^(AK34-1)</f>
        <v/>
      </c>
      <c r="AL42" s="322">
        <f>$M42*(1+$C$7)^(AL34-1)</f>
        <v/>
      </c>
      <c r="AM42" s="322">
        <f>$M42*(1+$C$7)^(AM34-1)</f>
        <v/>
      </c>
      <c r="AN42" s="322">
        <f>$M42*(1+$C$7)^(AN34-1)</f>
        <v/>
      </c>
      <c r="AO42" s="322">
        <f>$M42*(1+$C$7)^(AO34-1)</f>
        <v/>
      </c>
      <c r="AP42" s="322">
        <f>$M42*(1+$C$7)^(AP34-1)</f>
        <v/>
      </c>
      <c r="AQ42" s="322">
        <f>$M42*(1+$C$7)^(AQ34-1)</f>
        <v/>
      </c>
      <c r="AR42" s="322">
        <f>$M42*(1+$C$7)^(AR34-1)</f>
        <v/>
      </c>
      <c r="AS42" s="322">
        <f>$M42*(1+$C$7)^(AS34-1)</f>
        <v/>
      </c>
      <c r="AT42" s="322">
        <f>$M42*(1+$C$7)^(AT34-1)</f>
        <v/>
      </c>
      <c r="AU42" s="322">
        <f>$M42*(1+$C$7)^(AU34-1)</f>
        <v/>
      </c>
      <c r="AV42" s="322">
        <f>$M42*(1+$C$7)^(AV34-1)</f>
        <v/>
      </c>
      <c r="AW42" s="322">
        <f>$M42*(1+$C$7)^(AW34-1)</f>
        <v/>
      </c>
      <c r="AX42" s="322">
        <f>$M42*(1+$C$7)^(AX34-1)</f>
        <v/>
      </c>
      <c r="AY42" s="322">
        <f>$M42*(1+$C$7)^(AY34-1)</f>
        <v/>
      </c>
      <c r="AZ42" s="322">
        <f>$M42*(1+$C$7)^(AZ34-1)</f>
        <v/>
      </c>
      <c r="BA42" s="322">
        <f>$M42*(1+$C$7)^(BA34-1)</f>
        <v/>
      </c>
      <c r="BB42" s="322">
        <f>$M42*(1+$C$7)^(BB34-1)</f>
        <v/>
      </c>
      <c r="BC42" s="322">
        <f>$M42*(1+$C$7)^(BC34-1)</f>
        <v/>
      </c>
      <c r="BD42" s="322">
        <f>$M42*(1+$C$7)^(BD34-1)</f>
        <v/>
      </c>
      <c r="BE42" s="322">
        <f>$M42*(1+$C$7)^(BE34-1)</f>
        <v/>
      </c>
      <c r="BF42" s="322">
        <f>$M42*(1+$C$7)^(BF34-1)</f>
        <v/>
      </c>
      <c r="BG42" s="322">
        <f>$M42*(1+$C$7)^(BG34-1)</f>
        <v/>
      </c>
      <c r="BH42" s="322">
        <f>$M42*(1+$C$7)^(BH34-1)</f>
        <v/>
      </c>
      <c r="BI42" s="322">
        <f>$M42*(1+$C$7)^(BI34-1)</f>
        <v/>
      </c>
      <c r="BJ42" s="322" t="n"/>
      <c r="BK42" s="323">
        <f>SUM(B42:M42)</f>
        <v/>
      </c>
      <c r="BL42" s="323">
        <f>SUM(N42:Y42)</f>
        <v/>
      </c>
      <c r="BM42" s="323">
        <f>SUM(Z42:AK42)</f>
        <v/>
      </c>
      <c r="BN42" s="323">
        <f>SUM(AL42:AW42)</f>
        <v/>
      </c>
      <c r="BO42" s="323">
        <f>SUM(AX42:BI42)</f>
        <v/>
      </c>
      <c r="BQ42" s="148" t="n"/>
    </row>
    <row r="43" ht="30" customHeight="1" s="282">
      <c r="A43" s="258" t="inlineStr">
        <is>
          <t xml:space="preserve">  Travel &amp; Entertainment</t>
        </is>
      </c>
      <c r="B43" s="321">
        <f>'All Calculations'!I77</f>
        <v/>
      </c>
      <c r="C43" s="321">
        <f>'All Calculations'!J77</f>
        <v/>
      </c>
      <c r="D43" s="321">
        <f>'All Calculations'!K77</f>
        <v/>
      </c>
      <c r="E43" s="321">
        <f>'All Calculations'!L77</f>
        <v/>
      </c>
      <c r="F43" s="321">
        <f>'All Calculations'!M77</f>
        <v/>
      </c>
      <c r="G43" s="321">
        <f>'All Calculations'!N77</f>
        <v/>
      </c>
      <c r="H43" s="321">
        <f>'All Calculations'!O77</f>
        <v/>
      </c>
      <c r="I43" s="321">
        <f>'All Calculations'!P77</f>
        <v/>
      </c>
      <c r="J43" s="321">
        <f>'All Calculations'!Q77</f>
        <v/>
      </c>
      <c r="K43" s="321">
        <f>'All Calculations'!R77</f>
        <v/>
      </c>
      <c r="L43" s="321">
        <f>'All Calculations'!S77</f>
        <v/>
      </c>
      <c r="M43" s="321">
        <f>'All Calculations'!T77</f>
        <v/>
      </c>
      <c r="N43" s="322">
        <f>$M43*(1+$C$7)^(N34-1)</f>
        <v/>
      </c>
      <c r="O43" s="322">
        <f>$M43*(1+$C$7)^(O34-1)</f>
        <v/>
      </c>
      <c r="P43" s="322">
        <f>$M43*(1+$C$7)^(P34-1)</f>
        <v/>
      </c>
      <c r="Q43" s="322">
        <f>$M43*(1+$C$7)^(Q34-1)</f>
        <v/>
      </c>
      <c r="R43" s="322">
        <f>$M43*(1+$C$7)^(R34-1)</f>
        <v/>
      </c>
      <c r="S43" s="322">
        <f>$M43*(1+$C$7)^(S34-1)</f>
        <v/>
      </c>
      <c r="T43" s="322">
        <f>$M43*(1+$C$7)^(T34-1)</f>
        <v/>
      </c>
      <c r="U43" s="322">
        <f>$M43*(1+$C$7)^(U34-1)</f>
        <v/>
      </c>
      <c r="V43" s="322">
        <f>$M43*(1+$C$7)^(V34-1)</f>
        <v/>
      </c>
      <c r="W43" s="322">
        <f>$M43*(1+$C$7)^(W34-1)</f>
        <v/>
      </c>
      <c r="X43" s="322">
        <f>$M43*(1+$C$7)^(X34-1)</f>
        <v/>
      </c>
      <c r="Y43" s="322">
        <f>$M43*(1+$C$7)^(Y34-1)</f>
        <v/>
      </c>
      <c r="Z43" s="322">
        <f>$M43*(1+$C$7)^(Z34-1)</f>
        <v/>
      </c>
      <c r="AA43" s="322">
        <f>$M43*(1+$C$7)^(AA34-1)</f>
        <v/>
      </c>
      <c r="AB43" s="322">
        <f>$M43*(1+$C$7)^(AB34-1)</f>
        <v/>
      </c>
      <c r="AC43" s="322">
        <f>$M43*(1+$C$7)^(AC34-1)</f>
        <v/>
      </c>
      <c r="AD43" s="322">
        <f>$M43*(1+$C$7)^(AD34-1)</f>
        <v/>
      </c>
      <c r="AE43" s="322">
        <f>$M43*(1+$C$7)^(AE34-1)</f>
        <v/>
      </c>
      <c r="AF43" s="322">
        <f>$M43*(1+$C$7)^(AF34-1)</f>
        <v/>
      </c>
      <c r="AG43" s="322">
        <f>$M43*(1+$C$7)^(AG34-1)</f>
        <v/>
      </c>
      <c r="AH43" s="322">
        <f>$M43*(1+$C$7)^(AH34-1)</f>
        <v/>
      </c>
      <c r="AI43" s="322">
        <f>$M43*(1+$C$7)^(AI34-1)</f>
        <v/>
      </c>
      <c r="AJ43" s="322">
        <f>$M43*(1+$C$7)^(AJ34-1)</f>
        <v/>
      </c>
      <c r="AK43" s="322">
        <f>$M43*(1+$C$7)^(AK34-1)</f>
        <v/>
      </c>
      <c r="AL43" s="322">
        <f>$M43*(1+$C$7)^(AL34-1)</f>
        <v/>
      </c>
      <c r="AM43" s="322">
        <f>$M43*(1+$C$7)^(AM34-1)</f>
        <v/>
      </c>
      <c r="AN43" s="322">
        <f>$M43*(1+$C$7)^(AN34-1)</f>
        <v/>
      </c>
      <c r="AO43" s="322">
        <f>$M43*(1+$C$7)^(AO34-1)</f>
        <v/>
      </c>
      <c r="AP43" s="322">
        <f>$M43*(1+$C$7)^(AP34-1)</f>
        <v/>
      </c>
      <c r="AQ43" s="322">
        <f>$M43*(1+$C$7)^(AQ34-1)</f>
        <v/>
      </c>
      <c r="AR43" s="322">
        <f>$M43*(1+$C$7)^(AR34-1)</f>
        <v/>
      </c>
      <c r="AS43" s="322">
        <f>$M43*(1+$C$7)^(AS34-1)</f>
        <v/>
      </c>
      <c r="AT43" s="322">
        <f>$M43*(1+$C$7)^(AT34-1)</f>
        <v/>
      </c>
      <c r="AU43" s="322">
        <f>$M43*(1+$C$7)^(AU34-1)</f>
        <v/>
      </c>
      <c r="AV43" s="322">
        <f>$M43*(1+$C$7)^(AV34-1)</f>
        <v/>
      </c>
      <c r="AW43" s="322">
        <f>$M43*(1+$C$7)^(AW34-1)</f>
        <v/>
      </c>
      <c r="AX43" s="322">
        <f>$M43*(1+$C$7)^(AX34-1)</f>
        <v/>
      </c>
      <c r="AY43" s="322">
        <f>$M43*(1+$C$7)^(AY34-1)</f>
        <v/>
      </c>
      <c r="AZ43" s="322">
        <f>$M43*(1+$C$7)^(AZ34-1)</f>
        <v/>
      </c>
      <c r="BA43" s="322">
        <f>$M43*(1+$C$7)^(BA34-1)</f>
        <v/>
      </c>
      <c r="BB43" s="322">
        <f>$M43*(1+$C$7)^(BB34-1)</f>
        <v/>
      </c>
      <c r="BC43" s="322">
        <f>$M43*(1+$C$7)^(BC34-1)</f>
        <v/>
      </c>
      <c r="BD43" s="322">
        <f>$M43*(1+$C$7)^(BD34-1)</f>
        <v/>
      </c>
      <c r="BE43" s="322">
        <f>$M43*(1+$C$7)^(BE34-1)</f>
        <v/>
      </c>
      <c r="BF43" s="322">
        <f>$M43*(1+$C$7)^(BF34-1)</f>
        <v/>
      </c>
      <c r="BG43" s="322">
        <f>$M43*(1+$C$7)^(BG34-1)</f>
        <v/>
      </c>
      <c r="BH43" s="322">
        <f>$M43*(1+$C$7)^(BH34-1)</f>
        <v/>
      </c>
      <c r="BI43" s="322">
        <f>$M43*(1+$C$7)^(BI34-1)</f>
        <v/>
      </c>
      <c r="BJ43" s="322" t="n"/>
      <c r="BK43" s="323">
        <f>SUM(B43:M43)</f>
        <v/>
      </c>
      <c r="BL43" s="323">
        <f>SUM(N43:Y43)</f>
        <v/>
      </c>
      <c r="BM43" s="323">
        <f>SUM(Z43:AK43)</f>
        <v/>
      </c>
      <c r="BN43" s="323">
        <f>SUM(AL43:AW43)</f>
        <v/>
      </c>
      <c r="BO43" s="323">
        <f>SUM(AX43:BI43)</f>
        <v/>
      </c>
      <c r="BQ43" s="148" t="n"/>
    </row>
    <row r="44" ht="30" customHeight="1" s="282">
      <c r="A44" s="258" t="inlineStr">
        <is>
          <t xml:space="preserve">  Motor Vehicle Expenses</t>
        </is>
      </c>
      <c r="B44" s="321">
        <f>'All Calculations'!I83</f>
        <v/>
      </c>
      <c r="C44" s="321">
        <f>'All Calculations'!J83</f>
        <v/>
      </c>
      <c r="D44" s="321">
        <f>'All Calculations'!K83</f>
        <v/>
      </c>
      <c r="E44" s="321">
        <f>'All Calculations'!L83</f>
        <v/>
      </c>
      <c r="F44" s="321">
        <f>'All Calculations'!M83</f>
        <v/>
      </c>
      <c r="G44" s="321">
        <f>'All Calculations'!N83</f>
        <v/>
      </c>
      <c r="H44" s="321">
        <f>'All Calculations'!O83</f>
        <v/>
      </c>
      <c r="I44" s="321">
        <f>'All Calculations'!P83</f>
        <v/>
      </c>
      <c r="J44" s="321">
        <f>'All Calculations'!Q83</f>
        <v/>
      </c>
      <c r="K44" s="321">
        <f>'All Calculations'!R83</f>
        <v/>
      </c>
      <c r="L44" s="321">
        <f>'All Calculations'!S83</f>
        <v/>
      </c>
      <c r="M44" s="321">
        <f>'All Calculations'!T83</f>
        <v/>
      </c>
      <c r="N44" s="322">
        <f>$M44*(1+$C$7)^(N34-1)</f>
        <v/>
      </c>
      <c r="O44" s="322">
        <f>$M44*(1+$C$7)^(O34-1)</f>
        <v/>
      </c>
      <c r="P44" s="322">
        <f>$M44*(1+$C$7)^(P34-1)</f>
        <v/>
      </c>
      <c r="Q44" s="322">
        <f>$M44*(1+$C$7)^(Q34-1)</f>
        <v/>
      </c>
      <c r="R44" s="322">
        <f>$M44*(1+$C$7)^(R34-1)</f>
        <v/>
      </c>
      <c r="S44" s="322">
        <f>$M44*(1+$C$7)^(S34-1)</f>
        <v/>
      </c>
      <c r="T44" s="322">
        <f>$M44*(1+$C$7)^(T34-1)</f>
        <v/>
      </c>
      <c r="U44" s="322">
        <f>$M44*(1+$C$7)^(U34-1)</f>
        <v/>
      </c>
      <c r="V44" s="322">
        <f>$M44*(1+$C$7)^(V34-1)</f>
        <v/>
      </c>
      <c r="W44" s="322">
        <f>$M44*(1+$C$7)^(W34-1)</f>
        <v/>
      </c>
      <c r="X44" s="322">
        <f>$M44*(1+$C$7)^(X34-1)</f>
        <v/>
      </c>
      <c r="Y44" s="322">
        <f>$M44*(1+$C$7)^(Y34-1)</f>
        <v/>
      </c>
      <c r="Z44" s="322">
        <f>$M44*(1+$C$7)^(Z34-1)</f>
        <v/>
      </c>
      <c r="AA44" s="322">
        <f>$M44*(1+$C$7)^(AA34-1)</f>
        <v/>
      </c>
      <c r="AB44" s="322">
        <f>$M44*(1+$C$7)^(AB34-1)</f>
        <v/>
      </c>
      <c r="AC44" s="322">
        <f>$M44*(1+$C$7)^(AC34-1)</f>
        <v/>
      </c>
      <c r="AD44" s="322">
        <f>$M44*(1+$C$7)^(AD34-1)</f>
        <v/>
      </c>
      <c r="AE44" s="322">
        <f>$M44*(1+$C$7)^(AE34-1)</f>
        <v/>
      </c>
      <c r="AF44" s="322">
        <f>$M44*(1+$C$7)^(AF34-1)</f>
        <v/>
      </c>
      <c r="AG44" s="322">
        <f>$M44*(1+$C$7)^(AG34-1)</f>
        <v/>
      </c>
      <c r="AH44" s="322">
        <f>$M44*(1+$C$7)^(AH34-1)</f>
        <v/>
      </c>
      <c r="AI44" s="322">
        <f>$M44*(1+$C$7)^(AI34-1)</f>
        <v/>
      </c>
      <c r="AJ44" s="322">
        <f>$M44*(1+$C$7)^(AJ34-1)</f>
        <v/>
      </c>
      <c r="AK44" s="322">
        <f>$M44*(1+$C$7)^(AK34-1)</f>
        <v/>
      </c>
      <c r="AL44" s="322">
        <f>$M44*(1+$C$7)^(AL34-1)</f>
        <v/>
      </c>
      <c r="AM44" s="322">
        <f>$M44*(1+$C$7)^(AM34-1)</f>
        <v/>
      </c>
      <c r="AN44" s="322">
        <f>$M44*(1+$C$7)^(AN34-1)</f>
        <v/>
      </c>
      <c r="AO44" s="322">
        <f>$M44*(1+$C$7)^(AO34-1)</f>
        <v/>
      </c>
      <c r="AP44" s="322">
        <f>$M44*(1+$C$7)^(AP34-1)</f>
        <v/>
      </c>
      <c r="AQ44" s="322">
        <f>$M44*(1+$C$7)^(AQ34-1)</f>
        <v/>
      </c>
      <c r="AR44" s="322">
        <f>$M44*(1+$C$7)^(AR34-1)</f>
        <v/>
      </c>
      <c r="AS44" s="322">
        <f>$M44*(1+$C$7)^(AS34-1)</f>
        <v/>
      </c>
      <c r="AT44" s="322">
        <f>$M44*(1+$C$7)^(AT34-1)</f>
        <v/>
      </c>
      <c r="AU44" s="322">
        <f>$M44*(1+$C$7)^(AU34-1)</f>
        <v/>
      </c>
      <c r="AV44" s="322">
        <f>$M44*(1+$C$7)^(AV34-1)</f>
        <v/>
      </c>
      <c r="AW44" s="322">
        <f>$M44*(1+$C$7)^(AW34-1)</f>
        <v/>
      </c>
      <c r="AX44" s="322">
        <f>$M44*(1+$C$7)^(AX34-1)</f>
        <v/>
      </c>
      <c r="AY44" s="322">
        <f>$M44*(1+$C$7)^(AY34-1)</f>
        <v/>
      </c>
      <c r="AZ44" s="322">
        <f>$M44*(1+$C$7)^(AZ34-1)</f>
        <v/>
      </c>
      <c r="BA44" s="322">
        <f>$M44*(1+$C$7)^(BA34-1)</f>
        <v/>
      </c>
      <c r="BB44" s="322">
        <f>$M44*(1+$C$7)^(BB34-1)</f>
        <v/>
      </c>
      <c r="BC44" s="322">
        <f>$M44*(1+$C$7)^(BC34-1)</f>
        <v/>
      </c>
      <c r="BD44" s="322">
        <f>$M44*(1+$C$7)^(BD34-1)</f>
        <v/>
      </c>
      <c r="BE44" s="322">
        <f>$M44*(1+$C$7)^(BE34-1)</f>
        <v/>
      </c>
      <c r="BF44" s="322">
        <f>$M44*(1+$C$7)^(BF34-1)</f>
        <v/>
      </c>
      <c r="BG44" s="322">
        <f>$M44*(1+$C$7)^(BG34-1)</f>
        <v/>
      </c>
      <c r="BH44" s="322">
        <f>$M44*(1+$C$7)^(BH34-1)</f>
        <v/>
      </c>
      <c r="BI44" s="322">
        <f>$M44*(1+$C$7)^(BI34-1)</f>
        <v/>
      </c>
      <c r="BJ44" s="322" t="n"/>
      <c r="BK44" s="323">
        <f>SUM(B44:M44)</f>
        <v/>
      </c>
      <c r="BL44" s="323">
        <f>SUM(N44:Y44)</f>
        <v/>
      </c>
      <c r="BM44" s="323">
        <f>SUM(Z44:AK44)</f>
        <v/>
      </c>
      <c r="BN44" s="323">
        <f>SUM(AL44:AW44)</f>
        <v/>
      </c>
      <c r="BO44" s="323">
        <f>SUM(AX44:BI44)</f>
        <v/>
      </c>
      <c r="BQ44" s="148" t="n"/>
    </row>
    <row r="45" ht="30" customHeight="1" s="282">
      <c r="A45" s="258" t="inlineStr">
        <is>
          <t xml:space="preserve">  Professional Fees</t>
        </is>
      </c>
      <c r="B45" s="321">
        <f>'All Calculations'!I89</f>
        <v/>
      </c>
      <c r="C45" s="321">
        <f>'All Calculations'!J89</f>
        <v/>
      </c>
      <c r="D45" s="321">
        <f>'All Calculations'!K89</f>
        <v/>
      </c>
      <c r="E45" s="321">
        <f>'All Calculations'!L89</f>
        <v/>
      </c>
      <c r="F45" s="321">
        <f>'All Calculations'!M89</f>
        <v/>
      </c>
      <c r="G45" s="321">
        <f>'All Calculations'!N89</f>
        <v/>
      </c>
      <c r="H45" s="321">
        <f>'All Calculations'!O89</f>
        <v/>
      </c>
      <c r="I45" s="321">
        <f>'All Calculations'!P89</f>
        <v/>
      </c>
      <c r="J45" s="321">
        <f>'All Calculations'!Q89</f>
        <v/>
      </c>
      <c r="K45" s="321">
        <f>'All Calculations'!R89</f>
        <v/>
      </c>
      <c r="L45" s="321">
        <f>'All Calculations'!S89</f>
        <v/>
      </c>
      <c r="M45" s="321">
        <f>'All Calculations'!T89</f>
        <v/>
      </c>
      <c r="N45" s="322">
        <f>$M45*(1+$C$7)^(N34-1)</f>
        <v/>
      </c>
      <c r="O45" s="322">
        <f>$M45*(1+$C$7)^(O34-1)</f>
        <v/>
      </c>
      <c r="P45" s="322">
        <f>$M45*(1+$C$7)^(P34-1)</f>
        <v/>
      </c>
      <c r="Q45" s="322">
        <f>$M45*(1+$C$7)^(Q34-1)</f>
        <v/>
      </c>
      <c r="R45" s="322">
        <f>$M45*(1+$C$7)^(R34-1)</f>
        <v/>
      </c>
      <c r="S45" s="322">
        <f>$M45*(1+$C$7)^(S34-1)</f>
        <v/>
      </c>
      <c r="T45" s="322">
        <f>$M45*(1+$C$7)^(T34-1)</f>
        <v/>
      </c>
      <c r="U45" s="322">
        <f>$M45*(1+$C$7)^(U34-1)</f>
        <v/>
      </c>
      <c r="V45" s="322">
        <f>$M45*(1+$C$7)^(V34-1)</f>
        <v/>
      </c>
      <c r="W45" s="322">
        <f>$M45*(1+$C$7)^(W34-1)</f>
        <v/>
      </c>
      <c r="X45" s="322">
        <f>$M45*(1+$C$7)^(X34-1)</f>
        <v/>
      </c>
      <c r="Y45" s="322">
        <f>$M45*(1+$C$7)^(Y34-1)</f>
        <v/>
      </c>
      <c r="Z45" s="322">
        <f>$M45*(1+$C$7)^(Z34-1)</f>
        <v/>
      </c>
      <c r="AA45" s="322">
        <f>$M45*(1+$C$7)^(AA34-1)</f>
        <v/>
      </c>
      <c r="AB45" s="322">
        <f>$M45*(1+$C$7)^(AB34-1)</f>
        <v/>
      </c>
      <c r="AC45" s="322">
        <f>$M45*(1+$C$7)^(AC34-1)</f>
        <v/>
      </c>
      <c r="AD45" s="322">
        <f>$M45*(1+$C$7)^(AD34-1)</f>
        <v/>
      </c>
      <c r="AE45" s="322">
        <f>$M45*(1+$C$7)^(AE34-1)</f>
        <v/>
      </c>
      <c r="AF45" s="322">
        <f>$M45*(1+$C$7)^(AF34-1)</f>
        <v/>
      </c>
      <c r="AG45" s="322">
        <f>$M45*(1+$C$7)^(AG34-1)</f>
        <v/>
      </c>
      <c r="AH45" s="322">
        <f>$M45*(1+$C$7)^(AH34-1)</f>
        <v/>
      </c>
      <c r="AI45" s="322">
        <f>$M45*(1+$C$7)^(AI34-1)</f>
        <v/>
      </c>
      <c r="AJ45" s="322">
        <f>$M45*(1+$C$7)^(AJ34-1)</f>
        <v/>
      </c>
      <c r="AK45" s="322">
        <f>$M45*(1+$C$7)^(AK34-1)</f>
        <v/>
      </c>
      <c r="AL45" s="322">
        <f>$M45*(1+$C$7)^(AL34-1)</f>
        <v/>
      </c>
      <c r="AM45" s="322">
        <f>$M45*(1+$C$7)^(AM34-1)</f>
        <v/>
      </c>
      <c r="AN45" s="322">
        <f>$M45*(1+$C$7)^(AN34-1)</f>
        <v/>
      </c>
      <c r="AO45" s="322">
        <f>$M45*(1+$C$7)^(AO34-1)</f>
        <v/>
      </c>
      <c r="AP45" s="322">
        <f>$M45*(1+$C$7)^(AP34-1)</f>
        <v/>
      </c>
      <c r="AQ45" s="322">
        <f>$M45*(1+$C$7)^(AQ34-1)</f>
        <v/>
      </c>
      <c r="AR45" s="322">
        <f>$M45*(1+$C$7)^(AR34-1)</f>
        <v/>
      </c>
      <c r="AS45" s="322">
        <f>$M45*(1+$C$7)^(AS34-1)</f>
        <v/>
      </c>
      <c r="AT45" s="322">
        <f>$M45*(1+$C$7)^(AT34-1)</f>
        <v/>
      </c>
      <c r="AU45" s="322">
        <f>$M45*(1+$C$7)^(AU34-1)</f>
        <v/>
      </c>
      <c r="AV45" s="322">
        <f>$M45*(1+$C$7)^(AV34-1)</f>
        <v/>
      </c>
      <c r="AW45" s="322">
        <f>$M45*(1+$C$7)^(AW34-1)</f>
        <v/>
      </c>
      <c r="AX45" s="322">
        <f>$M45*(1+$C$7)^(AX34-1)</f>
        <v/>
      </c>
      <c r="AY45" s="322">
        <f>$M45*(1+$C$7)^(AY34-1)</f>
        <v/>
      </c>
      <c r="AZ45" s="322">
        <f>$M45*(1+$C$7)^(AZ34-1)</f>
        <v/>
      </c>
      <c r="BA45" s="322">
        <f>$M45*(1+$C$7)^(BA34-1)</f>
        <v/>
      </c>
      <c r="BB45" s="322">
        <f>$M45*(1+$C$7)^(BB34-1)</f>
        <v/>
      </c>
      <c r="BC45" s="322">
        <f>$M45*(1+$C$7)^(BC34-1)</f>
        <v/>
      </c>
      <c r="BD45" s="322">
        <f>$M45*(1+$C$7)^(BD34-1)</f>
        <v/>
      </c>
      <c r="BE45" s="322">
        <f>$M45*(1+$C$7)^(BE34-1)</f>
        <v/>
      </c>
      <c r="BF45" s="322">
        <f>$M45*(1+$C$7)^(BF34-1)</f>
        <v/>
      </c>
      <c r="BG45" s="322">
        <f>$M45*(1+$C$7)^(BG34-1)</f>
        <v/>
      </c>
      <c r="BH45" s="322">
        <f>$M45*(1+$C$7)^(BH34-1)</f>
        <v/>
      </c>
      <c r="BI45" s="322">
        <f>$M45*(1+$C$7)^(BI34-1)</f>
        <v/>
      </c>
      <c r="BJ45" s="322" t="n"/>
      <c r="BK45" s="323">
        <f>SUM(B45:M45)</f>
        <v/>
      </c>
      <c r="BL45" s="323">
        <f>SUM(N45:Y45)</f>
        <v/>
      </c>
      <c r="BM45" s="323">
        <f>SUM(Z45:AK45)</f>
        <v/>
      </c>
      <c r="BN45" s="323">
        <f>SUM(AL45:AW45)</f>
        <v/>
      </c>
      <c r="BO45" s="323">
        <f>SUM(AX45:BI45)</f>
        <v/>
      </c>
      <c r="BQ45" s="148" t="n"/>
    </row>
    <row r="46" ht="30" customHeight="1" s="282">
      <c r="A46" s="258" t="inlineStr">
        <is>
          <t xml:space="preserve">  Finance &amp; Policy Expenses</t>
        </is>
      </c>
      <c r="B46" s="321">
        <f>'All Calculations'!I95</f>
        <v/>
      </c>
      <c r="C46" s="321">
        <f>'All Calculations'!J95</f>
        <v/>
      </c>
      <c r="D46" s="321">
        <f>'All Calculations'!K95</f>
        <v/>
      </c>
      <c r="E46" s="321">
        <f>'All Calculations'!L95</f>
        <v/>
      </c>
      <c r="F46" s="321">
        <f>'All Calculations'!M95</f>
        <v/>
      </c>
      <c r="G46" s="321">
        <f>'All Calculations'!N95</f>
        <v/>
      </c>
      <c r="H46" s="321">
        <f>'All Calculations'!O95</f>
        <v/>
      </c>
      <c r="I46" s="321">
        <f>'All Calculations'!P95</f>
        <v/>
      </c>
      <c r="J46" s="321">
        <f>'All Calculations'!Q95</f>
        <v/>
      </c>
      <c r="K46" s="321">
        <f>'All Calculations'!R95</f>
        <v/>
      </c>
      <c r="L46" s="321">
        <f>'All Calculations'!S95</f>
        <v/>
      </c>
      <c r="M46" s="321">
        <f>'All Calculations'!T95</f>
        <v/>
      </c>
      <c r="N46" s="322">
        <f>$M46*(1+$C$7)^(N34-1)</f>
        <v/>
      </c>
      <c r="O46" s="322">
        <f>$M46*(1+$C$7)^(O34-1)</f>
        <v/>
      </c>
      <c r="P46" s="322">
        <f>$M46*(1+$C$7)^(P34-1)</f>
        <v/>
      </c>
      <c r="Q46" s="322">
        <f>$M46*(1+$C$7)^(Q34-1)</f>
        <v/>
      </c>
      <c r="R46" s="322">
        <f>$M46*(1+$C$7)^(R34-1)</f>
        <v/>
      </c>
      <c r="S46" s="322">
        <f>$M46*(1+$C$7)^(S34-1)</f>
        <v/>
      </c>
      <c r="T46" s="322">
        <f>$M46*(1+$C$7)^(T34-1)</f>
        <v/>
      </c>
      <c r="U46" s="322">
        <f>$M46*(1+$C$7)^(U34-1)</f>
        <v/>
      </c>
      <c r="V46" s="322">
        <f>$M46*(1+$C$7)^(V34-1)</f>
        <v/>
      </c>
      <c r="W46" s="322">
        <f>$M46*(1+$C$7)^(W34-1)</f>
        <v/>
      </c>
      <c r="X46" s="322">
        <f>$M46*(1+$C$7)^(X34-1)</f>
        <v/>
      </c>
      <c r="Y46" s="322">
        <f>$M46*(1+$C$7)^(Y34-1)</f>
        <v/>
      </c>
      <c r="Z46" s="322">
        <f>$M46*(1+$C$7)^(Z34-1)</f>
        <v/>
      </c>
      <c r="AA46" s="322">
        <f>$M46*(1+$C$7)^(AA34-1)</f>
        <v/>
      </c>
      <c r="AB46" s="322">
        <f>$M46*(1+$C$7)^(AB34-1)</f>
        <v/>
      </c>
      <c r="AC46" s="322">
        <f>$M46*(1+$C$7)^(AC34-1)</f>
        <v/>
      </c>
      <c r="AD46" s="322">
        <f>$M46*(1+$C$7)^(AD34-1)</f>
        <v/>
      </c>
      <c r="AE46" s="322">
        <f>$M46*(1+$C$7)^(AE34-1)</f>
        <v/>
      </c>
      <c r="AF46" s="322">
        <f>$M46*(1+$C$7)^(AF34-1)</f>
        <v/>
      </c>
      <c r="AG46" s="322">
        <f>$M46*(1+$C$7)^(AG34-1)</f>
        <v/>
      </c>
      <c r="AH46" s="322">
        <f>$M46*(1+$C$7)^(AH34-1)</f>
        <v/>
      </c>
      <c r="AI46" s="322">
        <f>$M46*(1+$C$7)^(AI34-1)</f>
        <v/>
      </c>
      <c r="AJ46" s="322">
        <f>$M46*(1+$C$7)^(AJ34-1)</f>
        <v/>
      </c>
      <c r="AK46" s="322">
        <f>$M46*(1+$C$7)^(AK34-1)</f>
        <v/>
      </c>
      <c r="AL46" s="322">
        <f>$M46*(1+$C$7)^(AL34-1)</f>
        <v/>
      </c>
      <c r="AM46" s="322">
        <f>$M46*(1+$C$7)^(AM34-1)</f>
        <v/>
      </c>
      <c r="AN46" s="322">
        <f>$M46*(1+$C$7)^(AN34-1)</f>
        <v/>
      </c>
      <c r="AO46" s="322">
        <f>$M46*(1+$C$7)^(AO34-1)</f>
        <v/>
      </c>
      <c r="AP46" s="322">
        <f>$M46*(1+$C$7)^(AP34-1)</f>
        <v/>
      </c>
      <c r="AQ46" s="322">
        <f>$M46*(1+$C$7)^(AQ34-1)</f>
        <v/>
      </c>
      <c r="AR46" s="322">
        <f>$M46*(1+$C$7)^(AR34-1)</f>
        <v/>
      </c>
      <c r="AS46" s="322">
        <f>$M46*(1+$C$7)^(AS34-1)</f>
        <v/>
      </c>
      <c r="AT46" s="322">
        <f>$M46*(1+$C$7)^(AT34-1)</f>
        <v/>
      </c>
      <c r="AU46" s="322">
        <f>$M46*(1+$C$7)^(AU34-1)</f>
        <v/>
      </c>
      <c r="AV46" s="322">
        <f>$M46*(1+$C$7)^(AV34-1)</f>
        <v/>
      </c>
      <c r="AW46" s="322">
        <f>$M46*(1+$C$7)^(AW34-1)</f>
        <v/>
      </c>
      <c r="AX46" s="322">
        <f>$M46*(1+$C$7)^(AX34-1)</f>
        <v/>
      </c>
      <c r="AY46" s="322">
        <f>$M46*(1+$C$7)^(AY34-1)</f>
        <v/>
      </c>
      <c r="AZ46" s="322">
        <f>$M46*(1+$C$7)^(AZ34-1)</f>
        <v/>
      </c>
      <c r="BA46" s="322">
        <f>$M46*(1+$C$7)^(BA34-1)</f>
        <v/>
      </c>
      <c r="BB46" s="322">
        <f>$M46*(1+$C$7)^(BB34-1)</f>
        <v/>
      </c>
      <c r="BC46" s="322">
        <f>$M46*(1+$C$7)^(BC34-1)</f>
        <v/>
      </c>
      <c r="BD46" s="322">
        <f>$M46*(1+$C$7)^(BD34-1)</f>
        <v/>
      </c>
      <c r="BE46" s="322">
        <f>$M46*(1+$C$7)^(BE34-1)</f>
        <v/>
      </c>
      <c r="BF46" s="322">
        <f>$M46*(1+$C$7)^(BF34-1)</f>
        <v/>
      </c>
      <c r="BG46" s="322">
        <f>$M46*(1+$C$7)^(BG34-1)</f>
        <v/>
      </c>
      <c r="BH46" s="322">
        <f>$M46*(1+$C$7)^(BH34-1)</f>
        <v/>
      </c>
      <c r="BI46" s="322">
        <f>$M46*(1+$C$7)^(BI34-1)</f>
        <v/>
      </c>
      <c r="BJ46" s="322" t="n"/>
      <c r="BK46" s="323">
        <f>SUM(B46:M46)</f>
        <v/>
      </c>
      <c r="BL46" s="323">
        <f>SUM(N46:Y46)</f>
        <v/>
      </c>
      <c r="BM46" s="323">
        <f>SUM(Z46:AK46)</f>
        <v/>
      </c>
      <c r="BN46" s="323">
        <f>SUM(AL46:AW46)</f>
        <v/>
      </c>
      <c r="BO46" s="323">
        <f>SUM(AX46:BI46)</f>
        <v/>
      </c>
      <c r="BQ46" s="148" t="n"/>
    </row>
    <row r="47" ht="16" customHeight="1" s="282">
      <c r="A47" s="157" t="inlineStr">
        <is>
          <t>Total Operating Expenses</t>
        </is>
      </c>
      <c r="B47" s="324">
        <f>SUM(B37:B46)</f>
        <v/>
      </c>
      <c r="C47" s="324">
        <f>SUM(C37:C46)</f>
        <v/>
      </c>
      <c r="D47" s="324">
        <f>SUM(D37:D46)</f>
        <v/>
      </c>
      <c r="E47" s="324">
        <f>SUM(E37:E46)</f>
        <v/>
      </c>
      <c r="F47" s="324">
        <f>SUM(F37:F46)</f>
        <v/>
      </c>
      <c r="G47" s="324">
        <f>SUM(G37:G46)</f>
        <v/>
      </c>
      <c r="H47" s="324">
        <f>SUM(H37:H46)</f>
        <v/>
      </c>
      <c r="I47" s="324">
        <f>SUM(I37:I46)</f>
        <v/>
      </c>
      <c r="J47" s="324">
        <f>SUM(J37:J46)</f>
        <v/>
      </c>
      <c r="K47" s="324">
        <f>SUM(K37:K46)</f>
        <v/>
      </c>
      <c r="L47" s="324">
        <f>SUM(L37:L46)</f>
        <v/>
      </c>
      <c r="M47" s="324">
        <f>SUM(M37:M46)</f>
        <v/>
      </c>
      <c r="N47" s="324">
        <f>SUM(N37:N46)</f>
        <v/>
      </c>
      <c r="O47" s="324">
        <f>SUM(O37:O46)</f>
        <v/>
      </c>
      <c r="P47" s="324">
        <f>SUM(P37:P46)</f>
        <v/>
      </c>
      <c r="Q47" s="324">
        <f>SUM(Q37:Q46)</f>
        <v/>
      </c>
      <c r="R47" s="324">
        <f>SUM(R37:R46)</f>
        <v/>
      </c>
      <c r="S47" s="324">
        <f>SUM(S37:S46)</f>
        <v/>
      </c>
      <c r="T47" s="324">
        <f>SUM(T37:T46)</f>
        <v/>
      </c>
      <c r="U47" s="324">
        <f>SUM(U37:U46)</f>
        <v/>
      </c>
      <c r="V47" s="324">
        <f>SUM(V37:V46)</f>
        <v/>
      </c>
      <c r="W47" s="324">
        <f>SUM(W37:W46)</f>
        <v/>
      </c>
      <c r="X47" s="324">
        <f>SUM(X37:X46)</f>
        <v/>
      </c>
      <c r="Y47" s="324">
        <f>SUM(Y37:Y46)</f>
        <v/>
      </c>
      <c r="Z47" s="324">
        <f>SUM(Z37:Z46)</f>
        <v/>
      </c>
      <c r="AA47" s="324">
        <f>SUM(AA37:AA46)</f>
        <v/>
      </c>
      <c r="AB47" s="324">
        <f>SUM(AB37:AB46)</f>
        <v/>
      </c>
      <c r="AC47" s="324">
        <f>SUM(AC37:AC46)</f>
        <v/>
      </c>
      <c r="AD47" s="324">
        <f>SUM(AD37:AD46)</f>
        <v/>
      </c>
      <c r="AE47" s="324">
        <f>SUM(AE37:AE46)</f>
        <v/>
      </c>
      <c r="AF47" s="324">
        <f>SUM(AF37:AF46)</f>
        <v/>
      </c>
      <c r="AG47" s="324">
        <f>SUM(AG37:AG46)</f>
        <v/>
      </c>
      <c r="AH47" s="324">
        <f>SUM(AH37:AH46)</f>
        <v/>
      </c>
      <c r="AI47" s="324">
        <f>SUM(AI37:AI46)</f>
        <v/>
      </c>
      <c r="AJ47" s="324">
        <f>SUM(AJ37:AJ46)</f>
        <v/>
      </c>
      <c r="AK47" s="324">
        <f>SUM(AK37:AK46)</f>
        <v/>
      </c>
      <c r="AL47" s="324">
        <f>SUM(AL37:AL46)</f>
        <v/>
      </c>
      <c r="AM47" s="324">
        <f>SUM(AM37:AM46)</f>
        <v/>
      </c>
      <c r="AN47" s="324">
        <f>SUM(AN37:AN46)</f>
        <v/>
      </c>
      <c r="AO47" s="324">
        <f>SUM(AO37:AO46)</f>
        <v/>
      </c>
      <c r="AP47" s="324">
        <f>SUM(AP37:AP46)</f>
        <v/>
      </c>
      <c r="AQ47" s="324">
        <f>SUM(AQ37:AQ46)</f>
        <v/>
      </c>
      <c r="AR47" s="324">
        <f>SUM(AR37:AR46)</f>
        <v/>
      </c>
      <c r="AS47" s="324">
        <f>SUM(AS37:AS46)</f>
        <v/>
      </c>
      <c r="AT47" s="324">
        <f>SUM(AT37:AT46)</f>
        <v/>
      </c>
      <c r="AU47" s="324">
        <f>SUM(AU37:AU46)</f>
        <v/>
      </c>
      <c r="AV47" s="324">
        <f>SUM(AV37:AV46)</f>
        <v/>
      </c>
      <c r="AW47" s="324">
        <f>SUM(AW37:AW46)</f>
        <v/>
      </c>
      <c r="AX47" s="324">
        <f>SUM(AX37:AX46)</f>
        <v/>
      </c>
      <c r="AY47" s="324">
        <f>SUM(AY37:AY46)</f>
        <v/>
      </c>
      <c r="AZ47" s="324">
        <f>SUM(AZ37:AZ46)</f>
        <v/>
      </c>
      <c r="BA47" s="324">
        <f>SUM(BA37:BA46)</f>
        <v/>
      </c>
      <c r="BB47" s="324">
        <f>SUM(BB37:BB46)</f>
        <v/>
      </c>
      <c r="BC47" s="324">
        <f>SUM(BC37:BC46)</f>
        <v/>
      </c>
      <c r="BD47" s="324">
        <f>SUM(BD37:BD46)</f>
        <v/>
      </c>
      <c r="BE47" s="324">
        <f>SUM(BE37:BE46)</f>
        <v/>
      </c>
      <c r="BF47" s="324">
        <f>SUM(BF37:BF46)</f>
        <v/>
      </c>
      <c r="BG47" s="324">
        <f>SUM(BG37:BG46)</f>
        <v/>
      </c>
      <c r="BH47" s="324">
        <f>SUM(BH37:BH46)</f>
        <v/>
      </c>
      <c r="BI47" s="324">
        <f>SUM(BI37:BI46)</f>
        <v/>
      </c>
      <c r="BJ47" s="324" t="n"/>
      <c r="BK47" s="325">
        <f>SUM(B47:M47)</f>
        <v/>
      </c>
      <c r="BL47" s="325">
        <f>SUM(N47:Y47)</f>
        <v/>
      </c>
      <c r="BM47" s="325">
        <f>SUM(Z47:AK47)</f>
        <v/>
      </c>
      <c r="BN47" s="325">
        <f>SUM(AL47:AW47)</f>
        <v/>
      </c>
      <c r="BO47" s="325">
        <f>SUM(AX47:BI47)</f>
        <v/>
      </c>
      <c r="BQ47" s="148" t="n"/>
    </row>
    <row r="48" ht="16" customHeight="1" s="282">
      <c r="A48" s="154" t="inlineStr">
        <is>
          <t>EBITDA</t>
        </is>
      </c>
      <c r="B48" s="326">
        <f>B35-B47</f>
        <v/>
      </c>
      <c r="C48" s="326">
        <f>C35-C47</f>
        <v/>
      </c>
      <c r="D48" s="326">
        <f>D35-D47</f>
        <v/>
      </c>
      <c r="E48" s="326">
        <f>E35-E47</f>
        <v/>
      </c>
      <c r="F48" s="326">
        <f>F35-F47</f>
        <v/>
      </c>
      <c r="G48" s="326">
        <f>G35-G47</f>
        <v/>
      </c>
      <c r="H48" s="326">
        <f>H35-H47</f>
        <v/>
      </c>
      <c r="I48" s="326">
        <f>I35-I47</f>
        <v/>
      </c>
      <c r="J48" s="326">
        <f>J35-J47</f>
        <v/>
      </c>
      <c r="K48" s="326">
        <f>K35-K47</f>
        <v/>
      </c>
      <c r="L48" s="326">
        <f>L35-L47</f>
        <v/>
      </c>
      <c r="M48" s="326">
        <f>M35-M47</f>
        <v/>
      </c>
      <c r="N48" s="326">
        <f>N35-N47</f>
        <v/>
      </c>
      <c r="O48" s="326">
        <f>O35-O47</f>
        <v/>
      </c>
      <c r="P48" s="326">
        <f>P35-P47</f>
        <v/>
      </c>
      <c r="Q48" s="326">
        <f>Q35-Q47</f>
        <v/>
      </c>
      <c r="R48" s="326">
        <f>R35-R47</f>
        <v/>
      </c>
      <c r="S48" s="326">
        <f>S35-S47</f>
        <v/>
      </c>
      <c r="T48" s="326">
        <f>T35-T47</f>
        <v/>
      </c>
      <c r="U48" s="326">
        <f>U35-U47</f>
        <v/>
      </c>
      <c r="V48" s="326">
        <f>V35-V47</f>
        <v/>
      </c>
      <c r="W48" s="326">
        <f>W35-W47</f>
        <v/>
      </c>
      <c r="X48" s="326">
        <f>X35-X47</f>
        <v/>
      </c>
      <c r="Y48" s="326">
        <f>Y35-Y47</f>
        <v/>
      </c>
      <c r="Z48" s="326">
        <f>Z35-Z47</f>
        <v/>
      </c>
      <c r="AA48" s="326">
        <f>AA35-AA47</f>
        <v/>
      </c>
      <c r="AB48" s="326">
        <f>AB35-AB47</f>
        <v/>
      </c>
      <c r="AC48" s="326">
        <f>AC35-AC47</f>
        <v/>
      </c>
      <c r="AD48" s="326">
        <f>AD35-AD47</f>
        <v/>
      </c>
      <c r="AE48" s="326">
        <f>AE35-AE47</f>
        <v/>
      </c>
      <c r="AF48" s="326">
        <f>AF35-AF47</f>
        <v/>
      </c>
      <c r="AG48" s="326">
        <f>AG35-AG47</f>
        <v/>
      </c>
      <c r="AH48" s="326">
        <f>AH35-AH47</f>
        <v/>
      </c>
      <c r="AI48" s="326">
        <f>AI35-AI47</f>
        <v/>
      </c>
      <c r="AJ48" s="326">
        <f>AJ35-AJ47</f>
        <v/>
      </c>
      <c r="AK48" s="326">
        <f>AK35-AK47</f>
        <v/>
      </c>
      <c r="AL48" s="326">
        <f>AL35-AL47</f>
        <v/>
      </c>
      <c r="AM48" s="326">
        <f>AM35-AM47</f>
        <v/>
      </c>
      <c r="AN48" s="326">
        <f>AN35-AN47</f>
        <v/>
      </c>
      <c r="AO48" s="326">
        <f>AO35-AO47</f>
        <v/>
      </c>
      <c r="AP48" s="326">
        <f>AP35-AP47</f>
        <v/>
      </c>
      <c r="AQ48" s="326">
        <f>AQ35-AQ47</f>
        <v/>
      </c>
      <c r="AR48" s="326">
        <f>AR35-AR47</f>
        <v/>
      </c>
      <c r="AS48" s="326">
        <f>AS35-AS47</f>
        <v/>
      </c>
      <c r="AT48" s="326">
        <f>AT35-AT47</f>
        <v/>
      </c>
      <c r="AU48" s="326">
        <f>AU35-AU47</f>
        <v/>
      </c>
      <c r="AV48" s="326">
        <f>AV35-AV47</f>
        <v/>
      </c>
      <c r="AW48" s="326">
        <f>AW35-AW47</f>
        <v/>
      </c>
      <c r="AX48" s="326">
        <f>AX35-AX47</f>
        <v/>
      </c>
      <c r="AY48" s="326">
        <f>AY35-AY47</f>
        <v/>
      </c>
      <c r="AZ48" s="326">
        <f>AZ35-AZ47</f>
        <v/>
      </c>
      <c r="BA48" s="326">
        <f>BA35-BA47</f>
        <v/>
      </c>
      <c r="BB48" s="326">
        <f>BB35-BB47</f>
        <v/>
      </c>
      <c r="BC48" s="326">
        <f>BC35-BC47</f>
        <v/>
      </c>
      <c r="BD48" s="326">
        <f>BD35-BD47</f>
        <v/>
      </c>
      <c r="BE48" s="326">
        <f>BE35-BE47</f>
        <v/>
      </c>
      <c r="BF48" s="326">
        <f>BF35-BF47</f>
        <v/>
      </c>
      <c r="BG48" s="326">
        <f>BG35-BG47</f>
        <v/>
      </c>
      <c r="BH48" s="326">
        <f>BH35-BH47</f>
        <v/>
      </c>
      <c r="BI48" s="326">
        <f>BI35-BI47</f>
        <v/>
      </c>
      <c r="BJ48" s="326" t="n"/>
      <c r="BK48" s="327">
        <f>SUM(B48:M48)</f>
        <v/>
      </c>
      <c r="BL48" s="327">
        <f>SUM(N48:Y48)</f>
        <v/>
      </c>
      <c r="BM48" s="327">
        <f>SUM(Z48:AK48)</f>
        <v/>
      </c>
      <c r="BN48" s="327">
        <f>SUM(AL48:AW48)</f>
        <v/>
      </c>
      <c r="BO48" s="327">
        <f>SUM(AX48:BI48)</f>
        <v/>
      </c>
      <c r="BQ48" s="148" t="n"/>
    </row>
    <row r="49" ht="30" customHeight="1" s="282">
      <c r="A49" s="140" t="inlineStr">
        <is>
          <t>EBITDA Margin %</t>
        </is>
      </c>
      <c r="B49" s="328">
        <f>IFERROR(B48/B35,"")</f>
        <v/>
      </c>
      <c r="C49" s="328">
        <f>IFERROR(C48/C35,"")</f>
        <v/>
      </c>
      <c r="D49" s="328">
        <f>IFERROR(D48/D35,"")</f>
        <v/>
      </c>
      <c r="E49" s="328">
        <f>IFERROR(E48/E35,"")</f>
        <v/>
      </c>
      <c r="F49" s="328">
        <f>IFERROR(F48/F35,"")</f>
        <v/>
      </c>
      <c r="G49" s="328">
        <f>IFERROR(G48/G35,"")</f>
        <v/>
      </c>
      <c r="H49" s="328">
        <f>IFERROR(H48/H35,"")</f>
        <v/>
      </c>
      <c r="I49" s="328">
        <f>IFERROR(I48/I35,"")</f>
        <v/>
      </c>
      <c r="J49" s="328">
        <f>IFERROR(J48/J35,"")</f>
        <v/>
      </c>
      <c r="K49" s="328">
        <f>IFERROR(K48/K35,"")</f>
        <v/>
      </c>
      <c r="L49" s="328">
        <f>IFERROR(L48/L35,"")</f>
        <v/>
      </c>
      <c r="M49" s="328">
        <f>IFERROR(M48/M35,"")</f>
        <v/>
      </c>
      <c r="N49" s="328">
        <f>IFERROR(N48/N35,"")</f>
        <v/>
      </c>
      <c r="O49" s="328">
        <f>IFERROR(O48/O35,"")</f>
        <v/>
      </c>
      <c r="P49" s="328">
        <f>IFERROR(P48/P35,"")</f>
        <v/>
      </c>
      <c r="Q49" s="328">
        <f>IFERROR(Q48/Q35,"")</f>
        <v/>
      </c>
      <c r="R49" s="328">
        <f>IFERROR(R48/R35,"")</f>
        <v/>
      </c>
      <c r="S49" s="328">
        <f>IFERROR(S48/S35,"")</f>
        <v/>
      </c>
      <c r="T49" s="328">
        <f>IFERROR(T48/T35,"")</f>
        <v/>
      </c>
      <c r="U49" s="328">
        <f>IFERROR(U48/U35,"")</f>
        <v/>
      </c>
      <c r="V49" s="328">
        <f>IFERROR(V48/V35,"")</f>
        <v/>
      </c>
      <c r="W49" s="328">
        <f>IFERROR(W48/W35,"")</f>
        <v/>
      </c>
      <c r="X49" s="328">
        <f>IFERROR(X48/X35,"")</f>
        <v/>
      </c>
      <c r="Y49" s="328">
        <f>IFERROR(Y48/Y35,"")</f>
        <v/>
      </c>
      <c r="Z49" s="328">
        <f>IFERROR(Z48/Z35,"")</f>
        <v/>
      </c>
      <c r="AA49" s="328">
        <f>IFERROR(AA48/AA35,"")</f>
        <v/>
      </c>
      <c r="AB49" s="328">
        <f>IFERROR(AB48/AB35,"")</f>
        <v/>
      </c>
      <c r="AC49" s="328">
        <f>IFERROR(AC48/AC35,"")</f>
        <v/>
      </c>
      <c r="AD49" s="328">
        <f>IFERROR(AD48/AD35,"")</f>
        <v/>
      </c>
      <c r="AE49" s="328">
        <f>IFERROR(AE48/AE35,"")</f>
        <v/>
      </c>
      <c r="AF49" s="328">
        <f>IFERROR(AF48/AF35,"")</f>
        <v/>
      </c>
      <c r="AG49" s="328">
        <f>IFERROR(AG48/AG35,"")</f>
        <v/>
      </c>
      <c r="AH49" s="328">
        <f>IFERROR(AH48/AH35,"")</f>
        <v/>
      </c>
      <c r="AI49" s="328">
        <f>IFERROR(AI48/AI35,"")</f>
        <v/>
      </c>
      <c r="AJ49" s="328">
        <f>IFERROR(AJ48/AJ35,"")</f>
        <v/>
      </c>
      <c r="AK49" s="328">
        <f>IFERROR(AK48/AK35,"")</f>
        <v/>
      </c>
      <c r="AL49" s="328">
        <f>IFERROR(AL48/AL35,"")</f>
        <v/>
      </c>
      <c r="AM49" s="328">
        <f>IFERROR(AM48/AM35,"")</f>
        <v/>
      </c>
      <c r="AN49" s="328">
        <f>IFERROR(AN48/AN35,"")</f>
        <v/>
      </c>
      <c r="AO49" s="328">
        <f>IFERROR(AO48/AO35,"")</f>
        <v/>
      </c>
      <c r="AP49" s="328">
        <f>IFERROR(AP48/AP35,"")</f>
        <v/>
      </c>
      <c r="AQ49" s="328">
        <f>IFERROR(AQ48/AQ35,"")</f>
        <v/>
      </c>
      <c r="AR49" s="328">
        <f>IFERROR(AR48/AR35,"")</f>
        <v/>
      </c>
      <c r="AS49" s="328">
        <f>IFERROR(AS48/AS35,"")</f>
        <v/>
      </c>
      <c r="AT49" s="328">
        <f>IFERROR(AT48/AT35,"")</f>
        <v/>
      </c>
      <c r="AU49" s="328">
        <f>IFERROR(AU48/AU35,"")</f>
        <v/>
      </c>
      <c r="AV49" s="328">
        <f>IFERROR(AV48/AV35,"")</f>
        <v/>
      </c>
      <c r="AW49" s="328">
        <f>IFERROR(AW48/AW35,"")</f>
        <v/>
      </c>
      <c r="AX49" s="328">
        <f>IFERROR(AX48/AX35,"")</f>
        <v/>
      </c>
      <c r="AY49" s="328">
        <f>IFERROR(AY48/AY35,"")</f>
        <v/>
      </c>
      <c r="AZ49" s="328">
        <f>IFERROR(AZ48/AZ35,"")</f>
        <v/>
      </c>
      <c r="BA49" s="328">
        <f>IFERROR(BA48/BA35,"")</f>
        <v/>
      </c>
      <c r="BB49" s="328">
        <f>IFERROR(BB48/BB35,"")</f>
        <v/>
      </c>
      <c r="BC49" s="328">
        <f>IFERROR(BC48/BC35,"")</f>
        <v/>
      </c>
      <c r="BD49" s="328">
        <f>IFERROR(BD48/BD35,"")</f>
        <v/>
      </c>
      <c r="BE49" s="328">
        <f>IFERROR(BE48/BE35,"")</f>
        <v/>
      </c>
      <c r="BF49" s="328">
        <f>IFERROR(BF48/BF35,"")</f>
        <v/>
      </c>
      <c r="BG49" s="328">
        <f>IFERROR(BG48/BG35,"")</f>
        <v/>
      </c>
      <c r="BH49" s="328">
        <f>IFERROR(BH48/BH35,"")</f>
        <v/>
      </c>
      <c r="BI49" s="328">
        <f>IFERROR(BI48/BI35,"")</f>
        <v/>
      </c>
      <c r="BJ49" s="328" t="n"/>
      <c r="BK49" s="329">
        <f>IFERROR(BK48/BK35,"")</f>
        <v/>
      </c>
      <c r="BL49" s="329">
        <f>IFERROR(BL48/BL35,"")</f>
        <v/>
      </c>
      <c r="BM49" s="329">
        <f>IFERROR(BM48/BM35,"")</f>
        <v/>
      </c>
      <c r="BN49" s="329">
        <f>IFERROR(BN48/BN35,"")</f>
        <v/>
      </c>
      <c r="BO49" s="329">
        <f>IFERROR(BO48/BO35,"")</f>
        <v/>
      </c>
      <c r="BQ49" s="148" t="n"/>
    </row>
    <row r="50" ht="8" customHeight="1" s="282">
      <c r="BK50" s="149" t="n"/>
      <c r="BL50" s="149" t="n"/>
      <c r="BM50" s="149" t="n"/>
      <c r="BN50" s="149" t="n"/>
      <c r="BO50" s="149" t="n"/>
      <c r="BQ50" s="148" t="n"/>
    </row>
    <row r="51" ht="46" customHeight="1" s="282">
      <c r="A51" s="140" t="inlineStr">
        <is>
          <t>Buildout / CapEx (one-time)</t>
        </is>
      </c>
      <c r="B51" s="322">
        <f>$E$30</f>
        <v/>
      </c>
      <c r="C51" s="322" t="n">
        <v>0</v>
      </c>
      <c r="D51" s="322" t="n">
        <v>0</v>
      </c>
      <c r="E51" s="322" t="n">
        <v>0</v>
      </c>
      <c r="F51" s="322" t="n">
        <v>0</v>
      </c>
      <c r="G51" s="322" t="n">
        <v>0</v>
      </c>
      <c r="H51" s="322" t="n">
        <v>0</v>
      </c>
      <c r="I51" s="322" t="n">
        <v>0</v>
      </c>
      <c r="J51" s="322" t="n">
        <v>0</v>
      </c>
      <c r="K51" s="322" t="n">
        <v>0</v>
      </c>
      <c r="L51" s="322" t="n">
        <v>0</v>
      </c>
      <c r="M51" s="322" t="n">
        <v>0</v>
      </c>
      <c r="N51" s="322" t="n">
        <v>0</v>
      </c>
      <c r="O51" s="322" t="n">
        <v>0</v>
      </c>
      <c r="P51" s="322" t="n">
        <v>0</v>
      </c>
      <c r="Q51" s="322" t="n">
        <v>0</v>
      </c>
      <c r="R51" s="322" t="n">
        <v>0</v>
      </c>
      <c r="S51" s="322" t="n">
        <v>0</v>
      </c>
      <c r="T51" s="322" t="n">
        <v>0</v>
      </c>
      <c r="U51" s="322" t="n">
        <v>0</v>
      </c>
      <c r="V51" s="322" t="n">
        <v>0</v>
      </c>
      <c r="W51" s="322" t="n">
        <v>0</v>
      </c>
      <c r="X51" s="322" t="n">
        <v>0</v>
      </c>
      <c r="Y51" s="322" t="n">
        <v>0</v>
      </c>
      <c r="Z51" s="322" t="n">
        <v>0</v>
      </c>
      <c r="AA51" s="322" t="n">
        <v>0</v>
      </c>
      <c r="AB51" s="322" t="n">
        <v>0</v>
      </c>
      <c r="AC51" s="322" t="n">
        <v>0</v>
      </c>
      <c r="AD51" s="322" t="n">
        <v>0</v>
      </c>
      <c r="AE51" s="322" t="n">
        <v>0</v>
      </c>
      <c r="AF51" s="322" t="n">
        <v>0</v>
      </c>
      <c r="AG51" s="322" t="n">
        <v>0</v>
      </c>
      <c r="AH51" s="322" t="n">
        <v>0</v>
      </c>
      <c r="AI51" s="322" t="n">
        <v>0</v>
      </c>
      <c r="AJ51" s="322" t="n">
        <v>0</v>
      </c>
      <c r="AK51" s="322" t="n">
        <v>0</v>
      </c>
      <c r="AL51" s="322" t="n">
        <v>0</v>
      </c>
      <c r="AM51" s="322" t="n">
        <v>0</v>
      </c>
      <c r="AN51" s="322" t="n">
        <v>0</v>
      </c>
      <c r="AO51" s="322" t="n">
        <v>0</v>
      </c>
      <c r="AP51" s="322" t="n">
        <v>0</v>
      </c>
      <c r="AQ51" s="322" t="n">
        <v>0</v>
      </c>
      <c r="AR51" s="322" t="n">
        <v>0</v>
      </c>
      <c r="AS51" s="322" t="n">
        <v>0</v>
      </c>
      <c r="AT51" s="322" t="n">
        <v>0</v>
      </c>
      <c r="AU51" s="322" t="n">
        <v>0</v>
      </c>
      <c r="AV51" s="322" t="n">
        <v>0</v>
      </c>
      <c r="AW51" s="322" t="n">
        <v>0</v>
      </c>
      <c r="AX51" s="322" t="n">
        <v>0</v>
      </c>
      <c r="AY51" s="322" t="n">
        <v>0</v>
      </c>
      <c r="AZ51" s="322" t="n">
        <v>0</v>
      </c>
      <c r="BA51" s="322" t="n">
        <v>0</v>
      </c>
      <c r="BB51" s="322" t="n">
        <v>0</v>
      </c>
      <c r="BC51" s="322" t="n">
        <v>0</v>
      </c>
      <c r="BD51" s="322" t="n">
        <v>0</v>
      </c>
      <c r="BE51" s="322" t="n">
        <v>0</v>
      </c>
      <c r="BF51" s="322" t="n">
        <v>0</v>
      </c>
      <c r="BG51" s="322" t="n">
        <v>0</v>
      </c>
      <c r="BH51" s="322" t="n">
        <v>0</v>
      </c>
      <c r="BI51" s="322" t="n">
        <v>0</v>
      </c>
      <c r="BJ51" s="322" t="n"/>
      <c r="BK51" s="323">
        <f>SUM(B51:M51)</f>
        <v/>
      </c>
      <c r="BL51" s="323">
        <f>SUM(N51:Y51)</f>
        <v/>
      </c>
      <c r="BM51" s="323">
        <f>SUM(Z51:AK51)</f>
        <v/>
      </c>
      <c r="BN51" s="323">
        <f>SUM(AL51:AW51)</f>
        <v/>
      </c>
      <c r="BO51" s="323">
        <f>SUM(AX51:BI51)</f>
        <v/>
      </c>
      <c r="BQ51" s="148" t="n"/>
    </row>
    <row r="52" ht="16" customHeight="1" s="282">
      <c r="A52" s="140" t="inlineStr">
        <is>
          <t>Net Cash Flow</t>
        </is>
      </c>
      <c r="B52" s="322">
        <f>B48-B51</f>
        <v/>
      </c>
      <c r="C52" s="322">
        <f>C48-C51</f>
        <v/>
      </c>
      <c r="D52" s="322">
        <f>D48-D51</f>
        <v/>
      </c>
      <c r="E52" s="322">
        <f>E48-E51</f>
        <v/>
      </c>
      <c r="F52" s="322">
        <f>F48-F51</f>
        <v/>
      </c>
      <c r="G52" s="322">
        <f>G48-G51</f>
        <v/>
      </c>
      <c r="H52" s="322">
        <f>H48-H51</f>
        <v/>
      </c>
      <c r="I52" s="322">
        <f>I48-I51</f>
        <v/>
      </c>
      <c r="J52" s="322">
        <f>J48-J51</f>
        <v/>
      </c>
      <c r="K52" s="322">
        <f>K48-K51</f>
        <v/>
      </c>
      <c r="L52" s="322">
        <f>L48-L51</f>
        <v/>
      </c>
      <c r="M52" s="322">
        <f>M48-M51</f>
        <v/>
      </c>
      <c r="N52" s="322">
        <f>N48-N51</f>
        <v/>
      </c>
      <c r="O52" s="322">
        <f>O48-O51</f>
        <v/>
      </c>
      <c r="P52" s="322">
        <f>P48-P51</f>
        <v/>
      </c>
      <c r="Q52" s="322">
        <f>Q48-Q51</f>
        <v/>
      </c>
      <c r="R52" s="322">
        <f>R48-R51</f>
        <v/>
      </c>
      <c r="S52" s="322">
        <f>S48-S51</f>
        <v/>
      </c>
      <c r="T52" s="322">
        <f>T48-T51</f>
        <v/>
      </c>
      <c r="U52" s="322">
        <f>U48-U51</f>
        <v/>
      </c>
      <c r="V52" s="322">
        <f>V48-V51</f>
        <v/>
      </c>
      <c r="W52" s="322">
        <f>W48-W51</f>
        <v/>
      </c>
      <c r="X52" s="322">
        <f>X48-X51</f>
        <v/>
      </c>
      <c r="Y52" s="322">
        <f>Y48-Y51</f>
        <v/>
      </c>
      <c r="Z52" s="322">
        <f>Z48-Z51</f>
        <v/>
      </c>
      <c r="AA52" s="322">
        <f>AA48-AA51</f>
        <v/>
      </c>
      <c r="AB52" s="322">
        <f>AB48-AB51</f>
        <v/>
      </c>
      <c r="AC52" s="322">
        <f>AC48-AC51</f>
        <v/>
      </c>
      <c r="AD52" s="322">
        <f>AD48-AD51</f>
        <v/>
      </c>
      <c r="AE52" s="322">
        <f>AE48-AE51</f>
        <v/>
      </c>
      <c r="AF52" s="322">
        <f>AF48-AF51</f>
        <v/>
      </c>
      <c r="AG52" s="322">
        <f>AG48-AG51</f>
        <v/>
      </c>
      <c r="AH52" s="322">
        <f>AH48-AH51</f>
        <v/>
      </c>
      <c r="AI52" s="322">
        <f>AI48-AI51</f>
        <v/>
      </c>
      <c r="AJ52" s="322">
        <f>AJ48-AJ51</f>
        <v/>
      </c>
      <c r="AK52" s="322">
        <f>AK48-AK51</f>
        <v/>
      </c>
      <c r="AL52" s="322">
        <f>AL48-AL51</f>
        <v/>
      </c>
      <c r="AM52" s="322">
        <f>AM48-AM51</f>
        <v/>
      </c>
      <c r="AN52" s="322">
        <f>AN48-AN51</f>
        <v/>
      </c>
      <c r="AO52" s="322">
        <f>AO48-AO51</f>
        <v/>
      </c>
      <c r="AP52" s="322">
        <f>AP48-AP51</f>
        <v/>
      </c>
      <c r="AQ52" s="322">
        <f>AQ48-AQ51</f>
        <v/>
      </c>
      <c r="AR52" s="322">
        <f>AR48-AR51</f>
        <v/>
      </c>
      <c r="AS52" s="322">
        <f>AS48-AS51</f>
        <v/>
      </c>
      <c r="AT52" s="322">
        <f>AT48-AT51</f>
        <v/>
      </c>
      <c r="AU52" s="322">
        <f>AU48-AU51</f>
        <v/>
      </c>
      <c r="AV52" s="322">
        <f>AV48-AV51</f>
        <v/>
      </c>
      <c r="AW52" s="322">
        <f>AW48-AW51</f>
        <v/>
      </c>
      <c r="AX52" s="322">
        <f>AX48-AX51</f>
        <v/>
      </c>
      <c r="AY52" s="322">
        <f>AY48-AY51</f>
        <v/>
      </c>
      <c r="AZ52" s="322">
        <f>AZ48-AZ51</f>
        <v/>
      </c>
      <c r="BA52" s="322">
        <f>BA48-BA51</f>
        <v/>
      </c>
      <c r="BB52" s="322">
        <f>BB48-BB51</f>
        <v/>
      </c>
      <c r="BC52" s="322">
        <f>BC48-BC51</f>
        <v/>
      </c>
      <c r="BD52" s="322">
        <f>BD48-BD51</f>
        <v/>
      </c>
      <c r="BE52" s="322">
        <f>BE48-BE51</f>
        <v/>
      </c>
      <c r="BF52" s="322">
        <f>BF48-BF51</f>
        <v/>
      </c>
      <c r="BG52" s="322">
        <f>BG48-BG51</f>
        <v/>
      </c>
      <c r="BH52" s="322">
        <f>BH48-BH51</f>
        <v/>
      </c>
      <c r="BI52" s="322">
        <f>BI48-BI51</f>
        <v/>
      </c>
      <c r="BJ52" s="322" t="n"/>
      <c r="BK52" s="323">
        <f>SUM(B52:M52)</f>
        <v/>
      </c>
      <c r="BL52" s="323">
        <f>SUM(N52:Y52)</f>
        <v/>
      </c>
      <c r="BM52" s="323">
        <f>SUM(Z52:AK52)</f>
        <v/>
      </c>
      <c r="BN52" s="323">
        <f>SUM(AL52:AW52)</f>
        <v/>
      </c>
      <c r="BO52" s="323">
        <f>SUM(AX52:BI52)</f>
        <v/>
      </c>
      <c r="BQ52" s="148" t="n"/>
    </row>
    <row r="53" ht="46" customHeight="1" s="282">
      <c r="A53" s="145" t="inlineStr">
        <is>
          <t>Cumulative Cash Flow</t>
        </is>
      </c>
      <c r="B53" s="319">
        <f>B52</f>
        <v/>
      </c>
      <c r="C53" s="319">
        <f>B53+C52</f>
        <v/>
      </c>
      <c r="D53" s="319">
        <f>C53+D52</f>
        <v/>
      </c>
      <c r="E53" s="319">
        <f>D53+E52</f>
        <v/>
      </c>
      <c r="F53" s="319">
        <f>E53+F52</f>
        <v/>
      </c>
      <c r="G53" s="319">
        <f>F53+G52</f>
        <v/>
      </c>
      <c r="H53" s="319">
        <f>G53+H52</f>
        <v/>
      </c>
      <c r="I53" s="319">
        <f>H53+I52</f>
        <v/>
      </c>
      <c r="J53" s="319">
        <f>I53+J52</f>
        <v/>
      </c>
      <c r="K53" s="319">
        <f>J53+K52</f>
        <v/>
      </c>
      <c r="L53" s="319">
        <f>K53+L52</f>
        <v/>
      </c>
      <c r="M53" s="319">
        <f>L53+M52</f>
        <v/>
      </c>
      <c r="N53" s="319">
        <f>M53+N52</f>
        <v/>
      </c>
      <c r="O53" s="319">
        <f>N53+O52</f>
        <v/>
      </c>
      <c r="P53" s="319">
        <f>O53+P52</f>
        <v/>
      </c>
      <c r="Q53" s="319">
        <f>P53+Q52</f>
        <v/>
      </c>
      <c r="R53" s="319">
        <f>Q53+R52</f>
        <v/>
      </c>
      <c r="S53" s="319">
        <f>R53+S52</f>
        <v/>
      </c>
      <c r="T53" s="319">
        <f>S53+T52</f>
        <v/>
      </c>
      <c r="U53" s="319">
        <f>T53+U52</f>
        <v/>
      </c>
      <c r="V53" s="319">
        <f>U53+V52</f>
        <v/>
      </c>
      <c r="W53" s="319">
        <f>V53+W52</f>
        <v/>
      </c>
      <c r="X53" s="319">
        <f>W53+X52</f>
        <v/>
      </c>
      <c r="Y53" s="319">
        <f>X53+Y52</f>
        <v/>
      </c>
      <c r="Z53" s="319">
        <f>Y53+Z52</f>
        <v/>
      </c>
      <c r="AA53" s="319">
        <f>Z53+AA52</f>
        <v/>
      </c>
      <c r="AB53" s="319">
        <f>AA53+AB52</f>
        <v/>
      </c>
      <c r="AC53" s="319">
        <f>AB53+AC52</f>
        <v/>
      </c>
      <c r="AD53" s="319">
        <f>AC53+AD52</f>
        <v/>
      </c>
      <c r="AE53" s="319">
        <f>AD53+AE52</f>
        <v/>
      </c>
      <c r="AF53" s="319">
        <f>AE53+AF52</f>
        <v/>
      </c>
      <c r="AG53" s="319">
        <f>AF53+AG52</f>
        <v/>
      </c>
      <c r="AH53" s="319">
        <f>AG53+AH52</f>
        <v/>
      </c>
      <c r="AI53" s="319">
        <f>AH53+AI52</f>
        <v/>
      </c>
      <c r="AJ53" s="319">
        <f>AI53+AJ52</f>
        <v/>
      </c>
      <c r="AK53" s="319">
        <f>AJ53+AK52</f>
        <v/>
      </c>
      <c r="AL53" s="319">
        <f>AK53+AL52</f>
        <v/>
      </c>
      <c r="AM53" s="319">
        <f>AL53+AM52</f>
        <v/>
      </c>
      <c r="AN53" s="319">
        <f>AM53+AN52</f>
        <v/>
      </c>
      <c r="AO53" s="319">
        <f>AN53+AO52</f>
        <v/>
      </c>
      <c r="AP53" s="319">
        <f>AO53+AP52</f>
        <v/>
      </c>
      <c r="AQ53" s="319">
        <f>AP53+AQ52</f>
        <v/>
      </c>
      <c r="AR53" s="319">
        <f>AQ53+AR52</f>
        <v/>
      </c>
      <c r="AS53" s="319">
        <f>AR53+AS52</f>
        <v/>
      </c>
      <c r="AT53" s="319">
        <f>AS53+AT52</f>
        <v/>
      </c>
      <c r="AU53" s="319">
        <f>AT53+AU52</f>
        <v/>
      </c>
      <c r="AV53" s="319">
        <f>AU53+AV52</f>
        <v/>
      </c>
      <c r="AW53" s="319">
        <f>AV53+AW52</f>
        <v/>
      </c>
      <c r="AX53" s="319">
        <f>AW53+AX52</f>
        <v/>
      </c>
      <c r="AY53" s="319">
        <f>AX53+AY52</f>
        <v/>
      </c>
      <c r="AZ53" s="319">
        <f>AY53+AZ52</f>
        <v/>
      </c>
      <c r="BA53" s="319">
        <f>AZ53+BA52</f>
        <v/>
      </c>
      <c r="BB53" s="319">
        <f>BA53+BB52</f>
        <v/>
      </c>
      <c r="BC53" s="319">
        <f>BB53+BC52</f>
        <v/>
      </c>
      <c r="BD53" s="319">
        <f>BC53+BD52</f>
        <v/>
      </c>
      <c r="BE53" s="319">
        <f>BD53+BE52</f>
        <v/>
      </c>
      <c r="BF53" s="319">
        <f>BE53+BF52</f>
        <v/>
      </c>
      <c r="BG53" s="319">
        <f>BF53+BG52</f>
        <v/>
      </c>
      <c r="BH53" s="319">
        <f>BG53+BH52</f>
        <v/>
      </c>
      <c r="BI53" s="319">
        <f>BH53+BI52</f>
        <v/>
      </c>
      <c r="BJ53" s="319" t="n"/>
      <c r="BK53" s="320">
        <f>M53</f>
        <v/>
      </c>
      <c r="BL53" s="320">
        <f>Y53</f>
        <v/>
      </c>
      <c r="BM53" s="320">
        <f>AK53</f>
        <v/>
      </c>
      <c r="BN53" s="320">
        <f>AW53</f>
        <v/>
      </c>
      <c r="BO53" s="320">
        <f>BI53</f>
        <v/>
      </c>
      <c r="BQ53" s="148" t="n"/>
    </row>
    <row r="54">
      <c r="BQ54" s="148" t="n"/>
    </row>
    <row r="55">
      <c r="A55" s="142" t="inlineStr">
        <is>
          <t>NOTES &amp; METHODOLOGY</t>
        </is>
      </c>
      <c r="BQ55" s="148" t="n"/>
    </row>
    <row r="56">
      <c r="A56" s="141" t="inlineStr">
        <is>
          <t>• Prototype = single-classroom "Warm" studio in a Tier 1 market (higher-price, e.g. SF/Marin), per company guidance for future openings.</t>
        </is>
      </c>
      <c r="BQ56" s="148" t="n"/>
    </row>
    <row r="57">
      <c r="A57" s="141" t="inlineStr">
        <is>
          <t>• Year 1 monthly Revenue &amp; all OpEx lines are LIVE-LINKED (cell references) to the company's studio-performance model on the All Calculations tab — Tier 1 Single Studio Warm, the prototype Cricket specified. Change the source there and this tab updates automatically.</t>
        </is>
      </c>
      <c r="BQ57" s="148" t="n"/>
    </row>
    <row r="58">
      <c r="A58" s="141" t="inlineStr">
        <is>
          <t>• Timeline: Month 1 = January 2027 (first operating month); months run Jan-27 through Dec-31. Years 2–5 are formula-driven off the blue inputs — change them to flex the ramp.</t>
        </is>
      </c>
      <c r="BQ58" s="148" t="n"/>
    </row>
    <row r="59">
      <c r="A59" s="141" t="inlineStr">
        <is>
          <t>• Buildout cost = Santa Barbara actual Original Budget from the uploaded PDF, broken out by line item (Soft Costs / Hard Costs / FF&amp;E). Owner's Contingency is $0 per the budget; Total Buildout = $319,898, deployed as Month-1 (Jan-27) CapEx. Ocean Park shown alongside for comparison. Cumulative cash flow turns positive during Year 2.</t>
        </is>
      </c>
      <c r="BQ59" s="148" t="n"/>
    </row>
    <row r="60">
      <c r="A60" s="141" t="inlineStr">
        <is>
          <t>• EBITDA excludes buildout/CapEx (pre-opening TI &amp; startup); it reflects operating revenue less operating expenses only.</t>
        </is>
      </c>
      <c r="BQ60" s="148" t="n"/>
    </row>
  </sheetData>
  <dataValidations count="1">
    <dataValidation sqref="E9" showDropDown="0" showInputMessage="1" showErrorMessage="1" allowBlank="1" type="list">
      <formula1>"Ocean Park,Santa Barbara"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FF7030A0"/>
    <outlinePr summaryBelow="1" summaryRight="1"/>
    <pageSetUpPr/>
  </sheetPr>
  <dimension ref="A1:AY122"/>
  <sheetViews>
    <sheetView workbookViewId="0">
      <selection activeCell="A1" sqref="A1"/>
    </sheetView>
  </sheetViews>
  <sheetFormatPr baseColWidth="10" defaultColWidth="11.6640625" defaultRowHeight="16"/>
  <cols>
    <col width="11.6640625" customWidth="1" style="140" min="1" max="2"/>
    <col width="15" customWidth="1" style="140" min="3" max="3"/>
    <col width="19.1640625" customWidth="1" style="140" min="4" max="4"/>
    <col width="11.6640625" customWidth="1" style="140" min="5" max="10"/>
    <col width="11.6640625" customWidth="1" style="140" min="11" max="16384"/>
  </cols>
  <sheetData>
    <row r="1" ht="15" customFormat="1" customHeight="1" s="185">
      <c r="B1" s="185" t="inlineStr">
        <is>
          <t>Legend:</t>
        </is>
      </c>
    </row>
    <row r="2" ht="15" customFormat="1" customHeight="1" s="185">
      <c r="B2" s="185" t="inlineStr">
        <is>
          <t>Tier 1 Stuios: Higher Price (SF and Mari)</t>
        </is>
      </c>
    </row>
    <row r="3" ht="15" customFormat="1" customHeight="1" s="185">
      <c r="B3" s="185" t="inlineStr">
        <is>
          <t>Tier 2 Studios: Normal Pricing (East Bay and all LA)</t>
        </is>
      </c>
    </row>
    <row r="4" ht="15" customFormat="1" customHeight="1" s="185">
      <c r="B4" s="185" t="inlineStr">
        <is>
          <t>Single Studios:  One Classroo</t>
        </is>
      </c>
    </row>
    <row r="5" ht="15" customFormat="1" customHeight="1" s="185">
      <c r="B5" s="185" t="inlineStr">
        <is>
          <t>Double Studio:  2 Classrooms and Addiional Private Space (SF, Westwood, West Portal)</t>
        </is>
      </c>
    </row>
    <row r="6" ht="15" customFormat="1" customHeight="1" s="185"/>
    <row r="7" ht="17" customFormat="1" customHeight="1" s="185" thickBot="1">
      <c r="B7" s="233" t="inlineStr">
        <is>
          <t xml:space="preserve">Sales </t>
        </is>
      </c>
      <c r="C7" s="233" t="n"/>
      <c r="D7" s="233" t="n"/>
      <c r="E7" s="286" t="inlineStr">
        <is>
          <t>TI &amp; Startup</t>
        </is>
      </c>
      <c r="F7" s="285" t="n"/>
      <c r="G7" s="285" t="n"/>
      <c r="H7" s="285" t="n"/>
      <c r="I7" s="284" t="inlineStr">
        <is>
          <t>Year 1 Operating</t>
        </is>
      </c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</row>
    <row r="8" customFormat="1" s="185">
      <c r="B8" s="232" t="inlineStr">
        <is>
          <t>Month</t>
        </is>
      </c>
      <c r="C8" s="231" t="n"/>
      <c r="D8" s="231" t="n"/>
      <c r="E8" s="226" t="n">
        <v>-4</v>
      </c>
      <c r="F8" s="226" t="n">
        <v>-3</v>
      </c>
      <c r="G8" s="226" t="n">
        <v>-2</v>
      </c>
      <c r="H8" s="226" t="n">
        <v>-1</v>
      </c>
      <c r="I8" s="209" t="n">
        <v>1</v>
      </c>
      <c r="J8" s="209" t="n">
        <v>2</v>
      </c>
      <c r="K8" s="209" t="n">
        <v>3</v>
      </c>
      <c r="L8" s="209" t="n">
        <v>4</v>
      </c>
      <c r="M8" s="209" t="n">
        <v>5</v>
      </c>
      <c r="N8" s="225" t="n">
        <v>6</v>
      </c>
      <c r="O8" s="225" t="n">
        <v>7</v>
      </c>
      <c r="P8" s="225" t="n">
        <v>8</v>
      </c>
      <c r="Q8" s="225" t="n">
        <v>9</v>
      </c>
      <c r="R8" s="225" t="n">
        <v>10</v>
      </c>
      <c r="S8" s="225" t="n">
        <v>11</v>
      </c>
      <c r="T8" s="225" t="n">
        <v>12</v>
      </c>
      <c r="U8" s="208" t="inlineStr">
        <is>
          <t>Total Year 1</t>
        </is>
      </c>
    </row>
    <row r="9" customFormat="1" s="185">
      <c r="B9" s="230" t="n"/>
      <c r="C9" s="229" t="n"/>
      <c r="D9" s="229" t="n"/>
      <c r="E9" s="241" t="n"/>
      <c r="F9" s="241" t="n"/>
      <c r="G9" s="241" t="n"/>
      <c r="H9" s="241" t="n"/>
      <c r="I9" s="216" t="n"/>
      <c r="J9" s="216" t="n"/>
      <c r="K9" s="216" t="n"/>
      <c r="L9" s="216" t="n"/>
      <c r="M9" s="216" t="n"/>
      <c r="N9" s="228" t="n"/>
      <c r="O9" s="228" t="n"/>
      <c r="P9" s="228" t="n"/>
      <c r="Q9" s="228" t="n"/>
      <c r="R9" s="228" t="n"/>
      <c r="S9" s="228" t="n"/>
      <c r="T9" s="228" t="n"/>
      <c r="U9" s="227" t="n"/>
    </row>
    <row r="10" customFormat="1" s="185">
      <c r="B10" s="212" t="inlineStr">
        <is>
          <t>Tier 1 FCST</t>
        </is>
      </c>
      <c r="C10" s="211" t="n"/>
      <c r="D10" s="211" t="n"/>
      <c r="E10" s="240" t="n"/>
      <c r="F10" s="240" t="n"/>
      <c r="G10" s="240" t="n"/>
      <c r="H10" s="240" t="n"/>
      <c r="I10" s="216" t="n"/>
      <c r="J10" s="216" t="n"/>
      <c r="K10" s="216" t="n"/>
      <c r="L10" s="216" t="n"/>
      <c r="M10" s="216" t="n"/>
      <c r="N10" s="216" t="n"/>
      <c r="O10" s="216" t="n"/>
      <c r="P10" s="216" t="n"/>
      <c r="Q10" s="216" t="n"/>
      <c r="R10" s="216" t="n"/>
      <c r="S10" s="216" t="n"/>
      <c r="T10" s="216" t="n"/>
      <c r="U10" s="215" t="n"/>
    </row>
    <row r="11" customFormat="1" s="233">
      <c r="B11" s="199" t="inlineStr">
        <is>
          <t>Single Studio Hot</t>
        </is>
      </c>
      <c r="C11" s="191" t="inlineStr">
        <is>
          <t>Tier 1</t>
        </is>
      </c>
      <c r="D11" s="191" t="inlineStr">
        <is>
          <t>Single Studio Hot</t>
        </is>
      </c>
      <c r="E11" s="330" t="n">
        <v>0</v>
      </c>
      <c r="F11" s="330" t="n">
        <v>0</v>
      </c>
      <c r="G11" s="330" t="n">
        <v>0</v>
      </c>
      <c r="H11" s="330" t="n">
        <v>0</v>
      </c>
      <c r="I11" s="331" t="n">
        <v>35000</v>
      </c>
      <c r="J11" s="331" t="n">
        <v>50000</v>
      </c>
      <c r="K11" s="331" t="n">
        <v>60000</v>
      </c>
      <c r="L11" s="331" t="n">
        <v>70000</v>
      </c>
      <c r="M11" s="331" t="n">
        <v>75000</v>
      </c>
      <c r="N11" s="331" t="n">
        <v>80000</v>
      </c>
      <c r="O11" s="331" t="n">
        <v>80000</v>
      </c>
      <c r="P11" s="331" t="n">
        <v>85000</v>
      </c>
      <c r="Q11" s="331" t="n">
        <v>90000</v>
      </c>
      <c r="R11" s="331" t="n">
        <v>95000</v>
      </c>
      <c r="S11" s="331" t="n">
        <v>100000</v>
      </c>
      <c r="T11" s="331" t="n">
        <v>105000</v>
      </c>
      <c r="U11" s="332">
        <f>SUM(I11:T11)</f>
        <v/>
      </c>
      <c r="AL11" s="185" t="n"/>
      <c r="AM11" s="185" t="n"/>
      <c r="AN11" s="185" t="n"/>
      <c r="AO11" s="185" t="n"/>
      <c r="AP11" s="185" t="n"/>
      <c r="AQ11" s="185" t="n"/>
      <c r="AR11" s="185" t="n"/>
      <c r="AS11" s="185" t="n"/>
      <c r="AT11" s="185" t="n"/>
      <c r="AU11" s="185" t="n"/>
      <c r="AV11" s="185" t="n"/>
      <c r="AW11" s="185" t="n"/>
      <c r="AX11" s="185" t="n"/>
      <c r="AY11" s="185" t="n"/>
    </row>
    <row r="12" customFormat="1" s="233">
      <c r="B12" s="196" t="inlineStr">
        <is>
          <t>Single Studio Warm</t>
        </is>
      </c>
      <c r="C12" s="191" t="inlineStr">
        <is>
          <t>Tier 1</t>
        </is>
      </c>
      <c r="D12" s="191" t="inlineStr">
        <is>
          <t>Single Studio Warm</t>
        </is>
      </c>
      <c r="E12" s="330" t="n">
        <v>0</v>
      </c>
      <c r="F12" s="330" t="n">
        <v>0</v>
      </c>
      <c r="G12" s="330" t="n">
        <v>0</v>
      </c>
      <c r="H12" s="330" t="n">
        <v>0</v>
      </c>
      <c r="I12" s="331" t="n">
        <v>30000</v>
      </c>
      <c r="J12" s="331" t="n">
        <v>35000</v>
      </c>
      <c r="K12" s="331" t="n">
        <v>45000</v>
      </c>
      <c r="L12" s="331" t="n">
        <v>60000</v>
      </c>
      <c r="M12" s="331" t="n">
        <v>65000</v>
      </c>
      <c r="N12" s="331" t="n">
        <v>70000</v>
      </c>
      <c r="O12" s="331" t="n">
        <v>75000</v>
      </c>
      <c r="P12" s="331" t="n">
        <v>75000</v>
      </c>
      <c r="Q12" s="331" t="n">
        <v>80000</v>
      </c>
      <c r="R12" s="331" t="n">
        <v>85000</v>
      </c>
      <c r="S12" s="331" t="n">
        <v>90000</v>
      </c>
      <c r="T12" s="331" t="n">
        <v>95000</v>
      </c>
      <c r="U12" s="332">
        <f>SUM(I12:T12)</f>
        <v/>
      </c>
      <c r="AL12" s="185" t="n"/>
      <c r="AM12" s="185" t="n"/>
      <c r="AN12" s="185" t="n"/>
      <c r="AO12" s="185" t="n"/>
      <c r="AP12" s="185" t="n"/>
      <c r="AQ12" s="185" t="n"/>
      <c r="AR12" s="185" t="n"/>
      <c r="AS12" s="185" t="n"/>
      <c r="AT12" s="185" t="n"/>
      <c r="AU12" s="185" t="n"/>
      <c r="AV12" s="185" t="n"/>
      <c r="AW12" s="185" t="n"/>
      <c r="AX12" s="185" t="n"/>
      <c r="AY12" s="185" t="n"/>
    </row>
    <row r="13" customFormat="1" s="233">
      <c r="B13" s="195" t="inlineStr">
        <is>
          <t>Single Studio Cool</t>
        </is>
      </c>
      <c r="C13" s="191" t="inlineStr">
        <is>
          <t>Tier 1</t>
        </is>
      </c>
      <c r="D13" s="191" t="inlineStr">
        <is>
          <t>Single Studio Cool</t>
        </is>
      </c>
      <c r="E13" s="330" t="n">
        <v>0</v>
      </c>
      <c r="F13" s="330" t="n">
        <v>0</v>
      </c>
      <c r="G13" s="330" t="n">
        <v>0</v>
      </c>
      <c r="H13" s="330" t="n">
        <v>0</v>
      </c>
      <c r="I13" s="331" t="n">
        <v>25000</v>
      </c>
      <c r="J13" s="331" t="n">
        <v>30000</v>
      </c>
      <c r="K13" s="331" t="n">
        <v>35000</v>
      </c>
      <c r="L13" s="331" t="n">
        <v>45000</v>
      </c>
      <c r="M13" s="331" t="n">
        <v>55000</v>
      </c>
      <c r="N13" s="331" t="n">
        <v>60000</v>
      </c>
      <c r="O13" s="331" t="n">
        <v>70000</v>
      </c>
      <c r="P13" s="331" t="n">
        <v>70000</v>
      </c>
      <c r="Q13" s="331" t="n">
        <v>75000</v>
      </c>
      <c r="R13" s="331" t="n">
        <v>80000</v>
      </c>
      <c r="S13" s="331" t="n">
        <v>85000</v>
      </c>
      <c r="T13" s="331" t="n">
        <v>90000</v>
      </c>
      <c r="U13" s="332">
        <f>SUM(I13:T13)</f>
        <v/>
      </c>
      <c r="AL13" s="185" t="n"/>
      <c r="AM13" s="185" t="n"/>
      <c r="AN13" s="185" t="n"/>
      <c r="AO13" s="185" t="n"/>
      <c r="AP13" s="185" t="n"/>
      <c r="AQ13" s="185" t="n"/>
      <c r="AR13" s="185" t="n"/>
      <c r="AS13" s="185" t="n"/>
      <c r="AT13" s="185" t="n"/>
      <c r="AU13" s="185" t="n"/>
      <c r="AV13" s="185" t="n"/>
      <c r="AW13" s="185" t="n"/>
      <c r="AX13" s="185" t="n"/>
      <c r="AY13" s="185" t="n"/>
    </row>
    <row r="14" customFormat="1" s="233">
      <c r="B14" s="192" t="inlineStr">
        <is>
          <t xml:space="preserve">Double Studio </t>
        </is>
      </c>
      <c r="C14" s="191" t="inlineStr">
        <is>
          <t>Tier 1</t>
        </is>
      </c>
      <c r="D14" s="191" t="inlineStr">
        <is>
          <t xml:space="preserve">Double Studio </t>
        </is>
      </c>
      <c r="E14" s="330" t="n">
        <v>0</v>
      </c>
      <c r="F14" s="330" t="n">
        <v>0</v>
      </c>
      <c r="G14" s="330" t="n">
        <v>0</v>
      </c>
      <c r="H14" s="330" t="n">
        <v>0</v>
      </c>
      <c r="I14" s="331" t="n">
        <v>35000</v>
      </c>
      <c r="J14" s="331" t="n">
        <v>50000</v>
      </c>
      <c r="K14" s="331" t="n">
        <v>60000</v>
      </c>
      <c r="L14" s="331" t="n">
        <v>75000</v>
      </c>
      <c r="M14" s="331" t="n">
        <v>80000</v>
      </c>
      <c r="N14" s="331" t="n">
        <v>85000</v>
      </c>
      <c r="O14" s="331" t="n">
        <v>90000</v>
      </c>
      <c r="P14" s="331" t="n">
        <v>95000</v>
      </c>
      <c r="Q14" s="331" t="n">
        <v>100000</v>
      </c>
      <c r="R14" s="331" t="n">
        <v>105000</v>
      </c>
      <c r="S14" s="331" t="n">
        <v>110000</v>
      </c>
      <c r="T14" s="331" t="n">
        <v>115000</v>
      </c>
      <c r="U14" s="332">
        <f>SUM(I14:T14)</f>
        <v/>
      </c>
      <c r="V14" s="239" t="n"/>
      <c r="AL14" s="185" t="n"/>
      <c r="AM14" s="185" t="n"/>
      <c r="AN14" s="185" t="n"/>
      <c r="AO14" s="185" t="n"/>
      <c r="AP14" s="185" t="n"/>
      <c r="AQ14" s="185" t="n"/>
      <c r="AR14" s="185" t="n"/>
      <c r="AS14" s="185" t="n"/>
      <c r="AT14" s="185" t="n"/>
      <c r="AU14" s="185" t="n"/>
      <c r="AV14" s="185" t="n"/>
      <c r="AW14" s="185" t="n"/>
      <c r="AX14" s="185" t="n"/>
      <c r="AY14" s="185" t="n"/>
    </row>
    <row r="15" ht="17" customFormat="1" customHeight="1" s="233" thickBot="1">
      <c r="B15" s="192" t="n"/>
      <c r="C15" s="207" t="n"/>
      <c r="D15" s="207" t="n"/>
      <c r="E15" s="238" t="n"/>
      <c r="F15" s="238" t="n"/>
      <c r="G15" s="238" t="n"/>
      <c r="H15" s="238" t="n"/>
      <c r="I15" s="333" t="n"/>
      <c r="J15" s="333" t="n"/>
      <c r="K15" s="333" t="n"/>
      <c r="L15" s="333" t="n"/>
      <c r="M15" s="333" t="n"/>
      <c r="N15" s="333" t="n"/>
      <c r="O15" s="333" t="n"/>
      <c r="P15" s="333" t="n"/>
      <c r="Q15" s="333" t="n"/>
      <c r="R15" s="333" t="n"/>
      <c r="S15" s="333" t="n"/>
      <c r="T15" s="333" t="n"/>
      <c r="U15" s="213" t="n"/>
      <c r="AL15" s="185" t="n"/>
      <c r="AM15" s="185" t="n"/>
      <c r="AN15" s="185" t="n"/>
      <c r="AO15" s="185" t="n"/>
      <c r="AP15" s="185" t="n"/>
      <c r="AQ15" s="185" t="n"/>
      <c r="AR15" s="185" t="n"/>
      <c r="AS15" s="185" t="n"/>
      <c r="AT15" s="185" t="n"/>
      <c r="AU15" s="185" t="n"/>
      <c r="AV15" s="185" t="n"/>
      <c r="AW15" s="185" t="n"/>
      <c r="AX15" s="185" t="n"/>
      <c r="AY15" s="185" t="n"/>
    </row>
    <row r="16" customFormat="1" s="185">
      <c r="B16" s="224" t="inlineStr">
        <is>
          <t>Tier 2 FCST</t>
        </is>
      </c>
      <c r="C16" s="237" t="n"/>
      <c r="D16" s="237" t="n"/>
      <c r="E16" s="236" t="n"/>
      <c r="F16" s="236" t="n"/>
      <c r="G16" s="236" t="n"/>
      <c r="H16" s="236" t="n"/>
      <c r="I16" s="334" t="n"/>
      <c r="J16" s="334" t="n"/>
      <c r="K16" s="334" t="n"/>
      <c r="L16" s="334" t="n"/>
      <c r="M16" s="334" t="n"/>
      <c r="N16" s="334" t="n"/>
      <c r="O16" s="209" t="n"/>
      <c r="P16" s="209" t="n"/>
      <c r="Q16" s="209" t="n"/>
      <c r="R16" s="209" t="n"/>
      <c r="S16" s="209" t="n"/>
      <c r="T16" s="209" t="n"/>
      <c r="U16" s="208" t="n"/>
    </row>
    <row r="17" customFormat="1" s="185">
      <c r="B17" s="222" t="inlineStr">
        <is>
          <t>Single Studio Hot</t>
        </is>
      </c>
      <c r="C17" s="191" t="inlineStr">
        <is>
          <t>Tier 2</t>
        </is>
      </c>
      <c r="D17" s="191" t="inlineStr">
        <is>
          <t>Single Studio Hot</t>
        </is>
      </c>
      <c r="E17" s="330" t="n">
        <v>0</v>
      </c>
      <c r="F17" s="330" t="n">
        <v>0</v>
      </c>
      <c r="G17" s="330" t="n">
        <v>0</v>
      </c>
      <c r="H17" s="330" t="n">
        <v>0</v>
      </c>
      <c r="I17" s="331" t="n">
        <v>30000</v>
      </c>
      <c r="J17" s="331" t="n">
        <v>40000</v>
      </c>
      <c r="K17" s="331" t="n">
        <v>45000</v>
      </c>
      <c r="L17" s="331" t="n">
        <v>50000</v>
      </c>
      <c r="M17" s="331" t="n">
        <v>60000</v>
      </c>
      <c r="N17" s="331" t="n">
        <v>65000</v>
      </c>
      <c r="O17" s="331" t="n">
        <v>70000</v>
      </c>
      <c r="P17" s="331" t="n">
        <v>75000</v>
      </c>
      <c r="Q17" s="331" t="n">
        <v>75000</v>
      </c>
      <c r="R17" s="331" t="n">
        <v>80000</v>
      </c>
      <c r="S17" s="331" t="n">
        <v>80000</v>
      </c>
      <c r="T17" s="331" t="n">
        <v>95000</v>
      </c>
      <c r="U17" s="332">
        <f>SUM(I17:T17)</f>
        <v/>
      </c>
    </row>
    <row r="18" customFormat="1" s="185">
      <c r="B18" s="221" t="inlineStr">
        <is>
          <t>Single Studio Warm</t>
        </is>
      </c>
      <c r="C18" s="191" t="inlineStr">
        <is>
          <t>Tier 2</t>
        </is>
      </c>
      <c r="D18" s="191" t="inlineStr">
        <is>
          <t>Single Studio Warm</t>
        </is>
      </c>
      <c r="E18" s="330" t="n">
        <v>0</v>
      </c>
      <c r="F18" s="330" t="n">
        <v>0</v>
      </c>
      <c r="G18" s="330" t="n">
        <v>0</v>
      </c>
      <c r="H18" s="330" t="n">
        <v>0</v>
      </c>
      <c r="I18" s="331" t="n">
        <v>25000</v>
      </c>
      <c r="J18" s="331" t="n">
        <v>30000</v>
      </c>
      <c r="K18" s="331" t="n">
        <v>35000</v>
      </c>
      <c r="L18" s="331" t="n">
        <v>35000</v>
      </c>
      <c r="M18" s="331" t="n">
        <v>40000</v>
      </c>
      <c r="N18" s="331" t="n">
        <v>45000</v>
      </c>
      <c r="O18" s="331" t="n">
        <v>45000</v>
      </c>
      <c r="P18" s="331" t="n">
        <v>55000</v>
      </c>
      <c r="Q18" s="331" t="n">
        <v>60000</v>
      </c>
      <c r="R18" s="331" t="n">
        <v>65000</v>
      </c>
      <c r="S18" s="331" t="n">
        <v>75000</v>
      </c>
      <c r="T18" s="331" t="n">
        <v>80000</v>
      </c>
      <c r="U18" s="332">
        <f>SUM(I18:T18)</f>
        <v/>
      </c>
    </row>
    <row r="19" customFormat="1" s="185">
      <c r="B19" s="220" t="inlineStr">
        <is>
          <t>Single Studio Cool</t>
        </is>
      </c>
      <c r="C19" s="191" t="inlineStr">
        <is>
          <t>Tier 2</t>
        </is>
      </c>
      <c r="D19" s="191" t="inlineStr">
        <is>
          <t>Single Studio Cool</t>
        </is>
      </c>
      <c r="E19" s="330" t="n">
        <v>0</v>
      </c>
      <c r="F19" s="330" t="n">
        <v>0</v>
      </c>
      <c r="G19" s="330" t="n">
        <v>0</v>
      </c>
      <c r="H19" s="330" t="n">
        <v>0</v>
      </c>
      <c r="I19" s="331" t="n">
        <v>15000</v>
      </c>
      <c r="J19" s="331" t="n">
        <v>20000</v>
      </c>
      <c r="K19" s="331" t="n">
        <v>25000</v>
      </c>
      <c r="L19" s="331" t="n">
        <v>30000</v>
      </c>
      <c r="M19" s="331" t="n">
        <v>35000</v>
      </c>
      <c r="N19" s="331" t="n">
        <v>45000</v>
      </c>
      <c r="O19" s="331" t="n">
        <v>60000</v>
      </c>
      <c r="P19" s="331" t="n">
        <v>65000</v>
      </c>
      <c r="Q19" s="331" t="n">
        <v>70000</v>
      </c>
      <c r="R19" s="331" t="n">
        <v>75000</v>
      </c>
      <c r="S19" s="331" t="n">
        <v>80000</v>
      </c>
      <c r="T19" s="331" t="n">
        <v>85000</v>
      </c>
      <c r="U19" s="332">
        <f>SUM(I19:T19)</f>
        <v/>
      </c>
    </row>
    <row r="20" customFormat="1" s="185">
      <c r="B20" s="219" t="inlineStr">
        <is>
          <t xml:space="preserve">Double Studio </t>
        </is>
      </c>
      <c r="C20" s="191" t="inlineStr">
        <is>
          <t>Tier 2</t>
        </is>
      </c>
      <c r="D20" s="191" t="inlineStr">
        <is>
          <t xml:space="preserve">Double Studio </t>
        </is>
      </c>
      <c r="E20" s="330" t="n">
        <v>0</v>
      </c>
      <c r="F20" s="330" t="n">
        <v>0</v>
      </c>
      <c r="G20" s="330" t="n">
        <v>0</v>
      </c>
      <c r="H20" s="330" t="n">
        <v>0</v>
      </c>
      <c r="I20" s="331" t="n">
        <v>35000</v>
      </c>
      <c r="J20" s="331" t="n">
        <v>45000</v>
      </c>
      <c r="K20" s="331" t="n">
        <v>55000</v>
      </c>
      <c r="L20" s="331" t="n">
        <v>65000</v>
      </c>
      <c r="M20" s="331" t="n">
        <v>85000</v>
      </c>
      <c r="N20" s="331" t="n">
        <v>90000</v>
      </c>
      <c r="O20" s="331" t="n">
        <v>95000</v>
      </c>
      <c r="P20" s="331" t="n">
        <v>95000</v>
      </c>
      <c r="Q20" s="331" t="n">
        <v>100000</v>
      </c>
      <c r="R20" s="331" t="n">
        <v>100000</v>
      </c>
      <c r="S20" s="331" t="n">
        <v>105000</v>
      </c>
      <c r="T20" s="331" t="n">
        <v>110000</v>
      </c>
      <c r="U20" s="332">
        <f>SUM(I20:T20)</f>
        <v/>
      </c>
    </row>
    <row r="21" ht="17" customFormat="1" customHeight="1" s="185" thickBot="1">
      <c r="B21" s="218" t="n"/>
      <c r="C21" s="235" t="n"/>
      <c r="D21" s="235" t="n"/>
      <c r="E21" s="234" t="n"/>
      <c r="F21" s="234" t="n"/>
      <c r="G21" s="234" t="n"/>
      <c r="H21" s="234" t="n"/>
      <c r="I21" s="335" t="n"/>
      <c r="J21" s="335" t="n"/>
      <c r="K21" s="335" t="n"/>
      <c r="L21" s="335" t="n"/>
      <c r="M21" s="335" t="n"/>
      <c r="N21" s="335" t="n"/>
      <c r="O21" s="205" t="n"/>
      <c r="P21" s="205" t="n"/>
      <c r="Q21" s="205" t="n"/>
      <c r="R21" s="205" t="n"/>
      <c r="S21" s="205" t="n"/>
      <c r="T21" s="205" t="n"/>
      <c r="U21" s="204" t="n"/>
    </row>
    <row r="22" ht="15" customFormat="1" customHeight="1" s="185"/>
    <row r="23" ht="15" customFormat="1" customHeight="1" s="185"/>
    <row r="24" ht="17" customFormat="1" customHeight="1" s="185" thickBot="1">
      <c r="B24" s="233" t="inlineStr">
        <is>
          <t>OpEx</t>
        </is>
      </c>
      <c r="C24" s="233" t="n"/>
      <c r="D24" s="233" t="n"/>
      <c r="E24" s="286" t="inlineStr">
        <is>
          <t>TI &amp; Startup</t>
        </is>
      </c>
      <c r="F24" s="285" t="n"/>
      <c r="G24" s="285" t="n"/>
      <c r="H24" s="285" t="n"/>
      <c r="I24" s="284" t="inlineStr">
        <is>
          <t>Year 1 Operating</t>
        </is>
      </c>
      <c r="J24" s="285" t="n"/>
      <c r="K24" s="285" t="n"/>
      <c r="L24" s="285" t="n"/>
      <c r="M24" s="285" t="n"/>
      <c r="N24" s="285" t="n"/>
      <c r="O24" s="285" t="n"/>
      <c r="P24" s="285" t="n"/>
      <c r="Q24" s="285" t="n"/>
      <c r="R24" s="285" t="n"/>
      <c r="S24" s="285" t="n"/>
      <c r="T24" s="285" t="n"/>
    </row>
    <row r="25" customFormat="1" s="185">
      <c r="B25" s="232" t="inlineStr">
        <is>
          <t>Month</t>
        </is>
      </c>
      <c r="C25" s="231" t="n"/>
      <c r="D25" s="231" t="n"/>
      <c r="E25" s="226" t="n">
        <v>-4</v>
      </c>
      <c r="F25" s="226" t="n">
        <v>-3</v>
      </c>
      <c r="G25" s="226" t="n">
        <v>-2</v>
      </c>
      <c r="H25" s="226" t="n">
        <v>-1</v>
      </c>
      <c r="I25" s="209" t="n">
        <v>1</v>
      </c>
      <c r="J25" s="209" t="n">
        <v>2</v>
      </c>
      <c r="K25" s="209" t="n">
        <v>3</v>
      </c>
      <c r="L25" s="209" t="n">
        <v>4</v>
      </c>
      <c r="M25" s="209" t="n">
        <v>5</v>
      </c>
      <c r="N25" s="225" t="n">
        <v>6</v>
      </c>
      <c r="O25" s="225" t="n">
        <v>7</v>
      </c>
      <c r="P25" s="225" t="n">
        <v>8</v>
      </c>
      <c r="Q25" s="225" t="n">
        <v>9</v>
      </c>
      <c r="R25" s="225" t="n">
        <v>10</v>
      </c>
      <c r="S25" s="225" t="n">
        <v>11</v>
      </c>
      <c r="T25" s="225" t="n">
        <v>12</v>
      </c>
      <c r="U25" s="208" t="inlineStr">
        <is>
          <t>Total Year 1</t>
        </is>
      </c>
    </row>
    <row r="26" customFormat="1" s="185">
      <c r="B26" s="230" t="n"/>
      <c r="C26" s="229" t="n"/>
      <c r="D26" s="229" t="n"/>
      <c r="E26" s="330" t="n"/>
      <c r="F26" s="330" t="n"/>
      <c r="G26" s="330" t="n"/>
      <c r="H26" s="330" t="n"/>
      <c r="I26" s="216" t="n"/>
      <c r="J26" s="216" t="n"/>
      <c r="K26" s="216" t="n"/>
      <c r="L26" s="216" t="n"/>
      <c r="M26" s="216" t="n"/>
      <c r="N26" s="228" t="n"/>
      <c r="O26" s="228" t="n"/>
      <c r="P26" s="228" t="n"/>
      <c r="Q26" s="228" t="n"/>
      <c r="R26" s="228" t="n"/>
      <c r="S26" s="228" t="n"/>
      <c r="T26" s="228" t="n"/>
      <c r="U26" s="227" t="n"/>
    </row>
    <row r="27" customFormat="1" s="185">
      <c r="B27" s="212" t="inlineStr">
        <is>
          <t>Startup</t>
        </is>
      </c>
      <c r="C27" s="211" t="n"/>
      <c r="D27" s="211" t="n"/>
      <c r="E27" s="330" t="n"/>
      <c r="F27" s="330" t="n"/>
      <c r="G27" s="330" t="n"/>
      <c r="H27" s="330" t="n"/>
      <c r="I27" s="216" t="n"/>
      <c r="J27" s="216" t="n"/>
      <c r="K27" s="216" t="n"/>
      <c r="L27" s="216" t="n"/>
      <c r="M27" s="216" t="n"/>
      <c r="N27" s="216" t="n"/>
      <c r="O27" s="216" t="n"/>
      <c r="P27" s="216" t="n"/>
      <c r="Q27" s="216" t="n"/>
      <c r="R27" s="216" t="n"/>
      <c r="S27" s="216" t="n"/>
      <c r="T27" s="216" t="n"/>
      <c r="U27" s="215" t="n"/>
    </row>
    <row r="28" customFormat="1" s="185">
      <c r="B28" s="199" t="inlineStr">
        <is>
          <t>Single Studio Hot</t>
        </is>
      </c>
      <c r="C28" s="191" t="inlineStr">
        <is>
          <t>Startup</t>
        </is>
      </c>
      <c r="D28" s="191" t="inlineStr">
        <is>
          <t>Single Studio Hot</t>
        </is>
      </c>
      <c r="E28" s="330" t="n"/>
      <c r="F28" s="330" t="n"/>
      <c r="G28" s="330" t="n"/>
      <c r="H28" s="330" t="n">
        <v>50000</v>
      </c>
      <c r="I28" s="331" t="n"/>
      <c r="J28" s="331" t="n"/>
      <c r="K28" s="331" t="n"/>
      <c r="L28" s="331" t="n"/>
      <c r="M28" s="331" t="n"/>
      <c r="N28" s="331" t="n"/>
      <c r="O28" s="331" t="n"/>
      <c r="P28" s="331" t="n"/>
      <c r="Q28" s="331" t="n"/>
      <c r="R28" s="331" t="n"/>
      <c r="S28" s="331" t="n"/>
      <c r="T28" s="331" t="n"/>
      <c r="U28" s="332">
        <f>SUM(E28:T28)</f>
        <v/>
      </c>
    </row>
    <row r="29" customFormat="1" s="185">
      <c r="B29" s="196" t="inlineStr">
        <is>
          <t>Single Studio Warm</t>
        </is>
      </c>
      <c r="C29" s="191" t="inlineStr">
        <is>
          <t>Startup</t>
        </is>
      </c>
      <c r="D29" s="191" t="inlineStr">
        <is>
          <t>Single Studio Warm</t>
        </is>
      </c>
      <c r="E29" s="330" t="n"/>
      <c r="F29" s="330" t="n"/>
      <c r="G29" s="330" t="n"/>
      <c r="H29" s="330" t="n">
        <v>50000</v>
      </c>
      <c r="I29" s="331" t="n"/>
      <c r="J29" s="331" t="n"/>
      <c r="K29" s="331" t="n"/>
      <c r="L29" s="331" t="n"/>
      <c r="M29" s="331" t="n"/>
      <c r="N29" s="331" t="n"/>
      <c r="O29" s="331" t="n"/>
      <c r="P29" s="331" t="n"/>
      <c r="Q29" s="331" t="n"/>
      <c r="R29" s="331" t="n"/>
      <c r="S29" s="331" t="n"/>
      <c r="T29" s="331" t="n"/>
      <c r="U29" s="332">
        <f>SUM(E29:T29)</f>
        <v/>
      </c>
    </row>
    <row r="30" customFormat="1" s="185">
      <c r="B30" s="195" t="inlineStr">
        <is>
          <t>Single Studio Cool</t>
        </is>
      </c>
      <c r="C30" s="191" t="inlineStr">
        <is>
          <t>Startup</t>
        </is>
      </c>
      <c r="D30" s="191" t="inlineStr">
        <is>
          <t>Single Studio Cool</t>
        </is>
      </c>
      <c r="E30" s="330" t="n"/>
      <c r="F30" s="330" t="n"/>
      <c r="G30" s="330" t="n"/>
      <c r="H30" s="330" t="n">
        <v>50000</v>
      </c>
      <c r="I30" s="331" t="n"/>
      <c r="J30" s="331" t="n"/>
      <c r="K30" s="331" t="n"/>
      <c r="L30" s="331" t="n"/>
      <c r="M30" s="331" t="n"/>
      <c r="N30" s="331" t="n"/>
      <c r="O30" s="331" t="n"/>
      <c r="P30" s="331" t="n"/>
      <c r="Q30" s="331" t="n"/>
      <c r="R30" s="331" t="n"/>
      <c r="S30" s="331" t="n"/>
      <c r="T30" s="331" t="n"/>
      <c r="U30" s="332">
        <f>SUM(E30:T30)</f>
        <v/>
      </c>
    </row>
    <row r="31" customFormat="1" s="185">
      <c r="B31" s="192" t="inlineStr">
        <is>
          <t xml:space="preserve">Double Studio </t>
        </is>
      </c>
      <c r="C31" s="191" t="inlineStr">
        <is>
          <t>Startup</t>
        </is>
      </c>
      <c r="D31" s="191" t="inlineStr">
        <is>
          <t xml:space="preserve">Double Studio </t>
        </is>
      </c>
      <c r="E31" s="330" t="n"/>
      <c r="F31" s="330" t="n"/>
      <c r="G31" s="330" t="n"/>
      <c r="H31" s="330" t="n">
        <v>60000</v>
      </c>
      <c r="I31" s="331" t="n"/>
      <c r="J31" s="331" t="n"/>
      <c r="K31" s="331" t="n"/>
      <c r="L31" s="331" t="n"/>
      <c r="M31" s="331" t="n"/>
      <c r="N31" s="331" t="n"/>
      <c r="O31" s="331" t="n"/>
      <c r="P31" s="331" t="n"/>
      <c r="Q31" s="331" t="n"/>
      <c r="R31" s="331" t="n"/>
      <c r="S31" s="331" t="n"/>
      <c r="T31" s="331" t="n"/>
      <c r="U31" s="332">
        <f>SUM(E31:T31)</f>
        <v/>
      </c>
    </row>
    <row r="32" customFormat="1" s="185">
      <c r="B32" s="192" t="n"/>
      <c r="C32" s="207" t="n"/>
      <c r="D32" s="207" t="n"/>
      <c r="E32" s="330" t="n"/>
      <c r="F32" s="330" t="n"/>
      <c r="G32" s="330" t="n"/>
      <c r="H32" s="330" t="n"/>
      <c r="I32" s="333" t="n"/>
      <c r="J32" s="333" t="n"/>
      <c r="K32" s="333" t="n"/>
      <c r="L32" s="333" t="n"/>
      <c r="M32" s="333" t="n"/>
      <c r="N32" s="333" t="n"/>
      <c r="O32" s="333" t="n"/>
      <c r="P32" s="333" t="n"/>
      <c r="Q32" s="333" t="n"/>
      <c r="R32" s="333" t="n"/>
      <c r="S32" s="333" t="n"/>
      <c r="T32" s="333" t="n"/>
      <c r="U32" s="213" t="n"/>
    </row>
    <row r="33" customFormat="1" s="185">
      <c r="B33" s="212" t="inlineStr">
        <is>
          <t>TI</t>
        </is>
      </c>
      <c r="C33" s="211" t="n"/>
      <c r="D33" s="211" t="n"/>
      <c r="E33" s="330" t="n"/>
      <c r="F33" s="330" t="n"/>
      <c r="G33" s="330" t="n"/>
      <c r="H33" s="330" t="n"/>
      <c r="I33" s="216" t="n"/>
      <c r="J33" s="216" t="n"/>
      <c r="K33" s="216" t="n"/>
      <c r="L33" s="216" t="n"/>
      <c r="M33" s="216" t="n"/>
      <c r="N33" s="216" t="n"/>
      <c r="O33" s="216" t="n"/>
      <c r="P33" s="216" t="n"/>
      <c r="Q33" s="216" t="n"/>
      <c r="R33" s="216" t="n"/>
      <c r="S33" s="216" t="n"/>
      <c r="T33" s="216" t="n"/>
      <c r="U33" s="215" t="n"/>
    </row>
    <row r="34" customFormat="1" s="185">
      <c r="B34" s="199" t="inlineStr">
        <is>
          <t>Single Studio Hot</t>
        </is>
      </c>
      <c r="C34" s="191" t="inlineStr">
        <is>
          <t>TI</t>
        </is>
      </c>
      <c r="D34" s="191" t="inlineStr">
        <is>
          <t>Single Studio Hot</t>
        </is>
      </c>
      <c r="E34" s="330" t="n"/>
      <c r="F34" s="330">
        <f>260000/3</f>
        <v/>
      </c>
      <c r="G34" s="330">
        <f>260000/3</f>
        <v/>
      </c>
      <c r="H34" s="330">
        <f>260000/3</f>
        <v/>
      </c>
      <c r="I34" s="331" t="n"/>
      <c r="J34" s="331" t="n"/>
      <c r="K34" s="331" t="n"/>
      <c r="L34" s="331" t="n"/>
      <c r="M34" s="331" t="n"/>
      <c r="N34" s="331" t="n"/>
      <c r="O34" s="331" t="n"/>
      <c r="P34" s="331" t="n"/>
      <c r="Q34" s="331" t="n"/>
      <c r="R34" s="331" t="n"/>
      <c r="S34" s="331" t="n"/>
      <c r="T34" s="331" t="n"/>
      <c r="U34" s="332">
        <f>SUM(E34:T34)</f>
        <v/>
      </c>
    </row>
    <row r="35" customFormat="1" s="185">
      <c r="B35" s="196" t="inlineStr">
        <is>
          <t>Single Studio Warm</t>
        </is>
      </c>
      <c r="C35" s="191" t="inlineStr">
        <is>
          <t>TI</t>
        </is>
      </c>
      <c r="D35" s="191" t="inlineStr">
        <is>
          <t>Single Studio Warm</t>
        </is>
      </c>
      <c r="E35" s="330" t="n"/>
      <c r="F35" s="330">
        <f>260000/3</f>
        <v/>
      </c>
      <c r="G35" s="330">
        <f>260000/3</f>
        <v/>
      </c>
      <c r="H35" s="330">
        <f>260000/3</f>
        <v/>
      </c>
      <c r="I35" s="331" t="n"/>
      <c r="J35" s="331" t="n"/>
      <c r="K35" s="331" t="n"/>
      <c r="L35" s="331" t="n"/>
      <c r="M35" s="331" t="n"/>
      <c r="N35" s="331" t="n"/>
      <c r="O35" s="331" t="n"/>
      <c r="P35" s="331" t="n"/>
      <c r="Q35" s="331" t="n"/>
      <c r="R35" s="331" t="n"/>
      <c r="S35" s="331" t="n"/>
      <c r="T35" s="331" t="n"/>
      <c r="U35" s="332">
        <f>SUM(E35:T35)</f>
        <v/>
      </c>
    </row>
    <row r="36" customFormat="1" s="185">
      <c r="B36" s="195" t="inlineStr">
        <is>
          <t>Single Studio Cool</t>
        </is>
      </c>
      <c r="C36" s="191" t="inlineStr">
        <is>
          <t>TI</t>
        </is>
      </c>
      <c r="D36" s="191" t="inlineStr">
        <is>
          <t>Single Studio Cool</t>
        </is>
      </c>
      <c r="E36" s="330" t="n"/>
      <c r="F36" s="330">
        <f>260000/3</f>
        <v/>
      </c>
      <c r="G36" s="330">
        <f>260000/3</f>
        <v/>
      </c>
      <c r="H36" s="330">
        <f>260000/3</f>
        <v/>
      </c>
      <c r="I36" s="331" t="n"/>
      <c r="J36" s="331" t="n"/>
      <c r="K36" s="331" t="n"/>
      <c r="L36" s="331" t="n"/>
      <c r="M36" s="331" t="n"/>
      <c r="N36" s="331" t="n"/>
      <c r="O36" s="331" t="n"/>
      <c r="P36" s="331" t="n"/>
      <c r="Q36" s="331" t="n"/>
      <c r="R36" s="331" t="n"/>
      <c r="S36" s="331" t="n"/>
      <c r="T36" s="331" t="n"/>
      <c r="U36" s="332">
        <f>SUM(E36:T36)</f>
        <v/>
      </c>
    </row>
    <row r="37" customFormat="1" s="185">
      <c r="B37" s="192" t="inlineStr">
        <is>
          <t xml:space="preserve">Double Studio </t>
        </is>
      </c>
      <c r="C37" s="191" t="inlineStr">
        <is>
          <t>TI</t>
        </is>
      </c>
      <c r="D37" s="191" t="inlineStr">
        <is>
          <t xml:space="preserve">Double Studio </t>
        </is>
      </c>
      <c r="E37" s="330" t="n"/>
      <c r="F37" s="330">
        <f>530000/3</f>
        <v/>
      </c>
      <c r="G37" s="330">
        <f>530000/3</f>
        <v/>
      </c>
      <c r="H37" s="330">
        <f>530000/3</f>
        <v/>
      </c>
      <c r="I37" s="331" t="n"/>
      <c r="J37" s="331" t="n"/>
      <c r="K37" s="331" t="n"/>
      <c r="L37" s="331" t="n"/>
      <c r="M37" s="331" t="n"/>
      <c r="N37" s="331" t="n"/>
      <c r="O37" s="331" t="n"/>
      <c r="P37" s="331" t="n"/>
      <c r="Q37" s="331" t="n"/>
      <c r="R37" s="331" t="n"/>
      <c r="S37" s="331" t="n"/>
      <c r="T37" s="331" t="n"/>
      <c r="U37" s="332">
        <f>SUM(E37:T37)</f>
        <v/>
      </c>
    </row>
    <row r="38" ht="17" customFormat="1" customHeight="1" s="185" thickBot="1">
      <c r="B38" s="192" t="n"/>
      <c r="C38" s="207" t="n"/>
      <c r="D38" s="207" t="n"/>
      <c r="E38" s="330" t="n"/>
      <c r="F38" s="330" t="n"/>
      <c r="G38" s="330" t="n"/>
      <c r="H38" s="330" t="n"/>
      <c r="I38" s="333" t="n"/>
      <c r="J38" s="333" t="n"/>
      <c r="K38" s="333" t="n"/>
      <c r="L38" s="333" t="n"/>
      <c r="M38" s="333" t="n"/>
      <c r="N38" s="333" t="n"/>
      <c r="O38" s="333" t="n"/>
      <c r="P38" s="333" t="n"/>
      <c r="Q38" s="333" t="n"/>
      <c r="R38" s="333" t="n"/>
      <c r="S38" s="333" t="n"/>
      <c r="T38" s="333" t="n"/>
      <c r="U38" s="213" t="n"/>
    </row>
    <row r="39" customFormat="1" s="185">
      <c r="B39" s="212" t="inlineStr">
        <is>
          <t>Property Costs</t>
        </is>
      </c>
      <c r="C39" s="211" t="n"/>
      <c r="D39" s="211" t="n"/>
      <c r="E39" s="226" t="n"/>
      <c r="F39" s="226" t="n"/>
      <c r="G39" s="226" t="n"/>
      <c r="H39" s="226" t="n"/>
      <c r="I39" s="209" t="n"/>
      <c r="J39" s="209" t="n"/>
      <c r="K39" s="209" t="n"/>
      <c r="L39" s="209" t="n"/>
      <c r="M39" s="209" t="n"/>
      <c r="N39" s="225" t="n"/>
      <c r="O39" s="225" t="n"/>
      <c r="P39" s="225" t="n"/>
      <c r="Q39" s="225" t="n"/>
      <c r="R39" s="225" t="n"/>
      <c r="S39" s="225" t="n"/>
      <c r="T39" s="225" t="n"/>
      <c r="U39" s="215" t="n"/>
    </row>
    <row r="40" customFormat="1" s="185">
      <c r="B40" s="199" t="inlineStr">
        <is>
          <t>Single Studio Hot</t>
        </is>
      </c>
      <c r="C40" s="191" t="inlineStr">
        <is>
          <t>Property Costs</t>
        </is>
      </c>
      <c r="D40" s="191" t="inlineStr">
        <is>
          <t>Single Studio Hot</t>
        </is>
      </c>
      <c r="E40" s="330" t="n">
        <v>0</v>
      </c>
      <c r="F40" s="330" t="n">
        <v>0</v>
      </c>
      <c r="G40" s="330" t="n">
        <v>0</v>
      </c>
      <c r="H40" s="330" t="n">
        <v>0</v>
      </c>
      <c r="I40" s="331" t="n">
        <v>0</v>
      </c>
      <c r="J40" s="331" t="n">
        <v>0</v>
      </c>
      <c r="K40" s="331" t="n">
        <v>12000</v>
      </c>
      <c r="L40" s="331" t="n">
        <v>12000</v>
      </c>
      <c r="M40" s="331" t="n">
        <v>12000</v>
      </c>
      <c r="N40" s="331" t="n">
        <v>12000</v>
      </c>
      <c r="O40" s="331" t="n">
        <v>12000</v>
      </c>
      <c r="P40" s="331" t="n">
        <v>12000</v>
      </c>
      <c r="Q40" s="331" t="n">
        <v>12000</v>
      </c>
      <c r="R40" s="331" t="n">
        <v>12000</v>
      </c>
      <c r="S40" s="331" t="n">
        <v>12000</v>
      </c>
      <c r="T40" s="331" t="n">
        <v>12000</v>
      </c>
      <c r="U40" s="332">
        <f>SUM(E40:T40)</f>
        <v/>
      </c>
    </row>
    <row r="41" customFormat="1" s="185">
      <c r="B41" s="196" t="inlineStr">
        <is>
          <t>Single Studio Warm</t>
        </is>
      </c>
      <c r="C41" s="191" t="inlineStr">
        <is>
          <t>Property Costs</t>
        </is>
      </c>
      <c r="D41" s="191" t="inlineStr">
        <is>
          <t>Single Studio Warm</t>
        </is>
      </c>
      <c r="E41" s="330" t="n">
        <v>0</v>
      </c>
      <c r="F41" s="330" t="n">
        <v>0</v>
      </c>
      <c r="G41" s="330" t="n">
        <v>0</v>
      </c>
      <c r="H41" s="330" t="n">
        <v>0</v>
      </c>
      <c r="I41" s="331" t="n">
        <v>0</v>
      </c>
      <c r="J41" s="331" t="n">
        <v>0</v>
      </c>
      <c r="K41" s="331" t="n">
        <v>10000</v>
      </c>
      <c r="L41" s="331" t="n">
        <v>10000</v>
      </c>
      <c r="M41" s="331" t="n">
        <v>10000</v>
      </c>
      <c r="N41" s="331" t="n">
        <v>10000</v>
      </c>
      <c r="O41" s="331" t="n">
        <v>10000</v>
      </c>
      <c r="P41" s="331" t="n">
        <v>10000</v>
      </c>
      <c r="Q41" s="331" t="n">
        <v>10000</v>
      </c>
      <c r="R41" s="331" t="n">
        <v>10000</v>
      </c>
      <c r="S41" s="331" t="n">
        <v>10000</v>
      </c>
      <c r="T41" s="331" t="n">
        <v>10000</v>
      </c>
      <c r="U41" s="332">
        <f>SUM(E41:T41)</f>
        <v/>
      </c>
    </row>
    <row r="42" customFormat="1" s="185">
      <c r="B42" s="195" t="inlineStr">
        <is>
          <t>Single Studio Cool</t>
        </is>
      </c>
      <c r="C42" s="191" t="inlineStr">
        <is>
          <t>Property Costs</t>
        </is>
      </c>
      <c r="D42" s="191" t="inlineStr">
        <is>
          <t>Single Studio Cool</t>
        </is>
      </c>
      <c r="E42" s="330" t="n">
        <v>0</v>
      </c>
      <c r="F42" s="330" t="n">
        <v>0</v>
      </c>
      <c r="G42" s="330" t="n">
        <v>0</v>
      </c>
      <c r="H42" s="330" t="n">
        <v>0</v>
      </c>
      <c r="I42" s="331" t="n">
        <v>0</v>
      </c>
      <c r="J42" s="331" t="n">
        <v>0</v>
      </c>
      <c r="K42" s="331" t="n">
        <v>8000</v>
      </c>
      <c r="L42" s="331" t="n">
        <v>8000</v>
      </c>
      <c r="M42" s="331" t="n">
        <v>8000</v>
      </c>
      <c r="N42" s="331" t="n">
        <v>8000</v>
      </c>
      <c r="O42" s="331" t="n">
        <v>8000</v>
      </c>
      <c r="P42" s="331" t="n">
        <v>8000</v>
      </c>
      <c r="Q42" s="331" t="n">
        <v>8000</v>
      </c>
      <c r="R42" s="331" t="n">
        <v>8000</v>
      </c>
      <c r="S42" s="331" t="n">
        <v>8000</v>
      </c>
      <c r="T42" s="331" t="n">
        <v>8000</v>
      </c>
      <c r="U42" s="332">
        <f>SUM(E42:T42)</f>
        <v/>
      </c>
    </row>
    <row r="43" customFormat="1" s="185">
      <c r="B43" s="192" t="inlineStr">
        <is>
          <t xml:space="preserve">Double Studio </t>
        </is>
      </c>
      <c r="C43" s="191" t="inlineStr">
        <is>
          <t>Property Costs</t>
        </is>
      </c>
      <c r="D43" s="191" t="inlineStr">
        <is>
          <t xml:space="preserve">Double Studio </t>
        </is>
      </c>
      <c r="E43" s="330" t="n">
        <v>0</v>
      </c>
      <c r="F43" s="330" t="n">
        <v>0</v>
      </c>
      <c r="G43" s="330" t="n">
        <v>0</v>
      </c>
      <c r="H43" s="330" t="n">
        <v>0</v>
      </c>
      <c r="I43" s="331" t="n">
        <v>0</v>
      </c>
      <c r="J43" s="331" t="n">
        <v>0</v>
      </c>
      <c r="K43" s="331" t="n">
        <v>16000</v>
      </c>
      <c r="L43" s="331" t="n">
        <v>16000</v>
      </c>
      <c r="M43" s="331" t="n">
        <v>16000</v>
      </c>
      <c r="N43" s="331" t="n">
        <v>16000</v>
      </c>
      <c r="O43" s="331" t="n">
        <v>16000</v>
      </c>
      <c r="P43" s="331" t="n">
        <v>16000</v>
      </c>
      <c r="Q43" s="331" t="n">
        <v>16000</v>
      </c>
      <c r="R43" s="331" t="n">
        <v>16000</v>
      </c>
      <c r="S43" s="331" t="n">
        <v>16000</v>
      </c>
      <c r="T43" s="331" t="n">
        <v>16000</v>
      </c>
      <c r="U43" s="332">
        <f>SUM(E43:T43)</f>
        <v/>
      </c>
    </row>
    <row r="44" ht="17" customFormat="1" customHeight="1" s="185" thickBot="1">
      <c r="B44" s="192" t="n"/>
      <c r="C44" s="207" t="n"/>
      <c r="D44" s="207" t="n"/>
      <c r="E44" s="330" t="n"/>
      <c r="F44" s="330" t="n"/>
      <c r="G44" s="330" t="n"/>
      <c r="H44" s="330" t="n"/>
      <c r="I44" s="333" t="n"/>
      <c r="J44" s="333" t="n"/>
      <c r="K44" s="333" t="n"/>
      <c r="L44" s="333" t="n"/>
      <c r="M44" s="333" t="n"/>
      <c r="N44" s="333" t="n"/>
      <c r="O44" s="333" t="n"/>
      <c r="P44" s="333" t="n"/>
      <c r="Q44" s="333" t="n"/>
      <c r="R44" s="333" t="n"/>
      <c r="S44" s="333" t="n"/>
      <c r="T44" s="333" t="n"/>
      <c r="U44" s="213" t="n"/>
    </row>
    <row r="45" customFormat="1" s="185">
      <c r="B45" s="224" t="inlineStr">
        <is>
          <t>Staff Costs</t>
        </is>
      </c>
      <c r="C45" s="223" t="n"/>
      <c r="D45" s="223" t="n"/>
      <c r="E45" s="330" t="n"/>
      <c r="F45" s="330" t="n"/>
      <c r="G45" s="330" t="n"/>
      <c r="H45" s="330" t="n"/>
      <c r="I45" s="334" t="n"/>
      <c r="J45" s="334" t="n"/>
      <c r="K45" s="334" t="n"/>
      <c r="L45" s="334" t="n"/>
      <c r="M45" s="334" t="n"/>
      <c r="N45" s="334" t="n"/>
      <c r="O45" s="209" t="n"/>
      <c r="P45" s="209" t="n"/>
      <c r="Q45" s="209" t="n"/>
      <c r="R45" s="209" t="n"/>
      <c r="S45" s="209" t="n"/>
      <c r="T45" s="209" t="n"/>
      <c r="U45" s="208" t="n"/>
    </row>
    <row r="46" customFormat="1" s="185">
      <c r="B46" s="222" t="inlineStr">
        <is>
          <t>Single Studio Hot</t>
        </is>
      </c>
      <c r="C46" s="191" t="inlineStr">
        <is>
          <t>Staff Costs</t>
        </is>
      </c>
      <c r="D46" s="191" t="inlineStr">
        <is>
          <t>Single Studio Hot</t>
        </is>
      </c>
      <c r="E46" s="330" t="n"/>
      <c r="F46" s="330" t="n"/>
      <c r="G46" s="330" t="n"/>
      <c r="H46" s="330" t="n"/>
      <c r="I46" s="331" t="n">
        <v>30000</v>
      </c>
      <c r="J46" s="331" t="n">
        <v>35000</v>
      </c>
      <c r="K46" s="331" t="n">
        <v>40000</v>
      </c>
      <c r="L46" s="331" t="n">
        <v>45000</v>
      </c>
      <c r="M46" s="331" t="n">
        <v>45000</v>
      </c>
      <c r="N46" s="331" t="n">
        <v>45000</v>
      </c>
      <c r="O46" s="331" t="n">
        <v>45000</v>
      </c>
      <c r="P46" s="331" t="n">
        <v>45000</v>
      </c>
      <c r="Q46" s="331" t="n">
        <v>45000</v>
      </c>
      <c r="R46" s="331" t="n">
        <v>45000</v>
      </c>
      <c r="S46" s="331" t="n">
        <v>45000</v>
      </c>
      <c r="T46" s="331" t="n">
        <v>45000</v>
      </c>
      <c r="U46" s="332">
        <f>SUM(E46:T46)</f>
        <v/>
      </c>
    </row>
    <row r="47" customFormat="1" s="185">
      <c r="B47" s="221" t="inlineStr">
        <is>
          <t>Single Studio Warm</t>
        </is>
      </c>
      <c r="C47" s="191" t="inlineStr">
        <is>
          <t>Staff Costs</t>
        </is>
      </c>
      <c r="D47" s="191" t="inlineStr">
        <is>
          <t>Single Studio Warm</t>
        </is>
      </c>
      <c r="E47" s="330" t="n"/>
      <c r="F47" s="330" t="n"/>
      <c r="G47" s="330" t="n"/>
      <c r="H47" s="330" t="n"/>
      <c r="I47" s="331" t="n">
        <v>30000</v>
      </c>
      <c r="J47" s="331" t="n">
        <v>35000</v>
      </c>
      <c r="K47" s="331" t="n">
        <v>40000</v>
      </c>
      <c r="L47" s="331" t="n">
        <v>45000</v>
      </c>
      <c r="M47" s="331" t="n">
        <v>45000</v>
      </c>
      <c r="N47" s="331" t="n">
        <v>45000</v>
      </c>
      <c r="O47" s="331" t="n">
        <v>45000</v>
      </c>
      <c r="P47" s="331" t="n">
        <v>45000</v>
      </c>
      <c r="Q47" s="331" t="n">
        <v>45000</v>
      </c>
      <c r="R47" s="331" t="n">
        <v>45000</v>
      </c>
      <c r="S47" s="331" t="n">
        <v>45000</v>
      </c>
      <c r="T47" s="331" t="n">
        <v>45000</v>
      </c>
      <c r="U47" s="332">
        <f>SUM(E47:T47)</f>
        <v/>
      </c>
    </row>
    <row r="48" customFormat="1" s="185">
      <c r="B48" s="220" t="inlineStr">
        <is>
          <t>Single Studio Cool</t>
        </is>
      </c>
      <c r="C48" s="191" t="inlineStr">
        <is>
          <t>Staff Costs</t>
        </is>
      </c>
      <c r="D48" s="191" t="inlineStr">
        <is>
          <t>Single Studio Cool</t>
        </is>
      </c>
      <c r="E48" s="330" t="n"/>
      <c r="F48" s="330" t="n"/>
      <c r="G48" s="330" t="n"/>
      <c r="H48" s="330" t="n"/>
      <c r="I48" s="331" t="n">
        <v>30000</v>
      </c>
      <c r="J48" s="331" t="n">
        <v>35000</v>
      </c>
      <c r="K48" s="331" t="n">
        <v>40000</v>
      </c>
      <c r="L48" s="331" t="n">
        <v>45000</v>
      </c>
      <c r="M48" s="331" t="n">
        <v>45000</v>
      </c>
      <c r="N48" s="331" t="n">
        <v>45000</v>
      </c>
      <c r="O48" s="331" t="n">
        <v>45000</v>
      </c>
      <c r="P48" s="331" t="n">
        <v>45000</v>
      </c>
      <c r="Q48" s="331" t="n">
        <v>45000</v>
      </c>
      <c r="R48" s="331" t="n">
        <v>45000</v>
      </c>
      <c r="S48" s="331" t="n">
        <v>45000</v>
      </c>
      <c r="T48" s="331" t="n">
        <v>45000</v>
      </c>
      <c r="U48" s="332">
        <f>SUM(E48:T48)</f>
        <v/>
      </c>
    </row>
    <row r="49" customFormat="1" s="185">
      <c r="B49" s="219" t="inlineStr">
        <is>
          <t xml:space="preserve">Double Studio </t>
        </is>
      </c>
      <c r="C49" s="191" t="inlineStr">
        <is>
          <t>Staff Costs</t>
        </is>
      </c>
      <c r="D49" s="191" t="inlineStr">
        <is>
          <t xml:space="preserve">Double Studio </t>
        </is>
      </c>
      <c r="E49" s="330" t="n"/>
      <c r="F49" s="330" t="n"/>
      <c r="G49" s="330" t="n"/>
      <c r="H49" s="330" t="n"/>
      <c r="I49" s="331" t="n">
        <v>40000</v>
      </c>
      <c r="J49" s="331" t="n">
        <v>40000</v>
      </c>
      <c r="K49" s="331" t="n">
        <v>50000</v>
      </c>
      <c r="L49" s="331" t="n">
        <v>50000</v>
      </c>
      <c r="M49" s="331" t="n">
        <v>50000</v>
      </c>
      <c r="N49" s="331" t="n">
        <v>50000</v>
      </c>
      <c r="O49" s="331" t="n">
        <v>50000</v>
      </c>
      <c r="P49" s="331" t="n">
        <v>50000</v>
      </c>
      <c r="Q49" s="331" t="n">
        <v>50000</v>
      </c>
      <c r="R49" s="331" t="n">
        <v>50000</v>
      </c>
      <c r="S49" s="331" t="n">
        <v>50000</v>
      </c>
      <c r="T49" s="331" t="n">
        <v>50000</v>
      </c>
      <c r="U49" s="332">
        <f>SUM(E49:T49)</f>
        <v/>
      </c>
    </row>
    <row r="50" ht="17" customFormat="1" customHeight="1" s="185" thickBot="1">
      <c r="B50" s="218" t="n"/>
      <c r="C50" s="217" t="n"/>
      <c r="D50" s="217" t="n"/>
      <c r="E50" s="330" t="n"/>
      <c r="F50" s="330" t="n"/>
      <c r="G50" s="330" t="n"/>
      <c r="H50" s="330" t="n"/>
      <c r="I50" s="335" t="n"/>
      <c r="J50" s="335" t="n"/>
      <c r="K50" s="335" t="n"/>
      <c r="L50" s="335" t="n"/>
      <c r="M50" s="335" t="n"/>
      <c r="N50" s="335" t="n"/>
      <c r="O50" s="205" t="n"/>
      <c r="P50" s="205" t="n"/>
      <c r="Q50" s="205" t="n"/>
      <c r="R50" s="205" t="n"/>
      <c r="S50" s="205" t="n"/>
      <c r="T50" s="205" t="n"/>
      <c r="U50" s="204" t="n"/>
    </row>
    <row r="51" customFormat="1" s="185">
      <c r="B51" s="212" t="inlineStr">
        <is>
          <t>Utilities</t>
        </is>
      </c>
      <c r="C51" s="211" t="n"/>
      <c r="D51" s="211" t="n"/>
      <c r="E51" s="330" t="n"/>
      <c r="F51" s="330" t="n"/>
      <c r="G51" s="330" t="n"/>
      <c r="H51" s="330" t="n"/>
      <c r="I51" s="216" t="n"/>
      <c r="J51" s="216" t="n"/>
      <c r="K51" s="216" t="n"/>
      <c r="L51" s="216" t="n"/>
      <c r="M51" s="216" t="n"/>
      <c r="N51" s="216" t="n"/>
      <c r="O51" s="216" t="n"/>
      <c r="P51" s="216" t="n"/>
      <c r="Q51" s="216" t="n"/>
      <c r="R51" s="216" t="n"/>
      <c r="S51" s="216" t="n"/>
      <c r="T51" s="216" t="n"/>
      <c r="U51" s="215" t="n"/>
    </row>
    <row r="52" customFormat="1" s="185">
      <c r="B52" s="199" t="inlineStr">
        <is>
          <t>Single Studio Hot</t>
        </is>
      </c>
      <c r="C52" s="191" t="inlineStr">
        <is>
          <t>Utilities</t>
        </is>
      </c>
      <c r="D52" s="191" t="inlineStr">
        <is>
          <t>Single Studio Hot</t>
        </is>
      </c>
      <c r="E52" s="330" t="n"/>
      <c r="F52" s="330" t="n"/>
      <c r="G52" s="330" t="n"/>
      <c r="H52" s="330" t="n"/>
      <c r="I52" s="331" t="n">
        <v>500</v>
      </c>
      <c r="J52" s="331" t="n">
        <v>500</v>
      </c>
      <c r="K52" s="331" t="n">
        <v>500</v>
      </c>
      <c r="L52" s="331" t="n">
        <v>500</v>
      </c>
      <c r="M52" s="331" t="n">
        <v>500</v>
      </c>
      <c r="N52" s="331" t="n">
        <v>500</v>
      </c>
      <c r="O52" s="331" t="n">
        <v>500</v>
      </c>
      <c r="P52" s="331" t="n">
        <v>500</v>
      </c>
      <c r="Q52" s="331" t="n">
        <v>500</v>
      </c>
      <c r="R52" s="331" t="n">
        <v>500</v>
      </c>
      <c r="S52" s="331" t="n">
        <v>500</v>
      </c>
      <c r="T52" s="331" t="n">
        <v>500</v>
      </c>
      <c r="U52" s="332">
        <f>SUM(E52:T52)</f>
        <v/>
      </c>
    </row>
    <row r="53" customFormat="1" s="185">
      <c r="B53" s="196" t="inlineStr">
        <is>
          <t>Single Studio Warm</t>
        </is>
      </c>
      <c r="C53" s="191" t="inlineStr">
        <is>
          <t>Utilities</t>
        </is>
      </c>
      <c r="D53" s="191" t="inlineStr">
        <is>
          <t>Single Studio Warm</t>
        </is>
      </c>
      <c r="E53" s="330" t="n"/>
      <c r="F53" s="330" t="n"/>
      <c r="G53" s="330" t="n"/>
      <c r="H53" s="330" t="n"/>
      <c r="I53" s="331" t="n">
        <v>500</v>
      </c>
      <c r="J53" s="331" t="n">
        <v>500</v>
      </c>
      <c r="K53" s="331" t="n">
        <v>500</v>
      </c>
      <c r="L53" s="331" t="n">
        <v>500</v>
      </c>
      <c r="M53" s="331" t="n">
        <v>500</v>
      </c>
      <c r="N53" s="331" t="n">
        <v>500</v>
      </c>
      <c r="O53" s="331" t="n">
        <v>500</v>
      </c>
      <c r="P53" s="331" t="n">
        <v>500</v>
      </c>
      <c r="Q53" s="331" t="n">
        <v>500</v>
      </c>
      <c r="R53" s="331" t="n">
        <v>500</v>
      </c>
      <c r="S53" s="331" t="n">
        <v>500</v>
      </c>
      <c r="T53" s="331" t="n">
        <v>500</v>
      </c>
      <c r="U53" s="332">
        <f>SUM(E53:T53)</f>
        <v/>
      </c>
    </row>
    <row r="54" customFormat="1" s="185">
      <c r="B54" s="195" t="inlineStr">
        <is>
          <t>Single Studio Cool</t>
        </is>
      </c>
      <c r="C54" s="191" t="inlineStr">
        <is>
          <t>Utilities</t>
        </is>
      </c>
      <c r="D54" s="191" t="inlineStr">
        <is>
          <t>Single Studio Cool</t>
        </is>
      </c>
      <c r="E54" s="330" t="n"/>
      <c r="F54" s="330" t="n"/>
      <c r="G54" s="330" t="n"/>
      <c r="H54" s="330" t="n"/>
      <c r="I54" s="331" t="n">
        <v>500</v>
      </c>
      <c r="J54" s="331" t="n">
        <v>500</v>
      </c>
      <c r="K54" s="331" t="n">
        <v>500</v>
      </c>
      <c r="L54" s="331" t="n">
        <v>500</v>
      </c>
      <c r="M54" s="331" t="n">
        <v>500</v>
      </c>
      <c r="N54" s="331" t="n">
        <v>500</v>
      </c>
      <c r="O54" s="331" t="n">
        <v>500</v>
      </c>
      <c r="P54" s="331" t="n">
        <v>500</v>
      </c>
      <c r="Q54" s="331" t="n">
        <v>500</v>
      </c>
      <c r="R54" s="331" t="n">
        <v>500</v>
      </c>
      <c r="S54" s="331" t="n">
        <v>500</v>
      </c>
      <c r="T54" s="331" t="n">
        <v>500</v>
      </c>
      <c r="U54" s="332">
        <f>SUM(E54:T54)</f>
        <v/>
      </c>
    </row>
    <row r="55" customFormat="1" s="185">
      <c r="B55" s="192" t="inlineStr">
        <is>
          <t xml:space="preserve">Double Studio </t>
        </is>
      </c>
      <c r="C55" s="191" t="inlineStr">
        <is>
          <t>Utilities</t>
        </is>
      </c>
      <c r="D55" s="191" t="inlineStr">
        <is>
          <t xml:space="preserve">Double Studio </t>
        </is>
      </c>
      <c r="E55" s="330" t="n"/>
      <c r="F55" s="330" t="n"/>
      <c r="G55" s="330" t="n"/>
      <c r="H55" s="330" t="n"/>
      <c r="I55" s="331" t="n">
        <v>1000</v>
      </c>
      <c r="J55" s="331" t="n">
        <v>1000</v>
      </c>
      <c r="K55" s="331" t="n">
        <v>1000</v>
      </c>
      <c r="L55" s="331" t="n">
        <v>1000</v>
      </c>
      <c r="M55" s="331" t="n">
        <v>1000</v>
      </c>
      <c r="N55" s="331" t="n">
        <v>1000</v>
      </c>
      <c r="O55" s="331" t="n">
        <v>1000</v>
      </c>
      <c r="P55" s="331" t="n">
        <v>1000</v>
      </c>
      <c r="Q55" s="331" t="n">
        <v>1000</v>
      </c>
      <c r="R55" s="331" t="n">
        <v>1000</v>
      </c>
      <c r="S55" s="331" t="n">
        <v>1000</v>
      </c>
      <c r="T55" s="331" t="n">
        <v>1000</v>
      </c>
      <c r="U55" s="332">
        <f>SUM(E55:T55)</f>
        <v/>
      </c>
    </row>
    <row r="56" customFormat="1" s="185">
      <c r="B56" s="192" t="n"/>
      <c r="C56" s="207" t="n"/>
      <c r="D56" s="207" t="n"/>
      <c r="E56" s="330" t="n"/>
      <c r="F56" s="330" t="n"/>
      <c r="G56" s="330" t="n"/>
      <c r="H56" s="330" t="n"/>
      <c r="I56" s="333" t="n"/>
      <c r="J56" s="333" t="n"/>
      <c r="K56" s="333" t="n"/>
      <c r="L56" s="333" t="n"/>
      <c r="M56" s="333" t="n"/>
      <c r="N56" s="333" t="n"/>
      <c r="O56" s="333" t="n"/>
      <c r="P56" s="333" t="n"/>
      <c r="Q56" s="333" t="n"/>
      <c r="R56" s="333" t="n"/>
      <c r="S56" s="333" t="n"/>
      <c r="T56" s="333" t="n"/>
      <c r="U56" s="213" t="n"/>
    </row>
    <row r="57" customFormat="1" s="185">
      <c r="B57" s="212" t="inlineStr">
        <is>
          <t xml:space="preserve">Studio Facility &amp; Equipment Maintenance </t>
        </is>
      </c>
      <c r="C57" s="211" t="n"/>
      <c r="D57" s="211" t="n"/>
      <c r="E57" s="330" t="n"/>
      <c r="F57" s="330" t="n"/>
      <c r="G57" s="330" t="n"/>
      <c r="H57" s="330" t="n"/>
      <c r="I57" s="216" t="n"/>
      <c r="J57" s="216" t="n"/>
      <c r="K57" s="216" t="n"/>
      <c r="L57" s="216" t="n"/>
      <c r="M57" s="216" t="n"/>
      <c r="N57" s="216" t="n"/>
      <c r="O57" s="216" t="n"/>
      <c r="P57" s="216" t="n"/>
      <c r="Q57" s="216" t="n"/>
      <c r="R57" s="216" t="n"/>
      <c r="S57" s="216" t="n"/>
      <c r="T57" s="216" t="n"/>
      <c r="U57" s="215" t="n"/>
    </row>
    <row r="58" customFormat="1" s="185">
      <c r="B58" s="199" t="inlineStr">
        <is>
          <t>Single Studio Hot</t>
        </is>
      </c>
      <c r="C58" s="191" t="inlineStr">
        <is>
          <t xml:space="preserve">Studio Facility &amp; Equipment Maintenance </t>
        </is>
      </c>
      <c r="D58" s="191" t="inlineStr">
        <is>
          <t>Single Studio Hot</t>
        </is>
      </c>
      <c r="E58" s="330" t="n"/>
      <c r="F58" s="330" t="n"/>
      <c r="G58" s="330" t="n"/>
      <c r="H58" s="330" t="n"/>
      <c r="I58" s="331" t="n">
        <v>500</v>
      </c>
      <c r="J58" s="331" t="n">
        <v>500</v>
      </c>
      <c r="K58" s="331" t="n">
        <v>500</v>
      </c>
      <c r="L58" s="331" t="n">
        <v>500</v>
      </c>
      <c r="M58" s="331" t="n">
        <v>500</v>
      </c>
      <c r="N58" s="331" t="n">
        <v>500</v>
      </c>
      <c r="O58" s="331" t="n">
        <v>500</v>
      </c>
      <c r="P58" s="331" t="n">
        <v>500</v>
      </c>
      <c r="Q58" s="331" t="n">
        <v>500</v>
      </c>
      <c r="R58" s="331" t="n">
        <v>500</v>
      </c>
      <c r="S58" s="331" t="n">
        <v>500</v>
      </c>
      <c r="T58" s="331" t="n">
        <v>500</v>
      </c>
      <c r="U58" s="332">
        <f>SUM(E58:T58)</f>
        <v/>
      </c>
    </row>
    <row r="59" customFormat="1" s="185">
      <c r="B59" s="196" t="inlineStr">
        <is>
          <t>Single Studio Warm</t>
        </is>
      </c>
      <c r="C59" s="191" t="inlineStr">
        <is>
          <t xml:space="preserve">Studio Facility &amp; Equipment Maintenance </t>
        </is>
      </c>
      <c r="D59" s="191" t="inlineStr">
        <is>
          <t>Single Studio Warm</t>
        </is>
      </c>
      <c r="E59" s="330" t="n"/>
      <c r="F59" s="330" t="n"/>
      <c r="G59" s="330" t="n"/>
      <c r="H59" s="330" t="n"/>
      <c r="I59" s="331" t="n">
        <v>500</v>
      </c>
      <c r="J59" s="331" t="n">
        <v>500</v>
      </c>
      <c r="K59" s="331" t="n">
        <v>500</v>
      </c>
      <c r="L59" s="331" t="n">
        <v>500</v>
      </c>
      <c r="M59" s="331" t="n">
        <v>500</v>
      </c>
      <c r="N59" s="331" t="n">
        <v>500</v>
      </c>
      <c r="O59" s="331" t="n">
        <v>500</v>
      </c>
      <c r="P59" s="331" t="n">
        <v>500</v>
      </c>
      <c r="Q59" s="331" t="n">
        <v>500</v>
      </c>
      <c r="R59" s="331" t="n">
        <v>500</v>
      </c>
      <c r="S59" s="331" t="n">
        <v>500</v>
      </c>
      <c r="T59" s="331" t="n">
        <v>500</v>
      </c>
      <c r="U59" s="332">
        <f>SUM(E59:T59)</f>
        <v/>
      </c>
    </row>
    <row r="60" customFormat="1" s="185">
      <c r="B60" s="195" t="inlineStr">
        <is>
          <t>Single Studio Cool</t>
        </is>
      </c>
      <c r="C60" s="191" t="inlineStr">
        <is>
          <t xml:space="preserve">Studio Facility &amp; Equipment Maintenance </t>
        </is>
      </c>
      <c r="D60" s="191" t="inlineStr">
        <is>
          <t>Single Studio Cool</t>
        </is>
      </c>
      <c r="E60" s="330" t="n"/>
      <c r="F60" s="330" t="n"/>
      <c r="G60" s="330" t="n"/>
      <c r="H60" s="330" t="n"/>
      <c r="I60" s="331" t="n">
        <v>500</v>
      </c>
      <c r="J60" s="331" t="n">
        <v>500</v>
      </c>
      <c r="K60" s="331" t="n">
        <v>500</v>
      </c>
      <c r="L60" s="331" t="n">
        <v>500</v>
      </c>
      <c r="M60" s="331" t="n">
        <v>500</v>
      </c>
      <c r="N60" s="331" t="n">
        <v>500</v>
      </c>
      <c r="O60" s="331" t="n">
        <v>500</v>
      </c>
      <c r="P60" s="331" t="n">
        <v>500</v>
      </c>
      <c r="Q60" s="331" t="n">
        <v>500</v>
      </c>
      <c r="R60" s="331" t="n">
        <v>500</v>
      </c>
      <c r="S60" s="331" t="n">
        <v>500</v>
      </c>
      <c r="T60" s="331" t="n">
        <v>500</v>
      </c>
      <c r="U60" s="332">
        <f>SUM(E60:T60)</f>
        <v/>
      </c>
    </row>
    <row r="61" customFormat="1" s="185">
      <c r="B61" s="192" t="inlineStr">
        <is>
          <t xml:space="preserve">Double Studio </t>
        </is>
      </c>
      <c r="C61" s="191" t="inlineStr">
        <is>
          <t xml:space="preserve">Studio Facility &amp; Equipment Maintenance </t>
        </is>
      </c>
      <c r="D61" s="191" t="inlineStr">
        <is>
          <t xml:space="preserve">Double Studio </t>
        </is>
      </c>
      <c r="E61" s="330" t="n"/>
      <c r="F61" s="330" t="n"/>
      <c r="G61" s="330" t="n"/>
      <c r="H61" s="330" t="n"/>
      <c r="I61" s="331" t="n">
        <v>1000</v>
      </c>
      <c r="J61" s="331" t="n">
        <v>1000</v>
      </c>
      <c r="K61" s="331" t="n">
        <v>1000</v>
      </c>
      <c r="L61" s="331" t="n">
        <v>1000</v>
      </c>
      <c r="M61" s="331" t="n">
        <v>1000</v>
      </c>
      <c r="N61" s="331" t="n">
        <v>1000</v>
      </c>
      <c r="O61" s="331" t="n">
        <v>1000</v>
      </c>
      <c r="P61" s="331" t="n">
        <v>1000</v>
      </c>
      <c r="Q61" s="331" t="n">
        <v>1000</v>
      </c>
      <c r="R61" s="331" t="n">
        <v>1000</v>
      </c>
      <c r="S61" s="331" t="n">
        <v>1000</v>
      </c>
      <c r="T61" s="331" t="n">
        <v>1000</v>
      </c>
      <c r="U61" s="332">
        <f>SUM(E61:T61)</f>
        <v/>
      </c>
    </row>
    <row r="62" customFormat="1" s="185">
      <c r="B62" s="192" t="n"/>
      <c r="C62" s="207" t="n"/>
      <c r="D62" s="207" t="n"/>
      <c r="E62" s="330" t="n"/>
      <c r="F62" s="330" t="n"/>
      <c r="G62" s="330" t="n"/>
      <c r="H62" s="330" t="n"/>
      <c r="I62" s="333" t="n"/>
      <c r="J62" s="333" t="n"/>
      <c r="K62" s="333" t="n"/>
      <c r="L62" s="333" t="n"/>
      <c r="M62" s="333" t="n"/>
      <c r="N62" s="333" t="n"/>
      <c r="O62" s="333" t="n"/>
      <c r="P62" s="333" t="n"/>
      <c r="Q62" s="333" t="n"/>
      <c r="R62" s="333" t="n"/>
      <c r="S62" s="333" t="n"/>
      <c r="T62" s="333" t="n"/>
      <c r="U62" s="213" t="n"/>
    </row>
    <row r="63" customFormat="1" s="185">
      <c r="B63" s="212" t="inlineStr">
        <is>
          <t xml:space="preserve">Marketing &amp; Promotion </t>
        </is>
      </c>
      <c r="C63" s="211" t="n"/>
      <c r="D63" s="211" t="n"/>
      <c r="E63" s="330" t="n"/>
      <c r="F63" s="330" t="n"/>
      <c r="G63" s="330" t="n"/>
      <c r="H63" s="330" t="n"/>
      <c r="I63" s="216" t="n"/>
      <c r="J63" s="216" t="n"/>
      <c r="K63" s="216" t="n"/>
      <c r="L63" s="216" t="n"/>
      <c r="M63" s="216" t="n"/>
      <c r="N63" s="216" t="n"/>
      <c r="O63" s="216" t="n"/>
      <c r="P63" s="216" t="n"/>
      <c r="Q63" s="216" t="n"/>
      <c r="R63" s="216" t="n"/>
      <c r="S63" s="216" t="n"/>
      <c r="T63" s="216" t="n"/>
      <c r="U63" s="215" t="n"/>
    </row>
    <row r="64" customFormat="1" s="185">
      <c r="B64" s="199" t="inlineStr">
        <is>
          <t>Single Studio Hot</t>
        </is>
      </c>
      <c r="C64" s="191" t="inlineStr">
        <is>
          <t xml:space="preserve">Marketing &amp; Promotion </t>
        </is>
      </c>
      <c r="D64" s="191" t="inlineStr">
        <is>
          <t>Single Studio Hot</t>
        </is>
      </c>
      <c r="E64" s="330" t="n"/>
      <c r="F64" s="330" t="n"/>
      <c r="G64" s="330" t="n"/>
      <c r="H64" s="330" t="n"/>
      <c r="I64" s="331" t="n">
        <v>2500</v>
      </c>
      <c r="J64" s="331" t="n">
        <v>2500</v>
      </c>
      <c r="K64" s="331" t="n">
        <v>2500</v>
      </c>
      <c r="L64" s="331" t="n">
        <v>2500</v>
      </c>
      <c r="M64" s="331" t="n">
        <v>2500</v>
      </c>
      <c r="N64" s="331" t="n">
        <v>2500</v>
      </c>
      <c r="O64" s="331" t="n">
        <v>2500</v>
      </c>
      <c r="P64" s="331" t="n">
        <v>2500</v>
      </c>
      <c r="Q64" s="331" t="n">
        <v>2500</v>
      </c>
      <c r="R64" s="331" t="n">
        <v>2500</v>
      </c>
      <c r="S64" s="331" t="n">
        <v>2500</v>
      </c>
      <c r="T64" s="331" t="n">
        <v>2500</v>
      </c>
      <c r="U64" s="332">
        <f>SUM(E64:T64)</f>
        <v/>
      </c>
    </row>
    <row r="65" customFormat="1" s="185">
      <c r="B65" s="196" t="inlineStr">
        <is>
          <t>Single Studio Warm</t>
        </is>
      </c>
      <c r="C65" s="191" t="inlineStr">
        <is>
          <t xml:space="preserve">Marketing &amp; Promotion </t>
        </is>
      </c>
      <c r="D65" s="191" t="inlineStr">
        <is>
          <t>Single Studio Warm</t>
        </is>
      </c>
      <c r="E65" s="330" t="n"/>
      <c r="F65" s="330" t="n"/>
      <c r="G65" s="330" t="n"/>
      <c r="H65" s="330" t="n"/>
      <c r="I65" s="331" t="n">
        <v>2500</v>
      </c>
      <c r="J65" s="331" t="n">
        <v>2500</v>
      </c>
      <c r="K65" s="331" t="n">
        <v>2500</v>
      </c>
      <c r="L65" s="331" t="n">
        <v>2500</v>
      </c>
      <c r="M65" s="331" t="n">
        <v>2500</v>
      </c>
      <c r="N65" s="331" t="n">
        <v>2500</v>
      </c>
      <c r="O65" s="331" t="n">
        <v>2500</v>
      </c>
      <c r="P65" s="331" t="n">
        <v>2500</v>
      </c>
      <c r="Q65" s="331" t="n">
        <v>2500</v>
      </c>
      <c r="R65" s="331" t="n">
        <v>2500</v>
      </c>
      <c r="S65" s="331" t="n">
        <v>2500</v>
      </c>
      <c r="T65" s="331" t="n">
        <v>2500</v>
      </c>
      <c r="U65" s="332">
        <f>SUM(E65:T65)</f>
        <v/>
      </c>
    </row>
    <row r="66" customFormat="1" s="185">
      <c r="B66" s="195" t="inlineStr">
        <is>
          <t>Single Studio Cool</t>
        </is>
      </c>
      <c r="C66" s="191" t="inlineStr">
        <is>
          <t xml:space="preserve">Marketing &amp; Promotion </t>
        </is>
      </c>
      <c r="D66" s="191" t="inlineStr">
        <is>
          <t>Single Studio Cool</t>
        </is>
      </c>
      <c r="E66" s="330" t="n"/>
      <c r="F66" s="330" t="n"/>
      <c r="G66" s="330" t="n"/>
      <c r="H66" s="330" t="n"/>
      <c r="I66" s="331" t="n">
        <v>2500</v>
      </c>
      <c r="J66" s="331" t="n">
        <v>2500</v>
      </c>
      <c r="K66" s="331" t="n">
        <v>2500</v>
      </c>
      <c r="L66" s="331" t="n">
        <v>2500</v>
      </c>
      <c r="M66" s="331" t="n">
        <v>2500</v>
      </c>
      <c r="N66" s="331" t="n">
        <v>2500</v>
      </c>
      <c r="O66" s="331" t="n">
        <v>2500</v>
      </c>
      <c r="P66" s="331" t="n">
        <v>2500</v>
      </c>
      <c r="Q66" s="331" t="n">
        <v>2500</v>
      </c>
      <c r="R66" s="331" t="n">
        <v>2500</v>
      </c>
      <c r="S66" s="331" t="n">
        <v>2500</v>
      </c>
      <c r="T66" s="331" t="n">
        <v>2500</v>
      </c>
      <c r="U66" s="332">
        <f>SUM(E66:T66)</f>
        <v/>
      </c>
    </row>
    <row r="67" customFormat="1" s="185">
      <c r="B67" s="192" t="inlineStr">
        <is>
          <t xml:space="preserve">Double Studio </t>
        </is>
      </c>
      <c r="C67" s="191" t="inlineStr">
        <is>
          <t xml:space="preserve">Marketing &amp; Promotion </t>
        </is>
      </c>
      <c r="D67" s="191" t="inlineStr">
        <is>
          <t xml:space="preserve">Double Studio </t>
        </is>
      </c>
      <c r="E67" s="330" t="n"/>
      <c r="F67" s="330" t="n"/>
      <c r="G67" s="330" t="n"/>
      <c r="H67" s="330" t="n"/>
      <c r="I67" s="331" t="n">
        <v>3500</v>
      </c>
      <c r="J67" s="331" t="n">
        <v>3500</v>
      </c>
      <c r="K67" s="331" t="n">
        <v>3500</v>
      </c>
      <c r="L67" s="331" t="n">
        <v>3500</v>
      </c>
      <c r="M67" s="331" t="n">
        <v>3500</v>
      </c>
      <c r="N67" s="331" t="n">
        <v>3500</v>
      </c>
      <c r="O67" s="331" t="n">
        <v>3500</v>
      </c>
      <c r="P67" s="331" t="n">
        <v>3500</v>
      </c>
      <c r="Q67" s="331" t="n">
        <v>3500</v>
      </c>
      <c r="R67" s="331" t="n">
        <v>3500</v>
      </c>
      <c r="S67" s="331" t="n">
        <v>3500</v>
      </c>
      <c r="T67" s="331" t="n">
        <v>3500</v>
      </c>
      <c r="U67" s="332">
        <f>SUM(E67:T67)</f>
        <v/>
      </c>
    </row>
    <row r="68" ht="17" customFormat="1" customHeight="1" s="185" thickBot="1">
      <c r="B68" s="192" t="n"/>
      <c r="C68" s="207" t="n"/>
      <c r="D68" s="207" t="n"/>
      <c r="E68" s="330" t="n"/>
      <c r="F68" s="330" t="n"/>
      <c r="G68" s="330" t="n"/>
      <c r="H68" s="330" t="n"/>
      <c r="I68" s="333" t="n"/>
      <c r="J68" s="333" t="n"/>
      <c r="K68" s="333" t="n"/>
      <c r="L68" s="333" t="n"/>
      <c r="M68" s="333" t="n"/>
      <c r="N68" s="333" t="n"/>
      <c r="O68" s="333" t="n"/>
      <c r="P68" s="333" t="n"/>
      <c r="Q68" s="333" t="n"/>
      <c r="R68" s="333" t="n"/>
      <c r="S68" s="333" t="n"/>
      <c r="T68" s="333" t="n"/>
      <c r="U68" s="213" t="n"/>
    </row>
    <row r="69" customFormat="1" s="185">
      <c r="B69" s="212" t="inlineStr">
        <is>
          <t>Administrative Costs</t>
        </is>
      </c>
      <c r="C69" s="211" t="n"/>
      <c r="D69" s="211" t="n"/>
      <c r="E69" s="330" t="n"/>
      <c r="F69" s="330" t="n"/>
      <c r="G69" s="330" t="n"/>
      <c r="H69" s="330" t="n"/>
      <c r="I69" s="334" t="n"/>
      <c r="J69" s="334" t="n"/>
      <c r="K69" s="334" t="n"/>
      <c r="L69" s="334" t="n"/>
      <c r="M69" s="334" t="n"/>
      <c r="N69" s="334" t="n"/>
      <c r="O69" s="209" t="n"/>
      <c r="P69" s="209" t="n"/>
      <c r="Q69" s="209" t="n"/>
      <c r="R69" s="209" t="n"/>
      <c r="S69" s="209" t="n"/>
      <c r="T69" s="209" t="n"/>
      <c r="U69" s="208" t="n"/>
    </row>
    <row r="70" customFormat="1" s="185">
      <c r="B70" s="199" t="inlineStr">
        <is>
          <t>Single Studio Hot</t>
        </is>
      </c>
      <c r="C70" s="191" t="inlineStr">
        <is>
          <t>Administrative Costs</t>
        </is>
      </c>
      <c r="D70" s="191" t="inlineStr">
        <is>
          <t>Single Studio Hot</t>
        </is>
      </c>
      <c r="E70" s="330" t="n"/>
      <c r="F70" s="330" t="n"/>
      <c r="G70" s="330" t="n"/>
      <c r="H70" s="330" t="n"/>
      <c r="I70" s="331" t="n">
        <v>1500</v>
      </c>
      <c r="J70" s="331" t="n">
        <v>1500</v>
      </c>
      <c r="K70" s="331" t="n">
        <v>1500</v>
      </c>
      <c r="L70" s="331" t="n">
        <v>1500</v>
      </c>
      <c r="M70" s="331" t="n">
        <v>1500</v>
      </c>
      <c r="N70" s="331" t="n">
        <v>1500</v>
      </c>
      <c r="O70" s="331" t="n">
        <v>1500</v>
      </c>
      <c r="P70" s="331" t="n">
        <v>1500</v>
      </c>
      <c r="Q70" s="331" t="n">
        <v>1500</v>
      </c>
      <c r="R70" s="331" t="n">
        <v>1500</v>
      </c>
      <c r="S70" s="331" t="n">
        <v>1500</v>
      </c>
      <c r="T70" s="331" t="n">
        <v>1500</v>
      </c>
      <c r="U70" s="332">
        <f>SUM(E70:T70)</f>
        <v/>
      </c>
    </row>
    <row r="71" customFormat="1" s="185">
      <c r="B71" s="196" t="inlineStr">
        <is>
          <t>Single Studio Warm</t>
        </is>
      </c>
      <c r="C71" s="191" t="inlineStr">
        <is>
          <t>Administrative Costs</t>
        </is>
      </c>
      <c r="D71" s="191" t="inlineStr">
        <is>
          <t>Single Studio Warm</t>
        </is>
      </c>
      <c r="E71" s="330" t="n"/>
      <c r="F71" s="330" t="n"/>
      <c r="G71" s="330" t="n"/>
      <c r="H71" s="330" t="n"/>
      <c r="I71" s="331" t="n">
        <v>1500</v>
      </c>
      <c r="J71" s="331" t="n">
        <v>1500</v>
      </c>
      <c r="K71" s="331" t="n">
        <v>1500</v>
      </c>
      <c r="L71" s="331" t="n">
        <v>1500</v>
      </c>
      <c r="M71" s="331" t="n">
        <v>1500</v>
      </c>
      <c r="N71" s="331" t="n">
        <v>1500</v>
      </c>
      <c r="O71" s="331" t="n">
        <v>1500</v>
      </c>
      <c r="P71" s="331" t="n">
        <v>1500</v>
      </c>
      <c r="Q71" s="331" t="n">
        <v>1500</v>
      </c>
      <c r="R71" s="331" t="n">
        <v>1500</v>
      </c>
      <c r="S71" s="331" t="n">
        <v>1500</v>
      </c>
      <c r="T71" s="331" t="n">
        <v>1500</v>
      </c>
      <c r="U71" s="332">
        <f>SUM(E71:T71)</f>
        <v/>
      </c>
    </row>
    <row r="72" customFormat="1" s="185">
      <c r="B72" s="195" t="inlineStr">
        <is>
          <t>Single Studio Cool</t>
        </is>
      </c>
      <c r="C72" s="191" t="inlineStr">
        <is>
          <t>Administrative Costs</t>
        </is>
      </c>
      <c r="D72" s="191" t="inlineStr">
        <is>
          <t>Single Studio Cool</t>
        </is>
      </c>
      <c r="E72" s="330" t="n"/>
      <c r="F72" s="330" t="n"/>
      <c r="G72" s="330" t="n"/>
      <c r="H72" s="330" t="n"/>
      <c r="I72" s="331" t="n">
        <v>1500</v>
      </c>
      <c r="J72" s="331" t="n">
        <v>1500</v>
      </c>
      <c r="K72" s="331" t="n">
        <v>1500</v>
      </c>
      <c r="L72" s="331" t="n">
        <v>1500</v>
      </c>
      <c r="M72" s="331" t="n">
        <v>1500</v>
      </c>
      <c r="N72" s="331" t="n">
        <v>1500</v>
      </c>
      <c r="O72" s="331" t="n">
        <v>1500</v>
      </c>
      <c r="P72" s="331" t="n">
        <v>1500</v>
      </c>
      <c r="Q72" s="331" t="n">
        <v>1500</v>
      </c>
      <c r="R72" s="331" t="n">
        <v>1500</v>
      </c>
      <c r="S72" s="331" t="n">
        <v>1500</v>
      </c>
      <c r="T72" s="331" t="n">
        <v>1500</v>
      </c>
      <c r="U72" s="332">
        <f>SUM(E72:T72)</f>
        <v/>
      </c>
    </row>
    <row r="73" customFormat="1" s="185">
      <c r="B73" s="192" t="inlineStr">
        <is>
          <t xml:space="preserve">Double Studio </t>
        </is>
      </c>
      <c r="C73" s="191" t="inlineStr">
        <is>
          <t>Administrative Costs</t>
        </is>
      </c>
      <c r="D73" s="191" t="inlineStr">
        <is>
          <t xml:space="preserve">Double Studio </t>
        </is>
      </c>
      <c r="E73" s="330" t="n"/>
      <c r="F73" s="330" t="n"/>
      <c r="G73" s="330" t="n"/>
      <c r="H73" s="330" t="n"/>
      <c r="I73" s="331" t="n">
        <v>1500</v>
      </c>
      <c r="J73" s="331" t="n">
        <v>1500</v>
      </c>
      <c r="K73" s="331" t="n">
        <v>1500</v>
      </c>
      <c r="L73" s="331" t="n">
        <v>1500</v>
      </c>
      <c r="M73" s="331" t="n">
        <v>1500</v>
      </c>
      <c r="N73" s="331" t="n">
        <v>1500</v>
      </c>
      <c r="O73" s="331" t="n">
        <v>1500</v>
      </c>
      <c r="P73" s="331" t="n">
        <v>1500</v>
      </c>
      <c r="Q73" s="331" t="n">
        <v>1500</v>
      </c>
      <c r="R73" s="331" t="n">
        <v>1500</v>
      </c>
      <c r="S73" s="331" t="n">
        <v>1500</v>
      </c>
      <c r="T73" s="331" t="n">
        <v>1500</v>
      </c>
      <c r="U73" s="332">
        <f>SUM(E73:T73)</f>
        <v/>
      </c>
    </row>
    <row r="74" ht="17" customFormat="1" customHeight="1" s="185" thickBot="1">
      <c r="B74" s="192" t="n"/>
      <c r="C74" s="207" t="n"/>
      <c r="D74" s="207" t="n"/>
      <c r="E74" s="330" t="n"/>
      <c r="F74" s="330" t="n"/>
      <c r="G74" s="330" t="n"/>
      <c r="H74" s="330" t="n"/>
      <c r="I74" s="335" t="n"/>
      <c r="J74" s="335" t="n"/>
      <c r="K74" s="335" t="n"/>
      <c r="L74" s="335" t="n"/>
      <c r="M74" s="335" t="n"/>
      <c r="N74" s="335" t="n"/>
      <c r="O74" s="205" t="n"/>
      <c r="P74" s="205" t="n"/>
      <c r="Q74" s="205" t="n"/>
      <c r="R74" s="205" t="n"/>
      <c r="S74" s="205" t="n"/>
      <c r="T74" s="205" t="n"/>
      <c r="U74" s="204" t="n"/>
    </row>
    <row r="75" customFormat="1" s="185">
      <c r="B75" s="212" t="inlineStr">
        <is>
          <t xml:space="preserve">Travel &amp; Entertainment </t>
        </is>
      </c>
      <c r="C75" s="211" t="n"/>
      <c r="D75" s="211" t="n"/>
      <c r="E75" s="330" t="n"/>
      <c r="F75" s="330" t="n"/>
      <c r="G75" s="330" t="n"/>
      <c r="H75" s="330" t="n"/>
      <c r="I75" s="216" t="n"/>
      <c r="J75" s="216" t="n"/>
      <c r="K75" s="216" t="n"/>
      <c r="L75" s="216" t="n"/>
      <c r="M75" s="216" t="n"/>
      <c r="N75" s="216" t="n"/>
      <c r="O75" s="216" t="n"/>
      <c r="P75" s="216" t="n"/>
      <c r="Q75" s="216" t="n"/>
      <c r="R75" s="216" t="n"/>
      <c r="S75" s="216" t="n"/>
      <c r="T75" s="216" t="n"/>
      <c r="U75" s="215" t="n"/>
    </row>
    <row r="76" customFormat="1" s="185">
      <c r="B76" s="199" t="inlineStr">
        <is>
          <t>Single Studio Hot</t>
        </is>
      </c>
      <c r="C76" s="191" t="inlineStr">
        <is>
          <t xml:space="preserve">Travel &amp; Entertainment </t>
        </is>
      </c>
      <c r="D76" s="191" t="inlineStr">
        <is>
          <t>Single Studio Hot</t>
        </is>
      </c>
      <c r="E76" s="330" t="n"/>
      <c r="F76" s="330" t="n"/>
      <c r="G76" s="330" t="n"/>
      <c r="H76" s="330" t="n"/>
      <c r="I76" s="331" t="n"/>
      <c r="J76" s="331" t="n"/>
      <c r="K76" s="331" t="n"/>
      <c r="L76" s="331" t="n">
        <v>200</v>
      </c>
      <c r="M76" s="331" t="n">
        <v>200</v>
      </c>
      <c r="N76" s="331" t="n">
        <v>200</v>
      </c>
      <c r="O76" s="331" t="n">
        <v>200</v>
      </c>
      <c r="P76" s="331" t="n">
        <v>200</v>
      </c>
      <c r="Q76" s="331" t="n">
        <v>200</v>
      </c>
      <c r="R76" s="331" t="n">
        <v>200</v>
      </c>
      <c r="S76" s="331" t="n">
        <v>200</v>
      </c>
      <c r="T76" s="331" t="n">
        <v>200</v>
      </c>
      <c r="U76" s="332">
        <f>SUM(E76:T76)</f>
        <v/>
      </c>
    </row>
    <row r="77" customFormat="1" s="185">
      <c r="B77" s="196" t="inlineStr">
        <is>
          <t>Single Studio Warm</t>
        </is>
      </c>
      <c r="C77" s="191" t="inlineStr">
        <is>
          <t xml:space="preserve">Travel &amp; Entertainment </t>
        </is>
      </c>
      <c r="D77" s="191" t="inlineStr">
        <is>
          <t>Single Studio Warm</t>
        </is>
      </c>
      <c r="E77" s="330" t="n"/>
      <c r="F77" s="330" t="n"/>
      <c r="G77" s="330" t="n"/>
      <c r="H77" s="330" t="n"/>
      <c r="I77" s="331" t="n"/>
      <c r="J77" s="331" t="n"/>
      <c r="K77" s="331" t="n"/>
      <c r="L77" s="331" t="n">
        <v>200</v>
      </c>
      <c r="M77" s="331" t="n">
        <v>200</v>
      </c>
      <c r="N77" s="331" t="n">
        <v>200</v>
      </c>
      <c r="O77" s="331" t="n">
        <v>200</v>
      </c>
      <c r="P77" s="331" t="n">
        <v>200</v>
      </c>
      <c r="Q77" s="331" t="n">
        <v>200</v>
      </c>
      <c r="R77" s="331" t="n">
        <v>200</v>
      </c>
      <c r="S77" s="331" t="n">
        <v>200</v>
      </c>
      <c r="T77" s="331" t="n">
        <v>200</v>
      </c>
      <c r="U77" s="332">
        <f>SUM(E77:T77)</f>
        <v/>
      </c>
    </row>
    <row r="78" customFormat="1" s="185">
      <c r="B78" s="195" t="inlineStr">
        <is>
          <t>Single Studio Cool</t>
        </is>
      </c>
      <c r="C78" s="191" t="inlineStr">
        <is>
          <t xml:space="preserve">Travel &amp; Entertainment </t>
        </is>
      </c>
      <c r="D78" s="191" t="inlineStr">
        <is>
          <t>Single Studio Cool</t>
        </is>
      </c>
      <c r="E78" s="330" t="n"/>
      <c r="F78" s="330" t="n"/>
      <c r="G78" s="330" t="n"/>
      <c r="H78" s="330" t="n"/>
      <c r="I78" s="331" t="n"/>
      <c r="J78" s="331" t="n"/>
      <c r="K78" s="331" t="n"/>
      <c r="L78" s="331" t="n">
        <v>200</v>
      </c>
      <c r="M78" s="331" t="n">
        <v>200</v>
      </c>
      <c r="N78" s="331" t="n">
        <v>200</v>
      </c>
      <c r="O78" s="331" t="n">
        <v>200</v>
      </c>
      <c r="P78" s="331" t="n">
        <v>200</v>
      </c>
      <c r="Q78" s="331" t="n">
        <v>200</v>
      </c>
      <c r="R78" s="331" t="n">
        <v>200</v>
      </c>
      <c r="S78" s="331" t="n">
        <v>200</v>
      </c>
      <c r="T78" s="331" t="n">
        <v>200</v>
      </c>
      <c r="U78" s="332">
        <f>SUM(E78:T78)</f>
        <v/>
      </c>
    </row>
    <row r="79" customFormat="1" s="185">
      <c r="B79" s="192" t="inlineStr">
        <is>
          <t xml:space="preserve">Double Studio </t>
        </is>
      </c>
      <c r="C79" s="191" t="inlineStr">
        <is>
          <t xml:space="preserve">Travel &amp; Entertainment </t>
        </is>
      </c>
      <c r="D79" s="191" t="inlineStr">
        <is>
          <t xml:space="preserve">Double Studio </t>
        </is>
      </c>
      <c r="E79" s="330" t="n"/>
      <c r="F79" s="330" t="n"/>
      <c r="G79" s="330" t="n"/>
      <c r="H79" s="330" t="n"/>
      <c r="I79" s="331" t="n"/>
      <c r="J79" s="331" t="n"/>
      <c r="K79" s="331" t="n"/>
      <c r="L79" s="331" t="n">
        <v>200</v>
      </c>
      <c r="M79" s="331" t="n">
        <v>200</v>
      </c>
      <c r="N79" s="331" t="n">
        <v>200</v>
      </c>
      <c r="O79" s="331" t="n">
        <v>200</v>
      </c>
      <c r="P79" s="331" t="n">
        <v>200</v>
      </c>
      <c r="Q79" s="331" t="n">
        <v>200</v>
      </c>
      <c r="R79" s="331" t="n">
        <v>200</v>
      </c>
      <c r="S79" s="331" t="n">
        <v>200</v>
      </c>
      <c r="T79" s="331" t="n">
        <v>200</v>
      </c>
      <c r="U79" s="332">
        <f>SUM(E79:T79)</f>
        <v/>
      </c>
    </row>
    <row r="80" customFormat="1" s="185">
      <c r="B80" s="192" t="n"/>
      <c r="C80" s="207" t="n"/>
      <c r="D80" s="207" t="n"/>
      <c r="E80" s="330" t="n"/>
      <c r="F80" s="330" t="n"/>
      <c r="G80" s="330" t="n"/>
      <c r="H80" s="330" t="n"/>
      <c r="I80" s="333" t="n"/>
      <c r="J80" s="333" t="n"/>
      <c r="K80" s="333" t="n"/>
      <c r="L80" s="333" t="n"/>
      <c r="M80" s="333" t="n"/>
      <c r="N80" s="333" t="n"/>
      <c r="O80" s="333" t="n"/>
      <c r="P80" s="333" t="n"/>
      <c r="Q80" s="333" t="n"/>
      <c r="R80" s="333" t="n"/>
      <c r="S80" s="333" t="n"/>
      <c r="T80" s="333" t="n"/>
      <c r="U80" s="213" t="n"/>
    </row>
    <row r="81" customFormat="1" s="185">
      <c r="B81" s="212" t="inlineStr">
        <is>
          <t>Motor Vehicle Expenses</t>
        </is>
      </c>
      <c r="C81" s="211" t="n"/>
      <c r="D81" s="211" t="n"/>
      <c r="E81" s="330" t="n"/>
      <c r="F81" s="330" t="n"/>
      <c r="G81" s="330" t="n"/>
      <c r="H81" s="330" t="n"/>
      <c r="I81" s="216" t="n"/>
      <c r="J81" s="216" t="n"/>
      <c r="K81" s="216" t="n"/>
      <c r="L81" s="216" t="n"/>
      <c r="M81" s="216" t="n"/>
      <c r="N81" s="216" t="n"/>
      <c r="O81" s="216" t="n"/>
      <c r="P81" s="216" t="n"/>
      <c r="Q81" s="216" t="n"/>
      <c r="R81" s="216" t="n"/>
      <c r="S81" s="216" t="n"/>
      <c r="T81" s="216" t="n"/>
      <c r="U81" s="215" t="n"/>
    </row>
    <row r="82" customFormat="1" s="185">
      <c r="B82" s="199" t="inlineStr">
        <is>
          <t>Single Studio Hot</t>
        </is>
      </c>
      <c r="C82" s="191" t="inlineStr">
        <is>
          <t>Motor Vehicle Expenses</t>
        </is>
      </c>
      <c r="D82" s="191" t="inlineStr">
        <is>
          <t>Single Studio Hot</t>
        </is>
      </c>
      <c r="E82" s="330" t="n"/>
      <c r="F82" s="330" t="n"/>
      <c r="G82" s="330" t="n"/>
      <c r="H82" s="330" t="n"/>
      <c r="I82" s="331" t="n"/>
      <c r="J82" s="331" t="n"/>
      <c r="K82" s="331" t="n"/>
      <c r="L82" s="331" t="n"/>
      <c r="M82" s="331" t="n"/>
      <c r="N82" s="331" t="n"/>
      <c r="O82" s="331" t="n"/>
      <c r="P82" s="331" t="n"/>
      <c r="Q82" s="331" t="n"/>
      <c r="R82" s="331" t="n"/>
      <c r="S82" s="331" t="n"/>
      <c r="T82" s="331" t="n"/>
      <c r="U82" s="332">
        <f>SUM(E82:T82)</f>
        <v/>
      </c>
    </row>
    <row r="83" customFormat="1" s="185">
      <c r="B83" s="196" t="inlineStr">
        <is>
          <t>Single Studio Warm</t>
        </is>
      </c>
      <c r="C83" s="191" t="inlineStr">
        <is>
          <t>Motor Vehicle Expenses</t>
        </is>
      </c>
      <c r="D83" s="191" t="inlineStr">
        <is>
          <t>Single Studio Warm</t>
        </is>
      </c>
      <c r="E83" s="330" t="n"/>
      <c r="F83" s="330" t="n"/>
      <c r="G83" s="330" t="n"/>
      <c r="H83" s="330" t="n"/>
      <c r="I83" s="331" t="n"/>
      <c r="J83" s="331" t="n"/>
      <c r="K83" s="331" t="n"/>
      <c r="L83" s="331" t="n"/>
      <c r="M83" s="331" t="n"/>
      <c r="N83" s="331" t="n"/>
      <c r="O83" s="331" t="n"/>
      <c r="P83" s="331" t="n"/>
      <c r="Q83" s="331" t="n"/>
      <c r="R83" s="331" t="n"/>
      <c r="S83" s="331" t="n"/>
      <c r="T83" s="331" t="n"/>
      <c r="U83" s="332">
        <f>SUM(E83:T83)</f>
        <v/>
      </c>
    </row>
    <row r="84" customFormat="1" s="185">
      <c r="B84" s="195" t="inlineStr">
        <is>
          <t>Single Studio Cool</t>
        </is>
      </c>
      <c r="C84" s="191" t="inlineStr">
        <is>
          <t>Motor Vehicle Expenses</t>
        </is>
      </c>
      <c r="D84" s="191" t="inlineStr">
        <is>
          <t>Single Studio Cool</t>
        </is>
      </c>
      <c r="E84" s="330" t="n"/>
      <c r="F84" s="330" t="n"/>
      <c r="G84" s="330" t="n"/>
      <c r="H84" s="330" t="n"/>
      <c r="I84" s="331" t="n"/>
      <c r="J84" s="331" t="n"/>
      <c r="K84" s="331" t="n"/>
      <c r="L84" s="331" t="n"/>
      <c r="M84" s="331" t="n"/>
      <c r="N84" s="331" t="n"/>
      <c r="O84" s="331" t="n"/>
      <c r="P84" s="331" t="n"/>
      <c r="Q84" s="331" t="n"/>
      <c r="R84" s="331" t="n"/>
      <c r="S84" s="331" t="n"/>
      <c r="T84" s="331" t="n"/>
      <c r="U84" s="332">
        <f>SUM(E84:T84)</f>
        <v/>
      </c>
    </row>
    <row r="85" customFormat="1" s="185">
      <c r="B85" s="192" t="inlineStr">
        <is>
          <t xml:space="preserve">Double Studio </t>
        </is>
      </c>
      <c r="C85" s="191" t="inlineStr">
        <is>
          <t>Motor Vehicle Expenses</t>
        </is>
      </c>
      <c r="D85" s="191" t="inlineStr">
        <is>
          <t xml:space="preserve">Double Studio </t>
        </is>
      </c>
      <c r="E85" s="330" t="n"/>
      <c r="F85" s="330" t="n"/>
      <c r="G85" s="330" t="n"/>
      <c r="H85" s="330" t="n"/>
      <c r="I85" s="331" t="n"/>
      <c r="J85" s="331" t="n"/>
      <c r="K85" s="331" t="n"/>
      <c r="L85" s="331" t="n"/>
      <c r="M85" s="331" t="n"/>
      <c r="N85" s="331" t="n"/>
      <c r="O85" s="331" t="n"/>
      <c r="P85" s="331" t="n"/>
      <c r="Q85" s="331" t="n"/>
      <c r="R85" s="331" t="n"/>
      <c r="S85" s="331" t="n"/>
      <c r="T85" s="331" t="n"/>
      <c r="U85" s="332">
        <f>SUM(E85:T85)</f>
        <v/>
      </c>
    </row>
    <row r="86" customFormat="1" s="185">
      <c r="B86" s="192" t="n"/>
      <c r="C86" s="207" t="n"/>
      <c r="D86" s="207" t="n"/>
      <c r="E86" s="330" t="n"/>
      <c r="F86" s="330" t="n"/>
      <c r="G86" s="330" t="n"/>
      <c r="H86" s="330" t="n"/>
      <c r="I86" s="333" t="n"/>
      <c r="J86" s="333" t="n"/>
      <c r="K86" s="333" t="n"/>
      <c r="L86" s="333" t="n"/>
      <c r="M86" s="333" t="n"/>
      <c r="N86" s="333" t="n"/>
      <c r="O86" s="333" t="n"/>
      <c r="P86" s="333" t="n"/>
      <c r="Q86" s="333" t="n"/>
      <c r="R86" s="333" t="n"/>
      <c r="S86" s="333" t="n"/>
      <c r="T86" s="333" t="n"/>
      <c r="U86" s="213" t="n"/>
    </row>
    <row r="87" customFormat="1" s="185">
      <c r="B87" s="212" t="inlineStr">
        <is>
          <t>Professional Fees</t>
        </is>
      </c>
      <c r="C87" s="211" t="n"/>
      <c r="D87" s="211" t="n"/>
      <c r="E87" s="330" t="n"/>
      <c r="F87" s="330" t="n"/>
      <c r="G87" s="330" t="n"/>
      <c r="H87" s="330" t="n"/>
      <c r="I87" s="216" t="n"/>
      <c r="J87" s="216" t="n"/>
      <c r="K87" s="216" t="n"/>
      <c r="L87" s="216" t="n"/>
      <c r="M87" s="216" t="n"/>
      <c r="N87" s="216" t="n"/>
      <c r="O87" s="216" t="n"/>
      <c r="P87" s="216" t="n"/>
      <c r="Q87" s="216" t="n"/>
      <c r="R87" s="216" t="n"/>
      <c r="S87" s="216" t="n"/>
      <c r="T87" s="216" t="n"/>
      <c r="U87" s="215" t="n"/>
    </row>
    <row r="88" customFormat="1" s="185">
      <c r="B88" s="199" t="inlineStr">
        <is>
          <t>Single Studio Hot</t>
        </is>
      </c>
      <c r="C88" s="191" t="inlineStr">
        <is>
          <t>Professional Fees</t>
        </is>
      </c>
      <c r="D88" s="191" t="inlineStr">
        <is>
          <t>Single Studio Hot</t>
        </is>
      </c>
      <c r="E88" s="330" t="n"/>
      <c r="F88" s="330" t="n"/>
      <c r="G88" s="330" t="n"/>
      <c r="H88" s="330" t="n"/>
      <c r="I88" s="331" t="n">
        <v>500</v>
      </c>
      <c r="J88" s="331" t="n">
        <v>500</v>
      </c>
      <c r="K88" s="331" t="n">
        <v>500</v>
      </c>
      <c r="L88" s="331" t="n">
        <v>500</v>
      </c>
      <c r="M88" s="331" t="n">
        <v>500</v>
      </c>
      <c r="N88" s="331" t="n">
        <v>500</v>
      </c>
      <c r="O88" s="331" t="n">
        <v>500</v>
      </c>
      <c r="P88" s="331" t="n">
        <v>500</v>
      </c>
      <c r="Q88" s="331" t="n">
        <v>500</v>
      </c>
      <c r="R88" s="331" t="n">
        <v>500</v>
      </c>
      <c r="S88" s="331" t="n">
        <v>500</v>
      </c>
      <c r="T88" s="331" t="n">
        <v>500</v>
      </c>
      <c r="U88" s="332">
        <f>SUM(E88:T88)</f>
        <v/>
      </c>
    </row>
    <row r="89" customFormat="1" s="185">
      <c r="B89" s="196" t="inlineStr">
        <is>
          <t>Single Studio Warm</t>
        </is>
      </c>
      <c r="C89" s="191" t="inlineStr">
        <is>
          <t>Professional Fees</t>
        </is>
      </c>
      <c r="D89" s="191" t="inlineStr">
        <is>
          <t>Single Studio Warm</t>
        </is>
      </c>
      <c r="E89" s="330" t="n"/>
      <c r="F89" s="330" t="n"/>
      <c r="G89" s="330" t="n"/>
      <c r="H89" s="330" t="n"/>
      <c r="I89" s="331" t="n">
        <v>500</v>
      </c>
      <c r="J89" s="331" t="n">
        <v>500</v>
      </c>
      <c r="K89" s="331" t="n">
        <v>500</v>
      </c>
      <c r="L89" s="331" t="n">
        <v>500</v>
      </c>
      <c r="M89" s="331" t="n">
        <v>500</v>
      </c>
      <c r="N89" s="331" t="n">
        <v>500</v>
      </c>
      <c r="O89" s="331" t="n">
        <v>500</v>
      </c>
      <c r="P89" s="331" t="n">
        <v>500</v>
      </c>
      <c r="Q89" s="331" t="n">
        <v>500</v>
      </c>
      <c r="R89" s="331" t="n">
        <v>500</v>
      </c>
      <c r="S89" s="331" t="n">
        <v>500</v>
      </c>
      <c r="T89" s="331" t="n">
        <v>500</v>
      </c>
      <c r="U89" s="332">
        <f>SUM(E89:T89)</f>
        <v/>
      </c>
    </row>
    <row r="90" customFormat="1" s="185">
      <c r="B90" s="195" t="inlineStr">
        <is>
          <t>Single Studio Cool</t>
        </is>
      </c>
      <c r="C90" s="191" t="inlineStr">
        <is>
          <t>Professional Fees</t>
        </is>
      </c>
      <c r="D90" s="191" t="inlineStr">
        <is>
          <t>Single Studio Cool</t>
        </is>
      </c>
      <c r="E90" s="330" t="n"/>
      <c r="F90" s="330" t="n"/>
      <c r="G90" s="330" t="n"/>
      <c r="H90" s="330" t="n"/>
      <c r="I90" s="331" t="n">
        <v>500</v>
      </c>
      <c r="J90" s="331" t="n">
        <v>500</v>
      </c>
      <c r="K90" s="331" t="n">
        <v>500</v>
      </c>
      <c r="L90" s="331" t="n">
        <v>500</v>
      </c>
      <c r="M90" s="331" t="n">
        <v>500</v>
      </c>
      <c r="N90" s="331" t="n">
        <v>500</v>
      </c>
      <c r="O90" s="331" t="n">
        <v>500</v>
      </c>
      <c r="P90" s="331" t="n">
        <v>500</v>
      </c>
      <c r="Q90" s="331" t="n">
        <v>500</v>
      </c>
      <c r="R90" s="331" t="n">
        <v>500</v>
      </c>
      <c r="S90" s="331" t="n">
        <v>500</v>
      </c>
      <c r="T90" s="331" t="n">
        <v>500</v>
      </c>
      <c r="U90" s="332">
        <f>SUM(E90:T90)</f>
        <v/>
      </c>
    </row>
    <row r="91" customFormat="1" s="185">
      <c r="B91" s="192" t="inlineStr">
        <is>
          <t xml:space="preserve">Double Studio </t>
        </is>
      </c>
      <c r="C91" s="191" t="inlineStr">
        <is>
          <t>Professional Fees</t>
        </is>
      </c>
      <c r="D91" s="191" t="inlineStr">
        <is>
          <t xml:space="preserve">Double Studio </t>
        </is>
      </c>
      <c r="E91" s="330" t="n"/>
      <c r="F91" s="330" t="n"/>
      <c r="G91" s="330" t="n"/>
      <c r="H91" s="330" t="n"/>
      <c r="I91" s="331" t="n">
        <v>500</v>
      </c>
      <c r="J91" s="331" t="n">
        <v>500</v>
      </c>
      <c r="K91" s="331" t="n">
        <v>500</v>
      </c>
      <c r="L91" s="331" t="n">
        <v>500</v>
      </c>
      <c r="M91" s="331" t="n">
        <v>500</v>
      </c>
      <c r="N91" s="331" t="n">
        <v>500</v>
      </c>
      <c r="O91" s="331" t="n">
        <v>500</v>
      </c>
      <c r="P91" s="331" t="n">
        <v>500</v>
      </c>
      <c r="Q91" s="331" t="n">
        <v>500</v>
      </c>
      <c r="R91" s="331" t="n">
        <v>500</v>
      </c>
      <c r="S91" s="331" t="n">
        <v>500</v>
      </c>
      <c r="T91" s="331" t="n">
        <v>500</v>
      </c>
      <c r="U91" s="332">
        <f>SUM(E91:T91)</f>
        <v/>
      </c>
    </row>
    <row r="92" ht="17" customFormat="1" customHeight="1" s="185" thickBot="1">
      <c r="B92" s="192" t="n"/>
      <c r="C92" s="207" t="n"/>
      <c r="D92" s="207" t="n"/>
      <c r="E92" s="330" t="n"/>
      <c r="F92" s="330" t="n"/>
      <c r="G92" s="330" t="n"/>
      <c r="H92" s="330" t="n"/>
      <c r="I92" s="333" t="n"/>
      <c r="J92" s="333" t="n"/>
      <c r="K92" s="333" t="n"/>
      <c r="L92" s="333" t="n"/>
      <c r="M92" s="333" t="n"/>
      <c r="N92" s="333" t="n"/>
      <c r="O92" s="333" t="n"/>
      <c r="P92" s="333" t="n"/>
      <c r="Q92" s="333" t="n"/>
      <c r="R92" s="333" t="n"/>
      <c r="S92" s="333" t="n"/>
      <c r="T92" s="333" t="n"/>
      <c r="U92" s="213" t="n"/>
    </row>
    <row r="93" customFormat="1" s="185">
      <c r="B93" s="212" t="inlineStr">
        <is>
          <t>Finance &amp; Policy Expenses</t>
        </is>
      </c>
      <c r="C93" s="211" t="n"/>
      <c r="D93" s="211" t="n"/>
      <c r="E93" s="330" t="n"/>
      <c r="F93" s="330" t="n"/>
      <c r="G93" s="330" t="n"/>
      <c r="H93" s="330" t="n"/>
      <c r="I93" s="334" t="n"/>
      <c r="J93" s="334" t="n"/>
      <c r="K93" s="334" t="n"/>
      <c r="L93" s="334" t="n"/>
      <c r="M93" s="334" t="n"/>
      <c r="N93" s="334" t="n"/>
      <c r="O93" s="209" t="n"/>
      <c r="P93" s="209" t="n"/>
      <c r="Q93" s="209" t="n"/>
      <c r="R93" s="209" t="n"/>
      <c r="S93" s="209" t="n"/>
      <c r="T93" s="209" t="n"/>
      <c r="U93" s="208" t="n"/>
    </row>
    <row r="94" customFormat="1" s="185">
      <c r="B94" s="199" t="inlineStr">
        <is>
          <t>Single Studio Hot</t>
        </is>
      </c>
      <c r="C94" s="191" t="inlineStr">
        <is>
          <t>Finance &amp; Policy Expenses</t>
        </is>
      </c>
      <c r="D94" s="191" t="inlineStr">
        <is>
          <t>Single Studio Hot</t>
        </is>
      </c>
      <c r="E94" s="330" t="n"/>
      <c r="F94" s="330" t="n"/>
      <c r="G94" s="330" t="n"/>
      <c r="H94" s="330" t="n"/>
      <c r="I94" s="331">
        <f>4.5%*I11</f>
        <v/>
      </c>
      <c r="J94" s="331">
        <f>4.5%*J11</f>
        <v/>
      </c>
      <c r="K94" s="331">
        <f>4.5%*K11</f>
        <v/>
      </c>
      <c r="L94" s="331">
        <f>4.5%*L11</f>
        <v/>
      </c>
      <c r="M94" s="331">
        <f>4.5%*M11</f>
        <v/>
      </c>
      <c r="N94" s="331">
        <f>4.5%*N11</f>
        <v/>
      </c>
      <c r="O94" s="331">
        <f>4.5%*O11</f>
        <v/>
      </c>
      <c r="P94" s="331">
        <f>4.5%*P11</f>
        <v/>
      </c>
      <c r="Q94" s="331">
        <f>4.5%*Q11</f>
        <v/>
      </c>
      <c r="R94" s="331">
        <f>4.5%*R11</f>
        <v/>
      </c>
      <c r="S94" s="331">
        <f>4.5%*S11</f>
        <v/>
      </c>
      <c r="T94" s="331">
        <f>4.5%*T11</f>
        <v/>
      </c>
      <c r="U94" s="332">
        <f>SUM(E94:T94)</f>
        <v/>
      </c>
    </row>
    <row r="95" customFormat="1" s="185">
      <c r="B95" s="196" t="inlineStr">
        <is>
          <t>Single Studio Warm</t>
        </is>
      </c>
      <c r="C95" s="191" t="inlineStr">
        <is>
          <t>Finance &amp; Policy Expenses</t>
        </is>
      </c>
      <c r="D95" s="191" t="inlineStr">
        <is>
          <t>Single Studio Warm</t>
        </is>
      </c>
      <c r="E95" s="330" t="n"/>
      <c r="F95" s="330" t="n"/>
      <c r="G95" s="330" t="n"/>
      <c r="H95" s="330" t="n"/>
      <c r="I95" s="331">
        <f>4.5%*I12</f>
        <v/>
      </c>
      <c r="J95" s="331">
        <f>4.5%*J12</f>
        <v/>
      </c>
      <c r="K95" s="331">
        <f>4.5%*K12</f>
        <v/>
      </c>
      <c r="L95" s="331">
        <f>4.5%*L12</f>
        <v/>
      </c>
      <c r="M95" s="331">
        <f>4.5%*M12</f>
        <v/>
      </c>
      <c r="N95" s="331">
        <f>4.5%*N12</f>
        <v/>
      </c>
      <c r="O95" s="331">
        <f>4.5%*O12</f>
        <v/>
      </c>
      <c r="P95" s="331">
        <f>4.5%*P12</f>
        <v/>
      </c>
      <c r="Q95" s="331">
        <f>4.5%*Q12</f>
        <v/>
      </c>
      <c r="R95" s="331">
        <f>4.5%*R12</f>
        <v/>
      </c>
      <c r="S95" s="331">
        <f>4.5%*S12</f>
        <v/>
      </c>
      <c r="T95" s="331">
        <f>4.5%*T12</f>
        <v/>
      </c>
      <c r="U95" s="332">
        <f>SUM(E95:T95)</f>
        <v/>
      </c>
    </row>
    <row r="96" customFormat="1" s="185">
      <c r="B96" s="195" t="inlineStr">
        <is>
          <t>Single Studio Cool</t>
        </is>
      </c>
      <c r="C96" s="191" t="inlineStr">
        <is>
          <t>Finance &amp; Policy Expenses</t>
        </is>
      </c>
      <c r="D96" s="191" t="inlineStr">
        <is>
          <t>Single Studio Cool</t>
        </is>
      </c>
      <c r="E96" s="330" t="n"/>
      <c r="F96" s="330" t="n"/>
      <c r="G96" s="330" t="n"/>
      <c r="H96" s="330" t="n"/>
      <c r="I96" s="331">
        <f>4.5%*I13</f>
        <v/>
      </c>
      <c r="J96" s="331">
        <f>4.5%*J13</f>
        <v/>
      </c>
      <c r="K96" s="331">
        <f>4.5%*K13</f>
        <v/>
      </c>
      <c r="L96" s="331">
        <f>4.5%*L13</f>
        <v/>
      </c>
      <c r="M96" s="331">
        <f>4.5%*M13</f>
        <v/>
      </c>
      <c r="N96" s="331">
        <f>4.5%*N13</f>
        <v/>
      </c>
      <c r="O96" s="331">
        <f>4.5%*O13</f>
        <v/>
      </c>
      <c r="P96" s="331">
        <f>4.5%*P13</f>
        <v/>
      </c>
      <c r="Q96" s="331">
        <f>4.5%*Q13</f>
        <v/>
      </c>
      <c r="R96" s="331">
        <f>4.5%*R13</f>
        <v/>
      </c>
      <c r="S96" s="331">
        <f>4.5%*S13</f>
        <v/>
      </c>
      <c r="T96" s="331">
        <f>4.5%*T13</f>
        <v/>
      </c>
      <c r="U96" s="332">
        <f>SUM(E96:T96)</f>
        <v/>
      </c>
    </row>
    <row r="97" customFormat="1" s="185">
      <c r="B97" s="192" t="inlineStr">
        <is>
          <t xml:space="preserve">Double Studio </t>
        </is>
      </c>
      <c r="C97" s="191" t="inlineStr">
        <is>
          <t>Finance &amp; Policy Expenses</t>
        </is>
      </c>
      <c r="D97" s="191" t="inlineStr">
        <is>
          <t xml:space="preserve">Double Studio </t>
        </is>
      </c>
      <c r="E97" s="330" t="n"/>
      <c r="F97" s="330" t="n"/>
      <c r="G97" s="330" t="n"/>
      <c r="H97" s="330" t="n"/>
      <c r="I97" s="331">
        <f>4.5%*I14</f>
        <v/>
      </c>
      <c r="J97" s="331">
        <f>4.5%*J14</f>
        <v/>
      </c>
      <c r="K97" s="331">
        <f>4.5%*K14</f>
        <v/>
      </c>
      <c r="L97" s="331">
        <f>4.5%*L14</f>
        <v/>
      </c>
      <c r="M97" s="331">
        <f>4.5%*M14</f>
        <v/>
      </c>
      <c r="N97" s="331">
        <f>4.5%*N14</f>
        <v/>
      </c>
      <c r="O97" s="331">
        <f>4.5%*O14</f>
        <v/>
      </c>
      <c r="P97" s="331">
        <f>4.5%*P14</f>
        <v/>
      </c>
      <c r="Q97" s="331">
        <f>4.5%*Q14</f>
        <v/>
      </c>
      <c r="R97" s="331">
        <f>4.5%*R14</f>
        <v/>
      </c>
      <c r="S97" s="331">
        <f>4.5%*S14</f>
        <v/>
      </c>
      <c r="T97" s="331">
        <f>4.5%*T14</f>
        <v/>
      </c>
      <c r="U97" s="332">
        <f>SUM(E97:T97)</f>
        <v/>
      </c>
    </row>
    <row r="98" ht="17" customFormat="1" customHeight="1" s="185" thickBot="1">
      <c r="B98" s="192" t="n"/>
      <c r="C98" s="207" t="n"/>
      <c r="D98" s="207" t="n"/>
      <c r="E98" s="330" t="n"/>
      <c r="F98" s="330" t="n"/>
      <c r="G98" s="330" t="n"/>
      <c r="H98" s="330" t="n"/>
      <c r="I98" s="335" t="n"/>
      <c r="J98" s="335" t="n"/>
      <c r="K98" s="335" t="n"/>
      <c r="L98" s="335" t="n"/>
      <c r="M98" s="335" t="n"/>
      <c r="N98" s="335" t="n"/>
      <c r="O98" s="205" t="n"/>
      <c r="P98" s="205" t="n"/>
      <c r="Q98" s="205" t="n"/>
      <c r="R98" s="205" t="n"/>
      <c r="S98" s="205" t="n"/>
      <c r="T98" s="205" t="n"/>
      <c r="U98" s="204" t="n"/>
    </row>
    <row r="99" ht="15" customFormat="1" customHeight="1" s="185">
      <c r="B99" s="186" t="n"/>
      <c r="C99" s="186" t="n"/>
      <c r="D99" s="186" t="n"/>
    </row>
    <row r="100" ht="15" customFormat="1" customHeight="1" s="185">
      <c r="B100" s="186" t="inlineStr">
        <is>
          <t>Total OpEx</t>
        </is>
      </c>
      <c r="C100" s="186" t="n"/>
      <c r="D100" s="186" t="n"/>
    </row>
    <row r="101" customFormat="1" s="185">
      <c r="B101" s="199" t="inlineStr">
        <is>
          <t>Single Studio Hot</t>
        </is>
      </c>
      <c r="C101" s="191" t="inlineStr">
        <is>
          <t>Finance &amp; Policy Expenses</t>
        </is>
      </c>
      <c r="D101" s="191" t="inlineStr">
        <is>
          <t>Single Studio Hot</t>
        </is>
      </c>
      <c r="E101" s="330" t="n"/>
      <c r="F101" s="330" t="n"/>
      <c r="G101" s="330" t="n"/>
      <c r="H101" s="330" t="n"/>
      <c r="I101" s="331">
        <f>I40+I46+I52+I58+I64+I70+I76+I82+I88+I94</f>
        <v/>
      </c>
      <c r="J101" s="331">
        <f>J40+J46+J52+J58+J64+J70+J76+J82+J88+J94</f>
        <v/>
      </c>
      <c r="K101" s="331">
        <f>K40+K46+K52+K58+K64+K70+K76+K82+K88+K94</f>
        <v/>
      </c>
      <c r="L101" s="331">
        <f>L40+L46+L52+L58+L64+L70+L76+L82+L88+L94</f>
        <v/>
      </c>
      <c r="M101" s="331">
        <f>M40+M46+M52+M58+M64+M70+M76+M82+M88+M94</f>
        <v/>
      </c>
      <c r="N101" s="331">
        <f>N40+N46+N52+N58+N64+N70+N76+N82+N88+N94</f>
        <v/>
      </c>
      <c r="O101" s="331">
        <f>O40+O46+O52+O58+O64+O70+O76+O82+O88+O94</f>
        <v/>
      </c>
      <c r="P101" s="331">
        <f>P40+P46+P52+P58+P64+P70+P76+P82+P88+P94</f>
        <v/>
      </c>
      <c r="Q101" s="331">
        <f>Q40+Q46+Q52+Q58+Q64+Q70+Q76+Q82+Q88+Q94</f>
        <v/>
      </c>
      <c r="R101" s="331">
        <f>R40+R46+R52+R58+R64+R70+R76+R82+R88+R94</f>
        <v/>
      </c>
      <c r="S101" s="331">
        <f>S40+S46+S52+S58+S64+S70+S76+S82+S88+S94</f>
        <v/>
      </c>
      <c r="T101" s="331">
        <f>T40+T46+T52+T58+T64+T70+T76+T82+T88+T94</f>
        <v/>
      </c>
      <c r="U101" s="332">
        <f>SUM(E101:T101)</f>
        <v/>
      </c>
    </row>
    <row r="102" customFormat="1" s="185">
      <c r="B102" s="196" t="inlineStr">
        <is>
          <t>Single Studio Warm</t>
        </is>
      </c>
      <c r="C102" s="191" t="inlineStr">
        <is>
          <t>Finance &amp; Policy Expenses</t>
        </is>
      </c>
      <c r="D102" s="191" t="inlineStr">
        <is>
          <t>Single Studio Warm</t>
        </is>
      </c>
      <c r="E102" s="330" t="n"/>
      <c r="F102" s="330" t="n"/>
      <c r="G102" s="330" t="n"/>
      <c r="H102" s="330" t="n"/>
      <c r="I102" s="331">
        <f>I41+I47+I53+I59+I65+I71+I77+I83+I89+I95</f>
        <v/>
      </c>
      <c r="J102" s="331">
        <f>J41+J47+J53+J59+J65+J71+J77+J83+J89+J95</f>
        <v/>
      </c>
      <c r="K102" s="331">
        <f>K41+K47+K53+K59+K65+K71+K77+K83+K89+K95</f>
        <v/>
      </c>
      <c r="L102" s="331">
        <f>L41+L47+L53+L59+L65+L71+L77+L83+L89+L95</f>
        <v/>
      </c>
      <c r="M102" s="331">
        <f>M41+M47+M53+M59+M65+M71+M77+M83+M89+M95</f>
        <v/>
      </c>
      <c r="N102" s="331">
        <f>N41+N47+N53+N59+N65+N71+N77+N83+N89+N95</f>
        <v/>
      </c>
      <c r="O102" s="331">
        <f>O41+O47+O53+O59+O65+O71+O77+O83+O89+O95</f>
        <v/>
      </c>
      <c r="P102" s="331">
        <f>P41+P47+P53+P59+P65+P71+P77+P83+P89+P95</f>
        <v/>
      </c>
      <c r="Q102" s="331">
        <f>Q41+Q47+Q53+Q59+Q65+Q71+Q77+Q83+Q89+Q95</f>
        <v/>
      </c>
      <c r="R102" s="331">
        <f>R41+R47+R53+R59+R65+R71+R77+R83+R89+R95</f>
        <v/>
      </c>
      <c r="S102" s="331">
        <f>S41+S47+S53+S59+S65+S71+S77+S83+S89+S95</f>
        <v/>
      </c>
      <c r="T102" s="331">
        <f>T41+T47+T53+T59+T65+T71+T77+T83+T89+T95</f>
        <v/>
      </c>
      <c r="U102" s="332">
        <f>SUM(E102:T102)</f>
        <v/>
      </c>
    </row>
    <row r="103" customFormat="1" s="185">
      <c r="B103" s="195" t="inlineStr">
        <is>
          <t>Single Studio Cool</t>
        </is>
      </c>
      <c r="C103" s="191" t="inlineStr">
        <is>
          <t>Finance &amp; Policy Expenses</t>
        </is>
      </c>
      <c r="D103" s="191" t="inlineStr">
        <is>
          <t>Single Studio Cool</t>
        </is>
      </c>
      <c r="E103" s="330" t="n"/>
      <c r="F103" s="330" t="n"/>
      <c r="G103" s="330" t="n"/>
      <c r="H103" s="330" t="n"/>
      <c r="I103" s="331">
        <f>I42+I48+I54+I60+I66+I72+I78+I84+I90+I96</f>
        <v/>
      </c>
      <c r="J103" s="331">
        <f>J42+J48+J54+J60+J66+J72+J78+J84+J90+J96</f>
        <v/>
      </c>
      <c r="K103" s="331">
        <f>K42+K48+K54+K60+K66+K72+K78+K84+K90+K96</f>
        <v/>
      </c>
      <c r="L103" s="331">
        <f>L42+L48+L54+L60+L66+L72+L78+L84+L90+L96</f>
        <v/>
      </c>
      <c r="M103" s="331">
        <f>M42+M48+M54+M60+M66+M72+M78+M84+M90+M96</f>
        <v/>
      </c>
      <c r="N103" s="331">
        <f>N42+N48+N54+N60+N66+N72+N78+N84+N90+N96</f>
        <v/>
      </c>
      <c r="O103" s="331">
        <f>O42+O48+O54+O60+O66+O72+O78+O84+O90+O96</f>
        <v/>
      </c>
      <c r="P103" s="331">
        <f>P42+P48+P54+P60+P66+P72+P78+P84+P90+P96</f>
        <v/>
      </c>
      <c r="Q103" s="331">
        <f>Q42+Q48+Q54+Q60+Q66+Q72+Q78+Q84+Q90+Q96</f>
        <v/>
      </c>
      <c r="R103" s="331">
        <f>R42+R48+R54+R60+R66+R72+R78+R84+R90+R96</f>
        <v/>
      </c>
      <c r="S103" s="331">
        <f>S42+S48+S54+S60+S66+S72+S78+S84+S90+S96</f>
        <v/>
      </c>
      <c r="T103" s="331">
        <f>T42+T48+T54+T60+T66+T72+T78+T84+T90+T96</f>
        <v/>
      </c>
      <c r="U103" s="332">
        <f>SUM(E103:T103)</f>
        <v/>
      </c>
    </row>
    <row r="104" customFormat="1" s="185">
      <c r="B104" s="192" t="inlineStr">
        <is>
          <t xml:space="preserve">Double Studio </t>
        </is>
      </c>
      <c r="C104" s="191" t="inlineStr">
        <is>
          <t>Finance &amp; Policy Expenses</t>
        </is>
      </c>
      <c r="D104" s="191" t="inlineStr">
        <is>
          <t xml:space="preserve">Double Studio </t>
        </is>
      </c>
      <c r="E104" s="330" t="n"/>
      <c r="F104" s="330" t="n"/>
      <c r="G104" s="330" t="n"/>
      <c r="H104" s="330" t="n"/>
      <c r="I104" s="331">
        <f>I43+I49+I55+I61+I67+I73+I79+I85+I91+I97</f>
        <v/>
      </c>
      <c r="J104" s="331">
        <f>J43+J49+J55+J61+J67+J73+J79+J85+J91+J97</f>
        <v/>
      </c>
      <c r="K104" s="331">
        <f>K43+K49+K55+K61+K67+K73+K79+K85+K91+K97</f>
        <v/>
      </c>
      <c r="L104" s="331">
        <f>L43+L49+L55+L61+L67+L73+L79+L85+L91+L97</f>
        <v/>
      </c>
      <c r="M104" s="331">
        <f>M43+M49+M55+M61+M67+M73+M79+M85+M91+M97</f>
        <v/>
      </c>
      <c r="N104" s="331">
        <f>N43+N49+N55+N61+N67+N73+N79+N85+N91+N97</f>
        <v/>
      </c>
      <c r="O104" s="331">
        <f>O43+O49+O55+O61+O67+O73+O79+O85+O91+O97</f>
        <v/>
      </c>
      <c r="P104" s="331">
        <f>P43+P49+P55+P61+P67+P73+P79+P85+P91+P97</f>
        <v/>
      </c>
      <c r="Q104" s="331">
        <f>Q43+Q49+Q55+Q61+Q67+Q73+Q79+Q85+Q91+Q97</f>
        <v/>
      </c>
      <c r="R104" s="331">
        <f>R43+R49+R55+R61+R67+R73+R79+R85+R91+R97</f>
        <v/>
      </c>
      <c r="S104" s="331">
        <f>S43+S49+S55+S61+S67+S73+S79+S85+S91+S97</f>
        <v/>
      </c>
      <c r="T104" s="331">
        <f>T43+T49+T55+T61+T67+T73+T79+T85+T91+T97</f>
        <v/>
      </c>
      <c r="U104" s="332">
        <f>SUM(E104:T104)</f>
        <v/>
      </c>
    </row>
    <row r="105" ht="15" customFormat="1" customHeight="1" s="185">
      <c r="B105" s="186" t="n"/>
      <c r="C105" s="186" t="n"/>
      <c r="D105" s="186" t="n"/>
    </row>
    <row r="106" customFormat="1" s="185" thickBot="1">
      <c r="B106" s="186" t="inlineStr">
        <is>
          <t>Margin Tier 1</t>
        </is>
      </c>
      <c r="C106" s="186" t="n"/>
      <c r="D106" s="186" t="n"/>
      <c r="U106" s="200" t="inlineStr">
        <is>
          <t>Year 1 Average</t>
        </is>
      </c>
      <c r="V106" s="200" t="inlineStr">
        <is>
          <t>Stabilized</t>
        </is>
      </c>
    </row>
    <row r="107" customFormat="1" s="185">
      <c r="B107" s="199" t="inlineStr">
        <is>
          <t>Single Studio Hot</t>
        </is>
      </c>
      <c r="C107" s="191" t="inlineStr">
        <is>
          <t>Finance &amp; Policy Expenses</t>
        </is>
      </c>
      <c r="D107" s="191" t="inlineStr">
        <is>
          <t>Single Studio Hot</t>
        </is>
      </c>
      <c r="E107" s="330" t="n"/>
      <c r="F107" s="330" t="n"/>
      <c r="G107" s="330" t="n"/>
      <c r="H107" s="330" t="n"/>
      <c r="I107" s="189">
        <f>(I11-I101)/I11</f>
        <v/>
      </c>
      <c r="J107" s="189">
        <f>(J11-J101)/J11</f>
        <v/>
      </c>
      <c r="K107" s="189">
        <f>(K11-K101)/K11</f>
        <v/>
      </c>
      <c r="L107" s="189">
        <f>(L11-L101)/L11</f>
        <v/>
      </c>
      <c r="M107" s="189">
        <f>(M11-M101)/M11</f>
        <v/>
      </c>
      <c r="N107" s="189">
        <f>(N11-N101)/N11</f>
        <v/>
      </c>
      <c r="O107" s="189">
        <f>(O11-O101)/O11</f>
        <v/>
      </c>
      <c r="P107" s="189">
        <f>(P11-P101)/P11</f>
        <v/>
      </c>
      <c r="Q107" s="189">
        <f>(Q11-Q101)/Q11</f>
        <v/>
      </c>
      <c r="R107" s="189">
        <f>(R11-R101)/R11</f>
        <v/>
      </c>
      <c r="S107" s="189">
        <f>(S11-S101)/S11</f>
        <v/>
      </c>
      <c r="T107" s="201">
        <f>(T11-T101)/T11</f>
        <v/>
      </c>
      <c r="U107" s="198">
        <f>AVERAGE(I107:T107)</f>
        <v/>
      </c>
      <c r="V107" s="197">
        <f>T107</f>
        <v/>
      </c>
    </row>
    <row r="108" customFormat="1" s="185">
      <c r="B108" s="196" t="inlineStr">
        <is>
          <t>Single Studio Warm</t>
        </is>
      </c>
      <c r="C108" s="191" t="inlineStr">
        <is>
          <t>Finance &amp; Policy Expenses</t>
        </is>
      </c>
      <c r="D108" s="191" t="inlineStr">
        <is>
          <t>Single Studio Warm</t>
        </is>
      </c>
      <c r="E108" s="330" t="n"/>
      <c r="F108" s="330" t="n"/>
      <c r="G108" s="330" t="n"/>
      <c r="H108" s="330" t="n"/>
      <c r="I108" s="189">
        <f>(I12-I102)/I12</f>
        <v/>
      </c>
      <c r="J108" s="189">
        <f>(J12-J102)/J12</f>
        <v/>
      </c>
      <c r="K108" s="189">
        <f>(K12-K102)/K12</f>
        <v/>
      </c>
      <c r="L108" s="189">
        <f>(L12-L102)/L12</f>
        <v/>
      </c>
      <c r="M108" s="189">
        <f>(M12-M102)/M12</f>
        <v/>
      </c>
      <c r="N108" s="189">
        <f>(N12-N102)/N12</f>
        <v/>
      </c>
      <c r="O108" s="189">
        <f>(O12-O102)/O12</f>
        <v/>
      </c>
      <c r="P108" s="189">
        <f>(P12-P102)/P12</f>
        <v/>
      </c>
      <c r="Q108" s="189">
        <f>(Q12-Q102)/Q12</f>
        <v/>
      </c>
      <c r="R108" s="189">
        <f>(R12-R102)/R12</f>
        <v/>
      </c>
      <c r="S108" s="189">
        <f>(S12-S102)/S12</f>
        <v/>
      </c>
      <c r="T108" s="201">
        <f>(T12-T102)/T12</f>
        <v/>
      </c>
      <c r="U108" s="194">
        <f>AVERAGE(I108:T108)</f>
        <v/>
      </c>
      <c r="V108" s="193">
        <f>T108</f>
        <v/>
      </c>
    </row>
    <row r="109" customFormat="1" s="185">
      <c r="B109" s="195" t="inlineStr">
        <is>
          <t>Single Studio Cool</t>
        </is>
      </c>
      <c r="C109" s="191" t="inlineStr">
        <is>
          <t>Finance &amp; Policy Expenses</t>
        </is>
      </c>
      <c r="D109" s="191" t="inlineStr">
        <is>
          <t>Single Studio Cool</t>
        </is>
      </c>
      <c r="E109" s="330" t="n"/>
      <c r="F109" s="330" t="n"/>
      <c r="G109" s="330" t="n"/>
      <c r="H109" s="330" t="n"/>
      <c r="I109" s="189">
        <f>(I13-I103)/I13</f>
        <v/>
      </c>
      <c r="J109" s="189">
        <f>(J13-J103)/J13</f>
        <v/>
      </c>
      <c r="K109" s="189">
        <f>(K13-K103)/K13</f>
        <v/>
      </c>
      <c r="L109" s="189">
        <f>(L13-L103)/L13</f>
        <v/>
      </c>
      <c r="M109" s="189">
        <f>(M13-M103)/M13</f>
        <v/>
      </c>
      <c r="N109" s="189">
        <f>(N13-N103)/N13</f>
        <v/>
      </c>
      <c r="O109" s="189">
        <f>(O13-O103)/O13</f>
        <v/>
      </c>
      <c r="P109" s="189">
        <f>(P13-P103)/P13</f>
        <v/>
      </c>
      <c r="Q109" s="189">
        <f>(Q13-Q103)/Q13</f>
        <v/>
      </c>
      <c r="R109" s="189">
        <f>(R13-R103)/R13</f>
        <v/>
      </c>
      <c r="S109" s="189">
        <f>(S13-S103)/S13</f>
        <v/>
      </c>
      <c r="T109" s="201">
        <f>(T13-T103)/T13</f>
        <v/>
      </c>
      <c r="U109" s="194">
        <f>AVERAGE(I109:T109)</f>
        <v/>
      </c>
      <c r="V109" s="193">
        <f>T109</f>
        <v/>
      </c>
    </row>
    <row r="110" ht="17" customFormat="1" customHeight="1" s="185" thickBot="1">
      <c r="B110" s="192" t="inlineStr">
        <is>
          <t xml:space="preserve">Double Studio </t>
        </is>
      </c>
      <c r="C110" s="191" t="inlineStr">
        <is>
          <t>Finance &amp; Policy Expenses</t>
        </is>
      </c>
      <c r="D110" s="191" t="inlineStr">
        <is>
          <t xml:space="preserve">Double Studio </t>
        </is>
      </c>
      <c r="E110" s="330" t="n"/>
      <c r="F110" s="330" t="n"/>
      <c r="G110" s="330" t="n"/>
      <c r="H110" s="330" t="n"/>
      <c r="I110" s="189">
        <f>(I14-I104)/I14</f>
        <v/>
      </c>
      <c r="J110" s="189">
        <f>(J14-J104)/J14</f>
        <v/>
      </c>
      <c r="K110" s="189">
        <f>(K14-K104)/K14</f>
        <v/>
      </c>
      <c r="L110" s="189">
        <f>(L14-L104)/L14</f>
        <v/>
      </c>
      <c r="M110" s="189">
        <f>(M14-M104)/M14</f>
        <v/>
      </c>
      <c r="N110" s="189">
        <f>(N14-N104)/N14</f>
        <v/>
      </c>
      <c r="O110" s="189">
        <f>(O14-O104)/O14</f>
        <v/>
      </c>
      <c r="P110" s="189">
        <f>(P14-P104)/P14</f>
        <v/>
      </c>
      <c r="Q110" s="189">
        <f>(Q14-Q104)/Q14</f>
        <v/>
      </c>
      <c r="R110" s="189">
        <f>(R14-R104)/R14</f>
        <v/>
      </c>
      <c r="S110" s="189">
        <f>(S14-S104)/S14</f>
        <v/>
      </c>
      <c r="T110" s="201">
        <f>(T14-T104)/T14</f>
        <v/>
      </c>
      <c r="U110" s="188">
        <f>AVERAGE(I110:T110)</f>
        <v/>
      </c>
      <c r="V110" s="187">
        <f>T110</f>
        <v/>
      </c>
    </row>
    <row r="111" ht="15" customFormat="1" customHeight="1" s="185">
      <c r="B111" s="186" t="n"/>
      <c r="C111" s="186" t="n"/>
      <c r="D111" s="186" t="n"/>
    </row>
    <row r="112" customFormat="1" s="185" thickBot="1">
      <c r="B112" s="186" t="inlineStr">
        <is>
          <t>Margin Tier 2</t>
        </is>
      </c>
      <c r="C112" s="186" t="n"/>
      <c r="D112" s="186" t="n"/>
      <c r="U112" s="200" t="inlineStr">
        <is>
          <t>Year 1 Average</t>
        </is>
      </c>
      <c r="V112" s="200" t="inlineStr">
        <is>
          <t>Stabilized</t>
        </is>
      </c>
    </row>
    <row r="113" customFormat="1" s="185">
      <c r="B113" s="199" t="inlineStr">
        <is>
          <t>Single Studio Hot</t>
        </is>
      </c>
      <c r="C113" s="191" t="inlineStr">
        <is>
          <t>Finance &amp; Policy Expenses</t>
        </is>
      </c>
      <c r="D113" s="191" t="inlineStr">
        <is>
          <t>Single Studio Hot</t>
        </is>
      </c>
      <c r="E113" s="330" t="n"/>
      <c r="F113" s="330" t="n"/>
      <c r="G113" s="330" t="n"/>
      <c r="H113" s="330" t="n"/>
      <c r="I113" s="189">
        <f>(I17-I101)/I11</f>
        <v/>
      </c>
      <c r="J113" s="189">
        <f>(J17-J101)/J11</f>
        <v/>
      </c>
      <c r="K113" s="189">
        <f>(K17-K101)/K11</f>
        <v/>
      </c>
      <c r="L113" s="189">
        <f>(L17-L101)/L11</f>
        <v/>
      </c>
      <c r="M113" s="189">
        <f>(M17-M101)/M11</f>
        <v/>
      </c>
      <c r="N113" s="189">
        <f>(N17-N101)/N11</f>
        <v/>
      </c>
      <c r="O113" s="189">
        <f>(O17-O101)/O11</f>
        <v/>
      </c>
      <c r="P113" s="189">
        <f>(P17-P101)/P11</f>
        <v/>
      </c>
      <c r="Q113" s="189">
        <f>(Q17-Q101)/Q11</f>
        <v/>
      </c>
      <c r="R113" s="189">
        <f>(R17-R101)/R11</f>
        <v/>
      </c>
      <c r="S113" s="189">
        <f>(S17-S101)/S11</f>
        <v/>
      </c>
      <c r="T113" s="189">
        <f>(T17-T101)/T11</f>
        <v/>
      </c>
      <c r="U113" s="198">
        <f>AVERAGE(I113:T113)</f>
        <v/>
      </c>
      <c r="V113" s="197">
        <f>T113</f>
        <v/>
      </c>
    </row>
    <row r="114" customFormat="1" s="185">
      <c r="B114" s="196" t="inlineStr">
        <is>
          <t>Single Studio Warm</t>
        </is>
      </c>
      <c r="C114" s="191" t="inlineStr">
        <is>
          <t>Finance &amp; Policy Expenses</t>
        </is>
      </c>
      <c r="D114" s="191" t="inlineStr">
        <is>
          <t>Single Studio Warm</t>
        </is>
      </c>
      <c r="E114" s="330" t="n"/>
      <c r="F114" s="330" t="n"/>
      <c r="G114" s="330" t="n"/>
      <c r="H114" s="330" t="n"/>
      <c r="I114" s="189">
        <f>(I18-I102)/I12</f>
        <v/>
      </c>
      <c r="J114" s="189">
        <f>(J18-J102)/J12</f>
        <v/>
      </c>
      <c r="K114" s="189">
        <f>(K18-K102)/K12</f>
        <v/>
      </c>
      <c r="L114" s="189">
        <f>(L18-L102)/L12</f>
        <v/>
      </c>
      <c r="M114" s="189">
        <f>(M18-M102)/M12</f>
        <v/>
      </c>
      <c r="N114" s="189">
        <f>(N18-N102)/N12</f>
        <v/>
      </c>
      <c r="O114" s="189">
        <f>(O18-O102)/O12</f>
        <v/>
      </c>
      <c r="P114" s="189">
        <f>(P18-P102)/P12</f>
        <v/>
      </c>
      <c r="Q114" s="189">
        <f>(Q18-Q102)/Q12</f>
        <v/>
      </c>
      <c r="R114" s="189">
        <f>(R18-R102)/R12</f>
        <v/>
      </c>
      <c r="S114" s="189">
        <f>(S18-S102)/S12</f>
        <v/>
      </c>
      <c r="T114" s="189">
        <f>(T18-T102)/T12</f>
        <v/>
      </c>
      <c r="U114" s="194">
        <f>AVERAGE(I114:T114)</f>
        <v/>
      </c>
      <c r="V114" s="193">
        <f>T114</f>
        <v/>
      </c>
    </row>
    <row r="115" customFormat="1" s="185">
      <c r="B115" s="195" t="inlineStr">
        <is>
          <t>Single Studio Cool</t>
        </is>
      </c>
      <c r="C115" s="191" t="inlineStr">
        <is>
          <t>Finance &amp; Policy Expenses</t>
        </is>
      </c>
      <c r="D115" s="191" t="inlineStr">
        <is>
          <t>Single Studio Cool</t>
        </is>
      </c>
      <c r="E115" s="330" t="n"/>
      <c r="F115" s="330" t="n"/>
      <c r="G115" s="330" t="n"/>
      <c r="H115" s="330" t="n"/>
      <c r="I115" s="189">
        <f>(I19-I103)/I13</f>
        <v/>
      </c>
      <c r="J115" s="189">
        <f>(J19-J103)/J13</f>
        <v/>
      </c>
      <c r="K115" s="189">
        <f>(K19-K103)/K13</f>
        <v/>
      </c>
      <c r="L115" s="189">
        <f>(L19-L103)/L13</f>
        <v/>
      </c>
      <c r="M115" s="189">
        <f>(M19-M103)/M13</f>
        <v/>
      </c>
      <c r="N115" s="189">
        <f>(N19-N103)/N13</f>
        <v/>
      </c>
      <c r="O115" s="189">
        <f>(O19-O103)/O13</f>
        <v/>
      </c>
      <c r="P115" s="189">
        <f>(P19-P103)/P13</f>
        <v/>
      </c>
      <c r="Q115" s="189">
        <f>(Q19-Q103)/Q13</f>
        <v/>
      </c>
      <c r="R115" s="189">
        <f>(R19-R103)/R13</f>
        <v/>
      </c>
      <c r="S115" s="189">
        <f>(S19-S103)/S13</f>
        <v/>
      </c>
      <c r="T115" s="189">
        <f>(T19-T103)/T13</f>
        <v/>
      </c>
      <c r="U115" s="194">
        <f>AVERAGE(I115:T115)</f>
        <v/>
      </c>
      <c r="V115" s="193">
        <f>T115</f>
        <v/>
      </c>
    </row>
    <row r="116" ht="17" customFormat="1" customHeight="1" s="185" thickBot="1">
      <c r="B116" s="192" t="inlineStr">
        <is>
          <t xml:space="preserve">Double Studio </t>
        </is>
      </c>
      <c r="C116" s="191" t="inlineStr">
        <is>
          <t>Finance &amp; Policy Expenses</t>
        </is>
      </c>
      <c r="D116" s="191" t="inlineStr">
        <is>
          <t xml:space="preserve">Double Studio </t>
        </is>
      </c>
      <c r="E116" s="330" t="n"/>
      <c r="F116" s="330" t="n"/>
      <c r="G116" s="330" t="n"/>
      <c r="H116" s="330" t="n"/>
      <c r="I116" s="189">
        <f>(I20-I104)/I14</f>
        <v/>
      </c>
      <c r="J116" s="189">
        <f>(J20-J104)/J14</f>
        <v/>
      </c>
      <c r="K116" s="189">
        <f>(K20-K104)/K14</f>
        <v/>
      </c>
      <c r="L116" s="189">
        <f>(L20-L104)/L14</f>
        <v/>
      </c>
      <c r="M116" s="189">
        <f>(M20-M104)/M14</f>
        <v/>
      </c>
      <c r="N116" s="189">
        <f>(N20-N104)/N14</f>
        <v/>
      </c>
      <c r="O116" s="189">
        <f>(O20-O104)/O14</f>
        <v/>
      </c>
      <c r="P116" s="189">
        <f>(P20-P104)/P14</f>
        <v/>
      </c>
      <c r="Q116" s="189">
        <f>(Q20-Q104)/Q14</f>
        <v/>
      </c>
      <c r="R116" s="189">
        <f>(R20-R104)/R14</f>
        <v/>
      </c>
      <c r="S116" s="189">
        <f>(S20-S104)/S14</f>
        <v/>
      </c>
      <c r="T116" s="189">
        <f>(T20-T104)/T14</f>
        <v/>
      </c>
      <c r="U116" s="188">
        <f>AVERAGE(I116:T116)</f>
        <v/>
      </c>
      <c r="V116" s="187">
        <f>T116</f>
        <v/>
      </c>
    </row>
    <row r="117" ht="15" customFormat="1" customHeight="1" s="185">
      <c r="B117" s="186" t="n"/>
      <c r="C117" s="186" t="n"/>
      <c r="D117" s="186" t="n"/>
    </row>
    <row r="118" ht="15" customFormat="1" customHeight="1" s="185">
      <c r="B118" s="186" t="n"/>
      <c r="C118" s="186" t="n"/>
      <c r="D118" s="186" t="n"/>
    </row>
    <row r="119" ht="15" customFormat="1" customHeight="1" s="185">
      <c r="B119" s="186" t="n"/>
      <c r="C119" s="186" t="n"/>
      <c r="D119" s="186" t="n"/>
    </row>
    <row r="120" ht="15" customFormat="1" customHeight="1" s="185">
      <c r="B120" s="186" t="n"/>
      <c r="C120" s="186" t="n"/>
      <c r="D120" s="186" t="n"/>
    </row>
    <row r="121" ht="15" customFormat="1" customHeight="1" s="185">
      <c r="A121" s="185" t="inlineStr">
        <is>
          <t>Tier 1</t>
        </is>
      </c>
      <c r="B121" s="186" t="n"/>
      <c r="C121" s="186" t="n"/>
      <c r="D121" s="186" t="n"/>
    </row>
    <row r="122" ht="15" customFormat="1" customHeight="1" s="185">
      <c r="A122" s="185" t="inlineStr">
        <is>
          <t>Tier 2</t>
        </is>
      </c>
      <c r="B122" s="186" t="n"/>
      <c r="C122" s="186" t="n"/>
      <c r="D122" s="186" t="n"/>
    </row>
  </sheetData>
  <mergeCells count="4">
    <mergeCell ref="I24:T24"/>
    <mergeCell ref="I7:T7"/>
    <mergeCell ref="E24:H24"/>
    <mergeCell ref="E7:H7"/>
  </mergeCells>
  <dataValidations count="1">
    <dataValidation sqref="C11:C14 C17:C20" showDropDown="0" showInputMessage="1" showErrorMessage="1" allowBlank="1" type="list">
      <formula1>$A$121:$A$122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tabColor rgb="FFD9D9D9"/>
    <outlinePr summaryBelow="1" summaryRight="1"/>
    <pageSetUpPr/>
  </sheetPr>
  <dimension ref="B2:L303"/>
  <sheetViews>
    <sheetView showGridLines="0" topLeftCell="B51" workbookViewId="0">
      <selection activeCell="H76" sqref="H76"/>
    </sheetView>
  </sheetViews>
  <sheetFormatPr baseColWidth="10" defaultColWidth="8.83203125" defaultRowHeight="15"/>
  <cols>
    <col hidden="1" width="2" customWidth="1" style="282" min="1" max="1"/>
    <col width="50" customWidth="1" style="282" min="2" max="2"/>
    <col width="14" customWidth="1" style="282" min="3" max="10"/>
  </cols>
  <sheetData>
    <row r="2" ht="21" customHeight="1" s="282">
      <c r="B2" s="9" t="inlineStr">
        <is>
          <t>QBO Actuals (Accountant-Booked)</t>
        </is>
      </c>
    </row>
    <row r="3">
      <c r="B3" s="3" t="inlineStr">
        <is>
          <t>Source data from accountant. Read-only reference. Used in formulas via the P&amp;L tab.</t>
        </is>
      </c>
    </row>
    <row r="5" ht="16" customHeight="1" s="282">
      <c r="B5" s="10" t="inlineStr">
        <is>
          <t>P&amp;L</t>
        </is>
      </c>
      <c r="C5" s="11" t="n"/>
      <c r="D5" s="11" t="n"/>
      <c r="E5" s="11" t="n"/>
      <c r="F5" s="11" t="n"/>
      <c r="G5" s="11" t="n"/>
      <c r="H5" s="11" t="n"/>
    </row>
    <row r="6">
      <c r="B6" s="15" t="inlineStr">
        <is>
          <t>Account</t>
        </is>
      </c>
      <c r="C6" s="14" t="inlineStr">
        <is>
          <t>Jan 2026</t>
        </is>
      </c>
      <c r="D6" s="14" t="inlineStr">
        <is>
          <t>Feb 2026</t>
        </is>
      </c>
      <c r="E6" s="14" t="inlineStr">
        <is>
          <t>Mar 2026</t>
        </is>
      </c>
      <c r="F6" s="14" t="inlineStr">
        <is>
          <t>Apr 2026</t>
        </is>
      </c>
      <c r="G6" s="14" t="inlineStr">
        <is>
          <t>May 2026</t>
        </is>
      </c>
      <c r="H6" s="14" t="inlineStr">
        <is>
          <t>Jun 2026</t>
        </is>
      </c>
      <c r="I6" s="14" t="inlineStr">
        <is>
          <t>Jul 2026</t>
        </is>
      </c>
    </row>
    <row r="7">
      <c r="B7" s="18" t="inlineStr">
        <is>
          <t>401000 Sessions</t>
        </is>
      </c>
      <c r="C7" s="19" t="n">
        <v>0</v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</row>
    <row r="8">
      <c r="B8" s="18" t="inlineStr">
        <is>
          <t>401001 Machine</t>
        </is>
      </c>
      <c r="C8" s="19" t="n">
        <v>564086.17</v>
      </c>
      <c r="D8" s="19" t="n">
        <v>518893.65</v>
      </c>
      <c r="E8" s="19" t="n">
        <v>545263.48</v>
      </c>
      <c r="F8" s="19" t="n">
        <v>504657.51</v>
      </c>
      <c r="G8" s="19" t="n">
        <v>505412.24</v>
      </c>
      <c r="H8" s="19" t="n">
        <v>451336.58</v>
      </c>
      <c r="I8" s="19" t="n">
        <v>447338.99</v>
      </c>
    </row>
    <row r="9">
      <c r="B9" s="18" t="inlineStr">
        <is>
          <t>401002 Private Pilates</t>
        </is>
      </c>
      <c r="C9" s="19" t="n">
        <v>81456.55</v>
      </c>
      <c r="D9" s="19" t="n">
        <v>83665.87</v>
      </c>
      <c r="E9" s="19" t="n">
        <v>90674.99000000001</v>
      </c>
      <c r="F9" s="19" t="n">
        <v>79854.69</v>
      </c>
      <c r="G9" s="19" t="n">
        <v>72713.87</v>
      </c>
      <c r="H9" s="19" t="n">
        <v>76071.77</v>
      </c>
      <c r="I9" s="19" t="n">
        <v>72430.22</v>
      </c>
    </row>
    <row r="10">
      <c r="B10" s="18" t="inlineStr">
        <is>
          <t>401003 Class Pass</t>
        </is>
      </c>
      <c r="C10" s="19" t="n">
        <v>206440.45</v>
      </c>
      <c r="D10" s="19" t="n">
        <v>182905.94</v>
      </c>
      <c r="E10" s="19" t="n">
        <v>207043.41</v>
      </c>
      <c r="F10" s="19" t="n">
        <v>197416</v>
      </c>
      <c r="G10" s="19" t="n">
        <v>180889.24</v>
      </c>
      <c r="H10" s="19" t="n">
        <v>178700.52</v>
      </c>
      <c r="I10" s="19" t="n">
        <v>171444</v>
      </c>
    </row>
    <row r="11">
      <c r="B11" s="18" t="inlineStr">
        <is>
          <t>401004 Mighty Teacher Training</t>
        </is>
      </c>
      <c r="C11" s="19" t="n">
        <v>138895.69</v>
      </c>
      <c r="D11" s="19" t="n">
        <v>73896.97</v>
      </c>
      <c r="E11" s="19" t="n">
        <v>15316.04</v>
      </c>
      <c r="F11" s="19" t="n">
        <v>0</v>
      </c>
      <c r="G11" s="19" t="n">
        <v>40398.99</v>
      </c>
      <c r="H11" s="19" t="n">
        <v>9324.66</v>
      </c>
      <c r="I11" s="19" t="n">
        <v>0</v>
      </c>
    </row>
    <row r="12">
      <c r="B12" s="18" t="inlineStr">
        <is>
          <t>401005 Livestream Classes</t>
        </is>
      </c>
      <c r="C12" s="19" t="n">
        <v>1799.08</v>
      </c>
      <c r="D12" s="19" t="n">
        <v>1778.91</v>
      </c>
      <c r="E12" s="19" t="n">
        <v>1833.2</v>
      </c>
      <c r="F12" s="19" t="n">
        <v>1652.51</v>
      </c>
      <c r="G12" s="19" t="n">
        <v>1726.18</v>
      </c>
      <c r="H12" s="19" t="n">
        <v>783.26</v>
      </c>
      <c r="I12" s="19" t="n">
        <v>1158.77</v>
      </c>
    </row>
    <row r="13">
      <c r="B13" s="18" t="inlineStr">
        <is>
          <t>401006 Wellhub</t>
        </is>
      </c>
      <c r="C13" s="19" t="n">
        <v>7526.05</v>
      </c>
      <c r="D13" s="19" t="n">
        <v>5366.31</v>
      </c>
      <c r="E13" s="19" t="n">
        <v>7617.28</v>
      </c>
      <c r="F13" s="19" t="n">
        <v>7358.11</v>
      </c>
      <c r="G13" s="19" t="n">
        <v>6207.39</v>
      </c>
      <c r="H13" s="19" t="n">
        <v>7492.79</v>
      </c>
      <c r="I13" s="19" t="n">
        <v>5905.26</v>
      </c>
    </row>
    <row r="14">
      <c r="B14" s="18" t="inlineStr">
        <is>
          <t>403000 Breakage Revenue</t>
        </is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</row>
    <row r="15">
      <c r="B15" s="18" t="inlineStr">
        <is>
          <t>403001 Machine Breakage</t>
        </is>
      </c>
      <c r="C15" s="19" t="n">
        <v>130180.44</v>
      </c>
      <c r="D15" s="19" t="n">
        <v>147627.44</v>
      </c>
      <c r="E15" s="19" t="n">
        <v>119914.69</v>
      </c>
      <c r="F15" s="19" t="n">
        <v>129315.33</v>
      </c>
      <c r="G15" s="19" t="n">
        <v>131237.63</v>
      </c>
      <c r="H15" s="19" t="n">
        <v>119554.2</v>
      </c>
      <c r="I15" s="19" t="n">
        <v>134675.23</v>
      </c>
    </row>
    <row r="16">
      <c r="B16" s="18" t="inlineStr">
        <is>
          <t>403002 Mighty Teacher Training Breakage</t>
        </is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</row>
    <row r="17">
      <c r="B17" s="18" t="inlineStr">
        <is>
          <t>403003 Private Pilates Breakage</t>
        </is>
      </c>
      <c r="C17" s="19" t="n">
        <v>8640.5</v>
      </c>
      <c r="D17" s="19" t="n">
        <v>7137.37</v>
      </c>
      <c r="E17" s="19" t="n">
        <v>11748.12</v>
      </c>
      <c r="F17" s="19" t="n">
        <v>11530.84</v>
      </c>
      <c r="G17" s="19" t="n">
        <v>8976.940000000001</v>
      </c>
      <c r="H17" s="19" t="n">
        <v>16098</v>
      </c>
      <c r="I17" s="19" t="n">
        <v>12488.67</v>
      </c>
    </row>
    <row r="18">
      <c r="B18" s="18" t="inlineStr">
        <is>
          <t>403004 Other Breakage</t>
        </is>
      </c>
      <c r="C18" s="19" t="n">
        <v>960</v>
      </c>
      <c r="D18" s="19" t="n">
        <v>687.2</v>
      </c>
      <c r="E18" s="19" t="n">
        <v>687.2</v>
      </c>
      <c r="F18" s="19" t="n">
        <v>1717</v>
      </c>
      <c r="G18" s="19" t="n">
        <v>960</v>
      </c>
      <c r="H18" s="19" t="n">
        <v>0</v>
      </c>
      <c r="I18" s="19" t="n">
        <v>35.4</v>
      </c>
    </row>
    <row r="19">
      <c r="B19" s="18" t="inlineStr">
        <is>
          <t>404000 Retail Sales</t>
        </is>
      </c>
      <c r="C19" s="19" t="n">
        <v>23308</v>
      </c>
      <c r="D19" s="19" t="n">
        <v>19847</v>
      </c>
      <c r="E19" s="19" t="n">
        <v>17655</v>
      </c>
      <c r="F19" s="19" t="n">
        <v>18479</v>
      </c>
      <c r="G19" s="19" t="n">
        <v>13825.81</v>
      </c>
      <c r="H19" s="19" t="n">
        <v>16325</v>
      </c>
      <c r="I19" s="19" t="n">
        <v>13647</v>
      </c>
    </row>
    <row r="20">
      <c r="B20" s="18" t="inlineStr">
        <is>
          <t>406000 Refunds</t>
        </is>
      </c>
      <c r="C20" s="19" t="n">
        <v>-20830.24</v>
      </c>
      <c r="D20" s="19" t="n">
        <v>-15645.66</v>
      </c>
      <c r="E20" s="19" t="n">
        <v>-16880.65</v>
      </c>
      <c r="F20" s="19" t="n">
        <v>-12793.11</v>
      </c>
      <c r="G20" s="19" t="n">
        <v>-9390.209999999999</v>
      </c>
      <c r="H20" s="19" t="n">
        <v>-16026.13</v>
      </c>
      <c r="I20" s="19" t="n">
        <v>-20059.45</v>
      </c>
    </row>
    <row r="21">
      <c r="B21" s="18" t="inlineStr">
        <is>
          <t>407000 Discounts</t>
        </is>
      </c>
      <c r="C21" s="19" t="n">
        <v>-59600.85</v>
      </c>
      <c r="D21" s="19" t="n">
        <v>-56707.91</v>
      </c>
      <c r="E21" s="19" t="n">
        <v>-53962.12</v>
      </c>
      <c r="F21" s="19" t="n">
        <v>-51310.18</v>
      </c>
      <c r="G21" s="19" t="n">
        <v>-35101.57</v>
      </c>
      <c r="H21" s="19" t="n">
        <v>-36109.75</v>
      </c>
      <c r="I21" s="19" t="n">
        <v>-43486.54</v>
      </c>
    </row>
    <row r="22">
      <c r="B22" s="18" t="inlineStr">
        <is>
          <t>501000 Product Cost</t>
        </is>
      </c>
      <c r="C22" s="19" t="n">
        <v>10902.4</v>
      </c>
      <c r="D22" s="19" t="n">
        <v>9574.799999999999</v>
      </c>
      <c r="E22" s="19" t="n">
        <v>8193.700000000001</v>
      </c>
      <c r="F22" s="19" t="n">
        <v>8508</v>
      </c>
      <c r="G22" s="19" t="n">
        <v>6250.7</v>
      </c>
      <c r="H22" s="19" t="n">
        <v>7901</v>
      </c>
      <c r="I22" s="19" t="n">
        <v>6659.1</v>
      </c>
    </row>
    <row r="23">
      <c r="B23" s="18" t="inlineStr">
        <is>
          <t>506000 Merchant Account Fees</t>
        </is>
      </c>
      <c r="C23" s="19" t="n">
        <v>27107.45</v>
      </c>
      <c r="D23" s="19" t="n">
        <v>28922.23</v>
      </c>
      <c r="E23" s="19" t="n">
        <v>26766.83</v>
      </c>
      <c r="F23" s="19" t="n">
        <v>28428.49</v>
      </c>
      <c r="G23" s="19" t="n">
        <v>20837.96</v>
      </c>
      <c r="H23" s="19" t="n">
        <v>22065.61</v>
      </c>
      <c r="I23" s="19" t="n">
        <v>22618.88</v>
      </c>
    </row>
    <row r="24">
      <c r="B24" s="18" t="inlineStr">
        <is>
          <t>601000 Sales &amp; Marketing</t>
        </is>
      </c>
      <c r="C24" s="19" t="n">
        <v>0</v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</row>
    <row r="25">
      <c r="B25" s="18" t="inlineStr">
        <is>
          <t>601001 Paid Ads</t>
        </is>
      </c>
      <c r="C25" s="19" t="n">
        <v>21945.18</v>
      </c>
      <c r="D25" s="19" t="n">
        <v>22262.49</v>
      </c>
      <c r="E25" s="19" t="n">
        <v>13576.8</v>
      </c>
      <c r="F25" s="19" t="n">
        <v>3775.58</v>
      </c>
      <c r="G25" s="19" t="n">
        <v>3737.17</v>
      </c>
      <c r="H25" s="19" t="n">
        <v>5483.76</v>
      </c>
      <c r="I25" s="19" t="n">
        <v>3766.24</v>
      </c>
    </row>
    <row r="26">
      <c r="B26" s="18" t="inlineStr">
        <is>
          <t>601005 Content Creation</t>
        </is>
      </c>
      <c r="C26" s="19" t="n">
        <v>750</v>
      </c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0</v>
      </c>
    </row>
    <row r="27">
      <c r="B27" s="18" t="inlineStr">
        <is>
          <t>601006 General Marketing</t>
        </is>
      </c>
      <c r="C27" s="19" t="n">
        <v>2245</v>
      </c>
      <c r="D27" s="19" t="n">
        <v>2245</v>
      </c>
      <c r="E27" s="19" t="n">
        <v>2245</v>
      </c>
      <c r="F27" s="19" t="n">
        <v>2200</v>
      </c>
      <c r="G27" s="19" t="n">
        <v>2245</v>
      </c>
      <c r="H27" s="19" t="n">
        <v>3196.5</v>
      </c>
      <c r="I27" s="19" t="n">
        <v>2200</v>
      </c>
    </row>
    <row r="28">
      <c r="B28" s="18" t="inlineStr">
        <is>
          <t>601007 Marketing Contractors/Agencies</t>
        </is>
      </c>
      <c r="C28" s="19" t="n">
        <v>300</v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</row>
    <row r="29">
      <c r="B29" s="18" t="inlineStr">
        <is>
          <t>601010 Website Development</t>
        </is>
      </c>
      <c r="C29" s="19" t="n">
        <v>2500</v>
      </c>
      <c r="D29" s="19" t="n">
        <v>2500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180</v>
      </c>
    </row>
    <row r="30">
      <c r="B30" s="18" t="inlineStr">
        <is>
          <t>601011 Trade Shows/Events</t>
        </is>
      </c>
      <c r="C30" s="19" t="n">
        <v>0</v>
      </c>
      <c r="D30" s="19" t="n">
        <v>0</v>
      </c>
      <c r="E30" s="19" t="n">
        <v>860</v>
      </c>
      <c r="F30" s="19" t="n">
        <v>0</v>
      </c>
      <c r="G30" s="19" t="n">
        <v>0</v>
      </c>
      <c r="H30" s="19" t="n">
        <v>0</v>
      </c>
      <c r="I30" s="19" t="n">
        <v>0</v>
      </c>
    </row>
    <row r="31">
      <c r="B31" s="18" t="inlineStr">
        <is>
          <t>602000 Payroll</t>
        </is>
      </c>
      <c r="C31" s="19" t="n">
        <v>0</v>
      </c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</row>
    <row r="32">
      <c r="B32" s="18" t="inlineStr">
        <is>
          <t>602001 Wages</t>
        </is>
      </c>
      <c r="C32" s="19" t="n">
        <v>552670.01</v>
      </c>
      <c r="D32" s="19" t="n">
        <v>503290.24</v>
      </c>
      <c r="E32" s="19" t="n">
        <v>533410.78</v>
      </c>
      <c r="F32" s="19" t="n">
        <v>489542.03</v>
      </c>
      <c r="G32" s="19" t="n">
        <v>512783.15</v>
      </c>
      <c r="H32" s="19" t="n">
        <v>478688.96</v>
      </c>
      <c r="I32" s="19" t="n">
        <v>461251.73</v>
      </c>
    </row>
    <row r="33">
      <c r="B33" s="18" t="inlineStr">
        <is>
          <t>602002 1099 Compensation</t>
        </is>
      </c>
      <c r="C33" s="19" t="n">
        <v>0</v>
      </c>
      <c r="D33" s="19" t="n">
        <v>0</v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3925.28</v>
      </c>
    </row>
    <row r="34">
      <c r="B34" s="18" t="inlineStr">
        <is>
          <t>602003 Bonus</t>
        </is>
      </c>
      <c r="C34" s="19" t="n">
        <v>0</v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</row>
    <row r="35">
      <c r="B35" s="18" t="inlineStr">
        <is>
          <t>602004 Payroll Taxes</t>
        </is>
      </c>
      <c r="C35" s="19" t="n">
        <v>88937.46000000001</v>
      </c>
      <c r="D35" s="19" t="n">
        <v>49644.07</v>
      </c>
      <c r="E35" s="19" t="n">
        <v>49584.56</v>
      </c>
      <c r="F35" s="19" t="n">
        <v>43553.81</v>
      </c>
      <c r="G35" s="19" t="n">
        <v>44252.13</v>
      </c>
      <c r="H35" s="19" t="n">
        <v>40762.11</v>
      </c>
      <c r="I35" s="19" t="n">
        <v>38982.5</v>
      </c>
    </row>
    <row r="36">
      <c r="B36" s="18" t="inlineStr">
        <is>
          <t>602005 Employee Benefits</t>
        </is>
      </c>
      <c r="C36" s="19" t="n">
        <v>6340.32</v>
      </c>
      <c r="D36" s="19" t="n">
        <v>9680.25</v>
      </c>
      <c r="E36" s="19" t="n">
        <v>8205.610000000001</v>
      </c>
      <c r="F36" s="19" t="n">
        <v>8542.58</v>
      </c>
      <c r="G36" s="19" t="n">
        <v>8069.86</v>
      </c>
      <c r="H36" s="19" t="n">
        <v>9621.030000000001</v>
      </c>
      <c r="I36" s="19" t="n">
        <v>7405.28</v>
      </c>
    </row>
    <row r="37">
      <c r="B37" s="18" t="inlineStr">
        <is>
          <t>602010 Payroll Processing Fees</t>
        </is>
      </c>
      <c r="C37" s="19" t="n">
        <v>26218.12</v>
      </c>
      <c r="D37" s="19" t="n">
        <v>25796.29</v>
      </c>
      <c r="E37" s="19" t="n">
        <v>35776.08</v>
      </c>
      <c r="F37" s="19" t="n">
        <v>23696.19</v>
      </c>
      <c r="G37" s="19" t="n">
        <v>23388.3</v>
      </c>
      <c r="H37" s="19" t="n">
        <v>23414.04</v>
      </c>
      <c r="I37" s="19" t="n">
        <v>25387.55</v>
      </c>
    </row>
    <row r="38">
      <c r="B38" s="18" t="inlineStr">
        <is>
          <t>603000 Software &amp; Web Services</t>
        </is>
      </c>
      <c r="C38" s="19" t="n">
        <v>14854.43</v>
      </c>
      <c r="D38" s="19" t="n">
        <v>15624.95</v>
      </c>
      <c r="E38" s="19" t="n">
        <v>10924.01</v>
      </c>
      <c r="F38" s="19" t="n">
        <v>23878.97</v>
      </c>
      <c r="G38" s="19" t="n">
        <v>14118.08</v>
      </c>
      <c r="H38" s="19" t="n">
        <v>12391.27</v>
      </c>
      <c r="I38" s="19" t="n">
        <v>16051.37</v>
      </c>
    </row>
    <row r="39">
      <c r="B39" s="18" t="inlineStr">
        <is>
          <t>604000 Professional Fees</t>
        </is>
      </c>
      <c r="C39" s="19" t="n">
        <v>0</v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</row>
    <row r="40">
      <c r="B40" s="18" t="inlineStr">
        <is>
          <t>604100 Legal Fees</t>
        </is>
      </c>
      <c r="C40" s="19" t="n">
        <v>2957.48</v>
      </c>
      <c r="D40" s="19" t="n">
        <v>2215.54</v>
      </c>
      <c r="E40" s="19" t="n">
        <v>3995.5</v>
      </c>
      <c r="F40" s="19" t="n">
        <v>123</v>
      </c>
      <c r="G40" s="19" t="n">
        <v>0</v>
      </c>
      <c r="H40" s="19" t="n">
        <v>770.5</v>
      </c>
      <c r="I40" s="19" t="n">
        <v>2210</v>
      </c>
    </row>
    <row r="41">
      <c r="B41" s="18" t="inlineStr">
        <is>
          <t>604200 Accounting</t>
        </is>
      </c>
      <c r="C41" s="19" t="n">
        <v>26943.5</v>
      </c>
      <c r="D41" s="19" t="n">
        <v>16038.88</v>
      </c>
      <c r="E41" s="19" t="n">
        <v>12636</v>
      </c>
      <c r="F41" s="19" t="n">
        <v>19566</v>
      </c>
      <c r="G41" s="19" t="n">
        <v>24596</v>
      </c>
      <c r="H41" s="19" t="n">
        <v>11148.28</v>
      </c>
      <c r="I41" s="19" t="n">
        <v>11454.75</v>
      </c>
    </row>
    <row r="42">
      <c r="B42" s="18" t="inlineStr">
        <is>
          <t>604300 Recruiting</t>
        </is>
      </c>
      <c r="C42" s="19" t="n">
        <v>2409.4</v>
      </c>
      <c r="D42" s="19" t="n">
        <v>270.88</v>
      </c>
      <c r="E42" s="19" t="n">
        <v>223.34</v>
      </c>
      <c r="F42" s="19" t="n">
        <v>0</v>
      </c>
      <c r="G42" s="19" t="n">
        <v>0</v>
      </c>
      <c r="H42" s="19" t="n">
        <v>0</v>
      </c>
      <c r="I42" s="19" t="n">
        <v>0</v>
      </c>
    </row>
    <row r="43">
      <c r="B43" s="18" t="inlineStr">
        <is>
          <t>604400 Other Professional Fees</t>
        </is>
      </c>
      <c r="C43" s="19" t="n">
        <v>10423.41</v>
      </c>
      <c r="D43" s="19" t="n">
        <v>5677</v>
      </c>
      <c r="E43" s="19" t="n">
        <v>5702</v>
      </c>
      <c r="F43" s="19" t="n">
        <v>5677</v>
      </c>
      <c r="G43" s="19" t="n">
        <v>5677</v>
      </c>
      <c r="H43" s="19" t="n">
        <v>9128</v>
      </c>
      <c r="I43" s="19" t="n">
        <v>8802</v>
      </c>
    </row>
    <row r="44">
      <c r="B44" s="18" t="inlineStr">
        <is>
          <t>605000 Travel (Airfare/hotel/ground trans/etc)</t>
        </is>
      </c>
      <c r="C44" s="19" t="n">
        <v>4022.3</v>
      </c>
      <c r="D44" s="19" t="n">
        <v>2474.18</v>
      </c>
      <c r="E44" s="19" t="n">
        <v>4774.34</v>
      </c>
      <c r="F44" s="19" t="n">
        <v>2593.47</v>
      </c>
      <c r="G44" s="19" t="n">
        <v>1538.27</v>
      </c>
      <c r="H44" s="19" t="n">
        <v>5113.67</v>
      </c>
      <c r="I44" s="19" t="n">
        <v>200</v>
      </c>
    </row>
    <row r="45">
      <c r="B45" s="18" t="inlineStr">
        <is>
          <t>606000 Meals</t>
        </is>
      </c>
      <c r="C45" s="19" t="n">
        <v>923.8200000000001</v>
      </c>
      <c r="D45" s="19" t="n">
        <v>889.15</v>
      </c>
      <c r="E45" s="19" t="n">
        <v>1228.02</v>
      </c>
      <c r="F45" s="19" t="n">
        <v>1393.71</v>
      </c>
      <c r="G45" s="19" t="n">
        <v>1152.55</v>
      </c>
      <c r="H45" s="19" t="n">
        <v>1172.02</v>
      </c>
      <c r="I45" s="19" t="n">
        <v>267.75</v>
      </c>
    </row>
    <row r="46">
      <c r="B46" s="18" t="inlineStr">
        <is>
          <t>607000 Entertainment</t>
        </is>
      </c>
      <c r="C46" s="19" t="n">
        <v>0</v>
      </c>
      <c r="D46" s="19" t="n">
        <v>180</v>
      </c>
      <c r="E46" s="19" t="n">
        <v>0</v>
      </c>
      <c r="F46" s="19" t="n">
        <v>0</v>
      </c>
      <c r="G46" s="19" t="n">
        <v>0</v>
      </c>
      <c r="H46" s="19" t="n">
        <v>86.76000000000001</v>
      </c>
      <c r="I46" s="19" t="n">
        <v>0</v>
      </c>
    </row>
    <row r="47">
      <c r="B47" s="18" t="inlineStr">
        <is>
          <t>608000 Insurance</t>
        </is>
      </c>
      <c r="C47" s="19" t="n">
        <v>3922.55</v>
      </c>
      <c r="D47" s="19" t="n">
        <v>3922.55</v>
      </c>
      <c r="E47" s="19" t="n">
        <v>6026.53</v>
      </c>
      <c r="F47" s="19" t="n">
        <v>5575.33</v>
      </c>
      <c r="G47" s="19" t="n">
        <v>5216.88</v>
      </c>
      <c r="H47" s="19" t="n">
        <v>4913.86</v>
      </c>
      <c r="I47" s="19" t="n">
        <v>4913.86</v>
      </c>
    </row>
    <row r="48">
      <c r="B48" s="18" t="inlineStr">
        <is>
          <t>609000 Business licenses</t>
        </is>
      </c>
      <c r="C48" s="19" t="n">
        <v>0</v>
      </c>
      <c r="D48" s="19" t="n">
        <v>0</v>
      </c>
      <c r="E48" s="19" t="n">
        <v>1005.98</v>
      </c>
      <c r="F48" s="19" t="n">
        <v>1005.98</v>
      </c>
      <c r="G48" s="19" t="n">
        <v>1261.93</v>
      </c>
      <c r="H48" s="19" t="n">
        <v>1513.01</v>
      </c>
      <c r="I48" s="19" t="n">
        <v>1261.93</v>
      </c>
    </row>
    <row r="49">
      <c r="B49" s="18" t="inlineStr">
        <is>
          <t>610000 Office Supplies &amp; General Expense</t>
        </is>
      </c>
      <c r="C49" s="19" t="n">
        <v>6503.97</v>
      </c>
      <c r="D49" s="19" t="n">
        <v>9023.540000000001</v>
      </c>
      <c r="E49" s="19" t="n">
        <v>11835.13</v>
      </c>
      <c r="F49" s="19" t="n">
        <v>6765.84</v>
      </c>
      <c r="G49" s="19" t="n">
        <v>10334.49</v>
      </c>
      <c r="H49" s="19" t="n">
        <v>7290.73</v>
      </c>
      <c r="I49" s="19" t="n">
        <v>5041.09</v>
      </c>
    </row>
    <row r="50">
      <c r="B50" s="18" t="inlineStr">
        <is>
          <t>610100 Furniture &amp; Equipment</t>
        </is>
      </c>
      <c r="C50" s="19" t="n">
        <v>1069</v>
      </c>
      <c r="D50" s="19" t="n">
        <v>485.28</v>
      </c>
      <c r="E50" s="19" t="n">
        <v>35.6</v>
      </c>
      <c r="F50" s="19" t="n">
        <v>973.98</v>
      </c>
      <c r="G50" s="19" t="n">
        <v>871.72</v>
      </c>
      <c r="H50" s="19" t="n">
        <v>3387.27</v>
      </c>
      <c r="I50" s="19" t="n">
        <v>-7.97</v>
      </c>
    </row>
    <row r="51">
      <c r="B51" s="18" t="inlineStr">
        <is>
          <t>611000 Shipping &amp; postage</t>
        </is>
      </c>
      <c r="C51" s="19" t="n">
        <v>15.6</v>
      </c>
      <c r="D51" s="19" t="n">
        <v>132.79</v>
      </c>
      <c r="E51" s="19" t="n">
        <v>142.59</v>
      </c>
      <c r="F51" s="19" t="n">
        <v>15.1</v>
      </c>
      <c r="G51" s="19" t="n">
        <v>47.36</v>
      </c>
      <c r="H51" s="19" t="n">
        <v>0</v>
      </c>
      <c r="I51" s="19" t="n">
        <v>0</v>
      </c>
    </row>
    <row r="52">
      <c r="B52" s="18" t="inlineStr">
        <is>
          <t>613000 Bank fees &amp; Service Charges</t>
        </is>
      </c>
      <c r="C52" s="19" t="n">
        <v>631.26</v>
      </c>
      <c r="D52" s="19" t="n">
        <v>646.7</v>
      </c>
      <c r="E52" s="19" t="n">
        <v>317.17</v>
      </c>
      <c r="F52" s="19" t="n">
        <v>325.83</v>
      </c>
      <c r="G52" s="19" t="n">
        <v>397.6</v>
      </c>
      <c r="H52" s="19" t="n">
        <v>642.48</v>
      </c>
      <c r="I52" s="19" t="n">
        <v>484.68</v>
      </c>
    </row>
    <row r="53">
      <c r="B53" s="18" t="inlineStr">
        <is>
          <t>615000 Parking Lot Rental</t>
        </is>
      </c>
      <c r="C53" s="19" t="n">
        <v>3905</v>
      </c>
      <c r="D53" s="19" t="n">
        <v>2700</v>
      </c>
      <c r="E53" s="19" t="n">
        <v>1866.66</v>
      </c>
      <c r="F53" s="19" t="n">
        <v>2196.66</v>
      </c>
      <c r="G53" s="19" t="n">
        <v>2196.66</v>
      </c>
      <c r="H53" s="19" t="n">
        <v>2031.66</v>
      </c>
      <c r="I53" s="19" t="n">
        <v>1866.66</v>
      </c>
    </row>
    <row r="54">
      <c r="B54" s="18" t="inlineStr">
        <is>
          <t>616000 Utilities</t>
        </is>
      </c>
      <c r="C54" s="19" t="n">
        <v>0</v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0</v>
      </c>
    </row>
    <row r="55">
      <c r="B55" s="18" t="inlineStr">
        <is>
          <t>616001 Electricity</t>
        </is>
      </c>
      <c r="C55" s="19" t="n">
        <v>2749.38</v>
      </c>
      <c r="D55" s="19" t="n">
        <v>2912.04</v>
      </c>
      <c r="E55" s="19" t="n">
        <v>2947.23</v>
      </c>
      <c r="F55" s="19" t="n">
        <v>3181.15</v>
      </c>
      <c r="G55" s="19" t="n">
        <v>2897.13</v>
      </c>
      <c r="H55" s="19" t="n">
        <v>3275.66</v>
      </c>
      <c r="I55" s="19" t="n">
        <v>3246.09</v>
      </c>
    </row>
    <row r="56">
      <c r="B56" s="18" t="inlineStr">
        <is>
          <t>616002 Internet &amp; TV services</t>
        </is>
      </c>
      <c r="C56" s="19" t="n">
        <v>1364.78</v>
      </c>
      <c r="D56" s="19" t="n">
        <v>1380.62</v>
      </c>
      <c r="E56" s="19" t="n">
        <v>1419.16</v>
      </c>
      <c r="F56" s="19" t="n">
        <v>1419.07</v>
      </c>
      <c r="G56" s="19" t="n">
        <v>1419.07</v>
      </c>
      <c r="H56" s="19" t="n">
        <v>1439.07</v>
      </c>
      <c r="I56" s="19" t="n">
        <v>1434.15</v>
      </c>
    </row>
    <row r="57">
      <c r="B57" s="18" t="inlineStr">
        <is>
          <t>616003 Phone service</t>
        </is>
      </c>
      <c r="C57" s="19" t="n">
        <v>1354.09</v>
      </c>
      <c r="D57" s="19" t="n">
        <v>4117.02</v>
      </c>
      <c r="E57" s="19" t="n">
        <v>1432.05</v>
      </c>
      <c r="F57" s="19" t="n">
        <v>1442.76</v>
      </c>
      <c r="G57" s="19" t="n">
        <v>1398.11</v>
      </c>
      <c r="H57" s="19" t="n">
        <v>1403.26</v>
      </c>
      <c r="I57" s="19" t="n">
        <v>1403.27</v>
      </c>
    </row>
    <row r="58">
      <c r="B58" s="18" t="inlineStr">
        <is>
          <t>616004 Water &amp; sewer</t>
        </is>
      </c>
      <c r="C58" s="19" t="n">
        <v>820.47</v>
      </c>
      <c r="D58" s="19" t="n">
        <v>797.27</v>
      </c>
      <c r="E58" s="19" t="n">
        <v>337.6</v>
      </c>
      <c r="F58" s="19" t="n">
        <v>1140.96</v>
      </c>
      <c r="G58" s="19" t="n">
        <v>529.21</v>
      </c>
      <c r="H58" s="19" t="n">
        <v>1333.52</v>
      </c>
      <c r="I58" s="19" t="n">
        <v>526.39</v>
      </c>
    </row>
    <row r="59">
      <c r="B59" s="18" t="inlineStr">
        <is>
          <t>616005 Disposal Services</t>
        </is>
      </c>
      <c r="C59" s="19" t="n">
        <v>440.23</v>
      </c>
      <c r="D59" s="19" t="n">
        <v>549.05</v>
      </c>
      <c r="E59" s="19" t="n">
        <v>1128.11</v>
      </c>
      <c r="F59" s="19" t="n">
        <v>540.66</v>
      </c>
      <c r="G59" s="19" t="n">
        <v>534.4400000000001</v>
      </c>
      <c r="H59" s="19" t="n">
        <v>546.79</v>
      </c>
      <c r="I59" s="19" t="n">
        <v>365.67</v>
      </c>
    </row>
    <row r="60">
      <c r="B60" s="18" t="inlineStr">
        <is>
          <t>700000 Property Costs</t>
        </is>
      </c>
      <c r="C60" s="19" t="n">
        <v>0</v>
      </c>
      <c r="D60" s="19" t="n">
        <v>0</v>
      </c>
      <c r="E60" s="19" t="n">
        <v>0</v>
      </c>
      <c r="F60" s="19" t="n">
        <v>0</v>
      </c>
      <c r="G60" s="19" t="n">
        <v>0</v>
      </c>
      <c r="H60" s="19" t="n">
        <v>0</v>
      </c>
      <c r="I60" s="19" t="n">
        <v>0</v>
      </c>
    </row>
    <row r="61">
      <c r="B61" s="18" t="inlineStr">
        <is>
          <t>701000 Rent</t>
        </is>
      </c>
      <c r="C61" s="19" t="n">
        <v>126472.53</v>
      </c>
      <c r="D61" s="19" t="n">
        <v>126472.53</v>
      </c>
      <c r="E61" s="19" t="n">
        <v>123043.96</v>
      </c>
      <c r="F61" s="19" t="n">
        <v>126472.53</v>
      </c>
      <c r="G61" s="19" t="n">
        <v>126670.74</v>
      </c>
      <c r="H61" s="19" t="n">
        <v>126472.53</v>
      </c>
      <c r="I61" s="19" t="n">
        <v>126472.53</v>
      </c>
    </row>
    <row r="62">
      <c r="B62" s="18" t="inlineStr">
        <is>
          <t>702000 Security</t>
        </is>
      </c>
      <c r="C62" s="19" t="n">
        <v>279.99</v>
      </c>
      <c r="D62" s="19" t="n">
        <v>34.99</v>
      </c>
      <c r="E62" s="19" t="n">
        <v>181</v>
      </c>
      <c r="F62" s="19" t="n">
        <v>184.99</v>
      </c>
      <c r="G62" s="19" t="n">
        <v>34.99</v>
      </c>
      <c r="H62" s="19" t="n">
        <v>398</v>
      </c>
      <c r="I62" s="19" t="n">
        <v>184.99</v>
      </c>
    </row>
    <row r="63">
      <c r="B63" s="18" t="inlineStr">
        <is>
          <t>703000 Cleaning</t>
        </is>
      </c>
      <c r="C63" s="19" t="n">
        <v>3601.54</v>
      </c>
      <c r="D63" s="19" t="n">
        <v>1896.93</v>
      </c>
      <c r="E63" s="19" t="n">
        <v>6587.34</v>
      </c>
      <c r="F63" s="19" t="n">
        <v>3766.01</v>
      </c>
      <c r="G63" s="19" t="n">
        <v>4693.81</v>
      </c>
      <c r="H63" s="19" t="n">
        <v>5036.39</v>
      </c>
      <c r="I63" s="19" t="n">
        <v>6124.42</v>
      </c>
    </row>
    <row r="64">
      <c r="B64" s="18" t="inlineStr">
        <is>
          <t>704000 Studio Repairs</t>
        </is>
      </c>
      <c r="C64" s="19" t="n">
        <v>500.97</v>
      </c>
      <c r="D64" s="19" t="n">
        <v>1340.04</v>
      </c>
      <c r="E64" s="19" t="n">
        <v>309.15</v>
      </c>
      <c r="F64" s="19" t="n">
        <v>1109.25</v>
      </c>
      <c r="G64" s="19" t="n">
        <v>178.54</v>
      </c>
      <c r="H64" s="19" t="n">
        <v>158.22</v>
      </c>
      <c r="I64" s="19" t="n">
        <v>311.71</v>
      </c>
    </row>
    <row r="65">
      <c r="B65" s="18" t="inlineStr">
        <is>
          <t>705000 Property Maintenance</t>
        </is>
      </c>
      <c r="C65" s="19" t="n">
        <v>16258.43</v>
      </c>
      <c r="D65" s="19" t="n">
        <v>16600.16</v>
      </c>
      <c r="E65" s="19" t="n">
        <v>17174.15</v>
      </c>
      <c r="F65" s="19" t="n">
        <v>16526.65</v>
      </c>
      <c r="G65" s="19" t="n">
        <v>17763.34</v>
      </c>
      <c r="H65" s="19" t="n">
        <v>16526.66</v>
      </c>
      <c r="I65" s="19" t="n">
        <v>17824.78</v>
      </c>
    </row>
    <row r="66">
      <c r="B66" s="18" t="inlineStr">
        <is>
          <t>810000 Depreciation</t>
        </is>
      </c>
      <c r="C66" s="19" t="n">
        <v>30633.94</v>
      </c>
      <c r="D66" s="19" t="n">
        <v>30685.48</v>
      </c>
      <c r="E66" s="19" t="n">
        <v>30896.66</v>
      </c>
      <c r="F66" s="19" t="n">
        <v>30913.63</v>
      </c>
      <c r="G66" s="19" t="n">
        <v>30896.66</v>
      </c>
      <c r="H66" s="19" t="n">
        <v>30940.87</v>
      </c>
      <c r="I66" s="19" t="n">
        <v>31034.35</v>
      </c>
    </row>
    <row r="67">
      <c r="B67" s="18" t="inlineStr">
        <is>
          <t>900000 Other Expense/(Income)</t>
        </is>
      </c>
      <c r="C67" s="19" t="n">
        <v>-22.9</v>
      </c>
      <c r="D67" s="19" t="n">
        <v>0</v>
      </c>
      <c r="E67" s="19" t="n">
        <v>0</v>
      </c>
      <c r="F67" s="19" t="n">
        <v>11000</v>
      </c>
      <c r="G67" s="19" t="n">
        <v>5000</v>
      </c>
      <c r="H67" s="19" t="n">
        <v>0</v>
      </c>
      <c r="I67" s="19" t="n">
        <v>0</v>
      </c>
    </row>
    <row r="68">
      <c r="B68" s="18" t="inlineStr">
        <is>
          <t>901000 Interest Expense/(Income)</t>
        </is>
      </c>
      <c r="C68" s="19" t="n">
        <v>28621.88</v>
      </c>
      <c r="D68" s="19" t="n">
        <v>28621.88</v>
      </c>
      <c r="E68" s="19" t="n">
        <v>30288.55</v>
      </c>
      <c r="F68" s="19" t="n">
        <v>33736.26</v>
      </c>
      <c r="G68" s="19" t="n">
        <v>25579.17</v>
      </c>
      <c r="H68" s="19" t="n">
        <v>46551.08</v>
      </c>
      <c r="I68" s="19" t="n">
        <v>16833.33</v>
      </c>
    </row>
    <row r="69">
      <c r="B69" s="18" t="inlineStr">
        <is>
          <t>902000 Taxes Paid</t>
        </is>
      </c>
      <c r="C69" s="19" t="n">
        <v>0</v>
      </c>
      <c r="D69" s="19" t="n">
        <v>0</v>
      </c>
      <c r="E69" s="19" t="n">
        <v>0</v>
      </c>
      <c r="F69" s="19" t="n">
        <v>0</v>
      </c>
      <c r="G69" s="19" t="n">
        <v>800</v>
      </c>
      <c r="H69" s="19" t="n">
        <v>11790</v>
      </c>
      <c r="I69" s="19" t="n">
        <v>0</v>
      </c>
    </row>
    <row r="70">
      <c r="B70" s="18" t="inlineStr">
        <is>
          <t>903000 Property taxes</t>
        </is>
      </c>
      <c r="C70" s="19" t="n">
        <v>3673</v>
      </c>
      <c r="D70" s="19" t="n">
        <v>3673</v>
      </c>
      <c r="E70" s="19" t="n">
        <v>3673</v>
      </c>
      <c r="F70" s="19" t="n">
        <v>3673</v>
      </c>
      <c r="G70" s="19" t="n">
        <v>3673</v>
      </c>
      <c r="H70" s="19" t="n">
        <v>5553.93</v>
      </c>
      <c r="I70" s="19" t="n">
        <v>4621.41</v>
      </c>
    </row>
    <row r="71">
      <c r="B71" s="18" t="inlineStr">
        <is>
          <t>Cost of Goods Sold</t>
        </is>
      </c>
      <c r="C71" s="19" t="n">
        <v>0</v>
      </c>
      <c r="D71" s="19" t="n">
        <v>0</v>
      </c>
      <c r="E71" s="19" t="n">
        <v>0</v>
      </c>
      <c r="F71" s="19" t="n">
        <v>0</v>
      </c>
      <c r="G71" s="19" t="n">
        <v>0</v>
      </c>
      <c r="H71" s="19" t="n">
        <v>0</v>
      </c>
      <c r="I71" s="19" t="n">
        <v>0</v>
      </c>
    </row>
    <row r="72">
      <c r="B72" s="18" t="inlineStr">
        <is>
          <t>Cost of goods sold</t>
        </is>
      </c>
      <c r="C72" s="19" t="n">
        <v>0</v>
      </c>
      <c r="D72" s="19" t="n">
        <v>0</v>
      </c>
      <c r="E72" s="19" t="n">
        <v>0</v>
      </c>
      <c r="F72" s="19" t="n">
        <v>0</v>
      </c>
      <c r="G72" s="19" t="n">
        <v>0</v>
      </c>
      <c r="H72" s="19" t="n">
        <v>0</v>
      </c>
      <c r="I72" s="19" t="n">
        <v>0</v>
      </c>
    </row>
    <row r="73">
      <c r="B73" s="18" t="inlineStr">
        <is>
          <t>Expenses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</row>
    <row r="74">
      <c r="B74" s="18" t="inlineStr">
        <is>
          <t>Gross Profit</t>
        </is>
      </c>
      <c r="C74" s="19" t="n">
        <v>1044851.99</v>
      </c>
      <c r="D74" s="19" t="n">
        <v>930956.0600000001</v>
      </c>
      <c r="E74" s="19" t="n">
        <v>911950.11</v>
      </c>
      <c r="F74" s="19" t="n">
        <v>850941.21</v>
      </c>
      <c r="G74" s="19" t="n">
        <v>890917.85</v>
      </c>
      <c r="H74" s="19" t="n">
        <v>793734.29</v>
      </c>
      <c r="I74" s="19" t="n">
        <v>766449.5699999999</v>
      </c>
    </row>
    <row r="75">
      <c r="B75" s="18" t="inlineStr">
        <is>
          <t>Income</t>
        </is>
      </c>
      <c r="C75" s="19" t="n">
        <v>0</v>
      </c>
      <c r="D75" s="19" t="n">
        <v>0</v>
      </c>
      <c r="E75" s="19" t="n">
        <v>0</v>
      </c>
      <c r="F75" s="19" t="n">
        <v>0</v>
      </c>
      <c r="G75" s="19" t="n">
        <v>0</v>
      </c>
      <c r="H75" s="19" t="n">
        <v>0</v>
      </c>
      <c r="I75" s="19" t="n">
        <v>0</v>
      </c>
    </row>
    <row r="76">
      <c r="B76" s="18" t="inlineStr">
        <is>
          <t>Net Income</t>
        </is>
      </c>
      <c r="C76" s="19" t="n">
        <v>45869.87</v>
      </c>
      <c r="D76" s="19" t="n">
        <v>34174.06</v>
      </c>
      <c r="E76" s="19" t="n">
        <v>-13727.25</v>
      </c>
      <c r="F76" s="19" t="n">
        <v>-27476.98</v>
      </c>
      <c r="G76" s="19" t="n">
        <v>5182.31</v>
      </c>
      <c r="H76" s="19" t="n">
        <v>-80544.35000000001</v>
      </c>
      <c r="I76" s="19" t="n">
        <v>-39578.22</v>
      </c>
    </row>
    <row r="77">
      <c r="B77" s="18" t="inlineStr">
        <is>
          <t>Net Operating Income</t>
        </is>
      </c>
      <c r="C77" s="19" t="n">
        <v>108775.79</v>
      </c>
      <c r="D77" s="19" t="n">
        <v>97154.42</v>
      </c>
      <c r="E77" s="19" t="n">
        <v>51130.96</v>
      </c>
      <c r="F77" s="19" t="n">
        <v>51845.91</v>
      </c>
      <c r="G77" s="19" t="n">
        <v>71131.14</v>
      </c>
      <c r="H77" s="19" t="n">
        <v>14291.53</v>
      </c>
      <c r="I77" s="19" t="n">
        <v>12910.87</v>
      </c>
    </row>
    <row r="78">
      <c r="B78" s="18" t="inlineStr">
        <is>
          <t>Net Other Income</t>
        </is>
      </c>
      <c r="C78" s="19" t="n">
        <v>-62905.92</v>
      </c>
      <c r="D78" s="19" t="n">
        <v>-62980.36</v>
      </c>
      <c r="E78" s="19" t="n">
        <v>-64858.21</v>
      </c>
      <c r="F78" s="19" t="n">
        <v>-79322.89</v>
      </c>
      <c r="G78" s="19" t="n">
        <v>-65948.83</v>
      </c>
      <c r="H78" s="19" t="n">
        <v>-94835.88</v>
      </c>
      <c r="I78" s="19" t="n">
        <v>-52489.09</v>
      </c>
    </row>
    <row r="79">
      <c r="B79" s="18" t="inlineStr">
        <is>
          <t>Other Expenses</t>
        </is>
      </c>
      <c r="C79" s="19" t="n">
        <v>0</v>
      </c>
      <c r="D79" s="19" t="n">
        <v>0</v>
      </c>
      <c r="E79" s="19" t="n">
        <v>0</v>
      </c>
      <c r="F79" s="19" t="n">
        <v>0</v>
      </c>
      <c r="G79" s="19" t="n">
        <v>0</v>
      </c>
      <c r="H79" s="19" t="n">
        <v>0</v>
      </c>
      <c r="I79" s="19" t="n">
        <v>0</v>
      </c>
    </row>
    <row r="80">
      <c r="B80" s="18" t="inlineStr">
        <is>
          <t>Total 401000 Sessions</t>
        </is>
      </c>
      <c r="C80" s="19" t="n">
        <v>1000203.99</v>
      </c>
      <c r="D80" s="19" t="n">
        <v>866507.65</v>
      </c>
      <c r="E80" s="19" t="n">
        <v>867748.4</v>
      </c>
      <c r="F80" s="19" t="n">
        <v>790938.8199999999</v>
      </c>
      <c r="G80" s="19" t="n">
        <v>807497.91</v>
      </c>
      <c r="H80" s="19" t="n">
        <v>723859.58</v>
      </c>
      <c r="I80" s="19" t="n">
        <v>698427.24</v>
      </c>
    </row>
    <row r="81">
      <c r="B81" s="18" t="inlineStr">
        <is>
          <t>Total 403000 Breakage Revenue</t>
        </is>
      </c>
      <c r="C81" s="19" t="n">
        <v>139780.94</v>
      </c>
      <c r="D81" s="19" t="n">
        <v>155452.01</v>
      </c>
      <c r="E81" s="19" t="n">
        <v>132350.01</v>
      </c>
      <c r="F81" s="19" t="n">
        <v>142563.17</v>
      </c>
      <c r="G81" s="19" t="n">
        <v>141174.57</v>
      </c>
      <c r="H81" s="19" t="n">
        <v>135652.2</v>
      </c>
      <c r="I81" s="19" t="n">
        <v>147199.3</v>
      </c>
    </row>
    <row r="82">
      <c r="B82" s="18" t="inlineStr">
        <is>
          <t>Total 601000 Sales &amp; Marketing</t>
        </is>
      </c>
      <c r="C82" s="19" t="n">
        <v>27740.18</v>
      </c>
      <c r="D82" s="19" t="n">
        <v>27007.49</v>
      </c>
      <c r="E82" s="19" t="n">
        <v>16681.8</v>
      </c>
      <c r="F82" s="19" t="n">
        <v>5975.58</v>
      </c>
      <c r="G82" s="19" t="n">
        <v>5982.17</v>
      </c>
      <c r="H82" s="19" t="n">
        <v>8922.309999999999</v>
      </c>
      <c r="I82" s="19" t="n">
        <v>6146.24</v>
      </c>
    </row>
    <row r="83">
      <c r="B83" s="18" t="inlineStr">
        <is>
          <t>Total 602000 Payroll</t>
        </is>
      </c>
      <c r="C83" s="19" t="n">
        <v>675911.89</v>
      </c>
      <c r="D83" s="19" t="n">
        <v>590412.0600000001</v>
      </c>
      <c r="E83" s="19" t="n">
        <v>628864.73</v>
      </c>
      <c r="F83" s="19" t="n">
        <v>567244.8199999999</v>
      </c>
      <c r="G83" s="19" t="n">
        <v>590276.62</v>
      </c>
      <c r="H83" s="19" t="n">
        <v>554340.84</v>
      </c>
      <c r="I83" s="19" t="n">
        <v>536952.34</v>
      </c>
    </row>
    <row r="84">
      <c r="B84" s="18" t="inlineStr">
        <is>
          <t>Total 604000 Professional Fees</t>
        </is>
      </c>
      <c r="C84" s="19" t="n">
        <v>42733.79</v>
      </c>
      <c r="D84" s="19" t="n">
        <v>24202.3</v>
      </c>
      <c r="E84" s="19" t="n">
        <v>22556.84</v>
      </c>
      <c r="F84" s="19" t="n">
        <v>25366</v>
      </c>
      <c r="G84" s="19" t="n">
        <v>30273</v>
      </c>
      <c r="H84" s="19" t="n">
        <v>21046.78</v>
      </c>
      <c r="I84" s="19" t="n">
        <v>22466.75</v>
      </c>
    </row>
    <row r="85">
      <c r="B85" s="18" t="inlineStr">
        <is>
          <t>Total 616000 Utilities</t>
        </is>
      </c>
      <c r="C85" s="19" t="n">
        <v>6728.95</v>
      </c>
      <c r="D85" s="19" t="n">
        <v>9756</v>
      </c>
      <c r="E85" s="19" t="n">
        <v>7264.15</v>
      </c>
      <c r="F85" s="19" t="n">
        <v>7724.6</v>
      </c>
      <c r="G85" s="19" t="n">
        <v>6777.96</v>
      </c>
      <c r="H85" s="19" t="n">
        <v>7998.3</v>
      </c>
      <c r="I85" s="19" t="n">
        <v>6975.57</v>
      </c>
    </row>
    <row r="86">
      <c r="B86" s="18" t="inlineStr">
        <is>
          <t>Total 700000 Property Costs</t>
        </is>
      </c>
      <c r="C86" s="19" t="n">
        <v>147113.46</v>
      </c>
      <c r="D86" s="19" t="n">
        <v>146344.65</v>
      </c>
      <c r="E86" s="19" t="n">
        <v>147295.6</v>
      </c>
      <c r="F86" s="19" t="n">
        <v>148059.43</v>
      </c>
      <c r="G86" s="19" t="n">
        <v>149341.42</v>
      </c>
      <c r="H86" s="19" t="n">
        <v>148591.8</v>
      </c>
      <c r="I86" s="19" t="n">
        <v>150918.43</v>
      </c>
    </row>
    <row r="87">
      <c r="B87" s="18" t="inlineStr">
        <is>
          <t>Total Cost of Goods Sold</t>
        </is>
      </c>
      <c r="C87" s="19" t="n">
        <v>38009.85</v>
      </c>
      <c r="D87" s="19" t="n">
        <v>38497.03</v>
      </c>
      <c r="E87" s="19" t="n">
        <v>34960.53</v>
      </c>
      <c r="F87" s="19" t="n">
        <v>36936.49</v>
      </c>
      <c r="G87" s="19" t="n">
        <v>27088.66</v>
      </c>
      <c r="H87" s="19" t="n">
        <v>29966.61</v>
      </c>
      <c r="I87" s="19" t="n">
        <v>29277.98</v>
      </c>
    </row>
    <row r="88">
      <c r="B88" s="18" t="inlineStr">
        <is>
          <t>Total Cost of goods sold</t>
        </is>
      </c>
      <c r="C88" s="19" t="n">
        <v>38009.85</v>
      </c>
      <c r="D88" s="19" t="n">
        <v>38497.03</v>
      </c>
      <c r="E88" s="19" t="n">
        <v>34960.53</v>
      </c>
      <c r="F88" s="19" t="n">
        <v>36936.49</v>
      </c>
      <c r="G88" s="19" t="n">
        <v>27088.66</v>
      </c>
      <c r="H88" s="19" t="n">
        <v>29966.61</v>
      </c>
      <c r="I88" s="19" t="n">
        <v>6659.1</v>
      </c>
    </row>
    <row r="89">
      <c r="B89" s="18" t="inlineStr">
        <is>
          <t>Total Expenses</t>
        </is>
      </c>
      <c r="C89" s="19" t="n">
        <v>936076.2</v>
      </c>
      <c r="D89" s="19" t="n">
        <v>833801.64</v>
      </c>
      <c r="E89" s="19" t="n">
        <v>860819.15</v>
      </c>
      <c r="F89" s="19" t="n">
        <v>799095.3</v>
      </c>
      <c r="G89" s="19" t="n">
        <v>819786.71</v>
      </c>
      <c r="H89" s="19" t="n">
        <v>779442.76</v>
      </c>
      <c r="I89" s="19" t="n">
        <v>753538.7</v>
      </c>
    </row>
    <row r="90">
      <c r="B90" s="18" t="inlineStr">
        <is>
          <t>Total Income</t>
        </is>
      </c>
      <c r="C90" s="19" t="n">
        <v>1082861.84</v>
      </c>
      <c r="D90" s="19" t="n">
        <v>969453.09</v>
      </c>
      <c r="E90" s="19" t="n">
        <v>946910.64</v>
      </c>
      <c r="F90" s="19" t="n">
        <v>887877.7</v>
      </c>
      <c r="G90" s="19" t="n">
        <v>918006.51</v>
      </c>
      <c r="H90" s="19" t="n">
        <v>823700.9</v>
      </c>
      <c r="I90" s="19" t="n">
        <v>795727.55</v>
      </c>
    </row>
    <row r="91">
      <c r="B91" s="18" t="inlineStr">
        <is>
          <t>Total Other Expenses</t>
        </is>
      </c>
      <c r="C91" s="19" t="n">
        <v>62905.92</v>
      </c>
      <c r="D91" s="19" t="n">
        <v>62980.36</v>
      </c>
      <c r="E91" s="19" t="n">
        <v>64858.21</v>
      </c>
      <c r="F91" s="19" t="n">
        <v>79322.89</v>
      </c>
      <c r="G91" s="19" t="n">
        <v>65948.83</v>
      </c>
      <c r="H91" s="19" t="n">
        <v>94835.88</v>
      </c>
      <c r="I91" s="19" t="n">
        <v>52489.09</v>
      </c>
    </row>
    <row r="92">
      <c r="B92" t="inlineStr">
        <is>
          <t>401007 Off-Site</t>
        </is>
      </c>
      <c r="C92" t="n">
        <v>0</v>
      </c>
      <c r="D92" t="n">
        <v>0</v>
      </c>
      <c r="E92" t="n">
        <v>0</v>
      </c>
      <c r="F92" t="n">
        <v>0</v>
      </c>
      <c r="G92" t="n">
        <v>150</v>
      </c>
      <c r="H92" t="n">
        <v>150</v>
      </c>
      <c r="I92" t="n">
        <v>150</v>
      </c>
    </row>
    <row r="93"/>
    <row r="94" ht="16" customHeight="1" s="282">
      <c r="B94" s="10" t="inlineStr">
        <is>
          <t>Balance Sheet</t>
        </is>
      </c>
      <c r="C94" s="11" t="n"/>
      <c r="D94" s="11" t="n"/>
      <c r="E94" s="11" t="n"/>
      <c r="F94" s="11" t="n"/>
      <c r="G94" s="11" t="n"/>
      <c r="H94" s="11" t="n"/>
    </row>
    <row r="95">
      <c r="B95" s="15" t="inlineStr">
        <is>
          <t>Account</t>
        </is>
      </c>
      <c r="C95" s="14" t="inlineStr">
        <is>
          <t>Jan 2026</t>
        </is>
      </c>
      <c r="D95" s="14" t="inlineStr">
        <is>
          <t>Feb 2026</t>
        </is>
      </c>
      <c r="E95" s="14" t="inlineStr">
        <is>
          <t>Mar 2026</t>
        </is>
      </c>
      <c r="F95" s="14" t="inlineStr">
        <is>
          <t>Apr 2026</t>
        </is>
      </c>
      <c r="G95" s="14" t="inlineStr">
        <is>
          <t>May 2026</t>
        </is>
      </c>
      <c r="H95" s="14" t="inlineStr">
        <is>
          <t>Jun 2026</t>
        </is>
      </c>
      <c r="I95" s="14" t="inlineStr">
        <is>
          <t>Jul 2026</t>
        </is>
      </c>
    </row>
    <row r="96">
      <c r="B96" s="18" t="inlineStr">
        <is>
          <t>Assets</t>
        </is>
      </c>
      <c r="C96" s="19" t="n"/>
      <c r="D96" s="19" t="n"/>
      <c r="E96" s="19" t="n"/>
      <c r="F96" s="19" t="n"/>
      <c r="G96" s="19" t="n"/>
      <c r="H96" s="19" t="n"/>
      <c r="I96" s="19" t="n">
        <v>0</v>
      </c>
    </row>
    <row r="97">
      <c r="B97" s="18" t="inlineStr">
        <is>
          <t>Current Assets</t>
        </is>
      </c>
      <c r="C97" s="19" t="n"/>
      <c r="D97" s="19" t="n"/>
      <c r="E97" s="19" t="n"/>
      <c r="F97" s="19" t="n"/>
      <c r="G97" s="19" t="n"/>
      <c r="H97" s="19" t="n"/>
      <c r="I97" s="19" t="n">
        <v>0</v>
      </c>
    </row>
    <row r="98">
      <c r="B98" s="18" t="inlineStr">
        <is>
          <t>Bank Accounts</t>
        </is>
      </c>
      <c r="C98" s="19" t="n"/>
      <c r="D98" s="19" t="n"/>
      <c r="E98" s="19" t="n"/>
      <c r="F98" s="19" t="n"/>
      <c r="G98" s="19" t="n"/>
      <c r="H98" s="19" t="n"/>
      <c r="I98" s="19" t="n">
        <v>0</v>
      </c>
    </row>
    <row r="99">
      <c r="B99" s="18" t="inlineStr">
        <is>
          <t>101000 Chase Checking - 1580</t>
        </is>
      </c>
      <c r="C99" s="19" t="n">
        <v>52004.13</v>
      </c>
      <c r="D99" s="19" t="n">
        <v>121193.63</v>
      </c>
      <c r="E99" s="19" t="n">
        <v>126488.09</v>
      </c>
      <c r="F99" s="19" t="n">
        <v>359704.82</v>
      </c>
      <c r="G99" s="19" t="n">
        <v>21884.35</v>
      </c>
      <c r="H99" s="19" t="n">
        <v>44063.1</v>
      </c>
      <c r="I99" s="19" t="n">
        <v>114758.33</v>
      </c>
    </row>
    <row r="100">
      <c r="B100" s="18" t="inlineStr">
        <is>
          <t>109000 Bill.com Money Out Clearing</t>
        </is>
      </c>
      <c r="C100" s="19" t="n">
        <v>0</v>
      </c>
      <c r="D100" s="19" t="n">
        <v>0</v>
      </c>
      <c r="E100" s="19" t="n">
        <v>0</v>
      </c>
      <c r="F100" s="19" t="n">
        <v>92.28</v>
      </c>
      <c r="G100" s="19" t="n">
        <v>92.28</v>
      </c>
      <c r="H100" s="19" t="n">
        <v>0</v>
      </c>
      <c r="I100" s="19" t="n">
        <v>0</v>
      </c>
    </row>
    <row r="101">
      <c r="B101" s="18" t="inlineStr">
        <is>
          <t>133100 Merchant Clearing - Classpass</t>
        </is>
      </c>
      <c r="C101" s="19" t="n">
        <v>107730.22</v>
      </c>
      <c r="D101" s="19" t="n">
        <v>86444.78999999999</v>
      </c>
      <c r="E101" s="19" t="n">
        <v>107051.7</v>
      </c>
      <c r="F101" s="19" t="n">
        <v>98428.17999999999</v>
      </c>
      <c r="G101" s="19" t="n">
        <v>89254.53999999999</v>
      </c>
      <c r="H101" s="19" t="n">
        <v>85478.3</v>
      </c>
      <c r="I101" s="19" t="n">
        <v>92758.72</v>
      </c>
    </row>
    <row r="102">
      <c r="B102" s="18" t="inlineStr">
        <is>
          <t>133200 Merchant Clearing - Mindbody</t>
        </is>
      </c>
      <c r="C102" s="19" t="n">
        <v>27646.66</v>
      </c>
      <c r="D102" s="19" t="n">
        <v>56194.88</v>
      </c>
      <c r="E102" s="19" t="n">
        <v>5438.9</v>
      </c>
      <c r="F102" s="19" t="n">
        <v>16278.01</v>
      </c>
      <c r="G102" s="19" t="n">
        <v>64919.84</v>
      </c>
      <c r="H102" s="19" t="n">
        <v>35743.27</v>
      </c>
      <c r="I102" s="19" t="n">
        <v>20448.33</v>
      </c>
    </row>
    <row r="103">
      <c r="B103" s="18" t="inlineStr">
        <is>
          <t>133300 Merchant Clearing - Wellhub</t>
        </is>
      </c>
      <c r="C103" s="19" t="n">
        <v>4668.97</v>
      </c>
      <c r="D103" s="19" t="n">
        <v>2509.23</v>
      </c>
      <c r="E103" s="19" t="n">
        <v>4760.2</v>
      </c>
      <c r="F103" s="19" t="n">
        <v>4501.03</v>
      </c>
      <c r="G103" s="19" t="n">
        <v>3350.31</v>
      </c>
      <c r="H103" s="19" t="n">
        <v>4635.71</v>
      </c>
      <c r="I103" s="19" t="n">
        <v>3048.18</v>
      </c>
    </row>
    <row r="104">
      <c r="B104" s="18" t="inlineStr">
        <is>
          <t>Total for Bank Accounts</t>
        </is>
      </c>
      <c r="C104" s="19" t="n">
        <v>192049.98</v>
      </c>
      <c r="D104" s="19" t="n">
        <v>266342.53</v>
      </c>
      <c r="E104" s="19" t="n">
        <v>243738.89</v>
      </c>
      <c r="F104" s="19" t="n">
        <v>479004.32</v>
      </c>
      <c r="G104" s="19" t="n">
        <v>179501.32</v>
      </c>
      <c r="H104" s="19" t="n">
        <v>169920.38</v>
      </c>
      <c r="I104" s="19" t="n">
        <v>231013.56</v>
      </c>
    </row>
    <row r="105">
      <c r="B105" s="18" t="inlineStr">
        <is>
          <t>Accounts Receivable</t>
        </is>
      </c>
      <c r="C105" s="19" t="n"/>
      <c r="D105" s="19" t="n"/>
      <c r="E105" s="19" t="n"/>
      <c r="F105" s="19" t="n"/>
      <c r="G105" s="19" t="n"/>
      <c r="H105" s="19" t="n"/>
      <c r="I105" s="19" t="n">
        <v>0</v>
      </c>
    </row>
    <row r="106">
      <c r="B106" s="18" t="inlineStr">
        <is>
          <t>120000 Accounts receivable (A/R)</t>
        </is>
      </c>
      <c r="C106" s="19" t="n">
        <v>3540.52</v>
      </c>
      <c r="D106" s="19" t="n">
        <v>3540.52</v>
      </c>
      <c r="E106" s="19" t="n">
        <v>0</v>
      </c>
      <c r="F106" s="19" t="n">
        <v>0</v>
      </c>
      <c r="G106" s="19" t="n">
        <v>450</v>
      </c>
      <c r="H106" s="19" t="n">
        <v>450</v>
      </c>
      <c r="I106" s="19" t="n">
        <v>450</v>
      </c>
    </row>
    <row r="107">
      <c r="B107" s="18" t="inlineStr">
        <is>
          <t>Total for Accounts Receivable</t>
        </is>
      </c>
      <c r="C107" s="19" t="n">
        <v>3540.52</v>
      </c>
      <c r="D107" s="19" t="n">
        <v>3540.52</v>
      </c>
      <c r="E107" s="19" t="n">
        <v>0</v>
      </c>
      <c r="F107" s="19" t="n">
        <v>0</v>
      </c>
      <c r="G107" s="19" t="n">
        <v>450</v>
      </c>
      <c r="H107" s="19" t="n">
        <v>450</v>
      </c>
      <c r="I107" s="19" t="n">
        <v>450</v>
      </c>
    </row>
    <row r="108">
      <c r="B108" s="18" t="inlineStr">
        <is>
          <t>Other Current Assets</t>
        </is>
      </c>
      <c r="C108" s="19" t="n"/>
      <c r="D108" s="19" t="n"/>
      <c r="E108" s="19" t="n"/>
      <c r="F108" s="19" t="n"/>
      <c r="G108" s="19" t="n"/>
      <c r="H108" s="19" t="n"/>
      <c r="I108" s="19" t="n">
        <v>0</v>
      </c>
    </row>
    <row r="109">
      <c r="B109" s="18" t="inlineStr">
        <is>
          <t>131100 Prepaid expenses</t>
        </is>
      </c>
      <c r="C109" s="19" t="n">
        <v>40297.64</v>
      </c>
      <c r="D109" s="19" t="n">
        <v>42407.45</v>
      </c>
      <c r="E109" s="19" t="n">
        <v>43668.48</v>
      </c>
      <c r="F109" s="19" t="n">
        <v>20466.75</v>
      </c>
      <c r="G109" s="19" t="n">
        <v>32210.61</v>
      </c>
      <c r="H109" s="19" t="n">
        <v>39118.16</v>
      </c>
      <c r="I109" s="19" t="n">
        <v>33525.71</v>
      </c>
    </row>
    <row r="110">
      <c r="B110" s="18" t="inlineStr">
        <is>
          <t>131200 Other Misc Receivable</t>
        </is>
      </c>
      <c r="C110" s="19" t="n">
        <v>21837.66</v>
      </c>
      <c r="D110" s="19" t="n">
        <v>22105.75</v>
      </c>
      <c r="E110" s="19" t="n">
        <v>22105.75</v>
      </c>
      <c r="F110" s="19" t="n">
        <v>18105.75</v>
      </c>
      <c r="G110" s="19" t="n">
        <v>18105.75</v>
      </c>
      <c r="H110" s="19" t="n">
        <v>0</v>
      </c>
      <c r="I110" s="19" t="n">
        <v>0</v>
      </c>
    </row>
    <row r="111">
      <c r="B111" s="18" t="inlineStr">
        <is>
          <t>139100 Inventory Asset</t>
        </is>
      </c>
      <c r="C111" s="19" t="n">
        <v>35680.04</v>
      </c>
      <c r="D111" s="19" t="n">
        <v>30928.8</v>
      </c>
      <c r="E111" s="19" t="n">
        <v>34703.39</v>
      </c>
      <c r="F111" s="19" t="n">
        <v>30712.23</v>
      </c>
      <c r="G111" s="19" t="n">
        <v>35403.96</v>
      </c>
      <c r="H111" s="19" t="n">
        <v>39403.72</v>
      </c>
      <c r="I111" s="19" t="n">
        <v>40236.46</v>
      </c>
    </row>
    <row r="112">
      <c r="B112" s="18" t="inlineStr">
        <is>
          <t>Payments to deposit</t>
        </is>
      </c>
      <c r="C112" s="19" t="n">
        <v>0</v>
      </c>
      <c r="D112" s="19" t="n">
        <v>0</v>
      </c>
      <c r="E112" s="19" t="n">
        <v>0</v>
      </c>
      <c r="F112" s="19" t="n">
        <v>0</v>
      </c>
      <c r="G112" s="19" t="n">
        <v>0</v>
      </c>
      <c r="H112" s="19" t="n">
        <v>0</v>
      </c>
      <c r="I112" s="19" t="n">
        <v>0</v>
      </c>
    </row>
    <row r="113">
      <c r="B113" s="18" t="inlineStr">
        <is>
          <t>Total for Other Current Assets</t>
        </is>
      </c>
      <c r="C113" s="19" t="n">
        <v>97815.34</v>
      </c>
      <c r="D113" s="19" t="n">
        <v>95442</v>
      </c>
      <c r="E113" s="19" t="n">
        <v>100477.62</v>
      </c>
      <c r="F113" s="19" t="n">
        <v>69284.73</v>
      </c>
      <c r="G113" s="19" t="n">
        <v>85720.32000000001</v>
      </c>
      <c r="H113" s="19" t="n">
        <v>78521.88</v>
      </c>
      <c r="I113" s="19" t="n">
        <v>81838.45</v>
      </c>
    </row>
    <row r="114">
      <c r="B114" s="18" t="inlineStr">
        <is>
          <t>Total for Current Assets</t>
        </is>
      </c>
      <c r="C114" s="19" t="n">
        <v>293405.84</v>
      </c>
      <c r="D114" s="19" t="n">
        <v>365325.05</v>
      </c>
      <c r="E114" s="19" t="n">
        <v>344216.51</v>
      </c>
      <c r="F114" s="19" t="n">
        <v>548289.05</v>
      </c>
      <c r="G114" s="19" t="n">
        <v>265671.64</v>
      </c>
      <c r="H114" s="19" t="n">
        <v>248892.26</v>
      </c>
      <c r="I114" s="19" t="n">
        <v>313302.01</v>
      </c>
    </row>
    <row r="115">
      <c r="B115" s="18" t="inlineStr">
        <is>
          <t>Fixed Assets</t>
        </is>
      </c>
      <c r="C115" s="19" t="n"/>
      <c r="D115" s="19" t="n"/>
      <c r="E115" s="19" t="n"/>
      <c r="F115" s="19" t="n"/>
      <c r="G115" s="19" t="n"/>
      <c r="H115" s="19" t="n"/>
      <c r="I115" s="19" t="n">
        <v>0</v>
      </c>
    </row>
    <row r="116">
      <c r="B116" s="18" t="inlineStr">
        <is>
          <t>150000 Fixed Assets</t>
        </is>
      </c>
      <c r="C116" s="19" t="n"/>
      <c r="D116" s="19" t="n"/>
      <c r="E116" s="19" t="n"/>
      <c r="F116" s="19" t="n"/>
      <c r="G116" s="19" t="n"/>
      <c r="H116" s="19" t="n"/>
      <c r="I116" s="19" t="n">
        <v>0</v>
      </c>
    </row>
    <row r="117">
      <c r="B117" s="18" t="inlineStr">
        <is>
          <t>151000 Furniture &amp; Fixtures</t>
        </is>
      </c>
      <c r="C117" s="19" t="n">
        <v>130477.89</v>
      </c>
      <c r="D117" s="19" t="n">
        <v>127980.49</v>
      </c>
      <c r="E117" s="19" t="n">
        <v>127980.49</v>
      </c>
      <c r="F117" s="19" t="n">
        <v>127980.49</v>
      </c>
      <c r="G117" s="19" t="n">
        <v>127980.49</v>
      </c>
      <c r="H117" s="19" t="n">
        <v>127980.49</v>
      </c>
      <c r="I117" s="19" t="n">
        <v>127980.49</v>
      </c>
    </row>
    <row r="118">
      <c r="B118" s="18" t="inlineStr">
        <is>
          <t>152000 Computers</t>
        </is>
      </c>
      <c r="C118" s="19" t="n">
        <v>31309.14</v>
      </c>
      <c r="D118" s="19" t="n">
        <v>31309.14</v>
      </c>
      <c r="E118" s="19" t="n">
        <v>31309.14</v>
      </c>
      <c r="F118" s="19" t="n">
        <v>31309.14</v>
      </c>
      <c r="G118" s="19" t="n">
        <v>31309.14</v>
      </c>
      <c r="H118" s="19" t="n">
        <v>31309.14</v>
      </c>
      <c r="I118" s="19" t="n">
        <v>31309.14</v>
      </c>
    </row>
    <row r="119">
      <c r="B119" s="18" t="inlineStr">
        <is>
          <t>153000 Pilates Equipment</t>
        </is>
      </c>
      <c r="C119" s="19" t="n">
        <v>856876.51</v>
      </c>
      <c r="D119" s="19" t="n">
        <v>856876.51</v>
      </c>
      <c r="E119" s="19" t="n">
        <v>856876.51</v>
      </c>
      <c r="F119" s="19" t="n">
        <v>856876.51</v>
      </c>
      <c r="G119" s="19" t="n">
        <v>856876.51</v>
      </c>
      <c r="H119" s="19" t="n">
        <v>856876.51</v>
      </c>
      <c r="I119" s="19" t="n">
        <v>856876.51</v>
      </c>
    </row>
    <row r="120">
      <c r="B120" s="18" t="inlineStr">
        <is>
          <t>154000 Large Equipments</t>
        </is>
      </c>
      <c r="C120" s="19" t="n">
        <v>17521.17</v>
      </c>
      <c r="D120" s="19" t="n">
        <v>17521.17</v>
      </c>
      <c r="E120" s="19" t="n">
        <v>17521.17</v>
      </c>
      <c r="F120" s="19" t="n">
        <v>17521.17</v>
      </c>
      <c r="G120" s="19" t="n">
        <v>17521.17</v>
      </c>
      <c r="H120" s="19" t="n">
        <v>17521.17</v>
      </c>
      <c r="I120" s="19" t="n">
        <v>17521.17</v>
      </c>
    </row>
    <row r="121">
      <c r="B121" s="18" t="inlineStr">
        <is>
          <t>155000 Leasehold Improvements</t>
        </is>
      </c>
      <c r="C121" s="19" t="n"/>
      <c r="D121" s="19" t="n"/>
      <c r="E121" s="19" t="n"/>
      <c r="F121" s="19" t="n"/>
      <c r="G121" s="19" t="n"/>
      <c r="H121" s="19" t="n"/>
      <c r="I121" s="19" t="n">
        <v>0</v>
      </c>
    </row>
    <row r="122">
      <c r="B122" s="18" t="inlineStr">
        <is>
          <t>155001 Leasehold Improvements - Berkeley</t>
        </is>
      </c>
      <c r="C122" s="19" t="n">
        <v>57031.28</v>
      </c>
      <c r="D122" s="19" t="n">
        <v>57031.28</v>
      </c>
      <c r="E122" s="19" t="n">
        <v>57031.28</v>
      </c>
      <c r="F122" s="19" t="n">
        <v>57031.28</v>
      </c>
      <c r="G122" s="19" t="n">
        <v>57031.28</v>
      </c>
      <c r="H122" s="19" t="n">
        <v>57031.28</v>
      </c>
      <c r="I122" s="19" t="n">
        <v>57031.28</v>
      </c>
    </row>
    <row r="123">
      <c r="B123" s="18" t="inlineStr">
        <is>
          <t>155004 Leasehold Improvements - Danville</t>
        </is>
      </c>
      <c r="C123" s="19" t="n">
        <v>214322.14</v>
      </c>
      <c r="D123" s="19" t="n">
        <v>214322.14</v>
      </c>
      <c r="E123" s="19" t="n">
        <v>214322.14</v>
      </c>
      <c r="F123" s="19" t="n">
        <v>214322.14</v>
      </c>
      <c r="G123" s="19" t="n">
        <v>214322.14</v>
      </c>
      <c r="H123" s="19" t="n">
        <v>214322.14</v>
      </c>
      <c r="I123" s="19" t="n">
        <v>214322.14</v>
      </c>
    </row>
    <row r="124">
      <c r="B124" s="18" t="inlineStr">
        <is>
          <t>155005 Leasehold Improvements - Lafayette</t>
        </is>
      </c>
      <c r="C124" s="19" t="n">
        <v>121910</v>
      </c>
      <c r="D124" s="19" t="n">
        <v>121910</v>
      </c>
      <c r="E124" s="19" t="n">
        <v>121910</v>
      </c>
      <c r="F124" s="19" t="n">
        <v>121910</v>
      </c>
      <c r="G124" s="19" t="n">
        <v>121910</v>
      </c>
      <c r="H124" s="19" t="n">
        <v>121910</v>
      </c>
      <c r="I124" s="19" t="n">
        <v>121910</v>
      </c>
    </row>
    <row r="125">
      <c r="B125" s="18" t="inlineStr">
        <is>
          <t>155006 Leasehold Improvements - Marin</t>
        </is>
      </c>
      <c r="C125" s="19" t="n">
        <v>83300</v>
      </c>
      <c r="D125" s="19" t="n">
        <v>83300</v>
      </c>
      <c r="E125" s="19" t="n">
        <v>83300</v>
      </c>
      <c r="F125" s="19" t="n">
        <v>83300</v>
      </c>
      <c r="G125" s="19" t="n">
        <v>83300</v>
      </c>
      <c r="H125" s="19" t="n">
        <v>83300</v>
      </c>
      <c r="I125" s="19" t="n">
        <v>83300</v>
      </c>
    </row>
    <row r="126">
      <c r="B126" s="18" t="inlineStr">
        <is>
          <t>155008 Leasehold Improvements - Ocean Park</t>
        </is>
      </c>
      <c r="C126" s="19" t="n">
        <v>122865.78</v>
      </c>
      <c r="D126" s="19" t="n">
        <v>122865.78</v>
      </c>
      <c r="E126" s="19" t="n">
        <v>122865.78</v>
      </c>
      <c r="F126" s="19" t="n">
        <v>122865.78</v>
      </c>
      <c r="G126" s="19" t="n">
        <v>122865.78</v>
      </c>
      <c r="H126" s="19" t="n">
        <v>122865.78</v>
      </c>
      <c r="I126" s="19" t="n">
        <v>122865.78</v>
      </c>
    </row>
    <row r="127">
      <c r="B127" s="18" t="inlineStr">
        <is>
          <t>155010 Leasehold Improvements - Russian Hill</t>
        </is>
      </c>
      <c r="C127" s="19" t="n">
        <v>164830.92</v>
      </c>
      <c r="D127" s="19" t="n">
        <v>166898.83</v>
      </c>
      <c r="E127" s="19" t="n">
        <v>169234.83</v>
      </c>
      <c r="F127" s="19" t="n">
        <v>169234.83</v>
      </c>
      <c r="G127" s="19" t="n">
        <v>169234.83</v>
      </c>
      <c r="H127" s="19" t="n">
        <v>169234.83</v>
      </c>
      <c r="I127" s="19" t="n">
        <v>169234.83</v>
      </c>
    </row>
    <row r="128">
      <c r="B128" s="18" t="inlineStr">
        <is>
          <t>155011 Leasehold Improvements - Santa Barbara</t>
        </is>
      </c>
      <c r="C128" s="19" t="n">
        <v>134926.64</v>
      </c>
      <c r="D128" s="19" t="n">
        <v>135771.14</v>
      </c>
      <c r="E128" s="19" t="n">
        <v>135771.14</v>
      </c>
      <c r="F128" s="19" t="n">
        <v>135771.14</v>
      </c>
      <c r="G128" s="19" t="n">
        <v>135771.14</v>
      </c>
      <c r="H128" s="19" t="n">
        <v>135771.14</v>
      </c>
      <c r="I128" s="19" t="n">
        <v>135771.14</v>
      </c>
    </row>
    <row r="129">
      <c r="B129" s="18" t="inlineStr">
        <is>
          <t>155012 Leasehold Improvements- Culver</t>
        </is>
      </c>
      <c r="C129" s="19" t="n">
        <v>198250.55</v>
      </c>
      <c r="D129" s="19" t="n">
        <v>198250.55</v>
      </c>
      <c r="E129" s="19" t="n">
        <v>198250.55</v>
      </c>
      <c r="F129" s="19" t="n">
        <v>198250.55</v>
      </c>
      <c r="G129" s="19" t="n">
        <v>198250.55</v>
      </c>
      <c r="H129" s="19" t="n">
        <v>200549.75</v>
      </c>
      <c r="I129" s="19" t="n">
        <v>200549.75</v>
      </c>
    </row>
    <row r="130">
      <c r="B130" s="18" t="inlineStr">
        <is>
          <t>155014 Leasehold Improvements- Santa Monica</t>
        </is>
      </c>
      <c r="C130" s="19" t="n">
        <v>66120</v>
      </c>
      <c r="D130" s="19" t="n">
        <v>66120</v>
      </c>
      <c r="E130" s="19" t="n">
        <v>66120</v>
      </c>
      <c r="F130" s="19" t="n">
        <v>67155.5</v>
      </c>
      <c r="G130" s="19" t="n">
        <v>67155.5</v>
      </c>
      <c r="H130" s="19" t="n">
        <v>67155.5</v>
      </c>
      <c r="I130" s="19" t="n">
        <v>67155.5</v>
      </c>
    </row>
    <row r="131">
      <c r="B131" s="18" t="inlineStr">
        <is>
          <t>155015 Leasehold Improvements- Westportal</t>
        </is>
      </c>
      <c r="C131" s="19" t="n">
        <v>82312.14999999999</v>
      </c>
      <c r="D131" s="19" t="n">
        <v>88562.14999999999</v>
      </c>
      <c r="E131" s="19" t="n">
        <v>112637.15</v>
      </c>
      <c r="F131" s="19" t="n">
        <v>112637.15</v>
      </c>
      <c r="G131" s="19" t="n">
        <v>112637.15</v>
      </c>
      <c r="H131" s="19" t="n">
        <v>112637.15</v>
      </c>
      <c r="I131" s="19" t="n">
        <v>112637.15</v>
      </c>
    </row>
    <row r="132">
      <c r="B132" s="18" t="inlineStr">
        <is>
          <t>155016 Leasehold Improvements- Westwood</t>
        </is>
      </c>
      <c r="C132" s="19" t="n">
        <v>20090</v>
      </c>
      <c r="D132" s="19" t="n">
        <v>20090</v>
      </c>
      <c r="E132" s="19" t="n">
        <v>20090</v>
      </c>
      <c r="F132" s="19" t="n">
        <v>20090</v>
      </c>
      <c r="G132" s="19" t="n">
        <v>20090</v>
      </c>
      <c r="H132" s="19" t="n">
        <v>20090</v>
      </c>
      <c r="I132" s="19" t="n">
        <v>20090</v>
      </c>
    </row>
    <row r="133">
      <c r="B133" s="18" t="inlineStr">
        <is>
          <t>Total for 155000 Leasehold Improvements</t>
        </is>
      </c>
      <c r="C133" s="19" t="n">
        <v>1265959.46</v>
      </c>
      <c r="D133" s="19" t="n">
        <v>1275121.87</v>
      </c>
      <c r="E133" s="19" t="n">
        <v>1301532.87</v>
      </c>
      <c r="F133" s="19" t="n">
        <v>1302568.37</v>
      </c>
      <c r="G133" s="19" t="n">
        <v>1302568.37</v>
      </c>
      <c r="H133" s="19" t="n">
        <v>1304867.57</v>
      </c>
      <c r="I133" s="19" t="n">
        <v>1307017.57</v>
      </c>
    </row>
    <row r="134">
      <c r="B134" s="18" t="inlineStr">
        <is>
          <t>Total for 150000 Fixed Assets</t>
        </is>
      </c>
      <c r="C134" s="19" t="n">
        <v>2302144.17</v>
      </c>
      <c r="D134" s="19" t="n">
        <v>2308809.18</v>
      </c>
      <c r="E134" s="19" t="n">
        <v>2335220.18</v>
      </c>
      <c r="F134" s="19" t="n">
        <v>2336255.68</v>
      </c>
      <c r="G134" s="19" t="n">
        <v>2336255.68</v>
      </c>
      <c r="H134" s="19" t="n">
        <v>2338554.88</v>
      </c>
      <c r="I134" s="19" t="n">
        <v>2340704.88</v>
      </c>
    </row>
    <row r="135">
      <c r="B135" s="18" t="inlineStr">
        <is>
          <t>159000 Accumulated depreciation</t>
        </is>
      </c>
      <c r="C135" s="19" t="n"/>
      <c r="D135" s="19" t="n"/>
      <c r="E135" s="19" t="n"/>
      <c r="F135" s="19" t="n"/>
      <c r="G135" s="19" t="n"/>
      <c r="H135" s="19" t="n"/>
      <c r="I135" s="19" t="n">
        <v>0</v>
      </c>
    </row>
    <row r="136">
      <c r="B136" s="18" t="inlineStr">
        <is>
          <t>159001 Accumulated Furniture &amp; Fittings</t>
        </is>
      </c>
      <c r="C136" s="19" t="n">
        <v>-13159.67</v>
      </c>
      <c r="D136" s="19" t="n">
        <v>-14683.23</v>
      </c>
      <c r="E136" s="19" t="n">
        <v>-16206.79</v>
      </c>
      <c r="F136" s="19" t="n">
        <v>-17730.35</v>
      </c>
      <c r="G136" s="19" t="n">
        <v>-19253.91</v>
      </c>
      <c r="H136" s="19" t="n">
        <v>-20777.47</v>
      </c>
      <c r="I136" s="19" t="n">
        <v>-22301.03</v>
      </c>
    </row>
    <row r="137">
      <c r="B137" s="18" t="inlineStr">
        <is>
          <t>159002 Accumulated Computer</t>
        </is>
      </c>
      <c r="C137" s="19" t="n">
        <v>-5084.43</v>
      </c>
      <c r="D137" s="19" t="n">
        <v>-5606.26</v>
      </c>
      <c r="E137" s="19" t="n">
        <v>-6128.09</v>
      </c>
      <c r="F137" s="19" t="n">
        <v>-6649.92</v>
      </c>
      <c r="G137" s="19" t="n">
        <v>-7171.75</v>
      </c>
      <c r="H137" s="19" t="n">
        <v>-7693.58</v>
      </c>
      <c r="I137" s="19" t="n">
        <v>-8215.41</v>
      </c>
    </row>
    <row r="138">
      <c r="B138" s="18" t="inlineStr">
        <is>
          <t>159003 Accumulated Pilates Equipment</t>
        </is>
      </c>
      <c r="C138" s="19" t="n">
        <v>-113334.7</v>
      </c>
      <c r="D138" s="19" t="n">
        <v>-123535.61</v>
      </c>
      <c r="E138" s="19" t="n">
        <v>-133736.52</v>
      </c>
      <c r="F138" s="19" t="n">
        <v>-143937.43</v>
      </c>
      <c r="G138" s="19" t="n">
        <v>-154138.34</v>
      </c>
      <c r="H138" s="19" t="n">
        <v>-164339.25</v>
      </c>
      <c r="I138" s="19" t="n">
        <v>-174540.16</v>
      </c>
    </row>
    <row r="139">
      <c r="B139" s="18" t="inlineStr">
        <is>
          <t>159004 Accumulated Mach &amp; Equip</t>
        </is>
      </c>
      <c r="C139" s="19" t="n">
        <v>-2752.2</v>
      </c>
      <c r="D139" s="19" t="n">
        <v>-2960.78</v>
      </c>
      <c r="E139" s="19" t="n">
        <v>-3169.36</v>
      </c>
      <c r="F139" s="19" t="n">
        <v>-3377.94</v>
      </c>
      <c r="G139" s="19" t="n">
        <v>-3586.52</v>
      </c>
      <c r="H139" s="19" t="n">
        <v>-3795.1</v>
      </c>
      <c r="I139" s="19" t="n">
        <v>-4003.68</v>
      </c>
    </row>
    <row r="140">
      <c r="B140" s="18" t="inlineStr">
        <is>
          <t>159005 Accumulated Leasehold Improvements</t>
        </is>
      </c>
      <c r="C140" s="19" t="n">
        <v>-181961.39</v>
      </c>
      <c r="D140" s="19" t="n">
        <v>-200191.99</v>
      </c>
      <c r="E140" s="19" t="n">
        <v>-218633.77</v>
      </c>
      <c r="F140" s="19" t="n">
        <v>-237092.52</v>
      </c>
      <c r="G140" s="19" t="n">
        <v>-255534.3</v>
      </c>
      <c r="H140" s="19" t="n">
        <v>-274020.29</v>
      </c>
      <c r="I140" s="19" t="n">
        <v>-292599.76</v>
      </c>
    </row>
    <row r="141">
      <c r="B141" s="18" t="inlineStr">
        <is>
          <t>Total for 159000 Accumulated depreciation</t>
        </is>
      </c>
      <c r="C141" s="19" t="n">
        <v>-316292.39</v>
      </c>
      <c r="D141" s="19" t="n">
        <v>-346977.87</v>
      </c>
      <c r="E141" s="19" t="n">
        <v>-377874.53</v>
      </c>
      <c r="F141" s="19" t="n">
        <v>-408788.16</v>
      </c>
      <c r="G141" s="19" t="n">
        <v>-439684.82</v>
      </c>
      <c r="H141" s="19" t="n">
        <v>-470625.69</v>
      </c>
      <c r="I141" s="19" t="n">
        <v>-501660.04</v>
      </c>
    </row>
    <row r="142">
      <c r="B142" s="18" t="inlineStr">
        <is>
          <t>160000 Intangible Assets</t>
        </is>
      </c>
      <c r="C142" s="19" t="n"/>
      <c r="D142" s="19" t="n"/>
      <c r="E142" s="19" t="n"/>
      <c r="F142" s="19" t="n"/>
      <c r="G142" s="19" t="n"/>
      <c r="H142" s="19" t="n"/>
      <c r="I142" s="19" t="n">
        <v>0</v>
      </c>
    </row>
    <row r="143">
      <c r="B143" s="18" t="inlineStr">
        <is>
          <t>161000 Goodwill</t>
        </is>
      </c>
      <c r="C143" s="19" t="n">
        <v>9038225</v>
      </c>
      <c r="D143" s="19" t="n">
        <v>9038225</v>
      </c>
      <c r="E143" s="19" t="n">
        <v>9038225</v>
      </c>
      <c r="F143" s="19" t="n">
        <v>9038225</v>
      </c>
      <c r="G143" s="19" t="n">
        <v>9038225</v>
      </c>
      <c r="H143" s="19" t="n">
        <v>9038225</v>
      </c>
      <c r="I143" s="19" t="n">
        <v>9038225</v>
      </c>
    </row>
    <row r="144">
      <c r="B144" s="18" t="inlineStr">
        <is>
          <t>Total for 160000 Intangible Assets</t>
        </is>
      </c>
      <c r="C144" s="19" t="n">
        <v>9038225</v>
      </c>
      <c r="D144" s="19" t="n">
        <v>9038225</v>
      </c>
      <c r="E144" s="19" t="n">
        <v>9038225</v>
      </c>
      <c r="F144" s="19" t="n">
        <v>9038225</v>
      </c>
      <c r="G144" s="19" t="n">
        <v>9038225</v>
      </c>
      <c r="H144" s="19" t="n">
        <v>9038225</v>
      </c>
      <c r="I144" s="19" t="n">
        <v>9038225</v>
      </c>
    </row>
    <row r="145">
      <c r="B145" s="18" t="inlineStr">
        <is>
          <t>Total for Fixed Assets</t>
        </is>
      </c>
      <c r="C145" s="19" t="n">
        <v>11024076.78</v>
      </c>
      <c r="D145" s="19" t="n">
        <v>11000056.31</v>
      </c>
      <c r="E145" s="19" t="n">
        <v>10995570.65</v>
      </c>
      <c r="F145" s="19" t="n">
        <v>10965692.52</v>
      </c>
      <c r="G145" s="19" t="n">
        <v>10934795.86</v>
      </c>
      <c r="H145" s="19" t="n">
        <v>10906154.19</v>
      </c>
      <c r="I145" s="19" t="n">
        <v>10877269.84</v>
      </c>
    </row>
    <row r="146">
      <c r="B146" s="18" t="inlineStr">
        <is>
          <t>Other Assets</t>
        </is>
      </c>
      <c r="C146" s="19" t="n"/>
      <c r="D146" s="19" t="n"/>
      <c r="E146" s="19" t="n"/>
      <c r="F146" s="19" t="n"/>
      <c r="G146" s="19" t="n"/>
      <c r="H146" s="19" t="n"/>
      <c r="I146" s="19" t="n">
        <v>0</v>
      </c>
    </row>
    <row r="147">
      <c r="B147" s="18" t="inlineStr">
        <is>
          <t>171000 Security deposits</t>
        </is>
      </c>
      <c r="C147" s="19" t="n">
        <v>185667.2</v>
      </c>
      <c r="D147" s="19" t="n">
        <v>185667.2</v>
      </c>
      <c r="E147" s="19" t="n">
        <v>185667.2</v>
      </c>
      <c r="F147" s="19" t="n">
        <v>185667.2</v>
      </c>
      <c r="G147" s="19" t="n">
        <v>185667.2</v>
      </c>
      <c r="H147" s="19" t="n">
        <v>185667.2</v>
      </c>
      <c r="I147" s="19" t="n">
        <v>185667.2</v>
      </c>
    </row>
    <row r="148">
      <c r="B148" s="18" t="inlineStr">
        <is>
          <t>172000 ROU Asset - Studio Leases</t>
        </is>
      </c>
      <c r="C148" s="19" t="n">
        <v>10855225.66</v>
      </c>
      <c r="D148" s="19" t="n">
        <v>10855225.66</v>
      </c>
      <c r="E148" s="19" t="n">
        <v>10855225.66</v>
      </c>
      <c r="F148" s="19" t="n">
        <v>10855225.66</v>
      </c>
      <c r="G148" s="19" t="n">
        <v>10855225.66</v>
      </c>
      <c r="H148" s="19" t="n">
        <v>10855225.66</v>
      </c>
      <c r="I148" s="19" t="n">
        <v>10855225.66</v>
      </c>
    </row>
    <row r="149">
      <c r="B149" s="18" t="inlineStr">
        <is>
          <t>172500 ROU Asset - Studio Leases - A/D</t>
        </is>
      </c>
      <c r="C149" s="19" t="n">
        <v>-1376286.48</v>
      </c>
      <c r="D149" s="19" t="n">
        <v>-1502759.01</v>
      </c>
      <c r="E149" s="19" t="n">
        <v>-1629231.54</v>
      </c>
      <c r="F149" s="19" t="n">
        <v>-1755704.07</v>
      </c>
      <c r="G149" s="19" t="n">
        <v>-1882176.6</v>
      </c>
      <c r="H149" s="19" t="n">
        <v>-2008649.13</v>
      </c>
      <c r="I149" s="19" t="n">
        <v>-2135121.66</v>
      </c>
    </row>
    <row r="150">
      <c r="B150" s="18" t="inlineStr">
        <is>
          <t>Total for 172000 ROU Asset - Studio Leases</t>
        </is>
      </c>
      <c r="C150" s="19" t="n">
        <v>9478939.18</v>
      </c>
      <c r="D150" s="19" t="n">
        <v>9352466.65</v>
      </c>
      <c r="E150" s="19" t="n">
        <v>9225994.119999999</v>
      </c>
      <c r="F150" s="19" t="n">
        <v>9099521.59</v>
      </c>
      <c r="G150" s="19" t="n">
        <v>8973049.060000001</v>
      </c>
      <c r="H150" s="19" t="n">
        <v>8846576.529999999</v>
      </c>
      <c r="I150" s="19" t="n">
        <v>8720104</v>
      </c>
    </row>
    <row r="151">
      <c r="B151" s="18" t="inlineStr">
        <is>
          <t>Total for Other Assets</t>
        </is>
      </c>
      <c r="C151" s="19" t="n">
        <v>9664606.380000001</v>
      </c>
      <c r="D151" s="19" t="n">
        <v>9538133.85</v>
      </c>
      <c r="E151" s="19" t="n">
        <v>9411661.32</v>
      </c>
      <c r="F151" s="19" t="n">
        <v>9285188.789999999</v>
      </c>
      <c r="G151" s="19" t="n">
        <v>9158716.26</v>
      </c>
      <c r="H151" s="19" t="n">
        <v>9032243.73</v>
      </c>
      <c r="I151" s="19" t="n">
        <v>8905771.199999999</v>
      </c>
    </row>
    <row r="152">
      <c r="B152" s="18" t="inlineStr">
        <is>
          <t>Total for Assets</t>
        </is>
      </c>
      <c r="C152" s="19" t="n">
        <v>20982089</v>
      </c>
      <c r="D152" s="19" t="n">
        <v>20903515.21</v>
      </c>
      <c r="E152" s="19" t="n">
        <v>20751448.48</v>
      </c>
      <c r="F152" s="19" t="n">
        <v>20799170.36</v>
      </c>
      <c r="G152" s="19" t="n">
        <v>20359183.76</v>
      </c>
      <c r="H152" s="19" t="n">
        <v>20187290.18</v>
      </c>
      <c r="I152" s="19" t="n">
        <v>20096343.05</v>
      </c>
    </row>
    <row r="153">
      <c r="B153" s="18" t="inlineStr">
        <is>
          <t>Liabilities and Equity</t>
        </is>
      </c>
      <c r="C153" s="19" t="n"/>
      <c r="D153" s="19" t="n"/>
      <c r="E153" s="19" t="n"/>
      <c r="F153" s="19" t="n"/>
      <c r="G153" s="19" t="n"/>
      <c r="H153" s="19" t="n"/>
      <c r="I153" s="19" t="n">
        <v>0</v>
      </c>
    </row>
    <row r="154">
      <c r="B154" s="18" t="inlineStr">
        <is>
          <t>Liabilities</t>
        </is>
      </c>
      <c r="C154" s="19" t="n"/>
      <c r="D154" s="19" t="n"/>
      <c r="E154" s="19" t="n"/>
      <c r="F154" s="19" t="n"/>
      <c r="G154" s="19" t="n"/>
      <c r="H154" s="19" t="n"/>
      <c r="I154" s="19" t="n">
        <v>0</v>
      </c>
    </row>
    <row r="155">
      <c r="B155" s="18" t="inlineStr">
        <is>
          <t>Current Liabilities</t>
        </is>
      </c>
      <c r="C155" s="19" t="n"/>
      <c r="D155" s="19" t="n"/>
      <c r="E155" s="19" t="n"/>
      <c r="F155" s="19" t="n"/>
      <c r="G155" s="19" t="n"/>
      <c r="H155" s="19" t="n"/>
      <c r="I155" s="19" t="n">
        <v>0</v>
      </c>
    </row>
    <row r="156">
      <c r="B156" s="18" t="inlineStr">
        <is>
          <t>Accounts Payable</t>
        </is>
      </c>
      <c r="C156" s="19" t="n"/>
      <c r="D156" s="19" t="n"/>
      <c r="E156" s="19" t="n"/>
      <c r="F156" s="19" t="n"/>
      <c r="G156" s="19" t="n"/>
      <c r="H156" s="19" t="n"/>
      <c r="I156" s="19" t="n">
        <v>0</v>
      </c>
    </row>
    <row r="157">
      <c r="B157" s="18" t="inlineStr">
        <is>
          <t>210000 Accounts Payable (A/P)</t>
        </is>
      </c>
      <c r="C157" s="19" t="n">
        <v>30532.7</v>
      </c>
      <c r="D157" s="19" t="n">
        <v>97265.84</v>
      </c>
      <c r="E157" s="19" t="n">
        <v>297089.51</v>
      </c>
      <c r="F157" s="19" t="n">
        <v>362205.55</v>
      </c>
      <c r="G157" s="19" t="n">
        <v>129980.26</v>
      </c>
      <c r="H157" s="19" t="n">
        <v>106022.41</v>
      </c>
      <c r="I157" s="19" t="n">
        <v>71052.17999999999</v>
      </c>
    </row>
    <row r="158">
      <c r="B158" s="18" t="inlineStr">
        <is>
          <t>Total for Accounts Payable</t>
        </is>
      </c>
      <c r="C158" s="19" t="n">
        <v>30532.7</v>
      </c>
      <c r="D158" s="19" t="n">
        <v>97265.84</v>
      </c>
      <c r="E158" s="19" t="n">
        <v>297089.51</v>
      </c>
      <c r="F158" s="19" t="n">
        <v>362205.55</v>
      </c>
      <c r="G158" s="19" t="n">
        <v>129980.26</v>
      </c>
      <c r="H158" s="19" t="n">
        <v>106022.41</v>
      </c>
      <c r="I158" s="19" t="n">
        <v>71052.17999999999</v>
      </c>
    </row>
    <row r="159">
      <c r="B159" s="18" t="inlineStr">
        <is>
          <t>Credit Cards</t>
        </is>
      </c>
      <c r="C159" s="19" t="n"/>
      <c r="D159" s="19" t="n"/>
      <c r="E159" s="19" t="n"/>
      <c r="F159" s="19" t="n"/>
      <c r="G159" s="19" t="n"/>
      <c r="H159" s="19" t="n"/>
      <c r="I159" s="19" t="n">
        <v>0</v>
      </c>
    </row>
    <row r="160">
      <c r="B160" s="18" t="inlineStr">
        <is>
          <t>222000 Chase Credit Cards</t>
        </is>
      </c>
      <c r="C160" s="19" t="n"/>
      <c r="D160" s="19" t="n"/>
      <c r="E160" s="19" t="n"/>
      <c r="F160" s="19" t="n"/>
      <c r="G160" s="19" t="n"/>
      <c r="H160" s="19" t="n"/>
      <c r="I160" s="19" t="n">
        <v>0</v>
      </c>
    </row>
    <row r="161">
      <c r="B161" s="18" t="inlineStr">
        <is>
          <t>222001 A. GOLDSMITH (...4303) RUSSIAN HILL</t>
        </is>
      </c>
      <c r="C161" s="19" t="n">
        <v>2404.1</v>
      </c>
      <c r="D161" s="19" t="n">
        <v>2994.76</v>
      </c>
      <c r="E161" s="19" t="n">
        <v>4843.57</v>
      </c>
      <c r="F161" s="19" t="n">
        <v>1238.75</v>
      </c>
      <c r="G161" s="19" t="n">
        <v>789</v>
      </c>
      <c r="H161" s="19" t="n">
        <v>307.95</v>
      </c>
      <c r="I161" s="19" t="n">
        <v>538.75</v>
      </c>
    </row>
    <row r="162">
      <c r="B162" s="18" t="inlineStr">
        <is>
          <t>222002 B. BASHAW (....2606) DANVILLE</t>
        </is>
      </c>
      <c r="C162" s="19" t="n">
        <v>1565.39</v>
      </c>
      <c r="D162" s="19" t="n">
        <v>1718.44</v>
      </c>
      <c r="E162" s="19" t="n">
        <v>1792.34</v>
      </c>
      <c r="F162" s="19" t="n">
        <v>1825.35</v>
      </c>
      <c r="G162" s="19" t="n">
        <v>1750.18</v>
      </c>
      <c r="H162" s="19" t="n">
        <v>2009.74</v>
      </c>
      <c r="I162" s="19" t="n">
        <v>1850.36</v>
      </c>
    </row>
    <row r="163">
      <c r="B163" s="18" t="inlineStr">
        <is>
          <t>222003 C. CLAY (....5523) OCEAN PARK</t>
        </is>
      </c>
      <c r="C163" s="19" t="n">
        <v>151.41</v>
      </c>
      <c r="D163" s="19" t="n">
        <v>739.46</v>
      </c>
      <c r="E163" s="19" t="n">
        <v>830.14</v>
      </c>
      <c r="F163" s="19" t="n">
        <v>1125.39</v>
      </c>
      <c r="G163" s="19" t="n">
        <v>416.49</v>
      </c>
      <c r="H163" s="19" t="n">
        <v>317.51</v>
      </c>
      <c r="I163" s="19" t="n">
        <v>415.78</v>
      </c>
    </row>
    <row r="164">
      <c r="B164" s="18" t="inlineStr">
        <is>
          <t>222004 C. MARTIN (...8410) CULVER CITY</t>
        </is>
      </c>
      <c r="C164" s="19" t="n">
        <v>155.81</v>
      </c>
      <c r="D164" s="19" t="n">
        <v>146.71</v>
      </c>
      <c r="E164" s="19" t="n">
        <v>400.95</v>
      </c>
      <c r="F164" s="19" t="n">
        <v>437.25</v>
      </c>
      <c r="G164" s="19" t="n">
        <v>797.61</v>
      </c>
      <c r="H164" s="19" t="n">
        <v>487.39</v>
      </c>
      <c r="I164" s="19" t="n">
        <v>484.54</v>
      </c>
    </row>
    <row r="165">
      <c r="B165" s="18" t="inlineStr">
        <is>
          <t>222005 C. WARDEIN (....5580) H/O</t>
        </is>
      </c>
      <c r="C165" s="19" t="n">
        <v>459.76</v>
      </c>
      <c r="D165" s="19" t="n">
        <v>314.95</v>
      </c>
      <c r="E165" s="19" t="n">
        <v>314.95</v>
      </c>
      <c r="F165" s="19" t="n">
        <v>314.95</v>
      </c>
      <c r="G165" s="19" t="n">
        <v>314.95</v>
      </c>
      <c r="H165" s="19" t="n">
        <v>314.95</v>
      </c>
      <c r="I165" s="19" t="n">
        <v>314.95</v>
      </c>
    </row>
    <row r="166">
      <c r="B166" s="18" t="inlineStr">
        <is>
          <t>222006 G. FRIDENBERG (...4204) WESTWOOD - Inactive</t>
        </is>
      </c>
      <c r="C166" s="19" t="n">
        <v>0</v>
      </c>
      <c r="D166" s="19" t="n">
        <v>0</v>
      </c>
      <c r="E166" s="19" t="n">
        <v>0</v>
      </c>
      <c r="F166" s="19" t="n">
        <v>0</v>
      </c>
      <c r="G166" s="19" t="n">
        <v>0</v>
      </c>
      <c r="H166" s="19" t="n">
        <v>0</v>
      </c>
      <c r="I166" s="19" t="n">
        <v>0</v>
      </c>
    </row>
    <row r="167">
      <c r="B167" s="18" t="inlineStr">
        <is>
          <t>222007 K. ABAD (...5110) LAFAYETTE</t>
        </is>
      </c>
      <c r="C167" s="19" t="n">
        <v>1619.02</v>
      </c>
      <c r="D167" s="19" t="n">
        <v>1118.99</v>
      </c>
      <c r="E167" s="19" t="n">
        <v>1021.98</v>
      </c>
      <c r="F167" s="19" t="n">
        <v>930.4</v>
      </c>
      <c r="G167" s="19" t="n">
        <v>1119.2</v>
      </c>
      <c r="H167" s="19" t="n">
        <v>1200.7</v>
      </c>
      <c r="I167" s="19" t="n">
        <v>1126.16</v>
      </c>
    </row>
    <row r="168">
      <c r="B168" s="18" t="inlineStr">
        <is>
          <t>222008 K. ROBINSON (...8230) H/O</t>
        </is>
      </c>
      <c r="C168" s="19" t="n">
        <v>21159.43</v>
      </c>
      <c r="D168" s="19" t="n">
        <v>23918.12</v>
      </c>
      <c r="E168" s="19" t="n">
        <v>18156.04</v>
      </c>
      <c r="F168" s="19" t="n">
        <v>5998.74</v>
      </c>
      <c r="G168" s="19" t="n">
        <v>10932.64</v>
      </c>
      <c r="H168" s="19" t="n">
        <v>6044.2</v>
      </c>
      <c r="I168" s="19" t="n">
        <v>6075.71</v>
      </c>
    </row>
    <row r="169">
      <c r="B169" s="18" t="inlineStr">
        <is>
          <t>222009 M. HATSUSHI (...2315) MARIN</t>
        </is>
      </c>
      <c r="C169" s="19" t="n">
        <v>232.75</v>
      </c>
      <c r="D169" s="19" t="n">
        <v>585.66</v>
      </c>
      <c r="E169" s="19" t="n">
        <v>155.91</v>
      </c>
      <c r="F169" s="19" t="n">
        <v>85.59999999999999</v>
      </c>
      <c r="G169" s="19" t="n">
        <v>278.4</v>
      </c>
      <c r="H169" s="19" t="n">
        <v>529.1799999999999</v>
      </c>
      <c r="I169" s="19" t="n">
        <v>85.59999999999999</v>
      </c>
    </row>
    <row r="170">
      <c r="B170" s="18" t="inlineStr">
        <is>
          <t>222010 N. TEUBNER (...4931) SANTA MONICA</t>
        </is>
      </c>
      <c r="C170" s="19" t="n">
        <v>2369.32</v>
      </c>
      <c r="D170" s="19" t="n">
        <v>906.1900000000001</v>
      </c>
      <c r="E170" s="19" t="n">
        <v>484.21</v>
      </c>
      <c r="F170" s="19" t="n">
        <v>1369.6</v>
      </c>
      <c r="G170" s="19" t="n">
        <v>1416.7</v>
      </c>
      <c r="H170" s="19" t="n">
        <v>1636.71</v>
      </c>
      <c r="I170" s="19" t="n">
        <v>1919.88</v>
      </c>
    </row>
    <row r="171">
      <c r="B171" s="18" t="inlineStr">
        <is>
          <t>222011 P. KOENIGS (...5219) PRESIDIO HEIGHTS - Inactive</t>
        </is>
      </c>
      <c r="C171" s="19" t="n">
        <v>0</v>
      </c>
      <c r="D171" s="19" t="n">
        <v>0</v>
      </c>
      <c r="E171" s="19" t="n">
        <v>0</v>
      </c>
      <c r="F171" s="19" t="n">
        <v>0</v>
      </c>
      <c r="G171" s="19" t="n">
        <v>0</v>
      </c>
      <c r="H171" s="19" t="n">
        <v>0</v>
      </c>
      <c r="I171" s="19" t="n">
        <v>0</v>
      </c>
    </row>
    <row r="172">
      <c r="B172" s="18" t="inlineStr">
        <is>
          <t>222012 S. CAAL-ROCA (...5045) BERKELEY</t>
        </is>
      </c>
      <c r="C172" s="19" t="n">
        <v>449.34</v>
      </c>
      <c r="D172" s="19" t="n">
        <v>802.67</v>
      </c>
      <c r="E172" s="19" t="n">
        <v>560.11</v>
      </c>
      <c r="F172" s="19" t="n">
        <v>632.59</v>
      </c>
      <c r="G172" s="19" t="n">
        <v>430.24</v>
      </c>
      <c r="H172" s="19" t="n">
        <v>2026.12</v>
      </c>
      <c r="I172" s="19" t="n">
        <v>1263.86</v>
      </c>
    </row>
    <row r="173">
      <c r="B173" s="18" t="inlineStr">
        <is>
          <t>222013 LINDSEY HYSLOP (9212) SANTA BARBARA</t>
        </is>
      </c>
      <c r="C173" s="19" t="n">
        <v>838.09</v>
      </c>
      <c r="D173" s="19" t="n">
        <v>519.85</v>
      </c>
      <c r="E173" s="19" t="n">
        <v>598.58</v>
      </c>
      <c r="F173" s="19" t="n">
        <v>819.5</v>
      </c>
      <c r="G173" s="19" t="n">
        <v>3221.87</v>
      </c>
      <c r="H173" s="19" t="n">
        <v>2470.77</v>
      </c>
      <c r="I173" s="19" t="n">
        <v>284.9</v>
      </c>
    </row>
    <row r="174">
      <c r="B174" s="18" t="inlineStr">
        <is>
          <t>222014 COSSU BRIDGET (..0566) PRESIDIO HEIGHTS</t>
        </is>
      </c>
      <c r="C174" s="19" t="n">
        <v>869.1900000000001</v>
      </c>
      <c r="D174" s="19" t="n">
        <v>393.95</v>
      </c>
      <c r="E174" s="19" t="n">
        <v>918.79</v>
      </c>
      <c r="F174" s="19" t="n">
        <v>433.36</v>
      </c>
      <c r="G174" s="19" t="n">
        <v>572.5</v>
      </c>
      <c r="H174" s="19" t="n">
        <v>1775.27</v>
      </c>
      <c r="I174" s="19" t="n">
        <v>2898.67</v>
      </c>
    </row>
    <row r="175">
      <c r="B175" s="18" t="inlineStr">
        <is>
          <t>222015 BUCHANAN CIARA (..5486) WESTWOOD</t>
        </is>
      </c>
      <c r="C175" s="19" t="n">
        <v>654.3200000000001</v>
      </c>
      <c r="D175" s="19" t="n">
        <v>4167.3</v>
      </c>
      <c r="E175" s="19" t="n">
        <v>784.15</v>
      </c>
      <c r="F175" s="19" t="n">
        <v>712.97</v>
      </c>
      <c r="G175" s="19" t="n">
        <v>1073.4</v>
      </c>
      <c r="H175" s="19" t="n">
        <v>413.5</v>
      </c>
      <c r="I175" s="19" t="n">
        <v>746.98</v>
      </c>
    </row>
    <row r="176">
      <c r="B176" s="18" t="inlineStr">
        <is>
          <t>Total for 222000 Chase Credit Cards</t>
        </is>
      </c>
      <c r="C176" s="19" t="n">
        <v>32927.93</v>
      </c>
      <c r="D176" s="19" t="n">
        <v>38327.05</v>
      </c>
      <c r="E176" s="19" t="n">
        <v>30861.72</v>
      </c>
      <c r="F176" s="19" t="n">
        <v>15924.45</v>
      </c>
      <c r="G176" s="19" t="n">
        <v>23113.18</v>
      </c>
      <c r="H176" s="19" t="n">
        <v>19533.99</v>
      </c>
      <c r="I176" s="19" t="n">
        <v>18006.14</v>
      </c>
    </row>
    <row r="177">
      <c r="B177" s="18" t="inlineStr">
        <is>
          <t>Total for Credit Cards</t>
        </is>
      </c>
      <c r="C177" s="19" t="n">
        <v>32927.93</v>
      </c>
      <c r="D177" s="19" t="n">
        <v>38327.05</v>
      </c>
      <c r="E177" s="19" t="n">
        <v>30861.72</v>
      </c>
      <c r="F177" s="19" t="n">
        <v>15924.45</v>
      </c>
      <c r="G177" s="19" t="n">
        <v>23113.18</v>
      </c>
      <c r="H177" s="19" t="n">
        <v>19533.99</v>
      </c>
      <c r="I177" s="19" t="n">
        <v>18006.14</v>
      </c>
    </row>
    <row r="178">
      <c r="B178" s="18" t="inlineStr">
        <is>
          <t>Other Current Liabilities</t>
        </is>
      </c>
      <c r="C178" s="19" t="n"/>
      <c r="D178" s="19" t="n"/>
      <c r="E178" s="19" t="n"/>
      <c r="F178" s="19" t="n"/>
      <c r="G178" s="19" t="n"/>
      <c r="H178" s="19" t="n"/>
      <c r="I178" s="19" t="n">
        <v>0</v>
      </c>
    </row>
    <row r="179">
      <c r="B179" s="18" t="inlineStr">
        <is>
          <t>231000 Reimbursement Clearing</t>
        </is>
      </c>
      <c r="C179" s="19" t="n">
        <v>5300.54</v>
      </c>
      <c r="D179" s="19" t="n">
        <v>4988.51</v>
      </c>
      <c r="E179" s="19" t="n">
        <v>3465.98</v>
      </c>
      <c r="F179" s="19" t="n">
        <v>3001.41</v>
      </c>
      <c r="G179" s="19" t="n">
        <v>2950.98</v>
      </c>
      <c r="H179" s="19" t="n">
        <v>3031.65</v>
      </c>
      <c r="I179" s="19" t="n">
        <v>0</v>
      </c>
    </row>
    <row r="180">
      <c r="B180" s="18" t="inlineStr">
        <is>
          <t>232000 401k Liability</t>
        </is>
      </c>
      <c r="C180" s="19" t="n">
        <v>-14545.88</v>
      </c>
      <c r="D180" s="19" t="n">
        <v>-14545.88</v>
      </c>
      <c r="E180" s="19" t="n">
        <v>9623.860000000001</v>
      </c>
      <c r="F180" s="19" t="n">
        <v>11415.5</v>
      </c>
      <c r="G180" s="19" t="n">
        <v>12396.76</v>
      </c>
      <c r="H180" s="19" t="n">
        <v>0</v>
      </c>
      <c r="I180" s="19" t="n">
        <v>112.56</v>
      </c>
    </row>
    <row r="181">
      <c r="B181" s="18" t="inlineStr">
        <is>
          <t>233000 Payroll Liabilities</t>
        </is>
      </c>
      <c r="C181" s="19" t="n">
        <v>80.2</v>
      </c>
      <c r="D181" s="19" t="n">
        <v>80.2</v>
      </c>
      <c r="E181" s="19" t="n">
        <v>80.2</v>
      </c>
      <c r="F181" s="19" t="n">
        <v>80.2</v>
      </c>
      <c r="G181" s="19" t="n">
        <v>80.2</v>
      </c>
      <c r="H181" s="19" t="n">
        <v>0</v>
      </c>
      <c r="I181" s="19" t="n">
        <v>0</v>
      </c>
    </row>
    <row r="182">
      <c r="B182" s="18" t="inlineStr">
        <is>
          <t>234000 Payroll Tax Liability</t>
        </is>
      </c>
      <c r="C182" s="19" t="n">
        <v>0</v>
      </c>
      <c r="D182" s="19" t="n">
        <v>0</v>
      </c>
      <c r="E182" s="19" t="n">
        <v>0</v>
      </c>
      <c r="F182" s="19" t="n">
        <v>0</v>
      </c>
      <c r="G182" s="19" t="n">
        <v>0</v>
      </c>
      <c r="H182" s="19" t="n">
        <v>0</v>
      </c>
      <c r="I182" s="19" t="n">
        <v>0</v>
      </c>
    </row>
    <row r="183">
      <c r="B183" s="18" t="inlineStr">
        <is>
          <t>235100 Accrued Expense</t>
        </is>
      </c>
      <c r="C183" s="19" t="n">
        <v>29520.32</v>
      </c>
      <c r="D183" s="19" t="n">
        <v>28865.54</v>
      </c>
      <c r="E183" s="19" t="n">
        <v>28411.16</v>
      </c>
      <c r="F183" s="19" t="n">
        <v>28181.73</v>
      </c>
      <c r="G183" s="19" t="n">
        <v>28381.73</v>
      </c>
      <c r="H183" s="19" t="n">
        <v>17903.03</v>
      </c>
      <c r="I183" s="19" t="n">
        <v>17540.78</v>
      </c>
    </row>
    <row r="184">
      <c r="B184" s="18" t="inlineStr">
        <is>
          <t>235200 Deferred/Accrued Rent</t>
        </is>
      </c>
      <c r="C184" s="19" t="n">
        <v>0</v>
      </c>
      <c r="D184" s="19" t="n">
        <v>0</v>
      </c>
      <c r="E184" s="19" t="n">
        <v>0</v>
      </c>
      <c r="F184" s="19" t="n">
        <v>0</v>
      </c>
      <c r="G184" s="19" t="n">
        <v>0</v>
      </c>
      <c r="H184" s="19" t="n">
        <v>0</v>
      </c>
      <c r="I184" s="19" t="n">
        <v>0</v>
      </c>
    </row>
    <row r="185">
      <c r="B185" s="18" t="inlineStr">
        <is>
          <t>235300 Accrued Payroll</t>
        </is>
      </c>
      <c r="C185" s="19" t="n">
        <v>217298.59</v>
      </c>
      <c r="D185" s="19" t="n">
        <v>212432.66</v>
      </c>
      <c r="E185" s="19" t="n">
        <v>35017.61</v>
      </c>
      <c r="F185" s="19" t="n">
        <v>63760.72</v>
      </c>
      <c r="G185" s="19" t="n">
        <v>123120.85</v>
      </c>
      <c r="H185" s="19" t="n">
        <v>145258.12</v>
      </c>
      <c r="I185" s="19" t="n">
        <v>188826.36</v>
      </c>
    </row>
    <row r="186">
      <c r="B186" s="18" t="inlineStr">
        <is>
          <t>236100 Sales Tax payable</t>
        </is>
      </c>
      <c r="C186" s="19" t="n">
        <v>7432.06</v>
      </c>
      <c r="D186" s="19" t="n">
        <v>4310.15</v>
      </c>
      <c r="E186" s="19" t="n">
        <v>5867</v>
      </c>
      <c r="F186" s="19" t="n">
        <v>7469.77</v>
      </c>
      <c r="G186" s="19" t="n">
        <v>2719.36</v>
      </c>
      <c r="H186" s="19" t="n">
        <v>3917.76</v>
      </c>
      <c r="I186" s="19" t="n">
        <v>3872.83</v>
      </c>
    </row>
    <row r="187">
      <c r="B187" s="18" t="inlineStr">
        <is>
          <t>237000 Deferred  Revenue</t>
        </is>
      </c>
      <c r="C187" s="19" t="n">
        <v>187235.71</v>
      </c>
      <c r="D187" s="19" t="n">
        <v>243652.95</v>
      </c>
      <c r="E187" s="19" t="n">
        <v>174025.69</v>
      </c>
      <c r="F187" s="19" t="n">
        <v>307306.98</v>
      </c>
      <c r="G187" s="19" t="n">
        <v>190054.87</v>
      </c>
      <c r="H187" s="19" t="n">
        <v>126632.21</v>
      </c>
      <c r="I187" s="19" t="n">
        <v>168054.99</v>
      </c>
    </row>
    <row r="188">
      <c r="B188" s="18" t="inlineStr">
        <is>
          <t>237100 Deferred -  Private Pilates</t>
        </is>
      </c>
      <c r="C188" s="19" t="n"/>
      <c r="D188" s="19" t="n"/>
      <c r="E188" s="19" t="n"/>
      <c r="F188" s="19" t="n"/>
      <c r="G188" s="19" t="n">
        <v>300</v>
      </c>
      <c r="H188" s="19" t="n">
        <v>150</v>
      </c>
      <c r="I188" s="19" t="n">
        <v>0</v>
      </c>
    </row>
    <row r="189">
      <c r="B189" s="18" t="inlineStr">
        <is>
          <t>Total for 237000 Deferred  Revenue</t>
        </is>
      </c>
      <c r="C189" s="19" t="n">
        <v>187235.71</v>
      </c>
      <c r="D189" s="19" t="n">
        <v>243652.95</v>
      </c>
      <c r="E189" s="19" t="n">
        <v>174025.69</v>
      </c>
      <c r="F189" s="19" t="n">
        <v>307306.98</v>
      </c>
      <c r="G189" s="19" t="n">
        <v>190354.87</v>
      </c>
      <c r="H189" s="19" t="n">
        <v>126782.21</v>
      </c>
      <c r="I189" s="19" t="n">
        <v>168054.99</v>
      </c>
    </row>
    <row r="190">
      <c r="B190" s="18" t="inlineStr">
        <is>
          <t>238000 Gift Card Liability</t>
        </is>
      </c>
      <c r="C190" s="19" t="n">
        <v>35052.38</v>
      </c>
      <c r="D190" s="19" t="n">
        <v>32468.38</v>
      </c>
      <c r="E190" s="19" t="n">
        <v>30855.38</v>
      </c>
      <c r="F190" s="19" t="n">
        <v>31760.38</v>
      </c>
      <c r="G190" s="19" t="n">
        <v>32852.38</v>
      </c>
      <c r="H190" s="19" t="n">
        <v>32260.98</v>
      </c>
      <c r="I190" s="19" t="n">
        <v>32556.98</v>
      </c>
    </row>
    <row r="191">
      <c r="B191" s="18" t="inlineStr">
        <is>
          <t>239000 ROU - Studio Lease Liabilities - S/T</t>
        </is>
      </c>
      <c r="C191" s="19" t="n">
        <v>1428793.11</v>
      </c>
      <c r="D191" s="19" t="n">
        <v>1433134.67</v>
      </c>
      <c r="E191" s="19" t="n">
        <v>1437486.06</v>
      </c>
      <c r="F191" s="19" t="n">
        <v>1441837.44</v>
      </c>
      <c r="G191" s="19" t="n">
        <v>1446188.82</v>
      </c>
      <c r="H191" s="19" t="n">
        <v>1442222.21</v>
      </c>
      <c r="I191" s="19" t="n">
        <v>1438255.6</v>
      </c>
    </row>
    <row r="192">
      <c r="B192" s="18" t="inlineStr">
        <is>
          <t>242000 MindBody Loan</t>
        </is>
      </c>
      <c r="C192" s="19" t="n">
        <v>0</v>
      </c>
      <c r="D192" s="19" t="n">
        <v>0</v>
      </c>
      <c r="E192" s="19" t="n">
        <v>0</v>
      </c>
      <c r="F192" s="19" t="n">
        <v>0</v>
      </c>
      <c r="G192" s="19" t="n">
        <v>0</v>
      </c>
      <c r="H192" s="19" t="n">
        <v>0</v>
      </c>
      <c r="I192" s="19" t="n">
        <v>0</v>
      </c>
    </row>
    <row r="193">
      <c r="B193" s="18" t="inlineStr">
        <is>
          <t>242001 MindBody Loan - SM</t>
        </is>
      </c>
      <c r="C193" s="19" t="n">
        <v>128205.59</v>
      </c>
      <c r="D193" s="19" t="n">
        <v>109073.21</v>
      </c>
      <c r="E193" s="19" t="n">
        <v>79179.17999999999</v>
      </c>
      <c r="F193" s="19" t="n">
        <v>58962.71</v>
      </c>
      <c r="G193" s="19" t="n">
        <v>33475.89</v>
      </c>
      <c r="H193" s="19" t="n">
        <v>12293.53</v>
      </c>
      <c r="I193" s="19" t="n">
        <v>0</v>
      </c>
    </row>
    <row r="194">
      <c r="B194" s="18" t="inlineStr">
        <is>
          <t>242001-1 MindBody Contra Loan - SM</t>
        </is>
      </c>
      <c r="C194" s="19" t="n">
        <v>-13615</v>
      </c>
      <c r="D194" s="19" t="n">
        <v>-9725</v>
      </c>
      <c r="E194" s="19" t="n">
        <v>-5835</v>
      </c>
      <c r="F194" s="19" t="n">
        <v>-1945</v>
      </c>
      <c r="G194" s="19" t="n">
        <v>0</v>
      </c>
      <c r="H194" s="19" t="n">
        <v>0</v>
      </c>
      <c r="I194" s="19" t="n">
        <v>0</v>
      </c>
    </row>
    <row r="195">
      <c r="B195" s="18" t="inlineStr">
        <is>
          <t>Total for 242001 MindBody Loan - SM</t>
        </is>
      </c>
      <c r="C195" s="19" t="n">
        <v>114590.59</v>
      </c>
      <c r="D195" s="19" t="n">
        <v>99348.21000000001</v>
      </c>
      <c r="E195" s="19" t="n">
        <v>73344.17999999999</v>
      </c>
      <c r="F195" s="19" t="n">
        <v>57017.71</v>
      </c>
      <c r="G195" s="19" t="n">
        <v>33475.89</v>
      </c>
      <c r="H195" s="19" t="n">
        <v>12293.53</v>
      </c>
      <c r="I195" s="19" t="n">
        <v>0</v>
      </c>
    </row>
    <row r="196">
      <c r="B196" s="18" t="inlineStr">
        <is>
          <t>242002 MindBody Loan - PH</t>
        </is>
      </c>
      <c r="C196" s="19" t="n">
        <v>81999.39</v>
      </c>
      <c r="D196" s="19" t="n">
        <v>54204.79</v>
      </c>
      <c r="E196" s="19" t="n">
        <v>39565.12</v>
      </c>
      <c r="F196" s="19" t="n">
        <v>13511.26</v>
      </c>
      <c r="G196" s="19" t="n">
        <v>0</v>
      </c>
      <c r="H196" s="19" t="n">
        <v>0</v>
      </c>
      <c r="I196" s="19" t="n">
        <v>0</v>
      </c>
    </row>
    <row r="197">
      <c r="B197" s="18" t="inlineStr">
        <is>
          <t>242002-1 MindBody Contra Loan - PH</t>
        </is>
      </c>
      <c r="C197" s="19" t="n">
        <v>-9620</v>
      </c>
      <c r="D197" s="19" t="n">
        <v>-7215</v>
      </c>
      <c r="E197" s="19" t="n">
        <v>-4810</v>
      </c>
      <c r="F197" s="19" t="n">
        <v>-2405</v>
      </c>
      <c r="G197" s="19" t="n">
        <v>0</v>
      </c>
      <c r="H197" s="19" t="n">
        <v>0</v>
      </c>
      <c r="I197" s="19" t="n">
        <v>0</v>
      </c>
    </row>
    <row r="198">
      <c r="B198" s="18" t="inlineStr">
        <is>
          <t>Total for 242002 MindBody Loan - PH</t>
        </is>
      </c>
      <c r="C198" s="19" t="n">
        <v>72379.39</v>
      </c>
      <c r="D198" s="19" t="n">
        <v>46989.79</v>
      </c>
      <c r="E198" s="19" t="n">
        <v>34755.12</v>
      </c>
      <c r="F198" s="19" t="n">
        <v>11106.26</v>
      </c>
      <c r="G198" s="19" t="n">
        <v>0</v>
      </c>
      <c r="H198" s="19" t="n">
        <v>0</v>
      </c>
      <c r="I198" s="19" t="n">
        <v>0</v>
      </c>
    </row>
    <row r="199">
      <c r="B199" s="18" t="inlineStr">
        <is>
          <t>242003 MindBody Loan - LF</t>
        </is>
      </c>
      <c r="C199" s="19" t="n">
        <v>43749.59</v>
      </c>
      <c r="D199" s="19" t="n">
        <v>24394.6</v>
      </c>
      <c r="E199" s="19" t="n">
        <v>12903.68</v>
      </c>
      <c r="F199" s="19" t="n">
        <v>0</v>
      </c>
      <c r="G199" s="19" t="n">
        <v>0</v>
      </c>
      <c r="H199" s="19" t="n">
        <v>0</v>
      </c>
      <c r="I199" s="19" t="n">
        <v>0</v>
      </c>
    </row>
    <row r="200">
      <c r="B200" s="18" t="inlineStr">
        <is>
          <t>242003-1 MindBody Contra Loan - LF</t>
        </is>
      </c>
      <c r="C200" s="19" t="n">
        <v>-5590.48</v>
      </c>
      <c r="D200" s="19" t="n">
        <v>-4192.85</v>
      </c>
      <c r="E200" s="19" t="n">
        <v>-2795.22</v>
      </c>
      <c r="F200" s="19" t="n">
        <v>0</v>
      </c>
      <c r="G200" s="19" t="n">
        <v>0</v>
      </c>
      <c r="H200" s="19" t="n">
        <v>0</v>
      </c>
      <c r="I200" s="19" t="n">
        <v>0</v>
      </c>
    </row>
    <row r="201">
      <c r="B201" s="18" t="inlineStr">
        <is>
          <t>Total for 242003 MindBody Loan - LF</t>
        </is>
      </c>
      <c r="C201" s="19" t="n">
        <v>38159.11</v>
      </c>
      <c r="D201" s="19" t="n">
        <v>20201.75</v>
      </c>
      <c r="E201" s="19" t="n">
        <v>10108.46</v>
      </c>
      <c r="F201" s="19" t="n">
        <v>0</v>
      </c>
      <c r="G201" s="19" t="n">
        <v>0</v>
      </c>
      <c r="H201" s="19" t="n">
        <v>0</v>
      </c>
      <c r="I201" s="19" t="n">
        <v>0</v>
      </c>
    </row>
    <row r="202">
      <c r="B202" s="18" t="inlineStr">
        <is>
          <t>242004 MindBody Loan - MR</t>
        </is>
      </c>
      <c r="C202" s="19" t="n">
        <v>36540.39</v>
      </c>
      <c r="D202" s="19" t="n">
        <v>19598.8</v>
      </c>
      <c r="E202" s="19" t="n">
        <v>7646.27</v>
      </c>
      <c r="F202" s="19" t="n">
        <v>0</v>
      </c>
      <c r="G202" s="19" t="n">
        <v>0</v>
      </c>
      <c r="H202" s="19" t="n">
        <v>0</v>
      </c>
      <c r="I202" s="19" t="n">
        <v>0</v>
      </c>
    </row>
    <row r="203">
      <c r="B203" s="18" t="inlineStr">
        <is>
          <t>242004-1 MindBody Contra Loan - MR</t>
        </is>
      </c>
      <c r="C203" s="19" t="n">
        <v>-6150.37</v>
      </c>
      <c r="D203" s="19" t="n">
        <v>-4783.62</v>
      </c>
      <c r="E203" s="19" t="n">
        <v>-3416.87</v>
      </c>
      <c r="F203" s="19" t="n">
        <v>0</v>
      </c>
      <c r="G203" s="19" t="n">
        <v>0</v>
      </c>
      <c r="H203" s="19" t="n">
        <v>0</v>
      </c>
      <c r="I203" s="19" t="n">
        <v>0</v>
      </c>
    </row>
    <row r="204">
      <c r="B204" s="18" t="inlineStr">
        <is>
          <t>Total for 242004 MindBody Loan - MR</t>
        </is>
      </c>
      <c r="C204" s="19" t="n">
        <v>30390.02</v>
      </c>
      <c r="D204" s="19" t="n">
        <v>14815.18</v>
      </c>
      <c r="E204" s="19" t="n">
        <v>4229.4</v>
      </c>
      <c r="F204" s="19" t="n">
        <v>0</v>
      </c>
      <c r="G204" s="19" t="n">
        <v>0</v>
      </c>
      <c r="H204" s="19" t="n">
        <v>0</v>
      </c>
      <c r="I204" s="19" t="n">
        <v>0</v>
      </c>
    </row>
    <row r="205">
      <c r="B205" s="18" t="inlineStr">
        <is>
          <t>Total for 242000 MindBody Loan</t>
        </is>
      </c>
      <c r="C205" s="19" t="n">
        <v>255519.11</v>
      </c>
      <c r="D205" s="19" t="n">
        <v>181354.93</v>
      </c>
      <c r="E205" s="19" t="n">
        <v>122437.16</v>
      </c>
      <c r="F205" s="19" t="n">
        <v>68123.97</v>
      </c>
      <c r="G205" s="19" t="n">
        <v>33475.89</v>
      </c>
      <c r="H205" s="19" t="n">
        <v>12293.53</v>
      </c>
      <c r="I205" s="19" t="n">
        <v>0</v>
      </c>
    </row>
    <row r="206">
      <c r="B206" s="18" t="inlineStr">
        <is>
          <t>242100 Samson Loan</t>
        </is>
      </c>
      <c r="C206" s="19" t="n">
        <v>205426.16</v>
      </c>
      <c r="D206" s="19" t="n">
        <v>189034.12</v>
      </c>
      <c r="E206" s="19" t="n">
        <v>154505.72</v>
      </c>
      <c r="F206" s="19" t="n">
        <v>129045.5</v>
      </c>
      <c r="G206" s="19" t="n">
        <v>94517.10000000001</v>
      </c>
      <c r="H206" s="19" t="n">
        <v>264669.87</v>
      </c>
      <c r="I206" s="19" t="n">
        <v>237240.38</v>
      </c>
    </row>
    <row r="207">
      <c r="B207" s="18" t="inlineStr">
        <is>
          <t>242200 Specialty Capital Loan</t>
        </is>
      </c>
      <c r="C207" s="19" t="n">
        <v>187921.05</v>
      </c>
      <c r="D207" s="19" t="n">
        <v>165407.89</v>
      </c>
      <c r="E207" s="19" t="n">
        <v>135078.94</v>
      </c>
      <c r="F207" s="19" t="n">
        <v>112565.78</v>
      </c>
      <c r="G207" s="19" t="n">
        <v>90052.62</v>
      </c>
      <c r="H207" s="19" t="n">
        <v>59723.67</v>
      </c>
      <c r="I207" s="19" t="n">
        <v>37210.51</v>
      </c>
    </row>
    <row r="208">
      <c r="B208" s="18" t="inlineStr">
        <is>
          <t>242300 Khary Loan #1</t>
        </is>
      </c>
      <c r="C208" s="19" t="n"/>
      <c r="D208" s="19" t="n"/>
      <c r="E208" s="19" t="n">
        <v>100000</v>
      </c>
      <c r="F208" s="19" t="n">
        <v>100000</v>
      </c>
      <c r="G208" s="19" t="n">
        <v>100000</v>
      </c>
      <c r="H208" s="19" t="n">
        <v>100000</v>
      </c>
      <c r="I208" s="19" t="n">
        <v>100000</v>
      </c>
    </row>
    <row r="209">
      <c r="B209" s="18" t="inlineStr">
        <is>
          <t>242400 Khary Loan #2</t>
        </is>
      </c>
      <c r="C209" s="19" t="n"/>
      <c r="D209" s="19" t="n"/>
      <c r="E209" s="19" t="n"/>
      <c r="F209" s="19" t="n">
        <v>80000</v>
      </c>
      <c r="G209" s="19" t="n">
        <v>130000</v>
      </c>
      <c r="H209" s="19" t="n">
        <v>130000</v>
      </c>
      <c r="I209" s="19" t="n">
        <v>250000</v>
      </c>
    </row>
    <row r="210">
      <c r="B210" s="18" t="inlineStr">
        <is>
          <t>242500 Cricket Loan</t>
        </is>
      </c>
      <c r="C210" s="19" t="n">
        <v>35000</v>
      </c>
      <c r="D210" s="19" t="n">
        <v>35000</v>
      </c>
      <c r="E210" s="19" t="n">
        <v>35000</v>
      </c>
      <c r="F210" s="19" t="n">
        <v>35000</v>
      </c>
      <c r="G210" s="19" t="n">
        <v>35000</v>
      </c>
      <c r="H210" s="19" t="n">
        <v>35000</v>
      </c>
      <c r="I210" s="19" t="n">
        <v>35000</v>
      </c>
    </row>
    <row r="211">
      <c r="B211" s="18" t="inlineStr">
        <is>
          <t>242600 Intercompany Reimbursable - Norbrook</t>
        </is>
      </c>
      <c r="C211" s="19" t="n">
        <v>62318</v>
      </c>
      <c r="D211" s="19" t="n">
        <v>27318</v>
      </c>
      <c r="E211" s="19" t="n">
        <v>62318</v>
      </c>
      <c r="F211" s="19" t="n">
        <v>62318</v>
      </c>
      <c r="G211" s="19" t="n">
        <v>62318</v>
      </c>
      <c r="H211" s="19" t="n">
        <v>62318</v>
      </c>
      <c r="I211" s="19" t="n">
        <v>62318</v>
      </c>
    </row>
    <row r="212">
      <c r="B212" s="18" t="inlineStr">
        <is>
          <t>242700 Intercompany Reimbursable - Cricket</t>
        </is>
      </c>
      <c r="C212" s="19" t="n">
        <v>62318</v>
      </c>
      <c r="D212" s="19" t="n">
        <v>62318</v>
      </c>
      <c r="E212" s="19" t="n">
        <v>62318</v>
      </c>
      <c r="F212" s="19" t="n">
        <v>62318</v>
      </c>
      <c r="G212" s="19" t="n">
        <v>62318</v>
      </c>
      <c r="H212" s="19" t="n">
        <v>62318</v>
      </c>
      <c r="I212" s="19" t="n">
        <v>24455.04</v>
      </c>
    </row>
    <row r="213">
      <c r="B213" s="18" t="inlineStr">
        <is>
          <t>242800 Norbrook Loan</t>
        </is>
      </c>
      <c r="C213" s="19" t="n">
        <v>65000</v>
      </c>
      <c r="D213" s="19" t="n">
        <v>100000</v>
      </c>
      <c r="E213" s="19" t="n">
        <v>100000</v>
      </c>
      <c r="F213" s="19" t="n">
        <v>100000</v>
      </c>
      <c r="G213" s="19" t="n">
        <v>100000</v>
      </c>
      <c r="H213" s="19" t="n">
        <v>100000</v>
      </c>
      <c r="I213" s="19" t="n">
        <v>100000</v>
      </c>
    </row>
    <row r="214">
      <c r="B214" s="18" t="inlineStr">
        <is>
          <t>California Department of Tax and Fee Administration Payable</t>
        </is>
      </c>
      <c r="C214" s="19" t="n">
        <v>0</v>
      </c>
      <c r="D214" s="19" t="n">
        <v>0</v>
      </c>
      <c r="E214" s="19" t="n">
        <v>0</v>
      </c>
      <c r="F214" s="19" t="n">
        <v>0</v>
      </c>
      <c r="G214" s="19" t="n">
        <v>0</v>
      </c>
      <c r="H214" s="19" t="n">
        <v>0</v>
      </c>
      <c r="I214" s="19" t="n">
        <v>0</v>
      </c>
    </row>
    <row r="215">
      <c r="B215" s="18" t="inlineStr">
        <is>
          <t>Total for Other Current Liabilities</t>
        </is>
      </c>
      <c r="C215" s="19" t="n">
        <v>2769669.35</v>
      </c>
      <c r="D215" s="19" t="n">
        <v>2705820.12</v>
      </c>
      <c r="E215" s="19" t="n">
        <v>2496490.76</v>
      </c>
      <c r="F215" s="19" t="n">
        <v>2644185.38</v>
      </c>
      <c r="G215" s="19" t="n">
        <v>2546727.56</v>
      </c>
      <c r="H215" s="19" t="n">
        <v>2597699.03</v>
      </c>
      <c r="I215" s="19" t="n">
        <v>2698444.03</v>
      </c>
    </row>
    <row r="216">
      <c r="B216" s="18" t="inlineStr">
        <is>
          <t>Total for Current Liabilities</t>
        </is>
      </c>
      <c r="C216" s="19" t="n">
        <v>2833129.98</v>
      </c>
      <c r="D216" s="19" t="n">
        <v>2841413.01</v>
      </c>
      <c r="E216" s="19" t="n">
        <v>2824441.99</v>
      </c>
      <c r="F216" s="19" t="n">
        <v>3022315.38</v>
      </c>
      <c r="G216" s="19" t="n">
        <v>2699821</v>
      </c>
      <c r="H216" s="19" t="n">
        <v>2723255.43</v>
      </c>
      <c r="I216" s="19" t="n">
        <v>2787502.35</v>
      </c>
    </row>
    <row r="217">
      <c r="B217" s="18" t="inlineStr">
        <is>
          <t>Long-term Liabilities</t>
        </is>
      </c>
      <c r="C217" s="19" t="n"/>
      <c r="D217" s="19" t="n"/>
      <c r="E217" s="19" t="n"/>
      <c r="F217" s="19" t="n"/>
      <c r="G217" s="19" t="n"/>
      <c r="H217" s="19" t="n"/>
      <c r="I217" s="19" t="n">
        <v>0</v>
      </c>
    </row>
    <row r="218">
      <c r="B218" s="18" t="inlineStr">
        <is>
          <t>240000 ROU - Studio Lease Liabilities - L/T</t>
        </is>
      </c>
      <c r="C218" s="19" t="n">
        <v>8336996.52</v>
      </c>
      <c r="D218" s="19" t="n">
        <v>8215965.64</v>
      </c>
      <c r="E218" s="19" t="n">
        <v>8094597.18</v>
      </c>
      <c r="F218" s="19" t="n">
        <v>7971922.65</v>
      </c>
      <c r="G218" s="19" t="n">
        <v>7849248.12</v>
      </c>
      <c r="H218" s="19" t="n">
        <v>7734464.46</v>
      </c>
      <c r="I218" s="19" t="n">
        <v>7619680.8</v>
      </c>
    </row>
    <row r="219">
      <c r="B219" s="18" t="inlineStr">
        <is>
          <t>245000 Contingent  Liability</t>
        </is>
      </c>
      <c r="C219" s="19" t="n">
        <v>1300000</v>
      </c>
      <c r="D219" s="19" t="n">
        <v>1300000</v>
      </c>
      <c r="E219" s="19" t="n">
        <v>1300000</v>
      </c>
      <c r="F219" s="19" t="n">
        <v>1300000</v>
      </c>
      <c r="G219" s="19" t="n">
        <v>1300000</v>
      </c>
      <c r="H219" s="19" t="n">
        <v>1300000</v>
      </c>
      <c r="I219" s="19" t="n">
        <v>1300000</v>
      </c>
    </row>
    <row r="220">
      <c r="B220" s="18" t="inlineStr">
        <is>
          <t>Total for Long-term Liabilities</t>
        </is>
      </c>
      <c r="C220" s="19" t="n">
        <v>9636996.52</v>
      </c>
      <c r="D220" s="19" t="n">
        <v>9515965.640000001</v>
      </c>
      <c r="E220" s="19" t="n">
        <v>9394597.18</v>
      </c>
      <c r="F220" s="19" t="n">
        <v>9271922.65</v>
      </c>
      <c r="G220" s="19" t="n">
        <v>9149248.119999999</v>
      </c>
      <c r="H220" s="19" t="n">
        <v>9034464.460000001</v>
      </c>
      <c r="I220" s="19" t="n">
        <v>8919680.800000001</v>
      </c>
    </row>
    <row r="221">
      <c r="B221" s="18" t="inlineStr">
        <is>
          <t>Total for Liabilities</t>
        </is>
      </c>
      <c r="C221" s="19" t="n">
        <v>12470126.5</v>
      </c>
      <c r="D221" s="19" t="n">
        <v>12357378.65</v>
      </c>
      <c r="E221" s="19" t="n">
        <v>12219039.17</v>
      </c>
      <c r="F221" s="19" t="n">
        <v>12294238.03</v>
      </c>
      <c r="G221" s="19" t="n">
        <v>11849069.12</v>
      </c>
      <c r="H221" s="19" t="n">
        <v>11757719.89</v>
      </c>
      <c r="I221" s="19" t="n">
        <v>11707183.15</v>
      </c>
    </row>
    <row r="222">
      <c r="B222" s="18" t="inlineStr">
        <is>
          <t>Equity</t>
        </is>
      </c>
      <c r="C222" s="19" t="n"/>
      <c r="D222" s="19" t="n"/>
      <c r="E222" s="19" t="n"/>
      <c r="F222" s="19" t="n"/>
      <c r="G222" s="19" t="n"/>
      <c r="H222" s="19" t="n"/>
      <c r="I222" s="19" t="n">
        <v>0</v>
      </c>
    </row>
    <row r="223">
      <c r="B223" s="18" t="inlineStr">
        <is>
          <t>309000 Norbrook Inc Investment</t>
        </is>
      </c>
      <c r="C223" s="19" t="n">
        <v>8425798</v>
      </c>
      <c r="D223" s="19" t="n">
        <v>8425798</v>
      </c>
      <c r="E223" s="19" t="n">
        <v>8425798</v>
      </c>
      <c r="F223" s="19" t="n">
        <v>8425798</v>
      </c>
      <c r="G223" s="19" t="n">
        <v>8425798</v>
      </c>
      <c r="H223" s="19" t="n">
        <v>8425798</v>
      </c>
      <c r="I223" s="19" t="n">
        <v>8425798</v>
      </c>
    </row>
    <row r="224">
      <c r="B224" s="18" t="inlineStr">
        <is>
          <t>Opening balance equity</t>
        </is>
      </c>
      <c r="C224" s="19" t="n">
        <v>0</v>
      </c>
      <c r="D224" s="19" t="n">
        <v>0</v>
      </c>
      <c r="E224" s="19" t="n">
        <v>0</v>
      </c>
      <c r="F224" s="19" t="n">
        <v>0</v>
      </c>
      <c r="G224" s="19" t="n">
        <v>0</v>
      </c>
      <c r="H224" s="19" t="n">
        <v>0</v>
      </c>
      <c r="I224" s="19" t="n">
        <v>0</v>
      </c>
    </row>
    <row r="225">
      <c r="B225" s="18" t="inlineStr">
        <is>
          <t>390000 Retained Earnings</t>
        </is>
      </c>
      <c r="C225" s="19" t="n">
        <v>40294.63</v>
      </c>
      <c r="D225" s="19" t="n">
        <v>40294.63</v>
      </c>
      <c r="E225" s="19" t="n">
        <v>40294.63</v>
      </c>
      <c r="F225" s="19" t="n">
        <v>40294.63</v>
      </c>
      <c r="G225" s="19" t="n">
        <v>40294.63</v>
      </c>
      <c r="H225" s="19" t="n">
        <v>40294.63</v>
      </c>
      <c r="I225" s="19" t="n">
        <v>40157.59</v>
      </c>
    </row>
    <row r="226">
      <c r="B226" s="18" t="inlineStr">
        <is>
          <t>Net Income</t>
        </is>
      </c>
      <c r="C226" s="19" t="n">
        <v>45869.87</v>
      </c>
      <c r="D226" s="19" t="n">
        <v>80043.92999999999</v>
      </c>
      <c r="E226" s="19" t="n">
        <v>66316.67999999999</v>
      </c>
      <c r="F226" s="19" t="n">
        <v>38839.7</v>
      </c>
      <c r="G226" s="19" t="n">
        <v>44022.01</v>
      </c>
      <c r="H226" s="19" t="n">
        <v>-36522.34</v>
      </c>
      <c r="I226" s="19" t="n">
        <v>-76795.69</v>
      </c>
    </row>
    <row r="227" ht="16" customHeight="1" s="282">
      <c r="B227" s="10" t="inlineStr">
        <is>
          <t>Total for Equity</t>
        </is>
      </c>
      <c r="C227" s="11" t="n">
        <v>8511962.5</v>
      </c>
      <c r="D227" s="11" t="n">
        <v>8546136.560000001</v>
      </c>
      <c r="E227" s="11" t="n">
        <v>8532409.310000001</v>
      </c>
      <c r="F227" s="11" t="n">
        <v>8504932.33</v>
      </c>
      <c r="G227" s="11" t="n">
        <v>8510114.640000001</v>
      </c>
      <c r="H227" s="11" t="n">
        <v>8429570.289999999</v>
      </c>
      <c r="I227" s="11" t="n">
        <v>8389159.9</v>
      </c>
    </row>
    <row r="228">
      <c r="B228" s="15" t="inlineStr">
        <is>
          <t>Total for Liabilities and Equity</t>
        </is>
      </c>
      <c r="C228" s="14" t="n">
        <v>20982089</v>
      </c>
      <c r="D228" s="14" t="n">
        <v>20903515.21</v>
      </c>
      <c r="E228" s="14" t="n">
        <v>20751448.48</v>
      </c>
      <c r="F228" s="14" t="n">
        <v>20799170.36</v>
      </c>
      <c r="G228" s="14" t="n">
        <v>20359183.76</v>
      </c>
      <c r="H228" s="14" t="n">
        <v>20187290.18</v>
      </c>
      <c r="I228" s="14" t="n">
        <v>20096343.05</v>
      </c>
    </row>
    <row r="229">
      <c r="B229" s="18" t="n"/>
      <c r="C229" s="19" t="n"/>
      <c r="D229" s="19" t="n"/>
      <c r="E229" s="19" t="n"/>
      <c r="F229" s="19" t="n"/>
      <c r="G229" s="19" t="n"/>
      <c r="H229" s="19" t="n"/>
    </row>
    <row r="230">
      <c r="B230" s="18" t="inlineStr">
        <is>
          <t>Cash Flow Statement</t>
        </is>
      </c>
      <c r="C230" s="19" t="n"/>
      <c r="D230" s="19" t="n"/>
      <c r="E230" s="19" t="n"/>
      <c r="F230" s="19" t="n"/>
      <c r="G230" s="19" t="n"/>
      <c r="H230" s="19" t="n"/>
    </row>
    <row r="231">
      <c r="B231" s="18" t="inlineStr">
        <is>
          <t>Account</t>
        </is>
      </c>
      <c r="C231" s="19" t="inlineStr">
        <is>
          <t>Jan 2026</t>
        </is>
      </c>
      <c r="D231" s="19" t="inlineStr">
        <is>
          <t>Feb 2026</t>
        </is>
      </c>
      <c r="E231" s="19" t="inlineStr">
        <is>
          <t>Mar 2026</t>
        </is>
      </c>
      <c r="F231" s="19" t="inlineStr">
        <is>
          <t>Apr 2026</t>
        </is>
      </c>
      <c r="G231" s="19" t="inlineStr">
        <is>
          <t>May 2026</t>
        </is>
      </c>
      <c r="H231" s="19" t="inlineStr">
        <is>
          <t>Jun 2026</t>
        </is>
      </c>
      <c r="I231" s="19" t="inlineStr">
        <is>
          <t>Jul 2026</t>
        </is>
      </c>
    </row>
    <row r="232">
      <c r="B232" s="18" t="inlineStr">
        <is>
          <t>OPERATING ACTIVITIES</t>
        </is>
      </c>
      <c r="C232" s="19" t="n"/>
      <c r="D232" s="19" t="n"/>
      <c r="E232" s="19" t="n"/>
      <c r="F232" s="19" t="n"/>
      <c r="G232" s="19" t="n"/>
      <c r="H232" s="19" t="n"/>
      <c r="I232" s="19" t="n">
        <v>0</v>
      </c>
    </row>
    <row r="233">
      <c r="B233" s="18" t="inlineStr">
        <is>
          <t>Net Income</t>
        </is>
      </c>
      <c r="C233" s="19" t="n">
        <v>45869.87</v>
      </c>
      <c r="D233" s="19" t="n">
        <v>34174.06</v>
      </c>
      <c r="E233" s="19" t="n">
        <v>-13727.25</v>
      </c>
      <c r="F233" s="19" t="n">
        <v>-27476.98</v>
      </c>
      <c r="G233" s="19" t="n">
        <v>5182.31</v>
      </c>
      <c r="H233" s="19" t="n">
        <v>-80544.35000000001</v>
      </c>
      <c r="I233" s="19" t="n">
        <v>-39578.22</v>
      </c>
    </row>
    <row r="234">
      <c r="B234" s="18" t="inlineStr">
        <is>
          <t>Adjustments to reconcile Net Income to Net Cash provided by operations:</t>
        </is>
      </c>
      <c r="C234" s="19" t="n"/>
      <c r="D234" s="19" t="n"/>
      <c r="E234" s="19" t="n"/>
      <c r="F234" s="19" t="n"/>
      <c r="G234" s="19" t="n"/>
      <c r="H234" s="19" t="n"/>
      <c r="I234" s="19" t="n">
        <v>0</v>
      </c>
    </row>
    <row r="235">
      <c r="B235" s="18" t="inlineStr">
        <is>
          <t>120000 Accounts receivable (A/R)</t>
        </is>
      </c>
      <c r="C235" s="19" t="n">
        <v>6668.1</v>
      </c>
      <c r="D235" s="19" t="n"/>
      <c r="E235" s="19" t="n">
        <v>3540.52</v>
      </c>
      <c r="F235" s="19" t="n"/>
      <c r="G235" s="19" t="n">
        <v>-450</v>
      </c>
      <c r="H235" s="19" t="n"/>
      <c r="I235" s="19" t="n">
        <v>0</v>
      </c>
    </row>
    <row r="236">
      <c r="B236" s="18" t="inlineStr">
        <is>
          <t>131100 Prepaid expenses</t>
        </is>
      </c>
      <c r="C236" s="19" t="n">
        <v>7182.64</v>
      </c>
      <c r="D236" s="19" t="n">
        <v>-2109.81</v>
      </c>
      <c r="E236" s="19" t="n">
        <v>-1261.03</v>
      </c>
      <c r="F236" s="19" t="n">
        <v>23201.73</v>
      </c>
      <c r="G236" s="19" t="n">
        <v>-11743.86</v>
      </c>
      <c r="H236" s="19" t="n">
        <v>-6907.55</v>
      </c>
      <c r="I236" s="19" t="n">
        <v>5848.2</v>
      </c>
    </row>
    <row r="237">
      <c r="B237" s="18" t="inlineStr">
        <is>
          <t>131200 Other Misc Receivable</t>
        </is>
      </c>
      <c r="C237" s="19" t="n">
        <v>-3731.91</v>
      </c>
      <c r="D237" s="19" t="n">
        <v>-268.09</v>
      </c>
      <c r="E237" s="19" t="n"/>
      <c r="F237" s="19" t="n">
        <v>4000</v>
      </c>
      <c r="G237" s="19" t="n"/>
      <c r="H237" s="19" t="n">
        <v>18105.75</v>
      </c>
      <c r="I237" s="19" t="n">
        <v>0</v>
      </c>
    </row>
    <row r="238">
      <c r="B238" s="18" t="inlineStr">
        <is>
          <t>139100 Inventory Asset</t>
        </is>
      </c>
      <c r="C238" s="19" t="n">
        <v>4957.34</v>
      </c>
      <c r="D238" s="19" t="n">
        <v>4751.24</v>
      </c>
      <c r="E238" s="19" t="n">
        <v>-3774.59</v>
      </c>
      <c r="F238" s="19" t="n">
        <v>3991.16</v>
      </c>
      <c r="G238" s="19" t="n">
        <v>-4691.73</v>
      </c>
      <c r="H238" s="19" t="n">
        <v>-3999.76</v>
      </c>
      <c r="I238" s="19" t="n">
        <v>-832.74</v>
      </c>
    </row>
    <row r="239">
      <c r="B239" s="18" t="inlineStr">
        <is>
          <t>159001 Accumulated depreciation:Accumulated Furniture &amp; Fittings</t>
        </is>
      </c>
      <c r="C239" s="19" t="n">
        <v>1553.29</v>
      </c>
      <c r="D239" s="19" t="n">
        <v>1523.56</v>
      </c>
      <c r="E239" s="19" t="n">
        <v>1523.56</v>
      </c>
      <c r="F239" s="19" t="n">
        <v>1523.56</v>
      </c>
      <c r="G239" s="19" t="n">
        <v>1523.56</v>
      </c>
      <c r="H239" s="19" t="n">
        <v>1523.56</v>
      </c>
      <c r="I239" s="19" t="n">
        <v>1523.56</v>
      </c>
    </row>
    <row r="240">
      <c r="B240" s="18" t="inlineStr">
        <is>
          <t>159002 Accumulated depreciation:Accumulated Computer</t>
        </is>
      </c>
      <c r="C240" s="19" t="n">
        <v>521.83</v>
      </c>
      <c r="D240" s="19" t="n">
        <v>521.83</v>
      </c>
      <c r="E240" s="19" t="n">
        <v>521.83</v>
      </c>
      <c r="F240" s="19" t="n">
        <v>521.83</v>
      </c>
      <c r="G240" s="19" t="n">
        <v>521.83</v>
      </c>
      <c r="H240" s="19" t="n">
        <v>521.83</v>
      </c>
      <c r="I240" s="19" t="n">
        <v>521.83</v>
      </c>
    </row>
    <row r="241">
      <c r="B241" s="18" t="inlineStr">
        <is>
          <t>159003 Accumulated depreciation:Accumulated Pilates Equipment</t>
        </is>
      </c>
      <c r="C241" s="19" t="n">
        <v>10200.91</v>
      </c>
      <c r="D241" s="19" t="n">
        <v>10200.91</v>
      </c>
      <c r="E241" s="19" t="n">
        <v>10200.91</v>
      </c>
      <c r="F241" s="19" t="n">
        <v>10200.91</v>
      </c>
      <c r="G241" s="19" t="n">
        <v>10200.91</v>
      </c>
      <c r="H241" s="19" t="n">
        <v>10200.91</v>
      </c>
      <c r="I241" s="19" t="n">
        <v>10200.91</v>
      </c>
    </row>
    <row r="242">
      <c r="B242" s="18" t="inlineStr">
        <is>
          <t>159004 Accumulated depreciation:Accumulated Mach &amp; Equip</t>
        </is>
      </c>
      <c r="C242" s="19" t="n">
        <v>208.58</v>
      </c>
      <c r="D242" s="19" t="n">
        <v>208.58</v>
      </c>
      <c r="E242" s="19" t="n">
        <v>208.58</v>
      </c>
      <c r="F242" s="19" t="n">
        <v>208.58</v>
      </c>
      <c r="G242" s="19" t="n">
        <v>208.58</v>
      </c>
      <c r="H242" s="19" t="n">
        <v>208.58</v>
      </c>
      <c r="I242" s="19" t="n">
        <v>208.58</v>
      </c>
    </row>
    <row r="243">
      <c r="B243" s="18" t="inlineStr">
        <is>
          <t>159005 Accumulated depreciation:Accumulated Leasehold Improvements</t>
        </is>
      </c>
      <c r="C243" s="19" t="n">
        <v>18149.33</v>
      </c>
      <c r="D243" s="19" t="n">
        <v>18230.6</v>
      </c>
      <c r="E243" s="19" t="n">
        <v>18441.78</v>
      </c>
      <c r="F243" s="19" t="n">
        <v>18458.75</v>
      </c>
      <c r="G243" s="19" t="n">
        <v>18441.78</v>
      </c>
      <c r="H243" s="19" t="n">
        <v>18485.99</v>
      </c>
      <c r="I243" s="19" t="n">
        <v>18579.47</v>
      </c>
    </row>
    <row r="244">
      <c r="B244" s="18" t="inlineStr">
        <is>
          <t>172500 ROU Asset - Studio Leases:ROU Asset - Studio Leases - A/D</t>
        </is>
      </c>
      <c r="C244" s="19" t="n">
        <v>126472.53</v>
      </c>
      <c r="D244" s="19" t="n">
        <v>126472.53</v>
      </c>
      <c r="E244" s="19" t="n">
        <v>126472.53</v>
      </c>
      <c r="F244" s="19" t="n">
        <v>126472.53</v>
      </c>
      <c r="G244" s="19" t="n">
        <v>126472.53</v>
      </c>
      <c r="H244" s="19" t="n">
        <v>126472.53</v>
      </c>
      <c r="I244" s="19" t="n">
        <v>126472.53</v>
      </c>
    </row>
    <row r="245">
      <c r="B245" s="18" t="inlineStr">
        <is>
          <t>210000 Accounts Payable (A/P)</t>
        </is>
      </c>
      <c r="C245" s="19" t="n">
        <v>-22921.38</v>
      </c>
      <c r="D245" s="19" t="n">
        <v>66733.14</v>
      </c>
      <c r="E245" s="19" t="n">
        <v>199823.67</v>
      </c>
      <c r="F245" s="19" t="n">
        <v>65116.04</v>
      </c>
      <c r="G245" s="19" t="n">
        <v>-232225.29</v>
      </c>
      <c r="H245" s="19" t="n">
        <v>-23957.85</v>
      </c>
      <c r="I245" s="19" t="n">
        <v>-37096.36</v>
      </c>
    </row>
    <row r="246">
      <c r="B246" s="18" t="inlineStr">
        <is>
          <t>222001 Chase Credit Cards:A. GOLDSMITH (...4303) RUSSIAN HILL</t>
        </is>
      </c>
      <c r="C246" s="19" t="n">
        <v>1639.54</v>
      </c>
      <c r="D246" s="19" t="n">
        <v>590.66</v>
      </c>
      <c r="E246" s="19" t="n">
        <v>1848.81</v>
      </c>
      <c r="F246" s="19" t="n">
        <v>-3604.82</v>
      </c>
      <c r="G246" s="19" t="n">
        <v>-449.75</v>
      </c>
      <c r="H246" s="19" t="n">
        <v>-481.05</v>
      </c>
      <c r="I246" s="19" t="n">
        <v>230.8</v>
      </c>
    </row>
    <row r="247">
      <c r="B247" s="18" t="inlineStr">
        <is>
          <t>222002 Chase Credit Cards:B. BASHAW (....2606) DANVILLE</t>
        </is>
      </c>
      <c r="C247" s="19" t="n">
        <v>519.37</v>
      </c>
      <c r="D247" s="19" t="n">
        <v>153.05</v>
      </c>
      <c r="E247" s="19" t="n">
        <v>73.90000000000001</v>
      </c>
      <c r="F247" s="19" t="n">
        <v>33.01</v>
      </c>
      <c r="G247" s="19" t="n">
        <v>-75.17</v>
      </c>
      <c r="H247" s="19" t="n">
        <v>259.56</v>
      </c>
      <c r="I247" s="19" t="n">
        <v>-159.38</v>
      </c>
    </row>
    <row r="248">
      <c r="B248" s="18" t="inlineStr">
        <is>
          <t>222003 Chase Credit Cards:C. CLAY (....5523) OCEAN PARK</t>
        </is>
      </c>
      <c r="C248" s="19" t="n">
        <v>-308.34</v>
      </c>
      <c r="D248" s="19" t="n">
        <v>588.05</v>
      </c>
      <c r="E248" s="19" t="n">
        <v>90.68000000000001</v>
      </c>
      <c r="F248" s="19" t="n">
        <v>295.25</v>
      </c>
      <c r="G248" s="19" t="n">
        <v>-708.9</v>
      </c>
      <c r="H248" s="19" t="n">
        <v>-98.98</v>
      </c>
      <c r="I248" s="19" t="n">
        <v>98.27</v>
      </c>
    </row>
    <row r="249">
      <c r="B249" s="18" t="inlineStr">
        <is>
          <t>222004 Chase Credit Cards:C. MARTIN (...8410) CULVER CITY</t>
        </is>
      </c>
      <c r="C249" s="19" t="n">
        <v>-1512.34</v>
      </c>
      <c r="D249" s="19" t="n">
        <v>-9.1</v>
      </c>
      <c r="E249" s="19" t="n">
        <v>254.24</v>
      </c>
      <c r="F249" s="19" t="n">
        <v>36.3</v>
      </c>
      <c r="G249" s="19" t="n">
        <v>360.36</v>
      </c>
      <c r="H249" s="19" t="n">
        <v>-310.22</v>
      </c>
      <c r="I249" s="19" t="n">
        <v>-2.85</v>
      </c>
    </row>
    <row r="250">
      <c r="B250" s="18" t="inlineStr">
        <is>
          <t>222005 Chase Credit Cards:C. WARDEIN (....5580) H/O</t>
        </is>
      </c>
      <c r="C250" s="19" t="n">
        <v>-502.22</v>
      </c>
      <c r="D250" s="19" t="n">
        <v>-144.81</v>
      </c>
      <c r="E250" s="19" t="n">
        <v>0</v>
      </c>
      <c r="F250" s="19" t="n">
        <v>0</v>
      </c>
      <c r="G250" s="19" t="n">
        <v>0</v>
      </c>
      <c r="H250" s="19" t="n">
        <v>0</v>
      </c>
      <c r="I250" s="19" t="n">
        <v>0</v>
      </c>
    </row>
    <row r="251">
      <c r="B251" s="18" t="inlineStr">
        <is>
          <t>222006 Chase Credit Cards:G. FRIDENBERG (...4204) WESTWOOD - Inactive</t>
        </is>
      </c>
      <c r="C251" s="19" t="n"/>
      <c r="D251" s="19" t="n">
        <v>0</v>
      </c>
      <c r="E251" s="19" t="n"/>
      <c r="F251" s="19" t="n"/>
      <c r="G251" s="19" t="n"/>
      <c r="H251" s="19" t="n"/>
      <c r="I251" s="19" t="n">
        <v>0</v>
      </c>
    </row>
    <row r="252">
      <c r="B252" s="18" t="inlineStr">
        <is>
          <t>222007 Chase Credit Cards:K. ABAD (...5110) LAFAYETTE</t>
        </is>
      </c>
      <c r="C252" s="19" t="n">
        <v>-24.03</v>
      </c>
      <c r="D252" s="19" t="n">
        <v>-500.03</v>
      </c>
      <c r="E252" s="19" t="n">
        <v>-97.01000000000001</v>
      </c>
      <c r="F252" s="19" t="n">
        <v>-91.58</v>
      </c>
      <c r="G252" s="19" t="n">
        <v>188.8</v>
      </c>
      <c r="H252" s="19" t="n">
        <v>81.5</v>
      </c>
      <c r="I252" s="19" t="n">
        <v>-74.54000000000001</v>
      </c>
    </row>
    <row r="253">
      <c r="B253" s="18" t="inlineStr">
        <is>
          <t>222008 Chase Credit Cards:K. ROBINSON (...8230) H/O</t>
        </is>
      </c>
      <c r="C253" s="19" t="n">
        <v>-4531.85</v>
      </c>
      <c r="D253" s="19" t="n">
        <v>2758.69</v>
      </c>
      <c r="E253" s="19" t="n">
        <v>-5762.08</v>
      </c>
      <c r="F253" s="19" t="n">
        <v>-12157.3</v>
      </c>
      <c r="G253" s="19" t="n">
        <v>4933.9</v>
      </c>
      <c r="H253" s="19" t="n">
        <v>-4888.44</v>
      </c>
      <c r="I253" s="19" t="n">
        <v>31.51</v>
      </c>
    </row>
    <row r="254">
      <c r="B254" s="18" t="inlineStr">
        <is>
          <t>222009 Chase Credit Cards:M. HATSUSHI (...2315) MARIN</t>
        </is>
      </c>
      <c r="C254" s="19" t="n">
        <v>-14.31</v>
      </c>
      <c r="D254" s="19" t="n">
        <v>352.91</v>
      </c>
      <c r="E254" s="19" t="n">
        <v>-429.75</v>
      </c>
      <c r="F254" s="19" t="n">
        <v>-70.31</v>
      </c>
      <c r="G254" s="19" t="n">
        <v>192.8</v>
      </c>
      <c r="H254" s="19" t="n">
        <v>250.78</v>
      </c>
      <c r="I254" s="19" t="n">
        <v>-443.58</v>
      </c>
    </row>
    <row r="255">
      <c r="B255" s="18" t="inlineStr">
        <is>
          <t>222010 Chase Credit Cards:N. TEUBNER (...4931) SANTA MONICA</t>
        </is>
      </c>
      <c r="C255" s="19" t="n">
        <v>1613.83</v>
      </c>
      <c r="D255" s="19" t="n">
        <v>-1463.13</v>
      </c>
      <c r="E255" s="19" t="n">
        <v>-421.98</v>
      </c>
      <c r="F255" s="19" t="n">
        <v>885.39</v>
      </c>
      <c r="G255" s="19" t="n">
        <v>47.1</v>
      </c>
      <c r="H255" s="19" t="n">
        <v>220.01</v>
      </c>
      <c r="I255" s="19" t="n">
        <v>283.17</v>
      </c>
    </row>
    <row r="256">
      <c r="B256" s="18" t="inlineStr">
        <is>
          <t>222011 Chase Credit Cards:P. KOENIGS (...5219) PRESIDIO HEIGHTS - Inactive</t>
        </is>
      </c>
      <c r="C256" s="19" t="n"/>
      <c r="D256" s="19" t="n">
        <v>0</v>
      </c>
      <c r="E256" s="19" t="n"/>
      <c r="F256" s="19" t="n"/>
      <c r="G256" s="19" t="n"/>
      <c r="H256" s="19" t="n"/>
      <c r="I256" s="19" t="n">
        <v>0</v>
      </c>
    </row>
    <row r="257">
      <c r="B257" s="18" t="inlineStr">
        <is>
          <t>222012 Chase Credit Cards:S. CAAL-ROCA (...5045) BERKELEY</t>
        </is>
      </c>
      <c r="C257" s="19" t="n">
        <v>33.87</v>
      </c>
      <c r="D257" s="19" t="n">
        <v>353.33</v>
      </c>
      <c r="E257" s="19" t="n">
        <v>-242.56</v>
      </c>
      <c r="F257" s="19" t="n">
        <v>72.48</v>
      </c>
      <c r="G257" s="19" t="n">
        <v>-202.35</v>
      </c>
      <c r="H257" s="19" t="n">
        <v>1595.88</v>
      </c>
      <c r="I257" s="19" t="n">
        <v>-762.26</v>
      </c>
    </row>
    <row r="258">
      <c r="B258" s="18" t="inlineStr">
        <is>
          <t>222013 Chase Credit Cards:LINDSEY HYSLOP (9212) SANTA BARBARA</t>
        </is>
      </c>
      <c r="C258" s="19" t="n">
        <v>-614.26</v>
      </c>
      <c r="D258" s="19" t="n">
        <v>-318.24</v>
      </c>
      <c r="E258" s="19" t="n">
        <v>78.73</v>
      </c>
      <c r="F258" s="19" t="n">
        <v>220.92</v>
      </c>
      <c r="G258" s="19" t="n">
        <v>2402.37</v>
      </c>
      <c r="H258" s="19" t="n">
        <v>-751.1</v>
      </c>
      <c r="I258" s="19" t="n">
        <v>-2185.87</v>
      </c>
    </row>
    <row r="259">
      <c r="B259" s="18" t="inlineStr">
        <is>
          <t>222014 Chase Credit Cards:COSSU BRIDGET (..0566) PRESIDIO HEIGHTS</t>
        </is>
      </c>
      <c r="C259" s="19" t="n">
        <v>869.1900000000001</v>
      </c>
      <c r="D259" s="19" t="n">
        <v>-475.24</v>
      </c>
      <c r="E259" s="19" t="n">
        <v>524.84</v>
      </c>
      <c r="F259" s="19" t="n">
        <v>-485.43</v>
      </c>
      <c r="G259" s="19" t="n">
        <v>139.14</v>
      </c>
      <c r="H259" s="19" t="n">
        <v>1202.77</v>
      </c>
      <c r="I259" s="19" t="n">
        <v>1123.4</v>
      </c>
    </row>
    <row r="260">
      <c r="B260" s="18" t="inlineStr">
        <is>
          <t>222015 Chase Credit Cards:BUCHANAN CIARA (..5486) WESTWOOD</t>
        </is>
      </c>
      <c r="C260" s="19" t="n">
        <v>782.72</v>
      </c>
      <c r="D260" s="19" t="n">
        <v>3512.98</v>
      </c>
      <c r="E260" s="19" t="n">
        <v>-3383.15</v>
      </c>
      <c r="F260" s="19" t="n">
        <v>-71.18000000000001</v>
      </c>
      <c r="G260" s="19" t="n">
        <v>360.43</v>
      </c>
      <c r="H260" s="19" t="n">
        <v>-659.9</v>
      </c>
      <c r="I260" s="19" t="n">
        <v>333.48</v>
      </c>
    </row>
    <row r="261">
      <c r="B261" s="18" t="inlineStr">
        <is>
          <t>231000 Reimbursement Clearing</t>
        </is>
      </c>
      <c r="C261" s="19" t="n">
        <v>1615.94</v>
      </c>
      <c r="D261" s="19" t="n">
        <v>-312.03</v>
      </c>
      <c r="E261" s="19" t="n">
        <v>-1522.53</v>
      </c>
      <c r="F261" s="19" t="n">
        <v>-464.57</v>
      </c>
      <c r="G261" s="19" t="n">
        <v>-50.43</v>
      </c>
      <c r="H261" s="19" t="n">
        <v>80.67</v>
      </c>
      <c r="I261" s="19" t="n">
        <v>-3031.65</v>
      </c>
    </row>
    <row r="262">
      <c r="B262" s="18" t="inlineStr">
        <is>
          <t>232000 401k Liability</t>
        </is>
      </c>
      <c r="C262" s="19" t="n">
        <v>-755.55</v>
      </c>
      <c r="D262" s="19" t="n">
        <v>0</v>
      </c>
      <c r="E262" s="19" t="n">
        <v>24169.74</v>
      </c>
      <c r="F262" s="19" t="n">
        <v>1791.64</v>
      </c>
      <c r="G262" s="19" t="n">
        <v>981.26</v>
      </c>
      <c r="H262" s="19" t="n">
        <v>-12396.76</v>
      </c>
      <c r="I262" s="19" t="n">
        <v>112.56</v>
      </c>
    </row>
    <row r="263">
      <c r="B263" s="18" t="inlineStr">
        <is>
          <t>233000 Payroll Liabilities</t>
        </is>
      </c>
      <c r="C263" s="19" t="n">
        <v>0</v>
      </c>
      <c r="D263" s="19" t="n">
        <v>0</v>
      </c>
      <c r="E263" s="19" t="n">
        <v>0</v>
      </c>
      <c r="F263" s="19" t="n">
        <v>0</v>
      </c>
      <c r="G263" s="19" t="n">
        <v>0</v>
      </c>
      <c r="H263" s="19" t="n">
        <v>-80.2</v>
      </c>
      <c r="I263" s="19" t="n">
        <v>0</v>
      </c>
    </row>
    <row r="264">
      <c r="B264" s="18" t="inlineStr">
        <is>
          <t>234000 Payroll Tax Liability</t>
        </is>
      </c>
      <c r="C264" s="19" t="n">
        <v>0</v>
      </c>
      <c r="D264" s="19" t="n">
        <v>0</v>
      </c>
      <c r="E264" s="19" t="n">
        <v>0</v>
      </c>
      <c r="F264" s="19" t="n">
        <v>0</v>
      </c>
      <c r="G264" s="19" t="n">
        <v>0</v>
      </c>
      <c r="H264" s="19" t="n">
        <v>0</v>
      </c>
      <c r="I264" s="19" t="n">
        <v>0</v>
      </c>
    </row>
    <row r="265">
      <c r="B265" s="18" t="inlineStr">
        <is>
          <t>235100 Accrued Expense</t>
        </is>
      </c>
      <c r="C265" s="19" t="n">
        <v>-32.57</v>
      </c>
      <c r="D265" s="19" t="n">
        <v>-654.78</v>
      </c>
      <c r="E265" s="19" t="n">
        <v>-454.38</v>
      </c>
      <c r="F265" s="19" t="n">
        <v>-229.43</v>
      </c>
      <c r="G265" s="19" t="n">
        <v>200</v>
      </c>
      <c r="H265" s="19" t="n">
        <v>-10478.7</v>
      </c>
      <c r="I265" s="19" t="n">
        <v>0</v>
      </c>
    </row>
    <row r="266">
      <c r="B266" s="18" t="inlineStr">
        <is>
          <t>235200 Deferred/Accrued Rent</t>
        </is>
      </c>
      <c r="C266" s="19" t="n">
        <v>0</v>
      </c>
      <c r="D266" s="19" t="n">
        <v>0</v>
      </c>
      <c r="E266" s="19" t="n">
        <v>0</v>
      </c>
      <c r="F266" s="19" t="n">
        <v>0</v>
      </c>
      <c r="G266" s="19" t="n">
        <v>0</v>
      </c>
      <c r="H266" s="19" t="n">
        <v>0</v>
      </c>
      <c r="I266" s="19" t="n">
        <v>0</v>
      </c>
    </row>
    <row r="267">
      <c r="B267" s="18" t="inlineStr">
        <is>
          <t>235300 Accrued Payroll</t>
        </is>
      </c>
      <c r="C267" s="19" t="n">
        <v>82189.7</v>
      </c>
      <c r="D267" s="19" t="n">
        <v>-4865.93</v>
      </c>
      <c r="E267" s="19" t="n">
        <v>-177415.05</v>
      </c>
      <c r="F267" s="19" t="n">
        <v>28743.11</v>
      </c>
      <c r="G267" s="19" t="n">
        <v>59360.13</v>
      </c>
      <c r="H267" s="19" t="n">
        <v>22137.27</v>
      </c>
      <c r="I267" s="19" t="n">
        <v>43568.24</v>
      </c>
    </row>
    <row r="268">
      <c r="B268" s="18" t="inlineStr">
        <is>
          <t>236100 Sales Tax payable</t>
        </is>
      </c>
      <c r="C268" s="19" t="n">
        <v>2082.15</v>
      </c>
      <c r="D268" s="19" t="n">
        <v>-3121.91</v>
      </c>
      <c r="E268" s="19" t="n">
        <v>1556.85</v>
      </c>
      <c r="F268" s="19" t="n">
        <v>1602.77</v>
      </c>
      <c r="G268" s="19" t="n">
        <v>-4750.41</v>
      </c>
      <c r="H268" s="19" t="n">
        <v>1198.4</v>
      </c>
      <c r="I268" s="19" t="n">
        <v>-44.93</v>
      </c>
    </row>
    <row r="269">
      <c r="B269" s="18" t="inlineStr">
        <is>
          <t>237000 Deferred  Revenue</t>
        </is>
      </c>
      <c r="C269" s="19" t="n">
        <v>-145856.51</v>
      </c>
      <c r="D269" s="19" t="n">
        <v>56417.24</v>
      </c>
      <c r="E269" s="19" t="n">
        <v>-69627.25999999999</v>
      </c>
      <c r="F269" s="19" t="n">
        <v>133281.29</v>
      </c>
      <c r="G269" s="19" t="n">
        <v>-117252.11</v>
      </c>
      <c r="H269" s="19" t="n">
        <v>-63422.66</v>
      </c>
      <c r="I269" s="19" t="n">
        <v>41422.78</v>
      </c>
    </row>
    <row r="270">
      <c r="B270" s="18" t="inlineStr">
        <is>
          <t>237100 Deferred  Revenue:Deferred -  Private Pilates</t>
        </is>
      </c>
      <c r="C270" s="19" t="n"/>
      <c r="D270" s="19" t="n"/>
      <c r="E270" s="19" t="n"/>
      <c r="F270" s="19" t="n"/>
      <c r="G270" s="19" t="n">
        <v>300</v>
      </c>
      <c r="H270" s="19" t="n">
        <v>-150</v>
      </c>
      <c r="I270" s="19" t="n">
        <v>-150</v>
      </c>
    </row>
    <row r="271">
      <c r="B271" s="18" t="inlineStr">
        <is>
          <t>238000 Gift Card Liability</t>
        </is>
      </c>
      <c r="C271" s="19" t="n">
        <v>-3625.5</v>
      </c>
      <c r="D271" s="19" t="n">
        <v>-2584</v>
      </c>
      <c r="E271" s="19" t="n">
        <v>-1613</v>
      </c>
      <c r="F271" s="19" t="n">
        <v>905</v>
      </c>
      <c r="G271" s="19" t="n">
        <v>1092</v>
      </c>
      <c r="H271" s="19" t="n">
        <v>-591.4</v>
      </c>
      <c r="I271" s="19" t="n">
        <v>296</v>
      </c>
    </row>
    <row r="272">
      <c r="B272" s="18" t="inlineStr">
        <is>
          <t>239000 ROU - Studio Lease Liabilities - S/T</t>
        </is>
      </c>
      <c r="C272" s="19" t="n">
        <v>19042.06</v>
      </c>
      <c r="D272" s="19" t="n">
        <v>4341.56</v>
      </c>
      <c r="E272" s="19" t="n">
        <v>4351.39</v>
      </c>
      <c r="F272" s="19" t="n">
        <v>4351.38</v>
      </c>
      <c r="G272" s="19" t="n">
        <v>4351.38</v>
      </c>
      <c r="H272" s="19" t="n">
        <v>-3966.61</v>
      </c>
      <c r="I272" s="19" t="n">
        <v>-3966.61</v>
      </c>
    </row>
    <row r="273">
      <c r="B273" s="18" t="inlineStr">
        <is>
          <t>242000 MindBody Loan</t>
        </is>
      </c>
      <c r="C273" s="19" t="n">
        <v>0</v>
      </c>
      <c r="D273" s="19" t="n">
        <v>0</v>
      </c>
      <c r="E273" s="19" t="n">
        <v>0</v>
      </c>
      <c r="F273" s="19" t="n">
        <v>0</v>
      </c>
      <c r="G273" s="19" t="n">
        <v>0</v>
      </c>
      <c r="H273" s="19" t="n">
        <v>0</v>
      </c>
      <c r="I273" s="19" t="n">
        <v>0</v>
      </c>
    </row>
    <row r="274">
      <c r="B274" s="18" t="inlineStr">
        <is>
          <t>242001 MindBody Loan:MindBody Loan - SM</t>
        </is>
      </c>
      <c r="C274" s="19" t="n">
        <v>-24126.06</v>
      </c>
      <c r="D274" s="19" t="n">
        <v>-19132.38</v>
      </c>
      <c r="E274" s="19" t="n">
        <v>-29894.03</v>
      </c>
      <c r="F274" s="19" t="n">
        <v>-20216.47</v>
      </c>
      <c r="G274" s="19" t="n">
        <v>-25486.82</v>
      </c>
      <c r="H274" s="19" t="n">
        <v>-21182.36</v>
      </c>
      <c r="I274" s="19" t="n">
        <v>-12293.53</v>
      </c>
    </row>
    <row r="275">
      <c r="B275" s="18" t="inlineStr">
        <is>
          <t>242001-1 MindBody Loan:MindBody Loan - SM:MindBody Contra Loan - SM</t>
        </is>
      </c>
      <c r="C275" s="19" t="n">
        <v>3890</v>
      </c>
      <c r="D275" s="19" t="n">
        <v>3890</v>
      </c>
      <c r="E275" s="19" t="n">
        <v>3890</v>
      </c>
      <c r="F275" s="19" t="n">
        <v>3890</v>
      </c>
      <c r="G275" s="19" t="n">
        <v>1945</v>
      </c>
      <c r="H275" s="19" t="n"/>
      <c r="I275" s="19" t="n">
        <v>0</v>
      </c>
    </row>
    <row r="276">
      <c r="B276" s="18" t="inlineStr">
        <is>
          <t>242002 MindBody Loan:MindBody Loan - PH</t>
        </is>
      </c>
      <c r="C276" s="19" t="n">
        <v>-17256.18</v>
      </c>
      <c r="D276" s="19" t="n">
        <v>-27794.6</v>
      </c>
      <c r="E276" s="19" t="n">
        <v>-14639.67</v>
      </c>
      <c r="F276" s="19" t="n">
        <v>-26053.86</v>
      </c>
      <c r="G276" s="19" t="n">
        <v>-13511.26</v>
      </c>
      <c r="H276" s="19" t="n"/>
      <c r="I276" s="19" t="n">
        <v>0</v>
      </c>
    </row>
    <row r="277">
      <c r="B277" s="18" t="inlineStr">
        <is>
          <t>242002-1 MindBody Loan:MindBody Loan - PH:MindBody Contra Loan - PH</t>
        </is>
      </c>
      <c r="C277" s="19" t="n">
        <v>2405</v>
      </c>
      <c r="D277" s="19" t="n">
        <v>2405</v>
      </c>
      <c r="E277" s="19" t="n">
        <v>2405</v>
      </c>
      <c r="F277" s="19" t="n">
        <v>2405</v>
      </c>
      <c r="G277" s="19" t="n">
        <v>2405</v>
      </c>
      <c r="H277" s="19" t="n"/>
      <c r="I277" s="19" t="n">
        <v>0</v>
      </c>
    </row>
    <row r="278">
      <c r="B278" s="18" t="inlineStr">
        <is>
          <t>242003 MindBody Loan:MindBody Loan - LF</t>
        </is>
      </c>
      <c r="C278" s="19" t="n">
        <v>-13252.35</v>
      </c>
      <c r="D278" s="19" t="n">
        <v>-19354.99</v>
      </c>
      <c r="E278" s="19" t="n">
        <v>-11490.92</v>
      </c>
      <c r="F278" s="19" t="n">
        <v>-12903.68</v>
      </c>
      <c r="G278" s="19" t="n"/>
      <c r="H278" s="19" t="n"/>
      <c r="I278" s="19" t="n">
        <v>0</v>
      </c>
    </row>
    <row r="279">
      <c r="B279" s="18" t="inlineStr">
        <is>
          <t>242003-1 MindBody Loan:MindBody Loan - LF:MindBody Contra Loan - LF</t>
        </is>
      </c>
      <c r="C279" s="19" t="n">
        <v>1397.63</v>
      </c>
      <c r="D279" s="19" t="n">
        <v>1397.63</v>
      </c>
      <c r="E279" s="19" t="n">
        <v>1397.63</v>
      </c>
      <c r="F279" s="19" t="n">
        <v>2795.22</v>
      </c>
      <c r="G279" s="19" t="n"/>
      <c r="H279" s="19" t="n"/>
      <c r="I279" s="19" t="n">
        <v>0</v>
      </c>
    </row>
    <row r="280">
      <c r="B280" s="18" t="inlineStr">
        <is>
          <t>242004 MindBody Loan:MindBody Loan - MR</t>
        </is>
      </c>
      <c r="C280" s="19" t="n">
        <v>-13702.09</v>
      </c>
      <c r="D280" s="19" t="n">
        <v>-16941.59</v>
      </c>
      <c r="E280" s="19" t="n">
        <v>-11952.53</v>
      </c>
      <c r="F280" s="19" t="n">
        <v>-7646.27</v>
      </c>
      <c r="G280" s="19" t="n"/>
      <c r="H280" s="19" t="n"/>
      <c r="I280" s="19" t="n">
        <v>0</v>
      </c>
    </row>
    <row r="281">
      <c r="B281" s="18" t="inlineStr">
        <is>
          <t>242004-1 MindBody Loan:MindBody Loan - MR:MindBody Contra Loan - MR</t>
        </is>
      </c>
      <c r="C281" s="19" t="n">
        <v>1366.75</v>
      </c>
      <c r="D281" s="19" t="n">
        <v>1366.75</v>
      </c>
      <c r="E281" s="19" t="n">
        <v>1366.75</v>
      </c>
      <c r="F281" s="19" t="n">
        <v>3416.87</v>
      </c>
      <c r="G281" s="19" t="n"/>
      <c r="H281" s="19" t="n"/>
      <c r="I281" s="19" t="n">
        <v>0</v>
      </c>
    </row>
    <row r="282">
      <c r="B282" s="18" t="inlineStr">
        <is>
          <t>242100 Samson Loan</t>
        </is>
      </c>
      <c r="C282" s="19" t="n">
        <v>-34528.4</v>
      </c>
      <c r="D282" s="19" t="n">
        <v>-16392.04</v>
      </c>
      <c r="E282" s="19" t="n">
        <v>-34528.4</v>
      </c>
      <c r="F282" s="19" t="n">
        <v>-25460.22</v>
      </c>
      <c r="G282" s="19" t="n">
        <v>-34528.4</v>
      </c>
      <c r="H282" s="19" t="n">
        <v>170152.77</v>
      </c>
      <c r="I282" s="19" t="n">
        <v>-27429.49</v>
      </c>
    </row>
    <row r="283">
      <c r="B283" s="18" t="inlineStr">
        <is>
          <t>242200 Specialty Capital Loan</t>
        </is>
      </c>
      <c r="C283" s="19" t="n">
        <v>-29263.16</v>
      </c>
      <c r="D283" s="19" t="n">
        <v>-22513.16</v>
      </c>
      <c r="E283" s="19" t="n">
        <v>-30328.95</v>
      </c>
      <c r="F283" s="19" t="n">
        <v>-22513.16</v>
      </c>
      <c r="G283" s="19" t="n">
        <v>-22513.16</v>
      </c>
      <c r="H283" s="19" t="n">
        <v>-30328.95</v>
      </c>
      <c r="I283" s="19" t="n">
        <v>-22513.16</v>
      </c>
    </row>
    <row r="284">
      <c r="B284" s="18" t="inlineStr">
        <is>
          <t>242300 Khary Loan #1</t>
        </is>
      </c>
      <c r="C284" s="19" t="n"/>
      <c r="D284" s="19" t="n"/>
      <c r="E284" s="19" t="n">
        <v>100000</v>
      </c>
      <c r="F284" s="19" t="n">
        <v>0</v>
      </c>
      <c r="G284" s="19" t="n">
        <v>0</v>
      </c>
      <c r="H284" s="19" t="n">
        <v>0</v>
      </c>
      <c r="I284" s="19" t="n">
        <v>0</v>
      </c>
    </row>
    <row r="285">
      <c r="B285" s="18" t="inlineStr">
        <is>
          <t>242400 Khary Loan #2</t>
        </is>
      </c>
      <c r="C285" s="19" t="n"/>
      <c r="D285" s="19" t="n"/>
      <c r="E285" s="19" t="n"/>
      <c r="F285" s="19" t="n">
        <v>80000</v>
      </c>
      <c r="G285" s="19" t="n">
        <v>50000</v>
      </c>
      <c r="H285" s="19" t="n"/>
      <c r="I285" s="19" t="n">
        <v>120000</v>
      </c>
    </row>
    <row r="286">
      <c r="B286" s="18" t="inlineStr">
        <is>
          <t>242600 Intercompany Reimbursable - Norbrook</t>
        </is>
      </c>
      <c r="C286" s="19" t="n">
        <v>0</v>
      </c>
      <c r="D286" s="19" t="n">
        <v>-35000</v>
      </c>
      <c r="E286" s="19" t="n">
        <v>35000</v>
      </c>
      <c r="F286" s="19" t="n"/>
      <c r="G286" s="19" t="n"/>
      <c r="H286" s="19" t="n"/>
      <c r="I286" s="19" t="n">
        <v>0</v>
      </c>
    </row>
    <row r="287">
      <c r="B287" s="18" t="inlineStr">
        <is>
          <t>242700 Intercompany Reimbursable - Cricket</t>
        </is>
      </c>
      <c r="C287" s="19" t="n"/>
      <c r="D287" s="19" t="n">
        <v>0</v>
      </c>
      <c r="E287" s="19" t="n"/>
      <c r="F287" s="19" t="n">
        <v>0</v>
      </c>
      <c r="G287" s="19" t="n">
        <v>0</v>
      </c>
      <c r="H287" s="19" t="n"/>
      <c r="I287" s="19" t="n">
        <v>-35000</v>
      </c>
    </row>
    <row r="288">
      <c r="B288" s="18" t="inlineStr">
        <is>
          <t>242800 Norbrook Loan</t>
        </is>
      </c>
      <c r="C288" s="19" t="n"/>
      <c r="D288" s="19" t="n">
        <v>35000</v>
      </c>
      <c r="E288" s="19" t="n"/>
      <c r="F288" s="19" t="n"/>
      <c r="G288" s="19" t="n"/>
      <c r="H288" s="19" t="n"/>
      <c r="I288" s="19" t="n">
        <v>0</v>
      </c>
    </row>
    <row r="289">
      <c r="B289" s="18" t="inlineStr">
        <is>
          <t>California Department of Tax and Fee Administration Payable</t>
        </is>
      </c>
      <c r="C289" s="19" t="n"/>
      <c r="D289" s="19" t="n"/>
      <c r="E289" s="19" t="n"/>
      <c r="F289" s="19" t="n"/>
      <c r="G289" s="19" t="n">
        <v>0</v>
      </c>
      <c r="H289" s="19" t="n"/>
      <c r="I289" s="19" t="n">
        <v>0</v>
      </c>
    </row>
    <row r="290">
      <c r="B290" s="18" t="inlineStr">
        <is>
          <t>Total for Adjustments to reconcile Net Income to Net Cash provided by operations:</t>
        </is>
      </c>
      <c r="C290" s="19" t="n">
        <v>-21196.71</v>
      </c>
      <c r="D290" s="19" t="n">
        <v>167814.38</v>
      </c>
      <c r="E290" s="19" t="n">
        <v>138903.07</v>
      </c>
      <c r="F290" s="19" t="n">
        <v>386452.44</v>
      </c>
      <c r="G290" s="19" t="n">
        <v>-182010.78</v>
      </c>
      <c r="H290" s="19" t="n">
        <v>188046.27</v>
      </c>
      <c r="I290" s="19" t="n">
        <v>216792.06</v>
      </c>
    </row>
    <row r="291">
      <c r="B291" s="18" t="inlineStr">
        <is>
          <t>Net cash provided by operating activities</t>
        </is>
      </c>
      <c r="C291" s="19" t="n">
        <v>24673.16</v>
      </c>
      <c r="D291" s="19" t="n">
        <v>201988.44</v>
      </c>
      <c r="E291" s="19" t="n">
        <v>125175.82</v>
      </c>
      <c r="F291" s="19" t="n">
        <v>358975.46</v>
      </c>
      <c r="G291" s="19" t="n">
        <v>-176828.47</v>
      </c>
      <c r="H291" s="19" t="n">
        <v>107501.92</v>
      </c>
      <c r="I291" s="19" t="n">
        <v>177213.84</v>
      </c>
    </row>
    <row r="292">
      <c r="B292" s="18" t="inlineStr">
        <is>
          <t>INVESTING ACTIVITIES</t>
        </is>
      </c>
      <c r="C292" s="19" t="n"/>
      <c r="D292" s="19" t="n"/>
      <c r="E292" s="19" t="n"/>
      <c r="F292" s="19" t="n"/>
      <c r="G292" s="19" t="n"/>
      <c r="H292" s="19" t="n"/>
      <c r="I292" s="19" t="n">
        <v>0</v>
      </c>
    </row>
    <row r="293">
      <c r="B293" s="18" t="inlineStr">
        <is>
          <t>151000 Fixed Assets:Furniture &amp; Fixtures</t>
        </is>
      </c>
      <c r="C293" s="19" t="n"/>
      <c r="D293" s="19" t="n">
        <v>2497.4</v>
      </c>
      <c r="E293" s="19" t="n"/>
      <c r="F293" s="19" t="n"/>
      <c r="G293" s="19" t="n"/>
      <c r="H293" s="19" t="n"/>
      <c r="I293" s="19" t="n">
        <v>0</v>
      </c>
    </row>
    <row r="294">
      <c r="B294" s="18" t="inlineStr">
        <is>
          <t>155010 Fixed Assets:Leasehold Improvements:Leasehold Improvements - Russian Hill</t>
        </is>
      </c>
      <c r="C294" s="19" t="n"/>
      <c r="D294" s="19" t="n">
        <v>-2067.91</v>
      </c>
      <c r="E294" s="19" t="n">
        <v>-2336</v>
      </c>
      <c r="F294" s="19" t="n"/>
      <c r="G294" s="19" t="n"/>
      <c r="H294" s="19" t="n"/>
      <c r="I294" s="19" t="n">
        <v>0</v>
      </c>
    </row>
    <row r="295">
      <c r="B295" s="18" t="inlineStr">
        <is>
          <t>155011 Fixed Assets:Leasehold Improvements:Leasehold Improvements - Santa Barbara</t>
        </is>
      </c>
      <c r="C295" s="19" t="n"/>
      <c r="D295" s="19" t="n">
        <v>-844.5</v>
      </c>
      <c r="E295" s="19" t="n"/>
      <c r="F295" s="19" t="n"/>
      <c r="G295" s="19" t="n"/>
      <c r="H295" s="19" t="n"/>
      <c r="I295" s="19" t="n">
        <v>0</v>
      </c>
    </row>
    <row r="296">
      <c r="B296" s="18" t="inlineStr">
        <is>
          <t>155012 Fixed Assets:Leasehold Improvements:Leasehold Improvements- Culver</t>
        </is>
      </c>
      <c r="C296" s="19" t="n"/>
      <c r="D296" s="19" t="n"/>
      <c r="E296" s="19" t="n"/>
      <c r="F296" s="19" t="n"/>
      <c r="G296" s="19" t="n"/>
      <c r="H296" s="19" t="n">
        <v>-2299.2</v>
      </c>
      <c r="I296" s="19" t="n">
        <v>0</v>
      </c>
    </row>
    <row r="297">
      <c r="B297" s="18" t="inlineStr">
        <is>
          <t>155014 Fixed Assets:Leasehold Improvements:Leasehold Improvements- Santa Monica</t>
        </is>
      </c>
      <c r="C297" s="19" t="n"/>
      <c r="D297" s="19" t="n"/>
      <c r="E297" s="19" t="n"/>
      <c r="F297" s="19" t="n">
        <v>-1035.5</v>
      </c>
      <c r="G297" s="19" t="n"/>
      <c r="H297" s="19" t="n"/>
      <c r="I297" s="19" t="n">
        <v>0</v>
      </c>
    </row>
    <row r="298">
      <c r="B298" s="18" t="inlineStr">
        <is>
          <t>155015 Fixed Assets:Leasehold Improvements:Leasehold Improvements- Westportal</t>
        </is>
      </c>
      <c r="C298" s="19" t="n">
        <v>-17810.67</v>
      </c>
      <c r="D298" s="19" t="n">
        <v>-6250</v>
      </c>
      <c r="E298" s="19" t="n">
        <v>-24075</v>
      </c>
      <c r="F298" s="19" t="n"/>
      <c r="G298" s="19" t="n"/>
      <c r="H298" s="19" t="n"/>
      <c r="I298" s="19" t="n">
        <v>0</v>
      </c>
    </row>
    <row r="299">
      <c r="B299" s="18" t="inlineStr">
        <is>
          <t>Net cash provided by investing activities</t>
        </is>
      </c>
      <c r="C299" s="19" t="n">
        <v>-17810.67</v>
      </c>
      <c r="D299" s="19" t="n">
        <v>-6665.01</v>
      </c>
      <c r="E299" s="19" t="n">
        <v>-26411</v>
      </c>
      <c r="F299" s="19" t="n">
        <v>-1035.5</v>
      </c>
      <c r="G299" s="19" t="n">
        <v>0</v>
      </c>
      <c r="H299" s="19" t="n">
        <v>-2299.2</v>
      </c>
      <c r="I299" s="19" t="n">
        <v>-2150</v>
      </c>
    </row>
    <row r="300">
      <c r="B300" s="18" t="inlineStr">
        <is>
          <t>FINANCING ACTIVITIES</t>
        </is>
      </c>
      <c r="C300" s="19" t="n"/>
      <c r="D300" s="19" t="n"/>
      <c r="E300" s="19" t="n"/>
      <c r="F300" s="19" t="n"/>
      <c r="G300" s="19" t="n"/>
      <c r="H300" s="19" t="n"/>
      <c r="I300" s="19" t="n">
        <v>0</v>
      </c>
    </row>
    <row r="301">
      <c r="B301" s="18" t="inlineStr">
        <is>
          <t>240000 ROU - Studio Lease Liabilities - L/T</t>
        </is>
      </c>
      <c r="C301" s="19" t="n">
        <v>-120768.38</v>
      </c>
      <c r="D301" s="19" t="n">
        <v>-121030.88</v>
      </c>
      <c r="E301" s="19" t="n">
        <v>-121368.46</v>
      </c>
      <c r="F301" s="19" t="n">
        <v>-122674.53</v>
      </c>
      <c r="G301" s="19" t="n">
        <v>-122674.53</v>
      </c>
      <c r="H301" s="19" t="n">
        <v>-114783.66</v>
      </c>
      <c r="I301" s="19" t="n">
        <v>-114783.66</v>
      </c>
    </row>
    <row r="302">
      <c r="B302" s="18" t="inlineStr">
        <is>
          <t>Net cash provided by financing activities</t>
        </is>
      </c>
      <c r="C302" s="19" t="n">
        <v>-120768.38</v>
      </c>
      <c r="D302" s="19" t="n">
        <v>-121030.88</v>
      </c>
      <c r="E302" s="19" t="n">
        <v>-121368.46</v>
      </c>
      <c r="F302" s="19" t="n">
        <v>-122674.53</v>
      </c>
      <c r="G302" s="19" t="n">
        <v>-122674.53</v>
      </c>
      <c r="H302" s="19" t="n">
        <v>-114783.66</v>
      </c>
      <c r="I302" s="19" t="n">
        <v>-114783.66</v>
      </c>
    </row>
    <row r="303">
      <c r="B303" s="18" t="inlineStr">
        <is>
          <t>NET CASH INCREASE FOR PERIOD</t>
        </is>
      </c>
      <c r="C303" s="19" t="n">
        <v>-113905.89</v>
      </c>
      <c r="D303" s="19" t="n">
        <v>74292.55</v>
      </c>
      <c r="E303" s="19" t="n">
        <v>-22603.64</v>
      </c>
      <c r="F303" s="19" t="n">
        <v>235265.43</v>
      </c>
      <c r="G303" s="19" t="n">
        <v>-299503</v>
      </c>
      <c r="H303" s="19" t="n">
        <v>-9580.940000000001</v>
      </c>
      <c r="I303" s="19" t="n">
        <v>60280.18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2026-05-27T03:59:43Z</dcterms:created>
  <dcterms:modified xmlns:dcterms="http://purl.org/dc/terms/" xmlns:xsi="http://www.w3.org/2001/XMLSchema-instance" xsi:type="dcterms:W3CDTF">2026-08-24T18:32:45Z</dcterms:modified>
  <cp:lastModifiedBy>Chandler Clemons</cp:lastModifiedBy>
</cp:coreProperties>
</file>