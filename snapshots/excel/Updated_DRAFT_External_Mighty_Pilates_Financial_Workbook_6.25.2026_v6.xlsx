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4125" windowWidth="24240" windowHeight="13020" tabRatio="600" firstSheet="0" activeTab="1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Cash, Debt &amp; Equity" sheetId="8" state="visible" r:id="rId8"/>
    <sheet xmlns:r="http://schemas.openxmlformats.org/officeDocument/2006/relationships" name="Cash Flow Forecast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All Studios Summary" sheetId="11" state="visible" r:id="rId11"/>
    <sheet xmlns:r="http://schemas.openxmlformats.org/officeDocument/2006/relationships" name="BK P&amp;L" sheetId="12" state="visible" r:id="rId12"/>
    <sheet xmlns:r="http://schemas.openxmlformats.org/officeDocument/2006/relationships" name="CC P&amp;L" sheetId="13" state="visible" r:id="rId13"/>
    <sheet xmlns:r="http://schemas.openxmlformats.org/officeDocument/2006/relationships" name="DN P&amp;L" sheetId="14" state="visible" r:id="rId14"/>
    <sheet xmlns:r="http://schemas.openxmlformats.org/officeDocument/2006/relationships" name="LF P&amp;L" sheetId="15" state="visible" r:id="rId15"/>
    <sheet xmlns:r="http://schemas.openxmlformats.org/officeDocument/2006/relationships" name="MR P&amp;L" sheetId="16" state="visible" r:id="rId16"/>
    <sheet xmlns:r="http://schemas.openxmlformats.org/officeDocument/2006/relationships" name="OP P&amp;L" sheetId="17" state="visible" r:id="rId17"/>
    <sheet xmlns:r="http://schemas.openxmlformats.org/officeDocument/2006/relationships" name="PH P&amp;L" sheetId="18" state="visible" r:id="rId18"/>
    <sheet xmlns:r="http://schemas.openxmlformats.org/officeDocument/2006/relationships" name="RH P&amp;L" sheetId="19" state="visible" r:id="rId19"/>
    <sheet xmlns:r="http://schemas.openxmlformats.org/officeDocument/2006/relationships" name="SB P&amp;L" sheetId="20" state="visible" r:id="rId20"/>
    <sheet xmlns:r="http://schemas.openxmlformats.org/officeDocument/2006/relationships" name="SM P&amp;L" sheetId="21" state="visible" r:id="rId21"/>
    <sheet xmlns:r="http://schemas.openxmlformats.org/officeDocument/2006/relationships" name="WP P&amp;L" sheetId="22" state="visible" r:id="rId22"/>
    <sheet xmlns:r="http://schemas.openxmlformats.org/officeDocument/2006/relationships" name="WW P&amp;L" sheetId="23" state="visible" r:id="rId23"/>
    <sheet xmlns:r="http://schemas.openxmlformats.org/officeDocument/2006/relationships" name="HO P&amp;L" sheetId="24" state="visible" r:id="rId24"/>
    <sheet xmlns:r="http://schemas.openxmlformats.org/officeDocument/2006/relationships" name="CapEx" sheetId="25" state="visible" r:id="rId25"/>
    <sheet xmlns:r="http://schemas.openxmlformats.org/officeDocument/2006/relationships" name="QBO Actuals" sheetId="26" state="hidden" r:id="rId26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9">
    <numFmt numFmtId="164" formatCode="#,##0;[Red]\(#,##0\);&quot;-&quot;"/>
    <numFmt numFmtId="165" formatCode="0.0%"/>
    <numFmt numFmtId="166" formatCode="#,##0.00\ _€"/>
    <numFmt numFmtId="167" formatCode="_(&quot;$&quot;* #,##0_);_(&quot;$&quot;* \(#,##0\);_(&quot;$&quot;* &quot;-&quot;??_);_(@_)"/>
    <numFmt numFmtId="168" formatCode="0.0\x"/>
    <numFmt numFmtId="169" formatCode="&quot;$&quot;#,##0_);\(&quot;$&quot;#,##0\)"/>
    <numFmt numFmtId="170" formatCode="&quot;$&quot;#,##0_);[Red]\(&quot;$&quot;#,##0\)"/>
    <numFmt numFmtId="171" formatCode="General\P"/>
    <numFmt numFmtId="172" formatCode="General\A"/>
  </numFmts>
  <fonts count="51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b val="1"/>
      <sz val="11"/>
    </font>
    <font>
      <b val="1"/>
    </font>
    <font/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167" fontId="0" fillId="22" borderId="0" pivotButton="0" quotePrefix="0" xfId="0"/>
    <xf numFmtId="164" fontId="17" fillId="22" borderId="2" pivotButton="0" quotePrefix="0" xfId="0"/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8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0" fontId="30" fillId="0" borderId="0" pivotButton="0" quotePrefix="0" xfId="0"/>
    <xf numFmtId="169" fontId="30" fillId="0" borderId="0" pivotButton="0" quotePrefix="0" xfId="0"/>
    <xf numFmtId="0" fontId="40" fillId="0" borderId="0" pivotButton="0" quotePrefix="0" xfId="0"/>
    <xf numFmtId="170" fontId="0" fillId="0" borderId="0" pivotButton="0" quotePrefix="0" xfId="0"/>
    <xf numFmtId="169" fontId="0" fillId="0" borderId="11" pivotButton="0" quotePrefix="0" xfId="0"/>
    <xf numFmtId="0" fontId="30" fillId="0" borderId="0" applyAlignment="1" pivotButton="0" quotePrefix="0" xfId="0">
      <alignment horizontal="left" indent="1"/>
    </xf>
    <xf numFmtId="171" fontId="11" fillId="6" borderId="0" applyAlignment="1" pivotButton="0" quotePrefix="0" xfId="0">
      <alignment horizontal="center" vertical="center"/>
    </xf>
    <xf numFmtId="172" fontId="11" fillId="8" borderId="0" applyAlignment="1" pivotButton="0" quotePrefix="0" xfId="0">
      <alignment horizontal="center" vertical="center"/>
    </xf>
    <xf numFmtId="169" fontId="41" fillId="0" borderId="0" pivotButton="0" quotePrefix="0" xfId="0"/>
    <xf numFmtId="170" fontId="41" fillId="0" borderId="11" pivotButton="0" quotePrefix="0" xfId="0"/>
    <xf numFmtId="170" fontId="43" fillId="0" borderId="11" pivotButton="0" quotePrefix="0" xfId="0"/>
    <xf numFmtId="169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0" fontId="0" fillId="23" borderId="0" pivotButton="0" quotePrefix="0" xfId="0"/>
    <xf numFmtId="170" fontId="0" fillId="23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9" fontId="39" fillId="0" borderId="0" pivotButton="0" quotePrefix="0" xfId="0"/>
    <xf numFmtId="170" fontId="30" fillId="0" borderId="0" pivotButton="0" quotePrefix="0" xfId="0"/>
    <xf numFmtId="170" fontId="42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8" fontId="0" fillId="0" borderId="0" pivotButton="0" quotePrefix="0" xfId="0"/>
    <xf numFmtId="0" fontId="30" fillId="0" borderId="0" applyAlignment="1" pivotButton="0" quotePrefix="0" xfId="0">
      <alignment horizontal="center"/>
    </xf>
    <xf numFmtId="171" fontId="3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70" fontId="46" fillId="0" borderId="0" pivotButton="0" quotePrefix="0" xfId="0"/>
    <xf numFmtId="168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169" fontId="39" fillId="0" borderId="0" pivotButton="0" quotePrefix="0" xfId="0"/>
    <xf numFmtId="169" fontId="43" fillId="0" borderId="0" pivotButton="0" quotePrefix="0" xfId="0"/>
    <xf numFmtId="169" fontId="41" fillId="0" borderId="0" pivotButton="0" quotePrefix="0" xfId="0"/>
    <xf numFmtId="170" fontId="43" fillId="0" borderId="11" pivotButton="0" quotePrefix="0" xfId="0"/>
    <xf numFmtId="169" fontId="30" fillId="0" borderId="0" pivotButton="0" quotePrefix="0" xfId="0"/>
    <xf numFmtId="169" fontId="0" fillId="0" borderId="11" pivotButton="0" quotePrefix="0" xfId="0"/>
    <xf numFmtId="171" fontId="30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172" fontId="11" fillId="8" borderId="0" applyAlignment="1" pivotButton="0" quotePrefix="0" xfId="0">
      <alignment horizontal="center" vertical="center"/>
    </xf>
    <xf numFmtId="171" fontId="11" fillId="6" borderId="0" applyAlignment="1" pivotButton="0" quotePrefix="0" xfId="0">
      <alignment horizontal="center" vertical="center"/>
    </xf>
    <xf numFmtId="170" fontId="0" fillId="23" borderId="0" pivotButton="0" quotePrefix="0" xfId="0"/>
    <xf numFmtId="170" fontId="42" fillId="0" borderId="0" pivotButton="0" quotePrefix="0" xfId="0"/>
    <xf numFmtId="170" fontId="0" fillId="0" borderId="0" pivotButton="0" quotePrefix="0" xfId="0"/>
    <xf numFmtId="170" fontId="41" fillId="0" borderId="11" pivotButton="0" quotePrefix="0" xfId="0"/>
    <xf numFmtId="170" fontId="30" fillId="0" borderId="0" pivotButton="0" quotePrefix="0" xfId="0"/>
    <xf numFmtId="170" fontId="46" fillId="0" borderId="0" pivotButton="0" quotePrefix="0" xfId="0"/>
    <xf numFmtId="0" fontId="5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29"/>
  <sheetViews>
    <sheetView showGridLines="0" tabSelected="1" zoomScale="80" zoomScaleNormal="80" workbookViewId="0">
      <selection activeCell="A1" sqref="A1"/>
    </sheetView>
  </sheetViews>
  <sheetFormatPr baseColWidth="8" defaultRowHeight="14.25"/>
  <cols>
    <col width="62.33203125" customWidth="1" style="142" min="2" max="2"/>
    <col width="18.19921875" customWidth="1" style="142" min="3" max="7"/>
  </cols>
  <sheetData>
    <row r="1" ht="14.65" customHeight="1" s="142" thickBot="1"/>
    <row r="2" ht="14.65" customHeight="1" s="142" thickBot="1">
      <c r="B2" s="91" t="inlineStr">
        <is>
          <t>NOTE: Model assumes transaction closes on Sept 1, 2026</t>
        </is>
      </c>
    </row>
    <row r="3">
      <c r="B3" s="92" t="n"/>
    </row>
    <row r="4">
      <c r="B4" s="93" t="inlineStr">
        <is>
          <t>Entry Valuation</t>
        </is>
      </c>
      <c r="C4" s="94" t="n"/>
    </row>
    <row r="5" ht="2.55" customHeight="1" s="142">
      <c r="B5" s="95" t="n"/>
      <c r="C5" s="96" t="n"/>
    </row>
    <row r="6">
      <c r="B6" s="96" t="inlineStr">
        <is>
          <t>EBITDA Multiple</t>
        </is>
      </c>
      <c r="C6" s="97" t="n">
        <v>5.5</v>
      </c>
    </row>
    <row r="7">
      <c r="B7" s="98" t="inlineStr">
        <is>
          <t>LTM May 2026 Studio Level EBITDA</t>
        </is>
      </c>
      <c r="C7" s="129">
        <f>SUM(Summary!BF23:BF34)</f>
        <v/>
      </c>
    </row>
    <row r="8">
      <c r="B8" s="99" t="inlineStr">
        <is>
          <t>Pre Money TEV</t>
        </is>
      </c>
      <c r="C8" s="143">
        <f>C7*C6</f>
        <v/>
      </c>
    </row>
    <row r="9">
      <c r="C9" s="144" t="n"/>
    </row>
    <row r="10">
      <c r="B10" s="93" t="inlineStr">
        <is>
          <t>Sources and Uses</t>
        </is>
      </c>
      <c r="C10" s="94" t="n"/>
    </row>
    <row r="11">
      <c r="B11" s="104" t="inlineStr">
        <is>
          <t>Uses</t>
        </is>
      </c>
    </row>
    <row r="12">
      <c r="B12" t="inlineStr">
        <is>
          <t>Pre Money TEV</t>
        </is>
      </c>
      <c r="C12" s="144">
        <f>C8</f>
        <v/>
      </c>
    </row>
    <row r="13">
      <c r="B13" t="inlineStr">
        <is>
          <t>Existing Debt Paydown (at August 2026)</t>
        </is>
      </c>
      <c r="C13" s="145">
        <f>'Cash, Debt &amp; Equity'!W26</f>
        <v/>
      </c>
    </row>
    <row r="14">
      <c r="B14" t="inlineStr">
        <is>
          <t>Cash on balance sheet for working capital, studio buildouts, etc.</t>
        </is>
      </c>
      <c r="C14" s="146">
        <f>C17-SUM(C12,C16,C15,C13)</f>
        <v/>
      </c>
    </row>
    <row r="15">
      <c r="B15" t="inlineStr">
        <is>
          <t>Legal Fees</t>
        </is>
      </c>
      <c r="C15" s="147" t="n">
        <v>50000</v>
      </c>
    </row>
    <row r="16">
      <c r="B16" t="inlineStr">
        <is>
          <t>Financing Fees (2% of raise)</t>
        </is>
      </c>
      <c r="C16" s="148">
        <f>D16*C20</f>
        <v/>
      </c>
      <c r="D16" s="130" t="n">
        <v>0.02</v>
      </c>
      <c r="E16" s="131" t="inlineStr">
        <is>
          <t>&lt;&lt;&lt; Fee</t>
        </is>
      </c>
    </row>
    <row r="17">
      <c r="B17" s="107" t="inlineStr">
        <is>
          <t>Total Uses</t>
        </is>
      </c>
      <c r="C17" s="149">
        <f>C22</f>
        <v/>
      </c>
      <c r="D17" s="114" t="n"/>
      <c r="E17" s="131" t="n"/>
    </row>
    <row r="18">
      <c r="D18" s="114" t="n"/>
      <c r="E18" s="131" t="n"/>
    </row>
    <row r="19">
      <c r="B19" s="104" t="inlineStr">
        <is>
          <t>Sources</t>
        </is>
      </c>
      <c r="D19" s="114" t="n"/>
      <c r="E19" s="131" t="n"/>
    </row>
    <row r="20">
      <c r="B20" t="inlineStr">
        <is>
          <t>New Debt (leasehold, certain amount covers losses)</t>
        </is>
      </c>
      <c r="C20" s="147" t="n">
        <v>1500000</v>
      </c>
      <c r="D20" s="130" t="n">
        <v>0.1</v>
      </c>
      <c r="E20" s="131" t="inlineStr">
        <is>
          <t>&lt;&lt;&lt; Cash Interest, paid monthly</t>
        </is>
      </c>
    </row>
    <row r="21">
      <c r="B21" t="inlineStr">
        <is>
          <t>Management Rollover</t>
        </is>
      </c>
      <c r="C21" s="150">
        <f>C12</f>
        <v/>
      </c>
    </row>
    <row r="22">
      <c r="B22" s="107" t="inlineStr">
        <is>
          <t>Total Uses</t>
        </is>
      </c>
      <c r="C22" s="149">
        <f>SUM(C20:C21)</f>
        <v/>
      </c>
    </row>
    <row r="24">
      <c r="B24" s="93" t="inlineStr">
        <is>
          <t>Debt Service Coverage Metrics</t>
        </is>
      </c>
      <c r="C24" s="94" t="n"/>
      <c r="D24" s="94" t="n"/>
      <c r="E24" s="94" t="n"/>
      <c r="F24" s="94" t="n"/>
    </row>
    <row r="25">
      <c r="C25" s="134" t="inlineStr">
        <is>
          <t>LTM May 2026</t>
        </is>
      </c>
      <c r="D25" s="151" t="n">
        <v>2026</v>
      </c>
      <c r="E25" s="151">
        <f>D25+1</f>
        <v/>
      </c>
      <c r="F25" s="151">
        <f>E25+1</f>
        <v/>
      </c>
      <c r="G25" s="114" t="n"/>
    </row>
    <row r="26">
      <c r="B26">
        <f>'Cash Flow Forecast'!B55</f>
        <v/>
      </c>
      <c r="C26" s="136">
        <f>'Cash Flow Forecast'!BF55</f>
        <v/>
      </c>
      <c r="D26" s="136">
        <f>'Cash Flow Forecast'!BB55</f>
        <v/>
      </c>
      <c r="E26" s="136">
        <f>'Cash Flow Forecast'!BC55</f>
        <v/>
      </c>
      <c r="F26" s="136">
        <f>'Cash Flow Forecast'!BD55</f>
        <v/>
      </c>
      <c r="G26" s="114" t="n"/>
    </row>
    <row r="27">
      <c r="B27">
        <f>'Cash Flow Forecast'!B56</f>
        <v/>
      </c>
      <c r="C27" s="136">
        <f>'Cash Flow Forecast'!BF56</f>
        <v/>
      </c>
      <c r="D27" s="136">
        <f>'Cash Flow Forecast'!BB56</f>
        <v/>
      </c>
      <c r="E27" s="136">
        <f>'Cash Flow Forecast'!BC56</f>
        <v/>
      </c>
      <c r="F27" s="136">
        <f>'Cash Flow Forecast'!BD56</f>
        <v/>
      </c>
      <c r="G27" s="114" t="n"/>
    </row>
    <row r="28">
      <c r="B28">
        <f>'Cash Flow Forecast'!B57</f>
        <v/>
      </c>
      <c r="C28" s="136">
        <f>'Cash Flow Forecast'!BF57</f>
        <v/>
      </c>
      <c r="D28" s="136">
        <f>'Cash Flow Forecast'!BB57</f>
        <v/>
      </c>
      <c r="E28" s="136">
        <f>'Cash Flow Forecast'!BC57</f>
        <v/>
      </c>
      <c r="F28" s="136">
        <f>'Cash Flow Forecast'!BD57</f>
        <v/>
      </c>
      <c r="G28" s="114" t="n"/>
    </row>
    <row r="29">
      <c r="B29">
        <f>'Cash Flow Forecast'!B58</f>
        <v/>
      </c>
      <c r="C29" s="136">
        <f>'Cash Flow Forecast'!BF58</f>
        <v/>
      </c>
      <c r="D29" s="136">
        <f>IFERROR('Cash Flow Forecast'!BB58,"NA")</f>
        <v/>
      </c>
      <c r="E29" s="136">
        <f>'Cash Flow Forecast'!BC58</f>
        <v/>
      </c>
      <c r="F29" s="136">
        <f>'Cash Flow Forecast'!BD58</f>
        <v/>
      </c>
      <c r="G29" s="1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90" customWidth="1" style="142" min="2" max="2"/>
    <col width="70" customWidth="1" style="142" min="3" max="3"/>
  </cols>
  <sheetData>
    <row r="2" ht="31.05" customHeight="1" s="142">
      <c r="B2" s="1" t="inlineStr">
        <is>
          <t>Mighty Pilates</t>
        </is>
      </c>
    </row>
    <row r="3" ht="24" customHeight="1" s="142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C67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13" customWidth="1" style="142" min="1" max="1"/>
    <col width="30" customWidth="1" style="142" min="2" max="2"/>
    <col width="100" customWidth="1" style="142" min="3" max="3"/>
  </cols>
  <sheetData>
    <row r="2" ht="21" customHeight="1" s="14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.05" customHeight="1" s="142">
      <c r="B5" s="58" t="inlineStr">
        <is>
          <t>Tab Roles</t>
        </is>
      </c>
      <c r="C5" s="59" t="n"/>
    </row>
    <row r="6" ht="15" customHeight="1" s="14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14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14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14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14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14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14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14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14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14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14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.05" customHeight="1" s="142">
      <c r="B18" s="58" t="inlineStr">
        <is>
          <t>Cell Conventions</t>
        </is>
      </c>
      <c r="C18" s="59" t="n"/>
    </row>
    <row r="19" ht="15" customHeight="1" s="14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14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14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14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142">
      <c r="B23" s="60" t="inlineStr">
        <is>
          <t>Bold green fill</t>
        </is>
      </c>
      <c r="C23" s="61" t="inlineStr">
        <is>
          <t>Key KPI (EBITDA, ending cash).</t>
        </is>
      </c>
    </row>
    <row r="25" ht="16.05" customHeight="1" s="142">
      <c r="B25" s="58" t="inlineStr">
        <is>
          <t>Value Flow</t>
        </is>
      </c>
      <c r="C25" s="59" t="n"/>
    </row>
    <row r="26" ht="45" customHeight="1" s="14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14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14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.05" customHeight="1" s="142">
      <c r="B30" s="58" t="inlineStr">
        <is>
          <t>Hidden Helpers — DO NOT DELETE</t>
        </is>
      </c>
      <c r="C30" s="59" t="n"/>
    </row>
    <row r="31" ht="45" customHeight="1" s="14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14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.05" customHeight="1" s="142">
      <c r="B34" s="58" t="inlineStr">
        <is>
          <t>Monthly Update Procedure (when QBO closes new month)</t>
        </is>
      </c>
      <c r="C34" s="59" t="n"/>
    </row>
    <row r="35" ht="30" customHeight="1" s="14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14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14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14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.05" customHeight="1" s="142">
      <c r="B40" s="58" t="inlineStr">
        <is>
          <t>Streamlit Source Repo</t>
        </is>
      </c>
      <c r="C40" s="59" t="n"/>
    </row>
    <row r="41" ht="15" customHeight="1" s="142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142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142">
      <c r="B43" s="60" t="inlineStr">
        <is>
          <t>Local files</t>
        </is>
      </c>
      <c r="C43" s="61" t="inlineStr">
        <is>
          <t>/Users/chandlerclemons/mighty-pilates/dashboard/data/</t>
        </is>
      </c>
    </row>
    <row r="45">
      <c r="B45" s="152" t="inlineStr">
        <is>
          <t>Cash Sales vs Accrual Revenue</t>
        </is>
      </c>
    </row>
    <row r="46">
      <c r="B46" s="153" t="inlineStr">
        <is>
          <t>Sales Forecast / Summary</t>
        </is>
      </c>
      <c r="C46" s="154" t="inlineStr">
        <is>
          <t>These tabs show CASH SALES: Total Sales captured at the MindBody point-of-sale when a member buys a class pack, membership, or workshop.</t>
        </is>
      </c>
    </row>
    <row r="47">
      <c r="B47" s="153" t="inlineStr">
        <is>
          <t>Studio P&amp;L / All Studios</t>
        </is>
      </c>
      <c r="C47" s="154" t="inlineStr">
        <is>
          <t>These tabs show ACCRUAL P&amp;L REVENUE: Sessions recognized over the package usage window + Breakage when unused packages expire − Refunds − Discounts.</t>
        </is>
      </c>
    </row>
    <row r="48">
      <c r="B48" s="153" t="inlineStr">
        <is>
          <t>Worked example</t>
        </is>
      </c>
      <c r="C48" s="154" t="inlineStr">
        <is>
          <t>Berkeley Dec 2028: Cash Sales $164K, Accrual Revenue $140K. The $24K gap = packages sold in Dec 2028 that will be USED (or breakage'd) in later months.</t>
        </is>
      </c>
    </row>
    <row r="49">
      <c r="B49" s="153" t="inlineStr">
        <is>
          <t>Reconciliation horizon</t>
        </is>
      </c>
      <c r="C49" s="154" t="inlineStr">
        <is>
          <t>These metrics diverge in any individual month by design. They reconcile only over the full lifecycle of a cohort of packages (typically 6-12 months from purchase).</t>
        </is>
      </c>
    </row>
    <row r="50">
      <c r="B50" s="153" t="inlineStr">
        <is>
          <t>Both are correct</t>
        </is>
      </c>
      <c r="C50" s="154" t="inlineStr">
        <is>
          <t>Cash Sales is the operating KPI (what closed at the counter). Accrual Revenue is the GAAP P&amp;L line (what's earned). Neither is wrong.</t>
        </is>
      </c>
    </row>
    <row r="52">
      <c r="B52" s="152" t="inlineStr">
        <is>
          <t>Property Tax — forecast assumption</t>
        </is>
      </c>
    </row>
    <row r="53">
      <c r="B53" s="153" t="inlineStr">
        <is>
          <t>Why hardcoded</t>
        </is>
      </c>
      <c r="C53" s="154" t="inlineStr">
        <is>
          <t>Property Tax on consolidated P&amp;L row 26 is kept as a hardcoded forecast value rather than linked to individual P&amp;L tabs because the QBO source booked property tax at corporate (Norbrook) level, not per-studio. Studio P&amp;L row 68 ('903000 Property taxes') is $0 in actuals.</t>
        </is>
      </c>
    </row>
    <row r="54">
      <c r="B54" s="153" t="inlineStr">
        <is>
          <t>Forecast basis</t>
        </is>
      </c>
      <c r="C54" s="154" t="inlineStr">
        <is>
          <t>Forecast value $4178.19/mo = 2025 actual annual Property Taxes ($50,138.23) / 12. Conservative assumption that 2026 onwards will run at the same rate.</t>
        </is>
      </c>
    </row>
    <row r="55">
      <c r="B55" s="153" t="inlineStr">
        <is>
          <t>If you want it linked</t>
        </is>
      </c>
      <c r="C55" s="154" t="inlineStr">
        <is>
          <t>Would require either (a) inserting a Property Tax row on HO P&amp;L (structural change with downstream formula updates), or (b) allocating across studios by some basis (revenue weight, square footage, etc.). Either is doable — let me know.</t>
        </is>
      </c>
    </row>
    <row r="57">
      <c r="B57" s="152" t="inlineStr">
        <is>
          <t>Operating Expenses — residual gap vs accountant actuals</t>
        </is>
      </c>
    </row>
    <row r="58">
      <c r="B58" s="153" t="inlineStr">
        <is>
          <t>Categories tracked</t>
        </is>
      </c>
      <c r="C58" s="154" t="inlineStr">
        <is>
          <t>The consolidated P&amp;L tracks 7 OpEx categories: Marketing (r14), Payroll (r15), Software &amp; Admin (r16), Professional Fees (r17), Utilities (r18), Property Costs (r19), Travel &amp; Meals (r20).</t>
        </is>
      </c>
    </row>
    <row r="59">
      <c r="B59" s="153" t="inlineStr">
        <is>
          <t>Categories NOT separately tracked</t>
        </is>
      </c>
      <c r="C59" s="154" t="inlineStr">
        <is>
          <t>The accountant's actuals include a handful of smaller categories the model doesn't break out: 610100 Furniture &amp; Equipment, 611000 Shipping &amp; postage, 613000 Bank fees (corporate), 615000 Parking Lot Rental, 609000 Business licenses, 607000 Entertainment. Combined ~$5-10K/month.</t>
        </is>
      </c>
    </row>
    <row r="60">
      <c r="B60" s="153" t="inlineStr">
        <is>
          <t>Residual gap</t>
        </is>
      </c>
      <c r="C60" s="154" t="inlineStr">
        <is>
          <t>Model's r21 actuals ≈ accountant 'Total Expenses' minus the ~$5-10K of untracked categories. Material for accountant reconciliation, immaterial (~1% of monthly OpEx) for the lender forecast model. To close the gap, add new rows on P&amp;L + studio/HO P&amp;L tabs to capture these categories explicitly.</t>
        </is>
      </c>
    </row>
    <row r="62">
      <c r="B62" s="152" t="inlineStr">
        <is>
          <t>Consolidated P&amp;L category mapping</t>
        </is>
      </c>
    </row>
    <row r="63">
      <c r="B63" s="153" t="inlineStr">
        <is>
          <t>Why 2025 is hardcoded from QBO</t>
        </is>
      </c>
      <c r="C63" s="154" t="inlineStr">
        <is>
          <t>2025 consolidated P&amp;L values are pulled directly from the QBO 2025 financial package (Mighty Pilates_Financials_2025_062326.xlsx) to guarantee tie-out to accountant. They are not summed from the per-studio P&amp;L tabs.</t>
        </is>
      </c>
    </row>
    <row r="64">
      <c r="B64" s="153" t="inlineStr">
        <is>
          <t>Where Old Mighty Revenue lives</t>
        </is>
      </c>
      <c r="C64" s="154" t="inlineStr">
        <is>
          <t>QBO has a 402000 Revenue from Old Mighty line ($440K in 2025, tailing from $180K Jan to $1K Dec). It is absorbed into r6 Session Revenue for 2025 (no separate row). For 2026+ it is $0.</t>
        </is>
      </c>
    </row>
    <row r="65">
      <c r="B65" s="153" t="inlineStr">
        <is>
          <t>Row 16 Software composition</t>
        </is>
      </c>
      <c r="C65" s="154" t="inlineStr">
        <is>
          <t>For 2025 actuals, r16 covers QBO 603 Software + 608 Insurance + 610 Office Supplies + 610100 Furniture &amp; Equipment + 611 Shipping &amp; Postage + 613 Bank Fees (corporate). Best read as 'Software &amp; Admin Overhead'.</t>
        </is>
      </c>
    </row>
    <row r="66">
      <c r="B66" s="153" t="inlineStr">
        <is>
          <t>Row 20 Other Operating composition</t>
        </is>
      </c>
      <c r="C66" s="154" t="inlineStr">
        <is>
          <t>For 2025 actuals, r20 covers QBO 605 Travel + 606 Meals + 607 Entertainment + 609 Business Licenses + 615 Parking Lot Rental + 630 Studio Start Up Costs. For 2026+ forecast, r20 formula sums Travel &amp; Meals only (studios r50 + HO r30) — conservative forecast that excludes one-time start-up + parking.</t>
        </is>
      </c>
    </row>
    <row r="67">
      <c r="B67" s="153" t="inlineStr">
        <is>
          <t>All Total rows are now formulas</t>
        </is>
      </c>
      <c r="C67" s="154" t="inlineStr">
        <is>
          <t>r11 Total Revenue, r13 Gross Profit, r22 NOI, r27 Total Other Expenses, r28 Net Income all use =SUM or arithmetic formulas now. Sums tie to components by definition.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B2:BH126"/>
  <sheetViews>
    <sheetView showGridLines="0" view="pageBreakPreview" topLeftCell="B2" zoomScale="80" zoomScaleNormal="70" zoomScaleSheetLayoutView="80" workbookViewId="0">
      <pane xSplit="4" ySplit="7" topLeftCell="F9" activePane="bottomRight" state="frozen"/>
      <selection activeCell="B2" sqref="B2"/>
      <selection pane="topRight" activeCell="F2" sqref="F2"/>
      <selection pane="bottomLeft" activeCell="B9" sqref="B9"/>
      <selection pane="bottomRight" activeCell="F9" sqref="F9"/>
    </sheetView>
  </sheetViews>
  <sheetFormatPr baseColWidth="8" defaultColWidth="8.796875" defaultRowHeight="14.25"/>
  <cols>
    <col hidden="1" width="2" customWidth="1" style="142" min="1" max="1"/>
    <col width="24" customWidth="1" style="142" min="2" max="2"/>
    <col width="22" customWidth="1" style="142" min="3" max="3"/>
    <col width="11" customWidth="1" style="142" min="4" max="39"/>
    <col width="10.19921875" bestFit="1" customWidth="1" style="142" min="53" max="56"/>
    <col width="9.6640625" bestFit="1" customWidth="1" style="142" min="57" max="57"/>
    <col width="11.796875" bestFit="1" customWidth="1" style="142" min="58" max="58"/>
  </cols>
  <sheetData>
    <row r="2" ht="21" customHeight="1" s="14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.05" customHeight="1" s="14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6">
        <f>SUM(I7:I19)</f>
        <v/>
      </c>
      <c r="J6" s="16">
        <f>SUM(J7:J19)</f>
        <v/>
      </c>
      <c r="K6" s="16">
        <f>SUM(K7:K19)</f>
        <v/>
      </c>
      <c r="L6" s="16">
        <f>SUM(L7:L19)</f>
        <v/>
      </c>
      <c r="M6" s="16">
        <f>SUM(M7:M19)</f>
        <v/>
      </c>
      <c r="N6" s="16">
        <f>SUM(N7:N19)</f>
        <v/>
      </c>
      <c r="O6" s="16">
        <f>SUM(O7:O19)</f>
        <v/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H18" s="24">
        <f>SUM(BA18:BD18)-SUM(D18:AY18)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  <c r="BA19" s="41">
        <f>SUM(D19:O19)</f>
        <v/>
      </c>
      <c r="BB19" s="41">
        <f>SUM(P19:AA19)</f>
        <v/>
      </c>
      <c r="BC19" s="41">
        <f>SUM(AB19:AM19)</f>
        <v/>
      </c>
      <c r="BD19" s="41">
        <f>SUM(AN19:AY19)</f>
        <v/>
      </c>
      <c r="BF19" s="41">
        <f>SUM(I19:T19)</f>
        <v/>
      </c>
      <c r="BH19" s="24">
        <f>SUM(BA19:BD19)-SUM(D19:AY19)</f>
        <v/>
      </c>
    </row>
    <row r="20" ht="16.05" customHeight="1" s="142"/>
    <row r="21" ht="16.05" customHeight="1" s="142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BA21" s="11" t="n"/>
      <c r="BB21" s="11" t="n"/>
      <c r="BC21" s="11" t="n"/>
      <c r="BD21" s="11" t="n"/>
      <c r="BF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6">
        <f>SUM(H23:H35)</f>
        <v/>
      </c>
      <c r="I22" s="16">
        <f>SUM(I23:I35)</f>
        <v/>
      </c>
      <c r="J22" s="16">
        <f>SUM(J23:J35)</f>
        <v/>
      </c>
      <c r="K22" s="16">
        <f>SUM(K23:K35)</f>
        <v/>
      </c>
      <c r="L22" s="16">
        <f>SUM(L23:L35)</f>
        <v/>
      </c>
      <c r="M22" s="16">
        <f>SUM(M23:M35)</f>
        <v/>
      </c>
      <c r="N22" s="16">
        <f>SUM(N23:N35)</f>
        <v/>
      </c>
      <c r="O22" s="16">
        <f>SUM(O23:O35)</f>
        <v/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  <c r="BA22" s="17">
        <f>SUM(D22:O22)</f>
        <v/>
      </c>
      <c r="BB22" s="17">
        <f>SUM(P22:AA22)</f>
        <v/>
      </c>
      <c r="BC22" s="17">
        <f>SUM(AB22:AM22)</f>
        <v/>
      </c>
      <c r="BD22" s="17">
        <f>SUM(AN22:AY22)</f>
        <v/>
      </c>
      <c r="BF22" s="17">
        <f>SUM(I22:T22)</f>
        <v/>
      </c>
      <c r="BH22" s="24">
        <f>SUM(BA22:BD22)-SUM(D22:AY22)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19">
        <f>'BK P&amp;L'!H63</f>
        <v/>
      </c>
      <c r="I23" s="19">
        <f>'BK P&amp;L'!I63</f>
        <v/>
      </c>
      <c r="J23" s="19">
        <f>'BK P&amp;L'!J63</f>
        <v/>
      </c>
      <c r="K23" s="19">
        <f>'BK P&amp;L'!K63</f>
        <v/>
      </c>
      <c r="L23" s="19">
        <f>'BK P&amp;L'!L63</f>
        <v/>
      </c>
      <c r="M23" s="19">
        <f>'BK P&amp;L'!M63</f>
        <v/>
      </c>
      <c r="N23" s="19">
        <f>'BK P&amp;L'!N63</f>
        <v/>
      </c>
      <c r="O23" s="19">
        <f>'BK P&amp;L'!O63</f>
        <v/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  <c r="BA23" s="20">
        <f>SUM(D23:O23)</f>
        <v/>
      </c>
      <c r="BB23" s="20">
        <f>SUM(P23:AA23)</f>
        <v/>
      </c>
      <c r="BC23" s="20">
        <f>SUM(AB23:AM23)</f>
        <v/>
      </c>
      <c r="BD23" s="20">
        <f>SUM(AN23:AY23)</f>
        <v/>
      </c>
      <c r="BF23" s="20">
        <f>SUM(I23:T23)</f>
        <v/>
      </c>
      <c r="BH23" s="24">
        <f>SUM(BA23:BD23)-SUM(D23:AY23)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19">
        <f>'CC P&amp;L'!H63</f>
        <v/>
      </c>
      <c r="I24" s="19">
        <f>'CC P&amp;L'!I63</f>
        <v/>
      </c>
      <c r="J24" s="19">
        <f>'CC P&amp;L'!J63</f>
        <v/>
      </c>
      <c r="K24" s="19">
        <f>'CC P&amp;L'!K63</f>
        <v/>
      </c>
      <c r="L24" s="19">
        <f>'CC P&amp;L'!L63</f>
        <v/>
      </c>
      <c r="M24" s="19">
        <f>'CC P&amp;L'!M63</f>
        <v/>
      </c>
      <c r="N24" s="19">
        <f>'CC P&amp;L'!N63</f>
        <v/>
      </c>
      <c r="O24" s="19">
        <f>'CC P&amp;L'!O63</f>
        <v/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19">
        <f>'DN P&amp;L'!H63</f>
        <v/>
      </c>
      <c r="I25" s="19">
        <f>'DN P&amp;L'!I63</f>
        <v/>
      </c>
      <c r="J25" s="19">
        <f>'DN P&amp;L'!J63</f>
        <v/>
      </c>
      <c r="K25" s="19">
        <f>'DN P&amp;L'!K63</f>
        <v/>
      </c>
      <c r="L25" s="19">
        <f>'DN P&amp;L'!L63</f>
        <v/>
      </c>
      <c r="M25" s="19">
        <f>'DN P&amp;L'!M63</f>
        <v/>
      </c>
      <c r="N25" s="19">
        <f>'DN P&amp;L'!N63</f>
        <v/>
      </c>
      <c r="O25" s="19">
        <f>'DN P&amp;L'!O63</f>
        <v/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19">
        <f>'LF P&amp;L'!H63</f>
        <v/>
      </c>
      <c r="I26" s="19">
        <f>'LF P&amp;L'!I63</f>
        <v/>
      </c>
      <c r="J26" s="19">
        <f>'LF P&amp;L'!J63</f>
        <v/>
      </c>
      <c r="K26" s="19">
        <f>'LF P&amp;L'!K63</f>
        <v/>
      </c>
      <c r="L26" s="19">
        <f>'LF P&amp;L'!L63</f>
        <v/>
      </c>
      <c r="M26" s="19">
        <f>'LF P&amp;L'!M63</f>
        <v/>
      </c>
      <c r="N26" s="19">
        <f>'LF P&amp;L'!N63</f>
        <v/>
      </c>
      <c r="O26" s="19">
        <f>'LF P&amp;L'!O63</f>
        <v/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19">
        <f>'MR P&amp;L'!H63</f>
        <v/>
      </c>
      <c r="I27" s="19">
        <f>'MR P&amp;L'!I63</f>
        <v/>
      </c>
      <c r="J27" s="19">
        <f>'MR P&amp;L'!J63</f>
        <v/>
      </c>
      <c r="K27" s="19">
        <f>'MR P&amp;L'!K63</f>
        <v/>
      </c>
      <c r="L27" s="19">
        <f>'MR P&amp;L'!L63</f>
        <v/>
      </c>
      <c r="M27" s="19">
        <f>'MR P&amp;L'!M63</f>
        <v/>
      </c>
      <c r="N27" s="19">
        <f>'MR P&amp;L'!N63</f>
        <v/>
      </c>
      <c r="O27" s="19">
        <f>'MR P&amp;L'!O63</f>
        <v/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19">
        <f>'OP P&amp;L'!H63</f>
        <v/>
      </c>
      <c r="I28" s="19">
        <f>'OP P&amp;L'!I63</f>
        <v/>
      </c>
      <c r="J28" s="19">
        <f>'OP P&amp;L'!J63</f>
        <v/>
      </c>
      <c r="K28" s="19">
        <f>'OP P&amp;L'!K63</f>
        <v/>
      </c>
      <c r="L28" s="19">
        <f>'OP P&amp;L'!L63</f>
        <v/>
      </c>
      <c r="M28" s="19">
        <f>'OP P&amp;L'!M63</f>
        <v/>
      </c>
      <c r="N28" s="19">
        <f>'OP P&amp;L'!N63</f>
        <v/>
      </c>
      <c r="O28" s="19">
        <f>'OP P&amp;L'!O63</f>
        <v/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19">
        <f>'PH P&amp;L'!H63</f>
        <v/>
      </c>
      <c r="I29" s="19">
        <f>'PH P&amp;L'!I63</f>
        <v/>
      </c>
      <c r="J29" s="19">
        <f>'PH P&amp;L'!J63</f>
        <v/>
      </c>
      <c r="K29" s="19">
        <f>'PH P&amp;L'!K63</f>
        <v/>
      </c>
      <c r="L29" s="19">
        <f>'PH P&amp;L'!L63</f>
        <v/>
      </c>
      <c r="M29" s="19">
        <f>'PH P&amp;L'!M63</f>
        <v/>
      </c>
      <c r="N29" s="19">
        <f>'PH P&amp;L'!N63</f>
        <v/>
      </c>
      <c r="O29" s="19">
        <f>'PH P&amp;L'!O63</f>
        <v/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19">
        <f>'RH P&amp;L'!H63</f>
        <v/>
      </c>
      <c r="I30" s="19">
        <f>'RH P&amp;L'!I63</f>
        <v/>
      </c>
      <c r="J30" s="19">
        <f>'RH P&amp;L'!J63</f>
        <v/>
      </c>
      <c r="K30" s="19">
        <f>'RH P&amp;L'!K63</f>
        <v/>
      </c>
      <c r="L30" s="19">
        <f>'RH P&amp;L'!L63</f>
        <v/>
      </c>
      <c r="M30" s="19">
        <f>'RH P&amp;L'!M63</f>
        <v/>
      </c>
      <c r="N30" s="19">
        <f>'RH P&amp;L'!N63</f>
        <v/>
      </c>
      <c r="O30" s="19">
        <f>'RH P&amp;L'!O63</f>
        <v/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19">
        <f>'SB P&amp;L'!H63</f>
        <v/>
      </c>
      <c r="I31" s="19">
        <f>'SB P&amp;L'!I63</f>
        <v/>
      </c>
      <c r="J31" s="19">
        <f>'SB P&amp;L'!J63</f>
        <v/>
      </c>
      <c r="K31" s="19">
        <f>'SB P&amp;L'!K63</f>
        <v/>
      </c>
      <c r="L31" s="19">
        <f>'SB P&amp;L'!L63</f>
        <v/>
      </c>
      <c r="M31" s="19">
        <f>'SB P&amp;L'!M63</f>
        <v/>
      </c>
      <c r="N31" s="19">
        <f>'SB P&amp;L'!N63</f>
        <v/>
      </c>
      <c r="O31" s="19">
        <f>'SB P&amp;L'!O63</f>
        <v/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19">
        <f>'SM P&amp;L'!H63</f>
        <v/>
      </c>
      <c r="I32" s="19">
        <f>'SM P&amp;L'!I63</f>
        <v/>
      </c>
      <c r="J32" s="19">
        <f>'SM P&amp;L'!J63</f>
        <v/>
      </c>
      <c r="K32" s="19">
        <f>'SM P&amp;L'!K63</f>
        <v/>
      </c>
      <c r="L32" s="19">
        <f>'SM P&amp;L'!L63</f>
        <v/>
      </c>
      <c r="M32" s="19">
        <f>'SM P&amp;L'!M63</f>
        <v/>
      </c>
      <c r="N32" s="19">
        <f>'SM P&amp;L'!N63</f>
        <v/>
      </c>
      <c r="O32" s="19">
        <f>'SM P&amp;L'!O63</f>
        <v/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19">
        <f>'WP P&amp;L'!H63</f>
        <v/>
      </c>
      <c r="I33" s="19">
        <f>'WP P&amp;L'!I63</f>
        <v/>
      </c>
      <c r="J33" s="19">
        <f>'WP P&amp;L'!J63</f>
        <v/>
      </c>
      <c r="K33" s="19">
        <f>'WP P&amp;L'!K63</f>
        <v/>
      </c>
      <c r="L33" s="19">
        <f>'WP P&amp;L'!L63</f>
        <v/>
      </c>
      <c r="M33" s="19">
        <f>'WP P&amp;L'!M63</f>
        <v/>
      </c>
      <c r="N33" s="19">
        <f>'WP P&amp;L'!N63</f>
        <v/>
      </c>
      <c r="O33" s="19">
        <f>'WP P&amp;L'!O63</f>
        <v/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19">
        <f>'WW P&amp;L'!H63</f>
        <v/>
      </c>
      <c r="I34" s="19">
        <f>'WW P&amp;L'!I63</f>
        <v/>
      </c>
      <c r="J34" s="19">
        <f>'WW P&amp;L'!J63</f>
        <v/>
      </c>
      <c r="K34" s="19">
        <f>'WW P&amp;L'!K63</f>
        <v/>
      </c>
      <c r="L34" s="19">
        <f>'WW P&amp;L'!L63</f>
        <v/>
      </c>
      <c r="M34" s="19">
        <f>'WW P&amp;L'!M63</f>
        <v/>
      </c>
      <c r="N34" s="19">
        <f>'WW P&amp;L'!N63</f>
        <v/>
      </c>
      <c r="O34" s="19">
        <f>'WW P&amp;L'!O63</f>
        <v/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 ht="16.05" customHeight="1" s="142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0">
        <f>'HO P&amp;L'!H36</f>
        <v/>
      </c>
      <c r="I35" s="40">
        <f>'HO P&amp;L'!I36</f>
        <v/>
      </c>
      <c r="J35" s="40">
        <f>'HO P&amp;L'!J36</f>
        <v/>
      </c>
      <c r="K35" s="40">
        <f>'HO P&amp;L'!K36</f>
        <v/>
      </c>
      <c r="L35" s="40">
        <f>'HO P&amp;L'!L36</f>
        <v/>
      </c>
      <c r="M35" s="40">
        <f>'HO P&amp;L'!M36</f>
        <v/>
      </c>
      <c r="N35" s="40">
        <f>'HO P&amp;L'!N36</f>
        <v/>
      </c>
      <c r="O35" s="40">
        <f>'HO P&amp;L'!O36</f>
        <v/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  <c r="BA35" s="41">
        <f>SUM(D35:O35)</f>
        <v/>
      </c>
      <c r="BB35" s="41">
        <f>SUM(P35:AA35)</f>
        <v/>
      </c>
      <c r="BC35" s="41">
        <f>SUM(AB35:AM35)</f>
        <v/>
      </c>
      <c r="BD35" s="41">
        <f>SUM(AN35:AY35)</f>
        <v/>
      </c>
      <c r="BF35" s="41">
        <f>SUM(I35:T35)</f>
        <v/>
      </c>
      <c r="BH35" s="24">
        <f>SUM(BA35:BD35)-SUM(D35:AY35)</f>
        <v/>
      </c>
    </row>
    <row r="37">
      <c r="B37" t="inlineStr">
        <is>
          <t>Studio Level EBITDA</t>
        </is>
      </c>
      <c r="D37" s="132">
        <f>SUM(D23:D34)</f>
        <v/>
      </c>
      <c r="E37" s="132">
        <f>SUM(E23:E34)</f>
        <v/>
      </c>
      <c r="F37" s="132">
        <f>SUM(F23:F34)</f>
        <v/>
      </c>
      <c r="G37" s="132">
        <f>SUM(G23:G34)</f>
        <v/>
      </c>
      <c r="H37" s="132">
        <f>SUM(H23:H34)</f>
        <v/>
      </c>
      <c r="I37" s="132">
        <f>SUM(I23:I34)</f>
        <v/>
      </c>
      <c r="J37" s="132">
        <f>SUM(J23:J34)</f>
        <v/>
      </c>
      <c r="K37" s="132">
        <f>SUM(K23:K34)</f>
        <v/>
      </c>
      <c r="L37" s="132">
        <f>SUM(L23:L34)</f>
        <v/>
      </c>
      <c r="M37" s="132">
        <f>SUM(M23:M34)</f>
        <v/>
      </c>
      <c r="N37" s="132">
        <f>SUM(N23:N34)</f>
        <v/>
      </c>
      <c r="O37" s="132">
        <f>SUM(O23:O34)</f>
        <v/>
      </c>
      <c r="P37" s="132">
        <f>SUM(P23:P34)</f>
        <v/>
      </c>
      <c r="Q37" s="132">
        <f>SUM(Q23:Q34)</f>
        <v/>
      </c>
      <c r="R37" s="132">
        <f>SUM(R23:R34)</f>
        <v/>
      </c>
      <c r="S37" s="132">
        <f>SUM(S23:S34)</f>
        <v/>
      </c>
      <c r="T37" s="132">
        <f>SUM(T23:T34)</f>
        <v/>
      </c>
      <c r="U37" s="132">
        <f>SUM(U23:U34)</f>
        <v/>
      </c>
      <c r="V37" s="132">
        <f>SUM(V23:V34)</f>
        <v/>
      </c>
      <c r="W37" s="132">
        <f>SUM(W23:W34)</f>
        <v/>
      </c>
      <c r="X37" s="132">
        <f>SUM(X23:X34)</f>
        <v/>
      </c>
      <c r="Y37" s="132">
        <f>SUM(Y23:Y34)</f>
        <v/>
      </c>
      <c r="Z37" s="132">
        <f>SUM(Z23:Z34)</f>
        <v/>
      </c>
      <c r="AA37" s="132">
        <f>SUM(AA23:AA34)</f>
        <v/>
      </c>
      <c r="AB37" s="132">
        <f>SUM(AB23:AB34)</f>
        <v/>
      </c>
      <c r="AC37" s="132">
        <f>SUM(AC23:AC34)</f>
        <v/>
      </c>
      <c r="AD37" s="132">
        <f>SUM(AD23:AD34)</f>
        <v/>
      </c>
      <c r="AE37" s="132">
        <f>SUM(AE23:AE34)</f>
        <v/>
      </c>
      <c r="AF37" s="132">
        <f>SUM(AF23:AF34)</f>
        <v/>
      </c>
      <c r="AG37" s="132">
        <f>SUM(AG23:AG34)</f>
        <v/>
      </c>
      <c r="AH37" s="132">
        <f>SUM(AH23:AH34)</f>
        <v/>
      </c>
      <c r="AI37" s="132">
        <f>SUM(AI23:AI34)</f>
        <v/>
      </c>
      <c r="AJ37" s="132">
        <f>SUM(AJ23:AJ34)</f>
        <v/>
      </c>
      <c r="AK37" s="132">
        <f>SUM(AK23:AK34)</f>
        <v/>
      </c>
      <c r="AL37" s="132">
        <f>SUM(AL23:AL34)</f>
        <v/>
      </c>
      <c r="AM37" s="132">
        <f>SUM(AM23:AM34)</f>
        <v/>
      </c>
      <c r="AN37" s="132">
        <f>SUM(AN23:AN34)</f>
        <v/>
      </c>
      <c r="AO37" s="132">
        <f>SUM(AO23:AO34)</f>
        <v/>
      </c>
      <c r="AP37" s="132">
        <f>SUM(AP23:AP34)</f>
        <v/>
      </c>
      <c r="AQ37" s="132">
        <f>SUM(AQ23:AQ34)</f>
        <v/>
      </c>
      <c r="AR37" s="132">
        <f>SUM(AR23:AR34)</f>
        <v/>
      </c>
      <c r="AS37" s="132">
        <f>SUM(AS23:AS34)</f>
        <v/>
      </c>
      <c r="AT37" s="132">
        <f>SUM(AT23:AT34)</f>
        <v/>
      </c>
      <c r="AU37" s="132">
        <f>SUM(AU23:AU34)</f>
        <v/>
      </c>
      <c r="AV37" s="132">
        <f>SUM(AV23:AV34)</f>
        <v/>
      </c>
      <c r="AW37" s="132">
        <f>SUM(AW23:AW34)</f>
        <v/>
      </c>
      <c r="AX37" s="132">
        <f>SUM(AX23:AX34)</f>
        <v/>
      </c>
      <c r="AY37" s="132">
        <f>SUM(AY23:AY34)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</row>
    <row r="38" ht="16.05" customHeight="1" s="142">
      <c r="B38" t="inlineStr">
        <is>
          <t>Total Add Backs</t>
        </is>
      </c>
      <c r="C38" s="39" t="n"/>
      <c r="D38" s="89" t="n">
        <v>28398.84</v>
      </c>
      <c r="E38" s="89" t="n">
        <v>52184.59</v>
      </c>
      <c r="F38" s="89" t="n">
        <v>34406.02</v>
      </c>
      <c r="G38" s="89" t="n">
        <v>20335.04</v>
      </c>
      <c r="H38" s="89" t="n">
        <v>25137.94</v>
      </c>
      <c r="I38" s="89" t="n">
        <v>86480.65999999999</v>
      </c>
      <c r="J38" s="89" t="n">
        <v>13252.8</v>
      </c>
      <c r="K38" s="89" t="n">
        <v>38505.24</v>
      </c>
      <c r="L38" s="89" t="n">
        <v>73265.17</v>
      </c>
      <c r="M38" s="89" t="n">
        <v>67217.41999999998</v>
      </c>
      <c r="N38" s="89" t="n">
        <v>91181.16</v>
      </c>
      <c r="O38" s="89" t="n">
        <v>46220.52</v>
      </c>
      <c r="P38" s="40">
        <f>'P&amp;L'!P38</f>
        <v/>
      </c>
      <c r="Q38" s="40">
        <f>'P&amp;L'!Q38</f>
        <v/>
      </c>
      <c r="R38" s="40">
        <f>'P&amp;L'!R38</f>
        <v/>
      </c>
      <c r="S38" s="40">
        <f>'P&amp;L'!S38</f>
        <v/>
      </c>
      <c r="T38" s="40" t="n">
        <v>16815.41</v>
      </c>
      <c r="U38" s="90" t="n">
        <v>25000</v>
      </c>
      <c r="V38" s="90" t="n">
        <v>25000</v>
      </c>
      <c r="W38" s="90" t="n">
        <v>25000</v>
      </c>
      <c r="X38" s="90" t="n">
        <v>70000</v>
      </c>
      <c r="Y38" s="90" t="n">
        <v>50000</v>
      </c>
      <c r="Z38" s="90" t="n">
        <v>20000</v>
      </c>
      <c r="AA38" s="90" t="n">
        <v>15000</v>
      </c>
      <c r="AB38" s="90" t="n">
        <v>15000</v>
      </c>
      <c r="AC38" s="90" t="n">
        <v>15000</v>
      </c>
      <c r="AD38" s="90" t="n">
        <v>15000</v>
      </c>
      <c r="AE38" s="90" t="n">
        <v>15000</v>
      </c>
      <c r="AF38" s="90" t="n">
        <v>15000</v>
      </c>
      <c r="AG38" s="90" t="n">
        <v>15000</v>
      </c>
      <c r="AH38" s="90" t="n">
        <v>15000</v>
      </c>
      <c r="AI38" s="90" t="n">
        <v>15000</v>
      </c>
      <c r="AJ38" s="90" t="n">
        <v>15000</v>
      </c>
      <c r="AK38" s="90" t="n">
        <v>15000</v>
      </c>
      <c r="AL38" s="90" t="n">
        <v>15000</v>
      </c>
      <c r="AM38" s="90" t="n">
        <v>15000</v>
      </c>
      <c r="AN38" s="90" t="n">
        <v>15000</v>
      </c>
      <c r="AO38" s="90" t="n">
        <v>15000</v>
      </c>
      <c r="AP38" s="90" t="n">
        <v>15000</v>
      </c>
      <c r="AQ38" s="90" t="n">
        <v>15000</v>
      </c>
      <c r="AR38" s="90" t="n">
        <v>15000</v>
      </c>
      <c r="AS38" s="90" t="n">
        <v>15000</v>
      </c>
      <c r="AT38" s="90" t="n">
        <v>15000</v>
      </c>
      <c r="AU38" s="90" t="n">
        <v>15000</v>
      </c>
      <c r="AV38" s="90" t="n">
        <v>15000</v>
      </c>
      <c r="AW38" s="90" t="n">
        <v>15000</v>
      </c>
      <c r="AX38" s="90" t="n">
        <v>15000</v>
      </c>
      <c r="AY38" s="90" t="n">
        <v>15000</v>
      </c>
      <c r="BA38" s="90">
        <f>SUM(D38:O38)</f>
        <v/>
      </c>
      <c r="BB38" s="90">
        <f>SUM(P38:AA38)</f>
        <v/>
      </c>
      <c r="BC38" s="90">
        <f>SUM(AB38:AM38)</f>
        <v/>
      </c>
      <c r="BD38" s="90">
        <f>SUM(AN38:AY38)</f>
        <v/>
      </c>
      <c r="BF38" s="90">
        <f>SUM(I38:T38)</f>
        <v/>
      </c>
      <c r="BH38" s="24">
        <f>SUM(BA38:BD38)-SUM(D38:AY38)</f>
        <v/>
      </c>
    </row>
    <row r="39">
      <c r="B39" s="15" t="inlineStr">
        <is>
          <t>Total Adj-EBITDA</t>
        </is>
      </c>
      <c r="D39" s="16">
        <f>D22+D38</f>
        <v/>
      </c>
      <c r="E39" s="16">
        <f>E22+E38</f>
        <v/>
      </c>
      <c r="F39" s="16">
        <f>F22+F38</f>
        <v/>
      </c>
      <c r="G39" s="16">
        <f>G22+G38</f>
        <v/>
      </c>
      <c r="H39" s="16">
        <f>H22+H38</f>
        <v/>
      </c>
      <c r="I39" s="16">
        <f>I22+I38</f>
        <v/>
      </c>
      <c r="J39" s="16">
        <f>J22+J38</f>
        <v/>
      </c>
      <c r="K39" s="16">
        <f>K22+K38</f>
        <v/>
      </c>
      <c r="L39" s="16">
        <f>L22+L38</f>
        <v/>
      </c>
      <c r="M39" s="16">
        <f>M22+M38</f>
        <v/>
      </c>
      <c r="N39" s="16">
        <f>N22+N38</f>
        <v/>
      </c>
      <c r="O39" s="16">
        <f>O22+O38</f>
        <v/>
      </c>
      <c r="P39" s="16">
        <f>P22+P38</f>
        <v/>
      </c>
      <c r="Q39" s="16">
        <f>'P&amp;L'!Q39</f>
        <v/>
      </c>
      <c r="R39" s="16">
        <f>'P&amp;L'!R39</f>
        <v/>
      </c>
      <c r="S39" s="16">
        <f>'P&amp;L'!S39</f>
        <v/>
      </c>
      <c r="T39" s="16">
        <f>'P&amp;L'!T39</f>
        <v/>
      </c>
      <c r="U39" s="16">
        <f>U22+U38</f>
        <v/>
      </c>
      <c r="V39" s="16">
        <f>V22+V38</f>
        <v/>
      </c>
      <c r="W39" s="16">
        <f>W22+W38</f>
        <v/>
      </c>
      <c r="X39" s="16">
        <f>X22+X38</f>
        <v/>
      </c>
      <c r="Y39" s="16">
        <f>Y22+Y38</f>
        <v/>
      </c>
      <c r="Z39" s="16">
        <f>Z22+Z38</f>
        <v/>
      </c>
      <c r="AA39" s="16">
        <f>AA22+AA38</f>
        <v/>
      </c>
      <c r="AB39" s="16">
        <f>AB22+AB38</f>
        <v/>
      </c>
      <c r="AC39" s="16">
        <f>AC22+AC38</f>
        <v/>
      </c>
      <c r="AD39" s="16">
        <f>AD22+AD38</f>
        <v/>
      </c>
      <c r="AE39" s="16">
        <f>AE22+AE38</f>
        <v/>
      </c>
      <c r="AF39" s="16">
        <f>AF22+AF38</f>
        <v/>
      </c>
      <c r="AG39" s="16">
        <f>AG22+AG38</f>
        <v/>
      </c>
      <c r="AH39" s="16">
        <f>AH22+AH38</f>
        <v/>
      </c>
      <c r="AI39" s="16">
        <f>AI22+AI38</f>
        <v/>
      </c>
      <c r="AJ39" s="16">
        <f>AJ22+AJ38</f>
        <v/>
      </c>
      <c r="AK39" s="16">
        <f>AK22+AK38</f>
        <v/>
      </c>
      <c r="AL39" s="16">
        <f>AL22+AL38</f>
        <v/>
      </c>
      <c r="AM39" s="16">
        <f>AM22+AM38</f>
        <v/>
      </c>
      <c r="AN39" s="16">
        <f>AN22+AN38</f>
        <v/>
      </c>
      <c r="AO39" s="16">
        <f>AO22+AO38</f>
        <v/>
      </c>
      <c r="AP39" s="16">
        <f>AP22+AP38</f>
        <v/>
      </c>
      <c r="AQ39" s="16">
        <f>AQ22+AQ38</f>
        <v/>
      </c>
      <c r="AR39" s="16">
        <f>AR22+AR38</f>
        <v/>
      </c>
      <c r="AS39" s="16">
        <f>AS22+AS38</f>
        <v/>
      </c>
      <c r="AT39" s="16">
        <f>AT22+AT38</f>
        <v/>
      </c>
      <c r="AU39" s="16">
        <f>AU22+AU38</f>
        <v/>
      </c>
      <c r="AV39" s="16">
        <f>AV22+AV38</f>
        <v/>
      </c>
      <c r="AW39" s="16">
        <f>AW22+AW38</f>
        <v/>
      </c>
      <c r="AX39" s="16">
        <f>AX22+AX38</f>
        <v/>
      </c>
      <c r="AY39" s="16">
        <f>AY22+AY38</f>
        <v/>
      </c>
      <c r="BA39" s="16">
        <f>SUM(D39:O39)</f>
        <v/>
      </c>
      <c r="BB39" s="16">
        <f>SUM(P39:AA39)</f>
        <v/>
      </c>
      <c r="BC39" s="16">
        <f>SUM(AB39:AM39)</f>
        <v/>
      </c>
      <c r="BD39" s="16">
        <f>SUM(AN39:AY39)</f>
        <v/>
      </c>
      <c r="BF39" s="16">
        <f>SUM(I39:T39)</f>
        <v/>
      </c>
      <c r="BH39" s="24">
        <f>SUM(BA39:BD39)-SUM(D39:AY39)</f>
        <v/>
      </c>
    </row>
    <row r="41" ht="16.05" customHeight="1" s="142">
      <c r="B41" s="10" t="inlineStr">
        <is>
          <t>Annual Summary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BA41" s="24" t="n"/>
      <c r="BB41" s="24" t="n"/>
      <c r="BC41" s="24" t="n"/>
      <c r="BD41" s="24" t="n"/>
      <c r="BF41" s="24" t="n"/>
    </row>
    <row r="42">
      <c r="B42" s="14" t="inlineStr">
        <is>
          <t>Metric</t>
        </is>
      </c>
      <c r="C42" s="14" t="inlineStr">
        <is>
          <t>Studio</t>
        </is>
      </c>
      <c r="D42" s="14" t="n">
        <v>2025</v>
      </c>
      <c r="E42" s="14" t="inlineStr">
        <is>
          <t>2026</t>
        </is>
      </c>
      <c r="F42" s="14" t="inlineStr">
        <is>
          <t>2027</t>
        </is>
      </c>
      <c r="G42" s="14" t="inlineStr">
        <is>
          <t>2028</t>
        </is>
      </c>
      <c r="H42" s="14" t="inlineStr">
        <is>
          <t>2026 YoY</t>
        </is>
      </c>
      <c r="I42" s="14" t="inlineStr">
        <is>
          <t>2027 YoY</t>
        </is>
      </c>
      <c r="J42" s="14" t="inlineStr">
        <is>
          <t>2028 YoY</t>
        </is>
      </c>
      <c r="AA42" s="24" t="n"/>
      <c r="AM42" s="24" t="n"/>
    </row>
    <row r="43">
      <c r="B43" s="15" t="inlineStr">
        <is>
          <t>Total Sales</t>
        </is>
      </c>
      <c r="D43" s="17">
        <f>SUM(D44:D56)</f>
        <v/>
      </c>
      <c r="E43" s="17">
        <f>SUM(E44:E56)</f>
        <v/>
      </c>
      <c r="F43" s="17">
        <f>SUM(F44:F56)</f>
        <v/>
      </c>
      <c r="G43" s="17">
        <f>SUM(G44:G56)</f>
        <v/>
      </c>
      <c r="H43" s="21">
        <f>IFERROR((E43-D43)/D43,0)</f>
        <v/>
      </c>
      <c r="I43" s="21">
        <f>IFERROR((F43-E43)/E43,0)</f>
        <v/>
      </c>
      <c r="J43" s="21">
        <f>IFERROR((G43-F43)/F43,0)</f>
        <v/>
      </c>
    </row>
    <row r="44">
      <c r="C44" s="18" t="inlineStr">
        <is>
          <t>Berkeley</t>
        </is>
      </c>
      <c r="D44" s="20">
        <f>SUM('Sales Forecast'!D6:O6)</f>
        <v/>
      </c>
      <c r="E44" s="20">
        <f>SUM('Sales Forecast'!P6:AA6)</f>
        <v/>
      </c>
      <c r="F44" s="20">
        <f>SUM('Sales Forecast'!AB6:AM6)</f>
        <v/>
      </c>
      <c r="G44" s="20">
        <f>SUM('Sales Forecast'!AN6:AY6)</f>
        <v/>
      </c>
      <c r="H44" s="22">
        <f>IFERROR((E42-D42)/D42,0)</f>
        <v/>
      </c>
      <c r="I44" s="22">
        <f>IFERROR((F42-E42)/E42,0)</f>
        <v/>
      </c>
      <c r="J44" s="22">
        <f>IFERROR((G42-F42)/F42,0)</f>
        <v/>
      </c>
    </row>
    <row r="45">
      <c r="C45" s="18" t="inlineStr">
        <is>
          <t>Culver City</t>
        </is>
      </c>
      <c r="D45" s="20">
        <f>SUM('Sales Forecast'!D7:O7)</f>
        <v/>
      </c>
      <c r="E45" s="20">
        <f>SUM('Sales Forecast'!P7:AA7)</f>
        <v/>
      </c>
      <c r="F45" s="20">
        <f>SUM('Sales Forecast'!AB7:AM7)</f>
        <v/>
      </c>
      <c r="G45" s="20">
        <f>SUM('Sales Forecast'!AN7:AY7)</f>
        <v/>
      </c>
      <c r="H45" s="22">
        <f>IFERROR((E43-D43)/D43,0)</f>
        <v/>
      </c>
      <c r="I45" s="22">
        <f>IFERROR((F43-E43)/E43,0)</f>
        <v/>
      </c>
      <c r="J45" s="22">
        <f>IFERROR((G43-F43)/F43,0)</f>
        <v/>
      </c>
    </row>
    <row r="46">
      <c r="C46" s="18" t="inlineStr">
        <is>
          <t>Danville</t>
        </is>
      </c>
      <c r="D46" s="20">
        <f>SUM('Sales Forecast'!D8:O8)</f>
        <v/>
      </c>
      <c r="E46" s="20">
        <f>SUM('Sales Forecast'!P8:AA8)</f>
        <v/>
      </c>
      <c r="F46" s="20">
        <f>SUM('Sales Forecast'!AB8:AM8)</f>
        <v/>
      </c>
      <c r="G46" s="20">
        <f>SUM('Sales Forecast'!AN8:AY8)</f>
        <v/>
      </c>
      <c r="H46" s="22">
        <f>IFERROR((E44-D44)/D44,0)</f>
        <v/>
      </c>
      <c r="I46" s="22">
        <f>IFERROR((F44-E44)/E44,0)</f>
        <v/>
      </c>
      <c r="J46" s="22">
        <f>IFERROR((G44-F44)/F44,0)</f>
        <v/>
      </c>
    </row>
    <row r="47">
      <c r="C47" s="18" t="inlineStr">
        <is>
          <t>Lafayette</t>
        </is>
      </c>
      <c r="D47" s="20">
        <f>SUM('Sales Forecast'!D9:O9)</f>
        <v/>
      </c>
      <c r="E47" s="20">
        <f>SUM('Sales Forecast'!P9:AA9)</f>
        <v/>
      </c>
      <c r="F47" s="20">
        <f>SUM('Sales Forecast'!AB9:AM9)</f>
        <v/>
      </c>
      <c r="G47" s="20">
        <f>SUM('Sales Forecast'!AN9:AY9)</f>
        <v/>
      </c>
      <c r="H47" s="22">
        <f>IFERROR((E45-D45)/D45,0)</f>
        <v/>
      </c>
      <c r="I47" s="22">
        <f>IFERROR((F45-E45)/E45,0)</f>
        <v/>
      </c>
      <c r="J47" s="22">
        <f>IFERROR((G45-F45)/F45,0)</f>
        <v/>
      </c>
    </row>
    <row r="48">
      <c r="C48" s="18" t="inlineStr">
        <is>
          <t>Marin</t>
        </is>
      </c>
      <c r="D48" s="20">
        <f>SUM('Sales Forecast'!D10:O10)</f>
        <v/>
      </c>
      <c r="E48" s="20">
        <f>SUM('Sales Forecast'!P10:AA10)</f>
        <v/>
      </c>
      <c r="F48" s="20">
        <f>SUM('Sales Forecast'!AB10:AM10)</f>
        <v/>
      </c>
      <c r="G48" s="20">
        <f>SUM('Sales Forecast'!AN10:AY10)</f>
        <v/>
      </c>
      <c r="H48" s="22">
        <f>IFERROR((E46-D46)/D46,0)</f>
        <v/>
      </c>
      <c r="I48" s="22">
        <f>IFERROR((F46-E46)/E46,0)</f>
        <v/>
      </c>
      <c r="J48" s="22">
        <f>IFERROR((G46-F46)/F46,0)</f>
        <v/>
      </c>
    </row>
    <row r="49">
      <c r="C49" s="18" t="inlineStr">
        <is>
          <t>Ocean Park</t>
        </is>
      </c>
      <c r="D49" s="20">
        <f>SUM('Sales Forecast'!D11:O11)</f>
        <v/>
      </c>
      <c r="E49" s="20">
        <f>SUM('Sales Forecast'!P11:AA11)</f>
        <v/>
      </c>
      <c r="F49" s="20">
        <f>SUM('Sales Forecast'!AB11:AM11)</f>
        <v/>
      </c>
      <c r="G49" s="20">
        <f>SUM('Sales Forecast'!AN11:AY11)</f>
        <v/>
      </c>
      <c r="H49" s="22">
        <f>IFERROR((E47-D47)/D47,0)</f>
        <v/>
      </c>
      <c r="I49" s="22">
        <f>IFERROR((F47-E47)/E47,0)</f>
        <v/>
      </c>
      <c r="J49" s="22">
        <f>IFERROR((G47-F47)/F47,0)</f>
        <v/>
      </c>
    </row>
    <row r="50">
      <c r="C50" s="18" t="inlineStr">
        <is>
          <t>Presidio Heights</t>
        </is>
      </c>
      <c r="D50" s="20">
        <f>SUM('Sales Forecast'!D12:O12)</f>
        <v/>
      </c>
      <c r="E50" s="20">
        <f>SUM('Sales Forecast'!P12:AA12)</f>
        <v/>
      </c>
      <c r="F50" s="20">
        <f>SUM('Sales Forecast'!AB12:AM12)</f>
        <v/>
      </c>
      <c r="G50" s="20">
        <f>SUM('Sales Forecast'!AN12:AY12)</f>
        <v/>
      </c>
      <c r="H50" s="22">
        <f>IFERROR((E48-D48)/D48,0)</f>
        <v/>
      </c>
      <c r="I50" s="22">
        <f>IFERROR((F48-E48)/E48,0)</f>
        <v/>
      </c>
      <c r="J50" s="22">
        <f>IFERROR((G48-F48)/F48,0)</f>
        <v/>
      </c>
    </row>
    <row r="51">
      <c r="C51" s="18" t="inlineStr">
        <is>
          <t>Russian Hill</t>
        </is>
      </c>
      <c r="D51" s="20">
        <f>SUM('Sales Forecast'!D13:O13)</f>
        <v/>
      </c>
      <c r="E51" s="20">
        <f>SUM('Sales Forecast'!P13:AA13)</f>
        <v/>
      </c>
      <c r="F51" s="20">
        <f>SUM('Sales Forecast'!AB13:AM13)</f>
        <v/>
      </c>
      <c r="G51" s="20">
        <f>SUM('Sales Forecast'!AN13:AY13)</f>
        <v/>
      </c>
      <c r="H51" s="22">
        <f>IFERROR((E49-D49)/D49,0)</f>
        <v/>
      </c>
      <c r="I51" s="22">
        <f>IFERROR((F49-E49)/E49,0)</f>
        <v/>
      </c>
      <c r="J51" s="22">
        <f>IFERROR((G49-F49)/F49,0)</f>
        <v/>
      </c>
    </row>
    <row r="52">
      <c r="C52" s="18" t="inlineStr">
        <is>
          <t>Santa Barbara</t>
        </is>
      </c>
      <c r="D52" s="20">
        <f>SUM('Sales Forecast'!D14:O14)</f>
        <v/>
      </c>
      <c r="E52" s="20">
        <f>SUM('Sales Forecast'!P14:AA14)</f>
        <v/>
      </c>
      <c r="F52" s="20">
        <f>SUM('Sales Forecast'!AB14:AM14)</f>
        <v/>
      </c>
      <c r="G52" s="20">
        <f>SUM('Sales Forecast'!AN14:AY14)</f>
        <v/>
      </c>
      <c r="H52" s="22">
        <f>IFERROR((E50-D50)/D50,0)</f>
        <v/>
      </c>
      <c r="I52" s="22">
        <f>IFERROR((F50-E50)/E50,0)</f>
        <v/>
      </c>
      <c r="J52" s="22">
        <f>IFERROR((G50-F50)/F50,0)</f>
        <v/>
      </c>
    </row>
    <row r="53">
      <c r="C53" s="18" t="inlineStr">
        <is>
          <t>Santa Monica</t>
        </is>
      </c>
      <c r="D53" s="20">
        <f>SUM('Sales Forecast'!D15:O15)</f>
        <v/>
      </c>
      <c r="E53" s="20">
        <f>SUM('Sales Forecast'!P15:AA15)</f>
        <v/>
      </c>
      <c r="F53" s="20">
        <f>SUM('Sales Forecast'!AB15:AM15)</f>
        <v/>
      </c>
      <c r="G53" s="20">
        <f>SUM('Sales Forecast'!AN15:AY15)</f>
        <v/>
      </c>
      <c r="H53" s="22">
        <f>IFERROR((E51-D51)/D51,0)</f>
        <v/>
      </c>
      <c r="I53" s="22">
        <f>IFERROR((F51-E51)/E51,0)</f>
        <v/>
      </c>
      <c r="J53" s="22">
        <f>IFERROR((G51-F51)/F51,0)</f>
        <v/>
      </c>
    </row>
    <row r="54">
      <c r="C54" s="18" t="inlineStr">
        <is>
          <t>West Portal</t>
        </is>
      </c>
      <c r="D54" s="20">
        <f>SUM('Sales Forecast'!D16:O16)</f>
        <v/>
      </c>
      <c r="E54" s="20">
        <f>SUM('Sales Forecast'!P16:AA16)</f>
        <v/>
      </c>
      <c r="F54" s="20">
        <f>SUM('Sales Forecast'!AB16:AM16)</f>
        <v/>
      </c>
      <c r="G54" s="20">
        <f>SUM('Sales Forecast'!AN16:AY16)</f>
        <v/>
      </c>
      <c r="H54" s="22">
        <f>IFERROR((E52-D52)/D52,0)</f>
        <v/>
      </c>
      <c r="I54" s="22">
        <f>IFERROR((F52-E52)/E52,0)</f>
        <v/>
      </c>
      <c r="J54" s="22">
        <f>IFERROR((G52-F52)/F52,0)</f>
        <v/>
      </c>
    </row>
    <row r="55">
      <c r="C55" s="18" t="inlineStr">
        <is>
          <t>Westwood</t>
        </is>
      </c>
      <c r="D55" s="20">
        <f>SUM('Sales Forecast'!D17:O17)</f>
        <v/>
      </c>
      <c r="E55" s="20">
        <f>SUM('Sales Forecast'!P17:AA17)</f>
        <v/>
      </c>
      <c r="F55" s="20">
        <f>SUM('Sales Forecast'!AB17:AM17)</f>
        <v/>
      </c>
      <c r="G55" s="20">
        <f>SUM('Sales Forecast'!AN17:AY17)</f>
        <v/>
      </c>
      <c r="H55" s="22">
        <f>IFERROR((E53-D53)/D53,0)</f>
        <v/>
      </c>
      <c r="I55" s="22">
        <f>IFERROR((F53-E53)/E53,0)</f>
        <v/>
      </c>
      <c r="J55" s="22">
        <f>IFERROR((G53-F53)/F53,0)</f>
        <v/>
      </c>
    </row>
    <row r="56">
      <c r="C56" s="18" t="inlineStr">
        <is>
          <t>Head Office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2">
        <f>IFERROR((E56-D56)/D56,0)</f>
        <v/>
      </c>
      <c r="I56" s="22">
        <f>IFERROR((F56-E56)/E56,0)</f>
        <v/>
      </c>
      <c r="J56" s="22">
        <f>IFERROR((G56-F56)/F56,0)</f>
        <v/>
      </c>
    </row>
    <row r="58">
      <c r="B58" s="15" t="inlineStr">
        <is>
          <t>Total EBITDA</t>
        </is>
      </c>
      <c r="D58" s="23">
        <f>SUM(D59:D71)</f>
        <v/>
      </c>
      <c r="E58" s="23">
        <f>SUM(E59:E71)</f>
        <v/>
      </c>
      <c r="F58" s="23">
        <f>SUM(F59:F71)</f>
        <v/>
      </c>
      <c r="G58" s="23">
        <f>SUM(G59:G71)</f>
        <v/>
      </c>
      <c r="H58" s="21">
        <f>IFERROR((E58-D58)/D58,0)</f>
        <v/>
      </c>
      <c r="I58" s="21">
        <f>IFERROR((F58-E58)/E58,0)</f>
        <v/>
      </c>
      <c r="J58" s="21">
        <f>IFERROR((G58-F58)/F58,0)</f>
        <v/>
      </c>
    </row>
    <row r="59">
      <c r="C59" s="18" t="inlineStr">
        <is>
          <t>Berkeley</t>
        </is>
      </c>
      <c r="D59" s="20">
        <f>SUM(D23:O23)</f>
        <v/>
      </c>
      <c r="E59" s="20">
        <f>SUM(P23:AA23)</f>
        <v/>
      </c>
      <c r="F59" s="20">
        <f>SUM(AB23:AM23)</f>
        <v/>
      </c>
      <c r="G59" s="20">
        <f>SUM(AN23:AY23)</f>
        <v/>
      </c>
      <c r="H59" s="22">
        <f>IFERROR((E59-D59)/D59,0)</f>
        <v/>
      </c>
      <c r="I59" s="22">
        <f>IFERROR((F59-E59)/E59,0)</f>
        <v/>
      </c>
      <c r="J59" s="22">
        <f>IFERROR((G59-F59)/F59,0)</f>
        <v/>
      </c>
    </row>
    <row r="60">
      <c r="C60" s="18" t="inlineStr">
        <is>
          <t>Culver City</t>
        </is>
      </c>
      <c r="D60" s="20">
        <f>SUM(D24:O24)</f>
        <v/>
      </c>
      <c r="E60" s="20">
        <f>SUM(P24:AA24)</f>
        <v/>
      </c>
      <c r="F60" s="20">
        <f>SUM(AB24:AM24)</f>
        <v/>
      </c>
      <c r="G60" s="20">
        <f>SUM(AN24:AY24)</f>
        <v/>
      </c>
      <c r="H60" s="22">
        <f>IFERROR((E60-D60)/D60,0)</f>
        <v/>
      </c>
      <c r="I60" s="22">
        <f>IFERROR((F60-E60)/E60,0)</f>
        <v/>
      </c>
      <c r="J60" s="22">
        <f>IFERROR((G60-F60)/F60,0)</f>
        <v/>
      </c>
    </row>
    <row r="61">
      <c r="C61" s="18" t="inlineStr">
        <is>
          <t>Danville</t>
        </is>
      </c>
      <c r="D61" s="20">
        <f>SUM(D25:O25)</f>
        <v/>
      </c>
      <c r="E61" s="20">
        <f>SUM(P25:AA25)</f>
        <v/>
      </c>
      <c r="F61" s="20">
        <f>SUM(AB25:AM25)</f>
        <v/>
      </c>
      <c r="G61" s="20">
        <f>SUM(AN25:AY25)</f>
        <v/>
      </c>
      <c r="H61" s="22">
        <f>IFERROR((E61-D61)/D61,0)</f>
        <v/>
      </c>
      <c r="I61" s="22">
        <f>IFERROR((F61-E61)/E61,0)</f>
        <v/>
      </c>
      <c r="J61" s="22">
        <f>IFERROR((G61-F61)/F61,0)</f>
        <v/>
      </c>
    </row>
    <row r="62">
      <c r="C62" s="18" t="inlineStr">
        <is>
          <t>Lafayette</t>
        </is>
      </c>
      <c r="D62" s="20">
        <f>SUM(D26:O26)</f>
        <v/>
      </c>
      <c r="E62" s="20">
        <f>SUM(P26:AA26)</f>
        <v/>
      </c>
      <c r="F62" s="20">
        <f>SUM(AB26:AM26)</f>
        <v/>
      </c>
      <c r="G62" s="20">
        <f>SUM(AN26:AY26)</f>
        <v/>
      </c>
      <c r="H62" s="22">
        <f>IFERROR((E62-D62)/D62,0)</f>
        <v/>
      </c>
      <c r="I62" s="22">
        <f>IFERROR((F62-E62)/E62,0)</f>
        <v/>
      </c>
      <c r="J62" s="22">
        <f>IFERROR((G62-F62)/F62,0)</f>
        <v/>
      </c>
    </row>
    <row r="63">
      <c r="C63" s="18" t="inlineStr">
        <is>
          <t>Marin</t>
        </is>
      </c>
      <c r="D63" s="20">
        <f>SUM(D27:O27)</f>
        <v/>
      </c>
      <c r="E63" s="20">
        <f>SUM(P27:AA27)</f>
        <v/>
      </c>
      <c r="F63" s="20">
        <f>SUM(AB27:AM27)</f>
        <v/>
      </c>
      <c r="G63" s="20">
        <f>SUM(AN27:AY27)</f>
        <v/>
      </c>
      <c r="H63" s="22">
        <f>IFERROR((E63-D63)/D63,0)</f>
        <v/>
      </c>
      <c r="I63" s="22">
        <f>IFERROR((F63-E63)/E63,0)</f>
        <v/>
      </c>
      <c r="J63" s="22">
        <f>IFERROR((G63-F63)/F63,0)</f>
        <v/>
      </c>
    </row>
    <row r="64">
      <c r="C64" s="18" t="inlineStr">
        <is>
          <t>Ocean Park</t>
        </is>
      </c>
      <c r="D64" s="20">
        <f>SUM(D28:O28)</f>
        <v/>
      </c>
      <c r="E64" s="20">
        <f>SUM(P28:AA28)</f>
        <v/>
      </c>
      <c r="F64" s="20">
        <f>SUM(AB28:AM28)</f>
        <v/>
      </c>
      <c r="G64" s="20">
        <f>SUM(AN28:AY28)</f>
        <v/>
      </c>
      <c r="H64" s="22">
        <f>IFERROR((E64-D64)/D64,0)</f>
        <v/>
      </c>
      <c r="I64" s="22">
        <f>IFERROR((F64-E64)/E64,0)</f>
        <v/>
      </c>
      <c r="J64" s="22">
        <f>IFERROR((G64-F64)/F64,0)</f>
        <v/>
      </c>
    </row>
    <row r="65">
      <c r="C65" s="18" t="inlineStr">
        <is>
          <t>Presidio Heights</t>
        </is>
      </c>
      <c r="D65" s="20">
        <f>SUM(D29:O29)</f>
        <v/>
      </c>
      <c r="E65" s="20">
        <f>SUM(P29:AA29)</f>
        <v/>
      </c>
      <c r="F65" s="20">
        <f>SUM(AB29:AM29)</f>
        <v/>
      </c>
      <c r="G65" s="20">
        <f>SUM(AN29:AY29)</f>
        <v/>
      </c>
      <c r="H65" s="22">
        <f>IFERROR((E65-D65)/D65,0)</f>
        <v/>
      </c>
      <c r="I65" s="22">
        <f>IFERROR((F65-E65)/E65,0)</f>
        <v/>
      </c>
      <c r="J65" s="22">
        <f>IFERROR((G65-F65)/F65,0)</f>
        <v/>
      </c>
    </row>
    <row r="66">
      <c r="C66" s="18" t="inlineStr">
        <is>
          <t>Russian Hill</t>
        </is>
      </c>
      <c r="D66" s="20">
        <f>SUM(D30:O30)</f>
        <v/>
      </c>
      <c r="E66" s="20">
        <f>SUM(P30:AA30)</f>
        <v/>
      </c>
      <c r="F66" s="20">
        <f>SUM(AB30:AM30)</f>
        <v/>
      </c>
      <c r="G66" s="20">
        <f>SUM(AN30:AY30)</f>
        <v/>
      </c>
      <c r="H66" s="22">
        <f>IFERROR((E66-D66)/D66,0)</f>
        <v/>
      </c>
      <c r="I66" s="22">
        <f>IFERROR((F66-E66)/E66,0)</f>
        <v/>
      </c>
      <c r="J66" s="22">
        <f>IFERROR((G66-F66)/F66,0)</f>
        <v/>
      </c>
    </row>
    <row r="67">
      <c r="C67" s="18" t="inlineStr">
        <is>
          <t>Santa Barbara</t>
        </is>
      </c>
      <c r="D67" s="20">
        <f>SUM(D31:O31)</f>
        <v/>
      </c>
      <c r="E67" s="20">
        <f>SUM(P31:AA31)</f>
        <v/>
      </c>
      <c r="F67" s="20">
        <f>SUM(AB31:AM31)</f>
        <v/>
      </c>
      <c r="G67" s="20">
        <f>SUM(AN31:AY31)</f>
        <v/>
      </c>
      <c r="H67" s="22">
        <f>IFERROR((E67-D67)/D67,0)</f>
        <v/>
      </c>
      <c r="I67" s="22">
        <f>IFERROR((F67-E67)/E67,0)</f>
        <v/>
      </c>
      <c r="J67" s="22">
        <f>IFERROR((G67-F67)/F67,0)</f>
        <v/>
      </c>
    </row>
    <row r="68">
      <c r="C68" s="18" t="inlineStr">
        <is>
          <t>Santa Monica</t>
        </is>
      </c>
      <c r="D68" s="20">
        <f>SUM(D32:O32)</f>
        <v/>
      </c>
      <c r="E68" s="20">
        <f>SUM(P32:AA32)</f>
        <v/>
      </c>
      <c r="F68" s="20">
        <f>SUM(AB32:AM32)</f>
        <v/>
      </c>
      <c r="G68" s="20">
        <f>SUM(AN32:AY32)</f>
        <v/>
      </c>
      <c r="H68" s="22">
        <f>IFERROR((E68-D68)/D68,0)</f>
        <v/>
      </c>
      <c r="I68" s="22">
        <f>IFERROR((F68-E68)/E68,0)</f>
        <v/>
      </c>
      <c r="J68" s="22">
        <f>IFERROR((G68-F68)/F68,0)</f>
        <v/>
      </c>
    </row>
    <row r="69">
      <c r="C69" s="18" t="inlineStr">
        <is>
          <t>West Portal</t>
        </is>
      </c>
      <c r="D69" s="20">
        <f>SUM(D33:O33)</f>
        <v/>
      </c>
      <c r="E69" s="20">
        <f>SUM(P33:AA33)</f>
        <v/>
      </c>
      <c r="F69" s="20">
        <f>SUM(AB33:AM33)</f>
        <v/>
      </c>
      <c r="G69" s="20">
        <f>SUM(AN33:AY33)</f>
        <v/>
      </c>
      <c r="H69" s="22">
        <f>IFERROR((E69-D69)/D69,0)</f>
        <v/>
      </c>
      <c r="I69" s="22">
        <f>IFERROR((F69-E69)/E69,0)</f>
        <v/>
      </c>
      <c r="J69" s="22">
        <f>IFERROR((G69-F69)/F69,0)</f>
        <v/>
      </c>
    </row>
    <row r="70">
      <c r="C70" s="18" t="inlineStr">
        <is>
          <t>Westwood</t>
        </is>
      </c>
      <c r="D70" s="20">
        <f>SUM(D34:O34)</f>
        <v/>
      </c>
      <c r="E70" s="20">
        <f>SUM(P34:AA34)</f>
        <v/>
      </c>
      <c r="F70" s="20">
        <f>SUM(AB34:AM34)</f>
        <v/>
      </c>
      <c r="G70" s="20">
        <f>SUM(AN34:AY34)</f>
        <v/>
      </c>
      <c r="H70" s="22">
        <f>IFERROR((E70-D70)/D70,0)</f>
        <v/>
      </c>
      <c r="I70" s="22">
        <f>IFERROR((F70-E70)/E70,0)</f>
        <v/>
      </c>
      <c r="J70" s="22">
        <f>IFERROR((G70-F70)/F70,0)</f>
        <v/>
      </c>
    </row>
    <row r="71">
      <c r="C71" s="18" t="inlineStr">
        <is>
          <t>Head Office</t>
        </is>
      </c>
      <c r="D71" s="20">
        <f>SUM('HO P&amp;L'!D36:O36)</f>
        <v/>
      </c>
      <c r="E71" s="20">
        <f>SUM('HO P&amp;L'!P36:AA36)</f>
        <v/>
      </c>
      <c r="F71" s="20">
        <f>SUM('HO P&amp;L'!AB36:AM36)</f>
        <v/>
      </c>
      <c r="G71" s="20">
        <f>SUM('HO P&amp;L'!AN36:AY36)</f>
        <v/>
      </c>
      <c r="H71" s="22">
        <f>IFERROR((E71-D71)/D71,0)</f>
        <v/>
      </c>
      <c r="I71" s="22">
        <f>IFERROR((F71-E71)/E71,0)</f>
        <v/>
      </c>
      <c r="J71" s="22">
        <f>IFERROR((G71-F71)/F71,0)</f>
        <v/>
      </c>
    </row>
    <row r="72">
      <c r="C72" s="18" t="n"/>
      <c r="D72" s="76" t="n"/>
      <c r="E72" s="76" t="n"/>
      <c r="F72" s="76" t="n"/>
      <c r="G72" s="76" t="n"/>
      <c r="H72" s="77" t="n"/>
      <c r="I72" s="77" t="n"/>
      <c r="J72" s="77" t="n"/>
    </row>
    <row r="73">
      <c r="B73" s="15" t="inlineStr">
        <is>
          <t>Total Adj-EBITDA</t>
        </is>
      </c>
      <c r="D73" s="79">
        <f>SUM(D39:O39)</f>
        <v/>
      </c>
      <c r="E73" s="79">
        <f>SUM(P39:AA39)</f>
        <v/>
      </c>
      <c r="F73" s="80">
        <f>SUM(AB39:AM39)</f>
        <v/>
      </c>
      <c r="G73" s="80">
        <f>SUM(AN39:AY39)</f>
        <v/>
      </c>
      <c r="H73" s="81">
        <f>IFERROR((E73-D73)/D73,0)</f>
        <v/>
      </c>
      <c r="I73" s="81">
        <f>IFERROR((F73-E73)/E73,0)</f>
        <v/>
      </c>
      <c r="J73" s="82">
        <f>IFERROR((G73-F73)/F73,0)</f>
        <v/>
      </c>
    </row>
    <row r="74">
      <c r="B74" s="15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</row>
    <row r="76" ht="16.05" customHeight="1" s="142">
      <c r="B76" s="10" t="inlineStr">
        <is>
          <t>Pro Forma Cash Flow Model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BA76" s="24" t="n"/>
      <c r="BB76" s="24" t="n"/>
      <c r="BC76" s="24" t="n"/>
      <c r="BD76" s="24" t="n"/>
      <c r="BF76" s="24" t="n"/>
    </row>
    <row r="78">
      <c r="B78" s="102" t="inlineStr">
        <is>
          <t>EBITDA</t>
        </is>
      </c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24">
        <f>AB39</f>
        <v/>
      </c>
      <c r="AC78" s="24">
        <f>AC39</f>
        <v/>
      </c>
      <c r="AD78" s="24">
        <f>AD39</f>
        <v/>
      </c>
      <c r="AE78" s="24">
        <f>AE39</f>
        <v/>
      </c>
      <c r="AF78" s="24">
        <f>AF39</f>
        <v/>
      </c>
      <c r="AG78" s="24">
        <f>AG39</f>
        <v/>
      </c>
      <c r="AH78" s="24">
        <f>AH39</f>
        <v/>
      </c>
      <c r="AI78" s="24">
        <f>AI39</f>
        <v/>
      </c>
      <c r="AJ78" s="24">
        <f>AJ39</f>
        <v/>
      </c>
      <c r="AK78" s="24">
        <f>AK39</f>
        <v/>
      </c>
      <c r="AL78" s="24">
        <f>AL39</f>
        <v/>
      </c>
      <c r="AM78" s="24">
        <f>AM39</f>
        <v/>
      </c>
      <c r="AN78" s="24">
        <f>AN39</f>
        <v/>
      </c>
      <c r="AO78" s="24">
        <f>AO39</f>
        <v/>
      </c>
      <c r="AP78" s="24">
        <f>AP39</f>
        <v/>
      </c>
      <c r="AQ78" s="24">
        <f>AQ39</f>
        <v/>
      </c>
      <c r="AR78" s="24">
        <f>AR39</f>
        <v/>
      </c>
      <c r="AS78" s="24">
        <f>AS39</f>
        <v/>
      </c>
      <c r="AT78" s="24">
        <f>AT39</f>
        <v/>
      </c>
      <c r="AU78" s="24">
        <f>AU39</f>
        <v/>
      </c>
      <c r="AV78" s="24">
        <f>AV39</f>
        <v/>
      </c>
      <c r="AW78" s="24">
        <f>AW39</f>
        <v/>
      </c>
      <c r="AX78" s="24">
        <f>AX39</f>
        <v/>
      </c>
      <c r="AY78" s="24">
        <f>AY39</f>
        <v/>
      </c>
    </row>
    <row r="79">
      <c r="B79" t="inlineStr">
        <is>
          <t>D&amp;A (-)</t>
        </is>
      </c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57" t="n">
        <v>0</v>
      </c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W79" s="116" t="n"/>
      <c r="AX79" s="116" t="n"/>
      <c r="AY79" s="116" t="n"/>
    </row>
    <row r="80">
      <c r="B80" t="inlineStr">
        <is>
          <t>Interest (-)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</row>
    <row r="81">
      <c r="B81" t="inlineStr">
        <is>
          <t>EBIT</t>
        </is>
      </c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</row>
    <row r="82"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</row>
    <row r="83"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</row>
    <row r="84"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</row>
    <row r="85"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</row>
    <row r="86"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</row>
    <row r="87"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</row>
    <row r="88"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</row>
    <row r="89"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</row>
    <row r="90"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</row>
    <row r="91"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BA125" s="24" t="n"/>
    </row>
    <row r="126"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BA126" s="24" t="n"/>
    </row>
  </sheetData>
  <pageMargins left="0.75" right="0.75" top="1" bottom="1" header="0.5" footer="0.5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36" customWidth="1" style="142" min="2" max="2"/>
    <col width="14" customWidth="1" style="142" min="3" max="9"/>
    <col width="18" customWidth="1" style="142" min="10" max="10"/>
  </cols>
  <sheetData>
    <row r="2" ht="21" customHeight="1" s="14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.05" customHeight="1" s="14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.05" customHeight="1" s="14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.05" customHeight="1" s="14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141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141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141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141" t="inlineStr">
        <is>
          <t>Cost of goods sold as % of revenue (retail).</t>
        </is>
      </c>
    </row>
    <row r="22" ht="16.05" customHeight="1" s="14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141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141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141" t="inlineStr">
        <is>
          <t>5% YoY assumed for 2028 (applied to 2027 seasonal pattern)</t>
        </is>
      </c>
    </row>
    <row r="27" ht="16.05" customHeight="1" s="14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.05" customHeight="1" s="14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96875" defaultRowHeight="14.25"/>
  <cols>
    <col hidden="1" width="2" customWidth="1" style="142" min="1" max="1"/>
    <col width="8" customWidth="1" style="142" min="2" max="2"/>
    <col width="22" customWidth="1" style="142" min="3" max="3"/>
    <col width="11" customWidth="1" style="142" min="4" max="39"/>
  </cols>
  <sheetData>
    <row r="2" ht="21" customHeight="1" s="142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.05" customHeight="1" s="14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6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.05" customHeight="1" s="14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14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14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142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142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142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142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142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142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142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142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142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142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142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142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</cols>
  <sheetData>
    <row r="2" ht="21" customHeight="1" s="14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Forecast'!P40</f>
        <v/>
      </c>
      <c r="Q6" s="36">
        <f>'Cash Flow Forecast'!Q40</f>
        <v/>
      </c>
      <c r="R6" s="36">
        <f>'Cash Flow Forecast'!R40</f>
        <v/>
      </c>
      <c r="S6" s="36">
        <f>'Cash Flow Forecast'!S40</f>
        <v/>
      </c>
      <c r="T6" s="36">
        <f>'Cash Flow Forecast'!T40</f>
        <v/>
      </c>
      <c r="U6" s="36">
        <f>'Cash Flow Forecast'!U40</f>
        <v/>
      </c>
      <c r="V6" s="36">
        <f>'Cash Flow Forecast'!V40</f>
        <v/>
      </c>
      <c r="W6" s="36">
        <f>'Cash Flow Forecast'!W40</f>
        <v/>
      </c>
      <c r="X6" s="36">
        <f>'Cash Flow Forecast'!X40</f>
        <v/>
      </c>
      <c r="Y6" s="36">
        <f>'Cash Flow Forecast'!Y40</f>
        <v/>
      </c>
      <c r="Z6" s="36">
        <f>'Cash Flow Forecast'!Z40</f>
        <v/>
      </c>
      <c r="AA6" s="36">
        <f>'Cash Flow Forecast'!AA40</f>
        <v/>
      </c>
      <c r="AB6" s="36">
        <f>'Cash Flow Forecast'!AB40</f>
        <v/>
      </c>
      <c r="AC6" s="36">
        <f>'Cash Flow Forecast'!AC40</f>
        <v/>
      </c>
      <c r="AD6" s="36">
        <f>'Cash Flow Forecast'!AD40</f>
        <v/>
      </c>
      <c r="AE6" s="36">
        <f>'Cash Flow Forecast'!AE40</f>
        <v/>
      </c>
      <c r="AF6" s="36">
        <f>'Cash Flow Forecast'!AF40</f>
        <v/>
      </c>
      <c r="AG6" s="36">
        <f>'Cash Flow Forecast'!AG40</f>
        <v/>
      </c>
      <c r="AH6" s="36">
        <f>'Cash Flow Forecast'!AH40</f>
        <v/>
      </c>
      <c r="AI6" s="36">
        <f>'Cash Flow Forecast'!AI40</f>
        <v/>
      </c>
      <c r="AJ6" s="36">
        <f>'Cash Flow Forecast'!AJ40</f>
        <v/>
      </c>
      <c r="AK6" s="36">
        <f>'Cash Flow Forecast'!AK40</f>
        <v/>
      </c>
      <c r="AL6" s="36">
        <f>'Cash Flow Forecast'!AL40</f>
        <v/>
      </c>
      <c r="AM6" s="36">
        <f>'Cash Flow Forecast'!AM40</f>
        <v/>
      </c>
      <c r="AN6" s="36">
        <f>'Cash Flow Forecast'!AN40</f>
        <v/>
      </c>
      <c r="AO6" s="36">
        <f>'Cash Flow Forecast'!AO40</f>
        <v/>
      </c>
      <c r="AP6" s="36">
        <f>'Cash Flow Forecast'!AP40</f>
        <v/>
      </c>
      <c r="AQ6" s="36">
        <f>'Cash Flow Forecast'!AQ40</f>
        <v/>
      </c>
      <c r="AR6" s="36">
        <f>'Cash Flow Forecast'!AR40</f>
        <v/>
      </c>
      <c r="AS6" s="36">
        <f>'Cash Flow Forecast'!AS40</f>
        <v/>
      </c>
      <c r="AT6" s="36">
        <f>'Cash Flow Forecast'!AT40</f>
        <v/>
      </c>
      <c r="AU6" s="36">
        <f>'Cash Flow Forecast'!AU40</f>
        <v/>
      </c>
      <c r="AV6" s="36">
        <f>'Cash Flow Forecast'!AV40</f>
        <v/>
      </c>
      <c r="AW6" s="36">
        <f>'Cash Flow Forecast'!AW40</f>
        <v/>
      </c>
      <c r="AX6" s="36">
        <f>'Cash Flow Forecast'!AX40</f>
        <v/>
      </c>
      <c r="AY6" s="36">
        <f>'Cash Flow Forecast'!AY40</f>
        <v/>
      </c>
    </row>
    <row r="8" ht="16.05" customHeight="1" s="14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.05" customHeight="1" s="14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.05" customHeight="1" s="14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B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  <col width="10.265625" bestFit="1" customWidth="1" style="142" min="40" max="51"/>
    <col width="9.265625" customWidth="1" style="142" min="53" max="53"/>
    <col width="10.86328125" bestFit="1" customWidth="1" style="142" min="54" max="56"/>
    <col width="11.796875" bestFit="1" customWidth="1" style="142" min="58" max="58"/>
  </cols>
  <sheetData>
    <row r="2" ht="21" customHeight="1" s="142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.05" customHeight="1" s="14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 ht="16.05" customHeight="1" s="14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9" ht="16.05" customHeight="1" s="14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>
        <f>'P&amp;L'!P19</f>
        <v/>
      </c>
      <c r="Q10" s="19">
        <f>'P&amp;L'!Q19</f>
        <v/>
      </c>
      <c r="R10" s="19">
        <f>'P&amp;L'!R19</f>
        <v/>
      </c>
      <c r="S10" s="19">
        <f>'P&amp;L'!S19</f>
        <v/>
      </c>
      <c r="T10" s="31">
        <f>'P&amp;L'!T19</f>
        <v/>
      </c>
      <c r="U10" s="31">
        <f>'P&amp;L'!U19</f>
        <v/>
      </c>
      <c r="V10" s="31">
        <f>'P&amp;L'!V19</f>
        <v/>
      </c>
      <c r="W10" s="31">
        <f>'P&amp;L'!W19</f>
        <v/>
      </c>
      <c r="X10" s="31">
        <f>'P&amp;L'!X19</f>
        <v/>
      </c>
      <c r="Y10" s="31">
        <f>'P&amp;L'!Y19</f>
        <v/>
      </c>
      <c r="Z10" s="31">
        <f>'P&amp;L'!Z19</f>
        <v/>
      </c>
      <c r="AA10" s="31">
        <f>'P&amp;L'!AA19</f>
        <v/>
      </c>
      <c r="AB10" s="31">
        <f>'P&amp;L'!AB19</f>
        <v/>
      </c>
      <c r="AC10" s="31">
        <f>'P&amp;L'!AC19</f>
        <v/>
      </c>
      <c r="AD10" s="31">
        <f>'P&amp;L'!AD19</f>
        <v/>
      </c>
      <c r="AE10" s="31">
        <f>'P&amp;L'!AE19</f>
        <v/>
      </c>
      <c r="AF10" s="31">
        <f>'P&amp;L'!AF19</f>
        <v/>
      </c>
      <c r="AG10" s="31">
        <f>'P&amp;L'!AG19</f>
        <v/>
      </c>
      <c r="AH10" s="31">
        <f>'P&amp;L'!AH19</f>
        <v/>
      </c>
      <c r="AI10" s="31">
        <f>'P&amp;L'!AI19</f>
        <v/>
      </c>
      <c r="AJ10" s="31">
        <f>'P&amp;L'!AJ19</f>
        <v/>
      </c>
      <c r="AK10" s="31">
        <f>'P&amp;L'!AK19</f>
        <v/>
      </c>
      <c r="AL10" s="31">
        <f>'P&amp;L'!AL19</f>
        <v/>
      </c>
      <c r="AM10" s="31">
        <f>'P&amp;L'!AM19</f>
        <v/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>
        <f>'P&amp;L'!P15</f>
        <v/>
      </c>
      <c r="Q11" s="19">
        <f>'P&amp;L'!Q15</f>
        <v/>
      </c>
      <c r="R11" s="19">
        <f>'P&amp;L'!R15</f>
        <v/>
      </c>
      <c r="S11" s="19">
        <f>'P&amp;L'!S15</f>
        <v/>
      </c>
      <c r="T11" s="31">
        <f>'P&amp;L'!T15</f>
        <v/>
      </c>
      <c r="U11" s="31">
        <f>'P&amp;L'!U15</f>
        <v/>
      </c>
      <c r="V11" s="31">
        <f>'P&amp;L'!V15</f>
        <v/>
      </c>
      <c r="W11" s="31">
        <f>'P&amp;L'!W15</f>
        <v/>
      </c>
      <c r="X11" s="31">
        <f>'P&amp;L'!X15</f>
        <v/>
      </c>
      <c r="Y11" s="31">
        <f>'P&amp;L'!Y15</f>
        <v/>
      </c>
      <c r="Z11" s="31">
        <f>'P&amp;L'!Z15</f>
        <v/>
      </c>
      <c r="AA11" s="31">
        <f>'P&amp;L'!AA15</f>
        <v/>
      </c>
      <c r="AB11" s="31">
        <f>'P&amp;L'!AB15</f>
        <v/>
      </c>
      <c r="AC11" s="31">
        <f>'P&amp;L'!AC15</f>
        <v/>
      </c>
      <c r="AD11" s="31">
        <f>'P&amp;L'!AD15</f>
        <v/>
      </c>
      <c r="AE11" s="31">
        <f>'P&amp;L'!AE15</f>
        <v/>
      </c>
      <c r="AF11" s="31">
        <f>'P&amp;L'!AF15</f>
        <v/>
      </c>
      <c r="AG11" s="31">
        <f>'P&amp;L'!AG15</f>
        <v/>
      </c>
      <c r="AH11" s="31">
        <f>'P&amp;L'!AH15</f>
        <v/>
      </c>
      <c r="AI11" s="31">
        <f>'P&amp;L'!AI15</f>
        <v/>
      </c>
      <c r="AJ11" s="31">
        <f>'P&amp;L'!AJ15</f>
        <v/>
      </c>
      <c r="AK11" s="31">
        <f>'P&amp;L'!AK15</f>
        <v/>
      </c>
      <c r="AL11" s="31">
        <f>'P&amp;L'!AL15</f>
        <v/>
      </c>
      <c r="AM11" s="31">
        <f>'P&amp;L'!AM15</f>
        <v/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>
        <f>'P&amp;L'!P18</f>
        <v/>
      </c>
      <c r="Q12" s="19">
        <f>'P&amp;L'!Q18</f>
        <v/>
      </c>
      <c r="R12" s="19">
        <f>'P&amp;L'!R18</f>
        <v/>
      </c>
      <c r="S12" s="19">
        <f>'P&amp;L'!S18</f>
        <v/>
      </c>
      <c r="T12" s="31">
        <f>'P&amp;L'!T18</f>
        <v/>
      </c>
      <c r="U12" s="31">
        <f>'P&amp;L'!U18</f>
        <v/>
      </c>
      <c r="V12" s="31">
        <f>'P&amp;L'!V18</f>
        <v/>
      </c>
      <c r="W12" s="31">
        <f>'P&amp;L'!W18</f>
        <v/>
      </c>
      <c r="X12" s="31">
        <f>'P&amp;L'!X18</f>
        <v/>
      </c>
      <c r="Y12" s="31">
        <f>'P&amp;L'!Y18</f>
        <v/>
      </c>
      <c r="Z12" s="31">
        <f>'P&amp;L'!Z18</f>
        <v/>
      </c>
      <c r="AA12" s="31">
        <f>'P&amp;L'!AA18</f>
        <v/>
      </c>
      <c r="AB12" s="31">
        <f>'P&amp;L'!AB18</f>
        <v/>
      </c>
      <c r="AC12" s="31">
        <f>'P&amp;L'!AC18</f>
        <v/>
      </c>
      <c r="AD12" s="31">
        <f>'P&amp;L'!AD18</f>
        <v/>
      </c>
      <c r="AE12" s="31">
        <f>'P&amp;L'!AE18</f>
        <v/>
      </c>
      <c r="AF12" s="31">
        <f>'P&amp;L'!AF18</f>
        <v/>
      </c>
      <c r="AG12" s="31">
        <f>'P&amp;L'!AG18</f>
        <v/>
      </c>
      <c r="AH12" s="31">
        <f>'P&amp;L'!AH18</f>
        <v/>
      </c>
      <c r="AI12" s="31">
        <f>'P&amp;L'!AI18</f>
        <v/>
      </c>
      <c r="AJ12" s="31">
        <f>'P&amp;L'!AJ18</f>
        <v/>
      </c>
      <c r="AK12" s="31">
        <f>'P&amp;L'!AK18</f>
        <v/>
      </c>
      <c r="AL12" s="31">
        <f>'P&amp;L'!AL18</f>
        <v/>
      </c>
      <c r="AM12" s="31">
        <f>'P&amp;L'!AM18</f>
        <v/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>
        <f>'P&amp;L'!P14</f>
        <v/>
      </c>
      <c r="Q13" s="19">
        <f>'P&amp;L'!Q14</f>
        <v/>
      </c>
      <c r="R13" s="19">
        <f>'P&amp;L'!R14</f>
        <v/>
      </c>
      <c r="S13" s="19">
        <f>'P&amp;L'!S14</f>
        <v/>
      </c>
      <c r="T13" s="31">
        <f>'P&amp;L'!T14</f>
        <v/>
      </c>
      <c r="U13" s="31">
        <f>'P&amp;L'!U14</f>
        <v/>
      </c>
      <c r="V13" s="31">
        <f>'P&amp;L'!V14</f>
        <v/>
      </c>
      <c r="W13" s="31">
        <f>'P&amp;L'!W14</f>
        <v/>
      </c>
      <c r="X13" s="31">
        <f>'P&amp;L'!X14</f>
        <v/>
      </c>
      <c r="Y13" s="31">
        <f>'P&amp;L'!Y14</f>
        <v/>
      </c>
      <c r="Z13" s="31">
        <f>'P&amp;L'!Z14</f>
        <v/>
      </c>
      <c r="AA13" s="31">
        <f>'P&amp;L'!AA14</f>
        <v/>
      </c>
      <c r="AB13" s="31">
        <f>'P&amp;L'!AB14</f>
        <v/>
      </c>
      <c r="AC13" s="31">
        <f>'P&amp;L'!AC14</f>
        <v/>
      </c>
      <c r="AD13" s="31">
        <f>'P&amp;L'!AD14</f>
        <v/>
      </c>
      <c r="AE13" s="31">
        <f>'P&amp;L'!AE14</f>
        <v/>
      </c>
      <c r="AF13" s="31">
        <f>'P&amp;L'!AF14</f>
        <v/>
      </c>
      <c r="AG13" s="31">
        <f>'P&amp;L'!AG14</f>
        <v/>
      </c>
      <c r="AH13" s="31">
        <f>'P&amp;L'!AH14</f>
        <v/>
      </c>
      <c r="AI13" s="31">
        <f>'P&amp;L'!AI14</f>
        <v/>
      </c>
      <c r="AJ13" s="31">
        <f>'P&amp;L'!AJ14</f>
        <v/>
      </c>
      <c r="AK13" s="31">
        <f>'P&amp;L'!AK14</f>
        <v/>
      </c>
      <c r="AL13" s="31">
        <f>'P&amp;L'!AL14</f>
        <v/>
      </c>
      <c r="AM13" s="31">
        <f>'P&amp;L'!AM14</f>
        <v/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>
        <f>'P&amp;L'!P16</f>
        <v/>
      </c>
      <c r="Q14" s="19">
        <f>'P&amp;L'!Q16</f>
        <v/>
      </c>
      <c r="R14" s="19">
        <f>'P&amp;L'!R16</f>
        <v/>
      </c>
      <c r="S14" s="19">
        <f>'P&amp;L'!S16</f>
        <v/>
      </c>
      <c r="T14" s="31">
        <f>'P&amp;L'!T16</f>
        <v/>
      </c>
      <c r="U14" s="31">
        <f>'P&amp;L'!U16</f>
        <v/>
      </c>
      <c r="V14" s="31">
        <f>'P&amp;L'!V16</f>
        <v/>
      </c>
      <c r="W14" s="31">
        <f>'P&amp;L'!W16</f>
        <v/>
      </c>
      <c r="X14" s="31">
        <f>'P&amp;L'!X16</f>
        <v/>
      </c>
      <c r="Y14" s="31">
        <f>'P&amp;L'!Y16</f>
        <v/>
      </c>
      <c r="Z14" s="31">
        <f>'P&amp;L'!Z16</f>
        <v/>
      </c>
      <c r="AA14" s="31">
        <f>'P&amp;L'!AA16</f>
        <v/>
      </c>
      <c r="AB14" s="31">
        <f>'P&amp;L'!AB16</f>
        <v/>
      </c>
      <c r="AC14" s="31">
        <f>'P&amp;L'!AC16</f>
        <v/>
      </c>
      <c r="AD14" s="31">
        <f>'P&amp;L'!AD16</f>
        <v/>
      </c>
      <c r="AE14" s="31">
        <f>'P&amp;L'!AE16</f>
        <v/>
      </c>
      <c r="AF14" s="31">
        <f>'P&amp;L'!AF16</f>
        <v/>
      </c>
      <c r="AG14" s="31">
        <f>'P&amp;L'!AG16</f>
        <v/>
      </c>
      <c r="AH14" s="31">
        <f>'P&amp;L'!AH16</f>
        <v/>
      </c>
      <c r="AI14" s="31">
        <f>'P&amp;L'!AI16</f>
        <v/>
      </c>
      <c r="AJ14" s="31">
        <f>'P&amp;L'!AJ16</f>
        <v/>
      </c>
      <c r="AK14" s="31">
        <f>'P&amp;L'!AK16</f>
        <v/>
      </c>
      <c r="AL14" s="31">
        <f>'P&amp;L'!AL16</f>
        <v/>
      </c>
      <c r="AM14" s="31">
        <f>'P&amp;L'!AM16</f>
        <v/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>
        <f>'P&amp;L'!P17</f>
        <v/>
      </c>
      <c r="Q15" s="19">
        <f>'P&amp;L'!Q17</f>
        <v/>
      </c>
      <c r="R15" s="19">
        <f>'P&amp;L'!R17</f>
        <v/>
      </c>
      <c r="S15" s="19">
        <f>'P&amp;L'!S17</f>
        <v/>
      </c>
      <c r="T15" s="31">
        <f>'P&amp;L'!T17</f>
        <v/>
      </c>
      <c r="U15" s="31">
        <f>'P&amp;L'!U17</f>
        <v/>
      </c>
      <c r="V15" s="31">
        <f>'P&amp;L'!V17</f>
        <v/>
      </c>
      <c r="W15" s="31">
        <f>'P&amp;L'!W17</f>
        <v/>
      </c>
      <c r="X15" s="31">
        <f>'P&amp;L'!X17</f>
        <v/>
      </c>
      <c r="Y15" s="31">
        <f>'P&amp;L'!Y17</f>
        <v/>
      </c>
      <c r="Z15" s="31">
        <f>'P&amp;L'!Z17</f>
        <v/>
      </c>
      <c r="AA15" s="31">
        <f>'P&amp;L'!AA17</f>
        <v/>
      </c>
      <c r="AB15" s="31">
        <f>'P&amp;L'!AB17</f>
        <v/>
      </c>
      <c r="AC15" s="31">
        <f>'P&amp;L'!AC17</f>
        <v/>
      </c>
      <c r="AD15" s="31">
        <f>'P&amp;L'!AD17</f>
        <v/>
      </c>
      <c r="AE15" s="31">
        <f>'P&amp;L'!AE17</f>
        <v/>
      </c>
      <c r="AF15" s="31">
        <f>'P&amp;L'!AF17</f>
        <v/>
      </c>
      <c r="AG15" s="31">
        <f>'P&amp;L'!AG17</f>
        <v/>
      </c>
      <c r="AH15" s="31">
        <f>'P&amp;L'!AH17</f>
        <v/>
      </c>
      <c r="AI15" s="31">
        <f>'P&amp;L'!AI17</f>
        <v/>
      </c>
      <c r="AJ15" s="31">
        <f>'P&amp;L'!AJ17</f>
        <v/>
      </c>
      <c r="AK15" s="31">
        <f>'P&amp;L'!AK17</f>
        <v/>
      </c>
      <c r="AL15" s="31">
        <f>'P&amp;L'!AL17</f>
        <v/>
      </c>
      <c r="AM15" s="31">
        <f>'P&amp;L'!AM17</f>
        <v/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>
        <f>'BK P&amp;L'!P50+'CC P&amp;L'!P50+'DN P&amp;L'!P50+'LF P&amp;L'!P50+'MR P&amp;L'!P50+'OP P&amp;L'!P50+'PH P&amp;L'!P50+'RH P&amp;L'!P50+'SB P&amp;L'!P50+'SM P&amp;L'!P50+'WP P&amp;L'!P50+'WW P&amp;L'!P50+'HO P&amp;L'!P30</f>
        <v/>
      </c>
      <c r="Q16" s="19">
        <f>'BK P&amp;L'!Q50+'CC P&amp;L'!Q50+'DN P&amp;L'!Q50+'LF P&amp;L'!Q50+'MR P&amp;L'!Q50+'OP P&amp;L'!Q50+'PH P&amp;L'!Q50+'RH P&amp;L'!Q50+'SB P&amp;L'!Q50+'SM P&amp;L'!Q50+'WP P&amp;L'!Q50+'WW P&amp;L'!Q50+'HO P&amp;L'!Q30</f>
        <v/>
      </c>
      <c r="R16" s="19">
        <f>'BK P&amp;L'!R50+'CC P&amp;L'!R50+'DN P&amp;L'!R50+'LF P&amp;L'!R50+'MR P&amp;L'!R50+'OP P&amp;L'!R50+'PH P&amp;L'!R50+'RH P&amp;L'!R50+'SB P&amp;L'!R50+'SM P&amp;L'!R50+'WP P&amp;L'!R50+'WW P&amp;L'!R50+'HO P&amp;L'!R30</f>
        <v/>
      </c>
      <c r="S16" s="19">
        <f>'BK P&amp;L'!S50+'CC P&amp;L'!S50+'DN P&amp;L'!S50+'LF P&amp;L'!S50+'MR P&amp;L'!S50+'OP P&amp;L'!S50+'PH P&amp;L'!S50+'RH P&amp;L'!S50+'SB P&amp;L'!S50+'SM P&amp;L'!S50+'WP P&amp;L'!S50+'WW P&amp;L'!S50+'HO P&amp;L'!S30</f>
        <v/>
      </c>
      <c r="T16" s="31">
        <f>'BK P&amp;L'!T50+'CC P&amp;L'!T50+'DN P&amp;L'!T50+'LF P&amp;L'!T50+'MR P&amp;L'!T50+'OP P&amp;L'!T50+'PH P&amp;L'!T50+'RH P&amp;L'!T50+'SB P&amp;L'!T50+'SM P&amp;L'!T50+'WP P&amp;L'!T50+'WW P&amp;L'!T50+'HO P&amp;L'!T30</f>
        <v/>
      </c>
      <c r="U16" s="31">
        <f>'BK P&amp;L'!U50+'CC P&amp;L'!U50+'DN P&amp;L'!U50+'LF P&amp;L'!U50+'MR P&amp;L'!U50+'OP P&amp;L'!U50+'PH P&amp;L'!U50+'RH P&amp;L'!U50+'SB P&amp;L'!U50+'SM P&amp;L'!U50+'WP P&amp;L'!U50+'WW P&amp;L'!U50+'HO P&amp;L'!U30</f>
        <v/>
      </c>
      <c r="V16" s="31">
        <f>'BK P&amp;L'!V50+'CC P&amp;L'!V50+'DN P&amp;L'!V50+'LF P&amp;L'!V50+'MR P&amp;L'!V50+'OP P&amp;L'!V50+'PH P&amp;L'!V50+'RH P&amp;L'!V50+'SB P&amp;L'!V50+'SM P&amp;L'!V50+'WP P&amp;L'!V50+'WW P&amp;L'!V50+'HO P&amp;L'!V30</f>
        <v/>
      </c>
      <c r="W16" s="31">
        <f>'BK P&amp;L'!W50+'CC P&amp;L'!W50+'DN P&amp;L'!W50+'LF P&amp;L'!W50+'MR P&amp;L'!W50+'OP P&amp;L'!W50+'PH P&amp;L'!W50+'RH P&amp;L'!W50+'SB P&amp;L'!W50+'SM P&amp;L'!W50+'WP P&amp;L'!W50+'WW P&amp;L'!W50+'HO P&amp;L'!W30</f>
        <v/>
      </c>
      <c r="X16" s="31">
        <f>'BK P&amp;L'!X50+'CC P&amp;L'!X50+'DN P&amp;L'!X50+'LF P&amp;L'!X50+'MR P&amp;L'!X50+'OP P&amp;L'!X50+'PH P&amp;L'!X50+'RH P&amp;L'!X50+'SB P&amp;L'!X50+'SM P&amp;L'!X50+'WP P&amp;L'!X50+'WW P&amp;L'!X50+'HO P&amp;L'!X30</f>
        <v/>
      </c>
      <c r="Y16" s="31">
        <f>'BK P&amp;L'!Y50+'CC P&amp;L'!Y50+'DN P&amp;L'!Y50+'LF P&amp;L'!Y50+'MR P&amp;L'!Y50+'OP P&amp;L'!Y50+'PH P&amp;L'!Y50+'RH P&amp;L'!Y50+'SB P&amp;L'!Y50+'SM P&amp;L'!Y50+'WP P&amp;L'!Y50+'WW P&amp;L'!Y50+'HO P&amp;L'!Y30</f>
        <v/>
      </c>
      <c r="Z16" s="31">
        <f>'BK P&amp;L'!Z50+'CC P&amp;L'!Z50+'DN P&amp;L'!Z50+'LF P&amp;L'!Z50+'MR P&amp;L'!Z50+'OP P&amp;L'!Z50+'PH P&amp;L'!Z50+'RH P&amp;L'!Z50+'SB P&amp;L'!Z50+'SM P&amp;L'!Z50+'WP P&amp;L'!Z50+'WW P&amp;L'!Z50+'HO P&amp;L'!Z30</f>
        <v/>
      </c>
      <c r="AA16" s="31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16" s="31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16" s="31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16" s="31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16" s="31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16" s="31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16" s="31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16" s="31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16" s="31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16" s="31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16" s="31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16" s="31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16" s="31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>
        <f>'P&amp;L'!P12</f>
        <v/>
      </c>
      <c r="Q17" s="19">
        <f>'P&amp;L'!Q12</f>
        <v/>
      </c>
      <c r="R17" s="19">
        <f>'P&amp;L'!R12</f>
        <v/>
      </c>
      <c r="S17" s="19">
        <f>'P&amp;L'!S12</f>
        <v/>
      </c>
      <c r="T17" s="20">
        <f>'P&amp;L'!T12</f>
        <v/>
      </c>
      <c r="U17" s="20">
        <f>'P&amp;L'!U12</f>
        <v/>
      </c>
      <c r="V17" s="20">
        <f>'P&amp;L'!V12</f>
        <v/>
      </c>
      <c r="W17" s="20">
        <f>'P&amp;L'!W12</f>
        <v/>
      </c>
      <c r="X17" s="20">
        <f>'P&amp;L'!X12</f>
        <v/>
      </c>
      <c r="Y17" s="20">
        <f>'P&amp;L'!Y12</f>
        <v/>
      </c>
      <c r="Z17" s="20">
        <f>'P&amp;L'!Z12</f>
        <v/>
      </c>
      <c r="AA17" s="20">
        <f>'P&amp;L'!AA12</f>
        <v/>
      </c>
      <c r="AB17" s="20">
        <f>'P&amp;L'!AB12</f>
        <v/>
      </c>
      <c r="AC17" s="20">
        <f>'P&amp;L'!AC12</f>
        <v/>
      </c>
      <c r="AD17" s="20">
        <f>'P&amp;L'!AD12</f>
        <v/>
      </c>
      <c r="AE17" s="20">
        <f>'P&amp;L'!AE12</f>
        <v/>
      </c>
      <c r="AF17" s="20">
        <f>'P&amp;L'!AF12</f>
        <v/>
      </c>
      <c r="AG17" s="20">
        <f>'P&amp;L'!AG12</f>
        <v/>
      </c>
      <c r="AH17" s="20">
        <f>'P&amp;L'!AH12</f>
        <v/>
      </c>
      <c r="AI17" s="20">
        <f>'P&amp;L'!AI12</f>
        <v/>
      </c>
      <c r="AJ17" s="20">
        <f>'P&amp;L'!AJ12</f>
        <v/>
      </c>
      <c r="AK17" s="20">
        <f>'P&amp;L'!AK12</f>
        <v/>
      </c>
      <c r="AL17" s="20">
        <f>'P&amp;L'!AL12</f>
        <v/>
      </c>
      <c r="AM17" s="20">
        <f>'P&amp;L'!AM12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>
        <f>'P&amp;L'!P25+'P&amp;L'!P26</f>
        <v/>
      </c>
      <c r="Q19" s="19">
        <f>'P&amp;L'!Q25+'P&amp;L'!Q26</f>
        <v/>
      </c>
      <c r="R19" s="19">
        <f>'P&amp;L'!R25+'P&amp;L'!R26</f>
        <v/>
      </c>
      <c r="S19" s="19">
        <f>'P&amp;L'!S25+'P&amp;L'!S26</f>
        <v/>
      </c>
      <c r="T19" s="31">
        <f>'P&amp;L'!T25+'P&amp;L'!T26</f>
        <v/>
      </c>
      <c r="U19" s="31">
        <f>'P&amp;L'!U25+'P&amp;L'!U26</f>
        <v/>
      </c>
      <c r="V19" s="31">
        <f>'P&amp;L'!V25+'P&amp;L'!V26</f>
        <v/>
      </c>
      <c r="W19" s="31">
        <f>'P&amp;L'!W25+'P&amp;L'!W26</f>
        <v/>
      </c>
      <c r="X19" s="31">
        <f>'P&amp;L'!X25+'P&amp;L'!X26</f>
        <v/>
      </c>
      <c r="Y19" s="31">
        <f>'P&amp;L'!Y25+'P&amp;L'!Y26</f>
        <v/>
      </c>
      <c r="Z19" s="31">
        <f>'P&amp;L'!Z25+'P&amp;L'!Z26</f>
        <v/>
      </c>
      <c r="AA19" s="31">
        <f>'P&amp;L'!AA25+'P&amp;L'!AA26</f>
        <v/>
      </c>
      <c r="AB19" s="31">
        <f>'P&amp;L'!AB25+'P&amp;L'!AB26</f>
        <v/>
      </c>
      <c r="AC19" s="31">
        <f>'P&amp;L'!AC25+'P&amp;L'!AC26</f>
        <v/>
      </c>
      <c r="AD19" s="31">
        <f>'P&amp;L'!AD25+'P&amp;L'!AD26</f>
        <v/>
      </c>
      <c r="AE19" s="31">
        <f>'P&amp;L'!AE25+'P&amp;L'!AE26</f>
        <v/>
      </c>
      <c r="AF19" s="31">
        <f>'P&amp;L'!AF25+'P&amp;L'!AF26</f>
        <v/>
      </c>
      <c r="AG19" s="31">
        <f>'P&amp;L'!AG25+'P&amp;L'!AG26</f>
        <v/>
      </c>
      <c r="AH19" s="31">
        <f>'P&amp;L'!AH25+'P&amp;L'!AH26</f>
        <v/>
      </c>
      <c r="AI19" s="31">
        <f>'P&amp;L'!AI25+'P&amp;L'!AI26</f>
        <v/>
      </c>
      <c r="AJ19" s="31">
        <f>'P&amp;L'!AJ25+'P&amp;L'!AJ26</f>
        <v/>
      </c>
      <c r="AK19" s="31">
        <f>'P&amp;L'!AK25+'P&amp;L'!AK26</f>
        <v/>
      </c>
      <c r="AL19" s="31">
        <f>'P&amp;L'!AL25+'P&amp;L'!AL26</f>
        <v/>
      </c>
      <c r="AM19" s="31">
        <f>'P&amp;L'!AM25+'P&amp;L'!AM26</f>
        <v/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21" t="inlineStr">
        <is>
          <t>PF Interest Expense</t>
        </is>
      </c>
      <c r="P20" s="119" t="n"/>
      <c r="Q20" s="119" t="n"/>
      <c r="R20" s="119" t="n"/>
      <c r="S20" s="119" t="n"/>
      <c r="T20" s="120" t="n"/>
      <c r="U20" s="120" t="n"/>
      <c r="V20" s="128" t="n"/>
      <c r="W20" s="128" t="n"/>
      <c r="X20" s="128">
        <f>X49</f>
        <v/>
      </c>
      <c r="Y20" s="128">
        <f>Y49</f>
        <v/>
      </c>
      <c r="Z20" s="128">
        <f>Z49</f>
        <v/>
      </c>
      <c r="AA20" s="128">
        <f>AA49</f>
        <v/>
      </c>
      <c r="AB20" s="128">
        <f>AB49</f>
        <v/>
      </c>
      <c r="AC20" s="128">
        <f>AC49</f>
        <v/>
      </c>
      <c r="AD20" s="128">
        <f>AD49</f>
        <v/>
      </c>
      <c r="AE20" s="128">
        <f>AE49</f>
        <v/>
      </c>
      <c r="AF20" s="128">
        <f>AF49</f>
        <v/>
      </c>
      <c r="AG20" s="128">
        <f>AG49</f>
        <v/>
      </c>
      <c r="AH20" s="128">
        <f>AH49</f>
        <v/>
      </c>
      <c r="AI20" s="128">
        <f>AI49</f>
        <v/>
      </c>
      <c r="AJ20" s="128">
        <f>AJ49</f>
        <v/>
      </c>
      <c r="AK20" s="128">
        <f>AK49</f>
        <v/>
      </c>
      <c r="AL20" s="128">
        <f>AL49</f>
        <v/>
      </c>
      <c r="AM20" s="128">
        <f>AM49</f>
        <v/>
      </c>
      <c r="AN20" s="128">
        <f>AN49</f>
        <v/>
      </c>
      <c r="AO20" s="128">
        <f>AO49</f>
        <v/>
      </c>
      <c r="AP20" s="128">
        <f>AP49</f>
        <v/>
      </c>
      <c r="AQ20" s="128">
        <f>AQ49</f>
        <v/>
      </c>
      <c r="AR20" s="128">
        <f>AR49</f>
        <v/>
      </c>
      <c r="AS20" s="128">
        <f>AS49</f>
        <v/>
      </c>
      <c r="AT20" s="128">
        <f>AT49</f>
        <v/>
      </c>
      <c r="AU20" s="128">
        <f>AU49</f>
        <v/>
      </c>
      <c r="AV20" s="128">
        <f>AV49</f>
        <v/>
      </c>
      <c r="AW20" s="128">
        <f>AW49</f>
        <v/>
      </c>
      <c r="AX20" s="128">
        <f>AX49</f>
        <v/>
      </c>
      <c r="AY20" s="128">
        <f>AY49</f>
        <v/>
      </c>
    </row>
    <row r="21">
      <c r="B21" s="121" t="inlineStr">
        <is>
          <t>PF Fees (Debt Fees and Legal)</t>
        </is>
      </c>
      <c r="P21" s="119" t="n"/>
      <c r="Q21" s="119" t="n"/>
      <c r="R21" s="119" t="n"/>
      <c r="S21" s="119" t="n"/>
      <c r="T21" s="120" t="n"/>
      <c r="U21" s="120" t="n"/>
      <c r="V21" s="120" t="n"/>
      <c r="W21" s="120" t="n"/>
      <c r="X21" s="140">
        <f>'Sources and Uses'!C15+'Sources and Uses'!C16</f>
        <v/>
      </c>
      <c r="Y21" s="120" t="n"/>
      <c r="Z21" s="120" t="n"/>
      <c r="AA21" s="120" t="n"/>
      <c r="AB21" s="140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</row>
    <row r="22">
      <c r="B22" s="15" t="inlineStr">
        <is>
          <t>Total Operating Expenses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.05" customHeight="1" s="14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.05" customHeight="1" s="14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31" t="n">
        <v>0</v>
      </c>
      <c r="X32" s="139">
        <f>X45</f>
        <v/>
      </c>
      <c r="Y32" s="31" t="n">
        <v>0</v>
      </c>
      <c r="Z32" s="31" t="n">
        <v>0</v>
      </c>
      <c r="AA32" s="118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0">
        <f>-'Cash, Debt &amp; Equity'!W26</f>
        <v/>
      </c>
      <c r="X33" s="20">
        <f>-'Cash, Debt &amp; Equity'!X26</f>
        <v/>
      </c>
      <c r="Y33" s="20">
        <f>-'Cash, Debt &amp; Equity'!Y26</f>
        <v/>
      </c>
      <c r="Z33" s="20">
        <f>-'Cash, Debt &amp; Equity'!Z26</f>
        <v/>
      </c>
      <c r="AA33" s="20">
        <f>-'Cash, Debt &amp; Equity'!AA26</f>
        <v/>
      </c>
      <c r="AB33" s="20">
        <f>-'Cash, Debt &amp; Equity'!AB26</f>
        <v/>
      </c>
      <c r="AC33" s="20">
        <f>-'Cash, Debt &amp; Equity'!AC26</f>
        <v/>
      </c>
      <c r="AD33" s="20">
        <f>-'Cash, Debt &amp; Equity'!AD26</f>
        <v/>
      </c>
      <c r="AE33" s="20">
        <f>-'Cash, Debt &amp; Equity'!AE26</f>
        <v/>
      </c>
      <c r="AF33" s="20">
        <f>-'Cash, Debt &amp; Equity'!AF26</f>
        <v/>
      </c>
      <c r="AG33" s="20">
        <f>-'Cash, Debt &amp; Equity'!AG26</f>
        <v/>
      </c>
      <c r="AH33" s="20">
        <f>-'Cash, Debt &amp; Equity'!AH26</f>
        <v/>
      </c>
      <c r="AI33" s="20">
        <f>-'Cash, Debt &amp; Equity'!AI26</f>
        <v/>
      </c>
      <c r="AJ33" s="20">
        <f>-'Cash, Debt &amp; Equity'!AJ26</f>
        <v/>
      </c>
      <c r="AK33" s="20">
        <f>-'Cash, Debt &amp; Equity'!AK26</f>
        <v/>
      </c>
      <c r="AL33" s="20">
        <f>-'Cash, Debt &amp; Equity'!AL26</f>
        <v/>
      </c>
      <c r="AM33" s="20">
        <f>-'Cash, Debt &amp; Equity'!AM26</f>
        <v/>
      </c>
      <c r="AN33" s="20">
        <f>-'Cash, Debt &amp; Equity'!AN26</f>
        <v/>
      </c>
      <c r="AO33" s="20">
        <f>-'Cash, Debt &amp; Equity'!AO26</f>
        <v/>
      </c>
      <c r="AP33" s="20">
        <f>-'Cash, Debt &amp; Equity'!AP26</f>
        <v/>
      </c>
      <c r="AQ33" s="20">
        <f>-'Cash, Debt &amp; Equity'!AQ26</f>
        <v/>
      </c>
      <c r="AR33" s="20">
        <f>-'Cash, Debt &amp; Equity'!AR26</f>
        <v/>
      </c>
      <c r="AS33" s="20">
        <f>-'Cash, Debt &amp; Equity'!AS26</f>
        <v/>
      </c>
      <c r="AT33" s="20">
        <f>-'Cash, Debt &amp; Equity'!AT26</f>
        <v/>
      </c>
      <c r="AU33" s="20">
        <f>-'Cash, Debt &amp; Equity'!AU26</f>
        <v/>
      </c>
      <c r="AV33" s="20">
        <f>-'Cash, Debt &amp; Equity'!AV26</f>
        <v/>
      </c>
      <c r="AW33" s="20">
        <f>-'Cash, Debt &amp; Equity'!AW26</f>
        <v/>
      </c>
      <c r="AX33" s="20">
        <f>-'Cash, Debt &amp; Equity'!AX26</f>
        <v/>
      </c>
      <c r="AY33" s="20">
        <f>-'Cash, Debt &amp; Equity'!AY26</f>
        <v/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.05" customHeight="1" s="14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5" t="n">
        <v>187021.69</v>
      </c>
      <c r="Q40" s="65" t="n">
        <v>261314.24</v>
      </c>
      <c r="R40" s="65" t="n">
        <v>237762.6</v>
      </c>
      <c r="S40" s="65" t="n">
        <v>473976.03</v>
      </c>
      <c r="T40" s="36">
        <f>T39+T38</f>
        <v/>
      </c>
      <c r="U40" s="36">
        <f>U39+U38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.05" customHeight="1" s="142">
      <c r="B42" s="122" t="inlineStr">
        <is>
          <t>PF Debt At Close</t>
        </is>
      </c>
      <c r="C42" s="123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102" t="inlineStr">
        <is>
          <t>New Debt, Beg of Period</t>
        </is>
      </c>
      <c r="X44" s="158" t="n">
        <v>0</v>
      </c>
      <c r="Y44" s="159">
        <f>X47</f>
        <v/>
      </c>
      <c r="Z44" s="159">
        <f>Y47</f>
        <v/>
      </c>
      <c r="AA44" s="159">
        <f>Z47</f>
        <v/>
      </c>
      <c r="AB44" s="159">
        <f>AA47</f>
        <v/>
      </c>
      <c r="AC44" s="159">
        <f>AB47</f>
        <v/>
      </c>
      <c r="AD44" s="159">
        <f>AC47</f>
        <v/>
      </c>
      <c r="AE44" s="159">
        <f>AD47</f>
        <v/>
      </c>
      <c r="AF44" s="159">
        <f>AE47</f>
        <v/>
      </c>
      <c r="AG44" s="159">
        <f>AF47</f>
        <v/>
      </c>
      <c r="AH44" s="159">
        <f>AG47</f>
        <v/>
      </c>
      <c r="AI44" s="159">
        <f>AH47</f>
        <v/>
      </c>
      <c r="AJ44" s="159">
        <f>AI47</f>
        <v/>
      </c>
      <c r="AK44" s="159">
        <f>AJ47</f>
        <v/>
      </c>
      <c r="AL44" s="159">
        <f>AK47</f>
        <v/>
      </c>
      <c r="AM44" s="159">
        <f>AL47</f>
        <v/>
      </c>
      <c r="AN44" s="159">
        <f>AM47</f>
        <v/>
      </c>
      <c r="AO44" s="159">
        <f>AN47</f>
        <v/>
      </c>
      <c r="AP44" s="159">
        <f>AO47</f>
        <v/>
      </c>
      <c r="AQ44" s="159">
        <f>AP47</f>
        <v/>
      </c>
      <c r="AR44" s="159">
        <f>AQ47</f>
        <v/>
      </c>
      <c r="AS44" s="159">
        <f>AR47</f>
        <v/>
      </c>
      <c r="AT44" s="159">
        <f>AS47</f>
        <v/>
      </c>
      <c r="AU44" s="159">
        <f>AT47</f>
        <v/>
      </c>
      <c r="AV44" s="159">
        <f>AU47</f>
        <v/>
      </c>
      <c r="AW44" s="159">
        <f>AV47</f>
        <v/>
      </c>
      <c r="AX44" s="159">
        <f>AW47</f>
        <v/>
      </c>
      <c r="AY44" s="159">
        <f>AX47</f>
        <v/>
      </c>
    </row>
    <row r="45">
      <c r="B45" t="inlineStr">
        <is>
          <t>Increase (+)</t>
        </is>
      </c>
      <c r="W45" s="145" t="n"/>
      <c r="X45" s="145">
        <f>'Sources and Uses'!C20</f>
        <v/>
      </c>
    </row>
    <row r="46">
      <c r="B46" t="inlineStr">
        <is>
          <t>Paydown (-)</t>
        </is>
      </c>
      <c r="X46" s="160" t="n">
        <v>0</v>
      </c>
      <c r="Y46" s="160" t="n">
        <v>0</v>
      </c>
      <c r="Z46" s="160" t="n">
        <v>0</v>
      </c>
      <c r="AA46" s="160" t="n">
        <v>0</v>
      </c>
      <c r="AB46" s="160" t="n">
        <v>0</v>
      </c>
      <c r="AC46" s="160" t="n">
        <v>0</v>
      </c>
      <c r="AD46" s="160" t="n">
        <v>0</v>
      </c>
      <c r="AE46" s="160" t="n">
        <v>0</v>
      </c>
      <c r="AF46" s="160" t="n">
        <v>0</v>
      </c>
      <c r="AG46" s="160" t="n">
        <v>0</v>
      </c>
      <c r="AH46" s="160" t="n">
        <v>0</v>
      </c>
      <c r="AI46" s="160" t="n">
        <v>0</v>
      </c>
      <c r="AJ46" s="160" t="n">
        <v>0</v>
      </c>
      <c r="AK46" s="160" t="n">
        <v>0</v>
      </c>
      <c r="AL46" s="160" t="n">
        <v>0</v>
      </c>
      <c r="AM46" s="160" t="n">
        <v>0</v>
      </c>
      <c r="AN46" s="160" t="n">
        <v>0</v>
      </c>
      <c r="AO46" s="160" t="n">
        <v>0</v>
      </c>
      <c r="AP46" s="160" t="n">
        <v>0</v>
      </c>
      <c r="AQ46" s="160" t="n">
        <v>0</v>
      </c>
      <c r="AR46" s="160" t="n">
        <v>0</v>
      </c>
      <c r="AS46" s="160" t="n">
        <v>0</v>
      </c>
      <c r="AT46" s="160" t="n">
        <v>0</v>
      </c>
      <c r="AU46" s="160" t="n">
        <v>0</v>
      </c>
      <c r="AV46" s="160" t="n">
        <v>0</v>
      </c>
      <c r="AW46" s="160" t="n">
        <v>0</v>
      </c>
      <c r="AX46" s="160" t="n">
        <v>0</v>
      </c>
      <c r="AY46" s="160" t="n">
        <v>0</v>
      </c>
    </row>
    <row r="47">
      <c r="B47" s="102" t="inlineStr">
        <is>
          <t>New Debt, End of Period</t>
        </is>
      </c>
      <c r="X47" s="161">
        <f>SUM(X44:X46)</f>
        <v/>
      </c>
      <c r="Y47" s="161">
        <f>SUM(Y44:Y46)</f>
        <v/>
      </c>
      <c r="Z47" s="161">
        <f>SUM(Z44:Z46)</f>
        <v/>
      </c>
      <c r="AA47" s="161">
        <f>SUM(AA44:AA46)</f>
        <v/>
      </c>
      <c r="AB47" s="161">
        <f>SUM(AB44:AB46)</f>
        <v/>
      </c>
      <c r="AC47" s="161">
        <f>SUM(AC44:AC46)</f>
        <v/>
      </c>
      <c r="AD47" s="161">
        <f>SUM(AD44:AD46)</f>
        <v/>
      </c>
      <c r="AE47" s="161">
        <f>SUM(AE44:AE46)</f>
        <v/>
      </c>
      <c r="AF47" s="161">
        <f>SUM(AF44:AF46)</f>
        <v/>
      </c>
      <c r="AG47" s="161">
        <f>SUM(AG44:AG46)</f>
        <v/>
      </c>
      <c r="AH47" s="161">
        <f>SUM(AH44:AH46)</f>
        <v/>
      </c>
      <c r="AI47" s="161">
        <f>SUM(AI44:AI46)</f>
        <v/>
      </c>
      <c r="AJ47" s="161">
        <f>SUM(AJ44:AJ46)</f>
        <v/>
      </c>
      <c r="AK47" s="161">
        <f>SUM(AK44:AK46)</f>
        <v/>
      </c>
      <c r="AL47" s="161">
        <f>SUM(AL44:AL46)</f>
        <v/>
      </c>
      <c r="AM47" s="161">
        <f>SUM(AM44:AM46)</f>
        <v/>
      </c>
      <c r="AN47" s="161">
        <f>SUM(AN44:AN46)</f>
        <v/>
      </c>
      <c r="AO47" s="161">
        <f>SUM(AO44:AO46)</f>
        <v/>
      </c>
      <c r="AP47" s="161">
        <f>SUM(AP44:AP46)</f>
        <v/>
      </c>
      <c r="AQ47" s="161">
        <f>SUM(AQ44:AQ46)</f>
        <v/>
      </c>
      <c r="AR47" s="161">
        <f>SUM(AR44:AR46)</f>
        <v/>
      </c>
      <c r="AS47" s="161">
        <f>SUM(AS44:AS46)</f>
        <v/>
      </c>
      <c r="AT47" s="161">
        <f>SUM(AT44:AT46)</f>
        <v/>
      </c>
      <c r="AU47" s="161">
        <f>SUM(AU44:AU46)</f>
        <v/>
      </c>
      <c r="AV47" s="161">
        <f>SUM(AV44:AV46)</f>
        <v/>
      </c>
      <c r="AW47" s="161">
        <f>SUM(AW44:AW46)</f>
        <v/>
      </c>
      <c r="AX47" s="161">
        <f>SUM(AX44:AX46)</f>
        <v/>
      </c>
      <c r="AY47" s="161">
        <f>SUM(AY44:AY46)</f>
        <v/>
      </c>
      <c r="BB47" s="161">
        <f>AA47</f>
        <v/>
      </c>
      <c r="BC47" s="161">
        <f>AM47</f>
        <v/>
      </c>
      <c r="BD47" s="161">
        <f>AY47</f>
        <v/>
      </c>
      <c r="BF47" s="162">
        <f>BB47</f>
        <v/>
      </c>
    </row>
    <row r="49">
      <c r="B49" t="inlineStr">
        <is>
          <t xml:space="preserve">Cash Interest </t>
        </is>
      </c>
      <c r="C49" s="127">
        <f>'Sources and Uses'!D20</f>
        <v/>
      </c>
      <c r="X49" s="159">
        <f>$C$49*AVERAGE(X44,X47)/12</f>
        <v/>
      </c>
      <c r="Y49" s="159">
        <f>$C$49*AVERAGE(Y44,Y47)/12</f>
        <v/>
      </c>
      <c r="Z49" s="159">
        <f>$C$49*AVERAGE(Z44,Z47)/12</f>
        <v/>
      </c>
      <c r="AA49" s="159">
        <f>$C$49*AVERAGE(AA44,AA47)/12</f>
        <v/>
      </c>
      <c r="AB49" s="159">
        <f>$C$49*AVERAGE(AB44,AB47)/12</f>
        <v/>
      </c>
      <c r="AC49" s="159">
        <f>$C$49*AVERAGE(AC44,AC47)/12</f>
        <v/>
      </c>
      <c r="AD49" s="159">
        <f>$C$49*AVERAGE(AD44,AD47)/12</f>
        <v/>
      </c>
      <c r="AE49" s="159">
        <f>$C$49*AVERAGE(AE44,AE47)/12</f>
        <v/>
      </c>
      <c r="AF49" s="159">
        <f>$C$49*AVERAGE(AF44,AF47)/12</f>
        <v/>
      </c>
      <c r="AG49" s="159">
        <f>$C$49*AVERAGE(AG44,AG47)/12</f>
        <v/>
      </c>
      <c r="AH49" s="159">
        <f>$C$49*AVERAGE(AH44,AH47)/12</f>
        <v/>
      </c>
      <c r="AI49" s="159">
        <f>$C$49*AVERAGE(AI44,AI47)/12</f>
        <v/>
      </c>
      <c r="AJ49" s="159">
        <f>$C$49*AVERAGE(AJ44,AJ47)/12</f>
        <v/>
      </c>
      <c r="AK49" s="159">
        <f>$C$49*AVERAGE(AK44,AK47)/12</f>
        <v/>
      </c>
      <c r="AL49" s="159">
        <f>$C$49*AVERAGE(AL44,AL47)/12</f>
        <v/>
      </c>
      <c r="AM49" s="159">
        <f>$C$49*AVERAGE(AM44,AM47)/12</f>
        <v/>
      </c>
      <c r="AN49" s="159">
        <f>$C$49*AVERAGE(AN44,AN47)/12</f>
        <v/>
      </c>
      <c r="AO49" s="159">
        <f>$C$49*AVERAGE(AO44,AO47)/12</f>
        <v/>
      </c>
      <c r="AP49" s="159">
        <f>$C$49*AVERAGE(AP44,AP47)/12</f>
        <v/>
      </c>
      <c r="AQ49" s="159">
        <f>$C$49*AVERAGE(AQ44,AQ47)/12</f>
        <v/>
      </c>
      <c r="AR49" s="159">
        <f>$C$49*AVERAGE(AR44,AR47)/12</f>
        <v/>
      </c>
      <c r="AS49" s="159">
        <f>$C$49*AVERAGE(AS44,AS47)/12</f>
        <v/>
      </c>
      <c r="AT49" s="159">
        <f>$C$49*AVERAGE(AT44,AT47)/12</f>
        <v/>
      </c>
      <c r="AU49" s="159">
        <f>$C$49*AVERAGE(AU44,AU47)/12</f>
        <v/>
      </c>
      <c r="AV49" s="159">
        <f>$C$49*AVERAGE(AV44,AV47)/12</f>
        <v/>
      </c>
      <c r="AW49" s="159">
        <f>$C$49*AVERAGE(AW44,AW47)/12</f>
        <v/>
      </c>
      <c r="AX49" s="159">
        <f>$C$49*AVERAGE(AX44,AX47)/12</f>
        <v/>
      </c>
      <c r="AY49" s="159">
        <f>$C$49*AVERAGE(AY44,AY47)/12</f>
        <v/>
      </c>
      <c r="BB49" s="144">
        <f>SUM(P49:AA49)</f>
        <v/>
      </c>
      <c r="BC49" s="144">
        <f>SUM(AB49:AM49)</f>
        <v/>
      </c>
      <c r="BD49" s="144">
        <f>SUM(AN49:AY49)</f>
        <v/>
      </c>
    </row>
    <row r="50">
      <c r="BB50" s="144" t="n"/>
      <c r="BC50" s="144" t="n"/>
      <c r="BD50" s="144" t="n"/>
    </row>
    <row r="51">
      <c r="B51" t="inlineStr">
        <is>
          <t>Studio Level EBITDA</t>
        </is>
      </c>
      <c r="D51" s="145">
        <f>Summary!D37</f>
        <v/>
      </c>
      <c r="E51" s="145">
        <f>Summary!E37</f>
        <v/>
      </c>
      <c r="F51" s="145">
        <f>Summary!F37</f>
        <v/>
      </c>
      <c r="G51" s="145">
        <f>Summary!G37</f>
        <v/>
      </c>
      <c r="H51" s="145">
        <f>Summary!H37</f>
        <v/>
      </c>
      <c r="I51" s="145">
        <f>Summary!I37</f>
        <v/>
      </c>
      <c r="J51" s="145">
        <f>Summary!J37</f>
        <v/>
      </c>
      <c r="K51" s="145">
        <f>Summary!K37</f>
        <v/>
      </c>
      <c r="L51" s="145">
        <f>Summary!L37</f>
        <v/>
      </c>
      <c r="M51" s="145">
        <f>Summary!M37</f>
        <v/>
      </c>
      <c r="N51" s="145">
        <f>Summary!N37</f>
        <v/>
      </c>
      <c r="O51" s="145">
        <f>Summary!O37</f>
        <v/>
      </c>
      <c r="P51" s="145">
        <f>Summary!P37</f>
        <v/>
      </c>
      <c r="Q51" s="145">
        <f>Summary!Q37</f>
        <v/>
      </c>
      <c r="R51" s="145">
        <f>Summary!R37</f>
        <v/>
      </c>
      <c r="S51" s="145">
        <f>Summary!S37</f>
        <v/>
      </c>
      <c r="T51" s="145">
        <f>Summary!T37</f>
        <v/>
      </c>
      <c r="U51" s="145">
        <f>Summary!U37</f>
        <v/>
      </c>
      <c r="V51" s="145">
        <f>Summary!V37</f>
        <v/>
      </c>
      <c r="W51" s="145">
        <f>Summary!W37</f>
        <v/>
      </c>
      <c r="X51" s="145">
        <f>Summary!X37</f>
        <v/>
      </c>
      <c r="Y51" s="145">
        <f>Summary!Y37</f>
        <v/>
      </c>
      <c r="Z51" s="145">
        <f>Summary!Z37</f>
        <v/>
      </c>
      <c r="AA51" s="145">
        <f>Summary!AA37</f>
        <v/>
      </c>
      <c r="AB51" s="145">
        <f>Summary!AB37</f>
        <v/>
      </c>
      <c r="AC51" s="145">
        <f>Summary!AC37</f>
        <v/>
      </c>
      <c r="AD51" s="145">
        <f>Summary!AD37</f>
        <v/>
      </c>
      <c r="AE51" s="145">
        <f>Summary!AE37</f>
        <v/>
      </c>
      <c r="AF51" s="145">
        <f>Summary!AF37</f>
        <v/>
      </c>
      <c r="AG51" s="145">
        <f>Summary!AG37</f>
        <v/>
      </c>
      <c r="AH51" s="145">
        <f>Summary!AH37</f>
        <v/>
      </c>
      <c r="AI51" s="145">
        <f>Summary!AI37</f>
        <v/>
      </c>
      <c r="AJ51" s="145">
        <f>Summary!AJ37</f>
        <v/>
      </c>
      <c r="AK51" s="145">
        <f>Summary!AK37</f>
        <v/>
      </c>
      <c r="AL51" s="145">
        <f>Summary!AL37</f>
        <v/>
      </c>
      <c r="AM51" s="145">
        <f>Summary!AM37</f>
        <v/>
      </c>
      <c r="AN51" s="145">
        <f>Summary!AN37</f>
        <v/>
      </c>
      <c r="AO51" s="145">
        <f>Summary!AO37</f>
        <v/>
      </c>
      <c r="AP51" s="145">
        <f>Summary!AP37</f>
        <v/>
      </c>
      <c r="AQ51" s="145">
        <f>Summary!AQ37</f>
        <v/>
      </c>
      <c r="AR51" s="145">
        <f>Summary!AR37</f>
        <v/>
      </c>
      <c r="AS51" s="145">
        <f>Summary!AS37</f>
        <v/>
      </c>
      <c r="AT51" s="145">
        <f>Summary!AT37</f>
        <v/>
      </c>
      <c r="AU51" s="145">
        <f>Summary!AU37</f>
        <v/>
      </c>
      <c r="AV51" s="145">
        <f>Summary!AV37</f>
        <v/>
      </c>
      <c r="AW51" s="145">
        <f>Summary!AW37</f>
        <v/>
      </c>
      <c r="AX51" s="145">
        <f>Summary!AX37</f>
        <v/>
      </c>
      <c r="AY51" s="145">
        <f>Summary!AY37</f>
        <v/>
      </c>
      <c r="BB51" s="144">
        <f>SUM(P51:AA51)</f>
        <v/>
      </c>
      <c r="BC51" s="144">
        <f>SUM(AB51:AM51)</f>
        <v/>
      </c>
      <c r="BD51" s="144">
        <f>SUM(AN51:AY51)</f>
        <v/>
      </c>
      <c r="BF51" s="144">
        <f>SUM(I51:T51)</f>
        <v/>
      </c>
    </row>
    <row r="52">
      <c r="B52" t="inlineStr">
        <is>
          <t>Corporate Level EBITDA</t>
        </is>
      </c>
      <c r="D52" s="145">
        <f>Summary!D22</f>
        <v/>
      </c>
      <c r="E52" s="145">
        <f>Summary!E22</f>
        <v/>
      </c>
      <c r="F52" s="145">
        <f>Summary!F22</f>
        <v/>
      </c>
      <c r="G52" s="145">
        <f>Summary!G22</f>
        <v/>
      </c>
      <c r="H52" s="145">
        <f>Summary!H22</f>
        <v/>
      </c>
      <c r="I52" s="145">
        <f>Summary!I22</f>
        <v/>
      </c>
      <c r="J52" s="145">
        <f>Summary!J22</f>
        <v/>
      </c>
      <c r="K52" s="145">
        <f>Summary!K22</f>
        <v/>
      </c>
      <c r="L52" s="145">
        <f>Summary!L22</f>
        <v/>
      </c>
      <c r="M52" s="145">
        <f>Summary!M22</f>
        <v/>
      </c>
      <c r="N52" s="145">
        <f>Summary!N22</f>
        <v/>
      </c>
      <c r="O52" s="145">
        <f>Summary!O22</f>
        <v/>
      </c>
      <c r="P52" s="145">
        <f>Summary!P22</f>
        <v/>
      </c>
      <c r="Q52" s="145">
        <f>Summary!Q22</f>
        <v/>
      </c>
      <c r="R52" s="145">
        <f>Summary!R22</f>
        <v/>
      </c>
      <c r="S52" s="145">
        <f>Summary!S22</f>
        <v/>
      </c>
      <c r="T52" s="145">
        <f>Summary!T22</f>
        <v/>
      </c>
      <c r="U52" s="145">
        <f>Summary!U22</f>
        <v/>
      </c>
      <c r="V52" s="145">
        <f>Summary!V22</f>
        <v/>
      </c>
      <c r="W52" s="145">
        <f>Summary!W22</f>
        <v/>
      </c>
      <c r="X52" s="145">
        <f>Summary!X22</f>
        <v/>
      </c>
      <c r="Y52" s="145">
        <f>Summary!Y22</f>
        <v/>
      </c>
      <c r="Z52" s="145">
        <f>Summary!Z22</f>
        <v/>
      </c>
      <c r="AA52" s="145">
        <f>Summary!AA22</f>
        <v/>
      </c>
      <c r="AB52" s="145">
        <f>Summary!AB22</f>
        <v/>
      </c>
      <c r="AC52" s="145">
        <f>Summary!AC22</f>
        <v/>
      </c>
      <c r="AD52" s="145">
        <f>Summary!AD22</f>
        <v/>
      </c>
      <c r="AE52" s="145">
        <f>Summary!AE22</f>
        <v/>
      </c>
      <c r="AF52" s="145">
        <f>Summary!AF22</f>
        <v/>
      </c>
      <c r="AG52" s="145">
        <f>Summary!AG22</f>
        <v/>
      </c>
      <c r="AH52" s="145">
        <f>Summary!AH22</f>
        <v/>
      </c>
      <c r="AI52" s="145">
        <f>Summary!AI22</f>
        <v/>
      </c>
      <c r="AJ52" s="145">
        <f>Summary!AJ22</f>
        <v/>
      </c>
      <c r="AK52" s="145">
        <f>Summary!AK22</f>
        <v/>
      </c>
      <c r="AL52" s="145">
        <f>Summary!AL22</f>
        <v/>
      </c>
      <c r="AM52" s="145">
        <f>Summary!AM22</f>
        <v/>
      </c>
      <c r="AN52" s="145">
        <f>Summary!AN22</f>
        <v/>
      </c>
      <c r="AO52" s="145">
        <f>Summary!AO22</f>
        <v/>
      </c>
      <c r="AP52" s="145">
        <f>Summary!AP22</f>
        <v/>
      </c>
      <c r="AQ52" s="145">
        <f>Summary!AQ22</f>
        <v/>
      </c>
      <c r="AR52" s="145">
        <f>Summary!AR22</f>
        <v/>
      </c>
      <c r="AS52" s="145">
        <f>Summary!AS22</f>
        <v/>
      </c>
      <c r="AT52" s="145">
        <f>Summary!AT22</f>
        <v/>
      </c>
      <c r="AU52" s="145">
        <f>Summary!AU22</f>
        <v/>
      </c>
      <c r="AV52" s="145">
        <f>Summary!AV22</f>
        <v/>
      </c>
      <c r="AW52" s="145">
        <f>Summary!AW22</f>
        <v/>
      </c>
      <c r="AX52" s="145">
        <f>Summary!AX22</f>
        <v/>
      </c>
      <c r="AY52" s="145">
        <f>Summary!AY22</f>
        <v/>
      </c>
      <c r="BB52" s="144">
        <f>SUM(P52:AA52)</f>
        <v/>
      </c>
      <c r="BC52" s="144">
        <f>SUM(AB52:AM52)</f>
        <v/>
      </c>
      <c r="BD52" s="144">
        <f>SUM(AN52:AY52)</f>
        <v/>
      </c>
      <c r="BF52" s="144">
        <f>SUM(I52:T52)</f>
        <v/>
      </c>
    </row>
    <row r="53">
      <c r="B53" t="inlineStr">
        <is>
          <t>Adjusted Corporate Level EBITDA</t>
        </is>
      </c>
      <c r="D53" s="145">
        <f>Summary!D39</f>
        <v/>
      </c>
      <c r="E53" s="145">
        <f>Summary!E39</f>
        <v/>
      </c>
      <c r="F53" s="145">
        <f>Summary!F39</f>
        <v/>
      </c>
      <c r="G53" s="145">
        <f>Summary!G39</f>
        <v/>
      </c>
      <c r="H53" s="145">
        <f>Summary!H39</f>
        <v/>
      </c>
      <c r="I53" s="145">
        <f>Summary!I39</f>
        <v/>
      </c>
      <c r="J53" s="145">
        <f>Summary!J39</f>
        <v/>
      </c>
      <c r="K53" s="145">
        <f>Summary!K39</f>
        <v/>
      </c>
      <c r="L53" s="145">
        <f>Summary!L39</f>
        <v/>
      </c>
      <c r="M53" s="145">
        <f>Summary!M39</f>
        <v/>
      </c>
      <c r="N53" s="145">
        <f>Summary!N39</f>
        <v/>
      </c>
      <c r="O53" s="145">
        <f>Summary!O39</f>
        <v/>
      </c>
      <c r="P53" s="145">
        <f>Summary!P39</f>
        <v/>
      </c>
      <c r="Q53" s="145">
        <f>Summary!Q39</f>
        <v/>
      </c>
      <c r="R53" s="145">
        <f>Summary!R39</f>
        <v/>
      </c>
      <c r="S53" s="145">
        <f>Summary!S39</f>
        <v/>
      </c>
      <c r="T53" s="145">
        <f>Summary!T39</f>
        <v/>
      </c>
      <c r="U53" s="145">
        <f>Summary!U39</f>
        <v/>
      </c>
      <c r="V53" s="145">
        <f>Summary!V39</f>
        <v/>
      </c>
      <c r="W53" s="145">
        <f>Summary!W39</f>
        <v/>
      </c>
      <c r="X53" s="145">
        <f>Summary!X39</f>
        <v/>
      </c>
      <c r="Y53" s="145">
        <f>Summary!Y39</f>
        <v/>
      </c>
      <c r="Z53" s="145">
        <f>Summary!Z39</f>
        <v/>
      </c>
      <c r="AA53" s="145">
        <f>Summary!AA39</f>
        <v/>
      </c>
      <c r="AB53" s="145">
        <f>Summary!AB39</f>
        <v/>
      </c>
      <c r="AC53" s="145">
        <f>Summary!AC39</f>
        <v/>
      </c>
      <c r="AD53" s="145">
        <f>Summary!AD39</f>
        <v/>
      </c>
      <c r="AE53" s="145">
        <f>Summary!AE39</f>
        <v/>
      </c>
      <c r="AF53" s="145">
        <f>Summary!AF39</f>
        <v/>
      </c>
      <c r="AG53" s="145">
        <f>Summary!AG39</f>
        <v/>
      </c>
      <c r="AH53" s="145">
        <f>Summary!AH39</f>
        <v/>
      </c>
      <c r="AI53" s="145">
        <f>Summary!AI39</f>
        <v/>
      </c>
      <c r="AJ53" s="145">
        <f>Summary!AJ39</f>
        <v/>
      </c>
      <c r="AK53" s="145">
        <f>Summary!AK39</f>
        <v/>
      </c>
      <c r="AL53" s="145">
        <f>Summary!AL39</f>
        <v/>
      </c>
      <c r="AM53" s="145">
        <f>Summary!AM39</f>
        <v/>
      </c>
      <c r="AN53" s="145">
        <f>Summary!AN39</f>
        <v/>
      </c>
      <c r="AO53" s="145">
        <f>Summary!AO39</f>
        <v/>
      </c>
      <c r="AP53" s="145">
        <f>Summary!AP39</f>
        <v/>
      </c>
      <c r="AQ53" s="145">
        <f>Summary!AQ39</f>
        <v/>
      </c>
      <c r="AR53" s="145">
        <f>Summary!AR39</f>
        <v/>
      </c>
      <c r="AS53" s="145">
        <f>Summary!AS39</f>
        <v/>
      </c>
      <c r="AT53" s="145">
        <f>Summary!AT39</f>
        <v/>
      </c>
      <c r="AU53" s="145">
        <f>Summary!AU39</f>
        <v/>
      </c>
      <c r="AV53" s="145">
        <f>Summary!AV39</f>
        <v/>
      </c>
      <c r="AW53" s="145">
        <f>Summary!AW39</f>
        <v/>
      </c>
      <c r="AX53" s="145">
        <f>Summary!AX39</f>
        <v/>
      </c>
      <c r="AY53" s="145">
        <f>Summary!AY39</f>
        <v/>
      </c>
      <c r="BB53" s="144">
        <f>SUM(P53:AA53)</f>
        <v/>
      </c>
      <c r="BC53" s="144">
        <f>SUM(AB53:AM53)</f>
        <v/>
      </c>
      <c r="BD53" s="144">
        <f>SUM(AN53:AY53)</f>
        <v/>
      </c>
      <c r="BF53" s="144">
        <f>SUM(I53:T53)</f>
        <v/>
      </c>
    </row>
    <row r="55">
      <c r="B55" t="inlineStr">
        <is>
          <t>Debt / LTM Studio Level EBITDA</t>
        </is>
      </c>
      <c r="X55" s="133">
        <f>X47/SUM(M51:X51)</f>
        <v/>
      </c>
      <c r="Y55" s="133">
        <f>Y47/SUM(N51:Y51)</f>
        <v/>
      </c>
      <c r="Z55" s="133">
        <f>Z47/SUM(O51:Z51)</f>
        <v/>
      </c>
      <c r="AA55" s="133">
        <f>AA47/SUM(P51:AA51)</f>
        <v/>
      </c>
      <c r="AB55" s="133">
        <f>AB47/SUM(Q51:AB51)</f>
        <v/>
      </c>
      <c r="AC55" s="133">
        <f>AC47/SUM(R51:AC51)</f>
        <v/>
      </c>
      <c r="AD55" s="133">
        <f>AD47/SUM(S51:AD51)</f>
        <v/>
      </c>
      <c r="AE55" s="133">
        <f>AE47/SUM(T51:AE51)</f>
        <v/>
      </c>
      <c r="AF55" s="133">
        <f>AF47/SUM(U51:AF51)</f>
        <v/>
      </c>
      <c r="AG55" s="133">
        <f>AG47/SUM(V51:AG51)</f>
        <v/>
      </c>
      <c r="AH55" s="133">
        <f>AH47/SUM(W51:AH51)</f>
        <v/>
      </c>
      <c r="AI55" s="133">
        <f>AI47/SUM(X51:AI51)</f>
        <v/>
      </c>
      <c r="AJ55" s="133">
        <f>AJ47/SUM(Y51:AJ51)</f>
        <v/>
      </c>
      <c r="AK55" s="133">
        <f>AK47/SUM(Z51:AK51)</f>
        <v/>
      </c>
      <c r="AL55" s="133">
        <f>AL47/SUM(AA51:AL51)</f>
        <v/>
      </c>
      <c r="AM55" s="133">
        <f>AM47/SUM(AB51:AM51)</f>
        <v/>
      </c>
      <c r="AN55" s="133">
        <f>AN47/SUM(AC51:AN51)</f>
        <v/>
      </c>
      <c r="AO55" s="133">
        <f>AO47/SUM(AD51:AO51)</f>
        <v/>
      </c>
      <c r="AP55" s="133">
        <f>AP47/SUM(AE51:AP51)</f>
        <v/>
      </c>
      <c r="AQ55" s="133">
        <f>AQ47/SUM(AF51:AQ51)</f>
        <v/>
      </c>
      <c r="AR55" s="133">
        <f>AR47/SUM(AG51:AR51)</f>
        <v/>
      </c>
      <c r="AS55" s="133">
        <f>AS47/SUM(AH51:AS51)</f>
        <v/>
      </c>
      <c r="AT55" s="133">
        <f>AT47/SUM(AI51:AT51)</f>
        <v/>
      </c>
      <c r="AU55" s="133">
        <f>AU47/SUM(AJ51:AU51)</f>
        <v/>
      </c>
      <c r="AV55" s="133">
        <f>AV47/SUM(AK51:AV51)</f>
        <v/>
      </c>
      <c r="AW55" s="133">
        <f>AW47/SUM(AL51:AW51)</f>
        <v/>
      </c>
      <c r="AX55" s="133">
        <f>AX47/SUM(AM51:AX51)</f>
        <v/>
      </c>
      <c r="AY55" s="133">
        <f>AY47/SUM(AN51:AY51)</f>
        <v/>
      </c>
      <c r="BB55" s="138">
        <f>BB47/BB51</f>
        <v/>
      </c>
      <c r="BC55" s="138">
        <f>BC47/BC51</f>
        <v/>
      </c>
      <c r="BD55" s="138">
        <f>BD47/BD51</f>
        <v/>
      </c>
      <c r="BF55" s="138">
        <f>BF47/BF51</f>
        <v/>
      </c>
    </row>
    <row r="56">
      <c r="B56" t="inlineStr">
        <is>
          <t>Debt / Corporate Level EBITDA</t>
        </is>
      </c>
      <c r="X56" s="133">
        <f>X47/SUM(M52:X52)</f>
        <v/>
      </c>
      <c r="Y56" s="133">
        <f>Y47/SUM(N52:Y52)</f>
        <v/>
      </c>
      <c r="Z56" s="133">
        <f>Z47/SUM(O52:Z52)</f>
        <v/>
      </c>
      <c r="AA56" s="133">
        <f>AA47/SUM(P52:AA52)</f>
        <v/>
      </c>
      <c r="AB56" s="133">
        <f>AB47/SUM(Q52:AB52)</f>
        <v/>
      </c>
      <c r="AC56" s="133">
        <f>AC47/SUM(R52:AC52)</f>
        <v/>
      </c>
      <c r="AD56" s="133">
        <f>AD47/SUM(S52:AD52)</f>
        <v/>
      </c>
      <c r="AE56" s="133">
        <f>AE47/SUM(T52:AE52)</f>
        <v/>
      </c>
      <c r="AF56" s="133">
        <f>AF47/SUM(U52:AF52)</f>
        <v/>
      </c>
      <c r="AG56" s="133">
        <f>AG47/SUM(V52:AG52)</f>
        <v/>
      </c>
      <c r="AH56" s="133">
        <f>AH47/SUM(W52:AH52)</f>
        <v/>
      </c>
      <c r="AI56" s="133">
        <f>AI47/SUM(X52:AI52)</f>
        <v/>
      </c>
      <c r="AJ56" s="133">
        <f>AJ47/SUM(Y52:AJ52)</f>
        <v/>
      </c>
      <c r="AK56" s="133">
        <f>AK47/SUM(Z52:AK52)</f>
        <v/>
      </c>
      <c r="AL56" s="133">
        <f>AL47/SUM(AA52:AL52)</f>
        <v/>
      </c>
      <c r="AM56" s="133">
        <f>AM47/SUM(AB52:AM52)</f>
        <v/>
      </c>
      <c r="AN56" s="133">
        <f>AN47/SUM(AC52:AN52)</f>
        <v/>
      </c>
      <c r="AO56" s="133">
        <f>AO47/SUM(AD52:AO52)</f>
        <v/>
      </c>
      <c r="AP56" s="133">
        <f>AP47/SUM(AE52:AP52)</f>
        <v/>
      </c>
      <c r="AQ56" s="133">
        <f>AQ47/SUM(AF52:AQ52)</f>
        <v/>
      </c>
      <c r="AR56" s="133">
        <f>AR47/SUM(AG52:AR52)</f>
        <v/>
      </c>
      <c r="AS56" s="133">
        <f>AS47/SUM(AH52:AS52)</f>
        <v/>
      </c>
      <c r="AT56" s="133">
        <f>AT47/SUM(AI52:AT52)</f>
        <v/>
      </c>
      <c r="AU56" s="133">
        <f>AU47/SUM(AJ52:AU52)</f>
        <v/>
      </c>
      <c r="AV56" s="133">
        <f>AV47/SUM(AK52:AV52)</f>
        <v/>
      </c>
      <c r="AW56" s="133">
        <f>AW47/SUM(AL52:AW52)</f>
        <v/>
      </c>
      <c r="AX56" s="133">
        <f>AX47/SUM(AM52:AX52)</f>
        <v/>
      </c>
      <c r="AY56" s="133">
        <f>AY47/SUM(AN52:AY52)</f>
        <v/>
      </c>
      <c r="BB56" s="138">
        <f>BB47/BB52</f>
        <v/>
      </c>
      <c r="BC56" s="138">
        <f>BC47/BC52</f>
        <v/>
      </c>
      <c r="BD56" s="138">
        <f>BD47/BD52</f>
        <v/>
      </c>
      <c r="BF56" s="138">
        <f>BF47/BF52</f>
        <v/>
      </c>
    </row>
    <row r="57">
      <c r="B57" t="inlineStr">
        <is>
          <t>Debt / Adjusted Corporate Level EBITDA</t>
        </is>
      </c>
      <c r="X57" s="133">
        <f>X47/SUM(M53:X53)</f>
        <v/>
      </c>
      <c r="Y57" s="133">
        <f>Y47/SUM(N53:Y53)</f>
        <v/>
      </c>
      <c r="Z57" s="133">
        <f>Z47/SUM(O53:Z53)</f>
        <v/>
      </c>
      <c r="AA57" s="133">
        <f>AA47/SUM(P53:AA53)</f>
        <v/>
      </c>
      <c r="AB57" s="133">
        <f>AB47/SUM(Q53:AB53)</f>
        <v/>
      </c>
      <c r="AC57" s="133">
        <f>AC47/SUM(R53:AC53)</f>
        <v/>
      </c>
      <c r="AD57" s="133">
        <f>AD47/SUM(S53:AD53)</f>
        <v/>
      </c>
      <c r="AE57" s="133">
        <f>AE47/SUM(T53:AE53)</f>
        <v/>
      </c>
      <c r="AF57" s="133">
        <f>AF47/SUM(U53:AF53)</f>
        <v/>
      </c>
      <c r="AG57" s="133">
        <f>AG47/SUM(V53:AG53)</f>
        <v/>
      </c>
      <c r="AH57" s="133">
        <f>AH47/SUM(W53:AH53)</f>
        <v/>
      </c>
      <c r="AI57" s="133">
        <f>AI47/SUM(X53:AI53)</f>
        <v/>
      </c>
      <c r="AJ57" s="133">
        <f>AJ47/SUM(Y53:AJ53)</f>
        <v/>
      </c>
      <c r="AK57" s="133">
        <f>AK47/SUM(Z53:AK53)</f>
        <v/>
      </c>
      <c r="AL57" s="133">
        <f>AL47/SUM(AA53:AL53)</f>
        <v/>
      </c>
      <c r="AM57" s="133">
        <f>AM47/SUM(AB53:AM53)</f>
        <v/>
      </c>
      <c r="AN57" s="133">
        <f>AN47/SUM(AC53:AN53)</f>
        <v/>
      </c>
      <c r="AO57" s="133">
        <f>AO47/SUM(AD53:AO53)</f>
        <v/>
      </c>
      <c r="AP57" s="133">
        <f>AP47/SUM(AE53:AP53)</f>
        <v/>
      </c>
      <c r="AQ57" s="133">
        <f>AQ47/SUM(AF53:AQ53)</f>
        <v/>
      </c>
      <c r="AR57" s="133">
        <f>AR47/SUM(AG53:AR53)</f>
        <v/>
      </c>
      <c r="AS57" s="133">
        <f>AS47/SUM(AH53:AS53)</f>
        <v/>
      </c>
      <c r="AT57" s="133">
        <f>AT47/SUM(AI53:AT53)</f>
        <v/>
      </c>
      <c r="AU57" s="133">
        <f>AU47/SUM(AJ53:AU53)</f>
        <v/>
      </c>
      <c r="AV57" s="133">
        <f>AV47/SUM(AK53:AV53)</f>
        <v/>
      </c>
      <c r="AW57" s="133">
        <f>AW47/SUM(AL53:AW53)</f>
        <v/>
      </c>
      <c r="AX57" s="133">
        <f>AX47/SUM(AM53:AX53)</f>
        <v/>
      </c>
      <c r="AY57" s="133">
        <f>AY47/SUM(AN53:AY53)</f>
        <v/>
      </c>
      <c r="BB57" s="138">
        <f>BB47/BB53</f>
        <v/>
      </c>
      <c r="BC57" s="138">
        <f>BC47/BC53</f>
        <v/>
      </c>
      <c r="BD57" s="138">
        <f>BD47/BD53</f>
        <v/>
      </c>
      <c r="BF57" s="138">
        <f>BF47/BF53</f>
        <v/>
      </c>
    </row>
    <row r="58">
      <c r="B58" t="inlineStr">
        <is>
          <t>Corporate Level EBITDA / Cash Interest</t>
        </is>
      </c>
      <c r="X58" s="133">
        <f>X52/X49</f>
        <v/>
      </c>
      <c r="Y58" s="133">
        <f>Y52/Y49</f>
        <v/>
      </c>
      <c r="Z58" s="133">
        <f>Z52/Z49</f>
        <v/>
      </c>
      <c r="AA58" s="133">
        <f>AA52/AA49</f>
        <v/>
      </c>
      <c r="AB58" s="133">
        <f>AB52/AB49</f>
        <v/>
      </c>
      <c r="AC58" s="133">
        <f>AC52/AC49</f>
        <v/>
      </c>
      <c r="AD58" s="133">
        <f>AD52/AD49</f>
        <v/>
      </c>
      <c r="AE58" s="133">
        <f>AE52/AE49</f>
        <v/>
      </c>
      <c r="AF58" s="133">
        <f>AF52/AF49</f>
        <v/>
      </c>
      <c r="AG58" s="133">
        <f>AG52/AG49</f>
        <v/>
      </c>
      <c r="AH58" s="133">
        <f>AH52/AH49</f>
        <v/>
      </c>
      <c r="AI58" s="133">
        <f>AI52/AI49</f>
        <v/>
      </c>
      <c r="AJ58" s="133">
        <f>AJ52/AJ49</f>
        <v/>
      </c>
      <c r="AK58" s="133">
        <f>AK52/AK49</f>
        <v/>
      </c>
      <c r="AL58" s="133">
        <f>AL52/AL49</f>
        <v/>
      </c>
      <c r="AM58" s="133">
        <f>AM52/AM49</f>
        <v/>
      </c>
      <c r="AN58" s="133">
        <f>AN52/AN49</f>
        <v/>
      </c>
      <c r="AO58" s="133">
        <f>AO52/AO49</f>
        <v/>
      </c>
      <c r="AP58" s="133">
        <f>AP52/AP49</f>
        <v/>
      </c>
      <c r="AQ58" s="133">
        <f>AQ52/AQ49</f>
        <v/>
      </c>
      <c r="AR58" s="133">
        <f>AR52/AR49</f>
        <v/>
      </c>
      <c r="AS58" s="133">
        <f>AS52/AS49</f>
        <v/>
      </c>
      <c r="AT58" s="133">
        <f>AT52/AT49</f>
        <v/>
      </c>
      <c r="AU58" s="133">
        <f>AU52/AU49</f>
        <v/>
      </c>
      <c r="AV58" s="133">
        <f>AV52/AV49</f>
        <v/>
      </c>
      <c r="AW58" s="133">
        <f>AW52/AW49</f>
        <v/>
      </c>
      <c r="AX58" s="133">
        <f>AX52/AX49</f>
        <v/>
      </c>
      <c r="AY58" s="133">
        <f>AY52/AY49</f>
        <v/>
      </c>
      <c r="BB58" s="138">
        <f>IFERROR(BB52/BB49,"NA")</f>
        <v/>
      </c>
      <c r="BC58" s="138">
        <f>IFERROR(BC52/BC49,"NA")</f>
        <v/>
      </c>
      <c r="BD58" s="138">
        <f>IFERROR(BD52/BD49,"NA")</f>
        <v/>
      </c>
      <c r="BF58" s="138">
        <f>IFERROR(BF52/BF49,"NA")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.05" customHeight="1" s="14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624194.1800000001</v>
      </c>
      <c r="E6" s="19" t="n">
        <v>640401.1299999999</v>
      </c>
      <c r="F6" s="19" t="n">
        <v>771305.4099999999</v>
      </c>
      <c r="G6" s="19" t="n">
        <v>721737.3200000001</v>
      </c>
      <c r="H6" s="19" t="n">
        <v>765537.0200000001</v>
      </c>
      <c r="I6" s="19" t="n">
        <v>745441.08</v>
      </c>
      <c r="J6" s="19" t="n">
        <v>736428.0900000001</v>
      </c>
      <c r="K6" s="19" t="n">
        <v>724732.0300000003</v>
      </c>
      <c r="L6" s="19" t="n">
        <v>722621.96</v>
      </c>
      <c r="M6" s="19" t="n">
        <v>738386.5200000001</v>
      </c>
      <c r="N6" s="19" t="n">
        <v>707731.7899999999</v>
      </c>
      <c r="O6" s="19" t="n">
        <v>691997.3200000001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>
        <f>'BK P&amp;L'!U18+'CC P&amp;L'!U18+'DN P&amp;L'!U18+'LF P&amp;L'!U18+'MR P&amp;L'!U18+'OP P&amp;L'!U18+'PH P&amp;L'!U18+'RH P&amp;L'!U18+'SB P&amp;L'!U18+'SM P&amp;L'!U18+'WP P&amp;L'!U18+'WW P&amp;L'!U18</f>
        <v/>
      </c>
      <c r="V8" s="20">
        <f>'BK P&amp;L'!V18+'CC P&amp;L'!V18+'DN P&amp;L'!V18+'LF P&amp;L'!V18+'MR P&amp;L'!V18+'OP P&amp;L'!V18+'PH P&amp;L'!V18+'RH P&amp;L'!V18+'SB P&amp;L'!V18+'SM P&amp;L'!V18+'WP P&amp;L'!V18+'WW P&amp;L'!V18</f>
        <v/>
      </c>
      <c r="W8" s="20">
        <f>'BK P&amp;L'!W18+'CC P&amp;L'!W18+'DN P&amp;L'!W18+'LF P&amp;L'!W18+'MR P&amp;L'!W18+'OP P&amp;L'!W18+'PH P&amp;L'!W18+'RH P&amp;L'!W18+'SB P&amp;L'!W18+'SM P&amp;L'!W18+'WP P&amp;L'!W18+'WW P&amp;L'!W18</f>
        <v/>
      </c>
      <c r="X8" s="20">
        <f>'BK P&amp;L'!X18+'CC P&amp;L'!X18+'DN P&amp;L'!X18+'LF P&amp;L'!X18+'MR P&amp;L'!X18+'OP P&amp;L'!X18+'PH P&amp;L'!X18+'RH P&amp;L'!X18+'SB P&amp;L'!X18+'SM P&amp;L'!X18+'WP P&amp;L'!X18+'WW P&amp;L'!X18</f>
        <v/>
      </c>
      <c r="Y8" s="20">
        <f>'BK P&amp;L'!Y18+'CC P&amp;L'!Y18+'DN P&amp;L'!Y18+'LF P&amp;L'!Y18+'MR P&amp;L'!Y18+'OP P&amp;L'!Y18+'PH P&amp;L'!Y18+'RH P&amp;L'!Y18+'SB P&amp;L'!Y18+'SM P&amp;L'!Y18+'WP P&amp;L'!Y18+'WW P&amp;L'!Y18</f>
        <v/>
      </c>
      <c r="Z8" s="20">
        <f>'BK P&amp;L'!Z18+'CC P&amp;L'!Z18+'DN P&amp;L'!Z18+'LF P&amp;L'!Z18+'MR P&amp;L'!Z18+'OP P&amp;L'!Z18+'PH P&amp;L'!Z18+'RH P&amp;L'!Z18+'SB P&amp;L'!Z18+'SM P&amp;L'!Z18+'WP P&amp;L'!Z18+'WW P&amp;L'!Z18</f>
        <v/>
      </c>
      <c r="AA8" s="20">
        <f>'BK P&amp;L'!AA18+'CC P&amp;L'!AA18+'DN P&amp;L'!AA18+'LF P&amp;L'!AA18+'MR P&amp;L'!AA18+'OP P&amp;L'!AA18+'PH P&amp;L'!AA18+'RH P&amp;L'!AA18+'SB P&amp;L'!AA18+'SM P&amp;L'!AA18+'WP P&amp;L'!AA18+'WW P&amp;L'!AA18</f>
        <v/>
      </c>
      <c r="AB8" s="20">
        <f>'BK P&amp;L'!AB18+'CC P&amp;L'!AB18+'DN P&amp;L'!AB18+'LF P&amp;L'!AB18+'MR P&amp;L'!AB18+'OP P&amp;L'!AB18+'PH P&amp;L'!AB18+'RH P&amp;L'!AB18+'SB P&amp;L'!AB18+'SM P&amp;L'!AB18+'WP P&amp;L'!AB18+'WW P&amp;L'!AB18</f>
        <v/>
      </c>
      <c r="AC8" s="20">
        <f>'BK P&amp;L'!AC18+'CC P&amp;L'!AC18+'DN P&amp;L'!AC18+'LF P&amp;L'!AC18+'MR P&amp;L'!AC18+'OP P&amp;L'!AC18+'PH P&amp;L'!AC18+'RH P&amp;L'!AC18+'SB P&amp;L'!AC18+'SM P&amp;L'!AC18+'WP P&amp;L'!AC18+'WW P&amp;L'!AC18</f>
        <v/>
      </c>
      <c r="AD8" s="20">
        <f>'BK P&amp;L'!AD18+'CC P&amp;L'!AD18+'DN P&amp;L'!AD18+'LF P&amp;L'!AD18+'MR P&amp;L'!AD18+'OP P&amp;L'!AD18+'PH P&amp;L'!AD18+'RH P&amp;L'!AD18+'SB P&amp;L'!AD18+'SM P&amp;L'!AD18+'WP P&amp;L'!AD18+'WW P&amp;L'!AD18</f>
        <v/>
      </c>
      <c r="AE8" s="20">
        <f>'BK P&amp;L'!AE18+'CC P&amp;L'!AE18+'DN P&amp;L'!AE18+'LF P&amp;L'!AE18+'MR P&amp;L'!AE18+'OP P&amp;L'!AE18+'PH P&amp;L'!AE18+'RH P&amp;L'!AE18+'SB P&amp;L'!AE18+'SM P&amp;L'!AE18+'WP P&amp;L'!AE18+'WW P&amp;L'!AE18</f>
        <v/>
      </c>
      <c r="AF8" s="20">
        <f>'BK P&amp;L'!AF18+'CC P&amp;L'!AF18+'DN P&amp;L'!AF18+'LF P&amp;L'!AF18+'MR P&amp;L'!AF18+'OP P&amp;L'!AF18+'PH P&amp;L'!AF18+'RH P&amp;L'!AF18+'SB P&amp;L'!AF18+'SM P&amp;L'!AF18+'WP P&amp;L'!AF18+'WW P&amp;L'!AF18</f>
        <v/>
      </c>
      <c r="AG8" s="20">
        <f>'BK P&amp;L'!AG18+'CC P&amp;L'!AG18+'DN P&amp;L'!AG18+'LF P&amp;L'!AG18+'MR P&amp;L'!AG18+'OP P&amp;L'!AG18+'PH P&amp;L'!AG18+'RH P&amp;L'!AG18+'SB P&amp;L'!AG18+'SM P&amp;L'!AG18+'WP P&amp;L'!AG18+'WW P&amp;L'!AG18</f>
        <v/>
      </c>
      <c r="AH8" s="20">
        <f>'BK P&amp;L'!AH18+'CC P&amp;L'!AH18+'DN P&amp;L'!AH18+'LF P&amp;L'!AH18+'MR P&amp;L'!AH18+'OP P&amp;L'!AH18+'PH P&amp;L'!AH18+'RH P&amp;L'!AH18+'SB P&amp;L'!AH18+'SM P&amp;L'!AH18+'WP P&amp;L'!AH18+'WW P&amp;L'!AH18</f>
        <v/>
      </c>
      <c r="AI8" s="20">
        <f>'BK P&amp;L'!AI18+'CC P&amp;L'!AI18+'DN P&amp;L'!AI18+'LF P&amp;L'!AI18+'MR P&amp;L'!AI18+'OP P&amp;L'!AI18+'PH P&amp;L'!AI18+'RH P&amp;L'!AI18+'SB P&amp;L'!AI18+'SM P&amp;L'!AI18+'WP P&amp;L'!AI18+'WW P&amp;L'!AI18</f>
        <v/>
      </c>
      <c r="AJ8" s="20">
        <f>'BK P&amp;L'!AJ18+'CC P&amp;L'!AJ18+'DN P&amp;L'!AJ18+'LF P&amp;L'!AJ18+'MR P&amp;L'!AJ18+'OP P&amp;L'!AJ18+'PH P&amp;L'!AJ18+'RH P&amp;L'!AJ18+'SB P&amp;L'!AJ18+'SM P&amp;L'!AJ18+'WP P&amp;L'!AJ18+'WW P&amp;L'!AJ18</f>
        <v/>
      </c>
      <c r="AK8" s="20">
        <f>'BK P&amp;L'!AK18+'CC P&amp;L'!AK18+'DN P&amp;L'!AK18+'LF P&amp;L'!AK18+'MR P&amp;L'!AK18+'OP P&amp;L'!AK18+'PH P&amp;L'!AK18+'RH P&amp;L'!AK18+'SB P&amp;L'!AK18+'SM P&amp;L'!AK18+'WP P&amp;L'!AK18+'WW P&amp;L'!AK18</f>
        <v/>
      </c>
      <c r="AL8" s="20">
        <f>'BK P&amp;L'!AL18+'CC P&amp;L'!AL18+'DN P&amp;L'!AL18+'LF P&amp;L'!AL18+'MR P&amp;L'!AL18+'OP P&amp;L'!AL18+'PH P&amp;L'!AL18+'RH P&amp;L'!AL18+'SB P&amp;L'!AL18+'SM P&amp;L'!AL18+'WP P&amp;L'!AL18+'WW P&amp;L'!AL18</f>
        <v/>
      </c>
      <c r="AM8" s="20">
        <f>'BK P&amp;L'!AM18+'CC P&amp;L'!AM18+'DN P&amp;L'!AM18+'LF P&amp;L'!AM18+'MR P&amp;L'!AM18+'OP P&amp;L'!AM18+'PH P&amp;L'!AM18+'RH P&amp;L'!AM18+'SB P&amp;L'!AM18+'SM P&amp;L'!AM18+'WP P&amp;L'!AM18+'WW P&amp;L'!AM18</f>
        <v/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>
        <f>SUM(D6:D10)</f>
        <v/>
      </c>
      <c r="E11" s="35">
        <f>SUM(E6:E10)</f>
        <v/>
      </c>
      <c r="F11" s="35">
        <f>SUM(F6:F10)</f>
        <v/>
      </c>
      <c r="G11" s="35">
        <f>SUM(G6:G10)</f>
        <v/>
      </c>
      <c r="H11" s="35">
        <f>SUM(H6:H10)</f>
        <v/>
      </c>
      <c r="I11" s="35">
        <f>SUM(I6:I10)</f>
        <v/>
      </c>
      <c r="J11" s="35">
        <f>SUM(J6:J10)</f>
        <v/>
      </c>
      <c r="K11" s="35">
        <f>SUM(K6:K10)</f>
        <v/>
      </c>
      <c r="L11" s="35">
        <f>SUM(L6:L10)</f>
        <v/>
      </c>
      <c r="M11" s="35">
        <f>SUM(M6:M10)</f>
        <v/>
      </c>
      <c r="N11" s="35">
        <f>SUM(N6:N10)</f>
        <v/>
      </c>
      <c r="O11" s="35">
        <f>SUM(O6:O10)</f>
        <v/>
      </c>
      <c r="P11" s="35">
        <f>SUM(P6:P10)</f>
        <v/>
      </c>
      <c r="Q11" s="35">
        <f>SUM(Q6:Q10)</f>
        <v/>
      </c>
      <c r="R11" s="35">
        <f>SUM(R6:R10)</f>
        <v/>
      </c>
      <c r="S11" s="35">
        <f>SUM(S6:S10)</f>
        <v/>
      </c>
      <c r="T11" s="85">
        <f>SUM(T6:T10)</f>
        <v/>
      </c>
      <c r="U11" s="17">
        <f>SUM(U6:U10)</f>
        <v/>
      </c>
      <c r="V11" s="17">
        <f>SUM(V6:V10)</f>
        <v/>
      </c>
      <c r="W11" s="17">
        <f>SUM(W6:W10)</f>
        <v/>
      </c>
      <c r="X11" s="17">
        <f>SUM(X6:X10)</f>
        <v/>
      </c>
      <c r="Y11" s="17">
        <f>SUM(Y6:Y10)</f>
        <v/>
      </c>
      <c r="Z11" s="17">
        <f>SUM(Z6:Z10)</f>
        <v/>
      </c>
      <c r="AA11" s="17">
        <f>SUM(AA6:AA10)</f>
        <v/>
      </c>
      <c r="AB11" s="17">
        <f>SUM(AB6:AB10)</f>
        <v/>
      </c>
      <c r="AC11" s="17">
        <f>SUM(AC6:AC10)</f>
        <v/>
      </c>
      <c r="AD11" s="17">
        <f>SUM(AD6:AD10)</f>
        <v/>
      </c>
      <c r="AE11" s="17">
        <f>SUM(AE6:AE10)</f>
        <v/>
      </c>
      <c r="AF11" s="17">
        <f>SUM(AF6:AF10)</f>
        <v/>
      </c>
      <c r="AG11" s="17">
        <f>SUM(AG6:AG10)</f>
        <v/>
      </c>
      <c r="AH11" s="17">
        <f>SUM(AH6:AH10)</f>
        <v/>
      </c>
      <c r="AI11" s="17">
        <f>SUM(AI6:AI10)</f>
        <v/>
      </c>
      <c r="AJ11" s="17">
        <f>SUM(AJ6:AJ10)</f>
        <v/>
      </c>
      <c r="AK11" s="17">
        <f>SUM(AK6:AK10)</f>
        <v/>
      </c>
      <c r="AL11" s="17">
        <f>SUM(AL6:AL10)</f>
        <v/>
      </c>
      <c r="AM11" s="17">
        <f>SUM(AM6:AM10)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>
        <v>41641.16</v>
      </c>
      <c r="E12" s="19" t="n">
        <v>30846.42</v>
      </c>
      <c r="F12" s="19" t="n">
        <v>34854.82</v>
      </c>
      <c r="G12" s="19" t="n">
        <v>37107.82</v>
      </c>
      <c r="H12" s="19" t="n">
        <v>31160.63</v>
      </c>
      <c r="I12" s="19" t="n">
        <v>35143.50999999999</v>
      </c>
      <c r="J12" s="19" t="n">
        <v>33198.03</v>
      </c>
      <c r="K12" s="19" t="n">
        <v>34927.63</v>
      </c>
      <c r="L12" s="19" t="n">
        <v>32453.66</v>
      </c>
      <c r="M12" s="19" t="n">
        <v>32055.74</v>
      </c>
      <c r="N12" s="19" t="n">
        <v>33975.06</v>
      </c>
      <c r="O12" s="19" t="n">
        <v>54721.69</v>
      </c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>
        <f>D11-D12</f>
        <v/>
      </c>
      <c r="E13" s="35">
        <f>E11-E12</f>
        <v/>
      </c>
      <c r="F13" s="35">
        <f>F11-F12</f>
        <v/>
      </c>
      <c r="G13" s="35">
        <f>G11-G12</f>
        <v/>
      </c>
      <c r="H13" s="35">
        <f>H11-H12</f>
        <v/>
      </c>
      <c r="I13" s="35">
        <f>I11-I12</f>
        <v/>
      </c>
      <c r="J13" s="35">
        <f>J11-J12</f>
        <v/>
      </c>
      <c r="K13" s="35">
        <f>K11-K12</f>
        <v/>
      </c>
      <c r="L13" s="35">
        <f>L11-L12</f>
        <v/>
      </c>
      <c r="M13" s="35">
        <f>M11-M12</f>
        <v/>
      </c>
      <c r="N13" s="35">
        <f>N11-N12</f>
        <v/>
      </c>
      <c r="O13" s="35">
        <f>O11-O12</f>
        <v/>
      </c>
      <c r="P13" s="35">
        <f>P11-P12</f>
        <v/>
      </c>
      <c r="Q13" s="35">
        <f>Q11-Q12</f>
        <v/>
      </c>
      <c r="R13" s="35">
        <f>R11-R12</f>
        <v/>
      </c>
      <c r="S13" s="35">
        <f>S11-S12</f>
        <v/>
      </c>
      <c r="T13" s="85">
        <f>T11-T12</f>
        <v/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s="19" t="n">
        <v>26665.07</v>
      </c>
      <c r="E16" s="19" t="n">
        <v>27275.25</v>
      </c>
      <c r="F16" s="19" t="n">
        <v>26973.42</v>
      </c>
      <c r="G16" s="19" t="n">
        <v>28105.36</v>
      </c>
      <c r="H16" s="19" t="n">
        <v>27900.43</v>
      </c>
      <c r="I16" s="19" t="n">
        <v>28473.7</v>
      </c>
      <c r="J16" s="19" t="n">
        <v>21660.15</v>
      </c>
      <c r="K16" s="19" t="n">
        <v>28481.27</v>
      </c>
      <c r="L16" s="19" t="n">
        <v>36334.95</v>
      </c>
      <c r="M16" s="19" t="n">
        <v>49834.78999999999</v>
      </c>
      <c r="N16" s="19" t="n">
        <v>38787.02000000001</v>
      </c>
      <c r="O16" s="19" t="n">
        <v>32961.91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163" t="inlineStr">
        <is>
          <t>Other Operating Expenses</t>
        </is>
      </c>
      <c r="D20" s="63" t="n">
        <v>8034.139999999999</v>
      </c>
      <c r="E20" s="63" t="n">
        <v>14148.41</v>
      </c>
      <c r="F20" s="63" t="n">
        <v>9953.23</v>
      </c>
      <c r="G20" s="63" t="n">
        <v>17478.67</v>
      </c>
      <c r="H20" s="63" t="n">
        <v>13403.16</v>
      </c>
      <c r="I20" s="63" t="n">
        <v>38520.63</v>
      </c>
      <c r="J20" s="63" t="n">
        <v>21395.57</v>
      </c>
      <c r="K20" s="63" t="n">
        <v>22835.22</v>
      </c>
      <c r="L20" s="63" t="n">
        <v>19114.82</v>
      </c>
      <c r="M20" s="63" t="n">
        <v>18241.93</v>
      </c>
      <c r="N20" s="63" t="n">
        <v>20910.16</v>
      </c>
      <c r="O20" s="63" t="n">
        <v>14368.51</v>
      </c>
      <c r="P20" s="63">
        <f>'BK P&amp;L'!P50+'CC P&amp;L'!P50+'DN P&amp;L'!P50+'LF P&amp;L'!P50+'MR P&amp;L'!P50+'OP P&amp;L'!P50+'PH P&amp;L'!P50+'RH P&amp;L'!P50+'SB P&amp;L'!P50+'SM P&amp;L'!P50+'WP P&amp;L'!P50+'WW P&amp;L'!P50+'HO P&amp;L'!P30</f>
        <v/>
      </c>
      <c r="Q20" s="63">
        <f>'BK P&amp;L'!Q50+'CC P&amp;L'!Q50+'DN P&amp;L'!Q50+'LF P&amp;L'!Q50+'MR P&amp;L'!Q50+'OP P&amp;L'!Q50+'PH P&amp;L'!Q50+'RH P&amp;L'!Q50+'SB P&amp;L'!Q50+'SM P&amp;L'!Q50+'WP P&amp;L'!Q50+'WW P&amp;L'!Q50+'HO P&amp;L'!Q30</f>
        <v/>
      </c>
      <c r="R20" s="63">
        <f>'BK P&amp;L'!R50+'CC P&amp;L'!R50+'DN P&amp;L'!R50+'LF P&amp;L'!R50+'MR P&amp;L'!R50+'OP P&amp;L'!R50+'PH P&amp;L'!R50+'RH P&amp;L'!R50+'SB P&amp;L'!R50+'SM P&amp;L'!R50+'WP P&amp;L'!R50+'WW P&amp;L'!R50+'HO P&amp;L'!R30</f>
        <v/>
      </c>
      <c r="S20" s="63">
        <f>'BK P&amp;L'!S50+'CC P&amp;L'!S50+'DN P&amp;L'!S50+'LF P&amp;L'!S50+'MR P&amp;L'!S50+'OP P&amp;L'!S50+'PH P&amp;L'!S50+'RH P&amp;L'!S50+'SB P&amp;L'!S50+'SM P&amp;L'!S50+'WP P&amp;L'!S50+'WW P&amp;L'!S50+'HO P&amp;L'!S30</f>
        <v/>
      </c>
      <c r="T20" s="63">
        <f>'BK P&amp;L'!T50+'CC P&amp;L'!T50+'DN P&amp;L'!T50+'LF P&amp;L'!T50+'MR P&amp;L'!T50+'OP P&amp;L'!T50+'PH P&amp;L'!T50+'RH P&amp;L'!T50+'SB P&amp;L'!T50+'SM P&amp;L'!T50+'WP P&amp;L'!T50+'WW P&amp;L'!T50+'HO P&amp;L'!T30</f>
        <v/>
      </c>
      <c r="U20" s="63">
        <f>'BK P&amp;L'!U50+'CC P&amp;L'!U50+'DN P&amp;L'!U50+'LF P&amp;L'!U50+'MR P&amp;L'!U50+'OP P&amp;L'!U50+'PH P&amp;L'!U50+'RH P&amp;L'!U50+'SB P&amp;L'!U50+'SM P&amp;L'!U50+'WP P&amp;L'!U50+'WW P&amp;L'!U50+'HO P&amp;L'!U30</f>
        <v/>
      </c>
      <c r="V20" s="63">
        <f>'BK P&amp;L'!V50+'CC P&amp;L'!V50+'DN P&amp;L'!V50+'LF P&amp;L'!V50+'MR P&amp;L'!V50+'OP P&amp;L'!V50+'PH P&amp;L'!V50+'RH P&amp;L'!V50+'SB P&amp;L'!V50+'SM P&amp;L'!V50+'WP P&amp;L'!V50+'WW P&amp;L'!V50+'HO P&amp;L'!V30</f>
        <v/>
      </c>
      <c r="W20" s="63">
        <f>'BK P&amp;L'!W50+'CC P&amp;L'!W50+'DN P&amp;L'!W50+'LF P&amp;L'!W50+'MR P&amp;L'!W50+'OP P&amp;L'!W50+'PH P&amp;L'!W50+'RH P&amp;L'!W50+'SB P&amp;L'!W50+'SM P&amp;L'!W50+'WP P&amp;L'!W50+'WW P&amp;L'!W50+'HO P&amp;L'!W30</f>
        <v/>
      </c>
      <c r="X20" s="63">
        <f>'BK P&amp;L'!X50+'CC P&amp;L'!X50+'DN P&amp;L'!X50+'LF P&amp;L'!X50+'MR P&amp;L'!X50+'OP P&amp;L'!X50+'PH P&amp;L'!X50+'RH P&amp;L'!X50+'SB P&amp;L'!X50+'SM P&amp;L'!X50+'WP P&amp;L'!X50+'WW P&amp;L'!X50+'HO P&amp;L'!X30</f>
        <v/>
      </c>
      <c r="Y20" s="63">
        <f>'BK P&amp;L'!Y50+'CC P&amp;L'!Y50+'DN P&amp;L'!Y50+'LF P&amp;L'!Y50+'MR P&amp;L'!Y50+'OP P&amp;L'!Y50+'PH P&amp;L'!Y50+'RH P&amp;L'!Y50+'SB P&amp;L'!Y50+'SM P&amp;L'!Y50+'WP P&amp;L'!Y50+'WW P&amp;L'!Y50+'HO P&amp;L'!Y30</f>
        <v/>
      </c>
      <c r="Z20" s="63">
        <f>'BK P&amp;L'!Z50+'CC P&amp;L'!Z50+'DN P&amp;L'!Z50+'LF P&amp;L'!Z50+'MR P&amp;L'!Z50+'OP P&amp;L'!Z50+'PH P&amp;L'!Z50+'RH P&amp;L'!Z50+'SB P&amp;L'!Z50+'SM P&amp;L'!Z50+'WP P&amp;L'!Z50+'WW P&amp;L'!Z50+'HO P&amp;L'!Z30</f>
        <v/>
      </c>
      <c r="AA20" s="63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20" s="63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20" s="63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20" s="63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20" s="63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20" s="63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20" s="63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20" s="63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20" s="63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20" s="63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20" s="63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20" s="63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20" s="63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s="35">
        <f>SUM(D14:D20)</f>
        <v/>
      </c>
      <c r="E21" s="35">
        <f>SUM(E14:E20)</f>
        <v/>
      </c>
      <c r="F21" s="35">
        <f>SUM(F14:F20)</f>
        <v/>
      </c>
      <c r="G21" s="35">
        <f>SUM(G14:G20)</f>
        <v/>
      </c>
      <c r="H21" s="35">
        <f>SUM(H14:H20)</f>
        <v/>
      </c>
      <c r="I21" s="35">
        <f>SUM(I14:I20)</f>
        <v/>
      </c>
      <c r="J21" s="35">
        <f>SUM(J14:J20)</f>
        <v/>
      </c>
      <c r="K21" s="35">
        <f>SUM(K14:K20)</f>
        <v/>
      </c>
      <c r="L21" s="35">
        <f>SUM(L14:L20)</f>
        <v/>
      </c>
      <c r="M21" s="35">
        <f>SUM(M14:M20)</f>
        <v/>
      </c>
      <c r="N21" s="35">
        <f>SUM(N14:N20)</f>
        <v/>
      </c>
      <c r="O21" s="35">
        <f>SUM(O14:O20)</f>
        <v/>
      </c>
      <c r="P21" s="35">
        <f>SUM(P14:P20)</f>
        <v/>
      </c>
      <c r="Q21" s="35">
        <f>SUM(Q14:Q20)</f>
        <v/>
      </c>
      <c r="R21" s="35">
        <f>SUM(R14:R20)</f>
        <v/>
      </c>
      <c r="S21" s="35">
        <f>SUM(S14:S20)</f>
        <v/>
      </c>
      <c r="T21" s="85">
        <f>SUM(T14:T20)</f>
        <v/>
      </c>
      <c r="U21" s="17">
        <f>SUM(U14:U20)</f>
        <v/>
      </c>
      <c r="V21" s="17">
        <f>SUM(V14:V20)</f>
        <v/>
      </c>
      <c r="W21" s="17">
        <f>SUM(W14:W20)</f>
        <v/>
      </c>
      <c r="X21" s="17">
        <f>SUM(X14:X20)</f>
        <v/>
      </c>
      <c r="Y21" s="17">
        <f>SUM(Y14:Y20)</f>
        <v/>
      </c>
      <c r="Z21" s="17">
        <f>SUM(Z14:Z20)</f>
        <v/>
      </c>
      <c r="AA21" s="17">
        <f>SUM(AA14:AA20)</f>
        <v/>
      </c>
      <c r="AB21" s="17">
        <f>SUM(AB14:AB20)</f>
        <v/>
      </c>
      <c r="AC21" s="17">
        <f>SUM(AC14:AC20)</f>
        <v/>
      </c>
      <c r="AD21" s="17">
        <f>SUM(AD14:AD20)</f>
        <v/>
      </c>
      <c r="AE21" s="17">
        <f>SUM(AE14:AE20)</f>
        <v/>
      </c>
      <c r="AF21" s="17">
        <f>SUM(AF14:AF20)</f>
        <v/>
      </c>
      <c r="AG21" s="17">
        <f>SUM(AG14:AG20)</f>
        <v/>
      </c>
      <c r="AH21" s="17">
        <f>SUM(AH14:AH20)</f>
        <v/>
      </c>
      <c r="AI21" s="17">
        <f>SUM(AI14:AI20)</f>
        <v/>
      </c>
      <c r="AJ21" s="17">
        <f>SUM(AJ14:AJ20)</f>
        <v/>
      </c>
      <c r="AK21" s="17">
        <f>SUM(AK14:AK20)</f>
        <v/>
      </c>
      <c r="AL21" s="17">
        <f>SUM(AL14:AL20)</f>
        <v/>
      </c>
      <c r="AM21" s="17">
        <f>SUM(AM14:AM20)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>
        <f>D13-D21</f>
        <v/>
      </c>
      <c r="E22" s="35">
        <f>E13-E21</f>
        <v/>
      </c>
      <c r="F22" s="35">
        <f>F13-F21</f>
        <v/>
      </c>
      <c r="G22" s="35">
        <f>G13-G21</f>
        <v/>
      </c>
      <c r="H22" s="35">
        <f>H13-H21</f>
        <v/>
      </c>
      <c r="I22" s="35">
        <f>I13-I21</f>
        <v/>
      </c>
      <c r="J22" s="35">
        <f>J13-J21</f>
        <v/>
      </c>
      <c r="K22" s="35">
        <f>K13-K21</f>
        <v/>
      </c>
      <c r="L22" s="35">
        <f>L13-L21</f>
        <v/>
      </c>
      <c r="M22" s="35">
        <f>M13-M21</f>
        <v/>
      </c>
      <c r="N22" s="35">
        <f>N13-N21</f>
        <v/>
      </c>
      <c r="O22" s="35">
        <f>O13-O21</f>
        <v/>
      </c>
      <c r="P22" s="35">
        <f>P13-P21</f>
        <v/>
      </c>
      <c r="Q22" s="35">
        <f>Q13-Q21</f>
        <v/>
      </c>
      <c r="R22" s="35">
        <f>R13-R21</f>
        <v/>
      </c>
      <c r="S22" s="35">
        <f>S13-S21</f>
        <v/>
      </c>
      <c r="T22" s="85">
        <f>T13-T21</f>
        <v/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>
        <f>'BK P&amp;L'!U65+'CC P&amp;L'!U65+'DN P&amp;L'!U65+'LF P&amp;L'!U65+'MR P&amp;L'!U65+'OP P&amp;L'!U65+'PH P&amp;L'!U65+'RH P&amp;L'!U65+'SB P&amp;L'!U65+'SM P&amp;L'!U65+'WP P&amp;L'!U65+'WW P&amp;L'!U65+'HO P&amp;L'!U38</f>
        <v/>
      </c>
      <c r="V23" s="20">
        <f>'BK P&amp;L'!V65+'CC P&amp;L'!V65+'DN P&amp;L'!V65+'LF P&amp;L'!V65+'MR P&amp;L'!V65+'OP P&amp;L'!V65+'PH P&amp;L'!V65+'RH P&amp;L'!V65+'SB P&amp;L'!V65+'SM P&amp;L'!V65+'WP P&amp;L'!V65+'WW P&amp;L'!V65+'HO P&amp;L'!V38</f>
        <v/>
      </c>
      <c r="W23" s="20">
        <f>'BK P&amp;L'!W65+'CC P&amp;L'!W65+'DN P&amp;L'!W65+'LF P&amp;L'!W65+'MR P&amp;L'!W65+'OP P&amp;L'!W65+'PH P&amp;L'!W65+'RH P&amp;L'!W65+'SB P&amp;L'!W65+'SM P&amp;L'!W65+'WP P&amp;L'!W65+'WW P&amp;L'!W65+'HO P&amp;L'!W38</f>
        <v/>
      </c>
      <c r="X23" s="20">
        <f>'BK P&amp;L'!X65+'CC P&amp;L'!X65+'DN P&amp;L'!X65+'LF P&amp;L'!X65+'MR P&amp;L'!X65+'OP P&amp;L'!X65+'PH P&amp;L'!X65+'RH P&amp;L'!X65+'SB P&amp;L'!X65+'SM P&amp;L'!X65+'WP P&amp;L'!X65+'WW P&amp;L'!X65+'HO P&amp;L'!X38</f>
        <v/>
      </c>
      <c r="Y23" s="20">
        <f>'BK P&amp;L'!Y65+'CC P&amp;L'!Y65+'DN P&amp;L'!Y65+'LF P&amp;L'!Y65+'MR P&amp;L'!Y65+'OP P&amp;L'!Y65+'PH P&amp;L'!Y65+'RH P&amp;L'!Y65+'SB P&amp;L'!Y65+'SM P&amp;L'!Y65+'WP P&amp;L'!Y65+'WW P&amp;L'!Y65+'HO P&amp;L'!Y38</f>
        <v/>
      </c>
      <c r="Z23" s="20">
        <f>'BK P&amp;L'!Z65+'CC P&amp;L'!Z65+'DN P&amp;L'!Z65+'LF P&amp;L'!Z65+'MR P&amp;L'!Z65+'OP P&amp;L'!Z65+'PH P&amp;L'!Z65+'RH P&amp;L'!Z65+'SB P&amp;L'!Z65+'SM P&amp;L'!Z65+'WP P&amp;L'!Z65+'WW P&amp;L'!Z65+'HO P&amp;L'!Z38</f>
        <v/>
      </c>
      <c r="AA23" s="20">
        <f>'BK P&amp;L'!AA65+'CC P&amp;L'!AA65+'DN P&amp;L'!AA65+'LF P&amp;L'!AA65+'MR P&amp;L'!AA65+'OP P&amp;L'!AA65+'PH P&amp;L'!AA65+'RH P&amp;L'!AA65+'SB P&amp;L'!AA65+'SM P&amp;L'!AA65+'WP P&amp;L'!AA65+'WW P&amp;L'!AA65+'HO P&amp;L'!AA38</f>
        <v/>
      </c>
      <c r="AB23" s="20">
        <f>'BK P&amp;L'!AB65+'CC P&amp;L'!AB65+'DN P&amp;L'!AB65+'LF P&amp;L'!AB65+'MR P&amp;L'!AB65+'OP P&amp;L'!AB65+'PH P&amp;L'!AB65+'RH P&amp;L'!AB65+'SB P&amp;L'!AB65+'SM P&amp;L'!AB65+'WP P&amp;L'!AB65+'WW P&amp;L'!AB65+'HO P&amp;L'!AB38</f>
        <v/>
      </c>
      <c r="AC23" s="20">
        <f>'BK P&amp;L'!AC65+'CC P&amp;L'!AC65+'DN P&amp;L'!AC65+'LF P&amp;L'!AC65+'MR P&amp;L'!AC65+'OP P&amp;L'!AC65+'PH P&amp;L'!AC65+'RH P&amp;L'!AC65+'SB P&amp;L'!AC65+'SM P&amp;L'!AC65+'WP P&amp;L'!AC65+'WW P&amp;L'!AC65+'HO P&amp;L'!AC38</f>
        <v/>
      </c>
      <c r="AD23" s="20">
        <f>'BK P&amp;L'!AD65+'CC P&amp;L'!AD65+'DN P&amp;L'!AD65+'LF P&amp;L'!AD65+'MR P&amp;L'!AD65+'OP P&amp;L'!AD65+'PH P&amp;L'!AD65+'RH P&amp;L'!AD65+'SB P&amp;L'!AD65+'SM P&amp;L'!AD65+'WP P&amp;L'!AD65+'WW P&amp;L'!AD65+'HO P&amp;L'!AD38</f>
        <v/>
      </c>
      <c r="AE23" s="20">
        <f>'BK P&amp;L'!AE65+'CC P&amp;L'!AE65+'DN P&amp;L'!AE65+'LF P&amp;L'!AE65+'MR P&amp;L'!AE65+'OP P&amp;L'!AE65+'PH P&amp;L'!AE65+'RH P&amp;L'!AE65+'SB P&amp;L'!AE65+'SM P&amp;L'!AE65+'WP P&amp;L'!AE65+'WW P&amp;L'!AE65+'HO P&amp;L'!AE38</f>
        <v/>
      </c>
      <c r="AF23" s="20">
        <f>'BK P&amp;L'!AF65+'CC P&amp;L'!AF65+'DN P&amp;L'!AF65+'LF P&amp;L'!AF65+'MR P&amp;L'!AF65+'OP P&amp;L'!AF65+'PH P&amp;L'!AF65+'RH P&amp;L'!AF65+'SB P&amp;L'!AF65+'SM P&amp;L'!AF65+'WP P&amp;L'!AF65+'WW P&amp;L'!AF65+'HO P&amp;L'!AF38</f>
        <v/>
      </c>
      <c r="AG23" s="20">
        <f>'BK P&amp;L'!AG65+'CC P&amp;L'!AG65+'DN P&amp;L'!AG65+'LF P&amp;L'!AG65+'MR P&amp;L'!AG65+'OP P&amp;L'!AG65+'PH P&amp;L'!AG65+'RH P&amp;L'!AG65+'SB P&amp;L'!AG65+'SM P&amp;L'!AG65+'WP P&amp;L'!AG65+'WW P&amp;L'!AG65+'HO P&amp;L'!AG38</f>
        <v/>
      </c>
      <c r="AH23" s="20">
        <f>'BK P&amp;L'!AH65+'CC P&amp;L'!AH65+'DN P&amp;L'!AH65+'LF P&amp;L'!AH65+'MR P&amp;L'!AH65+'OP P&amp;L'!AH65+'PH P&amp;L'!AH65+'RH P&amp;L'!AH65+'SB P&amp;L'!AH65+'SM P&amp;L'!AH65+'WP P&amp;L'!AH65+'WW P&amp;L'!AH65+'HO P&amp;L'!AH38</f>
        <v/>
      </c>
      <c r="AI23" s="20">
        <f>'BK P&amp;L'!AI65+'CC P&amp;L'!AI65+'DN P&amp;L'!AI65+'LF P&amp;L'!AI65+'MR P&amp;L'!AI65+'OP P&amp;L'!AI65+'PH P&amp;L'!AI65+'RH P&amp;L'!AI65+'SB P&amp;L'!AI65+'SM P&amp;L'!AI65+'WP P&amp;L'!AI65+'WW P&amp;L'!AI65+'HO P&amp;L'!AI38</f>
        <v/>
      </c>
      <c r="AJ23" s="20">
        <f>'BK P&amp;L'!AJ65+'CC P&amp;L'!AJ65+'DN P&amp;L'!AJ65+'LF P&amp;L'!AJ65+'MR P&amp;L'!AJ65+'OP P&amp;L'!AJ65+'PH P&amp;L'!AJ65+'RH P&amp;L'!AJ65+'SB P&amp;L'!AJ65+'SM P&amp;L'!AJ65+'WP P&amp;L'!AJ65+'WW P&amp;L'!AJ65+'HO P&amp;L'!AJ38</f>
        <v/>
      </c>
      <c r="AK23" s="20">
        <f>'BK P&amp;L'!AK65+'CC P&amp;L'!AK65+'DN P&amp;L'!AK65+'LF P&amp;L'!AK65+'MR P&amp;L'!AK65+'OP P&amp;L'!AK65+'PH P&amp;L'!AK65+'RH P&amp;L'!AK65+'SB P&amp;L'!AK65+'SM P&amp;L'!AK65+'WP P&amp;L'!AK65+'WW P&amp;L'!AK65+'HO P&amp;L'!AK38</f>
        <v/>
      </c>
      <c r="AL23" s="20">
        <f>'BK P&amp;L'!AL65+'CC P&amp;L'!AL65+'DN P&amp;L'!AL65+'LF P&amp;L'!AL65+'MR P&amp;L'!AL65+'OP P&amp;L'!AL65+'PH P&amp;L'!AL65+'RH P&amp;L'!AL65+'SB P&amp;L'!AL65+'SM P&amp;L'!AL65+'WP P&amp;L'!AL65+'WW P&amp;L'!AL65+'HO P&amp;L'!AL38</f>
        <v/>
      </c>
      <c r="AM23" s="20">
        <f>'BK P&amp;L'!AM65+'CC P&amp;L'!AM65+'DN P&amp;L'!AM65+'LF P&amp;L'!AM65+'MR P&amp;L'!AM65+'OP P&amp;L'!AM65+'PH P&amp;L'!AM65+'RH P&amp;L'!AM65+'SB P&amp;L'!AM65+'SM P&amp;L'!AM65+'WP P&amp;L'!AM65+'WW P&amp;L'!AM65+'HO P&amp;L'!AM38</f>
        <v/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14445</v>
      </c>
      <c r="M24" s="19" t="n">
        <v>8376.01</v>
      </c>
      <c r="N24" s="19" t="n">
        <v>18871.88</v>
      </c>
      <c r="O24" s="19" t="n">
        <v>19871.88</v>
      </c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'BK P&amp;L'!U66+'CC P&amp;L'!U66+'DN P&amp;L'!U66+'LF P&amp;L'!U66+'MR P&amp;L'!U66+'OP P&amp;L'!U66+'PH P&amp;L'!U66+'RH P&amp;L'!U66+'SB P&amp;L'!U66+'SM P&amp;L'!U66+'WP P&amp;L'!U66+'WW P&amp;L'!U66+'HO P&amp;L'!U39</f>
        <v/>
      </c>
      <c r="V24" s="20">
        <f>'BK P&amp;L'!V66+'CC P&amp;L'!V66+'DN P&amp;L'!V66+'LF P&amp;L'!V66+'MR P&amp;L'!V66+'OP P&amp;L'!V66+'PH P&amp;L'!V66+'RH P&amp;L'!V66+'SB P&amp;L'!V66+'SM P&amp;L'!V66+'WP P&amp;L'!V66+'WW P&amp;L'!V66+'HO P&amp;L'!V39</f>
        <v/>
      </c>
      <c r="W24" s="20">
        <f>'BK P&amp;L'!W66+'CC P&amp;L'!W66+'DN P&amp;L'!W66+'LF P&amp;L'!W66+'MR P&amp;L'!W66+'OP P&amp;L'!W66+'PH P&amp;L'!W66+'RH P&amp;L'!W66+'SB P&amp;L'!W66+'SM P&amp;L'!W66+'WP P&amp;L'!W66+'WW P&amp;L'!W66+'HO P&amp;L'!W39</f>
        <v/>
      </c>
      <c r="X24" s="20">
        <f>'BK P&amp;L'!X66+'CC P&amp;L'!X66+'DN P&amp;L'!X66+'LF P&amp;L'!X66+'MR P&amp;L'!X66+'OP P&amp;L'!X66+'PH P&amp;L'!X66+'RH P&amp;L'!X66+'SB P&amp;L'!X66+'SM P&amp;L'!X66+'WP P&amp;L'!X66+'WW P&amp;L'!X66+'HO P&amp;L'!X39</f>
        <v/>
      </c>
      <c r="Y24" s="20">
        <f>'BK P&amp;L'!Y66+'CC P&amp;L'!Y66+'DN P&amp;L'!Y66+'LF P&amp;L'!Y66+'MR P&amp;L'!Y66+'OP P&amp;L'!Y66+'PH P&amp;L'!Y66+'RH P&amp;L'!Y66+'SB P&amp;L'!Y66+'SM P&amp;L'!Y66+'WP P&amp;L'!Y66+'WW P&amp;L'!Y66+'HO P&amp;L'!Y39</f>
        <v/>
      </c>
      <c r="Z24" s="20">
        <f>'BK P&amp;L'!Z66+'CC P&amp;L'!Z66+'DN P&amp;L'!Z66+'LF P&amp;L'!Z66+'MR P&amp;L'!Z66+'OP P&amp;L'!Z66+'PH P&amp;L'!Z66+'RH P&amp;L'!Z66+'SB P&amp;L'!Z66+'SM P&amp;L'!Z66+'WP P&amp;L'!Z66+'WW P&amp;L'!Z66+'HO P&amp;L'!Z39</f>
        <v/>
      </c>
      <c r="AA24" s="20">
        <f>'BK P&amp;L'!AA66+'CC P&amp;L'!AA66+'DN P&amp;L'!AA66+'LF P&amp;L'!AA66+'MR P&amp;L'!AA66+'OP P&amp;L'!AA66+'PH P&amp;L'!AA66+'RH P&amp;L'!AA66+'SB P&amp;L'!AA66+'SM P&amp;L'!AA66+'WP P&amp;L'!AA66+'WW P&amp;L'!AA66+'HO P&amp;L'!AA39</f>
        <v/>
      </c>
      <c r="AB24" s="20">
        <f>'BK P&amp;L'!AB66+'CC P&amp;L'!AB66+'DN P&amp;L'!AB66+'LF P&amp;L'!AB66+'MR P&amp;L'!AB66+'OP P&amp;L'!AB66+'PH P&amp;L'!AB66+'RH P&amp;L'!AB66+'SB P&amp;L'!AB66+'SM P&amp;L'!AB66+'WP P&amp;L'!AB66+'WW P&amp;L'!AB66+'HO P&amp;L'!AB39</f>
        <v/>
      </c>
      <c r="AC24" s="20">
        <f>'BK P&amp;L'!AC66+'CC P&amp;L'!AC66+'DN P&amp;L'!AC66+'LF P&amp;L'!AC66+'MR P&amp;L'!AC66+'OP P&amp;L'!AC66+'PH P&amp;L'!AC66+'RH P&amp;L'!AC66+'SB P&amp;L'!AC66+'SM P&amp;L'!AC66+'WP P&amp;L'!AC66+'WW P&amp;L'!AC66+'HO P&amp;L'!AC39</f>
        <v/>
      </c>
      <c r="AD24" s="20">
        <f>'BK P&amp;L'!AD66+'CC P&amp;L'!AD66+'DN P&amp;L'!AD66+'LF P&amp;L'!AD66+'MR P&amp;L'!AD66+'OP P&amp;L'!AD66+'PH P&amp;L'!AD66+'RH P&amp;L'!AD66+'SB P&amp;L'!AD66+'SM P&amp;L'!AD66+'WP P&amp;L'!AD66+'WW P&amp;L'!AD66+'HO P&amp;L'!AD39</f>
        <v/>
      </c>
      <c r="AE24" s="20">
        <f>'BK P&amp;L'!AE66+'CC P&amp;L'!AE66+'DN P&amp;L'!AE66+'LF P&amp;L'!AE66+'MR P&amp;L'!AE66+'OP P&amp;L'!AE66+'PH P&amp;L'!AE66+'RH P&amp;L'!AE66+'SB P&amp;L'!AE66+'SM P&amp;L'!AE66+'WP P&amp;L'!AE66+'WW P&amp;L'!AE66+'HO P&amp;L'!AE39</f>
        <v/>
      </c>
      <c r="AF24" s="20">
        <f>'BK P&amp;L'!AF66+'CC P&amp;L'!AF66+'DN P&amp;L'!AF66+'LF P&amp;L'!AF66+'MR P&amp;L'!AF66+'OP P&amp;L'!AF66+'PH P&amp;L'!AF66+'RH P&amp;L'!AF66+'SB P&amp;L'!AF66+'SM P&amp;L'!AF66+'WP P&amp;L'!AF66+'WW P&amp;L'!AF66+'HO P&amp;L'!AF39</f>
        <v/>
      </c>
      <c r="AG24" s="20">
        <f>'BK P&amp;L'!AG66+'CC P&amp;L'!AG66+'DN P&amp;L'!AG66+'LF P&amp;L'!AG66+'MR P&amp;L'!AG66+'OP P&amp;L'!AG66+'PH P&amp;L'!AG66+'RH P&amp;L'!AG66+'SB P&amp;L'!AG66+'SM P&amp;L'!AG66+'WP P&amp;L'!AG66+'WW P&amp;L'!AG66+'HO P&amp;L'!AG39</f>
        <v/>
      </c>
      <c r="AH24" s="20">
        <f>'BK P&amp;L'!AH66+'CC P&amp;L'!AH66+'DN P&amp;L'!AH66+'LF P&amp;L'!AH66+'MR P&amp;L'!AH66+'OP P&amp;L'!AH66+'PH P&amp;L'!AH66+'RH P&amp;L'!AH66+'SB P&amp;L'!AH66+'SM P&amp;L'!AH66+'WP P&amp;L'!AH66+'WW P&amp;L'!AH66+'HO P&amp;L'!AH39</f>
        <v/>
      </c>
      <c r="AI24" s="20">
        <f>'BK P&amp;L'!AI66+'CC P&amp;L'!AI66+'DN P&amp;L'!AI66+'LF P&amp;L'!AI66+'MR P&amp;L'!AI66+'OP P&amp;L'!AI66+'PH P&amp;L'!AI66+'RH P&amp;L'!AI66+'SB P&amp;L'!AI66+'SM P&amp;L'!AI66+'WP P&amp;L'!AI66+'WW P&amp;L'!AI66+'HO P&amp;L'!AI39</f>
        <v/>
      </c>
      <c r="AJ24" s="20">
        <f>'BK P&amp;L'!AJ66+'CC P&amp;L'!AJ66+'DN P&amp;L'!AJ66+'LF P&amp;L'!AJ66+'MR P&amp;L'!AJ66+'OP P&amp;L'!AJ66+'PH P&amp;L'!AJ66+'RH P&amp;L'!AJ66+'SB P&amp;L'!AJ66+'SM P&amp;L'!AJ66+'WP P&amp;L'!AJ66+'WW P&amp;L'!AJ66+'HO P&amp;L'!AJ39</f>
        <v/>
      </c>
      <c r="AK24" s="20">
        <f>'BK P&amp;L'!AK66+'CC P&amp;L'!AK66+'DN P&amp;L'!AK66+'LF P&amp;L'!AK66+'MR P&amp;L'!AK66+'OP P&amp;L'!AK66+'PH P&amp;L'!AK66+'RH P&amp;L'!AK66+'SB P&amp;L'!AK66+'SM P&amp;L'!AK66+'WP P&amp;L'!AK66+'WW P&amp;L'!AK66+'HO P&amp;L'!AK39</f>
        <v/>
      </c>
      <c r="AL24" s="20">
        <f>'BK P&amp;L'!AL66+'CC P&amp;L'!AL66+'DN P&amp;L'!AL66+'LF P&amp;L'!AL66+'MR P&amp;L'!AL66+'OP P&amp;L'!AL66+'PH P&amp;L'!AL66+'RH P&amp;L'!AL66+'SB P&amp;L'!AL66+'SM P&amp;L'!AL66+'WP P&amp;L'!AL66+'WW P&amp;L'!AL66+'HO P&amp;L'!AL39</f>
        <v/>
      </c>
      <c r="AM24" s="20">
        <f>'BK P&amp;L'!AM66+'CC P&amp;L'!AM66+'DN P&amp;L'!AM66+'LF P&amp;L'!AM66+'MR P&amp;L'!AM66+'OP P&amp;L'!AM66+'PH P&amp;L'!AM66+'RH P&amp;L'!AM66+'SB P&amp;L'!AM66+'SM P&amp;L'!AM66+'WP P&amp;L'!AM66+'WW P&amp;L'!AM66+'HO P&amp;L'!AM39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>
        <f>'BK P&amp;L'!U67+'CC P&amp;L'!U67+'DN P&amp;L'!U67+'LF P&amp;L'!U67+'MR P&amp;L'!U67+'OP P&amp;L'!U67+'PH P&amp;L'!U67+'RH P&amp;L'!U67+'SB P&amp;L'!U67+'SM P&amp;L'!U67+'WP P&amp;L'!U67+'WW P&amp;L'!U67+'HO P&amp;L'!U33</f>
        <v/>
      </c>
      <c r="V25" s="20">
        <f>'BK P&amp;L'!V67+'CC P&amp;L'!V67+'DN P&amp;L'!V67+'LF P&amp;L'!V67+'MR P&amp;L'!V67+'OP P&amp;L'!V67+'PH P&amp;L'!V67+'RH P&amp;L'!V67+'SB P&amp;L'!V67+'SM P&amp;L'!V67+'WP P&amp;L'!V67+'WW P&amp;L'!V67+'HO P&amp;L'!V33</f>
        <v/>
      </c>
      <c r="W25" s="20">
        <f>'BK P&amp;L'!W67+'CC P&amp;L'!W67+'DN P&amp;L'!W67+'LF P&amp;L'!W67+'MR P&amp;L'!W67+'OP P&amp;L'!W67+'PH P&amp;L'!W67+'RH P&amp;L'!W67+'SB P&amp;L'!W67+'SM P&amp;L'!W67+'WP P&amp;L'!W67+'WW P&amp;L'!W67+'HO P&amp;L'!W33</f>
        <v/>
      </c>
      <c r="X25" s="20">
        <f>'BK P&amp;L'!X67+'CC P&amp;L'!X67+'DN P&amp;L'!X67+'LF P&amp;L'!X67+'MR P&amp;L'!X67+'OP P&amp;L'!X67+'PH P&amp;L'!X67+'RH P&amp;L'!X67+'SB P&amp;L'!X67+'SM P&amp;L'!X67+'WP P&amp;L'!X67+'WW P&amp;L'!X67+'HO P&amp;L'!X33</f>
        <v/>
      </c>
      <c r="Y25" s="20">
        <f>'BK P&amp;L'!Y67+'CC P&amp;L'!Y67+'DN P&amp;L'!Y67+'LF P&amp;L'!Y67+'MR P&amp;L'!Y67+'OP P&amp;L'!Y67+'PH P&amp;L'!Y67+'RH P&amp;L'!Y67+'SB P&amp;L'!Y67+'SM P&amp;L'!Y67+'WP P&amp;L'!Y67+'WW P&amp;L'!Y67+'HO P&amp;L'!Y33</f>
        <v/>
      </c>
      <c r="Z25" s="20">
        <f>'BK P&amp;L'!Z67+'CC P&amp;L'!Z67+'DN P&amp;L'!Z67+'LF P&amp;L'!Z67+'MR P&amp;L'!Z67+'OP P&amp;L'!Z67+'PH P&amp;L'!Z67+'RH P&amp;L'!Z67+'SB P&amp;L'!Z67+'SM P&amp;L'!Z67+'WP P&amp;L'!Z67+'WW P&amp;L'!Z67+'HO P&amp;L'!Z33</f>
        <v/>
      </c>
      <c r="AA25" s="20">
        <f>'BK P&amp;L'!AA67+'CC P&amp;L'!AA67+'DN P&amp;L'!AA67+'LF P&amp;L'!AA67+'MR P&amp;L'!AA67+'OP P&amp;L'!AA67+'PH P&amp;L'!AA67+'RH P&amp;L'!AA67+'SB P&amp;L'!AA67+'SM P&amp;L'!AA67+'WP P&amp;L'!AA67+'WW P&amp;L'!AA67+'HO P&amp;L'!AA33</f>
        <v/>
      </c>
      <c r="AB25" s="20">
        <f>'BK P&amp;L'!AB67+'CC P&amp;L'!AB67+'DN P&amp;L'!AB67+'LF P&amp;L'!AB67+'MR P&amp;L'!AB67+'OP P&amp;L'!AB67+'PH P&amp;L'!AB67+'RH P&amp;L'!AB67+'SB P&amp;L'!AB67+'SM P&amp;L'!AB67+'WP P&amp;L'!AB67+'WW P&amp;L'!AB67+'HO P&amp;L'!AB33</f>
        <v/>
      </c>
      <c r="AC25" s="20">
        <f>'BK P&amp;L'!AC67+'CC P&amp;L'!AC67+'DN P&amp;L'!AC67+'LF P&amp;L'!AC67+'MR P&amp;L'!AC67+'OP P&amp;L'!AC67+'PH P&amp;L'!AC67+'RH P&amp;L'!AC67+'SB P&amp;L'!AC67+'SM P&amp;L'!AC67+'WP P&amp;L'!AC67+'WW P&amp;L'!AC67+'HO P&amp;L'!AC33</f>
        <v/>
      </c>
      <c r="AD25" s="20">
        <f>'BK P&amp;L'!AD67+'CC P&amp;L'!AD67+'DN P&amp;L'!AD67+'LF P&amp;L'!AD67+'MR P&amp;L'!AD67+'OP P&amp;L'!AD67+'PH P&amp;L'!AD67+'RH P&amp;L'!AD67+'SB P&amp;L'!AD67+'SM P&amp;L'!AD67+'WP P&amp;L'!AD67+'WW P&amp;L'!AD67+'HO P&amp;L'!AD33</f>
        <v/>
      </c>
      <c r="AE25" s="20">
        <f>'BK P&amp;L'!AE67+'CC P&amp;L'!AE67+'DN P&amp;L'!AE67+'LF P&amp;L'!AE67+'MR P&amp;L'!AE67+'OP P&amp;L'!AE67+'PH P&amp;L'!AE67+'RH P&amp;L'!AE67+'SB P&amp;L'!AE67+'SM P&amp;L'!AE67+'WP P&amp;L'!AE67+'WW P&amp;L'!AE67+'HO P&amp;L'!AE33</f>
        <v/>
      </c>
      <c r="AF25" s="20">
        <f>'BK P&amp;L'!AF67+'CC P&amp;L'!AF67+'DN P&amp;L'!AF67+'LF P&amp;L'!AF67+'MR P&amp;L'!AF67+'OP P&amp;L'!AF67+'PH P&amp;L'!AF67+'RH P&amp;L'!AF67+'SB P&amp;L'!AF67+'SM P&amp;L'!AF67+'WP P&amp;L'!AF67+'WW P&amp;L'!AF67+'HO P&amp;L'!AF33</f>
        <v/>
      </c>
      <c r="AG25" s="20">
        <f>'BK P&amp;L'!AG67+'CC P&amp;L'!AG67+'DN P&amp;L'!AG67+'LF P&amp;L'!AG67+'MR P&amp;L'!AG67+'OP P&amp;L'!AG67+'PH P&amp;L'!AG67+'RH P&amp;L'!AG67+'SB P&amp;L'!AG67+'SM P&amp;L'!AG67+'WP P&amp;L'!AG67+'WW P&amp;L'!AG67+'HO P&amp;L'!AG33</f>
        <v/>
      </c>
      <c r="AH25" s="20">
        <f>'BK P&amp;L'!AH67+'CC P&amp;L'!AH67+'DN P&amp;L'!AH67+'LF P&amp;L'!AH67+'MR P&amp;L'!AH67+'OP P&amp;L'!AH67+'PH P&amp;L'!AH67+'RH P&amp;L'!AH67+'SB P&amp;L'!AH67+'SM P&amp;L'!AH67+'WP P&amp;L'!AH67+'WW P&amp;L'!AH67+'HO P&amp;L'!AH33</f>
        <v/>
      </c>
      <c r="AI25" s="20">
        <f>'BK P&amp;L'!AI67+'CC P&amp;L'!AI67+'DN P&amp;L'!AI67+'LF P&amp;L'!AI67+'MR P&amp;L'!AI67+'OP P&amp;L'!AI67+'PH P&amp;L'!AI67+'RH P&amp;L'!AI67+'SB P&amp;L'!AI67+'SM P&amp;L'!AI67+'WP P&amp;L'!AI67+'WW P&amp;L'!AI67+'HO P&amp;L'!AI33</f>
        <v/>
      </c>
      <c r="AJ25" s="20">
        <f>'BK P&amp;L'!AJ67+'CC P&amp;L'!AJ67+'DN P&amp;L'!AJ67+'LF P&amp;L'!AJ67+'MR P&amp;L'!AJ67+'OP P&amp;L'!AJ67+'PH P&amp;L'!AJ67+'RH P&amp;L'!AJ67+'SB P&amp;L'!AJ67+'SM P&amp;L'!AJ67+'WP P&amp;L'!AJ67+'WW P&amp;L'!AJ67+'HO P&amp;L'!AJ33</f>
        <v/>
      </c>
      <c r="AK25" s="20">
        <f>'BK P&amp;L'!AK67+'CC P&amp;L'!AK67+'DN P&amp;L'!AK67+'LF P&amp;L'!AK67+'MR P&amp;L'!AK67+'OP P&amp;L'!AK67+'PH P&amp;L'!AK67+'RH P&amp;L'!AK67+'SB P&amp;L'!AK67+'SM P&amp;L'!AK67+'WP P&amp;L'!AK67+'WW P&amp;L'!AK67+'HO P&amp;L'!AK33</f>
        <v/>
      </c>
      <c r="AL25" s="20">
        <f>'BK P&amp;L'!AL67+'CC P&amp;L'!AL67+'DN P&amp;L'!AL67+'LF P&amp;L'!AL67+'MR P&amp;L'!AL67+'OP P&amp;L'!AL67+'PH P&amp;L'!AL67+'RH P&amp;L'!AL67+'SB P&amp;L'!AL67+'SM P&amp;L'!AL67+'WP P&amp;L'!AL67+'WW P&amp;L'!AL67+'HO P&amp;L'!AL33</f>
        <v/>
      </c>
      <c r="AM25" s="20">
        <f>'BK P&amp;L'!AM67+'CC P&amp;L'!AM67+'DN P&amp;L'!AM67+'LF P&amp;L'!AM67+'MR P&amp;L'!AM67+'OP P&amp;L'!AM67+'PH P&amp;L'!AM67+'RH P&amp;L'!AM67+'SB P&amp;L'!AM67+'SM P&amp;L'!AM67+'WP P&amp;L'!AM67+'WW P&amp;L'!AM67+'HO P&amp;L'!AM33</f>
        <v/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4178.19</v>
      </c>
      <c r="V26" s="20" t="n">
        <v>4178.19</v>
      </c>
      <c r="W26" s="20" t="n">
        <v>4178.19</v>
      </c>
      <c r="X26" s="20" t="n">
        <v>4178.19</v>
      </c>
      <c r="Y26" s="20" t="n">
        <v>4178.19</v>
      </c>
      <c r="Z26" s="20" t="n">
        <v>4178.19</v>
      </c>
      <c r="AA26" s="20" t="n">
        <v>4178.19</v>
      </c>
      <c r="AB26" s="20" t="n">
        <v>4178.19</v>
      </c>
      <c r="AC26" s="20" t="n">
        <v>4178.19</v>
      </c>
      <c r="AD26" s="20" t="n">
        <v>4178.19</v>
      </c>
      <c r="AE26" s="20" t="n">
        <v>4178.19</v>
      </c>
      <c r="AF26" s="20" t="n">
        <v>4178.19</v>
      </c>
      <c r="AG26" s="20" t="n">
        <v>4178.19</v>
      </c>
      <c r="AH26" s="20" t="n">
        <v>4178.19</v>
      </c>
      <c r="AI26" s="20" t="n">
        <v>4178.19</v>
      </c>
      <c r="AJ26" s="20" t="n">
        <v>4178.19</v>
      </c>
      <c r="AK26" s="20" t="n">
        <v>4178.19</v>
      </c>
      <c r="AL26" s="20" t="n">
        <v>4178.19</v>
      </c>
      <c r="AM26" s="20" t="n">
        <v>4178.19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s="35">
        <f>SUM(D23:D26)</f>
        <v/>
      </c>
      <c r="E27" s="35">
        <f>SUM(E23:E26)</f>
        <v/>
      </c>
      <c r="F27" s="35">
        <f>SUM(F23:F26)</f>
        <v/>
      </c>
      <c r="G27" s="35">
        <f>SUM(G23:G26)</f>
        <v/>
      </c>
      <c r="H27" s="35">
        <f>SUM(H23:H26)</f>
        <v/>
      </c>
      <c r="I27" s="35">
        <f>SUM(I23:I26)</f>
        <v/>
      </c>
      <c r="J27" s="35">
        <f>SUM(J23:J26)</f>
        <v/>
      </c>
      <c r="K27" s="35">
        <f>SUM(K23:K26)</f>
        <v/>
      </c>
      <c r="L27" s="35">
        <f>SUM(L23:L26)</f>
        <v/>
      </c>
      <c r="M27" s="35">
        <f>SUM(M23:M26)</f>
        <v/>
      </c>
      <c r="N27" s="35">
        <f>SUM(N23:N26)</f>
        <v/>
      </c>
      <c r="O27" s="35">
        <f>SUM(O23:O26)</f>
        <v/>
      </c>
      <c r="P27" s="35">
        <f>SUM(P23:P26)</f>
        <v/>
      </c>
      <c r="Q27" s="35">
        <f>SUM(Q23:Q26)</f>
        <v/>
      </c>
      <c r="R27" s="35">
        <f>SUM(R23:R26)</f>
        <v/>
      </c>
      <c r="S27" s="35">
        <f>SUM(S23:S26)</f>
        <v/>
      </c>
      <c r="T27" s="85">
        <f>SUM(T23:T26)</f>
        <v/>
      </c>
      <c r="U27" s="17">
        <f>SUM(U23:U26)</f>
        <v/>
      </c>
      <c r="V27" s="17">
        <f>SUM(V23:V26)</f>
        <v/>
      </c>
      <c r="W27" s="17">
        <f>SUM(W23:W26)</f>
        <v/>
      </c>
      <c r="X27" s="17">
        <f>SUM(X23:X26)</f>
        <v/>
      </c>
      <c r="Y27" s="17">
        <f>SUM(Y23:Y26)</f>
        <v/>
      </c>
      <c r="Z27" s="17">
        <f>SUM(Z23:Z26)</f>
        <v/>
      </c>
      <c r="AA27" s="17">
        <f>SUM(AA23:AA26)</f>
        <v/>
      </c>
      <c r="AB27" s="17">
        <f>SUM(AB23:AB26)</f>
        <v/>
      </c>
      <c r="AC27" s="17">
        <f>SUM(AC23:AC26)</f>
        <v/>
      </c>
      <c r="AD27" s="17">
        <f>SUM(AD23:AD26)</f>
        <v/>
      </c>
      <c r="AE27" s="17">
        <f>SUM(AE23:AE26)</f>
        <v/>
      </c>
      <c r="AF27" s="17">
        <f>SUM(AF23:AF26)</f>
        <v/>
      </c>
      <c r="AG27" s="17">
        <f>SUM(AG23:AG26)</f>
        <v/>
      </c>
      <c r="AH27" s="17">
        <f>SUM(AH23:AH26)</f>
        <v/>
      </c>
      <c r="AI27" s="17">
        <f>SUM(AI23:AI26)</f>
        <v/>
      </c>
      <c r="AJ27" s="17">
        <f>SUM(AJ23:AJ26)</f>
        <v/>
      </c>
      <c r="AK27" s="17">
        <f>SUM(AK23:AK26)</f>
        <v/>
      </c>
      <c r="AL27" s="17">
        <f>SUM(AL23:AL26)</f>
        <v/>
      </c>
      <c r="AM27" s="17">
        <f>SUM(AM23:AM26)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>
        <f>D22-D27</f>
        <v/>
      </c>
      <c r="E28" s="35">
        <f>E22-E27</f>
        <v/>
      </c>
      <c r="F28" s="35">
        <f>F22-F27</f>
        <v/>
      </c>
      <c r="G28" s="35">
        <f>G22-G27</f>
        <v/>
      </c>
      <c r="H28" s="35">
        <f>H22-H27</f>
        <v/>
      </c>
      <c r="I28" s="35">
        <f>I22-I27</f>
        <v/>
      </c>
      <c r="J28" s="35">
        <f>J22-J27</f>
        <v/>
      </c>
      <c r="K28" s="35">
        <f>K22-K27</f>
        <v/>
      </c>
      <c r="L28" s="35">
        <f>L22-L27</f>
        <v/>
      </c>
      <c r="M28" s="35">
        <f>M22-M27</f>
        <v/>
      </c>
      <c r="N28" s="35">
        <f>N22-N27</f>
        <v/>
      </c>
      <c r="O28" s="35">
        <f>O22-O27</f>
        <v/>
      </c>
      <c r="P28" s="35">
        <f>P22-P27</f>
        <v/>
      </c>
      <c r="Q28" s="35">
        <f>Q22-Q27</f>
        <v/>
      </c>
      <c r="R28" s="35">
        <f>R22-R27</f>
        <v/>
      </c>
      <c r="S28" s="35">
        <f>S22-S27</f>
        <v/>
      </c>
      <c r="T28" s="85">
        <f>T22-T27</f>
        <v/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30" ht="16.05" customHeight="1" s="142">
      <c r="B30" s="66" t="inlineStr">
        <is>
          <t>ADJUSTED EBITDA RECONCILIATION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D38" s="71">
        <f>SUM(D33:D37)</f>
        <v/>
      </c>
      <c r="E38" s="71">
        <f>SUM(E33:E37)</f>
        <v/>
      </c>
      <c r="F38" s="71">
        <f>SUM(F33:F37)</f>
        <v/>
      </c>
      <c r="G38" s="71">
        <f>SUM(G33:G37)</f>
        <v/>
      </c>
      <c r="H38" s="71">
        <f>SUM(H33:H37)</f>
        <v/>
      </c>
      <c r="I38" s="71">
        <f>SUM(I33:I37)</f>
        <v/>
      </c>
      <c r="J38" s="71">
        <f>SUM(J33:J37)</f>
        <v/>
      </c>
      <c r="K38" s="71">
        <f>SUM(K33:K37)</f>
        <v/>
      </c>
      <c r="L38" s="71">
        <f>SUM(L33:L37)</f>
        <v/>
      </c>
      <c r="M38" s="71">
        <f>SUM(M33:M37)</f>
        <v/>
      </c>
      <c r="N38" s="71">
        <f>SUM(N33:N37)</f>
        <v/>
      </c>
      <c r="O38" s="71">
        <f>SUM(O33:O37)</f>
        <v/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D39" s="72">
        <f>D31+D38</f>
        <v/>
      </c>
      <c r="E39" s="72">
        <f>E31+E38</f>
        <v/>
      </c>
      <c r="F39" s="72">
        <f>F31+F38</f>
        <v/>
      </c>
      <c r="G39" s="72">
        <f>G31+G38</f>
        <v/>
      </c>
      <c r="H39" s="72">
        <f>H31+H38</f>
        <v/>
      </c>
      <c r="I39" s="72">
        <f>I31+I38</f>
        <v/>
      </c>
      <c r="J39" s="72">
        <f>J31+J38</f>
        <v/>
      </c>
      <c r="K39" s="72">
        <f>K31+K38</f>
        <v/>
      </c>
      <c r="L39" s="72">
        <f>L31+L38</f>
        <v/>
      </c>
      <c r="M39" s="72">
        <f>M31+M38</f>
        <v/>
      </c>
      <c r="N39" s="72">
        <f>N31+N38</f>
        <v/>
      </c>
      <c r="O39" s="72">
        <f>O31+O38</f>
        <v/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22" customWidth="1" style="142" min="2" max="2"/>
    <col width="14" customWidth="1" style="142" min="3" max="3"/>
    <col width="12" customWidth="1" style="142" min="4" max="39"/>
  </cols>
  <sheetData>
    <row r="2" ht="21" customHeight="1" s="14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1" ht="16.05" customHeight="1" s="14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.05" customHeight="1" s="14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.05" customHeight="1" s="14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9" ht="16.05" customHeight="1" s="14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.05" customHeight="1" s="14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.05" customHeight="1" s="14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7" ht="16.05" customHeight="1" s="14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.05" customHeight="1" s="14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.05" customHeight="1" s="14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5" ht="16.05" customHeight="1" s="14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.05" customHeight="1" s="14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Berkeley (BK)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s="35" t="n">
        <v>80961.42999999999</v>
      </c>
      <c r="E13" s="35" t="n">
        <v>87308.73999999999</v>
      </c>
      <c r="F13" s="35" t="n">
        <v>98978.03999999999</v>
      </c>
      <c r="G13" s="35" t="n">
        <v>96759.24000000001</v>
      </c>
      <c r="H13" s="35" t="n">
        <v>98655.28999999999</v>
      </c>
      <c r="I13" s="35" t="n">
        <v>95073.25999999999</v>
      </c>
      <c r="J13" s="35" t="n">
        <v>98325.27</v>
      </c>
      <c r="K13" s="35" t="n">
        <v>100210.7</v>
      </c>
      <c r="L13" s="35" t="n">
        <v>95513.2</v>
      </c>
      <c r="M13" s="35" t="n">
        <v>90819.38</v>
      </c>
      <c r="N13" s="35" t="n">
        <v>90823.72000000002</v>
      </c>
      <c r="O13" s="35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s="19" t="n">
        <v>10480.79</v>
      </c>
      <c r="E14" s="19" t="n">
        <v>16179.03</v>
      </c>
      <c r="F14" s="19" t="n">
        <v>20305.86</v>
      </c>
      <c r="G14" s="19" t="n">
        <v>20513.48</v>
      </c>
      <c r="H14" s="19" t="n">
        <v>23721.52</v>
      </c>
      <c r="I14" s="19" t="n">
        <v>17938.2</v>
      </c>
      <c r="J14" s="19" t="n">
        <v>14764.55</v>
      </c>
      <c r="K14" s="19" t="n">
        <v>15127.93</v>
      </c>
      <c r="L14" s="19" t="n">
        <v>32901.88</v>
      </c>
      <c r="M14" s="19" t="n">
        <v>22861.69</v>
      </c>
      <c r="N14" s="19" t="n">
        <v>31868.08</v>
      </c>
      <c r="O14" s="19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s="19" t="n">
        <v>495</v>
      </c>
      <c r="E15" s="19" t="n">
        <v>3040</v>
      </c>
      <c r="F15" s="19" t="n">
        <v>2615</v>
      </c>
      <c r="G15" s="19" t="n">
        <v>1345</v>
      </c>
      <c r="H15" s="19" t="n">
        <v>1185</v>
      </c>
      <c r="I15" s="19" t="n">
        <v>3540</v>
      </c>
      <c r="J15" s="19" t="n">
        <v>2208</v>
      </c>
      <c r="K15" s="19" t="n">
        <v>2677.5</v>
      </c>
      <c r="L15" s="19" t="n">
        <v>1750</v>
      </c>
      <c r="M15" s="19" t="n">
        <v>1282</v>
      </c>
      <c r="N15" s="19" t="n">
        <v>3100</v>
      </c>
      <c r="O15" s="19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47.2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35.4</v>
      </c>
      <c r="N16" s="19" t="n">
        <v>0</v>
      </c>
      <c r="O16" s="19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s="35" t="n">
        <v>10975.79</v>
      </c>
      <c r="E17" s="35" t="n">
        <v>19219.03</v>
      </c>
      <c r="F17" s="35" t="n">
        <v>22920.86</v>
      </c>
      <c r="G17" s="35" t="n">
        <v>21905.68</v>
      </c>
      <c r="H17" s="35" t="n">
        <v>24906.52</v>
      </c>
      <c r="I17" s="35" t="n">
        <v>23158.2</v>
      </c>
      <c r="J17" s="35" t="n">
        <v>19237.55</v>
      </c>
      <c r="K17" s="35" t="n">
        <v>25185.43</v>
      </c>
      <c r="L17" s="35" t="n">
        <v>34651.88</v>
      </c>
      <c r="M17" s="35" t="n">
        <v>24429.09</v>
      </c>
      <c r="N17" s="35" t="n">
        <v>38110.08</v>
      </c>
      <c r="O17" s="35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s="19" t="n">
        <v>3473</v>
      </c>
      <c r="E18" s="19" t="n">
        <v>2711</v>
      </c>
      <c r="F18" s="19" t="n">
        <v>2259</v>
      </c>
      <c r="G18" s="19" t="n">
        <v>2631</v>
      </c>
      <c r="H18" s="19" t="n">
        <v>2405</v>
      </c>
      <c r="I18" s="19" t="n">
        <v>4161</v>
      </c>
      <c r="J18" s="19" t="n">
        <v>2652</v>
      </c>
      <c r="K18" s="19" t="n">
        <v>2867</v>
      </c>
      <c r="L18" s="19" t="n">
        <v>2571</v>
      </c>
      <c r="M18" s="19" t="n">
        <v>1868</v>
      </c>
      <c r="N18" s="19" t="n">
        <v>1688</v>
      </c>
      <c r="O18" s="19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s="19" t="n">
        <v>-3038</v>
      </c>
      <c r="E19" s="19" t="n">
        <v>-3570</v>
      </c>
      <c r="F19" s="19" t="n">
        <v>-4134</v>
      </c>
      <c r="G19" s="19" t="n">
        <v>-6153</v>
      </c>
      <c r="H19" s="19" t="n">
        <v>-2902</v>
      </c>
      <c r="I19" s="19" t="n">
        <v>-1475.01</v>
      </c>
      <c r="J19" s="19" t="n">
        <v>-1196</v>
      </c>
      <c r="K19" s="19" t="n">
        <v>-914.01</v>
      </c>
      <c r="L19" s="19" t="n">
        <v>-1970</v>
      </c>
      <c r="M19" s="19" t="n">
        <v>-1215</v>
      </c>
      <c r="N19" s="19" t="n">
        <v>-1510</v>
      </c>
      <c r="O19" s="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s="19" t="n">
        <v>-7378.7</v>
      </c>
      <c r="E20" s="19" t="n">
        <v>-4533.12</v>
      </c>
      <c r="F20" s="19" t="n">
        <v>-6389.54</v>
      </c>
      <c r="G20" s="19" t="n">
        <v>-5172.1</v>
      </c>
      <c r="H20" s="19" t="n">
        <v>-5087.8</v>
      </c>
      <c r="I20" s="19" t="n">
        <v>-7287.54</v>
      </c>
      <c r="J20" s="19" t="n">
        <v>-3691.2</v>
      </c>
      <c r="K20" s="19" t="n">
        <v>-5800.96</v>
      </c>
      <c r="L20" s="19" t="n">
        <v>-3071.62</v>
      </c>
      <c r="M20" s="19" t="n">
        <v>-3528.96</v>
      </c>
      <c r="N20" s="19" t="n">
        <v>-3664.12</v>
      </c>
      <c r="O20" s="19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102263.72</v>
      </c>
      <c r="E21" s="35" t="n">
        <v>108290.08</v>
      </c>
      <c r="F21" s="35" t="n">
        <v>118514.77</v>
      </c>
      <c r="G21" s="35" t="n">
        <v>113589.27</v>
      </c>
      <c r="H21" s="35" t="n">
        <v>119796.34</v>
      </c>
      <c r="I21" s="35" t="n">
        <v>114548.96</v>
      </c>
      <c r="J21" s="35" t="n">
        <v>115924.45</v>
      </c>
      <c r="K21" s="35" t="n">
        <v>121824.66</v>
      </c>
      <c r="L21" s="35" t="n">
        <v>127769.46</v>
      </c>
      <c r="M21" s="35" t="n">
        <v>112372.51</v>
      </c>
      <c r="N21" s="35" t="n">
        <v>125447.68</v>
      </c>
      <c r="O21" s="35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1635</v>
      </c>
      <c r="E23" s="19" t="n">
        <v>1240.75</v>
      </c>
      <c r="F23" s="19" t="n">
        <v>1097.25</v>
      </c>
      <c r="G23" s="19" t="n">
        <v>1298.5</v>
      </c>
      <c r="H23" s="19" t="n">
        <v>1160.5</v>
      </c>
      <c r="I23" s="19" t="n">
        <v>1974.75</v>
      </c>
      <c r="J23" s="19" t="n">
        <v>1301</v>
      </c>
      <c r="K23" s="19" t="n">
        <v>1424.5</v>
      </c>
      <c r="L23" s="19" t="n">
        <v>1231</v>
      </c>
      <c r="M23" s="19" t="n">
        <v>896.5</v>
      </c>
      <c r="N23" s="19" t="n">
        <v>836.5</v>
      </c>
      <c r="O23" s="19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3612.09</v>
      </c>
      <c r="E24" s="19" t="n">
        <v>3333.58</v>
      </c>
      <c r="F24" s="19" t="n">
        <v>3314.08</v>
      </c>
      <c r="G24" s="19" t="n">
        <v>3895.12</v>
      </c>
      <c r="H24" s="19" t="n">
        <v>2604.04</v>
      </c>
      <c r="I24" s="19" t="n">
        <v>2902.85</v>
      </c>
      <c r="J24" s="19" t="n">
        <v>2543.4</v>
      </c>
      <c r="K24" s="19" t="n">
        <v>3738.8</v>
      </c>
      <c r="L24" s="19" t="n">
        <v>2974.49</v>
      </c>
      <c r="M24" s="19" t="n">
        <v>2918.1</v>
      </c>
      <c r="N24" s="19" t="n">
        <v>2598.16</v>
      </c>
      <c r="O24" s="19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5247.09</v>
      </c>
      <c r="E25" s="35" t="n">
        <v>4574.33</v>
      </c>
      <c r="F25" s="35" t="n">
        <v>4411.33</v>
      </c>
      <c r="G25" s="35" t="n">
        <v>5193.62</v>
      </c>
      <c r="H25" s="35" t="n">
        <v>3764.54</v>
      </c>
      <c r="I25" s="35" t="n">
        <v>4877.6</v>
      </c>
      <c r="J25" s="35" t="n">
        <v>3844.4</v>
      </c>
      <c r="K25" s="35" t="n">
        <v>5163.3</v>
      </c>
      <c r="L25" s="35" t="n">
        <v>4205.49</v>
      </c>
      <c r="M25" s="35" t="n">
        <v>3814.6</v>
      </c>
      <c r="N25" s="35" t="n">
        <v>3434.66</v>
      </c>
      <c r="O25" s="3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97016.63</v>
      </c>
      <c r="E26" s="35" t="n">
        <v>103715.75</v>
      </c>
      <c r="F26" s="35" t="n">
        <v>114103.44</v>
      </c>
      <c r="G26" s="35" t="n">
        <v>108395.65</v>
      </c>
      <c r="H26" s="35" t="n">
        <v>116031.8</v>
      </c>
      <c r="I26" s="35" t="n">
        <v>109671.36</v>
      </c>
      <c r="J26" s="35" t="n">
        <v>112080.05</v>
      </c>
      <c r="K26" s="35" t="n">
        <v>116661.36</v>
      </c>
      <c r="L26" s="35" t="n">
        <v>123563.97</v>
      </c>
      <c r="M26" s="35" t="n">
        <v>108557.91</v>
      </c>
      <c r="N26" s="35" t="n">
        <v>122013.02</v>
      </c>
      <c r="O26" s="35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1300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2407.42</v>
      </c>
      <c r="J28" s="19" t="n">
        <v>300</v>
      </c>
      <c r="K28" s="19" t="n">
        <v>0</v>
      </c>
      <c r="L28" s="19" t="n">
        <v>0</v>
      </c>
      <c r="M28" s="19" t="n">
        <v>0</v>
      </c>
      <c r="N28" s="19" t="n">
        <v>890.91</v>
      </c>
      <c r="O28" s="19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1300</v>
      </c>
      <c r="E33" s="35" t="n">
        <v>300</v>
      </c>
      <c r="F33" s="35" t="n">
        <v>0</v>
      </c>
      <c r="G33" s="35" t="n">
        <v>0</v>
      </c>
      <c r="H33" s="35" t="n">
        <v>0</v>
      </c>
      <c r="I33" s="35" t="n">
        <v>2407.42</v>
      </c>
      <c r="J33" s="35" t="n">
        <v>300</v>
      </c>
      <c r="K33" s="35" t="n">
        <v>0</v>
      </c>
      <c r="L33" s="35" t="n">
        <v>0</v>
      </c>
      <c r="M33" s="35" t="n">
        <v>0</v>
      </c>
      <c r="N33" s="35" t="n">
        <v>890.91</v>
      </c>
      <c r="O33" s="35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34343.42</v>
      </c>
      <c r="E34" s="19" t="n">
        <v>35495.95</v>
      </c>
      <c r="F34" s="19" t="n">
        <v>36875.91</v>
      </c>
      <c r="G34" s="19" t="n">
        <v>31272.57</v>
      </c>
      <c r="H34" s="19" t="n">
        <v>35386.68</v>
      </c>
      <c r="I34" s="19" t="n">
        <v>34209.55</v>
      </c>
      <c r="J34" s="19" t="n">
        <v>33486.1</v>
      </c>
      <c r="K34" s="19" t="n">
        <v>36620.89</v>
      </c>
      <c r="L34" s="19" t="n">
        <v>34907.82</v>
      </c>
      <c r="M34" s="19" t="n">
        <v>35061.25</v>
      </c>
      <c r="N34" s="19" t="n">
        <v>34827.27</v>
      </c>
      <c r="O34" s="19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s="19" t="n">
        <v>5601.59</v>
      </c>
      <c r="E35" s="19" t="n">
        <v>4241.17</v>
      </c>
      <c r="F35" s="19" t="n">
        <v>4058.89</v>
      </c>
      <c r="G35" s="19" t="n">
        <v>3607.45</v>
      </c>
      <c r="H35" s="19" t="n">
        <v>3918.25</v>
      </c>
      <c r="I35" s="19" t="n">
        <v>3681.89</v>
      </c>
      <c r="J35" s="19" t="n">
        <v>3764.68</v>
      </c>
      <c r="K35" s="19" t="n">
        <v>4102.57</v>
      </c>
      <c r="L35" s="19" t="n">
        <v>3992.68</v>
      </c>
      <c r="M35" s="19" t="n">
        <v>3965.95</v>
      </c>
      <c r="N35" s="19" t="n">
        <v>4189.02</v>
      </c>
      <c r="O35" s="19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s="19" t="n">
        <v>1318.33</v>
      </c>
      <c r="E36" s="19" t="n">
        <v>1778.42</v>
      </c>
      <c r="F36" s="19" t="n">
        <v>7.8</v>
      </c>
      <c r="G36" s="19" t="n">
        <v>-899.08</v>
      </c>
      <c r="H36" s="19" t="n">
        <v>-1369.81</v>
      </c>
      <c r="I36" s="19" t="n">
        <v>319.78</v>
      </c>
      <c r="J36" s="19" t="n">
        <v>1066.69</v>
      </c>
      <c r="K36" s="19" t="n">
        <v>1575.46</v>
      </c>
      <c r="L36" s="19" t="n">
        <v>1590.26</v>
      </c>
      <c r="M36" s="19" t="n">
        <v>2472.71</v>
      </c>
      <c r="N36" s="19" t="n">
        <v>774.91</v>
      </c>
      <c r="O36" s="19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s="19" t="n">
        <v>862.9299999999999</v>
      </c>
      <c r="E37" s="19" t="n">
        <v>334.34</v>
      </c>
      <c r="F37" s="19" t="n">
        <v>331.49</v>
      </c>
      <c r="G37" s="19" t="n">
        <v>463.71</v>
      </c>
      <c r="H37" s="19" t="n">
        <v>345.74</v>
      </c>
      <c r="I37" s="19" t="n">
        <v>342.89</v>
      </c>
      <c r="J37" s="19" t="n">
        <v>342.89</v>
      </c>
      <c r="K37" s="19" t="n">
        <v>518.61</v>
      </c>
      <c r="L37" s="19" t="n">
        <v>351.44</v>
      </c>
      <c r="M37" s="19" t="n">
        <v>351.44</v>
      </c>
      <c r="N37" s="19" t="n">
        <v>357.14</v>
      </c>
      <c r="O37" s="19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s="35" t="n">
        <v>55306.44</v>
      </c>
      <c r="E38" s="35" t="n">
        <v>51485.18999999999</v>
      </c>
      <c r="F38" s="35" t="n">
        <v>56435.60000000001</v>
      </c>
      <c r="G38" s="35" t="n">
        <v>47706.41</v>
      </c>
      <c r="H38" s="35" t="n">
        <v>53233.19</v>
      </c>
      <c r="I38" s="35" t="n">
        <v>50750.47</v>
      </c>
      <c r="J38" s="35" t="n">
        <v>50784.82</v>
      </c>
      <c r="K38" s="35" t="n">
        <v>55687.65</v>
      </c>
      <c r="L38" s="35" t="n">
        <v>52430.8</v>
      </c>
      <c r="M38" s="35" t="n">
        <v>52739.82</v>
      </c>
      <c r="N38" s="35" t="n">
        <v>51997.08</v>
      </c>
      <c r="O38" s="35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789.62</v>
      </c>
      <c r="E39" s="19" t="n">
        <v>837.5</v>
      </c>
      <c r="F39" s="19" t="n">
        <v>595.3</v>
      </c>
      <c r="G39" s="19" t="n">
        <v>1222.24</v>
      </c>
      <c r="H39" s="19" t="n">
        <v>1287.99</v>
      </c>
      <c r="I39" s="19" t="n">
        <v>1042.77</v>
      </c>
      <c r="J39" s="19" t="n">
        <v>707.99</v>
      </c>
      <c r="K39" s="19" t="n">
        <v>1705.78</v>
      </c>
      <c r="L39" s="19" t="n">
        <v>626.99</v>
      </c>
      <c r="M39" s="19" t="n">
        <v>736.08</v>
      </c>
      <c r="N39" s="19" t="n">
        <v>831.09</v>
      </c>
      <c r="O39" s="1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s="19" t="n">
        <v>239.07</v>
      </c>
      <c r="E40" s="19" t="n">
        <v>239.07</v>
      </c>
      <c r="F40" s="19" t="n">
        <v>239.07</v>
      </c>
      <c r="G40" s="19" t="n">
        <v>239.07</v>
      </c>
      <c r="H40" s="19" t="n">
        <v>239.07</v>
      </c>
      <c r="I40" s="19" t="n">
        <v>239.07</v>
      </c>
      <c r="J40" s="19" t="n">
        <v>239.07</v>
      </c>
      <c r="K40" s="19" t="n">
        <v>239.07</v>
      </c>
      <c r="L40" s="19" t="n">
        <v>239.07</v>
      </c>
      <c r="M40" s="19" t="n">
        <v>451.07</v>
      </c>
      <c r="N40" s="19" t="n">
        <v>451.07</v>
      </c>
      <c r="O40" s="19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143</v>
      </c>
      <c r="F44" s="19" t="n">
        <v>225.5</v>
      </c>
      <c r="G44" s="19" t="n">
        <v>45.5</v>
      </c>
      <c r="H44" s="19" t="n">
        <v>2095.5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0</v>
      </c>
      <c r="N44" s="19" t="n">
        <v>154.54</v>
      </c>
      <c r="O44" s="19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75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143</v>
      </c>
      <c r="F47" s="35" t="n">
        <v>445.5</v>
      </c>
      <c r="G47" s="35" t="n">
        <v>120.5</v>
      </c>
      <c r="H47" s="35" t="n">
        <v>2095.5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481</v>
      </c>
      <c r="N47" s="35" t="n">
        <v>635.54</v>
      </c>
      <c r="O47" s="35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93.28</v>
      </c>
      <c r="G49" s="19" t="n">
        <v>96.02</v>
      </c>
      <c r="H49" s="19" t="n">
        <v>0</v>
      </c>
      <c r="I49" s="19" t="n">
        <v>17.77</v>
      </c>
      <c r="J49" s="19" t="n">
        <v>0</v>
      </c>
      <c r="K49" s="19" t="n">
        <v>114.05</v>
      </c>
      <c r="L49" s="19" t="n">
        <v>280.75</v>
      </c>
      <c r="M49" s="19" t="n">
        <v>72.09</v>
      </c>
      <c r="N49" s="19" t="n">
        <v>357.66</v>
      </c>
      <c r="O49" s="1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s="19" t="n">
        <v>107.21</v>
      </c>
      <c r="E53" s="19" t="n">
        <v>107.34</v>
      </c>
      <c r="F53" s="19" t="n">
        <v>107.34</v>
      </c>
      <c r="G53" s="19" t="n">
        <v>107.34</v>
      </c>
      <c r="H53" s="19" t="n">
        <v>107.12</v>
      </c>
      <c r="I53" s="19" t="n">
        <v>192.37</v>
      </c>
      <c r="J53" s="19" t="n">
        <v>107.12</v>
      </c>
      <c r="K53" s="19" t="n">
        <v>107.12</v>
      </c>
      <c r="L53" s="19" t="n">
        <v>107.12</v>
      </c>
      <c r="M53" s="19" t="n">
        <v>109.65</v>
      </c>
      <c r="N53" s="19" t="n">
        <v>109.7</v>
      </c>
      <c r="O53" s="19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107.21</v>
      </c>
      <c r="E56" s="35" t="n">
        <v>107.34</v>
      </c>
      <c r="F56" s="35" t="n">
        <v>107.34</v>
      </c>
      <c r="G56" s="35" t="n">
        <v>107.34</v>
      </c>
      <c r="H56" s="35" t="n">
        <v>107.12</v>
      </c>
      <c r="I56" s="35" t="n">
        <v>192.37</v>
      </c>
      <c r="J56" s="35" t="n">
        <v>107.12</v>
      </c>
      <c r="K56" s="35" t="n">
        <v>107.12</v>
      </c>
      <c r="L56" s="35" t="n">
        <v>107.12</v>
      </c>
      <c r="M56" s="35" t="n">
        <v>109.65</v>
      </c>
      <c r="N56" s="35" t="n">
        <v>109.7</v>
      </c>
      <c r="O56" s="35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19" t="n">
        <v>6916.2</v>
      </c>
      <c r="I57" s="19" t="n">
        <v>6916.2</v>
      </c>
      <c r="J57" s="19" t="n">
        <v>6916.2</v>
      </c>
      <c r="K57" s="19" t="n">
        <v>6916.2</v>
      </c>
      <c r="L57" s="19" t="n">
        <v>6916.2</v>
      </c>
      <c r="M57" s="19" t="n">
        <v>6916.2</v>
      </c>
      <c r="N57" s="19" t="n">
        <v>6916.2</v>
      </c>
      <c r="O57" s="19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31.99</v>
      </c>
      <c r="G58" s="19" t="n">
        <v>31.99</v>
      </c>
      <c r="H58" s="19" t="n">
        <v>31.99</v>
      </c>
      <c r="I58" s="19" t="n">
        <v>31.99</v>
      </c>
      <c r="J58" s="19" t="n">
        <v>31.99</v>
      </c>
      <c r="K58" s="19" t="n">
        <v>31.99</v>
      </c>
      <c r="L58" s="19" t="n">
        <v>31.99</v>
      </c>
      <c r="M58" s="19" t="n">
        <v>31.99</v>
      </c>
      <c r="N58" s="19" t="n">
        <v>31.99</v>
      </c>
      <c r="O58" s="19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s="19" t="n">
        <v>98.68000000000001</v>
      </c>
      <c r="E59" s="19" t="n">
        <v>0</v>
      </c>
      <c r="F59" s="19" t="n">
        <v>0</v>
      </c>
      <c r="G59" s="19" t="n">
        <v>0</v>
      </c>
      <c r="H59" s="19" t="n">
        <v>155.45</v>
      </c>
      <c r="I59" s="19" t="n">
        <v>122.39</v>
      </c>
      <c r="J59" s="19" t="n">
        <v>418.3</v>
      </c>
      <c r="K59" s="19" t="n">
        <v>93.40000000000001</v>
      </c>
      <c r="L59" s="19" t="n">
        <v>83.79000000000001</v>
      </c>
      <c r="M59" s="19" t="n">
        <v>199.79</v>
      </c>
      <c r="N59" s="19" t="n">
        <v>913.28</v>
      </c>
      <c r="O59" s="1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s="19" t="n">
        <v>7602.49</v>
      </c>
      <c r="E60" s="19" t="n">
        <v>1203.41</v>
      </c>
      <c r="F60" s="19" t="n">
        <v>1203.41</v>
      </c>
      <c r="G60" s="19" t="n">
        <v>1203.41</v>
      </c>
      <c r="H60" s="19" t="n">
        <v>1203.41</v>
      </c>
      <c r="I60" s="19" t="n">
        <v>1203.41</v>
      </c>
      <c r="J60" s="19" t="n">
        <v>1203.41</v>
      </c>
      <c r="K60" s="19" t="n">
        <v>1203.41</v>
      </c>
      <c r="L60" s="19" t="n">
        <v>1203.41</v>
      </c>
      <c r="M60" s="19" t="n">
        <v>1203.41</v>
      </c>
      <c r="N60" s="19" t="n">
        <v>1203.41</v>
      </c>
      <c r="O60" s="19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s="35" t="n">
        <v>14871.04</v>
      </c>
      <c r="E61" s="35" t="n">
        <v>8119.61</v>
      </c>
      <c r="F61" s="35" t="n">
        <v>8151.599999999999</v>
      </c>
      <c r="G61" s="35" t="n">
        <v>8151.599999999999</v>
      </c>
      <c r="H61" s="35" t="n">
        <v>8457.049999999999</v>
      </c>
      <c r="I61" s="35" t="n">
        <v>8373.99</v>
      </c>
      <c r="J61" s="35" t="n">
        <v>8569.9</v>
      </c>
      <c r="K61" s="35" t="n">
        <v>8805.07</v>
      </c>
      <c r="L61" s="35" t="n">
        <v>8235.389999999999</v>
      </c>
      <c r="M61" s="35" t="n">
        <v>8351.389999999999</v>
      </c>
      <c r="N61" s="35" t="n">
        <v>9064.879999999999</v>
      </c>
      <c r="O61" s="35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75219.97</v>
      </c>
      <c r="E62" s="35" t="n">
        <v>63462.61999999998</v>
      </c>
      <c r="F62" s="35" t="n">
        <v>66987.79000000001</v>
      </c>
      <c r="G62" s="35" t="n">
        <v>58845.51999999999</v>
      </c>
      <c r="H62" s="35" t="n">
        <v>67706.89999999999</v>
      </c>
      <c r="I62" s="35" t="n">
        <v>64765.81</v>
      </c>
      <c r="J62" s="35" t="n">
        <v>66366.42999999999</v>
      </c>
      <c r="K62" s="35" t="n">
        <v>68959.91</v>
      </c>
      <c r="L62" s="35" t="n">
        <v>63501.45</v>
      </c>
      <c r="M62" s="35" t="n">
        <v>63626.39</v>
      </c>
      <c r="N62" s="35" t="n">
        <v>65482.4</v>
      </c>
      <c r="O62" s="35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21796.65999999999</v>
      </c>
      <c r="E63" s="35" t="n">
        <v>40253.13</v>
      </c>
      <c r="F63" s="35" t="n">
        <v>47115.65000000001</v>
      </c>
      <c r="G63" s="35" t="n">
        <v>49550.13</v>
      </c>
      <c r="H63" s="35" t="n">
        <v>48324.90000000002</v>
      </c>
      <c r="I63" s="35" t="n">
        <v>44905.55</v>
      </c>
      <c r="J63" s="35" t="n">
        <v>45713.62000000002</v>
      </c>
      <c r="K63" s="35" t="n">
        <v>47701.45</v>
      </c>
      <c r="L63" s="35" t="n">
        <v>60062.51999999999</v>
      </c>
      <c r="M63" s="35" t="n">
        <v>44931.51999999999</v>
      </c>
      <c r="N63" s="35" t="n">
        <v>56530.62000000002</v>
      </c>
      <c r="O63" s="35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1842.1</v>
      </c>
      <c r="E65" s="19" t="n">
        <v>1850.23</v>
      </c>
      <c r="F65" s="19" t="n">
        <v>1850.23</v>
      </c>
      <c r="G65" s="19" t="n">
        <v>1853.38</v>
      </c>
      <c r="H65" s="19" t="n">
        <v>1855.96</v>
      </c>
      <c r="I65" s="19" t="n">
        <v>1855.96</v>
      </c>
      <c r="J65" s="19" t="n">
        <v>1855.96</v>
      </c>
      <c r="K65" s="19" t="n">
        <v>1855.96</v>
      </c>
      <c r="L65" s="19" t="n">
        <v>1882.97</v>
      </c>
      <c r="M65" s="19" t="n">
        <v>1882.97</v>
      </c>
      <c r="N65" s="19" t="n">
        <v>1882.97</v>
      </c>
      <c r="O65" s="19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 t="n">
        <v>1833.55</v>
      </c>
      <c r="V65" s="20" t="n">
        <v>1833.55</v>
      </c>
      <c r="W65" s="20" t="n">
        <v>1833.55</v>
      </c>
      <c r="X65" s="20" t="n">
        <v>1833.55</v>
      </c>
      <c r="Y65" s="20" t="n">
        <v>1833.55</v>
      </c>
      <c r="Z65" s="20" t="n">
        <v>1833.55</v>
      </c>
      <c r="AA65" s="20" t="n">
        <v>1833.55</v>
      </c>
      <c r="AB65" s="20" t="n">
        <v>1833.55</v>
      </c>
      <c r="AC65" s="20" t="n">
        <v>1833.55</v>
      </c>
      <c r="AD65" s="20" t="n">
        <v>1833.55</v>
      </c>
      <c r="AE65" s="20" t="n">
        <v>1833.55</v>
      </c>
      <c r="AF65" s="20" t="n">
        <v>1833.55</v>
      </c>
      <c r="AG65" s="20" t="n">
        <v>1833.55</v>
      </c>
      <c r="AH65" s="20" t="n">
        <v>1833.55</v>
      </c>
      <c r="AI65" s="20" t="n">
        <v>1833.55</v>
      </c>
      <c r="AJ65" s="20" t="n">
        <v>1833.55</v>
      </c>
      <c r="AK65" s="20" t="n">
        <v>1833.55</v>
      </c>
      <c r="AL65" s="20" t="n">
        <v>1833.55</v>
      </c>
      <c r="AM65" s="20" t="n">
        <v>1833.55</v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366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1842.1</v>
      </c>
      <c r="E69" s="35" t="n">
        <v>1850.23</v>
      </c>
      <c r="F69" s="35" t="n">
        <v>1850.23</v>
      </c>
      <c r="G69" s="35" t="n">
        <v>2219.38</v>
      </c>
      <c r="H69" s="35" t="n">
        <v>1855.96</v>
      </c>
      <c r="I69" s="35" t="n">
        <v>1855.96</v>
      </c>
      <c r="J69" s="35" t="n">
        <v>1855.96</v>
      </c>
      <c r="K69" s="35" t="n">
        <v>1855.96</v>
      </c>
      <c r="L69" s="35" t="n">
        <v>1882.97</v>
      </c>
      <c r="M69" s="35" t="n">
        <v>1882.97</v>
      </c>
      <c r="N69" s="35" t="n">
        <v>1882.97</v>
      </c>
      <c r="O69" s="35" t="n">
        <v>1483.6</v>
      </c>
      <c r="P69" s="35" t="n">
        <v>1833.55</v>
      </c>
      <c r="Q69" s="35" t="n">
        <v>2392.15</v>
      </c>
      <c r="R69" s="35" t="n">
        <v>1833.55</v>
      </c>
      <c r="S69" s="35" t="n">
        <v>1833.55</v>
      </c>
      <c r="T69" s="85" t="n">
        <v>1833.55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19954.55999999999</v>
      </c>
      <c r="E70" s="35" t="n">
        <v>38402.9</v>
      </c>
      <c r="F70" s="35" t="n">
        <v>45265.42000000001</v>
      </c>
      <c r="G70" s="35" t="n">
        <v>47330.75000000001</v>
      </c>
      <c r="H70" s="35" t="n">
        <v>46468.94000000002</v>
      </c>
      <c r="I70" s="35" t="n">
        <v>43049.59</v>
      </c>
      <c r="J70" s="35" t="n">
        <v>43857.66000000003</v>
      </c>
      <c r="K70" s="35" t="n">
        <v>45845.49</v>
      </c>
      <c r="L70" s="35" t="n">
        <v>58179.54999999999</v>
      </c>
      <c r="M70" s="35" t="n">
        <v>43048.54999999999</v>
      </c>
      <c r="N70" s="35" t="n">
        <v>54647.65000000002</v>
      </c>
      <c r="O70" s="35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X49" activePane="bottomRight" state="frozen"/>
      <selection pane="topRight" activeCell="A1" sqref="A1"/>
      <selection pane="bottomLeft" activeCell="A1" sqref="A1"/>
      <selection pane="bottomRight" activeCell="X65" sqref="X65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Culver City (CC)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42</v>
      </c>
      <c r="L13" s="35" t="n">
        <v>11862.64</v>
      </c>
      <c r="M13" s="35" t="n">
        <v>28057.12</v>
      </c>
      <c r="N13" s="35" t="n">
        <v>27246.69</v>
      </c>
      <c r="O13" s="35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251.2</v>
      </c>
      <c r="M17" s="35" t="n">
        <v>1863.4</v>
      </c>
      <c r="N17" s="35" t="n">
        <v>4989.82</v>
      </c>
      <c r="O17" s="35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-593</v>
      </c>
      <c r="L21" s="35" t="n">
        <v>5189.14</v>
      </c>
      <c r="M21" s="35" t="n">
        <v>27904.72</v>
      </c>
      <c r="N21" s="35" t="n">
        <v>26313.91</v>
      </c>
      <c r="O21" s="35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1.41</v>
      </c>
      <c r="K25" s="35" t="n">
        <v>27.12</v>
      </c>
      <c r="L25" s="35" t="n">
        <v>1110.47</v>
      </c>
      <c r="M25" s="35" t="n">
        <v>2067.53</v>
      </c>
      <c r="N25" s="35" t="n">
        <v>1363.92</v>
      </c>
      <c r="O25" s="3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-1.41</v>
      </c>
      <c r="K26" s="35" t="n">
        <v>-620.12</v>
      </c>
      <c r="L26" s="35" t="n">
        <v>4078.67</v>
      </c>
      <c r="M26" s="35" t="n">
        <v>25837.19000000001</v>
      </c>
      <c r="N26" s="35" t="n">
        <v>24949.99000000001</v>
      </c>
      <c r="O26" s="35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189.72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2508.98</v>
      </c>
      <c r="L33" s="35" t="n">
        <v>3672.01</v>
      </c>
      <c r="M33" s="35" t="n">
        <v>2875.47</v>
      </c>
      <c r="N33" s="35" t="n">
        <v>3126.18</v>
      </c>
      <c r="O33" s="35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15103.08</v>
      </c>
      <c r="M34" s="19" t="n">
        <v>23363.57</v>
      </c>
      <c r="N34" s="19" t="n">
        <v>21188.67</v>
      </c>
      <c r="O34" s="19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360</v>
      </c>
      <c r="N36" s="19" t="n">
        <v>160</v>
      </c>
      <c r="O36" s="19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2107.28</v>
      </c>
      <c r="L38" s="35" t="n">
        <v>23080.28</v>
      </c>
      <c r="M38" s="35" t="n">
        <v>31197.11</v>
      </c>
      <c r="N38" s="35" t="n">
        <v>27596.68</v>
      </c>
      <c r="O38" s="35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800</v>
      </c>
      <c r="L47" s="35" t="n">
        <v>29.87</v>
      </c>
      <c r="M47" s="35" t="n">
        <v>481</v>
      </c>
      <c r="N47" s="35" t="n">
        <v>1248.04</v>
      </c>
      <c r="O47" s="35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1342.56</v>
      </c>
      <c r="M56" s="35" t="n">
        <v>448.45</v>
      </c>
      <c r="N56" s="35" t="n">
        <v>649.47</v>
      </c>
      <c r="O56" s="35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1505.17</v>
      </c>
      <c r="M61" s="35" t="n">
        <v>8192.279999999999</v>
      </c>
      <c r="N61" s="35" t="n">
        <v>8570.49</v>
      </c>
      <c r="O61" s="35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9139.65</v>
      </c>
      <c r="J62" s="35" t="n">
        <v>2529.94</v>
      </c>
      <c r="K62" s="35" t="n">
        <v>9485.01</v>
      </c>
      <c r="L62" s="35" t="n">
        <v>46744.09999999999</v>
      </c>
      <c r="M62" s="35" t="n">
        <v>55681.87</v>
      </c>
      <c r="N62" s="35" t="n">
        <v>45333.77</v>
      </c>
      <c r="O62" s="35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-9139.65</v>
      </c>
      <c r="J63" s="35" t="n">
        <v>-2531.349999999999</v>
      </c>
      <c r="K63" s="35" t="n">
        <v>-10105.13</v>
      </c>
      <c r="L63" s="35" t="n">
        <v>-42665.42999999999</v>
      </c>
      <c r="M63" s="35" t="n">
        <v>-29844.67999999999</v>
      </c>
      <c r="N63" s="35" t="n">
        <v>-20383.77999999999</v>
      </c>
      <c r="O63" s="35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 t="n">
        <v>4691.67</v>
      </c>
      <c r="V65" s="20" t="n">
        <v>4691.67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1124.68</v>
      </c>
      <c r="L69" s="35" t="n">
        <v>4074.81</v>
      </c>
      <c r="M69" s="35" t="n">
        <v>5914.690000000001</v>
      </c>
      <c r="N69" s="35" t="n">
        <v>4441.57</v>
      </c>
      <c r="O69" s="35" t="n">
        <v>1465.71</v>
      </c>
      <c r="P69" s="35" t="n">
        <v>4691.67</v>
      </c>
      <c r="Q69" s="35" t="n">
        <v>5077.36</v>
      </c>
      <c r="R69" s="35" t="n">
        <v>4691.67</v>
      </c>
      <c r="S69" s="35" t="n">
        <v>4691.67</v>
      </c>
      <c r="T69" s="85" t="n">
        <v>4691.67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-9139.65</v>
      </c>
      <c r="J70" s="35" t="n">
        <v>-2531.349999999999</v>
      </c>
      <c r="K70" s="35" t="n">
        <v>-11229.81</v>
      </c>
      <c r="L70" s="35" t="n">
        <v>-46740.23999999999</v>
      </c>
      <c r="M70" s="35" t="n">
        <v>-35759.36999999999</v>
      </c>
      <c r="N70" s="35" t="n">
        <v>-24825.34999999999</v>
      </c>
      <c r="O70" s="35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Danville (DN)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35.45</v>
      </c>
      <c r="I13" s="35" t="n">
        <v>7627.39</v>
      </c>
      <c r="J13" s="35" t="n">
        <v>14532.45</v>
      </c>
      <c r="K13" s="35" t="n">
        <v>14851.59</v>
      </c>
      <c r="L13" s="35" t="n">
        <v>14356.13</v>
      </c>
      <c r="M13" s="35" t="n">
        <v>14183.9</v>
      </c>
      <c r="N13" s="35" t="n">
        <v>13915.95</v>
      </c>
      <c r="O13" s="35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42</v>
      </c>
      <c r="I17" s="35" t="n">
        <v>68.47</v>
      </c>
      <c r="J17" s="35" t="n">
        <v>1259.93</v>
      </c>
      <c r="K17" s="35" t="n">
        <v>2563.2</v>
      </c>
      <c r="L17" s="35" t="n">
        <v>2945.07</v>
      </c>
      <c r="M17" s="35" t="n">
        <v>4099.530000000001</v>
      </c>
      <c r="N17" s="35" t="n">
        <v>4154.15</v>
      </c>
      <c r="O17" s="35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-41</v>
      </c>
      <c r="H21" s="35" t="n">
        <v>-1587.55</v>
      </c>
      <c r="I21" s="35" t="n">
        <v>6400.960000000001</v>
      </c>
      <c r="J21" s="35" t="n">
        <v>10873.68</v>
      </c>
      <c r="K21" s="35" t="n">
        <v>16910.99</v>
      </c>
      <c r="L21" s="35" t="n">
        <v>12236.8</v>
      </c>
      <c r="M21" s="35" t="n">
        <v>13862.23</v>
      </c>
      <c r="N21" s="35" t="n">
        <v>16979.5</v>
      </c>
      <c r="O21" s="35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3.12</v>
      </c>
      <c r="H25" s="35" t="n">
        <v>52.42</v>
      </c>
      <c r="I25" s="35" t="n">
        <v>823.17</v>
      </c>
      <c r="J25" s="35" t="n">
        <v>997.7</v>
      </c>
      <c r="K25" s="35" t="n">
        <v>1008.97</v>
      </c>
      <c r="L25" s="35" t="n">
        <v>929.58</v>
      </c>
      <c r="M25" s="35" t="n">
        <v>904.1799999999999</v>
      </c>
      <c r="N25" s="35" t="n">
        <v>779.23</v>
      </c>
      <c r="O25" s="3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-44.12</v>
      </c>
      <c r="H26" s="35" t="n">
        <v>-1639.97</v>
      </c>
      <c r="I26" s="35" t="n">
        <v>5577.790000000001</v>
      </c>
      <c r="J26" s="35" t="n">
        <v>9875.98</v>
      </c>
      <c r="K26" s="35" t="n">
        <v>15902.02</v>
      </c>
      <c r="L26" s="35" t="n">
        <v>11307.22</v>
      </c>
      <c r="M26" s="35" t="n">
        <v>12958.05</v>
      </c>
      <c r="N26" s="35" t="n">
        <v>16200.27</v>
      </c>
      <c r="O26" s="35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539.55</v>
      </c>
      <c r="H33" s="35" t="n">
        <v>3058.85</v>
      </c>
      <c r="I33" s="35" t="n">
        <v>2836.13</v>
      </c>
      <c r="J33" s="35" t="n">
        <v>2702.41</v>
      </c>
      <c r="K33" s="35" t="n">
        <v>3457.26</v>
      </c>
      <c r="L33" s="35" t="n">
        <v>3872.06</v>
      </c>
      <c r="M33" s="35" t="n">
        <v>5801.02</v>
      </c>
      <c r="N33" s="35" t="n">
        <v>3725.04</v>
      </c>
      <c r="O33" s="35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20660.61</v>
      </c>
      <c r="J34" s="19" t="n">
        <v>21304.96</v>
      </c>
      <c r="K34" s="19" t="n">
        <v>20929.99</v>
      </c>
      <c r="L34" s="19" t="n">
        <v>18278.29</v>
      </c>
      <c r="M34" s="19" t="n">
        <v>16454.66</v>
      </c>
      <c r="N34" s="19" t="n">
        <v>14345.18</v>
      </c>
      <c r="O34" s="19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80</v>
      </c>
      <c r="N36" s="19" t="n">
        <v>40</v>
      </c>
      <c r="O36" s="19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3936.74</v>
      </c>
      <c r="I38" s="35" t="n">
        <v>23622.21</v>
      </c>
      <c r="J38" s="35" t="n">
        <v>24612.38</v>
      </c>
      <c r="K38" s="35" t="n">
        <v>24687.85</v>
      </c>
      <c r="L38" s="35" t="n">
        <v>21756.9</v>
      </c>
      <c r="M38" s="35" t="n">
        <v>19813.41</v>
      </c>
      <c r="N38" s="35" t="n">
        <v>18039.47</v>
      </c>
      <c r="O38" s="35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2286</v>
      </c>
      <c r="G47" s="35" t="n">
        <v>0</v>
      </c>
      <c r="H47" s="35" t="n">
        <v>0</v>
      </c>
      <c r="I47" s="35" t="n">
        <v>0</v>
      </c>
      <c r="J47" s="35" t="n">
        <v>479.1</v>
      </c>
      <c r="K47" s="35" t="n">
        <v>2565.35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1232.4</v>
      </c>
      <c r="J56" s="35" t="n">
        <v>296.34</v>
      </c>
      <c r="K56" s="35" t="n">
        <v>1127.26</v>
      </c>
      <c r="L56" s="35" t="n">
        <v>982.05</v>
      </c>
      <c r="M56" s="35" t="n">
        <v>1063.4</v>
      </c>
      <c r="N56" s="35" t="n">
        <v>793.97</v>
      </c>
      <c r="O56" s="35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-198.25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2038.95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 t="n">
        <v>-198.25</v>
      </c>
      <c r="E61" s="35" t="n">
        <v>-198.25</v>
      </c>
      <c r="F61" s="35" t="n">
        <v>-198.25</v>
      </c>
      <c r="G61" s="35" t="n">
        <v>5734.31</v>
      </c>
      <c r="H61" s="35" t="n">
        <v>5734.31</v>
      </c>
      <c r="I61" s="35" t="n">
        <v>6653.77</v>
      </c>
      <c r="J61" s="35" t="n">
        <v>9447.110000000001</v>
      </c>
      <c r="K61" s="35" t="n">
        <v>8135.52</v>
      </c>
      <c r="L61" s="35" t="n">
        <v>7971.51</v>
      </c>
      <c r="M61" s="35" t="n">
        <v>7479.51</v>
      </c>
      <c r="N61" s="35" t="n">
        <v>8157.77</v>
      </c>
      <c r="O61" s="35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-198.25</v>
      </c>
      <c r="E62" s="35" t="n">
        <v>-65.27000000000001</v>
      </c>
      <c r="F62" s="35" t="n">
        <v>2166.64</v>
      </c>
      <c r="G62" s="35" t="n">
        <v>6472.530000000001</v>
      </c>
      <c r="H62" s="35" t="n">
        <v>19271.13</v>
      </c>
      <c r="I62" s="35" t="n">
        <v>52525.63</v>
      </c>
      <c r="J62" s="35" t="n">
        <v>40882.53</v>
      </c>
      <c r="K62" s="35" t="n">
        <v>43592.21000000001</v>
      </c>
      <c r="L62" s="35" t="n">
        <v>37327.79</v>
      </c>
      <c r="M62" s="35" t="n">
        <v>36358.13</v>
      </c>
      <c r="N62" s="35" t="n">
        <v>33124.05</v>
      </c>
      <c r="O62" s="35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198.25</v>
      </c>
      <c r="E63" s="35" t="n">
        <v>65.27000000000001</v>
      </c>
      <c r="F63" s="35" t="n">
        <v>-2166.64</v>
      </c>
      <c r="G63" s="35" t="n">
        <v>-6516.650000000001</v>
      </c>
      <c r="H63" s="35" t="n">
        <v>-20911.1</v>
      </c>
      <c r="I63" s="35" t="n">
        <v>-46947.84</v>
      </c>
      <c r="J63" s="35" t="n">
        <v>-31006.55</v>
      </c>
      <c r="K63" s="35" t="n">
        <v>-27690.19</v>
      </c>
      <c r="L63" s="35" t="n">
        <v>-26020.57</v>
      </c>
      <c r="M63" s="35" t="n">
        <v>-23400.08000000001</v>
      </c>
      <c r="N63" s="35" t="n">
        <v>-16923.78</v>
      </c>
      <c r="O63" s="35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 t="n">
        <v>3615.45</v>
      </c>
      <c r="V65" s="20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3539.61</v>
      </c>
      <c r="J69" s="35" t="n">
        <v>3629.04</v>
      </c>
      <c r="K69" s="35" t="n">
        <v>3519.23</v>
      </c>
      <c r="L69" s="35" t="n">
        <v>3552.17</v>
      </c>
      <c r="M69" s="35" t="n">
        <v>3587.95</v>
      </c>
      <c r="N69" s="35" t="n">
        <v>3599.54</v>
      </c>
      <c r="O69" s="35" t="n">
        <v>5647.2</v>
      </c>
      <c r="P69" s="35" t="n">
        <v>3615.45</v>
      </c>
      <c r="Q69" s="35" t="n">
        <v>3812.78</v>
      </c>
      <c r="R69" s="35" t="n">
        <v>3615.45</v>
      </c>
      <c r="S69" s="35" t="n">
        <v>3615.45</v>
      </c>
      <c r="T69" s="85" t="n">
        <v>3615.45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198.25</v>
      </c>
      <c r="E70" s="35" t="n">
        <v>65.27000000000001</v>
      </c>
      <c r="F70" s="35" t="n">
        <v>-2166.64</v>
      </c>
      <c r="G70" s="35" t="n">
        <v>-6516.650000000001</v>
      </c>
      <c r="H70" s="35" t="n">
        <v>-20911.1</v>
      </c>
      <c r="I70" s="35" t="n">
        <v>-50487.45</v>
      </c>
      <c r="J70" s="35" t="n">
        <v>-34635.59</v>
      </c>
      <c r="K70" s="35" t="n">
        <v>-31209.42</v>
      </c>
      <c r="L70" s="35" t="n">
        <v>-29572.74</v>
      </c>
      <c r="M70" s="35" t="n">
        <v>-26988.03000000001</v>
      </c>
      <c r="N70" s="35" t="n">
        <v>-20523.32</v>
      </c>
      <c r="O70" s="35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Lafayette (LF)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s="35" t="n">
        <v>58367.58</v>
      </c>
      <c r="E13" s="35" t="n">
        <v>62246.72000000001</v>
      </c>
      <c r="F13" s="35" t="n">
        <v>74664.78</v>
      </c>
      <c r="G13" s="35" t="n">
        <v>73364.77</v>
      </c>
      <c r="H13" s="35" t="n">
        <v>80112.53</v>
      </c>
      <c r="I13" s="35" t="n">
        <v>79611.42999999999</v>
      </c>
      <c r="J13" s="35" t="n">
        <v>68012.62</v>
      </c>
      <c r="K13" s="35" t="n">
        <v>69226.06000000001</v>
      </c>
      <c r="L13" s="35" t="n">
        <v>67491.53</v>
      </c>
      <c r="M13" s="35" t="n">
        <v>69257.8</v>
      </c>
      <c r="N13" s="35" t="n">
        <v>69183.03999999999</v>
      </c>
      <c r="O13" s="35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s="19" t="n">
        <v>9291.620000000001</v>
      </c>
      <c r="E14" s="19" t="n">
        <v>15252.61</v>
      </c>
      <c r="F14" s="19" t="n">
        <v>14273.32</v>
      </c>
      <c r="G14" s="19" t="n">
        <v>12002.23</v>
      </c>
      <c r="H14" s="19" t="n">
        <v>24288.08</v>
      </c>
      <c r="I14" s="19" t="n">
        <v>12711.39</v>
      </c>
      <c r="J14" s="19" t="n">
        <v>13629.15</v>
      </c>
      <c r="K14" s="19" t="n">
        <v>14900.47</v>
      </c>
      <c r="L14" s="19" t="n">
        <v>21340.38</v>
      </c>
      <c r="M14" s="19" t="n">
        <v>15733.55</v>
      </c>
      <c r="N14" s="19" t="n">
        <v>21841</v>
      </c>
      <c r="O14" s="19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955</v>
      </c>
      <c r="F15" s="19" t="n">
        <v>3300</v>
      </c>
      <c r="G15" s="19" t="n">
        <v>1585</v>
      </c>
      <c r="H15" s="19" t="n">
        <v>1095</v>
      </c>
      <c r="I15" s="19" t="n">
        <v>913.33</v>
      </c>
      <c r="J15" s="19" t="n">
        <v>1625</v>
      </c>
      <c r="K15" s="19" t="n">
        <v>640</v>
      </c>
      <c r="L15" s="19" t="n">
        <v>720</v>
      </c>
      <c r="M15" s="19" t="n">
        <v>1335</v>
      </c>
      <c r="N15" s="19" t="n">
        <v>1210</v>
      </c>
      <c r="O15" s="19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47.2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23.6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s="35" t="n">
        <v>9741.620000000001</v>
      </c>
      <c r="E17" s="35" t="n">
        <v>16207.61</v>
      </c>
      <c r="F17" s="35" t="n">
        <v>17620.52</v>
      </c>
      <c r="G17" s="35" t="n">
        <v>13587.23</v>
      </c>
      <c r="H17" s="35" t="n">
        <v>25383.08</v>
      </c>
      <c r="I17" s="35" t="n">
        <v>13624.72</v>
      </c>
      <c r="J17" s="35" t="n">
        <v>17434.15</v>
      </c>
      <c r="K17" s="35" t="n">
        <v>20720.47</v>
      </c>
      <c r="L17" s="35" t="n">
        <v>22083.98</v>
      </c>
      <c r="M17" s="35" t="n">
        <v>17068.55</v>
      </c>
      <c r="N17" s="35" t="n">
        <v>23551</v>
      </c>
      <c r="O17" s="35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s="19" t="n">
        <v>1876</v>
      </c>
      <c r="E18" s="19" t="n">
        <v>2143</v>
      </c>
      <c r="F18" s="19" t="n">
        <v>1703</v>
      </c>
      <c r="G18" s="19" t="n">
        <v>2050</v>
      </c>
      <c r="H18" s="19" t="n">
        <v>2044</v>
      </c>
      <c r="I18" s="19" t="n">
        <v>1890</v>
      </c>
      <c r="J18" s="19" t="n">
        <v>1336</v>
      </c>
      <c r="K18" s="19" t="n">
        <v>996</v>
      </c>
      <c r="L18" s="19" t="n">
        <v>1757</v>
      </c>
      <c r="M18" s="19" t="n">
        <v>1649</v>
      </c>
      <c r="N18" s="19" t="n">
        <v>1241</v>
      </c>
      <c r="O18" s="19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s="19" t="n">
        <v>-3594</v>
      </c>
      <c r="E19" s="19" t="n">
        <v>-295</v>
      </c>
      <c r="F19" s="19" t="n">
        <v>-636</v>
      </c>
      <c r="G19" s="19" t="n">
        <v>-610</v>
      </c>
      <c r="H19" s="19" t="n">
        <v>-311.01</v>
      </c>
      <c r="I19" s="19" t="n">
        <v>-524</v>
      </c>
      <c r="J19" s="19" t="n">
        <v>-1346.01</v>
      </c>
      <c r="K19" s="19" t="n">
        <v>-1098.01</v>
      </c>
      <c r="L19" s="19" t="n">
        <v>-1554</v>
      </c>
      <c r="M19" s="19" t="n">
        <v>-885</v>
      </c>
      <c r="N19" s="19" t="n">
        <v>-1542</v>
      </c>
      <c r="O19" s="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s="19" t="n">
        <v>-7484.26</v>
      </c>
      <c r="E20" s="19" t="n">
        <v>-5545.16</v>
      </c>
      <c r="F20" s="19" t="n">
        <v>-5798.36</v>
      </c>
      <c r="G20" s="19" t="n">
        <v>-8259.959999999999</v>
      </c>
      <c r="H20" s="19" t="n">
        <v>-7102.98</v>
      </c>
      <c r="I20" s="19" t="n">
        <v>-4693.92</v>
      </c>
      <c r="J20" s="19" t="n">
        <v>-4233.36</v>
      </c>
      <c r="K20" s="19" t="n">
        <v>-4134.52</v>
      </c>
      <c r="L20" s="19" t="n">
        <v>-3938.2</v>
      </c>
      <c r="M20" s="19" t="n">
        <v>-4537.16</v>
      </c>
      <c r="N20" s="19" t="n">
        <v>-4159.5</v>
      </c>
      <c r="O20" s="19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84917.64</v>
      </c>
      <c r="E21" s="35" t="n">
        <v>87714.89</v>
      </c>
      <c r="F21" s="35" t="n">
        <v>95273.07000000001</v>
      </c>
      <c r="G21" s="35" t="n">
        <v>83842.64999999999</v>
      </c>
      <c r="H21" s="35" t="n">
        <v>102916.12</v>
      </c>
      <c r="I21" s="35" t="n">
        <v>90516.06</v>
      </c>
      <c r="J21" s="35" t="n">
        <v>81871.39999999999</v>
      </c>
      <c r="K21" s="35" t="n">
        <v>86069.17000000001</v>
      </c>
      <c r="L21" s="35" t="n">
        <v>86278.31</v>
      </c>
      <c r="M21" s="35" t="n">
        <v>82816.69</v>
      </c>
      <c r="N21" s="35" t="n">
        <v>88360.34</v>
      </c>
      <c r="O21" s="35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868</v>
      </c>
      <c r="E23" s="19" t="n">
        <v>1006</v>
      </c>
      <c r="F23" s="19" t="n">
        <v>757.5</v>
      </c>
      <c r="G23" s="19" t="n">
        <v>988.5</v>
      </c>
      <c r="H23" s="19" t="n">
        <v>943</v>
      </c>
      <c r="I23" s="19" t="n">
        <v>786</v>
      </c>
      <c r="J23" s="19" t="n">
        <v>652</v>
      </c>
      <c r="K23" s="19" t="n">
        <v>494.6</v>
      </c>
      <c r="L23" s="19" t="n">
        <v>779.85</v>
      </c>
      <c r="M23" s="19" t="n">
        <v>813.6</v>
      </c>
      <c r="N23" s="19" t="n">
        <v>612.35</v>
      </c>
      <c r="O23" s="19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2780.1</v>
      </c>
      <c r="E24" s="19" t="n">
        <v>2587.14</v>
      </c>
      <c r="F24" s="19" t="n">
        <v>2646.78</v>
      </c>
      <c r="G24" s="19" t="n">
        <v>3783.05</v>
      </c>
      <c r="H24" s="19" t="n">
        <v>2303.02</v>
      </c>
      <c r="I24" s="19" t="n">
        <v>2415.42</v>
      </c>
      <c r="J24" s="19" t="n">
        <v>2043.91</v>
      </c>
      <c r="K24" s="19" t="n">
        <v>2963.76</v>
      </c>
      <c r="L24" s="19" t="n">
        <v>1918.86</v>
      </c>
      <c r="M24" s="19" t="n">
        <v>2196.94</v>
      </c>
      <c r="N24" s="19" t="n">
        <v>2544.83</v>
      </c>
      <c r="O24" s="19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3648.1</v>
      </c>
      <c r="E25" s="35" t="n">
        <v>3593.14</v>
      </c>
      <c r="F25" s="35" t="n">
        <v>3404.28</v>
      </c>
      <c r="G25" s="35" t="n">
        <v>4771.55</v>
      </c>
      <c r="H25" s="35" t="n">
        <v>3246.02</v>
      </c>
      <c r="I25" s="35" t="n">
        <v>3201.42</v>
      </c>
      <c r="J25" s="35" t="n">
        <v>2695.91</v>
      </c>
      <c r="K25" s="35" t="n">
        <v>3458.36</v>
      </c>
      <c r="L25" s="35" t="n">
        <v>2698.71</v>
      </c>
      <c r="M25" s="35" t="n">
        <v>3010.54</v>
      </c>
      <c r="N25" s="35" t="n">
        <v>3157.18</v>
      </c>
      <c r="O25" s="3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81269.53999999999</v>
      </c>
      <c r="E26" s="35" t="n">
        <v>84121.75</v>
      </c>
      <c r="F26" s="35" t="n">
        <v>91868.78999999999</v>
      </c>
      <c r="G26" s="35" t="n">
        <v>79071.09999999999</v>
      </c>
      <c r="H26" s="35" t="n">
        <v>99670.10000000001</v>
      </c>
      <c r="I26" s="35" t="n">
        <v>87314.64</v>
      </c>
      <c r="J26" s="35" t="n">
        <v>79175.48999999999</v>
      </c>
      <c r="K26" s="35" t="n">
        <v>82610.81000000001</v>
      </c>
      <c r="L26" s="35" t="n">
        <v>83579.59999999999</v>
      </c>
      <c r="M26" s="35" t="n">
        <v>79806.15000000001</v>
      </c>
      <c r="N26" s="35" t="n">
        <v>85203.16</v>
      </c>
      <c r="O26" s="35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779.53</v>
      </c>
      <c r="I28" s="19" t="n">
        <v>5394.25</v>
      </c>
      <c r="J28" s="19" t="n">
        <v>2830.72</v>
      </c>
      <c r="K28" s="19" t="n">
        <v>3687.29</v>
      </c>
      <c r="L28" s="19" t="n">
        <v>2385.33</v>
      </c>
      <c r="M28" s="19" t="n">
        <v>2405.57</v>
      </c>
      <c r="N28" s="19" t="n">
        <v>3314.58</v>
      </c>
      <c r="O28" s="19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107.64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3000</v>
      </c>
      <c r="O30" s="19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407.64</v>
      </c>
      <c r="F33" s="35" t="n">
        <v>0</v>
      </c>
      <c r="G33" s="35" t="n">
        <v>0</v>
      </c>
      <c r="H33" s="35" t="n">
        <v>779.53</v>
      </c>
      <c r="I33" s="35" t="n">
        <v>5620.85</v>
      </c>
      <c r="J33" s="35" t="n">
        <v>2830.72</v>
      </c>
      <c r="K33" s="35" t="n">
        <v>3687.29</v>
      </c>
      <c r="L33" s="35" t="n">
        <v>2385.33</v>
      </c>
      <c r="M33" s="35" t="n">
        <v>2405.57</v>
      </c>
      <c r="N33" s="35" t="n">
        <v>6314.58</v>
      </c>
      <c r="O33" s="35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29944.54</v>
      </c>
      <c r="E34" s="19" t="n">
        <v>26611.32</v>
      </c>
      <c r="F34" s="19" t="n">
        <v>27934.63</v>
      </c>
      <c r="G34" s="19" t="n">
        <v>24698.53</v>
      </c>
      <c r="H34" s="19" t="n">
        <v>30351.55</v>
      </c>
      <c r="I34" s="19" t="n">
        <v>32716.72</v>
      </c>
      <c r="J34" s="19" t="n">
        <v>37248.57</v>
      </c>
      <c r="K34" s="19" t="n">
        <v>35381.9</v>
      </c>
      <c r="L34" s="19" t="n">
        <v>51842.92</v>
      </c>
      <c r="M34" s="19" t="n">
        <v>36586.07</v>
      </c>
      <c r="N34" s="19" t="n">
        <v>34746.63</v>
      </c>
      <c r="O34" s="19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s="19" t="n">
        <v>4485.5</v>
      </c>
      <c r="E35" s="19" t="n">
        <v>3456.78</v>
      </c>
      <c r="F35" s="19" t="n">
        <v>3436.32</v>
      </c>
      <c r="G35" s="19" t="n">
        <v>2833.52</v>
      </c>
      <c r="H35" s="19" t="n">
        <v>3415.37</v>
      </c>
      <c r="I35" s="19" t="n">
        <v>3375.32</v>
      </c>
      <c r="J35" s="19" t="n">
        <v>3803.23</v>
      </c>
      <c r="K35" s="19" t="n">
        <v>3476.16</v>
      </c>
      <c r="L35" s="19" t="n">
        <v>5147.97</v>
      </c>
      <c r="M35" s="19" t="n">
        <v>3575.57</v>
      </c>
      <c r="N35" s="19" t="n">
        <v>3408.19</v>
      </c>
      <c r="O35" s="19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-47.67</v>
      </c>
      <c r="F36" s="19" t="n">
        <v>420.7</v>
      </c>
      <c r="G36" s="19" t="n">
        <v>-1124.4</v>
      </c>
      <c r="H36" s="19" t="n">
        <v>-1332.33</v>
      </c>
      <c r="I36" s="19" t="n">
        <v>-1207.57</v>
      </c>
      <c r="J36" s="19" t="n">
        <v>785.1900000000001</v>
      </c>
      <c r="K36" s="19" t="n">
        <v>-882.28</v>
      </c>
      <c r="L36" s="19" t="n">
        <v>-720.7</v>
      </c>
      <c r="M36" s="19" t="n">
        <v>-86.95</v>
      </c>
      <c r="N36" s="19" t="n">
        <v>-5.36</v>
      </c>
      <c r="O36" s="19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s="19" t="n">
        <v>1024.36</v>
      </c>
      <c r="E37" s="19" t="n">
        <v>529.7</v>
      </c>
      <c r="F37" s="19" t="n">
        <v>522.12</v>
      </c>
      <c r="G37" s="19" t="n">
        <v>529.7</v>
      </c>
      <c r="H37" s="19" t="n">
        <v>522.12</v>
      </c>
      <c r="I37" s="19" t="n">
        <v>541.05</v>
      </c>
      <c r="J37" s="19" t="n">
        <v>537.27</v>
      </c>
      <c r="K37" s="19" t="n">
        <v>802.11</v>
      </c>
      <c r="L37" s="19" t="n">
        <v>548.63</v>
      </c>
      <c r="M37" s="19" t="n">
        <v>548.63</v>
      </c>
      <c r="N37" s="19" t="n">
        <v>560</v>
      </c>
      <c r="O37" s="19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s="35" t="n">
        <v>44101.21</v>
      </c>
      <c r="E38" s="35" t="n">
        <v>38460.88</v>
      </c>
      <c r="F38" s="35" t="n">
        <v>40762.14</v>
      </c>
      <c r="G38" s="35" t="n">
        <v>34270.26999999999</v>
      </c>
      <c r="H38" s="35" t="n">
        <v>42400.06</v>
      </c>
      <c r="I38" s="35" t="n">
        <v>42574.16</v>
      </c>
      <c r="J38" s="35" t="n">
        <v>48436.8</v>
      </c>
      <c r="K38" s="35" t="n">
        <v>45545.54000000001</v>
      </c>
      <c r="L38" s="35" t="n">
        <v>66065.75</v>
      </c>
      <c r="M38" s="35" t="n">
        <v>46613.52</v>
      </c>
      <c r="N38" s="35" t="n">
        <v>44835.13</v>
      </c>
      <c r="O38" s="35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773.87</v>
      </c>
      <c r="E39" s="19" t="n">
        <v>803.91</v>
      </c>
      <c r="F39" s="19" t="n">
        <v>593.3</v>
      </c>
      <c r="G39" s="19" t="n">
        <v>1237.3</v>
      </c>
      <c r="H39" s="19" t="n">
        <v>1228</v>
      </c>
      <c r="I39" s="19" t="n">
        <v>430.5</v>
      </c>
      <c r="J39" s="19" t="n">
        <v>854.87</v>
      </c>
      <c r="K39" s="19" t="n">
        <v>1719.77</v>
      </c>
      <c r="L39" s="19" t="n">
        <v>625.99</v>
      </c>
      <c r="M39" s="19" t="n">
        <v>735.08</v>
      </c>
      <c r="N39" s="19" t="n">
        <v>735.08</v>
      </c>
      <c r="O39" s="1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s="19" t="n">
        <v>204.93</v>
      </c>
      <c r="E40" s="19" t="n">
        <v>204.93</v>
      </c>
      <c r="F40" s="19" t="n">
        <v>204.93</v>
      </c>
      <c r="G40" s="19" t="n">
        <v>204.93</v>
      </c>
      <c r="H40" s="19" t="n">
        <v>204.93</v>
      </c>
      <c r="I40" s="19" t="n">
        <v>204.93</v>
      </c>
      <c r="J40" s="19" t="n">
        <v>204.93</v>
      </c>
      <c r="K40" s="19" t="n">
        <v>204.93</v>
      </c>
      <c r="L40" s="19" t="n">
        <v>204.93</v>
      </c>
      <c r="M40" s="19" t="n">
        <v>356.16</v>
      </c>
      <c r="N40" s="19" t="n">
        <v>356.16</v>
      </c>
      <c r="O40" s="19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127.5</v>
      </c>
      <c r="E44" s="19" t="n">
        <v>2047</v>
      </c>
      <c r="F44" s="19" t="n">
        <v>135</v>
      </c>
      <c r="G44" s="19" t="n">
        <v>22.5</v>
      </c>
      <c r="H44" s="19" t="n">
        <v>1272.5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564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s="35" t="n">
        <v>127.5</v>
      </c>
      <c r="E47" s="35" t="n">
        <v>2047</v>
      </c>
      <c r="F47" s="35" t="n">
        <v>135</v>
      </c>
      <c r="G47" s="35" t="n">
        <v>586.5</v>
      </c>
      <c r="H47" s="35" t="n">
        <v>1272.5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44.04</v>
      </c>
      <c r="F49" s="19" t="n">
        <v>38.61</v>
      </c>
      <c r="G49" s="19" t="n">
        <v>0</v>
      </c>
      <c r="H49" s="19" t="n">
        <v>193.63</v>
      </c>
      <c r="I49" s="19" t="n">
        <v>12.5</v>
      </c>
      <c r="J49" s="19" t="n">
        <v>0</v>
      </c>
      <c r="K49" s="19" t="n">
        <v>32.09</v>
      </c>
      <c r="L49" s="19" t="n">
        <v>296.49</v>
      </c>
      <c r="M49" s="19" t="n">
        <v>47.71</v>
      </c>
      <c r="N49" s="19" t="n">
        <v>0</v>
      </c>
      <c r="O49" s="1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495.07</v>
      </c>
      <c r="E51" s="19" t="n">
        <v>495.07</v>
      </c>
      <c r="F51" s="19" t="n">
        <v>510.48</v>
      </c>
      <c r="G51" s="19" t="n">
        <v>407.22</v>
      </c>
      <c r="H51" s="19" t="n">
        <v>422.2</v>
      </c>
      <c r="I51" s="19" t="n">
        <v>542.4400000000001</v>
      </c>
      <c r="J51" s="19" t="n">
        <v>584.33</v>
      </c>
      <c r="K51" s="19" t="n">
        <v>605.97</v>
      </c>
      <c r="L51" s="19" t="n">
        <v>1140.1</v>
      </c>
      <c r="M51" s="19" t="n">
        <v>552.11</v>
      </c>
      <c r="N51" s="19" t="n">
        <v>442.93</v>
      </c>
      <c r="O51" s="19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s="19" t="n">
        <v>69.75</v>
      </c>
      <c r="E53" s="19" t="n">
        <v>69.75</v>
      </c>
      <c r="F53" s="19" t="n">
        <v>66.97</v>
      </c>
      <c r="G53" s="19" t="n">
        <v>66.95999999999999</v>
      </c>
      <c r="H53" s="19" t="n">
        <v>66.75</v>
      </c>
      <c r="I53" s="19" t="n">
        <v>66.75</v>
      </c>
      <c r="J53" s="19" t="n">
        <v>66.73999999999999</v>
      </c>
      <c r="K53" s="19" t="n">
        <v>66.73999999999999</v>
      </c>
      <c r="L53" s="19" t="n">
        <v>67.06999999999999</v>
      </c>
      <c r="M53" s="19" t="n">
        <v>67.09999999999999</v>
      </c>
      <c r="N53" s="19" t="n">
        <v>49.1</v>
      </c>
      <c r="O53" s="19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390.15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362.25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705.65</v>
      </c>
      <c r="E56" s="35" t="n">
        <v>1178.46</v>
      </c>
      <c r="F56" s="35" t="n">
        <v>715.8900000000001</v>
      </c>
      <c r="G56" s="35" t="n">
        <v>767.48</v>
      </c>
      <c r="H56" s="35" t="n">
        <v>792.45</v>
      </c>
      <c r="I56" s="35" t="n">
        <v>912.6900000000001</v>
      </c>
      <c r="J56" s="35" t="n">
        <v>954.5700000000001</v>
      </c>
      <c r="K56" s="35" t="n">
        <v>976.21</v>
      </c>
      <c r="L56" s="35" t="n">
        <v>1510.67</v>
      </c>
      <c r="M56" s="35" t="n">
        <v>922.71</v>
      </c>
      <c r="N56" s="35" t="n">
        <v>1185.68</v>
      </c>
      <c r="O56" s="35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19" t="n">
        <v>7977.11</v>
      </c>
      <c r="I57" s="19" t="n">
        <v>7977.11</v>
      </c>
      <c r="J57" s="19" t="n">
        <v>7977.11</v>
      </c>
      <c r="K57" s="19" t="n">
        <v>7977.11</v>
      </c>
      <c r="L57" s="19" t="n">
        <v>7977.11</v>
      </c>
      <c r="M57" s="19" t="n">
        <v>7977.11</v>
      </c>
      <c r="N57" s="19" t="n">
        <v>7977.11</v>
      </c>
      <c r="O57" s="19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18.84</v>
      </c>
      <c r="E59" s="19" t="n">
        <v>0</v>
      </c>
      <c r="F59" s="19" t="n">
        <v>83</v>
      </c>
      <c r="G59" s="19" t="n">
        <v>0</v>
      </c>
      <c r="H59" s="19" t="n">
        <v>208.54</v>
      </c>
      <c r="I59" s="19" t="n">
        <v>32.44</v>
      </c>
      <c r="J59" s="19" t="n">
        <v>57.56</v>
      </c>
      <c r="K59" s="19" t="n">
        <v>148.23</v>
      </c>
      <c r="L59" s="19" t="n">
        <v>120.44</v>
      </c>
      <c r="M59" s="19" t="n">
        <v>179.17</v>
      </c>
      <c r="N59" s="19" t="n">
        <v>65.73999999999999</v>
      </c>
      <c r="O59" s="1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s="19" t="n">
        <v>8445.57</v>
      </c>
      <c r="E60" s="19" t="n">
        <v>2889.56</v>
      </c>
      <c r="F60" s="19" t="n">
        <v>2889.56</v>
      </c>
      <c r="G60" s="19" t="n">
        <v>2889.56</v>
      </c>
      <c r="H60" s="19" t="n">
        <v>3082.94</v>
      </c>
      <c r="I60" s="19" t="n">
        <v>2889.56</v>
      </c>
      <c r="J60" s="19" t="n">
        <v>2889.56</v>
      </c>
      <c r="K60" s="19" t="n">
        <v>3238.93</v>
      </c>
      <c r="L60" s="19" t="n">
        <v>2889.56</v>
      </c>
      <c r="M60" s="19" t="n">
        <v>2889.56</v>
      </c>
      <c r="N60" s="19" t="n">
        <v>2889.56</v>
      </c>
      <c r="O60" s="19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s="35" t="n">
        <v>16441.52</v>
      </c>
      <c r="E61" s="35" t="n">
        <v>10866.67</v>
      </c>
      <c r="F61" s="35" t="n">
        <v>10949.67</v>
      </c>
      <c r="G61" s="35" t="n">
        <v>11061.51</v>
      </c>
      <c r="H61" s="35" t="n">
        <v>11268.59</v>
      </c>
      <c r="I61" s="35" t="n">
        <v>10899.11</v>
      </c>
      <c r="J61" s="35" t="n">
        <v>10924.23</v>
      </c>
      <c r="K61" s="35" t="n">
        <v>11750.48</v>
      </c>
      <c r="L61" s="35" t="n">
        <v>10987.11</v>
      </c>
      <c r="M61" s="35" t="n">
        <v>11045.84</v>
      </c>
      <c r="N61" s="35" t="n">
        <v>10932.41</v>
      </c>
      <c r="O61" s="35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63363.81</v>
      </c>
      <c r="E62" s="35" t="n">
        <v>55183.9</v>
      </c>
      <c r="F62" s="35" t="n">
        <v>54273.73</v>
      </c>
      <c r="G62" s="35" t="n">
        <v>48952.3</v>
      </c>
      <c r="H62" s="35" t="n">
        <v>58679.31</v>
      </c>
      <c r="I62" s="35" t="n">
        <v>61128.18</v>
      </c>
      <c r="J62" s="35" t="n">
        <v>64992.52</v>
      </c>
      <c r="K62" s="35" t="n">
        <v>66587.66</v>
      </c>
      <c r="L62" s="35" t="n">
        <v>83147.96000000001</v>
      </c>
      <c r="M62" s="35" t="n">
        <v>63262.3</v>
      </c>
      <c r="N62" s="35" t="n">
        <v>65438.67</v>
      </c>
      <c r="O62" s="35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17905.73</v>
      </c>
      <c r="E63" s="35" t="n">
        <v>28937.85</v>
      </c>
      <c r="F63" s="35" t="n">
        <v>37595.06000000001</v>
      </c>
      <c r="G63" s="35" t="n">
        <v>30118.8</v>
      </c>
      <c r="H63" s="35" t="n">
        <v>40990.79000000001</v>
      </c>
      <c r="I63" s="35" t="n">
        <v>26186.46</v>
      </c>
      <c r="J63" s="35" t="n">
        <v>14182.96999999999</v>
      </c>
      <c r="K63" s="35" t="n">
        <v>16023.15000000001</v>
      </c>
      <c r="L63" s="35" t="n">
        <v>431.6399999999849</v>
      </c>
      <c r="M63" s="35" t="n">
        <v>16543.85000000001</v>
      </c>
      <c r="N63" s="35" t="n">
        <v>19764.49000000001</v>
      </c>
      <c r="O63" s="35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5752.95</v>
      </c>
      <c r="E65" s="19" t="n">
        <v>5752.95</v>
      </c>
      <c r="F65" s="19" t="n">
        <v>5752.95</v>
      </c>
      <c r="G65" s="19" t="n">
        <v>5752.95</v>
      </c>
      <c r="H65" s="19" t="n">
        <v>5755.1</v>
      </c>
      <c r="I65" s="19" t="n">
        <v>5755.1</v>
      </c>
      <c r="J65" s="19" t="n">
        <v>5755.1</v>
      </c>
      <c r="K65" s="19" t="n">
        <v>5755.1</v>
      </c>
      <c r="L65" s="19" t="n">
        <v>5755.1</v>
      </c>
      <c r="M65" s="19" t="n">
        <v>5755.1</v>
      </c>
      <c r="N65" s="19" t="n">
        <v>5755.1</v>
      </c>
      <c r="O65" s="19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 t="n">
        <v>4879.31</v>
      </c>
      <c r="V65" s="20" t="n">
        <v>4879.31</v>
      </c>
      <c r="W65" s="20" t="n">
        <v>4879.31</v>
      </c>
      <c r="X65" s="20" t="n">
        <v>4879.31</v>
      </c>
      <c r="Y65" s="20" t="n">
        <v>4879.31</v>
      </c>
      <c r="Z65" s="20" t="n">
        <v>4879.31</v>
      </c>
      <c r="AA65" s="20" t="n">
        <v>4879.31</v>
      </c>
      <c r="AB65" s="20" t="n">
        <v>4879.31</v>
      </c>
      <c r="AC65" s="20" t="n">
        <v>4879.31</v>
      </c>
      <c r="AD65" s="20" t="n">
        <v>4879.31</v>
      </c>
      <c r="AE65" s="20" t="n">
        <v>4879.31</v>
      </c>
      <c r="AF65" s="20" t="n">
        <v>4879.31</v>
      </c>
      <c r="AG65" s="20" t="n">
        <v>4879.31</v>
      </c>
      <c r="AH65" s="20" t="n">
        <v>4879.31</v>
      </c>
      <c r="AI65" s="20" t="n">
        <v>4879.31</v>
      </c>
      <c r="AJ65" s="20" t="n">
        <v>4879.31</v>
      </c>
      <c r="AK65" s="20" t="n">
        <v>4879.31</v>
      </c>
      <c r="AL65" s="20" t="n">
        <v>4879.31</v>
      </c>
      <c r="AM65" s="20" t="n">
        <v>4879.31</v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1016.12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5752.95</v>
      </c>
      <c r="E69" s="35" t="n">
        <v>5752.95</v>
      </c>
      <c r="F69" s="35" t="n">
        <v>5752.95</v>
      </c>
      <c r="G69" s="35" t="n">
        <v>5752.95</v>
      </c>
      <c r="H69" s="35" t="n">
        <v>5755.1</v>
      </c>
      <c r="I69" s="35" t="n">
        <v>5755.1</v>
      </c>
      <c r="J69" s="35" t="n">
        <v>5755.1</v>
      </c>
      <c r="K69" s="35" t="n">
        <v>5755.1</v>
      </c>
      <c r="L69" s="35" t="n">
        <v>5755.1</v>
      </c>
      <c r="M69" s="35" t="n">
        <v>8168.85</v>
      </c>
      <c r="N69" s="35" t="n">
        <v>7152.73</v>
      </c>
      <c r="O69" s="35" t="n">
        <v>-4232.47</v>
      </c>
      <c r="P69" s="35" t="n">
        <v>6276.940000000001</v>
      </c>
      <c r="Q69" s="35" t="n">
        <v>6705.830000000001</v>
      </c>
      <c r="R69" s="35" t="n">
        <v>6276.940000000001</v>
      </c>
      <c r="S69" s="35" t="n">
        <v>7674.530000000001</v>
      </c>
      <c r="T69" s="85" t="n">
        <v>4879.31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12152.78</v>
      </c>
      <c r="E70" s="35" t="n">
        <v>23184.9</v>
      </c>
      <c r="F70" s="35" t="n">
        <v>31842.11000000001</v>
      </c>
      <c r="G70" s="35" t="n">
        <v>24365.84999999999</v>
      </c>
      <c r="H70" s="35" t="n">
        <v>35235.69000000001</v>
      </c>
      <c r="I70" s="35" t="n">
        <v>20431.36</v>
      </c>
      <c r="J70" s="35" t="n">
        <v>8427.869999999986</v>
      </c>
      <c r="K70" s="35" t="n">
        <v>10268.05000000001</v>
      </c>
      <c r="L70" s="35" t="n">
        <v>-5323.460000000015</v>
      </c>
      <c r="M70" s="35" t="n">
        <v>8375.000000000005</v>
      </c>
      <c r="N70" s="35" t="n">
        <v>12611.76000000001</v>
      </c>
      <c r="O70" s="35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Marin (MR)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s="35" t="n">
        <v>15363.68</v>
      </c>
      <c r="E13" s="35" t="n">
        <v>14220.89</v>
      </c>
      <c r="F13" s="35" t="n">
        <v>16371.05</v>
      </c>
      <c r="G13" s="35" t="n">
        <v>17328.61</v>
      </c>
      <c r="H13" s="35" t="n">
        <v>49463.12</v>
      </c>
      <c r="I13" s="35" t="n">
        <v>65604.67999999999</v>
      </c>
      <c r="J13" s="35" t="n">
        <v>67013.65999999999</v>
      </c>
      <c r="K13" s="35" t="n">
        <v>73711.20999999999</v>
      </c>
      <c r="L13" s="35" t="n">
        <v>77837.56</v>
      </c>
      <c r="M13" s="35" t="n">
        <v>78925.55</v>
      </c>
      <c r="N13" s="35" t="n">
        <v>75532.75999999999</v>
      </c>
      <c r="O13" s="35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1190</v>
      </c>
      <c r="G17" s="35" t="n">
        <v>1440</v>
      </c>
      <c r="H17" s="35" t="n">
        <v>6154.59</v>
      </c>
      <c r="I17" s="35" t="n">
        <v>18776.83</v>
      </c>
      <c r="J17" s="35" t="n">
        <v>17074.58</v>
      </c>
      <c r="K17" s="35" t="n">
        <v>18232.83</v>
      </c>
      <c r="L17" s="35" t="n">
        <v>33170.66</v>
      </c>
      <c r="M17" s="35" t="n">
        <v>23134.85</v>
      </c>
      <c r="N17" s="35" t="n">
        <v>38820.27</v>
      </c>
      <c r="O17" s="35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15363.68</v>
      </c>
      <c r="E21" s="35" t="n">
        <v>13623.89</v>
      </c>
      <c r="F21" s="35" t="n">
        <v>17561.05</v>
      </c>
      <c r="G21" s="35" t="n">
        <v>17301.51</v>
      </c>
      <c r="H21" s="35" t="n">
        <v>50403.35000000001</v>
      </c>
      <c r="I21" s="35" t="n">
        <v>77670.00999999999</v>
      </c>
      <c r="J21" s="35" t="n">
        <v>81210.12</v>
      </c>
      <c r="K21" s="35" t="n">
        <v>87074.56999999999</v>
      </c>
      <c r="L21" s="35" t="n">
        <v>106901.68</v>
      </c>
      <c r="M21" s="35" t="n">
        <v>94929.2</v>
      </c>
      <c r="N21" s="35" t="n">
        <v>113680.3</v>
      </c>
      <c r="O21" s="35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4862.31</v>
      </c>
      <c r="E25" s="35" t="n">
        <v>3411.93</v>
      </c>
      <c r="F25" s="35" t="n">
        <v>4208.5</v>
      </c>
      <c r="G25" s="35" t="n">
        <v>5767.07</v>
      </c>
      <c r="H25" s="35" t="n">
        <v>4812.87</v>
      </c>
      <c r="I25" s="35" t="n">
        <v>5464.04</v>
      </c>
      <c r="J25" s="35" t="n">
        <v>4971.98</v>
      </c>
      <c r="K25" s="35" t="n">
        <v>6258.74</v>
      </c>
      <c r="L25" s="35" t="n">
        <v>4907.01</v>
      </c>
      <c r="M25" s="35" t="n">
        <v>5149.85</v>
      </c>
      <c r="N25" s="35" t="n">
        <v>4182.76</v>
      </c>
      <c r="O25" s="3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10501.37</v>
      </c>
      <c r="E26" s="35" t="n">
        <v>10211.96</v>
      </c>
      <c r="F26" s="35" t="n">
        <v>13352.55</v>
      </c>
      <c r="G26" s="35" t="n">
        <v>11534.44</v>
      </c>
      <c r="H26" s="35" t="n">
        <v>45590.48</v>
      </c>
      <c r="I26" s="35" t="n">
        <v>72205.97</v>
      </c>
      <c r="J26" s="35" t="n">
        <v>76238.14</v>
      </c>
      <c r="K26" s="35" t="n">
        <v>80815.82999999999</v>
      </c>
      <c r="L26" s="35" t="n">
        <v>101994.67</v>
      </c>
      <c r="M26" s="35" t="n">
        <v>89779.34999999999</v>
      </c>
      <c r="N26" s="35" t="n">
        <v>109497.54</v>
      </c>
      <c r="O26" s="35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300</v>
      </c>
      <c r="F33" s="35" t="n">
        <v>0</v>
      </c>
      <c r="G33" s="35" t="n">
        <v>0</v>
      </c>
      <c r="H33" s="35" t="n">
        <v>122.35</v>
      </c>
      <c r="I33" s="35" t="n">
        <v>3050</v>
      </c>
      <c r="J33" s="35" t="n">
        <v>300</v>
      </c>
      <c r="K33" s="35" t="n">
        <v>1193.02</v>
      </c>
      <c r="L33" s="35" t="n">
        <v>2274.45</v>
      </c>
      <c r="M33" s="35" t="n">
        <v>2513.09</v>
      </c>
      <c r="N33" s="35" t="n">
        <v>3262.57</v>
      </c>
      <c r="O33" s="35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33192.43</v>
      </c>
      <c r="E34" s="19" t="n">
        <v>30022.01</v>
      </c>
      <c r="F34" s="19" t="n">
        <v>39422.6</v>
      </c>
      <c r="G34" s="19" t="n">
        <v>35338.46</v>
      </c>
      <c r="H34" s="19" t="n">
        <v>36528.19</v>
      </c>
      <c r="I34" s="19" t="n">
        <v>32952.35</v>
      </c>
      <c r="J34" s="19" t="n">
        <v>34758.69</v>
      </c>
      <c r="K34" s="19" t="n">
        <v>35609.26</v>
      </c>
      <c r="L34" s="19" t="n">
        <v>20787.67</v>
      </c>
      <c r="M34" s="19" t="n">
        <v>41410.95</v>
      </c>
      <c r="N34" s="19" t="n">
        <v>34017.92</v>
      </c>
      <c r="O34" s="19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s="19" t="n">
        <v>934.54</v>
      </c>
      <c r="E36" s="19" t="n">
        <v>1100.9</v>
      </c>
      <c r="F36" s="19" t="n">
        <v>1039.58</v>
      </c>
      <c r="G36" s="19" t="n">
        <v>1590.02</v>
      </c>
      <c r="H36" s="19" t="n">
        <v>1087.54</v>
      </c>
      <c r="I36" s="19" t="n">
        <v>579.71</v>
      </c>
      <c r="J36" s="19" t="n">
        <v>469.46</v>
      </c>
      <c r="K36" s="19" t="n">
        <v>469.46</v>
      </c>
      <c r="L36" s="19" t="n">
        <v>511.46</v>
      </c>
      <c r="M36" s="19" t="n">
        <v>434.46</v>
      </c>
      <c r="N36" s="19" t="n">
        <v>80</v>
      </c>
      <c r="O36" s="19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 t="n">
        <v>50159.92000000001</v>
      </c>
      <c r="E38" s="35" t="n">
        <v>43062.48</v>
      </c>
      <c r="F38" s="35" t="n">
        <v>54430.84</v>
      </c>
      <c r="G38" s="35" t="n">
        <v>48397.78</v>
      </c>
      <c r="H38" s="35" t="n">
        <v>51810.01</v>
      </c>
      <c r="I38" s="35" t="n">
        <v>46404.53999999999</v>
      </c>
      <c r="J38" s="35" t="n">
        <v>48413.25999999999</v>
      </c>
      <c r="K38" s="35" t="n">
        <v>49354.3</v>
      </c>
      <c r="L38" s="35" t="n">
        <v>28680.30999999999</v>
      </c>
      <c r="M38" s="35" t="n">
        <v>55639.53999999999</v>
      </c>
      <c r="N38" s="35" t="n">
        <v>47061.35999999999</v>
      </c>
      <c r="O38" s="35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36</v>
      </c>
      <c r="H47" s="35" t="n">
        <v>1250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s="19" t="n">
        <v>190.53</v>
      </c>
      <c r="E49" s="19" t="n">
        <v>511.56</v>
      </c>
      <c r="F49" s="19" t="n">
        <v>100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85.59999999999999</v>
      </c>
      <c r="E56" s="35" t="n">
        <v>85.59999999999999</v>
      </c>
      <c r="F56" s="35" t="n">
        <v>85.59999999999999</v>
      </c>
      <c r="G56" s="35" t="n">
        <v>85.59999999999999</v>
      </c>
      <c r="H56" s="35" t="n">
        <v>85.59999999999999</v>
      </c>
      <c r="I56" s="35" t="n">
        <v>85.59999999999999</v>
      </c>
      <c r="J56" s="35" t="n">
        <v>85.59999999999999</v>
      </c>
      <c r="K56" s="35" t="n">
        <v>85.59999999999999</v>
      </c>
      <c r="L56" s="35" t="n">
        <v>85.59999999999999</v>
      </c>
      <c r="M56" s="35" t="n">
        <v>85.59999999999999</v>
      </c>
      <c r="N56" s="35" t="n">
        <v>229.21</v>
      </c>
      <c r="O56" s="35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 t="n">
        <v>12632.81</v>
      </c>
      <c r="E61" s="35" t="n">
        <v>12632.81</v>
      </c>
      <c r="F61" s="35" t="n">
        <v>12832.81</v>
      </c>
      <c r="G61" s="35" t="n">
        <v>13021.81</v>
      </c>
      <c r="H61" s="35" t="n">
        <v>12728.52</v>
      </c>
      <c r="I61" s="35" t="n">
        <v>13547.39</v>
      </c>
      <c r="J61" s="35" t="n">
        <v>12878.88</v>
      </c>
      <c r="K61" s="35" t="n">
        <v>14501.79</v>
      </c>
      <c r="L61" s="35" t="n">
        <v>13510.89</v>
      </c>
      <c r="M61" s="35" t="n">
        <v>12918.6</v>
      </c>
      <c r="N61" s="35" t="n">
        <v>13547.58</v>
      </c>
      <c r="O61" s="35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66535.75999999999</v>
      </c>
      <c r="E62" s="35" t="n">
        <v>59601.66</v>
      </c>
      <c r="F62" s="35" t="n">
        <v>70536.41</v>
      </c>
      <c r="G62" s="35" t="n">
        <v>64426.59</v>
      </c>
      <c r="H62" s="35" t="n">
        <v>68082.12</v>
      </c>
      <c r="I62" s="35" t="n">
        <v>64646.90999999999</v>
      </c>
      <c r="J62" s="35" t="n">
        <v>63635.20999999999</v>
      </c>
      <c r="K62" s="35" t="n">
        <v>68840.59</v>
      </c>
      <c r="L62" s="35" t="n">
        <v>48053.75999999998</v>
      </c>
      <c r="M62" s="35" t="n">
        <v>74028.64</v>
      </c>
      <c r="N62" s="35" t="n">
        <v>66627.58999999998</v>
      </c>
      <c r="O62" s="35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-56034.39</v>
      </c>
      <c r="E63" s="35" t="n">
        <v>-49389.7</v>
      </c>
      <c r="F63" s="35" t="n">
        <v>-57183.86</v>
      </c>
      <c r="G63" s="35" t="n">
        <v>-52892.14999999999</v>
      </c>
      <c r="H63" s="35" t="n">
        <v>-22491.63999999999</v>
      </c>
      <c r="I63" s="35" t="n">
        <v>7559.060000000012</v>
      </c>
      <c r="J63" s="35" t="n">
        <v>12602.93000000001</v>
      </c>
      <c r="K63" s="35" t="n">
        <v>11975.23999999999</v>
      </c>
      <c r="L63" s="35" t="n">
        <v>53940.91000000002</v>
      </c>
      <c r="M63" s="35" t="n">
        <v>15750.70999999999</v>
      </c>
      <c r="N63" s="35" t="n">
        <v>42869.95000000003</v>
      </c>
      <c r="O63" s="35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 t="n">
        <v>2726.68</v>
      </c>
      <c r="V65" s="20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2839.96</v>
      </c>
      <c r="E69" s="35" t="n">
        <v>2857.96</v>
      </c>
      <c r="F69" s="35" t="n">
        <v>2857.96</v>
      </c>
      <c r="G69" s="35" t="n">
        <v>2857.96</v>
      </c>
      <c r="H69" s="35" t="n">
        <v>2860.18</v>
      </c>
      <c r="I69" s="35" t="n">
        <v>2860.18</v>
      </c>
      <c r="J69" s="35" t="n">
        <v>2860.18</v>
      </c>
      <c r="K69" s="35" t="n">
        <v>2860.18</v>
      </c>
      <c r="L69" s="35" t="n">
        <v>2860.18</v>
      </c>
      <c r="M69" s="35" t="n">
        <v>3543.56</v>
      </c>
      <c r="N69" s="35" t="n">
        <v>4226.93</v>
      </c>
      <c r="O69" s="35" t="n">
        <v>2491.5</v>
      </c>
      <c r="P69" s="35" t="n">
        <v>4093.43</v>
      </c>
      <c r="Q69" s="35" t="n">
        <v>4673.61</v>
      </c>
      <c r="R69" s="35" t="n">
        <v>4093.43</v>
      </c>
      <c r="S69" s="35" t="n">
        <v>6143.549999999999</v>
      </c>
      <c r="T69" s="85" t="n">
        <v>2726.68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-58874.35</v>
      </c>
      <c r="E70" s="35" t="n">
        <v>-52247.66</v>
      </c>
      <c r="F70" s="35" t="n">
        <v>-60041.82</v>
      </c>
      <c r="G70" s="35" t="n">
        <v>-55750.10999999999</v>
      </c>
      <c r="H70" s="35" t="n">
        <v>-25351.81999999999</v>
      </c>
      <c r="I70" s="35" t="n">
        <v>4698.880000000012</v>
      </c>
      <c r="J70" s="35" t="n">
        <v>9742.750000000007</v>
      </c>
      <c r="K70" s="35" t="n">
        <v>9115.05999999999</v>
      </c>
      <c r="L70" s="35" t="n">
        <v>51080.73000000002</v>
      </c>
      <c r="M70" s="35" t="n">
        <v>12207.14999999999</v>
      </c>
      <c r="N70" s="35" t="n">
        <v>38643.02000000003</v>
      </c>
      <c r="O70" s="35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Ocean Park (OP)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75</v>
      </c>
      <c r="F13" s="35" t="n">
        <v>70</v>
      </c>
      <c r="G13" s="35" t="n">
        <v>23542.87</v>
      </c>
      <c r="H13" s="35" t="n">
        <v>45987.8</v>
      </c>
      <c r="I13" s="35" t="n">
        <v>49220.68</v>
      </c>
      <c r="J13" s="35" t="n">
        <v>59034.99999999999</v>
      </c>
      <c r="K13" s="35" t="n">
        <v>56395.46</v>
      </c>
      <c r="L13" s="35" t="n">
        <v>50994.8</v>
      </c>
      <c r="M13" s="35" t="n">
        <v>50136.2</v>
      </c>
      <c r="N13" s="35" t="n">
        <v>49858.5</v>
      </c>
      <c r="O13" s="35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99</v>
      </c>
      <c r="H17" s="35" t="n">
        <v>4310.92</v>
      </c>
      <c r="I17" s="35" t="n">
        <v>5911.12</v>
      </c>
      <c r="J17" s="35" t="n">
        <v>7408.27</v>
      </c>
      <c r="K17" s="35" t="n">
        <v>9711.309999999999</v>
      </c>
      <c r="L17" s="35" t="n">
        <v>8511.18</v>
      </c>
      <c r="M17" s="35" t="n">
        <v>9934.91</v>
      </c>
      <c r="N17" s="35" t="n">
        <v>10507.38</v>
      </c>
      <c r="O17" s="35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75</v>
      </c>
      <c r="F21" s="35" t="n">
        <v>-770</v>
      </c>
      <c r="G21" s="35" t="n">
        <v>12609.02</v>
      </c>
      <c r="H21" s="35" t="n">
        <v>40940.40999999999</v>
      </c>
      <c r="I21" s="35" t="n">
        <v>48387</v>
      </c>
      <c r="J21" s="35" t="n">
        <v>57029.26999999999</v>
      </c>
      <c r="K21" s="35" t="n">
        <v>61238.17000000001</v>
      </c>
      <c r="L21" s="35" t="n">
        <v>56299.56999999999</v>
      </c>
      <c r="M21" s="35" t="n">
        <v>55206.21</v>
      </c>
      <c r="N21" s="35" t="n">
        <v>55795.78000000001</v>
      </c>
      <c r="O21" s="35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9.359999999999999</v>
      </c>
      <c r="G25" s="35" t="n">
        <v>1685.24</v>
      </c>
      <c r="H25" s="35" t="n">
        <v>2106.65</v>
      </c>
      <c r="I25" s="35" t="n">
        <v>2199.54</v>
      </c>
      <c r="J25" s="35" t="n">
        <v>2587.61</v>
      </c>
      <c r="K25" s="35" t="n">
        <v>2556.84</v>
      </c>
      <c r="L25" s="35" t="n">
        <v>1966.76</v>
      </c>
      <c r="M25" s="35" t="n">
        <v>1748.16</v>
      </c>
      <c r="N25" s="35" t="n">
        <v>2432.23</v>
      </c>
      <c r="O25" s="3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75</v>
      </c>
      <c r="F26" s="35" t="n">
        <v>-779.36</v>
      </c>
      <c r="G26" s="35" t="n">
        <v>10923.78</v>
      </c>
      <c r="H26" s="35" t="n">
        <v>38833.75999999999</v>
      </c>
      <c r="I26" s="35" t="n">
        <v>46187.46</v>
      </c>
      <c r="J26" s="35" t="n">
        <v>54441.65999999999</v>
      </c>
      <c r="K26" s="35" t="n">
        <v>58681.33</v>
      </c>
      <c r="L26" s="35" t="n">
        <v>54332.80999999999</v>
      </c>
      <c r="M26" s="35" t="n">
        <v>53458.05</v>
      </c>
      <c r="N26" s="35" t="n">
        <v>53363.55</v>
      </c>
      <c r="O26" s="35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1725.84</v>
      </c>
      <c r="G33" s="35" t="n">
        <v>2925.87</v>
      </c>
      <c r="H33" s="35" t="n">
        <v>1785.72</v>
      </c>
      <c r="I33" s="35" t="n">
        <v>5557.44</v>
      </c>
      <c r="J33" s="35" t="n">
        <v>3065.41</v>
      </c>
      <c r="K33" s="35" t="n">
        <v>4177.75</v>
      </c>
      <c r="L33" s="35" t="n">
        <v>2780.35</v>
      </c>
      <c r="M33" s="35" t="n">
        <v>2878.99</v>
      </c>
      <c r="N33" s="35" t="n">
        <v>3452.7</v>
      </c>
      <c r="O33" s="35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1127.14</v>
      </c>
      <c r="F34" s="19" t="n">
        <v>3090.03</v>
      </c>
      <c r="G34" s="19" t="n">
        <v>20278.52</v>
      </c>
      <c r="H34" s="19" t="n">
        <v>33057.68</v>
      </c>
      <c r="I34" s="19" t="n">
        <v>34887.56</v>
      </c>
      <c r="J34" s="19" t="n">
        <v>36645.33</v>
      </c>
      <c r="K34" s="19" t="n">
        <v>36152.79</v>
      </c>
      <c r="L34" s="19" t="n">
        <v>33589.98</v>
      </c>
      <c r="M34" s="19" t="n">
        <v>33415.57</v>
      </c>
      <c r="N34" s="19" t="n">
        <v>30722.44</v>
      </c>
      <c r="O34" s="19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40</v>
      </c>
      <c r="I36" s="19" t="n">
        <v>-287</v>
      </c>
      <c r="J36" s="19" t="n">
        <v>-388.25</v>
      </c>
      <c r="K36" s="19" t="n">
        <v>-428.26</v>
      </c>
      <c r="L36" s="19" t="n">
        <v>-118.15</v>
      </c>
      <c r="M36" s="19" t="n">
        <v>-22.76</v>
      </c>
      <c r="N36" s="19" t="n">
        <v>72.34</v>
      </c>
      <c r="O36" s="19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2494.14</v>
      </c>
      <c r="F38" s="35" t="n">
        <v>7729.530000000001</v>
      </c>
      <c r="G38" s="35" t="n">
        <v>29320.21</v>
      </c>
      <c r="H38" s="35" t="n">
        <v>44883.52</v>
      </c>
      <c r="I38" s="35" t="n">
        <v>45170.51</v>
      </c>
      <c r="J38" s="35" t="n">
        <v>47957.17</v>
      </c>
      <c r="K38" s="35" t="n">
        <v>46692.41</v>
      </c>
      <c r="L38" s="35" t="n">
        <v>43187.29</v>
      </c>
      <c r="M38" s="35" t="n">
        <v>43174.38</v>
      </c>
      <c r="N38" s="35" t="n">
        <v>39921.24</v>
      </c>
      <c r="O38" s="35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850</v>
      </c>
      <c r="H47" s="35" t="n">
        <v>320</v>
      </c>
      <c r="I47" s="35" t="n">
        <v>0</v>
      </c>
      <c r="J47" s="35" t="n">
        <v>479.1</v>
      </c>
      <c r="K47" s="35" t="n">
        <v>2585.35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1700.75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115.38</v>
      </c>
      <c r="F56" s="35" t="n">
        <v>996.9400000000001</v>
      </c>
      <c r="G56" s="35" t="n">
        <v>653.3</v>
      </c>
      <c r="H56" s="35" t="n">
        <v>1808.89</v>
      </c>
      <c r="I56" s="35" t="n">
        <v>1141.02</v>
      </c>
      <c r="J56" s="35" t="n">
        <v>963.09</v>
      </c>
      <c r="K56" s="35" t="n">
        <v>1151.45</v>
      </c>
      <c r="L56" s="35" t="n">
        <v>892.12</v>
      </c>
      <c r="M56" s="35" t="n">
        <v>994.87</v>
      </c>
      <c r="N56" s="35" t="n">
        <v>1057.25</v>
      </c>
      <c r="O56" s="35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1950.89</v>
      </c>
      <c r="F61" s="35" t="n">
        <v>12524.29</v>
      </c>
      <c r="G61" s="35" t="n">
        <v>12524.29</v>
      </c>
      <c r="H61" s="35" t="n">
        <v>12783.1</v>
      </c>
      <c r="I61" s="35" t="n">
        <v>13225.22</v>
      </c>
      <c r="J61" s="35" t="n">
        <v>12613.71</v>
      </c>
      <c r="K61" s="35" t="n">
        <v>12867.43</v>
      </c>
      <c r="L61" s="35" t="n">
        <v>12681.96</v>
      </c>
      <c r="M61" s="35" t="n">
        <v>13203.86</v>
      </c>
      <c r="N61" s="35" t="n">
        <v>13004.33</v>
      </c>
      <c r="O61" s="35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719.87</v>
      </c>
      <c r="E62" s="35" t="n">
        <v>5189.830000000001</v>
      </c>
      <c r="F62" s="35" t="n">
        <v>27247.86</v>
      </c>
      <c r="G62" s="35" t="n">
        <v>59138.26</v>
      </c>
      <c r="H62" s="35" t="n">
        <v>68713.60000000001</v>
      </c>
      <c r="I62" s="35" t="n">
        <v>68926.75</v>
      </c>
      <c r="J62" s="35" t="n">
        <v>68220.29999999999</v>
      </c>
      <c r="K62" s="35" t="n">
        <v>73220.25</v>
      </c>
      <c r="L62" s="35" t="n">
        <v>63893.45</v>
      </c>
      <c r="M62" s="35" t="n">
        <v>64195.18</v>
      </c>
      <c r="N62" s="35" t="n">
        <v>61639.17</v>
      </c>
      <c r="O62" s="35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-719.87</v>
      </c>
      <c r="E63" s="35" t="n">
        <v>-5114.830000000001</v>
      </c>
      <c r="F63" s="35" t="n">
        <v>-28027.22</v>
      </c>
      <c r="G63" s="35" t="n">
        <v>-48214.48</v>
      </c>
      <c r="H63" s="35" t="n">
        <v>-29879.84000000002</v>
      </c>
      <c r="I63" s="35" t="n">
        <v>-22739.29</v>
      </c>
      <c r="J63" s="35" t="n">
        <v>-13778.64</v>
      </c>
      <c r="K63" s="35" t="n">
        <v>-14538.92</v>
      </c>
      <c r="L63" s="35" t="n">
        <v>-9560.640000000009</v>
      </c>
      <c r="M63" s="35" t="n">
        <v>-10737.13</v>
      </c>
      <c r="N63" s="35" t="n">
        <v>-8275.619999999995</v>
      </c>
      <c r="O63" s="35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 t="n">
        <v>1996.64</v>
      </c>
      <c r="V65" s="20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2084.22</v>
      </c>
      <c r="H69" s="35" t="n">
        <v>2089.47</v>
      </c>
      <c r="I69" s="35" t="n">
        <v>2112.72</v>
      </c>
      <c r="J69" s="35" t="n">
        <v>2062.49</v>
      </c>
      <c r="K69" s="35" t="n">
        <v>2104.17</v>
      </c>
      <c r="L69" s="35" t="n">
        <v>2105.9</v>
      </c>
      <c r="M69" s="35" t="n">
        <v>2095.37</v>
      </c>
      <c r="N69" s="35" t="n">
        <v>2105.9</v>
      </c>
      <c r="O69" s="35" t="n">
        <v>2023.81</v>
      </c>
      <c r="P69" s="35" t="n">
        <v>1996.64</v>
      </c>
      <c r="Q69" s="35" t="n">
        <v>1996.64</v>
      </c>
      <c r="R69" s="35" t="n">
        <v>1996.64</v>
      </c>
      <c r="S69" s="35" t="n">
        <v>1996.64</v>
      </c>
      <c r="T69" s="85" t="n">
        <v>1996.64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-719.87</v>
      </c>
      <c r="E70" s="35" t="n">
        <v>-5114.830000000001</v>
      </c>
      <c r="F70" s="35" t="n">
        <v>-28027.22</v>
      </c>
      <c r="G70" s="35" t="n">
        <v>-50298.7</v>
      </c>
      <c r="H70" s="35" t="n">
        <v>-31969.31000000002</v>
      </c>
      <c r="I70" s="35" t="n">
        <v>-24852.01</v>
      </c>
      <c r="J70" s="35" t="n">
        <v>-15841.13</v>
      </c>
      <c r="K70" s="35" t="n">
        <v>-16643.09</v>
      </c>
      <c r="L70" s="35" t="n">
        <v>-11666.54000000001</v>
      </c>
      <c r="M70" s="35" t="n">
        <v>-12832.5</v>
      </c>
      <c r="N70" s="35" t="n">
        <v>-10381.52</v>
      </c>
      <c r="O70" s="35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9" activePane="bottomRight" state="frozen"/>
      <selection pane="topRight" activeCell="A1" sqref="A1"/>
      <selection pane="bottomLeft" activeCell="A1" sqref="A1"/>
      <selection pane="bottomRight" activeCell="K63" sqref="K63: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Presidio Heights (PH)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s="35" t="n">
        <v>135892.77</v>
      </c>
      <c r="E13" s="35" t="n">
        <v>150685.95</v>
      </c>
      <c r="F13" s="35" t="n">
        <v>182574.31</v>
      </c>
      <c r="G13" s="35" t="n">
        <v>173543.63</v>
      </c>
      <c r="H13" s="35" t="n">
        <v>149652.17</v>
      </c>
      <c r="I13" s="35" t="n">
        <v>134346</v>
      </c>
      <c r="J13" s="35" t="n">
        <v>105520.89</v>
      </c>
      <c r="K13" s="35" t="n">
        <v>114591.96</v>
      </c>
      <c r="L13" s="35" t="n">
        <v>116125.83</v>
      </c>
      <c r="M13" s="35" t="n">
        <v>118524.82</v>
      </c>
      <c r="N13" s="35" t="n">
        <v>109461.02</v>
      </c>
      <c r="O13" s="35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s="19" t="n">
        <v>26052.42</v>
      </c>
      <c r="E14" s="19" t="n">
        <v>33426.68</v>
      </c>
      <c r="F14" s="19" t="n">
        <v>42033.67</v>
      </c>
      <c r="G14" s="19" t="n">
        <v>39838.56</v>
      </c>
      <c r="H14" s="19" t="n">
        <v>56368.79</v>
      </c>
      <c r="I14" s="19" t="n">
        <v>21114.07</v>
      </c>
      <c r="J14" s="19" t="n">
        <v>19741.14</v>
      </c>
      <c r="K14" s="19" t="n">
        <v>20496.73</v>
      </c>
      <c r="L14" s="19" t="n">
        <v>48446.86</v>
      </c>
      <c r="M14" s="19" t="n">
        <v>23971.63</v>
      </c>
      <c r="N14" s="19" t="n">
        <v>43753.14</v>
      </c>
      <c r="O14" s="19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s="19" t="n">
        <v>2297</v>
      </c>
      <c r="E15" s="19" t="n">
        <v>5063</v>
      </c>
      <c r="F15" s="19" t="n">
        <v>5768</v>
      </c>
      <c r="G15" s="19" t="n">
        <v>7109</v>
      </c>
      <c r="H15" s="19" t="n">
        <v>4954</v>
      </c>
      <c r="I15" s="19" t="n">
        <v>2964</v>
      </c>
      <c r="J15" s="19" t="n">
        <v>2042.11</v>
      </c>
      <c r="K15" s="19" t="n">
        <v>2230.5</v>
      </c>
      <c r="L15" s="19" t="n">
        <v>838</v>
      </c>
      <c r="M15" s="19" t="n">
        <v>4985</v>
      </c>
      <c r="N15" s="19" t="n">
        <v>5215</v>
      </c>
      <c r="O15" s="19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s="35" t="n">
        <v>28349.42</v>
      </c>
      <c r="E17" s="35" t="n">
        <v>38489.68</v>
      </c>
      <c r="F17" s="35" t="n">
        <v>47801.67</v>
      </c>
      <c r="G17" s="35" t="n">
        <v>46947.56</v>
      </c>
      <c r="H17" s="35" t="n">
        <v>61322.79</v>
      </c>
      <c r="I17" s="35" t="n">
        <v>27078.07</v>
      </c>
      <c r="J17" s="35" t="n">
        <v>37223.25</v>
      </c>
      <c r="K17" s="35" t="n">
        <v>46087.23</v>
      </c>
      <c r="L17" s="35" t="n">
        <v>49284.86</v>
      </c>
      <c r="M17" s="35" t="n">
        <v>29756.63</v>
      </c>
      <c r="N17" s="35" t="n">
        <v>49468.14</v>
      </c>
      <c r="O17" s="35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s="19" t="n">
        <v>4902</v>
      </c>
      <c r="E18" s="19" t="n">
        <v>5269</v>
      </c>
      <c r="F18" s="19" t="n">
        <v>4583.03</v>
      </c>
      <c r="G18" s="19" t="n">
        <v>3785</v>
      </c>
      <c r="H18" s="19" t="n">
        <v>3612</v>
      </c>
      <c r="I18" s="19" t="n">
        <v>5066</v>
      </c>
      <c r="J18" s="19" t="n">
        <v>1728</v>
      </c>
      <c r="K18" s="19" t="n">
        <v>2013</v>
      </c>
      <c r="L18" s="19" t="n">
        <v>2656</v>
      </c>
      <c r="M18" s="19" t="n">
        <v>2412</v>
      </c>
      <c r="N18" s="19" t="n">
        <v>4019</v>
      </c>
      <c r="O18" s="19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s="19" t="n">
        <v>-8170</v>
      </c>
      <c r="E19" s="19" t="n">
        <v>-4404</v>
      </c>
      <c r="F19" s="19" t="n">
        <v>-2952.57</v>
      </c>
      <c r="G19" s="19" t="n">
        <v>-7293.01</v>
      </c>
      <c r="H19" s="19" t="n">
        <v>-1757.01</v>
      </c>
      <c r="I19" s="19" t="n">
        <v>-664</v>
      </c>
      <c r="J19" s="19" t="n">
        <v>-2238</v>
      </c>
      <c r="K19" s="19" t="n">
        <v>-1878</v>
      </c>
      <c r="L19" s="19" t="n">
        <v>-3656</v>
      </c>
      <c r="M19" s="19" t="n">
        <v>-6118.26</v>
      </c>
      <c r="N19" s="19" t="n">
        <v>-2754.9</v>
      </c>
      <c r="O19" s="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s="19" t="n">
        <v>-26234.94</v>
      </c>
      <c r="E20" s="19" t="n">
        <v>-16481.1</v>
      </c>
      <c r="F20" s="19" t="n">
        <v>-13539.94</v>
      </c>
      <c r="G20" s="19" t="n">
        <v>-9717.4</v>
      </c>
      <c r="H20" s="19" t="n">
        <v>-8531.459999999999</v>
      </c>
      <c r="I20" s="19" t="n">
        <v>-4593.62</v>
      </c>
      <c r="J20" s="19" t="n">
        <v>-5591.3</v>
      </c>
      <c r="K20" s="19" t="n">
        <v>-4636.24</v>
      </c>
      <c r="L20" s="19" t="n">
        <v>-6926.26</v>
      </c>
      <c r="M20" s="19" t="n">
        <v>-4991.98</v>
      </c>
      <c r="N20" s="19" t="n">
        <v>-4037.52</v>
      </c>
      <c r="O20" s="19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213465.61</v>
      </c>
      <c r="E21" s="35" t="n">
        <v>214391.55</v>
      </c>
      <c r="F21" s="35" t="n">
        <v>250059.09</v>
      </c>
      <c r="G21" s="35" t="n">
        <v>225172.86</v>
      </c>
      <c r="H21" s="35" t="n">
        <v>217319.45</v>
      </c>
      <c r="I21" s="35" t="n">
        <v>168863.04</v>
      </c>
      <c r="J21" s="35" t="n">
        <v>141383.59</v>
      </c>
      <c r="K21" s="35" t="n">
        <v>159578.75</v>
      </c>
      <c r="L21" s="35" t="n">
        <v>158576.93</v>
      </c>
      <c r="M21" s="35" t="n">
        <v>140949.3799999999</v>
      </c>
      <c r="N21" s="35" t="n">
        <v>156577.57</v>
      </c>
      <c r="O21" s="35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2206</v>
      </c>
      <c r="E23" s="19" t="n">
        <v>2445.25</v>
      </c>
      <c r="F23" s="19" t="n">
        <v>2083.25</v>
      </c>
      <c r="G23" s="19" t="n">
        <v>1763.25</v>
      </c>
      <c r="H23" s="19" t="n">
        <v>1421</v>
      </c>
      <c r="I23" s="19" t="n">
        <v>2156.5</v>
      </c>
      <c r="J23" s="19" t="n">
        <v>756.5</v>
      </c>
      <c r="K23" s="19" t="n">
        <v>1047.75</v>
      </c>
      <c r="L23" s="19" t="n">
        <v>1133</v>
      </c>
      <c r="M23" s="19" t="n">
        <v>1057</v>
      </c>
      <c r="N23" s="19" t="n">
        <v>1830</v>
      </c>
      <c r="O23" s="19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4213.5</v>
      </c>
      <c r="E24" s="19" t="n">
        <v>3350.43</v>
      </c>
      <c r="F24" s="19" t="n">
        <v>3273.36</v>
      </c>
      <c r="G24" s="19" t="n">
        <v>4750.86</v>
      </c>
      <c r="H24" s="19" t="n">
        <v>2092.9</v>
      </c>
      <c r="I24" s="19" t="n">
        <v>1897.33</v>
      </c>
      <c r="J24" s="19" t="n">
        <v>1592.6</v>
      </c>
      <c r="K24" s="19" t="n">
        <v>3066.33</v>
      </c>
      <c r="L24" s="19" t="n">
        <v>2059.69</v>
      </c>
      <c r="M24" s="19" t="n">
        <v>2259.66</v>
      </c>
      <c r="N24" s="19" t="n">
        <v>3398.29</v>
      </c>
      <c r="O24" s="19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6419.5</v>
      </c>
      <c r="E25" s="35" t="n">
        <v>5795.68</v>
      </c>
      <c r="F25" s="35" t="n">
        <v>5356.610000000001</v>
      </c>
      <c r="G25" s="35" t="n">
        <v>6514.11</v>
      </c>
      <c r="H25" s="35" t="n">
        <v>3513.9</v>
      </c>
      <c r="I25" s="35" t="n">
        <v>4053.83</v>
      </c>
      <c r="J25" s="35" t="n">
        <v>2349.1</v>
      </c>
      <c r="K25" s="35" t="n">
        <v>4114.08</v>
      </c>
      <c r="L25" s="35" t="n">
        <v>3192.69</v>
      </c>
      <c r="M25" s="35" t="n">
        <v>3316.66</v>
      </c>
      <c r="N25" s="35" t="n">
        <v>5228.29</v>
      </c>
      <c r="O25" s="3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207046.11</v>
      </c>
      <c r="E26" s="35" t="n">
        <v>208595.87</v>
      </c>
      <c r="F26" s="35" t="n">
        <v>244702.48</v>
      </c>
      <c r="G26" s="35" t="n">
        <v>218658.75</v>
      </c>
      <c r="H26" s="35" t="n">
        <v>213805.55</v>
      </c>
      <c r="I26" s="35" t="n">
        <v>164809.21</v>
      </c>
      <c r="J26" s="35" t="n">
        <v>139034.49</v>
      </c>
      <c r="K26" s="35" t="n">
        <v>155464.67</v>
      </c>
      <c r="L26" s="35" t="n">
        <v>155384.24</v>
      </c>
      <c r="M26" s="35" t="n">
        <v>137632.7199999999</v>
      </c>
      <c r="N26" s="35" t="n">
        <v>151349.28</v>
      </c>
      <c r="O26" s="35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250.14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165.85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250.14</v>
      </c>
      <c r="E33" s="35" t="n">
        <v>165.85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53.77</v>
      </c>
      <c r="L33" s="35" t="n">
        <v>0</v>
      </c>
      <c r="M33" s="35" t="n">
        <v>0</v>
      </c>
      <c r="N33" s="35" t="n">
        <v>590.91</v>
      </c>
      <c r="O33" s="35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39011.93</v>
      </c>
      <c r="E34" s="19" t="n">
        <v>43231.25</v>
      </c>
      <c r="F34" s="19" t="n">
        <v>46837.73</v>
      </c>
      <c r="G34" s="19" t="n">
        <v>38461.64</v>
      </c>
      <c r="H34" s="19" t="n">
        <v>49715.14</v>
      </c>
      <c r="I34" s="19" t="n">
        <v>40100.86</v>
      </c>
      <c r="J34" s="19" t="n">
        <v>36729.13</v>
      </c>
      <c r="K34" s="19" t="n">
        <v>38467.03</v>
      </c>
      <c r="L34" s="19" t="n">
        <v>37781.83</v>
      </c>
      <c r="M34" s="19" t="n">
        <v>36504.73</v>
      </c>
      <c r="N34" s="19" t="n">
        <v>33195.92</v>
      </c>
      <c r="O34" s="19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s="19" t="n">
        <v>6202.34</v>
      </c>
      <c r="E35" s="19" t="n">
        <v>5541.8</v>
      </c>
      <c r="F35" s="19" t="n">
        <v>5351.31</v>
      </c>
      <c r="G35" s="19" t="n">
        <v>4316.35</v>
      </c>
      <c r="H35" s="19" t="n">
        <v>5139.92</v>
      </c>
      <c r="I35" s="19" t="n">
        <v>4107.59</v>
      </c>
      <c r="J35" s="19" t="n">
        <v>3840.85</v>
      </c>
      <c r="K35" s="19" t="n">
        <v>4197.13</v>
      </c>
      <c r="L35" s="19" t="n">
        <v>4156.01</v>
      </c>
      <c r="M35" s="19" t="n">
        <v>4162.24</v>
      </c>
      <c r="N35" s="19" t="n">
        <v>3828.3</v>
      </c>
      <c r="O35" s="19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s="19" t="n">
        <v>1240.91</v>
      </c>
      <c r="E36" s="19" t="n">
        <v>1290.55</v>
      </c>
      <c r="F36" s="19" t="n">
        <v>464.54</v>
      </c>
      <c r="G36" s="19" t="n">
        <v>1074.23</v>
      </c>
      <c r="H36" s="19" t="n">
        <v>19.78</v>
      </c>
      <c r="I36" s="19" t="n">
        <v>-20.77</v>
      </c>
      <c r="J36" s="19" t="n">
        <v>301.98</v>
      </c>
      <c r="K36" s="19" t="n">
        <v>346.53</v>
      </c>
      <c r="L36" s="19" t="n">
        <v>672.59</v>
      </c>
      <c r="M36" s="19" t="n">
        <v>346.52</v>
      </c>
      <c r="N36" s="19" t="n">
        <v>1374.15</v>
      </c>
      <c r="O36" s="19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s="19" t="n">
        <v>1096.03</v>
      </c>
      <c r="E37" s="19" t="n">
        <v>612.42</v>
      </c>
      <c r="F37" s="19" t="n">
        <v>627.42</v>
      </c>
      <c r="G37" s="19" t="n">
        <v>864.63</v>
      </c>
      <c r="H37" s="19" t="n">
        <v>657.42</v>
      </c>
      <c r="I37" s="19" t="n">
        <v>638.67</v>
      </c>
      <c r="J37" s="19" t="n">
        <v>634.92</v>
      </c>
      <c r="K37" s="19" t="n">
        <v>926.13</v>
      </c>
      <c r="L37" s="19" t="n">
        <v>653.67</v>
      </c>
      <c r="M37" s="19" t="n">
        <v>631.17</v>
      </c>
      <c r="N37" s="19" t="n">
        <v>608.67</v>
      </c>
      <c r="O37" s="19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s="35" t="n">
        <v>61216.94000000001</v>
      </c>
      <c r="E38" s="35" t="n">
        <v>62617.39000000001</v>
      </c>
      <c r="F38" s="35" t="n">
        <v>66100.58</v>
      </c>
      <c r="G38" s="35" t="n">
        <v>55622.66</v>
      </c>
      <c r="H38" s="35" t="n">
        <v>67472.92</v>
      </c>
      <c r="I38" s="35" t="n">
        <v>53714.84</v>
      </c>
      <c r="J38" s="35" t="n">
        <v>49314.21999999999</v>
      </c>
      <c r="K38" s="35" t="n">
        <v>53420.82999999999</v>
      </c>
      <c r="L38" s="35" t="n">
        <v>53061.2</v>
      </c>
      <c r="M38" s="35" t="n">
        <v>52567.04</v>
      </c>
      <c r="N38" s="35" t="n">
        <v>48593.18</v>
      </c>
      <c r="O38" s="35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1341.92</v>
      </c>
      <c r="E39" s="19" t="n">
        <v>2947.82</v>
      </c>
      <c r="F39" s="19" t="n">
        <v>-251.18</v>
      </c>
      <c r="G39" s="19" t="n">
        <v>680.4</v>
      </c>
      <c r="H39" s="19" t="n">
        <v>2414</v>
      </c>
      <c r="I39" s="19" t="n">
        <v>1617.36</v>
      </c>
      <c r="J39" s="19" t="n">
        <v>2888.86</v>
      </c>
      <c r="K39" s="19" t="n">
        <v>-2634.45</v>
      </c>
      <c r="L39" s="19" t="n">
        <v>2458.59</v>
      </c>
      <c r="M39" s="19" t="n">
        <v>2550.88</v>
      </c>
      <c r="N39" s="19" t="n">
        <v>3479.33</v>
      </c>
      <c r="O39" s="1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s="19" t="n">
        <v>516.29</v>
      </c>
      <c r="E40" s="19" t="n">
        <v>293.32</v>
      </c>
      <c r="F40" s="19" t="n">
        <v>293.32</v>
      </c>
      <c r="G40" s="19" t="n">
        <v>293.32</v>
      </c>
      <c r="H40" s="19" t="n">
        <v>293.32</v>
      </c>
      <c r="I40" s="19" t="n">
        <v>293.32</v>
      </c>
      <c r="J40" s="19" t="n">
        <v>293.32</v>
      </c>
      <c r="K40" s="19" t="n">
        <v>293.32</v>
      </c>
      <c r="L40" s="19" t="n">
        <v>293.32</v>
      </c>
      <c r="M40" s="19" t="n">
        <v>449.43</v>
      </c>
      <c r="N40" s="19" t="n">
        <v>449.43</v>
      </c>
      <c r="O40" s="19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165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959.25</v>
      </c>
      <c r="E44" s="19" t="n">
        <v>1542</v>
      </c>
      <c r="F44" s="19" t="n">
        <v>769.5</v>
      </c>
      <c r="G44" s="19" t="n">
        <v>103.5</v>
      </c>
      <c r="H44" s="19" t="n">
        <v>1520</v>
      </c>
      <c r="I44" s="19" t="n">
        <v>0</v>
      </c>
      <c r="J44" s="19" t="n">
        <v>1049.95</v>
      </c>
      <c r="K44" s="19" t="n">
        <v>2208.25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178.16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75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330</v>
      </c>
      <c r="J46" s="19" t="n">
        <v>479.1</v>
      </c>
      <c r="K46" s="19" t="n">
        <v>479.1</v>
      </c>
      <c r="L46" s="19" t="n">
        <v>479.1</v>
      </c>
      <c r="M46" s="19" t="n">
        <v>871</v>
      </c>
      <c r="N46" s="19" t="n">
        <v>840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959.25</v>
      </c>
      <c r="E47" s="35" t="n">
        <v>1542</v>
      </c>
      <c r="F47" s="35" t="n">
        <v>947.66</v>
      </c>
      <c r="G47" s="35" t="n">
        <v>268.5</v>
      </c>
      <c r="H47" s="35" t="n">
        <v>1520</v>
      </c>
      <c r="I47" s="35" t="n">
        <v>330</v>
      </c>
      <c r="J47" s="35" t="n">
        <v>1529.05</v>
      </c>
      <c r="K47" s="35" t="n">
        <v>2762.35</v>
      </c>
      <c r="L47" s="35" t="n">
        <v>479.1</v>
      </c>
      <c r="M47" s="35" t="n">
        <v>871</v>
      </c>
      <c r="N47" s="35" t="n">
        <v>994.54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s="19" t="n">
        <v>0</v>
      </c>
      <c r="E49" s="19" t="n">
        <v>45.4</v>
      </c>
      <c r="F49" s="19" t="n">
        <v>53.45</v>
      </c>
      <c r="G49" s="19" t="n">
        <v>40.45</v>
      </c>
      <c r="H49" s="19" t="n">
        <v>65.95</v>
      </c>
      <c r="I49" s="19" t="n">
        <v>65.76000000000001</v>
      </c>
      <c r="J49" s="19" t="n">
        <v>7.09</v>
      </c>
      <c r="K49" s="19" t="n">
        <v>219.62</v>
      </c>
      <c r="L49" s="19" t="n">
        <v>260.33</v>
      </c>
      <c r="M49" s="19" t="n">
        <v>164.32</v>
      </c>
      <c r="N49" s="19" t="n">
        <v>303.65</v>
      </c>
      <c r="O49" s="1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174.71</v>
      </c>
      <c r="G51" s="19" t="n">
        <v>510.22</v>
      </c>
      <c r="H51" s="19" t="n">
        <v>191.31</v>
      </c>
      <c r="I51" s="19" t="n">
        <v>0</v>
      </c>
      <c r="J51" s="19" t="n">
        <v>228.06</v>
      </c>
      <c r="K51" s="19" t="n">
        <v>213.87</v>
      </c>
      <c r="L51" s="19" t="n">
        <v>273.58</v>
      </c>
      <c r="M51" s="19" t="n">
        <v>546.91</v>
      </c>
      <c r="N51" s="19" t="n">
        <v>238.6</v>
      </c>
      <c r="O51" s="19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s="19" t="n">
        <v>111.29</v>
      </c>
      <c r="E53" s="19" t="n">
        <v>605.0700000000001</v>
      </c>
      <c r="F53" s="19" t="n">
        <v>0</v>
      </c>
      <c r="G53" s="19" t="n">
        <v>193.05</v>
      </c>
      <c r="H53" s="19" t="n">
        <v>193.02</v>
      </c>
      <c r="I53" s="19" t="n">
        <v>0</v>
      </c>
      <c r="J53" s="19" t="n">
        <v>192.37</v>
      </c>
      <c r="K53" s="19" t="n">
        <v>192.41</v>
      </c>
      <c r="L53" s="19" t="n">
        <v>192.41</v>
      </c>
      <c r="M53" s="19" t="n">
        <v>193.82</v>
      </c>
      <c r="N53" s="19" t="n">
        <v>158.92</v>
      </c>
      <c r="O53" s="19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56.25</v>
      </c>
      <c r="E55" s="19" t="n">
        <v>453.05</v>
      </c>
      <c r="F55" s="19" t="n">
        <v>181.6</v>
      </c>
      <c r="G55" s="19" t="n">
        <v>362.25</v>
      </c>
      <c r="H55" s="19" t="n">
        <v>362.25</v>
      </c>
      <c r="I55" s="19" t="n">
        <v>0</v>
      </c>
      <c r="J55" s="19" t="n">
        <v>474.05</v>
      </c>
      <c r="K55" s="19" t="n">
        <v>91.8</v>
      </c>
      <c r="L55" s="19" t="n">
        <v>90.8</v>
      </c>
      <c r="M55" s="19" t="n">
        <v>90.8</v>
      </c>
      <c r="N55" s="19" t="n">
        <v>102.05</v>
      </c>
      <c r="O55" s="19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s="35" t="n">
        <v>384.54</v>
      </c>
      <c r="E56" s="35" t="n">
        <v>1265.12</v>
      </c>
      <c r="F56" s="35" t="n">
        <v>563.3100000000001</v>
      </c>
      <c r="G56" s="35" t="n">
        <v>1272.52</v>
      </c>
      <c r="H56" s="35" t="n">
        <v>953.58</v>
      </c>
      <c r="I56" s="35" t="n">
        <v>219.95</v>
      </c>
      <c r="J56" s="35" t="n">
        <v>1088.53</v>
      </c>
      <c r="K56" s="35" t="n">
        <v>705.0799999999999</v>
      </c>
      <c r="L56" s="35" t="n">
        <v>763.79</v>
      </c>
      <c r="M56" s="35" t="n">
        <v>1038.53</v>
      </c>
      <c r="N56" s="35" t="n">
        <v>706.5699999999999</v>
      </c>
      <c r="O56" s="35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19" t="n">
        <v>7779.68</v>
      </c>
      <c r="I57" s="19" t="n">
        <v>7779.68</v>
      </c>
      <c r="J57" s="19" t="n">
        <v>7779.68</v>
      </c>
      <c r="K57" s="19" t="n">
        <v>7784.68</v>
      </c>
      <c r="L57" s="19" t="n">
        <v>7779.68</v>
      </c>
      <c r="M57" s="19" t="n">
        <v>7779.68</v>
      </c>
      <c r="N57" s="19" t="n">
        <v>7779.68</v>
      </c>
      <c r="O57" s="19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s="19" t="n">
        <v>90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139.05</v>
      </c>
      <c r="J58" s="19" t="n">
        <v>0</v>
      </c>
      <c r="K58" s="19" t="n">
        <v>0</v>
      </c>
      <c r="L58" s="19" t="n">
        <v>139.05</v>
      </c>
      <c r="M58" s="19" t="n">
        <v>150</v>
      </c>
      <c r="N58" s="19" t="n">
        <v>0</v>
      </c>
      <c r="O58" s="19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s="19" t="n">
        <v>1143.39</v>
      </c>
      <c r="E59" s="19" t="n">
        <v>218.74</v>
      </c>
      <c r="F59" s="19" t="n">
        <v>0</v>
      </c>
      <c r="G59" s="19" t="n">
        <v>0</v>
      </c>
      <c r="H59" s="19" t="n">
        <v>677.28</v>
      </c>
      <c r="I59" s="19" t="n">
        <v>240.79</v>
      </c>
      <c r="J59" s="19" t="n">
        <v>365.67</v>
      </c>
      <c r="K59" s="19" t="n">
        <v>250.97</v>
      </c>
      <c r="L59" s="19" t="n">
        <v>88.65000000000001</v>
      </c>
      <c r="M59" s="19" t="n">
        <v>258.59</v>
      </c>
      <c r="N59" s="19" t="n">
        <v>695.3</v>
      </c>
      <c r="O59" s="1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10103.07</v>
      </c>
      <c r="E61" s="35" t="n">
        <v>8004.16</v>
      </c>
      <c r="F61" s="35" t="n">
        <v>7779.68</v>
      </c>
      <c r="G61" s="35" t="n">
        <v>7845.820000000001</v>
      </c>
      <c r="H61" s="35" t="n">
        <v>8456.960000000001</v>
      </c>
      <c r="I61" s="35" t="n">
        <v>8159.52</v>
      </c>
      <c r="J61" s="35" t="n">
        <v>8176.84</v>
      </c>
      <c r="K61" s="35" t="n">
        <v>9136.49</v>
      </c>
      <c r="L61" s="35" t="n">
        <v>8022.34</v>
      </c>
      <c r="M61" s="35" t="n">
        <v>8188.27</v>
      </c>
      <c r="N61" s="35" t="n">
        <v>8614.98</v>
      </c>
      <c r="O61" s="35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75921.37</v>
      </c>
      <c r="E62" s="35" t="n">
        <v>79440.69</v>
      </c>
      <c r="F62" s="35" t="n">
        <v>79065.82000000001</v>
      </c>
      <c r="G62" s="35" t="n">
        <v>68641.91999999998</v>
      </c>
      <c r="H62" s="35" t="n">
        <v>83957.43000000002</v>
      </c>
      <c r="I62" s="35" t="n">
        <v>66136.11</v>
      </c>
      <c r="J62" s="35" t="n">
        <v>65843.14999999999</v>
      </c>
      <c r="K62" s="35" t="n">
        <v>66498.7</v>
      </c>
      <c r="L62" s="35" t="n">
        <v>67920.92</v>
      </c>
      <c r="M62" s="35" t="n">
        <v>67563.75</v>
      </c>
      <c r="N62" s="35" t="n">
        <v>66103.8</v>
      </c>
      <c r="O62" s="35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131124.74</v>
      </c>
      <c r="E63" s="35" t="n">
        <v>129155.18</v>
      </c>
      <c r="F63" s="35" t="n">
        <v>165636.66</v>
      </c>
      <c r="G63" s="35" t="n">
        <v>150016.83</v>
      </c>
      <c r="H63" s="35" t="n">
        <v>129848.12</v>
      </c>
      <c r="I63" s="35" t="n">
        <v>98673.10000000002</v>
      </c>
      <c r="J63" s="35" t="n">
        <v>73191.34000000003</v>
      </c>
      <c r="K63" s="35" t="n">
        <v>88965.97000000002</v>
      </c>
      <c r="L63" s="35" t="n">
        <v>87463.31999999999</v>
      </c>
      <c r="M63" s="35" t="n">
        <v>70068.96999999994</v>
      </c>
      <c r="N63" s="35" t="n">
        <v>85245.48</v>
      </c>
      <c r="O63" s="35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661.33</v>
      </c>
      <c r="E65" s="19" t="n">
        <v>661.33</v>
      </c>
      <c r="F65" s="19" t="n">
        <v>661.33</v>
      </c>
      <c r="G65" s="19" t="n">
        <v>663.3200000000001</v>
      </c>
      <c r="H65" s="19" t="n">
        <v>669.97</v>
      </c>
      <c r="I65" s="19" t="n">
        <v>669.97</v>
      </c>
      <c r="J65" s="19" t="n">
        <v>669.97</v>
      </c>
      <c r="K65" s="19" t="n">
        <v>720.3099999999999</v>
      </c>
      <c r="L65" s="19" t="n">
        <v>809.14</v>
      </c>
      <c r="M65" s="19" t="n">
        <v>809.14</v>
      </c>
      <c r="N65" s="19" t="n">
        <v>809.04</v>
      </c>
      <c r="O65" s="19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 t="n">
        <v>724.74</v>
      </c>
      <c r="V65" s="20" t="n">
        <v>724.74</v>
      </c>
      <c r="W65" s="20" t="n">
        <v>724.74</v>
      </c>
      <c r="X65" s="20" t="n">
        <v>724.74</v>
      </c>
      <c r="Y65" s="20" t="n">
        <v>724.74</v>
      </c>
      <c r="Z65" s="20" t="n">
        <v>724.74</v>
      </c>
      <c r="AA65" s="20" t="n">
        <v>724.74</v>
      </c>
      <c r="AB65" s="20" t="n">
        <v>724.74</v>
      </c>
      <c r="AC65" s="20" t="n">
        <v>724.74</v>
      </c>
      <c r="AD65" s="20" t="n">
        <v>724.74</v>
      </c>
      <c r="AE65" s="20" t="n">
        <v>724.74</v>
      </c>
      <c r="AF65" s="20" t="n">
        <v>724.74</v>
      </c>
      <c r="AG65" s="20" t="n">
        <v>724.74</v>
      </c>
      <c r="AH65" s="20" t="n">
        <v>724.74</v>
      </c>
      <c r="AI65" s="20" t="n">
        <v>724.74</v>
      </c>
      <c r="AJ65" s="20" t="n">
        <v>724.74</v>
      </c>
      <c r="AK65" s="20" t="n">
        <v>724.74</v>
      </c>
      <c r="AL65" s="20" t="n">
        <v>724.74</v>
      </c>
      <c r="AM65" s="20" t="n">
        <v>724.74</v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661.33</v>
      </c>
      <c r="E69" s="35" t="n">
        <v>661.33</v>
      </c>
      <c r="F69" s="35" t="n">
        <v>661.33</v>
      </c>
      <c r="G69" s="35" t="n">
        <v>663.3200000000001</v>
      </c>
      <c r="H69" s="35" t="n">
        <v>669.97</v>
      </c>
      <c r="I69" s="35" t="n">
        <v>669.97</v>
      </c>
      <c r="J69" s="35" t="n">
        <v>669.97</v>
      </c>
      <c r="K69" s="35" t="n">
        <v>720.3099999999999</v>
      </c>
      <c r="L69" s="35" t="n">
        <v>809.14</v>
      </c>
      <c r="M69" s="35" t="n">
        <v>3214.14</v>
      </c>
      <c r="N69" s="35" t="n">
        <v>3214.04</v>
      </c>
      <c r="O69" s="35" t="n">
        <v>2881.07</v>
      </c>
      <c r="P69" s="35" t="n">
        <v>3129.74</v>
      </c>
      <c r="Q69" s="35" t="n">
        <v>3866.14</v>
      </c>
      <c r="R69" s="35" t="n">
        <v>3129.74</v>
      </c>
      <c r="S69" s="35" t="n">
        <v>3129.74</v>
      </c>
      <c r="T69" s="85" t="n">
        <v>3129.74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130463.41</v>
      </c>
      <c r="E70" s="35" t="n">
        <v>128493.85</v>
      </c>
      <c r="F70" s="35" t="n">
        <v>164975.33</v>
      </c>
      <c r="G70" s="35" t="n">
        <v>149353.51</v>
      </c>
      <c r="H70" s="35" t="n">
        <v>129178.15</v>
      </c>
      <c r="I70" s="35" t="n">
        <v>98003.13000000002</v>
      </c>
      <c r="J70" s="35" t="n">
        <v>72521.37000000002</v>
      </c>
      <c r="K70" s="35" t="n">
        <v>88245.66000000002</v>
      </c>
      <c r="L70" s="35" t="n">
        <v>86654.17999999999</v>
      </c>
      <c r="M70" s="35" t="n">
        <v>66854.82999999994</v>
      </c>
      <c r="N70" s="35" t="n">
        <v>82031.44</v>
      </c>
      <c r="O70" s="35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7" activePane="bottomRight" state="frozen"/>
      <selection pane="topRight" activeCell="A1" sqref="A1"/>
      <selection pane="bottomLeft" activeCell="A1" sqref="A1"/>
      <selection pane="bottomRight" activeCell="O63" sqref="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Russian Hill (RH)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s="35" t="n">
        <v>271</v>
      </c>
      <c r="E13" s="35" t="n">
        <v>17731.6</v>
      </c>
      <c r="F13" s="35" t="n">
        <v>49540.33</v>
      </c>
      <c r="G13" s="35" t="n">
        <v>55019.52</v>
      </c>
      <c r="H13" s="35" t="n">
        <v>61564.63</v>
      </c>
      <c r="I13" s="35" t="n">
        <v>65883.66</v>
      </c>
      <c r="J13" s="35" t="n">
        <v>64594.16</v>
      </c>
      <c r="K13" s="35" t="n">
        <v>64172.79</v>
      </c>
      <c r="L13" s="35" t="n">
        <v>64286.71999999999</v>
      </c>
      <c r="M13" s="35" t="n">
        <v>70605.99000000001</v>
      </c>
      <c r="N13" s="35" t="n">
        <v>64014.11</v>
      </c>
      <c r="O13" s="35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441</v>
      </c>
      <c r="E17" s="35" t="n">
        <v>1739.33</v>
      </c>
      <c r="F17" s="35" t="n">
        <v>6152.63</v>
      </c>
      <c r="G17" s="35" t="n">
        <v>8447.110000000001</v>
      </c>
      <c r="H17" s="35" t="n">
        <v>17022.69</v>
      </c>
      <c r="I17" s="35" t="n">
        <v>10813.57</v>
      </c>
      <c r="J17" s="35" t="n">
        <v>9696.299999999999</v>
      </c>
      <c r="K17" s="35" t="n">
        <v>13112.13</v>
      </c>
      <c r="L17" s="35" t="n">
        <v>20173.07</v>
      </c>
      <c r="M17" s="35" t="n">
        <v>11572.21</v>
      </c>
      <c r="N17" s="35" t="n">
        <v>14530.79</v>
      </c>
      <c r="O17" s="35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570.7</v>
      </c>
      <c r="E21" s="35" t="n">
        <v>15527.63</v>
      </c>
      <c r="F21" s="35" t="n">
        <v>52352.26</v>
      </c>
      <c r="G21" s="35" t="n">
        <v>60194.73</v>
      </c>
      <c r="H21" s="35" t="n">
        <v>72190.72</v>
      </c>
      <c r="I21" s="35" t="n">
        <v>76768.03000000001</v>
      </c>
      <c r="J21" s="35" t="n">
        <v>68332.76000000001</v>
      </c>
      <c r="K21" s="35" t="n">
        <v>70395.31999999999</v>
      </c>
      <c r="L21" s="35" t="n">
        <v>81266.28999999999</v>
      </c>
      <c r="M21" s="35" t="n">
        <v>79286.40000000001</v>
      </c>
      <c r="N21" s="35" t="n">
        <v>76953.28999999999</v>
      </c>
      <c r="O21" s="35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218.17</v>
      </c>
      <c r="E25" s="35" t="n">
        <v>1554.19</v>
      </c>
      <c r="F25" s="35" t="n">
        <v>2601.86</v>
      </c>
      <c r="G25" s="35" t="n">
        <v>3495.3</v>
      </c>
      <c r="H25" s="35" t="n">
        <v>2611.53</v>
      </c>
      <c r="I25" s="35" t="n">
        <v>4062.52</v>
      </c>
      <c r="J25" s="35" t="n">
        <v>2835.71</v>
      </c>
      <c r="K25" s="35" t="n">
        <v>3296.44</v>
      </c>
      <c r="L25" s="35" t="n">
        <v>2667.01</v>
      </c>
      <c r="M25" s="35" t="n">
        <v>2754.41</v>
      </c>
      <c r="N25" s="35" t="n">
        <v>2768.14</v>
      </c>
      <c r="O25" s="3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352.5300000000001</v>
      </c>
      <c r="E26" s="35" t="n">
        <v>13973.44</v>
      </c>
      <c r="F26" s="35" t="n">
        <v>49750.4</v>
      </c>
      <c r="G26" s="35" t="n">
        <v>56699.43</v>
      </c>
      <c r="H26" s="35" t="n">
        <v>69579.19</v>
      </c>
      <c r="I26" s="35" t="n">
        <v>72705.51000000001</v>
      </c>
      <c r="J26" s="35" t="n">
        <v>65497.05000000001</v>
      </c>
      <c r="K26" s="35" t="n">
        <v>67098.87999999999</v>
      </c>
      <c r="L26" s="35" t="n">
        <v>78599.28</v>
      </c>
      <c r="M26" s="35" t="n">
        <v>76531.99000000001</v>
      </c>
      <c r="N26" s="35" t="n">
        <v>74185.14999999999</v>
      </c>
      <c r="O26" s="35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2405.01</v>
      </c>
      <c r="E33" s="35" t="n">
        <v>3903.63</v>
      </c>
      <c r="F33" s="35" t="n">
        <v>5460.79</v>
      </c>
      <c r="G33" s="35" t="n">
        <v>5785.14</v>
      </c>
      <c r="H33" s="35" t="n">
        <v>5284.650000000001</v>
      </c>
      <c r="I33" s="35" t="n">
        <v>5177.1</v>
      </c>
      <c r="J33" s="35" t="n">
        <v>2566.3</v>
      </c>
      <c r="K33" s="35" t="n">
        <v>2670.15</v>
      </c>
      <c r="L33" s="35" t="n">
        <v>1443.61</v>
      </c>
      <c r="M33" s="35" t="n">
        <v>1431.07</v>
      </c>
      <c r="N33" s="35" t="n">
        <v>2961.52</v>
      </c>
      <c r="O33" s="35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14416.61</v>
      </c>
      <c r="E34" s="19" t="n">
        <v>23414.83</v>
      </c>
      <c r="F34" s="19" t="n">
        <v>27532.36</v>
      </c>
      <c r="G34" s="19" t="n">
        <v>25779.65</v>
      </c>
      <c r="H34" s="19" t="n">
        <v>33773.74</v>
      </c>
      <c r="I34" s="19" t="n">
        <v>30440.53</v>
      </c>
      <c r="J34" s="19" t="n">
        <v>32556.12</v>
      </c>
      <c r="K34" s="19" t="n">
        <v>33022.65</v>
      </c>
      <c r="L34" s="19" t="n">
        <v>34124.43</v>
      </c>
      <c r="M34" s="19" t="n">
        <v>36305.58</v>
      </c>
      <c r="N34" s="19" t="n">
        <v>35456.06</v>
      </c>
      <c r="O34" s="19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-58.72</v>
      </c>
      <c r="F36" s="19" t="n">
        <v>-435.19</v>
      </c>
      <c r="G36" s="19" t="n">
        <v>-100.61</v>
      </c>
      <c r="H36" s="19" t="n">
        <v>-77.18000000000001</v>
      </c>
      <c r="I36" s="19" t="n">
        <v>375.23</v>
      </c>
      <c r="J36" s="19" t="n">
        <v>453.95</v>
      </c>
      <c r="K36" s="19" t="n">
        <v>514.95</v>
      </c>
      <c r="L36" s="19" t="n">
        <v>930.95</v>
      </c>
      <c r="M36" s="19" t="n">
        <v>507.56</v>
      </c>
      <c r="N36" s="19" t="n">
        <v>181.33</v>
      </c>
      <c r="O36" s="19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 t="n">
        <v>16472.41</v>
      </c>
      <c r="E38" s="35" t="n">
        <v>28760.39</v>
      </c>
      <c r="F38" s="35" t="n">
        <v>38078.95999999999</v>
      </c>
      <c r="G38" s="35" t="n">
        <v>36352.9</v>
      </c>
      <c r="H38" s="35" t="n">
        <v>45804.82000000001</v>
      </c>
      <c r="I38" s="35" t="n">
        <v>42141.91</v>
      </c>
      <c r="J38" s="35" t="n">
        <v>45065.03000000001</v>
      </c>
      <c r="K38" s="35" t="n">
        <v>45138.34</v>
      </c>
      <c r="L38" s="35" t="n">
        <v>45932.79</v>
      </c>
      <c r="M38" s="35" t="n">
        <v>49501.47</v>
      </c>
      <c r="N38" s="35" t="n">
        <v>47583.18</v>
      </c>
      <c r="O38" s="35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600</v>
      </c>
      <c r="G47" s="35" t="n">
        <v>0</v>
      </c>
      <c r="H47" s="35" t="n">
        <v>2000</v>
      </c>
      <c r="I47" s="35" t="n">
        <v>0</v>
      </c>
      <c r="J47" s="35" t="n">
        <v>479.1</v>
      </c>
      <c r="K47" s="35" t="n">
        <v>1785.35</v>
      </c>
      <c r="L47" s="35" t="n">
        <v>1561.44</v>
      </c>
      <c r="M47" s="35" t="n">
        <v>481</v>
      </c>
      <c r="N47" s="35" t="n">
        <v>2349.4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 t="n">
        <v>55.86</v>
      </c>
      <c r="E56" s="35" t="n">
        <v>576.55</v>
      </c>
      <c r="F56" s="35" t="n">
        <v>675.86</v>
      </c>
      <c r="G56" s="35" t="n">
        <v>745.62</v>
      </c>
      <c r="H56" s="35" t="n">
        <v>407.39</v>
      </c>
      <c r="I56" s="35" t="n">
        <v>797.6799999999999</v>
      </c>
      <c r="J56" s="35" t="n">
        <v>616.1899999999999</v>
      </c>
      <c r="K56" s="35" t="n">
        <v>732.85</v>
      </c>
      <c r="L56" s="35" t="n">
        <v>838.2199999999999</v>
      </c>
      <c r="M56" s="35" t="n">
        <v>1213.72</v>
      </c>
      <c r="N56" s="35" t="n">
        <v>1140</v>
      </c>
      <c r="O56" s="35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9556.02</v>
      </c>
      <c r="E61" s="35" t="n">
        <v>9760.309999999999</v>
      </c>
      <c r="F61" s="35" t="n">
        <v>9640.139999999999</v>
      </c>
      <c r="G61" s="35" t="n">
        <v>9525.940000000001</v>
      </c>
      <c r="H61" s="35" t="n">
        <v>9291.08</v>
      </c>
      <c r="I61" s="35" t="n">
        <v>9362.530000000001</v>
      </c>
      <c r="J61" s="35" t="n">
        <v>9554.35</v>
      </c>
      <c r="K61" s="35" t="n">
        <v>9375.209999999999</v>
      </c>
      <c r="L61" s="35" t="n">
        <v>9664.09</v>
      </c>
      <c r="M61" s="35" t="n">
        <v>9241.09</v>
      </c>
      <c r="N61" s="35" t="n">
        <v>9599.280000000001</v>
      </c>
      <c r="O61" s="35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30083.98</v>
      </c>
      <c r="E62" s="35" t="n">
        <v>50452.71000000001</v>
      </c>
      <c r="F62" s="35" t="n">
        <v>59006.35</v>
      </c>
      <c r="G62" s="35" t="n">
        <v>57596.11000000001</v>
      </c>
      <c r="H62" s="35" t="n">
        <v>65880.51000000001</v>
      </c>
      <c r="I62" s="35" t="n">
        <v>59913.13</v>
      </c>
      <c r="J62" s="35" t="n">
        <v>61447.35000000001</v>
      </c>
      <c r="K62" s="35" t="n">
        <v>63909.04</v>
      </c>
      <c r="L62" s="35" t="n">
        <v>62408.84000000001</v>
      </c>
      <c r="M62" s="35" t="n">
        <v>64961.23000000001</v>
      </c>
      <c r="N62" s="35" t="n">
        <v>66684.20000000001</v>
      </c>
      <c r="O62" s="35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-29731.45</v>
      </c>
      <c r="E63" s="35" t="n">
        <v>-36479.27</v>
      </c>
      <c r="F63" s="35" t="n">
        <v>-9255.949999999995</v>
      </c>
      <c r="G63" s="35" t="n">
        <v>-896.6800000000076</v>
      </c>
      <c r="H63" s="35" t="n">
        <v>3698.679999999993</v>
      </c>
      <c r="I63" s="35" t="n">
        <v>12792.38</v>
      </c>
      <c r="J63" s="35" t="n">
        <v>4049.700000000005</v>
      </c>
      <c r="K63" s="35" t="n">
        <v>3189.839999999989</v>
      </c>
      <c r="L63" s="35" t="n">
        <v>16190.43999999999</v>
      </c>
      <c r="M63" s="35" t="n">
        <v>11570.76</v>
      </c>
      <c r="N63" s="35" t="n">
        <v>7500.949999999983</v>
      </c>
      <c r="O63" s="35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 t="n">
        <v>2812.47</v>
      </c>
      <c r="V65" s="20" t="n">
        <v>2812.47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2222.08</v>
      </c>
      <c r="F69" s="35" t="n">
        <v>2272.52</v>
      </c>
      <c r="G69" s="35" t="n">
        <v>2278.09</v>
      </c>
      <c r="H69" s="35" t="n">
        <v>2374.86</v>
      </c>
      <c r="I69" s="35" t="n">
        <v>2374.86</v>
      </c>
      <c r="J69" s="35" t="n">
        <v>2402.5</v>
      </c>
      <c r="K69" s="35" t="n">
        <v>2402.5</v>
      </c>
      <c r="L69" s="35" t="n">
        <v>2402.5</v>
      </c>
      <c r="M69" s="35" t="n">
        <v>2433.63</v>
      </c>
      <c r="N69" s="35" t="n">
        <v>2433.63</v>
      </c>
      <c r="O69" s="35" t="n">
        <v>8606.440000000001</v>
      </c>
      <c r="P69" s="35" t="n">
        <v>2812.47</v>
      </c>
      <c r="Q69" s="35" t="n">
        <v>3392.4</v>
      </c>
      <c r="R69" s="35" t="n">
        <v>2812.47</v>
      </c>
      <c r="S69" s="35" t="n">
        <v>-1187.53</v>
      </c>
      <c r="T69" s="85" t="n">
        <v>2812.47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-29731.45</v>
      </c>
      <c r="E70" s="35" t="n">
        <v>-38701.35000000001</v>
      </c>
      <c r="F70" s="35" t="n">
        <v>-11528.47</v>
      </c>
      <c r="G70" s="35" t="n">
        <v>-3174.770000000008</v>
      </c>
      <c r="H70" s="35" t="n">
        <v>1323.819999999993</v>
      </c>
      <c r="I70" s="35" t="n">
        <v>10417.52</v>
      </c>
      <c r="J70" s="35" t="n">
        <v>1647.200000000004</v>
      </c>
      <c r="K70" s="35" t="n">
        <v>787.3399999999892</v>
      </c>
      <c r="L70" s="35" t="n">
        <v>13787.93999999999</v>
      </c>
      <c r="M70" s="35" t="n">
        <v>9137.129999999994</v>
      </c>
      <c r="N70" s="35" t="n">
        <v>5067.319999999982</v>
      </c>
      <c r="O70" s="35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6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Barbara (SB)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7458.57</v>
      </c>
      <c r="O13" s="35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271</v>
      </c>
      <c r="O17" s="35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3292.969999999999</v>
      </c>
      <c r="O21" s="35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28.72</v>
      </c>
      <c r="N25" s="35" t="n">
        <v>935.26</v>
      </c>
      <c r="O25" s="3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-28.72</v>
      </c>
      <c r="N26" s="35" t="n">
        <v>2357.709999999999</v>
      </c>
      <c r="O26" s="35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720.71</v>
      </c>
      <c r="N33" s="35" t="n">
        <v>3133.53</v>
      </c>
      <c r="O33" s="35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3279.26</v>
      </c>
      <c r="N38" s="35" t="n">
        <v>20522.79</v>
      </c>
      <c r="O38" s="35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1400</v>
      </c>
      <c r="N47" s="35" t="n">
        <v>0</v>
      </c>
      <c r="O47" s="35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1634.81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1048.75</v>
      </c>
      <c r="O56" s="35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1480</v>
      </c>
      <c r="O60" s="19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9856.969999999999</v>
      </c>
      <c r="L61" s="35" t="n">
        <v>10160.11</v>
      </c>
      <c r="M61" s="35" t="n">
        <v>10289.61</v>
      </c>
      <c r="N61" s="35" t="n">
        <v>21144.15</v>
      </c>
      <c r="O61" s="35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11875.72</v>
      </c>
      <c r="L62" s="35" t="n">
        <v>10160.11</v>
      </c>
      <c r="M62" s="35" t="n">
        <v>23932.64</v>
      </c>
      <c r="N62" s="35" t="n">
        <v>66186.74999999999</v>
      </c>
      <c r="O62" s="35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-11875.72</v>
      </c>
      <c r="L63" s="35" t="n">
        <v>-10160.11</v>
      </c>
      <c r="M63" s="35" t="n">
        <v>-23961.36</v>
      </c>
      <c r="N63" s="35" t="n">
        <v>-63829.03999999999</v>
      </c>
      <c r="O63" s="35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 t="n">
        <v>2483.89</v>
      </c>
      <c r="V65" s="20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30.06</v>
      </c>
      <c r="L69" s="35" t="n">
        <v>28.29</v>
      </c>
      <c r="M69" s="35" t="n">
        <v>1226.85</v>
      </c>
      <c r="N69" s="35" t="n">
        <v>1989.31</v>
      </c>
      <c r="O69" s="35" t="n">
        <v>3449.56</v>
      </c>
      <c r="P69" s="35" t="n">
        <v>2506.58</v>
      </c>
      <c r="Q69" s="35" t="n">
        <v>2592.41</v>
      </c>
      <c r="R69" s="35" t="n">
        <v>2483.89</v>
      </c>
      <c r="S69" s="35" t="n">
        <v>2483.89</v>
      </c>
      <c r="T69" s="85" t="n">
        <v>2483.89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-11905.78</v>
      </c>
      <c r="L70" s="35" t="n">
        <v>-10188.4</v>
      </c>
      <c r="M70" s="35" t="n">
        <v>-25188.21</v>
      </c>
      <c r="N70" s="35" t="n">
        <v>-65818.34999999999</v>
      </c>
      <c r="O70" s="35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4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Monica (SM)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s="35" t="n">
        <v>100348.68</v>
      </c>
      <c r="E13" s="35" t="n">
        <v>136541.82</v>
      </c>
      <c r="F13" s="35" t="n">
        <v>186484.22</v>
      </c>
      <c r="G13" s="35" t="n">
        <v>169767.99</v>
      </c>
      <c r="H13" s="35" t="n">
        <v>182020.73</v>
      </c>
      <c r="I13" s="35" t="n">
        <v>166724.51</v>
      </c>
      <c r="J13" s="35" t="n">
        <v>173487.5</v>
      </c>
      <c r="K13" s="35" t="n">
        <v>164491.84</v>
      </c>
      <c r="L13" s="35" t="n">
        <v>160911.94</v>
      </c>
      <c r="M13" s="35" t="n">
        <v>154976.84</v>
      </c>
      <c r="N13" s="35" t="n">
        <v>144837.86</v>
      </c>
      <c r="O13" s="35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s="19" t="n">
        <v>17910.11</v>
      </c>
      <c r="E14" s="19" t="n">
        <v>23310.99</v>
      </c>
      <c r="F14" s="19" t="n">
        <v>30057</v>
      </c>
      <c r="G14" s="19" t="n">
        <v>39005.34</v>
      </c>
      <c r="H14" s="19" t="n">
        <v>25811.6</v>
      </c>
      <c r="I14" s="19" t="n">
        <v>31929.59</v>
      </c>
      <c r="J14" s="19" t="n">
        <v>28851.77</v>
      </c>
      <c r="K14" s="19" t="n">
        <v>45003.91</v>
      </c>
      <c r="L14" s="19" t="n">
        <v>25869.51</v>
      </c>
      <c r="M14" s="19" t="n">
        <v>34510.81</v>
      </c>
      <c r="N14" s="19" t="n">
        <v>31246.89</v>
      </c>
      <c r="O14" s="19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s="19" t="n">
        <v>2335</v>
      </c>
      <c r="E15" s="19" t="n">
        <v>1635.33</v>
      </c>
      <c r="F15" s="19" t="n">
        <v>3855.83</v>
      </c>
      <c r="G15" s="19" t="n">
        <v>3283.89</v>
      </c>
      <c r="H15" s="19" t="n">
        <v>2358.75</v>
      </c>
      <c r="I15" s="19" t="n">
        <v>3018.36</v>
      </c>
      <c r="J15" s="19" t="n">
        <v>6146.62</v>
      </c>
      <c r="K15" s="19" t="n">
        <v>3875</v>
      </c>
      <c r="L15" s="19" t="n">
        <v>4356.25</v>
      </c>
      <c r="M15" s="19" t="n">
        <v>4130</v>
      </c>
      <c r="N15" s="19" t="n">
        <v>6116.46</v>
      </c>
      <c r="O15" s="19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20245.11</v>
      </c>
      <c r="E17" s="35" t="n">
        <v>25066.32</v>
      </c>
      <c r="F17" s="35" t="n">
        <v>33912.83</v>
      </c>
      <c r="G17" s="35" t="n">
        <v>42289.23</v>
      </c>
      <c r="H17" s="35" t="n">
        <v>29970.35</v>
      </c>
      <c r="I17" s="35" t="n">
        <v>35427.95</v>
      </c>
      <c r="J17" s="35" t="n">
        <v>34998.39</v>
      </c>
      <c r="K17" s="35" t="n">
        <v>57572.42000000001</v>
      </c>
      <c r="L17" s="35" t="n">
        <v>31070.76</v>
      </c>
      <c r="M17" s="35" t="n">
        <v>42200.81</v>
      </c>
      <c r="N17" s="35" t="n">
        <v>38683.35</v>
      </c>
      <c r="O17" s="35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s="19" t="n">
        <v>3870</v>
      </c>
      <c r="E18" s="19" t="n">
        <v>4207</v>
      </c>
      <c r="F18" s="19" t="n">
        <v>3294</v>
      </c>
      <c r="G18" s="19" t="n">
        <v>2111</v>
      </c>
      <c r="H18" s="19" t="n">
        <v>2753</v>
      </c>
      <c r="I18" s="19" t="n">
        <v>3514</v>
      </c>
      <c r="J18" s="19" t="n">
        <v>3095</v>
      </c>
      <c r="K18" s="19" t="n">
        <v>3080</v>
      </c>
      <c r="L18" s="19" t="n">
        <v>2906</v>
      </c>
      <c r="M18" s="19" t="n">
        <v>2358</v>
      </c>
      <c r="N18" s="19" t="n">
        <v>2439</v>
      </c>
      <c r="O18" s="19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s="19" t="n">
        <v>-1190.01</v>
      </c>
      <c r="E19" s="19" t="n">
        <v>-1120.55</v>
      </c>
      <c r="F19" s="19" t="n">
        <v>-3615.48</v>
      </c>
      <c r="G19" s="19" t="n">
        <v>-650</v>
      </c>
      <c r="H19" s="19" t="n">
        <v>-3512.26</v>
      </c>
      <c r="I19" s="19" t="n">
        <v>-2185.9</v>
      </c>
      <c r="J19" s="19" t="n">
        <v>-3189.2</v>
      </c>
      <c r="K19" s="19" t="n">
        <v>-3826.01</v>
      </c>
      <c r="L19" s="19" t="n">
        <v>-2791.5</v>
      </c>
      <c r="M19" s="19" t="n">
        <v>-5972.4</v>
      </c>
      <c r="N19" s="19" t="n">
        <v>-3589.56</v>
      </c>
      <c r="O19" s="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-21472.45</v>
      </c>
      <c r="E20" s="19" t="n">
        <v>-20640.9</v>
      </c>
      <c r="F20" s="19" t="n">
        <v>-24928.8</v>
      </c>
      <c r="G20" s="19" t="n">
        <v>-16974.31</v>
      </c>
      <c r="H20" s="19" t="n">
        <v>-19575</v>
      </c>
      <c r="I20" s="19" t="n">
        <v>-11665.8</v>
      </c>
      <c r="J20" s="19" t="n">
        <v>-11236.45</v>
      </c>
      <c r="K20" s="19" t="n">
        <v>-12583.6</v>
      </c>
      <c r="L20" s="19" t="n">
        <v>-11473.3</v>
      </c>
      <c r="M20" s="19" t="n">
        <v>-12466.45</v>
      </c>
      <c r="N20" s="19" t="n">
        <v>-6846.1</v>
      </c>
      <c r="O20" s="19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148311.18</v>
      </c>
      <c r="E21" s="35" t="n">
        <v>176032.84</v>
      </c>
      <c r="F21" s="35" t="n">
        <v>214257.96</v>
      </c>
      <c r="G21" s="35" t="n">
        <v>206935.56</v>
      </c>
      <c r="H21" s="35" t="n">
        <v>197266.94</v>
      </c>
      <c r="I21" s="35" t="n">
        <v>195239.45</v>
      </c>
      <c r="J21" s="35" t="n">
        <v>199014.62</v>
      </c>
      <c r="K21" s="35" t="n">
        <v>210396.36</v>
      </c>
      <c r="L21" s="35" t="n">
        <v>181180.69</v>
      </c>
      <c r="M21" s="35" t="n">
        <v>181590.51</v>
      </c>
      <c r="N21" s="35" t="n">
        <v>176158.72</v>
      </c>
      <c r="O21" s="35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1819.5</v>
      </c>
      <c r="E23" s="19" t="n">
        <v>1954.75</v>
      </c>
      <c r="F23" s="19" t="n">
        <v>1496.25</v>
      </c>
      <c r="G23" s="19" t="n">
        <v>986</v>
      </c>
      <c r="H23" s="19" t="n">
        <v>1320.5</v>
      </c>
      <c r="I23" s="19" t="n">
        <v>1591.25</v>
      </c>
      <c r="J23" s="19" t="n">
        <v>1491</v>
      </c>
      <c r="K23" s="19" t="n">
        <v>1458.55</v>
      </c>
      <c r="L23" s="19" t="n">
        <v>1286.8</v>
      </c>
      <c r="M23" s="19" t="n">
        <v>1124.6</v>
      </c>
      <c r="N23" s="19" t="n">
        <v>1175.3</v>
      </c>
      <c r="O23" s="19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4882.96</v>
      </c>
      <c r="E24" s="19" t="n">
        <v>6308.44</v>
      </c>
      <c r="F24" s="19" t="n">
        <v>9774.799999999999</v>
      </c>
      <c r="G24" s="19" t="n">
        <v>5902.22</v>
      </c>
      <c r="H24" s="19" t="n">
        <v>6597.41</v>
      </c>
      <c r="I24" s="19" t="n">
        <v>5960.23</v>
      </c>
      <c r="J24" s="19" t="n">
        <v>7919.8</v>
      </c>
      <c r="K24" s="19" t="n">
        <v>5068.26</v>
      </c>
      <c r="L24" s="19" t="n">
        <v>6402.91</v>
      </c>
      <c r="M24" s="19" t="n">
        <v>5212.33</v>
      </c>
      <c r="N24" s="19" t="n">
        <v>5997.67</v>
      </c>
      <c r="O24" s="19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6702.46</v>
      </c>
      <c r="E25" s="35" t="n">
        <v>8263.189999999999</v>
      </c>
      <c r="F25" s="35" t="n">
        <v>11271.05</v>
      </c>
      <c r="G25" s="35" t="n">
        <v>6888.22</v>
      </c>
      <c r="H25" s="35" t="n">
        <v>7917.91</v>
      </c>
      <c r="I25" s="35" t="n">
        <v>7551.48</v>
      </c>
      <c r="J25" s="35" t="n">
        <v>9410.799999999999</v>
      </c>
      <c r="K25" s="35" t="n">
        <v>6526.81</v>
      </c>
      <c r="L25" s="35" t="n">
        <v>7689.71</v>
      </c>
      <c r="M25" s="35" t="n">
        <v>6336.93</v>
      </c>
      <c r="N25" s="35" t="n">
        <v>7172.97</v>
      </c>
      <c r="O25" s="3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141608.72</v>
      </c>
      <c r="E26" s="35" t="n">
        <v>167769.65</v>
      </c>
      <c r="F26" s="35" t="n">
        <v>202986.91</v>
      </c>
      <c r="G26" s="35" t="n">
        <v>200047.34</v>
      </c>
      <c r="H26" s="35" t="n">
        <v>189349.03</v>
      </c>
      <c r="I26" s="35" t="n">
        <v>187687.97</v>
      </c>
      <c r="J26" s="35" t="n">
        <v>189603.82</v>
      </c>
      <c r="K26" s="35" t="n">
        <v>203869.55</v>
      </c>
      <c r="L26" s="35" t="n">
        <v>173490.98</v>
      </c>
      <c r="M26" s="35" t="n">
        <v>175253.58</v>
      </c>
      <c r="N26" s="35" t="n">
        <v>168985.75</v>
      </c>
      <c r="O26" s="35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53.64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53.64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590.91</v>
      </c>
      <c r="O33" s="35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58337.32</v>
      </c>
      <c r="E34" s="19" t="n">
        <v>60902.68</v>
      </c>
      <c r="F34" s="19" t="n">
        <v>73049.28999999999</v>
      </c>
      <c r="G34" s="19" t="n">
        <v>69131.69</v>
      </c>
      <c r="H34" s="19" t="n">
        <v>89216.22</v>
      </c>
      <c r="I34" s="19" t="n">
        <v>69880.00999999999</v>
      </c>
      <c r="J34" s="19" t="n">
        <v>77847.63</v>
      </c>
      <c r="K34" s="19" t="n">
        <v>75567.75</v>
      </c>
      <c r="L34" s="19" t="n">
        <v>77121.36</v>
      </c>
      <c r="M34" s="19" t="n">
        <v>76688.77</v>
      </c>
      <c r="N34" s="19" t="n">
        <v>66281.64</v>
      </c>
      <c r="O34" s="19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s="19" t="n">
        <v>9169.91</v>
      </c>
      <c r="E35" s="19" t="n">
        <v>8321.59</v>
      </c>
      <c r="F35" s="19" t="n">
        <v>8649.07</v>
      </c>
      <c r="G35" s="19" t="n">
        <v>7638.21</v>
      </c>
      <c r="H35" s="19" t="n">
        <v>9215.889999999999</v>
      </c>
      <c r="I35" s="19" t="n">
        <v>7557.03</v>
      </c>
      <c r="J35" s="19" t="n">
        <v>7865.98</v>
      </c>
      <c r="K35" s="19" t="n">
        <v>7514.09</v>
      </c>
      <c r="L35" s="19" t="n">
        <v>7429.54</v>
      </c>
      <c r="M35" s="19" t="n">
        <v>7459.99</v>
      </c>
      <c r="N35" s="19" t="n">
        <v>6405.47</v>
      </c>
      <c r="O35" s="19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s="19" t="n">
        <v>826.02</v>
      </c>
      <c r="E36" s="19" t="n">
        <v>311.99</v>
      </c>
      <c r="F36" s="19" t="n">
        <v>44.96</v>
      </c>
      <c r="G36" s="19" t="n">
        <v>220</v>
      </c>
      <c r="H36" s="19" t="n">
        <v>235</v>
      </c>
      <c r="I36" s="19" t="n">
        <v>365</v>
      </c>
      <c r="J36" s="19" t="n">
        <v>278</v>
      </c>
      <c r="K36" s="19" t="n">
        <v>198</v>
      </c>
      <c r="L36" s="19" t="n">
        <v>440</v>
      </c>
      <c r="M36" s="19" t="n">
        <v>280</v>
      </c>
      <c r="N36" s="19" t="n">
        <v>120</v>
      </c>
      <c r="O36" s="19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s="19" t="n">
        <v>1728.36</v>
      </c>
      <c r="E37" s="19" t="n">
        <v>1326.17</v>
      </c>
      <c r="F37" s="19" t="n">
        <v>842.83</v>
      </c>
      <c r="G37" s="19" t="n">
        <v>680.66</v>
      </c>
      <c r="H37" s="19" t="n">
        <v>690.86</v>
      </c>
      <c r="I37" s="19" t="n">
        <v>680.66</v>
      </c>
      <c r="J37" s="19" t="n">
        <v>859.83</v>
      </c>
      <c r="K37" s="19" t="n">
        <v>1017.59</v>
      </c>
      <c r="L37" s="19" t="n">
        <v>694.26</v>
      </c>
      <c r="M37" s="19" t="n">
        <v>667.0599999999999</v>
      </c>
      <c r="N37" s="19" t="n">
        <v>656.86</v>
      </c>
      <c r="O37" s="19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s="35" t="n">
        <v>87727.52</v>
      </c>
      <c r="E38" s="35" t="n">
        <v>89743.09000000001</v>
      </c>
      <c r="F38" s="35" t="n">
        <v>103464.03</v>
      </c>
      <c r="G38" s="35" t="n">
        <v>96213.46000000001</v>
      </c>
      <c r="H38" s="35" t="n">
        <v>119427.03</v>
      </c>
      <c r="I38" s="35" t="n">
        <v>95846.8</v>
      </c>
      <c r="J38" s="35" t="n">
        <v>103876.39</v>
      </c>
      <c r="K38" s="35" t="n">
        <v>99425.88999999998</v>
      </c>
      <c r="L38" s="35" t="n">
        <v>99128.25999999999</v>
      </c>
      <c r="M38" s="35" t="n">
        <v>99382.08</v>
      </c>
      <c r="N38" s="35" t="n">
        <v>84838.09999999999</v>
      </c>
      <c r="O38" s="35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1758.39</v>
      </c>
      <c r="E39" s="19" t="n">
        <v>701.9400000000001</v>
      </c>
      <c r="F39" s="19" t="n">
        <v>1958.83</v>
      </c>
      <c r="G39" s="19" t="n">
        <v>1254.24</v>
      </c>
      <c r="H39" s="19" t="n">
        <v>1390.3</v>
      </c>
      <c r="I39" s="19" t="n">
        <v>726.25</v>
      </c>
      <c r="J39" s="19" t="n">
        <v>768.99</v>
      </c>
      <c r="K39" s="19" t="n">
        <v>1761.77</v>
      </c>
      <c r="L39" s="19" t="n">
        <v>646</v>
      </c>
      <c r="M39" s="19" t="n">
        <v>979.59</v>
      </c>
      <c r="N39" s="19" t="n">
        <v>1115.08</v>
      </c>
      <c r="O39" s="1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s="19" t="n">
        <v>300.66</v>
      </c>
      <c r="E40" s="19" t="n">
        <v>300.66</v>
      </c>
      <c r="F40" s="19" t="n">
        <v>300.66</v>
      </c>
      <c r="G40" s="19" t="n">
        <v>300.66</v>
      </c>
      <c r="H40" s="19" t="n">
        <v>300.66</v>
      </c>
      <c r="I40" s="19" t="n">
        <v>300.66</v>
      </c>
      <c r="J40" s="19" t="n">
        <v>300.66</v>
      </c>
      <c r="K40" s="19" t="n">
        <v>300.66</v>
      </c>
      <c r="L40" s="19" t="n">
        <v>300.66</v>
      </c>
      <c r="M40" s="19" t="n">
        <v>596.3200000000001</v>
      </c>
      <c r="N40" s="19" t="n">
        <v>596.3200000000001</v>
      </c>
      <c r="O40" s="19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500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49.5</v>
      </c>
      <c r="J44" s="19" t="n">
        <v>49.5</v>
      </c>
      <c r="K44" s="19" t="n">
        <v>49.5</v>
      </c>
      <c r="L44" s="19" t="n">
        <v>57.5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1915.6</v>
      </c>
      <c r="E45" s="19" t="n">
        <v>512.95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285.5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861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2201.1</v>
      </c>
      <c r="E47" s="35" t="n">
        <v>512.95</v>
      </c>
      <c r="F47" s="35" t="n">
        <v>0</v>
      </c>
      <c r="G47" s="35" t="n">
        <v>0</v>
      </c>
      <c r="H47" s="35" t="n">
        <v>1750</v>
      </c>
      <c r="I47" s="35" t="n">
        <v>49.5</v>
      </c>
      <c r="J47" s="35" t="n">
        <v>528.6</v>
      </c>
      <c r="K47" s="35" t="n">
        <v>528.6</v>
      </c>
      <c r="L47" s="35" t="n">
        <v>536.6</v>
      </c>
      <c r="M47" s="35" t="n">
        <v>861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47.56</v>
      </c>
      <c r="E49" s="19" t="n">
        <v>151.46</v>
      </c>
      <c r="F49" s="19" t="n">
        <v>173.85</v>
      </c>
      <c r="G49" s="19" t="n">
        <v>62.56</v>
      </c>
      <c r="H49" s="19" t="n">
        <v>47.07</v>
      </c>
      <c r="I49" s="19" t="n">
        <v>274.46</v>
      </c>
      <c r="J49" s="19" t="n">
        <v>2280.03</v>
      </c>
      <c r="K49" s="19" t="n">
        <v>293.72</v>
      </c>
      <c r="L49" s="19" t="n">
        <v>424.37</v>
      </c>
      <c r="M49" s="19" t="n">
        <v>433.94</v>
      </c>
      <c r="N49" s="19" t="n">
        <v>11.06</v>
      </c>
      <c r="O49" s="1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666.23</v>
      </c>
      <c r="E51" s="19" t="n">
        <v>563.42</v>
      </c>
      <c r="F51" s="19" t="n">
        <v>516.21</v>
      </c>
      <c r="G51" s="19" t="n">
        <v>501.94</v>
      </c>
      <c r="H51" s="19" t="n">
        <v>610.24</v>
      </c>
      <c r="I51" s="19" t="n">
        <v>0</v>
      </c>
      <c r="J51" s="19" t="n">
        <v>866.09</v>
      </c>
      <c r="K51" s="19" t="n">
        <v>821.25</v>
      </c>
      <c r="L51" s="19" t="n">
        <v>1194.78</v>
      </c>
      <c r="M51" s="19" t="n">
        <v>847.88</v>
      </c>
      <c r="N51" s="19" t="n">
        <v>511.01</v>
      </c>
      <c r="O51" s="19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s="19" t="n">
        <v>277.5</v>
      </c>
      <c r="E53" s="19" t="n">
        <v>0</v>
      </c>
      <c r="F53" s="19" t="n">
        <v>192.41</v>
      </c>
      <c r="G53" s="19" t="n">
        <v>143.07</v>
      </c>
      <c r="H53" s="19" t="n">
        <v>143.07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214</v>
      </c>
      <c r="N53" s="19" t="n">
        <v>161.85</v>
      </c>
      <c r="O53" s="19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95.67</v>
      </c>
      <c r="F54" s="19" t="n">
        <v>95.66</v>
      </c>
      <c r="G54" s="19" t="n">
        <v>83.69</v>
      </c>
      <c r="H54" s="19" t="n">
        <v>83.68000000000001</v>
      </c>
      <c r="I54" s="19" t="n">
        <v>94.79000000000001</v>
      </c>
      <c r="J54" s="19" t="n">
        <v>94.79000000000001</v>
      </c>
      <c r="K54" s="19" t="n">
        <v>0</v>
      </c>
      <c r="L54" s="19" t="n">
        <v>0</v>
      </c>
      <c r="M54" s="19" t="n">
        <v>0</v>
      </c>
      <c r="N54" s="19" t="n">
        <v>229.43</v>
      </c>
      <c r="O54" s="19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574</v>
      </c>
      <c r="F55" s="19" t="n">
        <v>362.25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1064.97</v>
      </c>
      <c r="E56" s="35" t="n">
        <v>1233.09</v>
      </c>
      <c r="F56" s="35" t="n">
        <v>1166.53</v>
      </c>
      <c r="G56" s="35" t="n">
        <v>728.7</v>
      </c>
      <c r="H56" s="35" t="n">
        <v>836.99</v>
      </c>
      <c r="I56" s="35" t="n">
        <v>94.79000000000001</v>
      </c>
      <c r="J56" s="35" t="n">
        <v>960.88</v>
      </c>
      <c r="K56" s="35" t="n">
        <v>942.49</v>
      </c>
      <c r="L56" s="35" t="n">
        <v>1316.02</v>
      </c>
      <c r="M56" s="35" t="n">
        <v>1203.13</v>
      </c>
      <c r="N56" s="35" t="n">
        <v>1043.54</v>
      </c>
      <c r="O56" s="35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19" t="n">
        <v>15582.52</v>
      </c>
      <c r="I57" s="19" t="n">
        <v>15582.52</v>
      </c>
      <c r="J57" s="19" t="n">
        <v>15582.52</v>
      </c>
      <c r="K57" s="19" t="n">
        <v>15582.52</v>
      </c>
      <c r="L57" s="19" t="n">
        <v>15582.52</v>
      </c>
      <c r="M57" s="19" t="n">
        <v>15582.52</v>
      </c>
      <c r="N57" s="19" t="n">
        <v>15582.52</v>
      </c>
      <c r="O57" s="19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700</v>
      </c>
      <c r="E59" s="19" t="n">
        <v>1314.97</v>
      </c>
      <c r="F59" s="19" t="n">
        <v>0</v>
      </c>
      <c r="G59" s="19" t="n">
        <v>1765.21</v>
      </c>
      <c r="H59" s="19" t="n">
        <v>1212.27</v>
      </c>
      <c r="I59" s="19" t="n">
        <v>2109.7</v>
      </c>
      <c r="J59" s="19" t="n">
        <v>1976.84</v>
      </c>
      <c r="K59" s="19" t="n">
        <v>1147.41</v>
      </c>
      <c r="L59" s="19" t="n">
        <v>643.53</v>
      </c>
      <c r="M59" s="19" t="n">
        <v>1102.11</v>
      </c>
      <c r="N59" s="19" t="n">
        <v>924.95</v>
      </c>
      <c r="O59" s="1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s="19" t="n">
        <v>7605.49</v>
      </c>
      <c r="E60" s="19" t="n">
        <v>7265.05</v>
      </c>
      <c r="F60" s="19" t="n">
        <v>7866.22</v>
      </c>
      <c r="G60" s="19" t="n">
        <v>9238.219999999999</v>
      </c>
      <c r="H60" s="19" t="n">
        <v>7265.05</v>
      </c>
      <c r="I60" s="19" t="n">
        <v>7265.05</v>
      </c>
      <c r="J60" s="19" t="n">
        <v>7627.65</v>
      </c>
      <c r="K60" s="19" t="n">
        <v>8053.72</v>
      </c>
      <c r="L60" s="19" t="n">
        <v>7648.88</v>
      </c>
      <c r="M60" s="19" t="n">
        <v>7648.88</v>
      </c>
      <c r="N60" s="19" t="n">
        <v>7648.88</v>
      </c>
      <c r="O60" s="19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s="35" t="n">
        <v>23888.01</v>
      </c>
      <c r="E61" s="35" t="n">
        <v>24162.54</v>
      </c>
      <c r="F61" s="35" t="n">
        <v>23448.74</v>
      </c>
      <c r="G61" s="35" t="n">
        <v>26585.95</v>
      </c>
      <c r="H61" s="35" t="n">
        <v>24059.84</v>
      </c>
      <c r="I61" s="35" t="n">
        <v>24957.27</v>
      </c>
      <c r="J61" s="35" t="n">
        <v>25910.47</v>
      </c>
      <c r="K61" s="35" t="n">
        <v>24783.65</v>
      </c>
      <c r="L61" s="35" t="n">
        <v>23874.93</v>
      </c>
      <c r="M61" s="35" t="n">
        <v>24371.9</v>
      </c>
      <c r="N61" s="35" t="n">
        <v>24156.35</v>
      </c>
      <c r="O61" s="35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118754.59</v>
      </c>
      <c r="E62" s="35" t="n">
        <v>119657.58</v>
      </c>
      <c r="F62" s="35" t="n">
        <v>133513.63</v>
      </c>
      <c r="G62" s="35" t="n">
        <v>127748.94</v>
      </c>
      <c r="H62" s="35" t="n">
        <v>150434.04</v>
      </c>
      <c r="I62" s="35" t="n">
        <v>130305.44</v>
      </c>
      <c r="J62" s="35" t="n">
        <v>139357.7</v>
      </c>
      <c r="K62" s="35" t="n">
        <v>129397.84</v>
      </c>
      <c r="L62" s="35" t="n">
        <v>128812.84</v>
      </c>
      <c r="M62" s="35" t="n">
        <v>130390.29</v>
      </c>
      <c r="N62" s="35" t="n">
        <v>113447.97</v>
      </c>
      <c r="O62" s="35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22854.13</v>
      </c>
      <c r="E63" s="35" t="n">
        <v>48112.07000000001</v>
      </c>
      <c r="F63" s="35" t="n">
        <v>69473.27999999997</v>
      </c>
      <c r="G63" s="35" t="n">
        <v>72298.39999999999</v>
      </c>
      <c r="H63" s="35" t="n">
        <v>38914.98999999993</v>
      </c>
      <c r="I63" s="35" t="n">
        <v>57382.53000000003</v>
      </c>
      <c r="J63" s="35" t="n">
        <v>50246.12</v>
      </c>
      <c r="K63" s="35" t="n">
        <v>74471.71000000002</v>
      </c>
      <c r="L63" s="35" t="n">
        <v>44678.14000000004</v>
      </c>
      <c r="M63" s="35" t="n">
        <v>44863.28999999995</v>
      </c>
      <c r="N63" s="35" t="n">
        <v>55537.78</v>
      </c>
      <c r="O63" s="35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1930.47</v>
      </c>
      <c r="E65" s="19" t="n">
        <v>1926.7</v>
      </c>
      <c r="F65" s="19" t="n">
        <v>1926.7</v>
      </c>
      <c r="G65" s="19" t="n">
        <v>1936.47</v>
      </c>
      <c r="H65" s="19" t="n">
        <v>1957.26</v>
      </c>
      <c r="I65" s="19" t="n">
        <v>1964.48</v>
      </c>
      <c r="J65" s="19" t="n">
        <v>1985.01</v>
      </c>
      <c r="K65" s="19" t="n">
        <v>1985.01</v>
      </c>
      <c r="L65" s="19" t="n">
        <v>1985.01</v>
      </c>
      <c r="M65" s="19" t="n">
        <v>1985.01</v>
      </c>
      <c r="N65" s="19" t="n">
        <v>1985.01</v>
      </c>
      <c r="O65" s="19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 t="n">
        <v>2293.28</v>
      </c>
      <c r="V65" s="20" t="n">
        <v>2293.28</v>
      </c>
      <c r="W65" s="20" t="n">
        <v>2293.28</v>
      </c>
      <c r="X65" s="20" t="n">
        <v>2293.28</v>
      </c>
      <c r="Y65" s="20" t="n">
        <v>2293.28</v>
      </c>
      <c r="Z65" s="20" t="n">
        <v>2293.28</v>
      </c>
      <c r="AA65" s="20" t="n">
        <v>2293.28</v>
      </c>
      <c r="AB65" s="20" t="n">
        <v>2293.28</v>
      </c>
      <c r="AC65" s="20" t="n">
        <v>2293.28</v>
      </c>
      <c r="AD65" s="20" t="n">
        <v>2293.28</v>
      </c>
      <c r="AE65" s="20" t="n">
        <v>2293.28</v>
      </c>
      <c r="AF65" s="20" t="n">
        <v>2293.28</v>
      </c>
      <c r="AG65" s="20" t="n">
        <v>2293.28</v>
      </c>
      <c r="AH65" s="20" t="n">
        <v>2293.28</v>
      </c>
      <c r="AI65" s="20" t="n">
        <v>2293.28</v>
      </c>
      <c r="AJ65" s="20" t="n">
        <v>2293.28</v>
      </c>
      <c r="AK65" s="20" t="n">
        <v>2293.28</v>
      </c>
      <c r="AL65" s="20" t="n">
        <v>2293.28</v>
      </c>
      <c r="AM65" s="20" t="n">
        <v>2293.28</v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928.2</v>
      </c>
      <c r="J68" s="19" t="n">
        <v>3161.09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1930.47</v>
      </c>
      <c r="E69" s="35" t="n">
        <v>1926.7</v>
      </c>
      <c r="F69" s="35" t="n">
        <v>1926.7</v>
      </c>
      <c r="G69" s="35" t="n">
        <v>1936.47</v>
      </c>
      <c r="H69" s="35" t="n">
        <v>1957.26</v>
      </c>
      <c r="I69" s="35" t="n">
        <v>2892.68</v>
      </c>
      <c r="J69" s="35" t="n">
        <v>5146.1</v>
      </c>
      <c r="K69" s="35" t="n">
        <v>1985.01</v>
      </c>
      <c r="L69" s="35" t="n">
        <v>3930.01</v>
      </c>
      <c r="M69" s="35" t="n">
        <v>5875.01</v>
      </c>
      <c r="N69" s="35" t="n">
        <v>5875.01</v>
      </c>
      <c r="O69" s="35" t="n">
        <v>9818.83</v>
      </c>
      <c r="P69" s="35" t="n">
        <v>6183.280000000001</v>
      </c>
      <c r="Q69" s="35" t="n">
        <v>7255.240000000001</v>
      </c>
      <c r="R69" s="35" t="n">
        <v>6183.280000000001</v>
      </c>
      <c r="S69" s="35" t="n">
        <v>6200.25</v>
      </c>
      <c r="T69" s="85" t="n">
        <v>4238.280000000001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20923.66</v>
      </c>
      <c r="E70" s="35" t="n">
        <v>46185.37000000001</v>
      </c>
      <c r="F70" s="35" t="n">
        <v>67546.57999999997</v>
      </c>
      <c r="G70" s="35" t="n">
        <v>70361.92999999999</v>
      </c>
      <c r="H70" s="35" t="n">
        <v>36957.72999999993</v>
      </c>
      <c r="I70" s="35" t="n">
        <v>54489.85000000003</v>
      </c>
      <c r="J70" s="35" t="n">
        <v>45100.02</v>
      </c>
      <c r="K70" s="35" t="n">
        <v>72486.70000000003</v>
      </c>
      <c r="L70" s="35" t="n">
        <v>40748.13000000004</v>
      </c>
      <c r="M70" s="35" t="n">
        <v>38988.27999999995</v>
      </c>
      <c r="N70" s="35" t="n">
        <v>49662.77</v>
      </c>
      <c r="O70" s="35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zoomScale="129" zoomScaleNormal="129" workbookViewId="0">
      <pane xSplit="3" ySplit="5" topLeftCell="O45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 Portal (WP)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34.84</v>
      </c>
      <c r="O25" s="3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-34.84</v>
      </c>
      <c r="O26" s="35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2419.8</v>
      </c>
      <c r="O33" s="35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5631.25</v>
      </c>
      <c r="O47" s="35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290.95</v>
      </c>
      <c r="O56" s="35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10605.32</v>
      </c>
      <c r="M61" s="35" t="n">
        <v>10734.07</v>
      </c>
      <c r="N61" s="35" t="n">
        <v>11567.02</v>
      </c>
      <c r="O61" s="35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4462</v>
      </c>
      <c r="L62" s="35" t="n">
        <v>10626.23</v>
      </c>
      <c r="M62" s="35" t="n">
        <v>11307.21</v>
      </c>
      <c r="N62" s="35" t="n">
        <v>21192.49</v>
      </c>
      <c r="O62" s="35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-4462</v>
      </c>
      <c r="L63" s="35" t="n">
        <v>-10626.23</v>
      </c>
      <c r="M63" s="35" t="n">
        <v>-11307.21</v>
      </c>
      <c r="N63" s="35" t="n">
        <v>-21227.33</v>
      </c>
      <c r="O63" s="35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 t="n">
        <v>1038.11</v>
      </c>
      <c r="V65" s="20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4.88</v>
      </c>
      <c r="I69" s="35" t="n">
        <v>4.88</v>
      </c>
      <c r="J69" s="35" t="n">
        <v>14.63</v>
      </c>
      <c r="K69" s="35" t="n">
        <v>42.21</v>
      </c>
      <c r="L69" s="35" t="n">
        <v>469.44</v>
      </c>
      <c r="M69" s="35" t="n">
        <v>635.23</v>
      </c>
      <c r="N69" s="35" t="n">
        <v>635.23</v>
      </c>
      <c r="O69" s="35" t="n">
        <v>-201.99</v>
      </c>
      <c r="P69" s="35" t="n">
        <v>772.58</v>
      </c>
      <c r="Q69" s="35" t="n">
        <v>826.9299999999999</v>
      </c>
      <c r="R69" s="35" t="n">
        <v>1038.11</v>
      </c>
      <c r="S69" s="35" t="n">
        <v>1038.11</v>
      </c>
      <c r="T69" s="85" t="n">
        <v>1038.11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-4.88</v>
      </c>
      <c r="I70" s="35" t="n">
        <v>-4.88</v>
      </c>
      <c r="J70" s="35" t="n">
        <v>-14.63</v>
      </c>
      <c r="K70" s="35" t="n">
        <v>-4504.21</v>
      </c>
      <c r="L70" s="35" t="n">
        <v>-11095.67</v>
      </c>
      <c r="M70" s="35" t="n">
        <v>-11942.44</v>
      </c>
      <c r="N70" s="35" t="n">
        <v>-21862.56</v>
      </c>
      <c r="O70" s="35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5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Westwood (WW)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s="35" t="n">
        <v>53253.7</v>
      </c>
      <c r="E13" s="35" t="n">
        <v>72583.04000000001</v>
      </c>
      <c r="F13" s="35" t="n">
        <v>96139.31</v>
      </c>
      <c r="G13" s="35" t="n">
        <v>75230.96000000001</v>
      </c>
      <c r="H13" s="35" t="n">
        <v>74203.67</v>
      </c>
      <c r="I13" s="35" t="n">
        <v>68368.60000000001</v>
      </c>
      <c r="J13" s="35" t="n">
        <v>77823.11</v>
      </c>
      <c r="K13" s="35" t="n">
        <v>61126.11</v>
      </c>
      <c r="L13" s="35" t="n">
        <v>60943.02</v>
      </c>
      <c r="M13" s="35" t="n">
        <v>60681.14</v>
      </c>
      <c r="N13" s="35" t="n">
        <v>54219.77</v>
      </c>
      <c r="O13" s="35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s="19" t="n">
        <v>4839</v>
      </c>
      <c r="E14" s="19" t="n">
        <v>6272.2</v>
      </c>
      <c r="F14" s="19" t="n">
        <v>10426.7</v>
      </c>
      <c r="G14" s="19" t="n">
        <v>13423.2</v>
      </c>
      <c r="H14" s="19" t="n">
        <v>10291.36</v>
      </c>
      <c r="I14" s="19" t="n">
        <v>11899.57</v>
      </c>
      <c r="J14" s="19" t="n">
        <v>9913.809999999999</v>
      </c>
      <c r="K14" s="19" t="n">
        <v>12502.81</v>
      </c>
      <c r="L14" s="19" t="n">
        <v>9702.5</v>
      </c>
      <c r="M14" s="19" t="n">
        <v>11728.26</v>
      </c>
      <c r="N14" s="19" t="n">
        <v>10875.53</v>
      </c>
      <c r="O14" s="19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s="19" t="n">
        <v>166</v>
      </c>
      <c r="E15" s="19" t="n">
        <v>2245</v>
      </c>
      <c r="F15" s="19" t="n">
        <v>466.25</v>
      </c>
      <c r="G15" s="19" t="n">
        <v>1377.5</v>
      </c>
      <c r="H15" s="19" t="n">
        <v>1225</v>
      </c>
      <c r="I15" s="19" t="n">
        <v>2135</v>
      </c>
      <c r="J15" s="19" t="n">
        <v>1745</v>
      </c>
      <c r="K15" s="19" t="n">
        <v>857.14</v>
      </c>
      <c r="L15" s="19" t="n">
        <v>1180</v>
      </c>
      <c r="M15" s="19" t="n">
        <v>3338</v>
      </c>
      <c r="N15" s="19" t="n">
        <v>1280</v>
      </c>
      <c r="O15" s="19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s="19" t="n">
        <v>480</v>
      </c>
      <c r="E16" s="19" t="n">
        <v>160</v>
      </c>
      <c r="F16" s="19" t="n">
        <v>160</v>
      </c>
      <c r="G16" s="19" t="n">
        <v>0</v>
      </c>
      <c r="H16" s="19" t="n">
        <v>715</v>
      </c>
      <c r="I16" s="19" t="n">
        <v>320</v>
      </c>
      <c r="J16" s="19" t="n">
        <v>1440</v>
      </c>
      <c r="K16" s="19" t="n">
        <v>320</v>
      </c>
      <c r="L16" s="19" t="n">
        <v>160</v>
      </c>
      <c r="M16" s="19" t="n">
        <v>640</v>
      </c>
      <c r="N16" s="19" t="n">
        <v>1280</v>
      </c>
      <c r="O16" s="19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s="35" t="n">
        <v>5485</v>
      </c>
      <c r="E17" s="35" t="n">
        <v>8677.200000000001</v>
      </c>
      <c r="F17" s="35" t="n">
        <v>11052.95</v>
      </c>
      <c r="G17" s="35" t="n">
        <v>14800.7</v>
      </c>
      <c r="H17" s="35" t="n">
        <v>12231.36</v>
      </c>
      <c r="I17" s="35" t="n">
        <v>14354.57</v>
      </c>
      <c r="J17" s="35" t="n">
        <v>13632.81</v>
      </c>
      <c r="K17" s="35" t="n">
        <v>13679.95</v>
      </c>
      <c r="L17" s="35" t="n">
        <v>11042.5</v>
      </c>
      <c r="M17" s="35" t="n">
        <v>15706.26</v>
      </c>
      <c r="N17" s="35" t="n">
        <v>15035.53</v>
      </c>
      <c r="O17" s="35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s="19" t="n">
        <v>6152</v>
      </c>
      <c r="E18" s="19" t="n">
        <v>3339.92</v>
      </c>
      <c r="F18" s="19" t="n">
        <v>2502</v>
      </c>
      <c r="G18" s="19" t="n">
        <v>2155</v>
      </c>
      <c r="H18" s="19" t="n">
        <v>2116</v>
      </c>
      <c r="I18" s="19" t="n">
        <v>1734</v>
      </c>
      <c r="J18" s="19" t="n">
        <v>2791</v>
      </c>
      <c r="K18" s="19" t="n">
        <v>2366</v>
      </c>
      <c r="L18" s="19" t="n">
        <v>1863</v>
      </c>
      <c r="M18" s="19" t="n">
        <v>2455</v>
      </c>
      <c r="N18" s="19" t="n">
        <v>1235</v>
      </c>
      <c r="O18" s="19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s="19" t="n">
        <v>-385</v>
      </c>
      <c r="E19" s="19" t="n">
        <v>-58</v>
      </c>
      <c r="F19" s="19" t="n">
        <v>-1918</v>
      </c>
      <c r="G19" s="19" t="n">
        <v>-565</v>
      </c>
      <c r="H19" s="19" t="n">
        <v>-1870</v>
      </c>
      <c r="I19" s="19" t="n">
        <v>-3281</v>
      </c>
      <c r="J19" s="19" t="n">
        <v>-1484</v>
      </c>
      <c r="K19" s="19" t="n">
        <v>0</v>
      </c>
      <c r="L19" s="19" t="n">
        <v>-3722</v>
      </c>
      <c r="M19" s="19" t="n">
        <v>-1053</v>
      </c>
      <c r="N19" s="19" t="n">
        <v>-1318.5</v>
      </c>
      <c r="O19" s="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s="19" t="n">
        <v>-11260.9</v>
      </c>
      <c r="E20" s="19" t="n">
        <v>-10833.7</v>
      </c>
      <c r="F20" s="19" t="n">
        <v>-13115.9</v>
      </c>
      <c r="G20" s="19" t="n">
        <v>-9269.83</v>
      </c>
      <c r="H20" s="19" t="n">
        <v>-8808</v>
      </c>
      <c r="I20" s="19" t="n">
        <v>-6955.6</v>
      </c>
      <c r="J20" s="19" t="n">
        <v>-3731.55</v>
      </c>
      <c r="K20" s="19" t="n">
        <v>-8091</v>
      </c>
      <c r="L20" s="19" t="n">
        <v>-8771.5</v>
      </c>
      <c r="M20" s="19" t="n">
        <v>-5432.72</v>
      </c>
      <c r="N20" s="19" t="n">
        <v>-5242.4</v>
      </c>
      <c r="O20" s="19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64463.02999999999</v>
      </c>
      <c r="E21" s="35" t="n">
        <v>79792.51000000001</v>
      </c>
      <c r="F21" s="35" t="n">
        <v>97840.41</v>
      </c>
      <c r="G21" s="35" t="n">
        <v>83903.77</v>
      </c>
      <c r="H21" s="35" t="n">
        <v>78473.75</v>
      </c>
      <c r="I21" s="35" t="n">
        <v>74619.28</v>
      </c>
      <c r="J21" s="35" t="n">
        <v>89249.84</v>
      </c>
      <c r="K21" s="35" t="n">
        <v>69295.19</v>
      </c>
      <c r="L21" s="35" t="n">
        <v>61491.32000000001</v>
      </c>
      <c r="M21" s="35" t="n">
        <v>72451.08</v>
      </c>
      <c r="N21" s="35" t="n">
        <v>63966.4</v>
      </c>
      <c r="O21" s="35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2799.5</v>
      </c>
      <c r="E23" s="19" t="n">
        <v>1557.5</v>
      </c>
      <c r="F23" s="19" t="n">
        <v>1159.5</v>
      </c>
      <c r="G23" s="19" t="n">
        <v>1021.25</v>
      </c>
      <c r="H23" s="19" t="n">
        <v>1015</v>
      </c>
      <c r="I23" s="19" t="n">
        <v>839</v>
      </c>
      <c r="J23" s="19" t="n">
        <v>1382</v>
      </c>
      <c r="K23" s="19" t="n">
        <v>1147.25</v>
      </c>
      <c r="L23" s="19" t="n">
        <v>933</v>
      </c>
      <c r="M23" s="19" t="n">
        <v>1188</v>
      </c>
      <c r="N23" s="19" t="n">
        <v>614</v>
      </c>
      <c r="O23" s="19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2921.69</v>
      </c>
      <c r="E24" s="19" t="n">
        <v>2096.46</v>
      </c>
      <c r="F24" s="19" t="n">
        <v>2432.33</v>
      </c>
      <c r="G24" s="19" t="n">
        <v>1768.34</v>
      </c>
      <c r="H24" s="19" t="n">
        <v>2119.79</v>
      </c>
      <c r="I24" s="19" t="n">
        <v>2070.91</v>
      </c>
      <c r="J24" s="19" t="n">
        <v>2121.41</v>
      </c>
      <c r="K24" s="19" t="n">
        <v>1369.72</v>
      </c>
      <c r="L24" s="19" t="n">
        <v>2153.23</v>
      </c>
      <c r="M24" s="19" t="n">
        <v>1736.16</v>
      </c>
      <c r="N24" s="19" t="n">
        <v>1871.58</v>
      </c>
      <c r="O24" s="19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5721.190000000001</v>
      </c>
      <c r="E25" s="35" t="n">
        <v>3653.96</v>
      </c>
      <c r="F25" s="35" t="n">
        <v>3591.83</v>
      </c>
      <c r="G25" s="35" t="n">
        <v>2789.59</v>
      </c>
      <c r="H25" s="35" t="n">
        <v>3134.79</v>
      </c>
      <c r="I25" s="35" t="n">
        <v>2909.91</v>
      </c>
      <c r="J25" s="35" t="n">
        <v>3503.41</v>
      </c>
      <c r="K25" s="35" t="n">
        <v>2516.97</v>
      </c>
      <c r="L25" s="35" t="n">
        <v>3086.23</v>
      </c>
      <c r="M25" s="35" t="n">
        <v>2924.16</v>
      </c>
      <c r="N25" s="35" t="n">
        <v>2485.58</v>
      </c>
      <c r="O25" s="3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58741.83999999999</v>
      </c>
      <c r="E26" s="35" t="n">
        <v>76138.55</v>
      </c>
      <c r="F26" s="35" t="n">
        <v>94248.58</v>
      </c>
      <c r="G26" s="35" t="n">
        <v>81114.18000000001</v>
      </c>
      <c r="H26" s="35" t="n">
        <v>75338.96000000001</v>
      </c>
      <c r="I26" s="35" t="n">
        <v>71709.37</v>
      </c>
      <c r="J26" s="35" t="n">
        <v>85746.42999999999</v>
      </c>
      <c r="K26" s="35" t="n">
        <v>66778.22</v>
      </c>
      <c r="L26" s="35" t="n">
        <v>58405.09</v>
      </c>
      <c r="M26" s="35" t="n">
        <v>69526.92</v>
      </c>
      <c r="N26" s="35" t="n">
        <v>61480.82</v>
      </c>
      <c r="O26" s="35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5583.91</v>
      </c>
      <c r="E28" s="19" t="n">
        <v>4111.28</v>
      </c>
      <c r="F28" s="19" t="n">
        <v>5455.76</v>
      </c>
      <c r="G28" s="19" t="n">
        <v>4201.5</v>
      </c>
      <c r="H28" s="19" t="n">
        <v>5710.77</v>
      </c>
      <c r="I28" s="19" t="n">
        <v>5142.58</v>
      </c>
      <c r="J28" s="19" t="n">
        <v>2513.85</v>
      </c>
      <c r="K28" s="19" t="n">
        <v>3737.88</v>
      </c>
      <c r="L28" s="19" t="n">
        <v>2396.1</v>
      </c>
      <c r="M28" s="19" t="n">
        <v>2483.27</v>
      </c>
      <c r="N28" s="19" t="n">
        <v>3074.26</v>
      </c>
      <c r="O28" s="19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336.84</v>
      </c>
      <c r="H30" s="19" t="n">
        <v>238.02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5583.91</v>
      </c>
      <c r="E33" s="35" t="n">
        <v>4111.28</v>
      </c>
      <c r="F33" s="35" t="n">
        <v>5455.76</v>
      </c>
      <c r="G33" s="35" t="n">
        <v>4538.34</v>
      </c>
      <c r="H33" s="35" t="n">
        <v>5948.790000000001</v>
      </c>
      <c r="I33" s="35" t="n">
        <v>5142.58</v>
      </c>
      <c r="J33" s="35" t="n">
        <v>2513.85</v>
      </c>
      <c r="K33" s="35" t="n">
        <v>3737.88</v>
      </c>
      <c r="L33" s="35" t="n">
        <v>2396.1</v>
      </c>
      <c r="M33" s="35" t="n">
        <v>2483.27</v>
      </c>
      <c r="N33" s="35" t="n">
        <v>3074.26</v>
      </c>
      <c r="O33" s="35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27077.73</v>
      </c>
      <c r="E34" s="19" t="n">
        <v>32061.5</v>
      </c>
      <c r="F34" s="19" t="n">
        <v>37591.94</v>
      </c>
      <c r="G34" s="19" t="n">
        <v>32272.05</v>
      </c>
      <c r="H34" s="19" t="n">
        <v>35638.26</v>
      </c>
      <c r="I34" s="19" t="n">
        <v>33008.3</v>
      </c>
      <c r="J34" s="19" t="n">
        <v>33445.76</v>
      </c>
      <c r="K34" s="19" t="n">
        <v>34893.25</v>
      </c>
      <c r="L34" s="19" t="n">
        <v>34455.83</v>
      </c>
      <c r="M34" s="19" t="n">
        <v>34637.82</v>
      </c>
      <c r="N34" s="19" t="n">
        <v>27904.25</v>
      </c>
      <c r="O34" s="19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s="19" t="n">
        <v>4220.65</v>
      </c>
      <c r="E35" s="19" t="n">
        <v>4852.48</v>
      </c>
      <c r="F35" s="19" t="n">
        <v>4990.88</v>
      </c>
      <c r="G35" s="19" t="n">
        <v>3964.9</v>
      </c>
      <c r="H35" s="19" t="n">
        <v>4114.33</v>
      </c>
      <c r="I35" s="19" t="n">
        <v>3607.11</v>
      </c>
      <c r="J35" s="19" t="n">
        <v>3610.81</v>
      </c>
      <c r="K35" s="19" t="n">
        <v>3622.97</v>
      </c>
      <c r="L35" s="19" t="n">
        <v>3601.54</v>
      </c>
      <c r="M35" s="19" t="n">
        <v>3653.63</v>
      </c>
      <c r="N35" s="19" t="n">
        <v>3253.01</v>
      </c>
      <c r="O35" s="19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s="19" t="n">
        <v>353.07</v>
      </c>
      <c r="E36" s="19" t="n">
        <v>450.16</v>
      </c>
      <c r="F36" s="19" t="n">
        <v>447.54</v>
      </c>
      <c r="G36" s="19" t="n">
        <v>3061.35</v>
      </c>
      <c r="H36" s="19" t="n">
        <v>839.33</v>
      </c>
      <c r="I36" s="19" t="n">
        <v>1226.49</v>
      </c>
      <c r="J36" s="19" t="n">
        <v>172.52</v>
      </c>
      <c r="K36" s="19" t="n">
        <v>698.71</v>
      </c>
      <c r="L36" s="19" t="n">
        <v>889.77</v>
      </c>
      <c r="M36" s="19" t="n">
        <v>740.48</v>
      </c>
      <c r="N36" s="19" t="n">
        <v>711.2</v>
      </c>
      <c r="O36" s="19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s="19" t="n">
        <v>1642.89</v>
      </c>
      <c r="E37" s="19" t="n">
        <v>411.29</v>
      </c>
      <c r="F37" s="19" t="n">
        <v>428.39</v>
      </c>
      <c r="G37" s="19" t="n">
        <v>546.36</v>
      </c>
      <c r="H37" s="19" t="n">
        <v>419.84</v>
      </c>
      <c r="I37" s="19" t="n">
        <v>425.54</v>
      </c>
      <c r="J37" s="19" t="n">
        <v>534.96</v>
      </c>
      <c r="K37" s="19" t="n">
        <v>609.8099999999999</v>
      </c>
      <c r="L37" s="19" t="n">
        <v>650.08</v>
      </c>
      <c r="M37" s="19" t="n">
        <v>425.54</v>
      </c>
      <c r="N37" s="19" t="n">
        <v>641.53</v>
      </c>
      <c r="O37" s="19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s="35" t="n">
        <v>41686.02</v>
      </c>
      <c r="E38" s="35" t="n">
        <v>48516.96000000001</v>
      </c>
      <c r="F38" s="35" t="n">
        <v>53506.38</v>
      </c>
      <c r="G38" s="35" t="n">
        <v>48424.94</v>
      </c>
      <c r="H38" s="35" t="n">
        <v>49565.77</v>
      </c>
      <c r="I38" s="35" t="n">
        <v>43723.78000000001</v>
      </c>
      <c r="J38" s="35" t="n">
        <v>43425.73</v>
      </c>
      <c r="K38" s="35" t="n">
        <v>45404.95</v>
      </c>
      <c r="L38" s="35" t="n">
        <v>45501.65</v>
      </c>
      <c r="M38" s="35" t="n">
        <v>45520.52</v>
      </c>
      <c r="N38" s="35" t="n">
        <v>38773.28</v>
      </c>
      <c r="O38" s="35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740.83</v>
      </c>
      <c r="E39" s="19" t="n">
        <v>694.22</v>
      </c>
      <c r="F39" s="19" t="n">
        <v>618.25</v>
      </c>
      <c r="G39" s="19" t="n">
        <v>1500.01</v>
      </c>
      <c r="H39" s="19" t="n">
        <v>1288.95</v>
      </c>
      <c r="I39" s="19" t="n">
        <v>486.45</v>
      </c>
      <c r="J39" s="19" t="n">
        <v>762.9400000000001</v>
      </c>
      <c r="K39" s="19" t="n">
        <v>1714.72</v>
      </c>
      <c r="L39" s="19" t="n">
        <v>645</v>
      </c>
      <c r="M39" s="19" t="n">
        <v>753.1</v>
      </c>
      <c r="N39" s="19" t="n">
        <v>777.6</v>
      </c>
      <c r="O39" s="1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s="19" t="n">
        <v>1804.29</v>
      </c>
      <c r="E40" s="19" t="n">
        <v>2018.29</v>
      </c>
      <c r="F40" s="19" t="n">
        <v>1911.29</v>
      </c>
      <c r="G40" s="19" t="n">
        <v>1911.29</v>
      </c>
      <c r="H40" s="19" t="n">
        <v>1911.29</v>
      </c>
      <c r="I40" s="19" t="n">
        <v>1911.29</v>
      </c>
      <c r="J40" s="19" t="n">
        <v>1911.29</v>
      </c>
      <c r="K40" s="19" t="n">
        <v>1911.29</v>
      </c>
      <c r="L40" s="19" t="n">
        <v>1911.29</v>
      </c>
      <c r="M40" s="19" t="n">
        <v>2269.41</v>
      </c>
      <c r="N40" s="19" t="n">
        <v>2269.41</v>
      </c>
      <c r="O40" s="19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140.5</v>
      </c>
      <c r="F44" s="19" t="n">
        <v>248</v>
      </c>
      <c r="G44" s="19" t="n">
        <v>45.25</v>
      </c>
      <c r="H44" s="19" t="n">
        <v>1345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162.5</v>
      </c>
      <c r="N44" s="19" t="n">
        <v>154.54</v>
      </c>
      <c r="O44" s="19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743.5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140.5</v>
      </c>
      <c r="F47" s="35" t="n">
        <v>248</v>
      </c>
      <c r="G47" s="35" t="n">
        <v>45.25</v>
      </c>
      <c r="H47" s="35" t="n">
        <v>1345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906</v>
      </c>
      <c r="N47" s="35" t="n">
        <v>635.54</v>
      </c>
      <c r="O47" s="35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s="19" t="n">
        <v>0</v>
      </c>
      <c r="E49" s="19" t="n">
        <v>72.86</v>
      </c>
      <c r="F49" s="19" t="n">
        <v>51.25</v>
      </c>
      <c r="G49" s="19" t="n">
        <v>156.68</v>
      </c>
      <c r="H49" s="19" t="n">
        <v>111.67</v>
      </c>
      <c r="I49" s="19" t="n">
        <v>0</v>
      </c>
      <c r="J49" s="19" t="n">
        <v>130.25</v>
      </c>
      <c r="K49" s="19" t="n">
        <v>0</v>
      </c>
      <c r="L49" s="19" t="n">
        <v>205.66</v>
      </c>
      <c r="M49" s="19" t="n">
        <v>88.48999999999999</v>
      </c>
      <c r="N49" s="19" t="n">
        <v>0</v>
      </c>
      <c r="O49" s="1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634.51</v>
      </c>
      <c r="E51" s="19" t="n">
        <v>0</v>
      </c>
      <c r="F51" s="19" t="n">
        <v>0</v>
      </c>
      <c r="G51" s="19" t="n">
        <v>504.23</v>
      </c>
      <c r="H51" s="19" t="n">
        <v>303.91</v>
      </c>
      <c r="I51" s="19" t="n">
        <v>214.85</v>
      </c>
      <c r="J51" s="19" t="n">
        <v>0</v>
      </c>
      <c r="K51" s="19" t="n">
        <v>1498.15</v>
      </c>
      <c r="L51" s="19" t="n">
        <v>316.89</v>
      </c>
      <c r="M51" s="19" t="n">
        <v>633.78</v>
      </c>
      <c r="N51" s="19" t="n">
        <v>591.92</v>
      </c>
      <c r="O51" s="19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s="19" t="n">
        <v>131.2</v>
      </c>
      <c r="E53" s="19" t="n">
        <v>165.49</v>
      </c>
      <c r="F53" s="19" t="n">
        <v>229</v>
      </c>
      <c r="G53" s="19" t="n">
        <v>67.52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323.39</v>
      </c>
      <c r="F54" s="19" t="n">
        <v>167.83</v>
      </c>
      <c r="G54" s="19" t="n">
        <v>167.82</v>
      </c>
      <c r="H54" s="19" t="n">
        <v>186.23</v>
      </c>
      <c r="I54" s="19" t="n">
        <v>186.22</v>
      </c>
      <c r="J54" s="19" t="n">
        <v>0</v>
      </c>
      <c r="K54" s="19" t="n">
        <v>360.18</v>
      </c>
      <c r="L54" s="19" t="n">
        <v>0</v>
      </c>
      <c r="M54" s="19" t="n">
        <v>458.86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886.95</v>
      </c>
      <c r="E56" s="35" t="n">
        <v>610.12</v>
      </c>
      <c r="F56" s="35" t="n">
        <v>518.0700000000001</v>
      </c>
      <c r="G56" s="35" t="n">
        <v>860.8099999999999</v>
      </c>
      <c r="H56" s="35" t="n">
        <v>611.38</v>
      </c>
      <c r="I56" s="35" t="n">
        <v>522.3099999999999</v>
      </c>
      <c r="J56" s="35" t="n">
        <v>121.24</v>
      </c>
      <c r="K56" s="35" t="n">
        <v>1979.57</v>
      </c>
      <c r="L56" s="35" t="n">
        <v>438.13</v>
      </c>
      <c r="M56" s="35" t="n">
        <v>1213.88</v>
      </c>
      <c r="N56" s="35" t="n">
        <v>768.3699999999999</v>
      </c>
      <c r="O56" s="35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19" t="n">
        <v>19577.86</v>
      </c>
      <c r="I57" s="19" t="n">
        <v>19577.86</v>
      </c>
      <c r="J57" s="19" t="n">
        <v>19577.86</v>
      </c>
      <c r="K57" s="19" t="n">
        <v>19616.62</v>
      </c>
      <c r="L57" s="19" t="n">
        <v>19577.86</v>
      </c>
      <c r="M57" s="19" t="n">
        <v>19577.86</v>
      </c>
      <c r="N57" s="19" t="n">
        <v>19577.86</v>
      </c>
      <c r="O57" s="19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185</v>
      </c>
      <c r="G58" s="19" t="n">
        <v>0</v>
      </c>
      <c r="H58" s="19" t="n">
        <v>587.5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783.16</v>
      </c>
      <c r="E59" s="19" t="n">
        <v>128.11</v>
      </c>
      <c r="F59" s="19" t="n">
        <v>63</v>
      </c>
      <c r="G59" s="19" t="n">
        <v>0</v>
      </c>
      <c r="H59" s="19" t="n">
        <v>27.67</v>
      </c>
      <c r="I59" s="19" t="n">
        <v>234.71</v>
      </c>
      <c r="J59" s="19" t="n">
        <v>343.49</v>
      </c>
      <c r="K59" s="19" t="n">
        <v>68.45</v>
      </c>
      <c r="L59" s="19" t="n">
        <v>50.52</v>
      </c>
      <c r="M59" s="19" t="n">
        <v>145.17</v>
      </c>
      <c r="N59" s="19" t="n">
        <v>388.16</v>
      </c>
      <c r="O59" s="1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s="19" t="n">
        <v>1888.83</v>
      </c>
      <c r="E60" s="19" t="n">
        <v>1888.83</v>
      </c>
      <c r="F60" s="19" t="n">
        <v>3187.57</v>
      </c>
      <c r="G60" s="19" t="n">
        <v>1888.83</v>
      </c>
      <c r="H60" s="19" t="n">
        <v>1888.83</v>
      </c>
      <c r="I60" s="19" t="n">
        <v>1888.83</v>
      </c>
      <c r="J60" s="19" t="n">
        <v>1888.83</v>
      </c>
      <c r="K60" s="19" t="n">
        <v>1888.83</v>
      </c>
      <c r="L60" s="19" t="n">
        <v>1888.83</v>
      </c>
      <c r="M60" s="19" t="n">
        <v>1888.83</v>
      </c>
      <c r="N60" s="19" t="n">
        <v>1888.83</v>
      </c>
      <c r="O60" s="19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s="35" t="n">
        <v>22249.85</v>
      </c>
      <c r="E61" s="35" t="n">
        <v>21594.8</v>
      </c>
      <c r="F61" s="35" t="n">
        <v>23013.43</v>
      </c>
      <c r="G61" s="35" t="n">
        <v>21466.69</v>
      </c>
      <c r="H61" s="35" t="n">
        <v>22102.11</v>
      </c>
      <c r="I61" s="35" t="n">
        <v>21701.4</v>
      </c>
      <c r="J61" s="35" t="n">
        <v>21810.18</v>
      </c>
      <c r="K61" s="35" t="n">
        <v>21573.9</v>
      </c>
      <c r="L61" s="35" t="n">
        <v>21828.18</v>
      </c>
      <c r="M61" s="35" t="n">
        <v>21611.86</v>
      </c>
      <c r="N61" s="35" t="n">
        <v>22029.85</v>
      </c>
      <c r="O61" s="35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74715.5</v>
      </c>
      <c r="E62" s="35" t="n">
        <v>79972.21000000002</v>
      </c>
      <c r="F62" s="35" t="n">
        <v>86871.42000000001</v>
      </c>
      <c r="G62" s="35" t="n">
        <v>80987.43000000001</v>
      </c>
      <c r="H62" s="35" t="n">
        <v>84089.39</v>
      </c>
      <c r="I62" s="35" t="n">
        <v>74296.08</v>
      </c>
      <c r="J62" s="35" t="n">
        <v>72219.26999999999</v>
      </c>
      <c r="K62" s="35" t="n">
        <v>78468.29999999999</v>
      </c>
      <c r="L62" s="35" t="n">
        <v>74380.94</v>
      </c>
      <c r="M62" s="35" t="n">
        <v>78501.21999999999</v>
      </c>
      <c r="N62" s="35" t="n">
        <v>70171.54999999999</v>
      </c>
      <c r="O62" s="35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-15973.66000000001</v>
      </c>
      <c r="E63" s="35" t="n">
        <v>-3833.660000000018</v>
      </c>
      <c r="F63" s="35" t="n">
        <v>7377.159999999989</v>
      </c>
      <c r="G63" s="35" t="n">
        <v>126.75</v>
      </c>
      <c r="H63" s="35" t="n">
        <v>-8750.429999999993</v>
      </c>
      <c r="I63" s="35" t="n">
        <v>-2586.710000000006</v>
      </c>
      <c r="J63" s="35" t="n">
        <v>13527.16</v>
      </c>
      <c r="K63" s="35" t="n">
        <v>-11690.07999999999</v>
      </c>
      <c r="L63" s="35" t="n">
        <v>-15975.85</v>
      </c>
      <c r="M63" s="35" t="n">
        <v>-8974.299999999988</v>
      </c>
      <c r="N63" s="35" t="n">
        <v>-8690.729999999989</v>
      </c>
      <c r="O63" s="35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1861.07</v>
      </c>
      <c r="E65" s="19" t="n">
        <v>1866.22</v>
      </c>
      <c r="F65" s="19" t="n">
        <v>1927.7</v>
      </c>
      <c r="G65" s="19" t="n">
        <v>1941.94</v>
      </c>
      <c r="H65" s="19" t="n">
        <v>1941.94</v>
      </c>
      <c r="I65" s="19" t="n">
        <v>1941.94</v>
      </c>
      <c r="J65" s="19" t="n">
        <v>1947.15</v>
      </c>
      <c r="K65" s="19" t="n">
        <v>1950.35</v>
      </c>
      <c r="L65" s="19" t="n">
        <v>1950.35</v>
      </c>
      <c r="M65" s="19" t="n">
        <v>1950.35</v>
      </c>
      <c r="N65" s="19" t="n">
        <v>1991.93</v>
      </c>
      <c r="O65" s="19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 t="n">
        <v>1780.99</v>
      </c>
      <c r="V65" s="20" t="n">
        <v>1780.99</v>
      </c>
      <c r="W65" s="20" t="n">
        <v>1780.99</v>
      </c>
      <c r="X65" s="20" t="n">
        <v>1780.99</v>
      </c>
      <c r="Y65" s="20" t="n">
        <v>1780.99</v>
      </c>
      <c r="Z65" s="20" t="n">
        <v>1780.99</v>
      </c>
      <c r="AA65" s="20" t="n">
        <v>1780.99</v>
      </c>
      <c r="AB65" s="20" t="n">
        <v>1780.99</v>
      </c>
      <c r="AC65" s="20" t="n">
        <v>1780.99</v>
      </c>
      <c r="AD65" s="20" t="n">
        <v>1780.99</v>
      </c>
      <c r="AE65" s="20" t="n">
        <v>1780.99</v>
      </c>
      <c r="AF65" s="20" t="n">
        <v>1780.99</v>
      </c>
      <c r="AG65" s="20" t="n">
        <v>1780.99</v>
      </c>
      <c r="AH65" s="20" t="n">
        <v>1780.99</v>
      </c>
      <c r="AI65" s="20" t="n">
        <v>1780.99</v>
      </c>
      <c r="AJ65" s="20" t="n">
        <v>1780.99</v>
      </c>
      <c r="AK65" s="20" t="n">
        <v>1780.99</v>
      </c>
      <c r="AL65" s="20" t="n">
        <v>1780.99</v>
      </c>
      <c r="AM65" s="20" t="n">
        <v>1780.99</v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s="19" t="n">
        <v>3356.51</v>
      </c>
      <c r="E68" s="19" t="n">
        <v>3526.51</v>
      </c>
      <c r="F68" s="19" t="n">
        <v>3441.51</v>
      </c>
      <c r="G68" s="19" t="n">
        <v>3441.51</v>
      </c>
      <c r="H68" s="19" t="n">
        <v>3441.51</v>
      </c>
      <c r="I68" s="19" t="n">
        <v>3441.51</v>
      </c>
      <c r="J68" s="19" t="n">
        <v>5341.36</v>
      </c>
      <c r="K68" s="19" t="n">
        <v>3441.51</v>
      </c>
      <c r="L68" s="19" t="n">
        <v>3441.51</v>
      </c>
      <c r="M68" s="19" t="n">
        <v>3441.51</v>
      </c>
      <c r="N68" s="19" t="n">
        <v>3441.51</v>
      </c>
      <c r="O68" s="19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s="35" t="n">
        <v>5217.58</v>
      </c>
      <c r="E69" s="35" t="n">
        <v>5392.73</v>
      </c>
      <c r="F69" s="35" t="n">
        <v>5369.21</v>
      </c>
      <c r="G69" s="35" t="n">
        <v>5383.450000000001</v>
      </c>
      <c r="H69" s="35" t="n">
        <v>5383.450000000001</v>
      </c>
      <c r="I69" s="35" t="n">
        <v>5383.450000000001</v>
      </c>
      <c r="J69" s="35" t="n">
        <v>7288.51</v>
      </c>
      <c r="K69" s="35" t="n">
        <v>5391.860000000001</v>
      </c>
      <c r="L69" s="35" t="n">
        <v>5391.860000000001</v>
      </c>
      <c r="M69" s="35" t="n">
        <v>5391.860000000001</v>
      </c>
      <c r="N69" s="35" t="n">
        <v>4433.440000000001</v>
      </c>
      <c r="O69" s="35" t="n">
        <v>3242.35</v>
      </c>
      <c r="P69" s="35" t="n">
        <v>5453.99</v>
      </c>
      <c r="Q69" s="35" t="n">
        <v>5949.49</v>
      </c>
      <c r="R69" s="35" t="n">
        <v>5453.99</v>
      </c>
      <c r="S69" s="35" t="n">
        <v>5453.99</v>
      </c>
      <c r="T69" s="85" t="n">
        <v>5453.99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-21191.24000000001</v>
      </c>
      <c r="E70" s="35" t="n">
        <v>-9226.390000000018</v>
      </c>
      <c r="F70" s="35" t="n">
        <v>2007.949999999989</v>
      </c>
      <c r="G70" s="35" t="n">
        <v>-5256.700000000001</v>
      </c>
      <c r="H70" s="35" t="n">
        <v>-14133.87999999999</v>
      </c>
      <c r="I70" s="35" t="n">
        <v>-7970.160000000007</v>
      </c>
      <c r="J70" s="35" t="n">
        <v>6238.650000000003</v>
      </c>
      <c r="K70" s="35" t="n">
        <v>-17081.93999999999</v>
      </c>
      <c r="L70" s="35" t="n">
        <v>-21367.71</v>
      </c>
      <c r="M70" s="35" t="n">
        <v>-14366.15999999999</v>
      </c>
      <c r="N70" s="35" t="n">
        <v>-13124.16999999999</v>
      </c>
      <c r="O70" s="35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AY4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37" sqref="K37"/>
    </sheetView>
  </sheetViews>
  <sheetFormatPr baseColWidth="8" defaultColWidth="8.796875" defaultRowHeight="14.25"/>
  <cols>
    <col hidden="1" width="2" customWidth="1" style="142" min="1" max="1"/>
    <col width="34" customWidth="1" style="142" min="2" max="2"/>
    <col width="10" customWidth="1" style="142" min="3" max="3"/>
    <col width="12" customWidth="1" style="142" min="4" max="39"/>
  </cols>
  <sheetData>
    <row r="2" ht="21" customHeight="1" s="14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.05" customHeight="1" s="14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7" t="inlineStr">
        <is>
          <t>May 2026 (A)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.05" customHeight="1" s="14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40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 t="n">
        <v>9441.620000000001</v>
      </c>
      <c r="E12" s="52" t="n">
        <v>7875</v>
      </c>
      <c r="F12" s="52" t="n">
        <v>12535.78</v>
      </c>
      <c r="G12" s="52" t="n">
        <v>4154.75</v>
      </c>
      <c r="H12" s="52" t="n">
        <v>8933.119999999999</v>
      </c>
      <c r="I12" s="52" t="n">
        <v>5078.32</v>
      </c>
      <c r="J12" s="52" t="n">
        <v>9266.110000000001</v>
      </c>
      <c r="K12" s="52" t="n">
        <v>4392.54</v>
      </c>
      <c r="L12" s="52" t="n">
        <v>11327.19</v>
      </c>
      <c r="M12" s="52" t="n">
        <v>10476.92</v>
      </c>
      <c r="N12" s="52" t="n">
        <v>7045.88</v>
      </c>
      <c r="O12" s="5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52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s="40" t="n">
        <v>46604.9</v>
      </c>
      <c r="E13" s="40" t="n">
        <v>40553.62</v>
      </c>
      <c r="F13" s="40" t="n">
        <v>47993.76</v>
      </c>
      <c r="G13" s="40" t="n">
        <v>46363.05</v>
      </c>
      <c r="H13" s="40" t="n">
        <v>66787.03</v>
      </c>
      <c r="I13" s="40" t="n">
        <v>71896.64999999999</v>
      </c>
      <c r="J13" s="40" t="n">
        <v>72722.8</v>
      </c>
      <c r="K13" s="40" t="n">
        <v>71497.48</v>
      </c>
      <c r="L13" s="40" t="n">
        <v>74650.55</v>
      </c>
      <c r="M13" s="40" t="n">
        <v>74274.97</v>
      </c>
      <c r="N13" s="40" t="n">
        <v>75085.28999999999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s="40" t="n">
        <v>0</v>
      </c>
      <c r="E15" s="40" t="n">
        <v>-200.13</v>
      </c>
      <c r="F15" s="40" t="n">
        <v>-874.15</v>
      </c>
      <c r="G15" s="40" t="n">
        <v>-1650.62</v>
      </c>
      <c r="H15" s="40" t="n">
        <v>-1945.37</v>
      </c>
      <c r="I15" s="40" t="n">
        <v>-555.8</v>
      </c>
      <c r="J15" s="40" t="n">
        <v>-1397.68</v>
      </c>
      <c r="K15" s="40" t="n">
        <v>3027.07</v>
      </c>
      <c r="L15" s="40" t="n">
        <v>387.74</v>
      </c>
      <c r="M15" s="40" t="n">
        <v>347.38</v>
      </c>
      <c r="N15" s="40" t="n">
        <v>2459.78</v>
      </c>
      <c r="O15" s="40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40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40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 t="n">
        <v>62648.89999999999</v>
      </c>
      <c r="E17" s="52" t="n">
        <v>58481.13</v>
      </c>
      <c r="F17" s="52" t="n">
        <v>59031.05</v>
      </c>
      <c r="G17" s="52" t="n">
        <v>60132.63</v>
      </c>
      <c r="H17" s="52" t="n">
        <v>79736.25999999998</v>
      </c>
      <c r="I17" s="52" t="n">
        <v>89413.07000000001</v>
      </c>
      <c r="J17" s="52" t="n">
        <v>89900.96000000001</v>
      </c>
      <c r="K17" s="52" t="n">
        <v>96141.71000000001</v>
      </c>
      <c r="L17" s="52" t="n">
        <v>97319.71000000001</v>
      </c>
      <c r="M17" s="52" t="n">
        <v>98018.94000000002</v>
      </c>
      <c r="N17" s="52" t="n">
        <v>97152.52</v>
      </c>
      <c r="O17" s="52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52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40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>
        <v>4144.25</v>
      </c>
      <c r="L20" s="40" t="n">
        <v>2058</v>
      </c>
      <c r="M20" s="40" t="n"/>
      <c r="N20" s="40" t="n"/>
      <c r="O20" s="40" t="n"/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40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D19+D20+D21</f>
        <v/>
      </c>
      <c r="E22" s="52">
        <f>E19+E20+E21</f>
        <v/>
      </c>
      <c r="F22" s="52">
        <f>F19+F20+F21</f>
        <v/>
      </c>
      <c r="G22" s="52">
        <f>G19+G20+G21</f>
        <v/>
      </c>
      <c r="H22" s="52">
        <f>H19+H20+H21</f>
        <v/>
      </c>
      <c r="I22" s="52">
        <f>I19+I20+I21</f>
        <v/>
      </c>
      <c r="J22" s="52">
        <f>J19+J20+J21</f>
        <v/>
      </c>
      <c r="K22" s="52">
        <f>K19+K20+K21</f>
        <v/>
      </c>
      <c r="L22" s="52">
        <f>L19+L20+L21</f>
        <v/>
      </c>
      <c r="M22" s="52">
        <f>M19+M20+M21</f>
        <v/>
      </c>
      <c r="N22" s="52">
        <f>N19+N20+N21</f>
        <v/>
      </c>
      <c r="O22" s="5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 t="n">
        <v>8831.51</v>
      </c>
      <c r="E27" s="52" t="n">
        <v>2601.17</v>
      </c>
      <c r="F27" s="52" t="n">
        <v>2092.62</v>
      </c>
      <c r="G27" s="52" t="n">
        <v>918.14</v>
      </c>
      <c r="H27" s="52" t="n">
        <v>2640.46</v>
      </c>
      <c r="I27" s="52" t="n">
        <v>27747.1</v>
      </c>
      <c r="J27" s="52" t="n">
        <v>10765.52</v>
      </c>
      <c r="K27" s="52" t="n">
        <v>5887.290000000001</v>
      </c>
      <c r="L27" s="52" t="n">
        <v>19435.99</v>
      </c>
      <c r="M27" s="52" t="n">
        <v>52418.54</v>
      </c>
      <c r="N27" s="52" t="n">
        <v>33009.73</v>
      </c>
      <c r="O27" s="52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52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s="40" t="n">
        <v>175.46</v>
      </c>
      <c r="E29" s="40" t="n">
        <v>1090.72</v>
      </c>
      <c r="F29" s="40" t="n">
        <v>1456.61</v>
      </c>
      <c r="G29" s="40" t="n">
        <v>13.02</v>
      </c>
      <c r="H29" s="40" t="n">
        <v>255.81</v>
      </c>
      <c r="I29" s="40" t="n">
        <v>140.05</v>
      </c>
      <c r="J29" s="40" t="n">
        <v>297.99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40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 t="n">
        <v>202.42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66.8</v>
      </c>
      <c r="L32" s="52" t="n">
        <v>0</v>
      </c>
      <c r="M32" s="52" t="n">
        <v>0</v>
      </c>
      <c r="N32" s="52" t="n">
        <v>993.46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52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1" t="n">
        <v>1188.6</v>
      </c>
      <c r="V33" s="41" t="n">
        <v>1188.6</v>
      </c>
      <c r="W33" s="41" t="n">
        <v>1188.6</v>
      </c>
      <c r="X33" s="41" t="n">
        <v>1188.6</v>
      </c>
      <c r="Y33" s="41" t="n">
        <v>1188.6</v>
      </c>
      <c r="Z33" s="41" t="n">
        <v>1188.6</v>
      </c>
      <c r="AA33" s="41" t="n">
        <v>1188.6</v>
      </c>
      <c r="AB33" s="41" t="n">
        <v>1188.6</v>
      </c>
      <c r="AC33" s="41" t="n">
        <v>1188.6</v>
      </c>
      <c r="AD33" s="41" t="n">
        <v>1188.6</v>
      </c>
      <c r="AE33" s="41" t="n">
        <v>1188.6</v>
      </c>
      <c r="AF33" s="41" t="n">
        <v>1188.6</v>
      </c>
      <c r="AG33" s="41" t="n">
        <v>1188.6</v>
      </c>
      <c r="AH33" s="41" t="n">
        <v>1188.6</v>
      </c>
      <c r="AI33" s="41" t="n">
        <v>1188.6</v>
      </c>
      <c r="AJ33" s="41" t="n">
        <v>1188.6</v>
      </c>
      <c r="AK33" s="41" t="n">
        <v>1188.6</v>
      </c>
      <c r="AL33" s="41" t="n">
        <v>1188.6</v>
      </c>
      <c r="AM33" s="41" t="n">
        <v>1188.6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 t="n">
        <v>93736.42</v>
      </c>
      <c r="E35" s="52" t="n">
        <v>78385.84000000001</v>
      </c>
      <c r="F35" s="52" t="n">
        <v>81821.95</v>
      </c>
      <c r="G35" s="52" t="n">
        <v>71244.76000000002</v>
      </c>
      <c r="H35" s="52" t="n">
        <v>93472.14999999998</v>
      </c>
      <c r="I35" s="52" t="n">
        <v>133860.62</v>
      </c>
      <c r="J35" s="52" t="n">
        <v>114239.98</v>
      </c>
      <c r="K35" s="52">
        <f>112568.03+4144.25</f>
        <v/>
      </c>
      <c r="L35" s="52">
        <f>135055.3+2025</f>
        <v/>
      </c>
      <c r="M35" s="52" t="n">
        <v>177046.83</v>
      </c>
      <c r="N35" s="52" t="n">
        <v>143855.32</v>
      </c>
      <c r="O35" s="52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52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 t="n">
        <v>-102558.76</v>
      </c>
      <c r="E36" s="52" t="n">
        <v>-78385.84000000001</v>
      </c>
      <c r="F36" s="52" t="n">
        <v>-81821.95</v>
      </c>
      <c r="G36" s="52" t="n">
        <v>-71244.76000000002</v>
      </c>
      <c r="H36" s="52" t="n">
        <v>-93472.14999999998</v>
      </c>
      <c r="I36" s="52" t="n">
        <v>-133860.62</v>
      </c>
      <c r="J36" s="52" t="n">
        <v>-114239.98</v>
      </c>
      <c r="K36" s="52">
        <f>-112568.03-4144.25</f>
        <v/>
      </c>
      <c r="L36" s="52">
        <f>-135055.3-2058</f>
        <v/>
      </c>
      <c r="M36" s="52" t="n">
        <v>-177046.83</v>
      </c>
      <c r="N36" s="52" t="n">
        <v>-143855.32</v>
      </c>
      <c r="O36" s="52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52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.05" customHeight="1" s="14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40" t="n">
        <v>0</v>
      </c>
      <c r="U39" s="41" t="n">
        <v>14026</v>
      </c>
      <c r="V39" s="41" t="n">
        <v>14026</v>
      </c>
      <c r="W39" s="41" t="n">
        <v>14026</v>
      </c>
      <c r="X39" s="41">
        <f>'Cash Flow Forecast'!X49+1333.3333</f>
        <v/>
      </c>
      <c r="Y39" s="41">
        <f>'Cash Flow Forecast'!Y49+1333.3333</f>
        <v/>
      </c>
      <c r="Z39" s="41">
        <f>'Cash Flow Forecast'!Z49+1333.3333</f>
        <v/>
      </c>
      <c r="AA39" s="41">
        <f>'Cash Flow Forecast'!AA49+1333.3333</f>
        <v/>
      </c>
      <c r="AB39" s="41">
        <f>'Cash Flow Forecast'!AB49+1333.3333</f>
        <v/>
      </c>
      <c r="AC39" s="41">
        <f>'Cash Flow Forecast'!AC49+1333.3333</f>
        <v/>
      </c>
      <c r="AD39" s="41">
        <f>'Cash Flow Forecast'!AD49+1333.3333</f>
        <v/>
      </c>
      <c r="AE39" s="41">
        <f>'Cash Flow Forecast'!AE49+1333.3333</f>
        <v/>
      </c>
      <c r="AF39" s="41">
        <f>'Cash Flow Forecast'!AF49+1333.3333</f>
        <v/>
      </c>
      <c r="AG39" s="41">
        <f>'Cash Flow Forecast'!AG49+1333.3333</f>
        <v/>
      </c>
      <c r="AH39" s="41">
        <f>'Cash Flow Forecast'!AH49+1333.3333</f>
        <v/>
      </c>
      <c r="AI39" s="41">
        <f>'Cash Flow Forecast'!AI49+1333.3333</f>
        <v/>
      </c>
      <c r="AJ39" s="41">
        <f>'Cash Flow Forecast'!AJ49+1333.3333</f>
        <v/>
      </c>
      <c r="AK39" s="41">
        <f>'Cash Flow Forecast'!AK49+1333.3333</f>
        <v/>
      </c>
      <c r="AL39" s="41">
        <f>'Cash Flow Forecast'!AL49+1333.3333</f>
        <v/>
      </c>
      <c r="AM39" s="41">
        <f>'Cash Flow Forecast'!AM49+1333.3333</f>
        <v/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>
        <v>-22.9</v>
      </c>
      <c r="Q40" s="40" t="n">
        <v>0</v>
      </c>
      <c r="R40" s="40" t="n">
        <v>0</v>
      </c>
      <c r="S40" s="40" t="n">
        <v>0</v>
      </c>
      <c r="T40" s="40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s="52" t="n">
        <v>407.03</v>
      </c>
      <c r="E41" s="52" t="n">
        <v>9448.27</v>
      </c>
      <c r="F41" s="52" t="n">
        <v>2107.03</v>
      </c>
      <c r="G41" s="52" t="n">
        <v>1208.58</v>
      </c>
      <c r="H41" s="52" t="n">
        <v>408.58</v>
      </c>
      <c r="I41" s="52" t="n">
        <v>382.03</v>
      </c>
      <c r="J41" s="52" t="n">
        <v>382.03</v>
      </c>
      <c r="K41" s="52" t="n">
        <v>382.03</v>
      </c>
      <c r="L41" s="52" t="n">
        <v>12882.03</v>
      </c>
      <c r="M41" s="52" t="n">
        <v>12676.49</v>
      </c>
      <c r="N41" s="52" t="n">
        <v>11780.63</v>
      </c>
      <c r="O41" s="52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52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s="52" t="n">
        <v>-102965.79</v>
      </c>
      <c r="E42" s="52" t="n">
        <v>-87834.11000000002</v>
      </c>
      <c r="F42" s="52" t="n">
        <v>-83928.98</v>
      </c>
      <c r="G42" s="52" t="n">
        <v>-72453.34000000003</v>
      </c>
      <c r="H42" s="52" t="n">
        <v>-93880.72999999998</v>
      </c>
      <c r="I42" s="52" t="n">
        <v>-134242.65</v>
      </c>
      <c r="J42" s="52" t="n">
        <v>-114622.01</v>
      </c>
      <c r="K42" s="52" t="n">
        <v>-112950.06</v>
      </c>
      <c r="L42" s="52" t="n">
        <v>-147937.33</v>
      </c>
      <c r="M42" s="52" t="n">
        <v>-189723.32</v>
      </c>
      <c r="N42" s="52" t="n">
        <v>-155635.95</v>
      </c>
      <c r="O42" s="5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52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  <row r="46">
      <c r="K46" s="88" t="n"/>
      <c r="L46" s="8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4" customWidth="1" style="142" min="3" max="3"/>
    <col width="16" customWidth="1" style="142" min="4" max="4"/>
    <col width="14" customWidth="1" style="142" min="5" max="7"/>
  </cols>
  <sheetData>
    <row r="2" ht="21" customHeight="1" s="14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.05" customHeight="1" s="14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50" customWidth="1" style="142" min="2" max="2"/>
    <col width="14" customWidth="1" style="142" min="3" max="10"/>
  </cols>
  <sheetData>
    <row r="2" ht="21" customHeight="1" s="14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.05" customHeight="1" s="14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.05" customHeight="1" s="14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.05" customHeight="1" s="142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2026-06-30T23:41:40Z</dcterms:modified>
  <cp:lastModifiedBy>Jason Grunfeld</cp:lastModifiedBy>
</cp:coreProperties>
</file>