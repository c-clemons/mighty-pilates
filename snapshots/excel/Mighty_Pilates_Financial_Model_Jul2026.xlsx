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2160" yWindow="-1360" windowWidth="30240" windowHeight="1898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ales Forecast" sheetId="5" state="visible" r:id="rId5"/>
    <sheet xmlns:r="http://schemas.openxmlformats.org/officeDocument/2006/relationships" name="Cash, Debt &amp; Equity" sheetId="6" state="visible" r:id="rId6"/>
    <sheet xmlns:r="http://schemas.openxmlformats.org/officeDocument/2006/relationships" name="Cash Flow Forecast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All Studios Summary" sheetId="9" state="visible" r:id="rId9"/>
    <sheet xmlns:r="http://schemas.openxmlformats.org/officeDocument/2006/relationships" name="BK P&amp;L" sheetId="10" state="visible" r:id="rId10"/>
    <sheet xmlns:r="http://schemas.openxmlformats.org/officeDocument/2006/relationships" name="CC P&amp;L" sheetId="11" state="visible" r:id="rId11"/>
    <sheet xmlns:r="http://schemas.openxmlformats.org/officeDocument/2006/relationships" name="DN P&amp;L" sheetId="12" state="visible" r:id="rId12"/>
    <sheet xmlns:r="http://schemas.openxmlformats.org/officeDocument/2006/relationships" name="LF P&amp;L" sheetId="13" state="visible" r:id="rId13"/>
    <sheet xmlns:r="http://schemas.openxmlformats.org/officeDocument/2006/relationships" name="MR P&amp;L" sheetId="14" state="visible" r:id="rId14"/>
    <sheet xmlns:r="http://schemas.openxmlformats.org/officeDocument/2006/relationships" name="OP P&amp;L" sheetId="15" state="visible" r:id="rId15"/>
    <sheet xmlns:r="http://schemas.openxmlformats.org/officeDocument/2006/relationships" name="PH P&amp;L" sheetId="16" state="visible" r:id="rId16"/>
    <sheet xmlns:r="http://schemas.openxmlformats.org/officeDocument/2006/relationships" name="RH P&amp;L" sheetId="17" state="visible" r:id="rId17"/>
    <sheet xmlns:r="http://schemas.openxmlformats.org/officeDocument/2006/relationships" name="SB P&amp;L" sheetId="18" state="visible" r:id="rId18"/>
    <sheet xmlns:r="http://schemas.openxmlformats.org/officeDocument/2006/relationships" name="SM P&amp;L" sheetId="19" state="visible" r:id="rId19"/>
    <sheet xmlns:r="http://schemas.openxmlformats.org/officeDocument/2006/relationships" name="WP P&amp;L" sheetId="20" state="visible" r:id="rId20"/>
    <sheet xmlns:r="http://schemas.openxmlformats.org/officeDocument/2006/relationships" name="WW P&amp;L" sheetId="21" state="visible" r:id="rId21"/>
    <sheet xmlns:r="http://schemas.openxmlformats.org/officeDocument/2006/relationships" name="HO P&amp;L" sheetId="22" state="visible" r:id="rId22"/>
    <sheet xmlns:r="http://schemas.openxmlformats.org/officeDocument/2006/relationships" name="CapEx" sheetId="23" state="visible" r:id="rId23"/>
    <sheet xmlns:r="http://schemas.openxmlformats.org/officeDocument/2006/relationships" name="QBO Actual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[Red]\(#,##0\);&quot;-&quot;"/>
    <numFmt numFmtId="165" formatCode="0.0%"/>
    <numFmt numFmtId="166" formatCode="#,##0;[Red](#,##0);&quot;-&quot;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</fonts>
  <fills count="22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00E8F4E8"/>
        <bgColor rgb="00E8F4E8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164" fontId="9" fillId="17" borderId="5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6" pivotButton="0" quotePrefix="0" xfId="0"/>
    <xf numFmtId="164" fontId="5" fillId="5" borderId="7" pivotButton="0" quotePrefix="0" xfId="0"/>
    <xf numFmtId="165" fontId="5" fillId="0" borderId="8" pivotButton="0" quotePrefix="0" xfId="0"/>
    <xf numFmtId="165" fontId="5" fillId="0" borderId="9" pivotButton="0" quotePrefix="0" xfId="0"/>
    <xf numFmtId="3" fontId="1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6" fontId="9" fillId="21" borderId="10" pivotButton="0" quotePrefix="0" xfId="0"/>
    <xf numFmtId="166" fontId="6" fillId="21" borderId="10" pivotButton="0" quotePrefix="0" xfId="0"/>
    <xf numFmtId="166" fontId="5" fillId="21" borderId="10" pivotButton="0" quotePrefix="0" xfId="0"/>
    <xf numFmtId="166" fontId="6" fillId="0" borderId="1" pivotButton="0" quotePrefix="0" xfId="0"/>
    <xf numFmtId="166" fontId="17" fillId="21" borderId="10" pivotButton="0" quotePrefix="0" xfId="0"/>
    <xf numFmtId="166" fontId="15" fillId="21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Summary!$B$6</f>
              <strCache>
                <ptCount val="1"/>
                <pt idx="0">
                  <v>Total Sales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Summary!$D$5:$AM$5</f>
              <strCache>
                <ptCount val="36"/>
                <pt idx="0">
                  <v>Jan 2026 (A)</v>
                </pt>
                <pt idx="1">
                  <v>Feb 2026 (A)</v>
                </pt>
                <pt idx="2">
                  <v>Mar 2026 (A)</v>
                </pt>
                <pt idx="3">
                  <v>Apr 2026 (A)</v>
                </pt>
                <pt idx="4">
                  <v>May 2026</v>
                </pt>
                <pt idx="5">
                  <v>Jun 2026</v>
                </pt>
                <pt idx="6">
                  <v>Jul 2026</v>
                </pt>
                <pt idx="7">
                  <v>Aug 2026</v>
                </pt>
                <pt idx="8">
                  <v>Sep 2026</v>
                </pt>
                <pt idx="9">
                  <v>Oct 2026</v>
                </pt>
                <pt idx="10">
                  <v>Nov 2026</v>
                </pt>
                <pt idx="11">
                  <v>Dec 2026</v>
                </pt>
                <pt idx="12">
                  <v>Jan 2027</v>
                </pt>
                <pt idx="13">
                  <v>Feb 2027</v>
                </pt>
                <pt idx="14">
                  <v>Mar 2027</v>
                </pt>
                <pt idx="15">
                  <v>Apr 2027</v>
                </pt>
                <pt idx="16">
                  <v>May 2027</v>
                </pt>
                <pt idx="17">
                  <v>Jun 2027</v>
                </pt>
                <pt idx="18">
                  <v>Jul 2027</v>
                </pt>
                <pt idx="19">
                  <v>Aug 2027</v>
                </pt>
                <pt idx="20">
                  <v>Sep 2027</v>
                </pt>
                <pt idx="21">
                  <v>Oct 2027</v>
                </pt>
                <pt idx="22">
                  <v>Nov 2027</v>
                </pt>
                <pt idx="23">
                  <v>Dec 2027</v>
                </pt>
                <pt idx="24">
                  <v>Jan 2028</v>
                </pt>
                <pt idx="25">
                  <v>Feb 2028</v>
                </pt>
                <pt idx="26">
                  <v>Mar 2028</v>
                </pt>
                <pt idx="27">
                  <v>Apr 2028</v>
                </pt>
                <pt idx="28">
                  <v>May 2028</v>
                </pt>
                <pt idx="29">
                  <v>Jun 2028</v>
                </pt>
                <pt idx="30">
                  <v>Jul 2028</v>
                </pt>
                <pt idx="31">
                  <v>Aug 2028</v>
                </pt>
                <pt idx="32">
                  <v>Sep 2028</v>
                </pt>
                <pt idx="33">
                  <v>Oct 2028</v>
                </pt>
                <pt idx="34">
                  <v>Nov 2028</v>
                </pt>
                <pt idx="35">
                  <v>Dec 2028</v>
                </pt>
              </strCache>
            </strRef>
          </cat>
          <val>
            <numRef>
              <f>Summary!$D$6:$AM$6</f>
              <numCache>
                <formatCode>#,##0;[Red]\(#,##0\);"-"</formatCode>
                <ptCount val="36"/>
                <pt idx="0">
                  <v>957299</v>
                </pt>
                <pt idx="1">
                  <v>1026838</v>
                </pt>
                <pt idx="2">
                  <v>879272</v>
                </pt>
                <pt idx="3">
                  <v>1034960</v>
                </pt>
                <pt idx="4">
                  <v>805679</v>
                </pt>
                <pt idx="5">
                  <v>944500</v>
                </pt>
                <pt idx="6">
                  <v>976250</v>
                </pt>
                <pt idx="7">
                  <v>1077000</v>
                </pt>
                <pt idx="8">
                  <v>1006250</v>
                </pt>
                <pt idx="9">
                  <v>1105000</v>
                </pt>
                <pt idx="10">
                  <v>1181050</v>
                </pt>
                <pt idx="11">
                  <v>1143900</v>
                </pt>
                <pt idx="12">
                  <v>1139851.65</v>
                </pt>
                <pt idx="13">
                  <v>1242498.2</v>
                </pt>
                <pt idx="14">
                  <v>1076458.1</v>
                </pt>
                <pt idx="15">
                  <v>1298170.2</v>
                </pt>
                <pt idx="16">
                  <v>1018763.05</v>
                </pt>
                <pt idx="17">
                  <v>1090495</v>
                </pt>
                <pt idx="18">
                  <v>1120618.5</v>
                </pt>
                <pt idx="19">
                  <v>1261895</v>
                </pt>
                <pt idx="20">
                  <v>1163674.5</v>
                </pt>
                <pt idx="21">
                  <v>1245877</v>
                </pt>
                <pt idx="22">
                  <v>1320081.5</v>
                </pt>
                <pt idx="23">
                  <v>1277825</v>
                </pt>
                <pt idx="24">
                  <v>1196844.23</v>
                </pt>
                <pt idx="25">
                  <v>1304623.1</v>
                </pt>
                <pt idx="26">
                  <v>1130281.01</v>
                </pt>
                <pt idx="27">
                  <v>1363078.71</v>
                </pt>
                <pt idx="28">
                  <v>1069701.21</v>
                </pt>
                <pt idx="29">
                  <v>1145019.75</v>
                </pt>
                <pt idx="30">
                  <v>1176649.42</v>
                </pt>
                <pt idx="31">
                  <v>1324989.75</v>
                </pt>
                <pt idx="32">
                  <v>1221858.22</v>
                </pt>
                <pt idx="33">
                  <v>1308170.85</v>
                </pt>
                <pt idx="34">
                  <v>1386085.57</v>
                </pt>
                <pt idx="35">
                  <v>1341716.25</v>
                </pt>
              </numCache>
            </numRef>
          </val>
          <smooth val="0"/>
        </ser>
        <ser>
          <idx val="1"/>
          <order val="1"/>
          <tx>
            <strRef>
              <f>Summary!$B$22</f>
              <strCache>
                <ptCount val="1"/>
                <pt idx="0">
                  <v>Total EBITDA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Summary!$D$22:$AM$22</f>
              <numCache>
                <formatCode>#,##0;[Red]\(#,##0\);"-"</formatCode>
                <ptCount val="36"/>
                <pt idx="0">
                  <v>99364.31999999998</v>
                </pt>
                <pt idx="1">
                  <v>84748.39999999999</v>
                </pt>
                <pt idx="2">
                  <v>48151.76000000004</v>
                </pt>
                <pt idx="3">
                  <v>53560.54000000002</v>
                </pt>
                <pt idx="4">
                  <v>-51557.85525170158</v>
                </pt>
                <pt idx="5">
                  <v>-23212.27841704275</v>
                </pt>
                <pt idx="6">
                  <v>31648.86805235202</v>
                </pt>
                <pt idx="7">
                  <v>46585.07230871267</v>
                </pt>
                <pt idx="8">
                  <v>57386.48373385225</v>
                </pt>
                <pt idx="9">
                  <v>62236.41097667767</v>
                </pt>
                <pt idx="10">
                  <v>90681.73468377421</v>
                </pt>
                <pt idx="11">
                  <v>112932.4962717111</v>
                </pt>
                <pt idx="12">
                  <v>123143.0352385</v>
                </pt>
                <pt idx="13">
                  <v>161222.1613147161</v>
                </pt>
                <pt idx="14">
                  <v>140648.054234208</v>
                </pt>
                <pt idx="15">
                  <v>159596.1625646944</v>
                </pt>
                <pt idx="16">
                  <v>138972.1426902943</v>
                </pt>
                <pt idx="17">
                  <v>97131.13195783933</v>
                </pt>
                <pt idx="18">
                  <v>118427.2841071044</v>
                </pt>
                <pt idx="19">
                  <v>151652.5118553428</v>
                </pt>
                <pt idx="20">
                  <v>171119.2867642241</v>
                </pt>
                <pt idx="21">
                  <v>183851.4232574248</v>
                </pt>
                <pt idx="22">
                  <v>206185.2248247575</v>
                </pt>
                <pt idx="23">
                  <v>223354.3891903128</v>
                </pt>
                <pt idx="24">
                  <v>218828.6074441359</v>
                </pt>
                <pt idx="25">
                  <v>234915.0790300003</v>
                </pt>
                <pt idx="26">
                  <v>204664.444439943</v>
                </pt>
                <pt idx="27">
                  <v>220738.4698983979</v>
                </pt>
                <pt idx="28">
                  <v>196368.6638486851</v>
                </pt>
                <pt idx="29">
                  <v>150247.4431134812</v>
                </pt>
                <pt idx="30">
                  <v>167919.5675327684</v>
                </pt>
                <pt idx="31">
                  <v>204186.7157217719</v>
                </pt>
                <pt idx="32">
                  <v>223880.877988263</v>
                </pt>
                <pt idx="33">
                  <v>237587.8592870935</v>
                </pt>
                <pt idx="34">
                  <v>261718.849806299</v>
                </pt>
                <pt idx="35">
                  <v>279874.4907916234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9611647"/>
        <axId val="169608511"/>
      </lineChart>
      <catAx>
        <axId val="16961164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9608511"/>
        <crosses val="autoZero"/>
        <auto val="1"/>
        <lblAlgn val="ctr"/>
        <lblOffset val="100"/>
        <noMultiLvlLbl val="0"/>
      </catAx>
      <valAx>
        <axId val="1696085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961164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Sales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Summary!$C$43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Summary!$D$43:$F$43</f>
              <numCache>
                <formatCode>#,##0;[Red]\(#,##0\);"-"</formatCode>
                <ptCount val="3"/>
                <pt idx="0">
                  <v>1440522</v>
                </pt>
                <pt idx="1">
                  <v>1512548.1</v>
                </pt>
                <pt idx="2">
                  <v>1588175.5</v>
                </pt>
              </numCache>
            </numRef>
          </val>
        </ser>
        <ser>
          <idx val="1"/>
          <order val="1"/>
          <tx>
            <strRef>
              <f>Summary!$C$44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Summary!$D$44:$F$44</f>
              <numCache>
                <formatCode>#,##0;[Red]\(#,##0\);"-"</formatCode>
                <ptCount val="3"/>
                <pt idx="0">
                  <v>606263</v>
                </pt>
                <pt idx="1">
                  <v>1004191</v>
                </pt>
                <pt idx="2">
                  <v>1054400.55</v>
                </pt>
              </numCache>
            </numRef>
          </val>
        </ser>
        <ser>
          <idx val="2"/>
          <order val="2"/>
          <tx>
            <strRef>
              <f>Summary!$C$45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Summary!$D$45:$F$45</f>
              <numCache>
                <formatCode>#,##0;[Red]\(#,##0\);"-"</formatCode>
                <ptCount val="3"/>
                <pt idx="0">
                  <v>280661</v>
                </pt>
                <pt idx="1">
                  <v>572000</v>
                </pt>
                <pt idx="2">
                  <v>600600</v>
                </pt>
              </numCache>
            </numRef>
          </val>
        </ser>
        <ser>
          <idx val="3"/>
          <order val="3"/>
          <tx>
            <strRef>
              <f>Summary!$C$46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Summary!$D$46:$F$46</f>
              <numCache>
                <formatCode>#,##0;[Red]\(#,##0\);"-"</formatCode>
                <ptCount val="3"/>
                <pt idx="0">
                  <v>1086199</v>
                </pt>
                <pt idx="1">
                  <v>1140508.95</v>
                </pt>
                <pt idx="2">
                  <v>1197534.39</v>
                </pt>
              </numCache>
            </numRef>
          </val>
        </ser>
        <ser>
          <idx val="4"/>
          <order val="4"/>
          <tx>
            <strRef>
              <f>Summary!$C$47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Summary!$D$47:$F$47</f>
              <numCache>
                <formatCode>#,##0;[Red]\(#,##0\);"-"</formatCode>
                <ptCount val="3"/>
                <pt idx="0">
                  <v>1274473</v>
                </pt>
                <pt idx="1">
                  <v>1338196.65</v>
                </pt>
                <pt idx="2">
                  <v>1405106.48</v>
                </pt>
              </numCache>
            </numRef>
          </val>
        </ser>
        <ser>
          <idx val="5"/>
          <order val="5"/>
          <tx>
            <strRef>
              <f>Summary!$C$48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Summary!$D$48:$F$48</f>
              <numCache>
                <formatCode>#,##0;[Red]\(#,##0\);"-"</formatCode>
                <ptCount val="3"/>
                <pt idx="0">
                  <v>787117</v>
                </pt>
                <pt idx="1">
                  <v>826472.85</v>
                </pt>
                <pt idx="2">
                  <v>867796.49</v>
                </pt>
              </numCache>
            </numRef>
          </val>
        </ser>
        <ser>
          <idx val="6"/>
          <order val="6"/>
          <tx>
            <strRef>
              <f>Summary!$C$49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Summary!$D$49:$F$49</f>
              <numCache>
                <formatCode>#,##0;[Red]\(#,##0\);"-"</formatCode>
                <ptCount val="3"/>
                <pt idx="0">
                  <v>1610760</v>
                </pt>
                <pt idx="1">
                  <v>1691298</v>
                </pt>
                <pt idx="2">
                  <v>1775862.91</v>
                </pt>
              </numCache>
            </numRef>
          </val>
        </ser>
        <ser>
          <idx val="7"/>
          <order val="7"/>
          <tx>
            <strRef>
              <f>Summary!$C$50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Summary!$D$50:$F$50</f>
              <numCache>
                <formatCode>#,##0;[Red]\(#,##0\);"-"</formatCode>
                <ptCount val="3"/>
                <pt idx="0">
                  <v>1029402</v>
                </pt>
                <pt idx="1">
                  <v>1080872.1</v>
                </pt>
                <pt idx="2">
                  <v>1134915.7</v>
                </pt>
              </numCache>
            </numRef>
          </val>
        </ser>
        <ser>
          <idx val="8"/>
          <order val="8"/>
          <tx>
            <strRef>
              <f>Summary!$C$51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Summary!$D$51:$F$51</f>
              <numCache>
                <formatCode>#,##0;[Red]\(#,##0\);"-"</formatCode>
                <ptCount val="3"/>
                <pt idx="0">
                  <v>343154</v>
                </pt>
                <pt idx="1">
                  <v>727044</v>
                </pt>
                <pt idx="2">
                  <v>763396.2</v>
                </pt>
              </numCache>
            </numRef>
          </val>
        </ser>
        <ser>
          <idx val="9"/>
          <order val="9"/>
          <tx>
            <strRef>
              <f>Summary!$C$52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Summary!$D$52:$F$52</f>
              <numCache>
                <formatCode>#,##0;[Red]\(#,##0\);"-"</formatCode>
                <ptCount val="3"/>
                <pt idx="0">
                  <v>2354628</v>
                </pt>
                <pt idx="1">
                  <v>2472359.4</v>
                </pt>
                <pt idx="2">
                  <v>2595977.37</v>
                </pt>
              </numCache>
            </numRef>
          </val>
        </ser>
        <ser>
          <idx val="10"/>
          <order val="10"/>
          <tx>
            <strRef>
              <f>Summary!$C$53</f>
              <strCache>
                <ptCount val="1"/>
                <pt idx="0">
                  <v>West Portal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Summary!$D$53:$F$53</f>
              <numCache>
                <formatCode>#,##0;[Red]\(#,##0\);"-"</formatCode>
                <ptCount val="3"/>
                <pt idx="0">
                  <v>507266</v>
                </pt>
                <pt idx="1">
                  <v>1032286</v>
                </pt>
                <pt idx="2">
                  <v>1083900.3</v>
                </pt>
              </numCache>
            </numRef>
          </val>
        </ser>
        <ser>
          <idx val="11"/>
          <order val="11"/>
          <tx>
            <strRef>
              <f>Summary!$C$54</f>
              <strCache>
                <ptCount val="1"/>
                <pt idx="0">
                  <v>Westwood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Summary!$D$54:$F$54</f>
              <numCache>
                <formatCode>#,##0;[Red]\(#,##0\);"-"</formatCode>
                <ptCount val="3"/>
                <pt idx="0">
                  <v>817553</v>
                </pt>
                <pt idx="1">
                  <v>858430.65</v>
                </pt>
                <pt idx="2">
                  <v>901352.1799999999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EBITDA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Summary!$C$58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Summary!$D$58:$F$58</f>
              <numCache>
                <formatCode>#,##0;[Red]\(#,##0\);"-"</formatCode>
                <ptCount val="3"/>
                <pt idx="0">
                  <v>524931.1736096523</v>
                </pt>
                <pt idx="1">
                  <v>685585.1563481616</v>
                </pt>
                <pt idx="2">
                  <v>752919.0786734817</v>
                </pt>
              </numCache>
            </numRef>
          </val>
        </ser>
        <ser>
          <idx val="1"/>
          <order val="1"/>
          <tx>
            <strRef>
              <f>Summary!$C$59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Summary!$D$59:$F$59</f>
              <numCache>
                <formatCode>#,##0;[Red]\(#,##0\);"-"</formatCode>
                <ptCount val="3"/>
                <pt idx="0">
                  <v>74005.22846673135</v>
                </pt>
                <pt idx="1">
                  <v>355741.081062226</v>
                </pt>
                <pt idx="2">
                  <v>437887.2981851126</v>
                </pt>
              </numCache>
            </numRef>
          </val>
        </ser>
        <ser>
          <idx val="2"/>
          <order val="2"/>
          <tx>
            <strRef>
              <f>Summary!$C$60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Summary!$D$60:$F$60</f>
              <numCache>
                <formatCode>#,##0;[Red]\(#,##0\);"-"</formatCode>
                <ptCount val="3"/>
                <pt idx="0">
                  <v>-132976.6218298521</v>
                </pt>
                <pt idx="1">
                  <v>54670.48255607997</v>
                </pt>
                <pt idx="2">
                  <v>106816.593325896</v>
                </pt>
              </numCache>
            </numRef>
          </val>
        </ser>
        <ser>
          <idx val="3"/>
          <order val="3"/>
          <tx>
            <strRef>
              <f>Summary!$C$61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Summary!$D$61:$F$61</f>
              <numCache>
                <formatCode>#,##0;[Red]\(#,##0\);"-"</formatCode>
                <ptCount val="3"/>
                <pt idx="0">
                  <v>441334.1084180005</v>
                </pt>
                <pt idx="1">
                  <v>392341.9707872476</v>
                </pt>
                <pt idx="2">
                  <v>443127.91351443</v>
                </pt>
              </numCache>
            </numRef>
          </val>
        </ser>
        <ser>
          <idx val="4"/>
          <order val="4"/>
          <tx>
            <strRef>
              <f>Summary!$C$62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Summary!$D$62:$F$62</f>
              <numCache>
                <formatCode>#,##0;[Red]\(#,##0\);"-"</formatCode>
                <ptCount val="3"/>
                <pt idx="0">
                  <v>281609.6228270053</v>
                </pt>
                <pt idx="1">
                  <v>403795.0246902168</v>
                </pt>
                <pt idx="2">
                  <v>463388.4736604539</v>
                </pt>
              </numCache>
            </numRef>
          </val>
        </ser>
        <ser>
          <idx val="5"/>
          <order val="5"/>
          <tx>
            <strRef>
              <f>Summary!$C$63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Summary!$D$63:$F$63</f>
              <numCache>
                <formatCode>#,##0;[Red]\(#,##0\);"-"</formatCode>
                <ptCount val="3"/>
                <pt idx="0">
                  <v>56868.54313437607</v>
                </pt>
                <pt idx="1">
                  <v>92332.31887934983</v>
                </pt>
                <pt idx="2">
                  <v>129150.8828656304</v>
                </pt>
              </numCache>
            </numRef>
          </val>
        </ser>
        <ser>
          <idx val="6"/>
          <order val="6"/>
          <tx>
            <strRef>
              <f>Summary!$C$64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Summary!$D$64:$F$64</f>
              <numCache>
                <formatCode>#,##0;[Red]\(#,##0\);"-"</formatCode>
                <ptCount val="3"/>
                <pt idx="0">
                  <v>848412.3682535784</v>
                </pt>
                <pt idx="1">
                  <v>773746.4624038305</v>
                </pt>
                <pt idx="2">
                  <v>849071.5233063938</v>
                </pt>
              </numCache>
            </numRef>
          </val>
        </ser>
        <ser>
          <idx val="7"/>
          <order val="7"/>
          <tx>
            <strRef>
              <f>Summary!$C$65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Summary!$D$65:$F$65</f>
              <numCache>
                <formatCode>#,##0;[Red]\(#,##0\);"-"</formatCode>
                <ptCount val="3"/>
                <pt idx="0">
                  <v>243754.2431591148</v>
                </pt>
                <pt idx="1">
                  <v>316404.0778388571</v>
                </pt>
                <pt idx="2">
                  <v>364557.2821843941</v>
                </pt>
              </numCache>
            </numRef>
          </val>
        </ser>
        <ser>
          <idx val="8"/>
          <order val="8"/>
          <tx>
            <strRef>
              <f>Summary!$C$66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Summary!$D$66:$F$66</f>
              <numCache>
                <formatCode>#,##0;[Red]\(#,##0\);"-"</formatCode>
                <ptCount val="3"/>
                <pt idx="0">
                  <v>-298692.8037877993</v>
                </pt>
                <pt idx="1">
                  <v>16926.86649492634</v>
                </pt>
                <pt idx="2">
                  <v>81972.63095384114</v>
                </pt>
              </numCache>
            </numRef>
          </val>
        </ser>
        <ser>
          <idx val="9"/>
          <order val="9"/>
          <tx>
            <strRef>
              <f>Summary!$C$67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Summary!$D$67:$F$67</f>
              <numCache>
                <formatCode>#,##0;[Red]\(#,##0\);"-"</formatCode>
                <ptCount val="3"/>
                <pt idx="0">
                  <v>644408.3864081935</v>
                </pt>
                <pt idx="1">
                  <v>644029.5205391628</v>
                </pt>
                <pt idx="2">
                  <v>754136.5335018511</v>
                </pt>
              </numCache>
            </numRef>
          </val>
        </ser>
        <ser>
          <idx val="10"/>
          <order val="10"/>
          <tx>
            <strRef>
              <f>Summary!$C$68</f>
              <strCache>
                <ptCount val="1"/>
                <pt idx="0">
                  <v>West Portal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Summary!$D$68:$F$68</f>
              <numCache>
                <formatCode>#,##0;[Red]\(#,##0\);"-"</formatCode>
                <ptCount val="3"/>
                <pt idx="0">
                  <v>-134483.5546157389</v>
                </pt>
                <pt idx="1">
                  <v>142732.5977989885</v>
                </pt>
                <pt idx="2">
                  <v>186118.5671429197</v>
                </pt>
              </numCache>
            </numRef>
          </val>
        </ser>
        <ser>
          <idx val="11"/>
          <order val="11"/>
          <tx>
            <strRef>
              <f>Summary!$C$69</f>
              <strCache>
                <ptCount val="1"/>
                <pt idx="0">
                  <v>Westwood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Summary!$D$69:$F$69</f>
              <numCache>
                <formatCode>#,##0;[Red]\(#,##0\);"-"</formatCode>
                <ptCount val="3"/>
                <pt idx="0">
                  <v>-88689.7116849266</v>
                </pt>
                <pt idx="1">
                  <v>-19184.11139962863</v>
                </pt>
                <pt idx="2">
                  <v>19034.33158805791</v>
                </pt>
              </numCache>
            </numRef>
          </val>
        </ser>
        <ser>
          <idx val="12"/>
          <order val="12"/>
          <tx>
            <strRef>
              <f>Summary!$C$70</f>
              <strCache>
                <ptCount val="1"/>
                <pt idx="0">
                  <v>Head Office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Summary!$D$70:$F$70</f>
              <numCache>
                <formatCode>#,##0;[Red]\(#,##0\);"-"</formatCode>
                <ptCount val="3"/>
                <pt idx="0">
                  <v>-1847955.03</v>
                </pt>
                <pt idx="1">
                  <v>-1983818.64</v>
                </pt>
                <pt idx="2">
                  <v>-1987250.039999999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b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</col>
      <colOff>63500</colOff>
      <row>73</row>
      <rowOff>38100</rowOff>
    </from>
    <to>
      <col>20</col>
      <colOff>393700</colOff>
      <row>97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450850</colOff>
      <row>98</row>
      <rowOff>127000</rowOff>
    </from>
    <to>
      <col>12</col>
      <colOff>50800</colOff>
      <row>144</row>
      <rowOff>101600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698500</colOff>
      <row>98</row>
      <rowOff>139700</rowOff>
    </from>
    <to>
      <col>25</col>
      <colOff>450850</colOff>
      <row>144</row>
      <rowOff>95250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abSelected="1" topLeftCell="B1" workbookViewId="0">
      <selection activeCell="B1" sqref="B1"/>
    </sheetView>
  </sheetViews>
  <sheetFormatPr baseColWidth="10" defaultColWidth="8.83203125" defaultRowHeight="15" outlineLevelCol="0"/>
  <cols>
    <col hidden="1" width="2" customWidth="1" style="86" min="1" max="1"/>
    <col width="90" customWidth="1" style="86" min="2" max="2"/>
    <col width="70" customWidth="1" style="86" min="3" max="3"/>
  </cols>
  <sheetData>
    <row r="2" ht="31" customHeight="1" s="86">
      <c r="B2" s="1" t="inlineStr">
        <is>
          <t>Mighty Pilates</t>
        </is>
      </c>
    </row>
    <row r="3" ht="24" customHeight="1" s="86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B2:C43"/>
  <sheetViews>
    <sheetView showGridLines="0" topLeftCell="B1" workbookViewId="0">
      <selection activeCell="B2" sqref="B2"/>
    </sheetView>
  </sheetViews>
  <sheetFormatPr baseColWidth="10" defaultColWidth="8.83203125" defaultRowHeight="15" outlineLevelCol="0"/>
  <cols>
    <col hidden="1" width="13" customWidth="1" style="86" min="1" max="1"/>
    <col width="30" customWidth="1" style="86" min="2" max="2"/>
    <col width="100" customWidth="1" style="86" min="3" max="3"/>
  </cols>
  <sheetData>
    <row r="2" ht="21" customHeight="1" s="86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" customHeight="1" s="86">
      <c r="B5" s="58" t="inlineStr">
        <is>
          <t>Tab Roles</t>
        </is>
      </c>
      <c r="C5" s="59" t="n"/>
    </row>
    <row r="6" ht="15" customHeight="1" s="86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86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86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86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86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86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86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86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86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86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86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" customHeight="1" s="86">
      <c r="B18" s="58" t="inlineStr">
        <is>
          <t>Cell Conventions</t>
        </is>
      </c>
      <c r="C18" s="59" t="n"/>
    </row>
    <row r="19" ht="15" customHeight="1" s="86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86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86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86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86">
      <c r="B23" s="60" t="inlineStr">
        <is>
          <t>Bold green fill</t>
        </is>
      </c>
      <c r="C23" s="61" t="inlineStr">
        <is>
          <t>Key KPI (EBITDA, ending cash).</t>
        </is>
      </c>
    </row>
    <row r="25" ht="16" customHeight="1" s="86">
      <c r="B25" s="58" t="inlineStr">
        <is>
          <t>Value Flow</t>
        </is>
      </c>
      <c r="C25" s="59" t="n"/>
    </row>
    <row r="26" ht="45" customHeight="1" s="86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86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86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" customHeight="1" s="86">
      <c r="B30" s="58" t="inlineStr">
        <is>
          <t>Hidden Helpers — DO NOT DELETE</t>
        </is>
      </c>
      <c r="C30" s="59" t="n"/>
    </row>
    <row r="31" ht="45" customHeight="1" s="86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86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" customHeight="1" s="86">
      <c r="B34" s="58" t="inlineStr">
        <is>
          <t>Monthly Update Procedure (when QBO closes new month)</t>
        </is>
      </c>
      <c r="C34" s="59" t="n"/>
    </row>
    <row r="35" ht="30" customHeight="1" s="86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86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86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86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" customHeight="1" s="86">
      <c r="B40" s="58" t="inlineStr">
        <is>
          <t>Streamlit Source Repo</t>
        </is>
      </c>
      <c r="C40" s="59" t="n"/>
    </row>
    <row r="41" ht="15" customHeight="1" s="86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86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86">
      <c r="B43" s="60" t="inlineStr">
        <is>
          <t>Local files</t>
        </is>
      </c>
      <c r="C43" s="61" t="inlineStr">
        <is>
          <t>/Users/chandlerclemons/mighty-pilates/dashboard/data/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B2:AM125"/>
  <sheetViews>
    <sheetView showGridLines="0" topLeftCell="B3" workbookViewId="0">
      <selection activeCell="I10" sqref="I10"/>
    </sheetView>
  </sheetViews>
  <sheetFormatPr baseColWidth="10" defaultColWidth="8.83203125" defaultRowHeight="15" outlineLevelCol="0"/>
  <cols>
    <col hidden="1" width="2" customWidth="1" style="86" min="1" max="1"/>
    <col width="24" customWidth="1" style="86" min="2" max="2"/>
    <col width="22" customWidth="1" style="86" min="3" max="3"/>
    <col width="11" customWidth="1" style="86" min="4" max="39"/>
  </cols>
  <sheetData>
    <row r="2" ht="21" customHeight="1" s="86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" customHeight="1" s="86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2026 (A)</t>
        </is>
      </c>
      <c r="E5" s="13" t="inlineStr">
        <is>
          <t>Feb 2026 (A)</t>
        </is>
      </c>
      <c r="F5" s="13" t="inlineStr">
        <is>
          <t>Mar 2026 (A)</t>
        </is>
      </c>
      <c r="G5" s="13" t="inlineStr">
        <is>
          <t>Apr 2026 (A)</t>
        </is>
      </c>
      <c r="H5" s="13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7">
        <f>SUM(I7:I19)</f>
        <v/>
      </c>
      <c r="J6" s="17">
        <f>SUM(J7:J19)</f>
        <v/>
      </c>
      <c r="K6" s="17">
        <f>SUM(K7:K19)</f>
        <v/>
      </c>
      <c r="L6" s="17">
        <f>SUM(L7:L19)</f>
        <v/>
      </c>
      <c r="M6" s="17">
        <f>SUM(M7:M19)</f>
        <v/>
      </c>
      <c r="N6" s="17">
        <f>SUM(N7:N19)</f>
        <v/>
      </c>
      <c r="O6" s="17">
        <f>SUM(O7:O19)</f>
        <v/>
      </c>
      <c r="P6" s="17">
        <f>SUM(P7:P19)</f>
        <v/>
      </c>
      <c r="Q6" s="17">
        <f>SUM(Q7:Q19)</f>
        <v/>
      </c>
      <c r="R6" s="17">
        <f>SUM(R7:R19)</f>
        <v/>
      </c>
      <c r="S6" s="17">
        <f>SUM(S7:S19)</f>
        <v/>
      </c>
      <c r="T6" s="17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20">
        <f>'Sales Forecast'!I6</f>
        <v/>
      </c>
      <c r="J7" s="20">
        <f>'Sales Forecast'!J6</f>
        <v/>
      </c>
      <c r="K7" s="20">
        <f>'Sales Forecast'!K6</f>
        <v/>
      </c>
      <c r="L7" s="20">
        <f>'Sales Forecast'!L6</f>
        <v/>
      </c>
      <c r="M7" s="20">
        <f>'Sales Forecast'!M6</f>
        <v/>
      </c>
      <c r="N7" s="20">
        <f>'Sales Forecast'!N6</f>
        <v/>
      </c>
      <c r="O7" s="20">
        <f>'Sales Forecast'!O6</f>
        <v/>
      </c>
      <c r="P7" s="20">
        <f>'Sales Forecast'!P6</f>
        <v/>
      </c>
      <c r="Q7" s="20">
        <f>'Sales Forecast'!Q6</f>
        <v/>
      </c>
      <c r="R7" s="20">
        <f>'Sales Forecast'!R6</f>
        <v/>
      </c>
      <c r="S7" s="20">
        <f>'Sales Forecast'!S6</f>
        <v/>
      </c>
      <c r="T7" s="20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20">
        <f>'Sales Forecast'!I7</f>
        <v/>
      </c>
      <c r="J8" s="20">
        <f>'Sales Forecast'!J7</f>
        <v/>
      </c>
      <c r="K8" s="20">
        <f>'Sales Forecast'!K7</f>
        <v/>
      </c>
      <c r="L8" s="20">
        <f>'Sales Forecast'!L7</f>
        <v/>
      </c>
      <c r="M8" s="20">
        <f>'Sales Forecast'!M7</f>
        <v/>
      </c>
      <c r="N8" s="20">
        <f>'Sales Forecast'!N7</f>
        <v/>
      </c>
      <c r="O8" s="20">
        <f>'Sales Forecast'!O7</f>
        <v/>
      </c>
      <c r="P8" s="20">
        <f>'Sales Forecast'!P7</f>
        <v/>
      </c>
      <c r="Q8" s="20">
        <f>'Sales Forecast'!Q7</f>
        <v/>
      </c>
      <c r="R8" s="20">
        <f>'Sales Forecast'!R7</f>
        <v/>
      </c>
      <c r="S8" s="20">
        <f>'Sales Forecast'!S7</f>
        <v/>
      </c>
      <c r="T8" s="20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20">
        <f>'Sales Forecast'!I8</f>
        <v/>
      </c>
      <c r="J9" s="20">
        <f>'Sales Forecast'!J8</f>
        <v/>
      </c>
      <c r="K9" s="20">
        <f>'Sales Forecast'!K8</f>
        <v/>
      </c>
      <c r="L9" s="20">
        <f>'Sales Forecast'!L8</f>
        <v/>
      </c>
      <c r="M9" s="20">
        <f>'Sales Forecast'!M8</f>
        <v/>
      </c>
      <c r="N9" s="20">
        <f>'Sales Forecast'!N8</f>
        <v/>
      </c>
      <c r="O9" s="20">
        <f>'Sales Forecast'!O8</f>
        <v/>
      </c>
      <c r="P9" s="20">
        <f>'Sales Forecast'!P8</f>
        <v/>
      </c>
      <c r="Q9" s="20">
        <f>'Sales Forecast'!Q8</f>
        <v/>
      </c>
      <c r="R9" s="20">
        <f>'Sales Forecast'!R8</f>
        <v/>
      </c>
      <c r="S9" s="20">
        <f>'Sales Forecast'!S8</f>
        <v/>
      </c>
      <c r="T9" s="20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20">
        <f>'Sales Forecast'!I9</f>
        <v/>
      </c>
      <c r="J10" s="20">
        <f>'Sales Forecast'!J9</f>
        <v/>
      </c>
      <c r="K10" s="20">
        <f>'Sales Forecast'!K9</f>
        <v/>
      </c>
      <c r="L10" s="20">
        <f>'Sales Forecast'!L9</f>
        <v/>
      </c>
      <c r="M10" s="20">
        <f>'Sales Forecast'!M9</f>
        <v/>
      </c>
      <c r="N10" s="20">
        <f>'Sales Forecast'!N9</f>
        <v/>
      </c>
      <c r="O10" s="20">
        <f>'Sales Forecast'!O9</f>
        <v/>
      </c>
      <c r="P10" s="20">
        <f>'Sales Forecast'!P9</f>
        <v/>
      </c>
      <c r="Q10" s="20">
        <f>'Sales Forecast'!Q9</f>
        <v/>
      </c>
      <c r="R10" s="20">
        <f>'Sales Forecast'!R9</f>
        <v/>
      </c>
      <c r="S10" s="20">
        <f>'Sales Forecast'!S9</f>
        <v/>
      </c>
      <c r="T10" s="20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20">
        <f>'Sales Forecast'!I10</f>
        <v/>
      </c>
      <c r="J11" s="20">
        <f>'Sales Forecast'!J10</f>
        <v/>
      </c>
      <c r="K11" s="20">
        <f>'Sales Forecast'!K10</f>
        <v/>
      </c>
      <c r="L11" s="20">
        <f>'Sales Forecast'!L10</f>
        <v/>
      </c>
      <c r="M11" s="20">
        <f>'Sales Forecast'!M10</f>
        <v/>
      </c>
      <c r="N11" s="20">
        <f>'Sales Forecast'!N10</f>
        <v/>
      </c>
      <c r="O11" s="20">
        <f>'Sales Forecast'!O10</f>
        <v/>
      </c>
      <c r="P11" s="20">
        <f>'Sales Forecast'!P10</f>
        <v/>
      </c>
      <c r="Q11" s="20">
        <f>'Sales Forecast'!Q10</f>
        <v/>
      </c>
      <c r="R11" s="20">
        <f>'Sales Forecast'!R10</f>
        <v/>
      </c>
      <c r="S11" s="20">
        <f>'Sales Forecast'!S10</f>
        <v/>
      </c>
      <c r="T11" s="20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20">
        <f>'Sales Forecast'!I11</f>
        <v/>
      </c>
      <c r="J12" s="20">
        <f>'Sales Forecast'!J11</f>
        <v/>
      </c>
      <c r="K12" s="20">
        <f>'Sales Forecast'!K11</f>
        <v/>
      </c>
      <c r="L12" s="20">
        <f>'Sales Forecast'!L11</f>
        <v/>
      </c>
      <c r="M12" s="20">
        <f>'Sales Forecast'!M11</f>
        <v/>
      </c>
      <c r="N12" s="20">
        <f>'Sales Forecast'!N11</f>
        <v/>
      </c>
      <c r="O12" s="20">
        <f>'Sales Forecast'!O11</f>
        <v/>
      </c>
      <c r="P12" s="20">
        <f>'Sales Forecast'!P11</f>
        <v/>
      </c>
      <c r="Q12" s="20">
        <f>'Sales Forecast'!Q11</f>
        <v/>
      </c>
      <c r="R12" s="20">
        <f>'Sales Forecast'!R11</f>
        <v/>
      </c>
      <c r="S12" s="20">
        <f>'Sales Forecast'!S11</f>
        <v/>
      </c>
      <c r="T12" s="20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20">
        <f>'Sales Forecast'!I12</f>
        <v/>
      </c>
      <c r="J13" s="20">
        <f>'Sales Forecast'!J12</f>
        <v/>
      </c>
      <c r="K13" s="20">
        <f>'Sales Forecast'!K12</f>
        <v/>
      </c>
      <c r="L13" s="20">
        <f>'Sales Forecast'!L12</f>
        <v/>
      </c>
      <c r="M13" s="20">
        <f>'Sales Forecast'!M12</f>
        <v/>
      </c>
      <c r="N13" s="20">
        <f>'Sales Forecast'!N12</f>
        <v/>
      </c>
      <c r="O13" s="20">
        <f>'Sales Forecast'!O12</f>
        <v/>
      </c>
      <c r="P13" s="20">
        <f>'Sales Forecast'!P12</f>
        <v/>
      </c>
      <c r="Q13" s="20">
        <f>'Sales Forecast'!Q12</f>
        <v/>
      </c>
      <c r="R13" s="20">
        <f>'Sales Forecast'!R12</f>
        <v/>
      </c>
      <c r="S13" s="20">
        <f>'Sales Forecast'!S12</f>
        <v/>
      </c>
      <c r="T13" s="20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20">
        <f>'Sales Forecast'!I13</f>
        <v/>
      </c>
      <c r="J14" s="20">
        <f>'Sales Forecast'!J13</f>
        <v/>
      </c>
      <c r="K14" s="20">
        <f>'Sales Forecast'!K13</f>
        <v/>
      </c>
      <c r="L14" s="20">
        <f>'Sales Forecast'!L13</f>
        <v/>
      </c>
      <c r="M14" s="20">
        <f>'Sales Forecast'!M13</f>
        <v/>
      </c>
      <c r="N14" s="20">
        <f>'Sales Forecast'!N13</f>
        <v/>
      </c>
      <c r="O14" s="20">
        <f>'Sales Forecast'!O13</f>
        <v/>
      </c>
      <c r="P14" s="20">
        <f>'Sales Forecast'!P13</f>
        <v/>
      </c>
      <c r="Q14" s="20">
        <f>'Sales Forecast'!Q13</f>
        <v/>
      </c>
      <c r="R14" s="20">
        <f>'Sales Forecast'!R13</f>
        <v/>
      </c>
      <c r="S14" s="20">
        <f>'Sales Forecast'!S13</f>
        <v/>
      </c>
      <c r="T14" s="20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20">
        <f>'Sales Forecast'!I14</f>
        <v/>
      </c>
      <c r="J15" s="20">
        <f>'Sales Forecast'!J14</f>
        <v/>
      </c>
      <c r="K15" s="20">
        <f>'Sales Forecast'!K14</f>
        <v/>
      </c>
      <c r="L15" s="20">
        <f>'Sales Forecast'!L14</f>
        <v/>
      </c>
      <c r="M15" s="20">
        <f>'Sales Forecast'!M14</f>
        <v/>
      </c>
      <c r="N15" s="20">
        <f>'Sales Forecast'!N14</f>
        <v/>
      </c>
      <c r="O15" s="20">
        <f>'Sales Forecast'!O14</f>
        <v/>
      </c>
      <c r="P15" s="20">
        <f>'Sales Forecast'!P14</f>
        <v/>
      </c>
      <c r="Q15" s="20">
        <f>'Sales Forecast'!Q14</f>
        <v/>
      </c>
      <c r="R15" s="20">
        <f>'Sales Forecast'!R14</f>
        <v/>
      </c>
      <c r="S15" s="20">
        <f>'Sales Forecast'!S14</f>
        <v/>
      </c>
      <c r="T15" s="20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20">
        <f>'Sales Forecast'!I15</f>
        <v/>
      </c>
      <c r="J16" s="20">
        <f>'Sales Forecast'!J15</f>
        <v/>
      </c>
      <c r="K16" s="20">
        <f>'Sales Forecast'!K15</f>
        <v/>
      </c>
      <c r="L16" s="20">
        <f>'Sales Forecast'!L15</f>
        <v/>
      </c>
      <c r="M16" s="20">
        <f>'Sales Forecast'!M15</f>
        <v/>
      </c>
      <c r="N16" s="20">
        <f>'Sales Forecast'!N15</f>
        <v/>
      </c>
      <c r="O16" s="20">
        <f>'Sales Forecast'!O15</f>
        <v/>
      </c>
      <c r="P16" s="20">
        <f>'Sales Forecast'!P15</f>
        <v/>
      </c>
      <c r="Q16" s="20">
        <f>'Sales Forecast'!Q15</f>
        <v/>
      </c>
      <c r="R16" s="20">
        <f>'Sales Forecast'!R15</f>
        <v/>
      </c>
      <c r="S16" s="20">
        <f>'Sales Forecast'!S15</f>
        <v/>
      </c>
      <c r="T16" s="20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20">
        <f>'Sales Forecast'!I16</f>
        <v/>
      </c>
      <c r="J17" s="20">
        <f>'Sales Forecast'!J16</f>
        <v/>
      </c>
      <c r="K17" s="20">
        <f>'Sales Forecast'!K16</f>
        <v/>
      </c>
      <c r="L17" s="20">
        <f>'Sales Forecast'!L16</f>
        <v/>
      </c>
      <c r="M17" s="20">
        <f>'Sales Forecast'!M16</f>
        <v/>
      </c>
      <c r="N17" s="20">
        <f>'Sales Forecast'!N16</f>
        <v/>
      </c>
      <c r="O17" s="20">
        <f>'Sales Forecast'!O16</f>
        <v/>
      </c>
      <c r="P17" s="20">
        <f>'Sales Forecast'!P16</f>
        <v/>
      </c>
      <c r="Q17" s="20">
        <f>'Sales Forecast'!Q16</f>
        <v/>
      </c>
      <c r="R17" s="20">
        <f>'Sales Forecast'!R16</f>
        <v/>
      </c>
      <c r="S17" s="20">
        <f>'Sales Forecast'!S16</f>
        <v/>
      </c>
      <c r="T17" s="20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20">
        <f>'Sales Forecast'!I17</f>
        <v/>
      </c>
      <c r="J18" s="20">
        <f>'Sales Forecast'!J17</f>
        <v/>
      </c>
      <c r="K18" s="20">
        <f>'Sales Forecast'!K17</f>
        <v/>
      </c>
      <c r="L18" s="20">
        <f>'Sales Forecast'!L17</f>
        <v/>
      </c>
      <c r="M18" s="20">
        <f>'Sales Forecast'!M17</f>
        <v/>
      </c>
      <c r="N18" s="20">
        <f>'Sales Forecast'!N17</f>
        <v/>
      </c>
      <c r="O18" s="20">
        <f>'Sales Forecast'!O17</f>
        <v/>
      </c>
      <c r="P18" s="20">
        <f>'Sales Forecast'!P17</f>
        <v/>
      </c>
      <c r="Q18" s="20">
        <f>'Sales Forecast'!Q17</f>
        <v/>
      </c>
      <c r="R18" s="20">
        <f>'Sales Forecast'!R17</f>
        <v/>
      </c>
      <c r="S18" s="20">
        <f>'Sales Forecast'!S17</f>
        <v/>
      </c>
      <c r="T18" s="20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</row>
    <row r="20" ht="16" customHeight="1" s="86"/>
    <row r="21" ht="16" customHeight="1" s="86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7">
        <f>SUM(H23:H35)</f>
        <v/>
      </c>
      <c r="I22" s="17">
        <f>SUM(I23:I35)</f>
        <v/>
      </c>
      <c r="J22" s="17">
        <f>SUM(J23:J35)</f>
        <v/>
      </c>
      <c r="K22" s="17">
        <f>SUM(K23:K35)</f>
        <v/>
      </c>
      <c r="L22" s="17">
        <f>SUM(L23:L35)</f>
        <v/>
      </c>
      <c r="M22" s="17">
        <f>SUM(M23:M35)</f>
        <v/>
      </c>
      <c r="N22" s="17">
        <f>SUM(N23:N35)</f>
        <v/>
      </c>
      <c r="O22" s="17">
        <f>SUM(O23:O35)</f>
        <v/>
      </c>
      <c r="P22" s="17">
        <f>SUM(P23:P35)</f>
        <v/>
      </c>
      <c r="Q22" s="17">
        <f>SUM(Q23:Q35)</f>
        <v/>
      </c>
      <c r="R22" s="17">
        <f>SUM(R23:R35)</f>
        <v/>
      </c>
      <c r="S22" s="17">
        <f>SUM(S23:S35)</f>
        <v/>
      </c>
      <c r="T22" s="17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20">
        <f>'BK P&amp;L'!H63</f>
        <v/>
      </c>
      <c r="I23" s="20">
        <f>'BK P&amp;L'!I63</f>
        <v/>
      </c>
      <c r="J23" s="20">
        <f>'BK P&amp;L'!J63</f>
        <v/>
      </c>
      <c r="K23" s="20">
        <f>'BK P&amp;L'!K63</f>
        <v/>
      </c>
      <c r="L23" s="20">
        <f>'BK P&amp;L'!L63</f>
        <v/>
      </c>
      <c r="M23" s="20">
        <f>'BK P&amp;L'!M63</f>
        <v/>
      </c>
      <c r="N23" s="20">
        <f>'BK P&amp;L'!N63</f>
        <v/>
      </c>
      <c r="O23" s="20">
        <f>'BK P&amp;L'!O63</f>
        <v/>
      </c>
      <c r="P23" s="20">
        <f>'BK P&amp;L'!P63</f>
        <v/>
      </c>
      <c r="Q23" s="20">
        <f>'BK P&amp;L'!Q63</f>
        <v/>
      </c>
      <c r="R23" s="20">
        <f>'BK P&amp;L'!R63</f>
        <v/>
      </c>
      <c r="S23" s="20">
        <f>'BK P&amp;L'!S63</f>
        <v/>
      </c>
      <c r="T23" s="20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20">
        <f>'CC P&amp;L'!H63</f>
        <v/>
      </c>
      <c r="I24" s="20">
        <f>'CC P&amp;L'!I63</f>
        <v/>
      </c>
      <c r="J24" s="20">
        <f>'CC P&amp;L'!J63</f>
        <v/>
      </c>
      <c r="K24" s="20">
        <f>'CC P&amp;L'!K63</f>
        <v/>
      </c>
      <c r="L24" s="20">
        <f>'CC P&amp;L'!L63</f>
        <v/>
      </c>
      <c r="M24" s="20">
        <f>'CC P&amp;L'!M63</f>
        <v/>
      </c>
      <c r="N24" s="20">
        <f>'CC P&amp;L'!N63</f>
        <v/>
      </c>
      <c r="O24" s="20">
        <f>'CC P&amp;L'!O63</f>
        <v/>
      </c>
      <c r="P24" s="20">
        <f>'CC P&amp;L'!P63</f>
        <v/>
      </c>
      <c r="Q24" s="20">
        <f>'CC P&amp;L'!Q63</f>
        <v/>
      </c>
      <c r="R24" s="20">
        <f>'CC P&amp;L'!R63</f>
        <v/>
      </c>
      <c r="S24" s="20">
        <f>'CC P&amp;L'!S63</f>
        <v/>
      </c>
      <c r="T24" s="20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20">
        <f>'DN P&amp;L'!H63</f>
        <v/>
      </c>
      <c r="I25" s="20">
        <f>'DN P&amp;L'!I63</f>
        <v/>
      </c>
      <c r="J25" s="20">
        <f>'DN P&amp;L'!J63</f>
        <v/>
      </c>
      <c r="K25" s="20">
        <f>'DN P&amp;L'!K63</f>
        <v/>
      </c>
      <c r="L25" s="20">
        <f>'DN P&amp;L'!L63</f>
        <v/>
      </c>
      <c r="M25" s="20">
        <f>'DN P&amp;L'!M63</f>
        <v/>
      </c>
      <c r="N25" s="20">
        <f>'DN P&amp;L'!N63</f>
        <v/>
      </c>
      <c r="O25" s="20">
        <f>'DN P&amp;L'!O63</f>
        <v/>
      </c>
      <c r="P25" s="20">
        <f>'DN P&amp;L'!P63</f>
        <v/>
      </c>
      <c r="Q25" s="20">
        <f>'DN P&amp;L'!Q63</f>
        <v/>
      </c>
      <c r="R25" s="20">
        <f>'DN P&amp;L'!R63</f>
        <v/>
      </c>
      <c r="S25" s="20">
        <f>'DN P&amp;L'!S63</f>
        <v/>
      </c>
      <c r="T25" s="20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20">
        <f>'LF P&amp;L'!H63</f>
        <v/>
      </c>
      <c r="I26" s="20">
        <f>'LF P&amp;L'!I63</f>
        <v/>
      </c>
      <c r="J26" s="20">
        <f>'LF P&amp;L'!J63</f>
        <v/>
      </c>
      <c r="K26" s="20">
        <f>'LF P&amp;L'!K63</f>
        <v/>
      </c>
      <c r="L26" s="20">
        <f>'LF P&amp;L'!L63</f>
        <v/>
      </c>
      <c r="M26" s="20">
        <f>'LF P&amp;L'!M63</f>
        <v/>
      </c>
      <c r="N26" s="20">
        <f>'LF P&amp;L'!N63</f>
        <v/>
      </c>
      <c r="O26" s="20">
        <f>'LF P&amp;L'!O63</f>
        <v/>
      </c>
      <c r="P26" s="20">
        <f>'LF P&amp;L'!P63</f>
        <v/>
      </c>
      <c r="Q26" s="20">
        <f>'LF P&amp;L'!Q63</f>
        <v/>
      </c>
      <c r="R26" s="20">
        <f>'LF P&amp;L'!R63</f>
        <v/>
      </c>
      <c r="S26" s="20">
        <f>'LF P&amp;L'!S63</f>
        <v/>
      </c>
      <c r="T26" s="20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20">
        <f>'MR P&amp;L'!H63</f>
        <v/>
      </c>
      <c r="I27" s="20">
        <f>'MR P&amp;L'!I63</f>
        <v/>
      </c>
      <c r="J27" s="20">
        <f>'MR P&amp;L'!J63</f>
        <v/>
      </c>
      <c r="K27" s="20">
        <f>'MR P&amp;L'!K63</f>
        <v/>
      </c>
      <c r="L27" s="20">
        <f>'MR P&amp;L'!L63</f>
        <v/>
      </c>
      <c r="M27" s="20">
        <f>'MR P&amp;L'!M63</f>
        <v/>
      </c>
      <c r="N27" s="20">
        <f>'MR P&amp;L'!N63</f>
        <v/>
      </c>
      <c r="O27" s="20">
        <f>'MR P&amp;L'!O63</f>
        <v/>
      </c>
      <c r="P27" s="20">
        <f>'MR P&amp;L'!P63</f>
        <v/>
      </c>
      <c r="Q27" s="20">
        <f>'MR P&amp;L'!Q63</f>
        <v/>
      </c>
      <c r="R27" s="20">
        <f>'MR P&amp;L'!R63</f>
        <v/>
      </c>
      <c r="S27" s="20">
        <f>'MR P&amp;L'!S63</f>
        <v/>
      </c>
      <c r="T27" s="20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20">
        <f>'OP P&amp;L'!H63</f>
        <v/>
      </c>
      <c r="I28" s="20">
        <f>'OP P&amp;L'!I63</f>
        <v/>
      </c>
      <c r="J28" s="20">
        <f>'OP P&amp;L'!J63</f>
        <v/>
      </c>
      <c r="K28" s="20">
        <f>'OP P&amp;L'!K63</f>
        <v/>
      </c>
      <c r="L28" s="20">
        <f>'OP P&amp;L'!L63</f>
        <v/>
      </c>
      <c r="M28" s="20">
        <f>'OP P&amp;L'!M63</f>
        <v/>
      </c>
      <c r="N28" s="20">
        <f>'OP P&amp;L'!N63</f>
        <v/>
      </c>
      <c r="O28" s="20">
        <f>'OP P&amp;L'!O63</f>
        <v/>
      </c>
      <c r="P28" s="20">
        <f>'OP P&amp;L'!P63</f>
        <v/>
      </c>
      <c r="Q28" s="20">
        <f>'OP P&amp;L'!Q63</f>
        <v/>
      </c>
      <c r="R28" s="20">
        <f>'OP P&amp;L'!R63</f>
        <v/>
      </c>
      <c r="S28" s="20">
        <f>'OP P&amp;L'!S63</f>
        <v/>
      </c>
      <c r="T28" s="20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20">
        <f>'PH P&amp;L'!H63</f>
        <v/>
      </c>
      <c r="I29" s="20">
        <f>'PH P&amp;L'!I63</f>
        <v/>
      </c>
      <c r="J29" s="20">
        <f>'PH P&amp;L'!J63</f>
        <v/>
      </c>
      <c r="K29" s="20">
        <f>'PH P&amp;L'!K63</f>
        <v/>
      </c>
      <c r="L29" s="20">
        <f>'PH P&amp;L'!L63</f>
        <v/>
      </c>
      <c r="M29" s="20">
        <f>'PH P&amp;L'!M63</f>
        <v/>
      </c>
      <c r="N29" s="20">
        <f>'PH P&amp;L'!N63</f>
        <v/>
      </c>
      <c r="O29" s="20">
        <f>'PH P&amp;L'!O63</f>
        <v/>
      </c>
      <c r="P29" s="20">
        <f>'PH P&amp;L'!P63</f>
        <v/>
      </c>
      <c r="Q29" s="20">
        <f>'PH P&amp;L'!Q63</f>
        <v/>
      </c>
      <c r="R29" s="20">
        <f>'PH P&amp;L'!R63</f>
        <v/>
      </c>
      <c r="S29" s="20">
        <f>'PH P&amp;L'!S63</f>
        <v/>
      </c>
      <c r="T29" s="20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20">
        <f>'RH P&amp;L'!H63</f>
        <v/>
      </c>
      <c r="I30" s="20">
        <f>'RH P&amp;L'!I63</f>
        <v/>
      </c>
      <c r="J30" s="20">
        <f>'RH P&amp;L'!J63</f>
        <v/>
      </c>
      <c r="K30" s="20">
        <f>'RH P&amp;L'!K63</f>
        <v/>
      </c>
      <c r="L30" s="20">
        <f>'RH P&amp;L'!L63</f>
        <v/>
      </c>
      <c r="M30" s="20">
        <f>'RH P&amp;L'!M63</f>
        <v/>
      </c>
      <c r="N30" s="20">
        <f>'RH P&amp;L'!N63</f>
        <v/>
      </c>
      <c r="O30" s="20">
        <f>'RH P&amp;L'!O63</f>
        <v/>
      </c>
      <c r="P30" s="20">
        <f>'RH P&amp;L'!P63</f>
        <v/>
      </c>
      <c r="Q30" s="20">
        <f>'RH P&amp;L'!Q63</f>
        <v/>
      </c>
      <c r="R30" s="20">
        <f>'RH P&amp;L'!R63</f>
        <v/>
      </c>
      <c r="S30" s="20">
        <f>'RH P&amp;L'!S63</f>
        <v/>
      </c>
      <c r="T30" s="20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20">
        <f>'SB P&amp;L'!H63</f>
        <v/>
      </c>
      <c r="I31" s="20">
        <f>'SB P&amp;L'!I63</f>
        <v/>
      </c>
      <c r="J31" s="20">
        <f>'SB P&amp;L'!J63</f>
        <v/>
      </c>
      <c r="K31" s="20">
        <f>'SB P&amp;L'!K63</f>
        <v/>
      </c>
      <c r="L31" s="20">
        <f>'SB P&amp;L'!L63</f>
        <v/>
      </c>
      <c r="M31" s="20">
        <f>'SB P&amp;L'!M63</f>
        <v/>
      </c>
      <c r="N31" s="20">
        <f>'SB P&amp;L'!N63</f>
        <v/>
      </c>
      <c r="O31" s="20">
        <f>'SB P&amp;L'!O63</f>
        <v/>
      </c>
      <c r="P31" s="20">
        <f>'SB P&amp;L'!P63</f>
        <v/>
      </c>
      <c r="Q31" s="20">
        <f>'SB P&amp;L'!Q63</f>
        <v/>
      </c>
      <c r="R31" s="20">
        <f>'SB P&amp;L'!R63</f>
        <v/>
      </c>
      <c r="S31" s="20">
        <f>'SB P&amp;L'!S63</f>
        <v/>
      </c>
      <c r="T31" s="20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20">
        <f>'SM P&amp;L'!H63</f>
        <v/>
      </c>
      <c r="I32" s="20">
        <f>'SM P&amp;L'!I63</f>
        <v/>
      </c>
      <c r="J32" s="20">
        <f>'SM P&amp;L'!J63</f>
        <v/>
      </c>
      <c r="K32" s="20">
        <f>'SM P&amp;L'!K63</f>
        <v/>
      </c>
      <c r="L32" s="20">
        <f>'SM P&amp;L'!L63</f>
        <v/>
      </c>
      <c r="M32" s="20">
        <f>'SM P&amp;L'!M63</f>
        <v/>
      </c>
      <c r="N32" s="20">
        <f>'SM P&amp;L'!N63</f>
        <v/>
      </c>
      <c r="O32" s="20">
        <f>'SM P&amp;L'!O63</f>
        <v/>
      </c>
      <c r="P32" s="20">
        <f>'SM P&amp;L'!P63</f>
        <v/>
      </c>
      <c r="Q32" s="20">
        <f>'SM P&amp;L'!Q63</f>
        <v/>
      </c>
      <c r="R32" s="20">
        <f>'SM P&amp;L'!R63</f>
        <v/>
      </c>
      <c r="S32" s="20">
        <f>'SM P&amp;L'!S63</f>
        <v/>
      </c>
      <c r="T32" s="20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20">
        <f>'WP P&amp;L'!H63</f>
        <v/>
      </c>
      <c r="I33" s="20">
        <f>'WP P&amp;L'!I63</f>
        <v/>
      </c>
      <c r="J33" s="20">
        <f>'WP P&amp;L'!J63</f>
        <v/>
      </c>
      <c r="K33" s="20">
        <f>'WP P&amp;L'!K63</f>
        <v/>
      </c>
      <c r="L33" s="20">
        <f>'WP P&amp;L'!L63</f>
        <v/>
      </c>
      <c r="M33" s="20">
        <f>'WP P&amp;L'!M63</f>
        <v/>
      </c>
      <c r="N33" s="20">
        <f>'WP P&amp;L'!N63</f>
        <v/>
      </c>
      <c r="O33" s="20">
        <f>'WP P&amp;L'!O63</f>
        <v/>
      </c>
      <c r="P33" s="20">
        <f>'WP P&amp;L'!P63</f>
        <v/>
      </c>
      <c r="Q33" s="20">
        <f>'WP P&amp;L'!Q63</f>
        <v/>
      </c>
      <c r="R33" s="20">
        <f>'WP P&amp;L'!R63</f>
        <v/>
      </c>
      <c r="S33" s="20">
        <f>'WP P&amp;L'!S63</f>
        <v/>
      </c>
      <c r="T33" s="20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20">
        <f>'WW P&amp;L'!H63</f>
        <v/>
      </c>
      <c r="I34" s="20">
        <f>'WW P&amp;L'!I63</f>
        <v/>
      </c>
      <c r="J34" s="20">
        <f>'WW P&amp;L'!J63</f>
        <v/>
      </c>
      <c r="K34" s="20">
        <f>'WW P&amp;L'!K63</f>
        <v/>
      </c>
      <c r="L34" s="20">
        <f>'WW P&amp;L'!L63</f>
        <v/>
      </c>
      <c r="M34" s="20">
        <f>'WW P&amp;L'!M63</f>
        <v/>
      </c>
      <c r="N34" s="20">
        <f>'WW P&amp;L'!N63</f>
        <v/>
      </c>
      <c r="O34" s="20">
        <f>'WW P&amp;L'!O63</f>
        <v/>
      </c>
      <c r="P34" s="20">
        <f>'WW P&amp;L'!P63</f>
        <v/>
      </c>
      <c r="Q34" s="20">
        <f>'WW P&amp;L'!Q63</f>
        <v/>
      </c>
      <c r="R34" s="20">
        <f>'WW P&amp;L'!R63</f>
        <v/>
      </c>
      <c r="S34" s="20">
        <f>'WW P&amp;L'!S63</f>
        <v/>
      </c>
      <c r="T34" s="20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</row>
    <row r="35" ht="16" customHeight="1" s="86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1">
        <f>'HO P&amp;L'!H36</f>
        <v/>
      </c>
      <c r="I35" s="41">
        <f>'HO P&amp;L'!I36</f>
        <v/>
      </c>
      <c r="J35" s="41">
        <f>'HO P&amp;L'!J36</f>
        <v/>
      </c>
      <c r="K35" s="41">
        <f>'HO P&amp;L'!K36</f>
        <v/>
      </c>
      <c r="L35" s="41">
        <f>'HO P&amp;L'!L36</f>
        <v/>
      </c>
      <c r="M35" s="41">
        <f>'HO P&amp;L'!M36</f>
        <v/>
      </c>
      <c r="N35" s="41">
        <f>'HO P&amp;L'!N36</f>
        <v/>
      </c>
      <c r="O35" s="41">
        <f>'HO P&amp;L'!O36</f>
        <v/>
      </c>
      <c r="P35" s="41">
        <f>'HO P&amp;L'!P36</f>
        <v/>
      </c>
      <c r="Q35" s="41">
        <f>'HO P&amp;L'!Q36</f>
        <v/>
      </c>
      <c r="R35" s="41">
        <f>'HO P&amp;L'!R36</f>
        <v/>
      </c>
      <c r="S35" s="41">
        <f>'HO P&amp;L'!S36</f>
        <v/>
      </c>
      <c r="T35" s="41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</row>
    <row r="37" ht="16" customHeight="1" s="86">
      <c r="B37" t="inlineStr">
        <is>
          <t>Total Add Backs</t>
        </is>
      </c>
      <c r="C37" s="39" t="n"/>
      <c r="D37" s="40">
        <f>'P&amp;L'!D38</f>
        <v/>
      </c>
      <c r="E37" s="40">
        <f>'P&amp;L'!E38</f>
        <v/>
      </c>
      <c r="F37" s="40">
        <f>'P&amp;L'!F38</f>
        <v/>
      </c>
      <c r="G37" s="40">
        <f>'P&amp;L'!G38</f>
        <v/>
      </c>
      <c r="H37" s="41">
        <f>'P&amp;L'!H38</f>
        <v/>
      </c>
      <c r="I37" s="41">
        <f>'P&amp;L'!I38</f>
        <v/>
      </c>
      <c r="J37" s="41">
        <f>'P&amp;L'!J38</f>
        <v/>
      </c>
      <c r="K37" s="41">
        <f>'P&amp;L'!K38</f>
        <v/>
      </c>
      <c r="L37" s="41">
        <f>'P&amp;L'!L38</f>
        <v/>
      </c>
      <c r="M37" s="41">
        <f>'P&amp;L'!M38</f>
        <v/>
      </c>
      <c r="N37" s="41">
        <f>'P&amp;L'!N38</f>
        <v/>
      </c>
      <c r="O37" s="41">
        <f>'P&amp;L'!O38</f>
        <v/>
      </c>
      <c r="P37" s="41">
        <f>'P&amp;L'!P38</f>
        <v/>
      </c>
      <c r="Q37" s="41">
        <f>'P&amp;L'!Q38</f>
        <v/>
      </c>
      <c r="R37" s="41">
        <f>'P&amp;L'!R38</f>
        <v/>
      </c>
      <c r="S37" s="41">
        <f>'P&amp;L'!S38</f>
        <v/>
      </c>
      <c r="T37" s="41">
        <f>'P&amp;L'!T38</f>
        <v/>
      </c>
      <c r="U37" s="41">
        <f>'P&amp;L'!U38</f>
        <v/>
      </c>
      <c r="V37" s="41">
        <f>'P&amp;L'!V38</f>
        <v/>
      </c>
      <c r="W37" s="41">
        <f>'P&amp;L'!W38</f>
        <v/>
      </c>
      <c r="X37" s="41">
        <f>'P&amp;L'!X38</f>
        <v/>
      </c>
      <c r="Y37" s="41">
        <f>'P&amp;L'!Y38</f>
        <v/>
      </c>
      <c r="Z37" s="41">
        <f>'P&amp;L'!Z38</f>
        <v/>
      </c>
      <c r="AA37" s="41">
        <f>'P&amp;L'!AA38</f>
        <v/>
      </c>
      <c r="AB37" s="41">
        <f>'P&amp;L'!AB38</f>
        <v/>
      </c>
      <c r="AC37" s="41">
        <f>'P&amp;L'!AC38</f>
        <v/>
      </c>
      <c r="AD37" s="41">
        <f>'P&amp;L'!AD38</f>
        <v/>
      </c>
      <c r="AE37" s="41">
        <f>'P&amp;L'!AE38</f>
        <v/>
      </c>
      <c r="AF37" s="41">
        <f>'P&amp;L'!AF38</f>
        <v/>
      </c>
      <c r="AG37" s="41">
        <f>'P&amp;L'!AG38</f>
        <v/>
      </c>
      <c r="AH37" s="41">
        <f>'P&amp;L'!AH38</f>
        <v/>
      </c>
      <c r="AI37" s="41">
        <f>'P&amp;L'!AI38</f>
        <v/>
      </c>
      <c r="AJ37" s="41">
        <f>'P&amp;L'!AJ38</f>
        <v/>
      </c>
      <c r="AK37" s="41">
        <f>'P&amp;L'!AK38</f>
        <v/>
      </c>
      <c r="AL37" s="41">
        <f>'P&amp;L'!AL38</f>
        <v/>
      </c>
      <c r="AM37" s="41">
        <f>'P&amp;L'!AM38</f>
        <v/>
      </c>
    </row>
    <row r="38">
      <c r="B38" s="15" t="inlineStr">
        <is>
          <t>Total Adj-EBITDA</t>
        </is>
      </c>
      <c r="D38" s="16">
        <f>'P&amp;L'!D39</f>
        <v/>
      </c>
      <c r="E38" s="16">
        <f>'P&amp;L'!E39</f>
        <v/>
      </c>
      <c r="F38" s="16">
        <f>'P&amp;L'!F39</f>
        <v/>
      </c>
      <c r="G38" s="16">
        <f>'P&amp;L'!G39</f>
        <v/>
      </c>
      <c r="H38" s="17">
        <f>'P&amp;L'!H39</f>
        <v/>
      </c>
      <c r="I38" s="17">
        <f>'P&amp;L'!I39</f>
        <v/>
      </c>
      <c r="J38" s="17">
        <f>'P&amp;L'!J39</f>
        <v/>
      </c>
      <c r="K38" s="17">
        <f>'P&amp;L'!K39</f>
        <v/>
      </c>
      <c r="L38" s="17">
        <f>'P&amp;L'!L39</f>
        <v/>
      </c>
      <c r="M38" s="17">
        <f>'P&amp;L'!M39</f>
        <v/>
      </c>
      <c r="N38" s="17">
        <f>'P&amp;L'!N39</f>
        <v/>
      </c>
      <c r="O38" s="17">
        <f>'P&amp;L'!O39</f>
        <v/>
      </c>
      <c r="P38" s="17">
        <f>'P&amp;L'!P39</f>
        <v/>
      </c>
      <c r="Q38" s="17">
        <f>'P&amp;L'!Q39</f>
        <v/>
      </c>
      <c r="R38" s="17">
        <f>'P&amp;L'!R39</f>
        <v/>
      </c>
      <c r="S38" s="17">
        <f>'P&amp;L'!S39</f>
        <v/>
      </c>
      <c r="T38" s="17">
        <f>'P&amp;L'!T39</f>
        <v/>
      </c>
      <c r="U38" s="17">
        <f>'P&amp;L'!U39</f>
        <v/>
      </c>
      <c r="V38" s="17">
        <f>'P&amp;L'!V39</f>
        <v/>
      </c>
      <c r="W38" s="17">
        <f>'P&amp;L'!W39</f>
        <v/>
      </c>
      <c r="X38" s="17">
        <f>'P&amp;L'!X39</f>
        <v/>
      </c>
      <c r="Y38" s="17">
        <f>'P&amp;L'!Y39</f>
        <v/>
      </c>
      <c r="Z38" s="17">
        <f>'P&amp;L'!Z39</f>
        <v/>
      </c>
      <c r="AA38" s="17">
        <f>'P&amp;L'!AA39</f>
        <v/>
      </c>
      <c r="AB38" s="17">
        <f>'P&amp;L'!AB39</f>
        <v/>
      </c>
      <c r="AC38" s="17">
        <f>'P&amp;L'!AC39</f>
        <v/>
      </c>
      <c r="AD38" s="17">
        <f>'P&amp;L'!AD39</f>
        <v/>
      </c>
      <c r="AE38" s="17">
        <f>'P&amp;L'!AE39</f>
        <v/>
      </c>
      <c r="AF38" s="17">
        <f>'P&amp;L'!AF39</f>
        <v/>
      </c>
      <c r="AG38" s="17">
        <f>'P&amp;L'!AG39</f>
        <v/>
      </c>
      <c r="AH38" s="17">
        <f>'P&amp;L'!AH39</f>
        <v/>
      </c>
      <c r="AI38" s="17">
        <f>'P&amp;L'!AI39</f>
        <v/>
      </c>
      <c r="AJ38" s="17">
        <f>'P&amp;L'!AJ39</f>
        <v/>
      </c>
      <c r="AK38" s="17">
        <f>'P&amp;L'!AK39</f>
        <v/>
      </c>
      <c r="AL38" s="17">
        <f>'P&amp;L'!AL39</f>
        <v/>
      </c>
      <c r="AM38" s="17">
        <f>'P&amp;L'!AM39</f>
        <v/>
      </c>
    </row>
    <row r="40" ht="16" customHeight="1" s="86">
      <c r="B40" s="10" t="inlineStr">
        <is>
          <t>Annual Summary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B41" s="14" t="inlineStr">
        <is>
          <t>Metric</t>
        </is>
      </c>
      <c r="C41" s="14" t="inlineStr">
        <is>
          <t>Studio</t>
        </is>
      </c>
      <c r="D41" s="14" t="inlineStr">
        <is>
          <t>2026</t>
        </is>
      </c>
      <c r="E41" s="14" t="inlineStr">
        <is>
          <t>2027</t>
        </is>
      </c>
      <c r="F41" s="14" t="inlineStr">
        <is>
          <t>2028</t>
        </is>
      </c>
      <c r="G41" s="14" t="inlineStr">
        <is>
          <t>2027 YoY</t>
        </is>
      </c>
      <c r="H41" s="14" t="inlineStr">
        <is>
          <t>2028 YoY</t>
        </is>
      </c>
    </row>
    <row r="42">
      <c r="B42" s="15" t="inlineStr">
        <is>
          <t>Total Sales</t>
        </is>
      </c>
      <c r="D42" s="17">
        <f>SUM(D43:D55)</f>
        <v/>
      </c>
      <c r="E42" s="17">
        <f>SUM(E43:E55)</f>
        <v/>
      </c>
      <c r="F42" s="17">
        <f>SUM(F43:F55)</f>
        <v/>
      </c>
      <c r="G42" s="21">
        <f>IFERROR((E42-D42)/D42,0)</f>
        <v/>
      </c>
      <c r="H42" s="21">
        <f>IFERROR((F42-E42)/E42,0)</f>
        <v/>
      </c>
    </row>
    <row r="43">
      <c r="C43" s="18" t="inlineStr">
        <is>
          <t>Berkeley</t>
        </is>
      </c>
      <c r="D43" s="20">
        <f>SUM('Sales Forecast'!D6:O6)</f>
        <v/>
      </c>
      <c r="E43" s="20">
        <f>SUM('Sales Forecast'!P6:AA6)</f>
        <v/>
      </c>
      <c r="F43" s="20">
        <f>SUM('Sales Forecast'!AB6:AM6)</f>
        <v/>
      </c>
      <c r="G43" s="22">
        <f>IFERROR((E41-D41)/D41,0)</f>
        <v/>
      </c>
      <c r="H43" s="22">
        <f>IFERROR((F41-E41)/E41,0)</f>
        <v/>
      </c>
    </row>
    <row r="44">
      <c r="C44" s="18" t="inlineStr">
        <is>
          <t>Culver City</t>
        </is>
      </c>
      <c r="D44" s="20">
        <f>SUM('Sales Forecast'!D7:O7)</f>
        <v/>
      </c>
      <c r="E44" s="20">
        <f>SUM('Sales Forecast'!P7:AA7)</f>
        <v/>
      </c>
      <c r="F44" s="20">
        <f>SUM('Sales Forecast'!AB7:AM7)</f>
        <v/>
      </c>
      <c r="G44" s="22">
        <f>IFERROR((E42-D42)/D42,0)</f>
        <v/>
      </c>
      <c r="H44" s="22">
        <f>IFERROR((F42-E42)/E42,0)</f>
        <v/>
      </c>
    </row>
    <row r="45">
      <c r="C45" s="18" t="inlineStr">
        <is>
          <t>Danville</t>
        </is>
      </c>
      <c r="D45" s="20">
        <f>SUM('Sales Forecast'!D8:O8)</f>
        <v/>
      </c>
      <c r="E45" s="20">
        <f>SUM('Sales Forecast'!P8:AA8)</f>
        <v/>
      </c>
      <c r="F45" s="20">
        <f>SUM('Sales Forecast'!AB8:AM8)</f>
        <v/>
      </c>
      <c r="G45" s="22">
        <f>IFERROR((E43-D43)/D43,0)</f>
        <v/>
      </c>
      <c r="H45" s="22">
        <f>IFERROR((F43-E43)/E43,0)</f>
        <v/>
      </c>
    </row>
    <row r="46">
      <c r="C46" s="18" t="inlineStr">
        <is>
          <t>Lafayette</t>
        </is>
      </c>
      <c r="D46" s="20">
        <f>SUM('Sales Forecast'!D9:O9)</f>
        <v/>
      </c>
      <c r="E46" s="20">
        <f>SUM('Sales Forecast'!P9:AA9)</f>
        <v/>
      </c>
      <c r="F46" s="20">
        <f>SUM('Sales Forecast'!AB9:AM9)</f>
        <v/>
      </c>
      <c r="G46" s="22">
        <f>IFERROR((E44-D44)/D44,0)</f>
        <v/>
      </c>
      <c r="H46" s="22">
        <f>IFERROR((F44-E44)/E44,0)</f>
        <v/>
      </c>
    </row>
    <row r="47">
      <c r="C47" s="18" t="inlineStr">
        <is>
          <t>Marin</t>
        </is>
      </c>
      <c r="D47" s="20">
        <f>SUM('Sales Forecast'!D10:O10)</f>
        <v/>
      </c>
      <c r="E47" s="20">
        <f>SUM('Sales Forecast'!P10:AA10)</f>
        <v/>
      </c>
      <c r="F47" s="20">
        <f>SUM('Sales Forecast'!AB10:AM10)</f>
        <v/>
      </c>
      <c r="G47" s="22">
        <f>IFERROR((E45-D45)/D45,0)</f>
        <v/>
      </c>
      <c r="H47" s="22">
        <f>IFERROR((F45-E45)/E45,0)</f>
        <v/>
      </c>
    </row>
    <row r="48">
      <c r="C48" s="18" t="inlineStr">
        <is>
          <t>Ocean Park</t>
        </is>
      </c>
      <c r="D48" s="20">
        <f>SUM('Sales Forecast'!D11:O11)</f>
        <v/>
      </c>
      <c r="E48" s="20">
        <f>SUM('Sales Forecast'!P11:AA11)</f>
        <v/>
      </c>
      <c r="F48" s="20">
        <f>SUM('Sales Forecast'!AB11:AM11)</f>
        <v/>
      </c>
      <c r="G48" s="22">
        <f>IFERROR((E46-D46)/D46,0)</f>
        <v/>
      </c>
      <c r="H48" s="22">
        <f>IFERROR((F46-E46)/E46,0)</f>
        <v/>
      </c>
    </row>
    <row r="49">
      <c r="C49" s="18" t="inlineStr">
        <is>
          <t>Presidio Heights</t>
        </is>
      </c>
      <c r="D49" s="20">
        <f>SUM('Sales Forecast'!D12:O12)</f>
        <v/>
      </c>
      <c r="E49" s="20">
        <f>SUM('Sales Forecast'!P12:AA12)</f>
        <v/>
      </c>
      <c r="F49" s="20">
        <f>SUM('Sales Forecast'!AB12:AM12)</f>
        <v/>
      </c>
      <c r="G49" s="22">
        <f>IFERROR((E47-D47)/D47,0)</f>
        <v/>
      </c>
      <c r="H49" s="22">
        <f>IFERROR((F47-E47)/E47,0)</f>
        <v/>
      </c>
    </row>
    <row r="50">
      <c r="C50" s="18" t="inlineStr">
        <is>
          <t>Russian Hill</t>
        </is>
      </c>
      <c r="D50" s="20">
        <f>SUM('Sales Forecast'!D13:O13)</f>
        <v/>
      </c>
      <c r="E50" s="20">
        <f>SUM('Sales Forecast'!P13:AA13)</f>
        <v/>
      </c>
      <c r="F50" s="20">
        <f>SUM('Sales Forecast'!AB13:AM13)</f>
        <v/>
      </c>
      <c r="G50" s="22">
        <f>IFERROR((E48-D48)/D48,0)</f>
        <v/>
      </c>
      <c r="H50" s="22">
        <f>IFERROR((F48-E48)/E48,0)</f>
        <v/>
      </c>
    </row>
    <row r="51">
      <c r="C51" s="18" t="inlineStr">
        <is>
          <t>Santa Barbara</t>
        </is>
      </c>
      <c r="D51" s="20">
        <f>SUM('Sales Forecast'!D14:O14)</f>
        <v/>
      </c>
      <c r="E51" s="20">
        <f>SUM('Sales Forecast'!P14:AA14)</f>
        <v/>
      </c>
      <c r="F51" s="20">
        <f>SUM('Sales Forecast'!AB14:AM14)</f>
        <v/>
      </c>
      <c r="G51" s="22">
        <f>IFERROR((E49-D49)/D49,0)</f>
        <v/>
      </c>
      <c r="H51" s="22">
        <f>IFERROR((F49-E49)/E49,0)</f>
        <v/>
      </c>
    </row>
    <row r="52">
      <c r="C52" s="18" t="inlineStr">
        <is>
          <t>Santa Monica</t>
        </is>
      </c>
      <c r="D52" s="20">
        <f>SUM('Sales Forecast'!D15:O15)</f>
        <v/>
      </c>
      <c r="E52" s="20">
        <f>SUM('Sales Forecast'!P15:AA15)</f>
        <v/>
      </c>
      <c r="F52" s="20">
        <f>SUM('Sales Forecast'!AB15:AM15)</f>
        <v/>
      </c>
      <c r="G52" s="22">
        <f>IFERROR((E50-D50)/D50,0)</f>
        <v/>
      </c>
      <c r="H52" s="22">
        <f>IFERROR((F50-E50)/E50,0)</f>
        <v/>
      </c>
    </row>
    <row r="53">
      <c r="C53" s="18" t="inlineStr">
        <is>
          <t>West Portal</t>
        </is>
      </c>
      <c r="D53" s="20">
        <f>SUM('Sales Forecast'!D16:O16)</f>
        <v/>
      </c>
      <c r="E53" s="20">
        <f>SUM('Sales Forecast'!P16:AA16)</f>
        <v/>
      </c>
      <c r="F53" s="20">
        <f>SUM('Sales Forecast'!AB16:AM16)</f>
        <v/>
      </c>
      <c r="G53" s="22">
        <f>IFERROR((E51-D51)/D51,0)</f>
        <v/>
      </c>
      <c r="H53" s="22">
        <f>IFERROR((F51-E51)/E51,0)</f>
        <v/>
      </c>
    </row>
    <row r="54">
      <c r="C54" s="18" t="inlineStr">
        <is>
          <t>Westwood</t>
        </is>
      </c>
      <c r="D54" s="20">
        <f>SUM('Sales Forecast'!D17:O17)</f>
        <v/>
      </c>
      <c r="E54" s="20">
        <f>SUM('Sales Forecast'!P17:AA17)</f>
        <v/>
      </c>
      <c r="F54" s="20">
        <f>SUM('Sales Forecast'!AB17:AM17)</f>
        <v/>
      </c>
      <c r="G54" s="22">
        <f>IFERROR((E52-D52)/D52,0)</f>
        <v/>
      </c>
      <c r="H54" s="22">
        <f>IFERROR((F52-E52)/E52,0)</f>
        <v/>
      </c>
    </row>
    <row r="55">
      <c r="C55" s="18" t="inlineStr">
        <is>
          <t>Head Office</t>
        </is>
      </c>
      <c r="D55" s="20" t="n">
        <v>0</v>
      </c>
      <c r="E55" s="20" t="n">
        <v>0</v>
      </c>
      <c r="F55" s="20" t="n">
        <v>0</v>
      </c>
      <c r="G55" s="22">
        <f>IFERROR((E55-D55)/D55,0)</f>
        <v/>
      </c>
      <c r="H55" s="22">
        <f>IFERROR((F55-E55)/E55,0)</f>
        <v/>
      </c>
    </row>
    <row r="57">
      <c r="B57" s="15" t="inlineStr">
        <is>
          <t>Total EBITDA</t>
        </is>
      </c>
      <c r="D57" s="23">
        <f>SUM(D58:D70)</f>
        <v/>
      </c>
      <c r="E57" s="23">
        <f>SUM(E58:E70)</f>
        <v/>
      </c>
      <c r="F57" s="23">
        <f>SUM(F58:F70)</f>
        <v/>
      </c>
      <c r="G57" s="21">
        <f>IFERROR((E57-D57)/D57,0)</f>
        <v/>
      </c>
      <c r="H57" s="21">
        <f>IFERROR((F57-E57)/E57,0)</f>
        <v/>
      </c>
    </row>
    <row r="58">
      <c r="C58" s="18" t="inlineStr">
        <is>
          <t>Berkeley</t>
        </is>
      </c>
      <c r="D58" s="20">
        <f>SUM(D23:O23)</f>
        <v/>
      </c>
      <c r="E58" s="20">
        <f>SUM(P23:AA23)</f>
        <v/>
      </c>
      <c r="F58" s="20">
        <f>SUM(AB23:AM23)</f>
        <v/>
      </c>
      <c r="G58" s="22">
        <f>IFERROR((E58-D58)/D58,0)</f>
        <v/>
      </c>
      <c r="H58" s="22">
        <f>IFERROR((F58-E58)/E58,0)</f>
        <v/>
      </c>
    </row>
    <row r="59">
      <c r="C59" s="18" t="inlineStr">
        <is>
          <t>Culver City</t>
        </is>
      </c>
      <c r="D59" s="20">
        <f>SUM(D24:O24)</f>
        <v/>
      </c>
      <c r="E59" s="20">
        <f>SUM(P24:AA24)</f>
        <v/>
      </c>
      <c r="F59" s="20">
        <f>SUM(AB24:AM24)</f>
        <v/>
      </c>
      <c r="G59" s="22">
        <f>IFERROR((E59-D59)/D59,0)</f>
        <v/>
      </c>
      <c r="H59" s="22">
        <f>IFERROR((F59-E59)/E59,0)</f>
        <v/>
      </c>
    </row>
    <row r="60">
      <c r="C60" s="18" t="inlineStr">
        <is>
          <t>Danville</t>
        </is>
      </c>
      <c r="D60" s="20">
        <f>SUM(D25:O25)</f>
        <v/>
      </c>
      <c r="E60" s="20">
        <f>SUM(P25:AA25)</f>
        <v/>
      </c>
      <c r="F60" s="20">
        <f>SUM(AB25:AM25)</f>
        <v/>
      </c>
      <c r="G60" s="22">
        <f>IFERROR((E60-D60)/D60,0)</f>
        <v/>
      </c>
      <c r="H60" s="22">
        <f>IFERROR((F60-E60)/E60,0)</f>
        <v/>
      </c>
    </row>
    <row r="61">
      <c r="C61" s="18" t="inlineStr">
        <is>
          <t>Lafayette</t>
        </is>
      </c>
      <c r="D61" s="20">
        <f>SUM(D26:O26)</f>
        <v/>
      </c>
      <c r="E61" s="20">
        <f>SUM(P26:AA26)</f>
        <v/>
      </c>
      <c r="F61" s="20">
        <f>SUM(AB26:AM26)</f>
        <v/>
      </c>
      <c r="G61" s="22">
        <f>IFERROR((E61-D61)/D61,0)</f>
        <v/>
      </c>
      <c r="H61" s="22">
        <f>IFERROR((F61-E61)/E61,0)</f>
        <v/>
      </c>
    </row>
    <row r="62">
      <c r="C62" s="18" t="inlineStr">
        <is>
          <t>Marin</t>
        </is>
      </c>
      <c r="D62" s="20">
        <f>SUM(D27:O27)</f>
        <v/>
      </c>
      <c r="E62" s="20">
        <f>SUM(P27:AA27)</f>
        <v/>
      </c>
      <c r="F62" s="20">
        <f>SUM(AB27:AM27)</f>
        <v/>
      </c>
      <c r="G62" s="22">
        <f>IFERROR((E62-D62)/D62,0)</f>
        <v/>
      </c>
      <c r="H62" s="22">
        <f>IFERROR((F62-E62)/E62,0)</f>
        <v/>
      </c>
    </row>
    <row r="63">
      <c r="C63" s="18" t="inlineStr">
        <is>
          <t>Ocean Park</t>
        </is>
      </c>
      <c r="D63" s="20">
        <f>SUM(D28:O28)</f>
        <v/>
      </c>
      <c r="E63" s="20">
        <f>SUM(P28:AA28)</f>
        <v/>
      </c>
      <c r="F63" s="20">
        <f>SUM(AB28:AM28)</f>
        <v/>
      </c>
      <c r="G63" s="22">
        <f>IFERROR((E63-D63)/D63,0)</f>
        <v/>
      </c>
      <c r="H63" s="22">
        <f>IFERROR((F63-E63)/E63,0)</f>
        <v/>
      </c>
    </row>
    <row r="64">
      <c r="C64" s="18" t="inlineStr">
        <is>
          <t>Presidio Heights</t>
        </is>
      </c>
      <c r="D64" s="20">
        <f>SUM(D29:O29)</f>
        <v/>
      </c>
      <c r="E64" s="20">
        <f>SUM(P29:AA29)</f>
        <v/>
      </c>
      <c r="F64" s="20">
        <f>SUM(AB29:AM29)</f>
        <v/>
      </c>
      <c r="G64" s="22">
        <f>IFERROR((E64-D64)/D64,0)</f>
        <v/>
      </c>
      <c r="H64" s="22">
        <f>IFERROR((F64-E64)/E64,0)</f>
        <v/>
      </c>
    </row>
    <row r="65">
      <c r="C65" s="18" t="inlineStr">
        <is>
          <t>Russian Hill</t>
        </is>
      </c>
      <c r="D65" s="20">
        <f>SUM(D30:O30)</f>
        <v/>
      </c>
      <c r="E65" s="20">
        <f>SUM(P30:AA30)</f>
        <v/>
      </c>
      <c r="F65" s="20">
        <f>SUM(AB30:AM30)</f>
        <v/>
      </c>
      <c r="G65" s="22">
        <f>IFERROR((E65-D65)/D65,0)</f>
        <v/>
      </c>
      <c r="H65" s="22">
        <f>IFERROR((F65-E65)/E65,0)</f>
        <v/>
      </c>
    </row>
    <row r="66">
      <c r="C66" s="18" t="inlineStr">
        <is>
          <t>Santa Barbara</t>
        </is>
      </c>
      <c r="D66" s="20">
        <f>SUM(D31:O31)</f>
        <v/>
      </c>
      <c r="E66" s="20">
        <f>SUM(P31:AA31)</f>
        <v/>
      </c>
      <c r="F66" s="20">
        <f>SUM(AB31:AM31)</f>
        <v/>
      </c>
      <c r="G66" s="22">
        <f>IFERROR((E66-D66)/D66,0)</f>
        <v/>
      </c>
      <c r="H66" s="22">
        <f>IFERROR((F66-E66)/E66,0)</f>
        <v/>
      </c>
    </row>
    <row r="67">
      <c r="C67" s="18" t="inlineStr">
        <is>
          <t>Santa Monica</t>
        </is>
      </c>
      <c r="D67" s="20">
        <f>SUM(D32:O32)</f>
        <v/>
      </c>
      <c r="E67" s="20">
        <f>SUM(P32:AA32)</f>
        <v/>
      </c>
      <c r="F67" s="20">
        <f>SUM(AB32:AM32)</f>
        <v/>
      </c>
      <c r="G67" s="22">
        <f>IFERROR((E67-D67)/D67,0)</f>
        <v/>
      </c>
      <c r="H67" s="22">
        <f>IFERROR((F67-E67)/E67,0)</f>
        <v/>
      </c>
    </row>
    <row r="68">
      <c r="C68" s="18" t="inlineStr">
        <is>
          <t>West Portal</t>
        </is>
      </c>
      <c r="D68" s="20">
        <f>SUM(D33:O33)</f>
        <v/>
      </c>
      <c r="E68" s="20">
        <f>SUM(P33:AA33)</f>
        <v/>
      </c>
      <c r="F68" s="20">
        <f>SUM(AB33:AM33)</f>
        <v/>
      </c>
      <c r="G68" s="22">
        <f>IFERROR((E68-D68)/D68,0)</f>
        <v/>
      </c>
      <c r="H68" s="22">
        <f>IFERROR((F68-E68)/E68,0)</f>
        <v/>
      </c>
    </row>
    <row r="69">
      <c r="C69" s="18" t="inlineStr">
        <is>
          <t>Westwood</t>
        </is>
      </c>
      <c r="D69" s="20">
        <f>SUM(D34:O34)</f>
        <v/>
      </c>
      <c r="E69" s="20">
        <f>SUM(P34:AA34)</f>
        <v/>
      </c>
      <c r="F69" s="20">
        <f>SUM(AB34:AM34)</f>
        <v/>
      </c>
      <c r="G69" s="22">
        <f>IFERROR((E69-D69)/D69,0)</f>
        <v/>
      </c>
      <c r="H69" s="22">
        <f>IFERROR((F69-E69)/E69,0)</f>
        <v/>
      </c>
    </row>
    <row r="70">
      <c r="C70" s="18" t="inlineStr">
        <is>
          <t>Head Office</t>
        </is>
      </c>
      <c r="D70" s="20">
        <f>SUM('HO P&amp;L'!D36:O36)</f>
        <v/>
      </c>
      <c r="E70" s="20">
        <f>SUM('HO P&amp;L'!P36:AA36)</f>
        <v/>
      </c>
      <c r="F70" s="20">
        <f>SUM('HO P&amp;L'!AB36:AM36)</f>
        <v/>
      </c>
      <c r="G70" s="22">
        <f>IFERROR((E70-D70)/D70,0)</f>
        <v/>
      </c>
      <c r="H70" s="22">
        <f>IFERROR((F70-E70)/E70,0)</f>
        <v/>
      </c>
    </row>
    <row r="71">
      <c r="C71" s="18" t="n"/>
      <c r="D71" s="77" t="n"/>
      <c r="E71" s="77" t="n"/>
      <c r="F71" s="77" t="n"/>
      <c r="G71" s="78" t="n"/>
      <c r="H71" s="78" t="n"/>
    </row>
    <row r="72">
      <c r="B72" s="15" t="inlineStr">
        <is>
          <t>Total Adj-EBITDA</t>
        </is>
      </c>
      <c r="D72" s="80">
        <f>SUM(D38:O38)</f>
        <v/>
      </c>
      <c r="E72" s="81">
        <f>SUM(P38:AA38)</f>
        <v/>
      </c>
      <c r="F72" s="81">
        <f>SUM(AB38:AM38)</f>
        <v/>
      </c>
      <c r="G72" s="82">
        <f>IFERROR((E72-D72)/D72,0)</f>
        <v/>
      </c>
      <c r="H72" s="83">
        <f>IFERROR((F72-E72)/E72,0)</f>
        <v/>
      </c>
    </row>
    <row r="73">
      <c r="B73" s="15" t="n"/>
      <c r="D73" s="79" t="n"/>
      <c r="E73" s="79" t="n"/>
      <c r="F73" s="79" t="n"/>
      <c r="G73" s="79" t="n"/>
      <c r="H73" s="79" t="n"/>
    </row>
    <row r="124"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36" customWidth="1" style="86" min="2" max="2"/>
    <col width="14" customWidth="1" style="86" min="3" max="9"/>
    <col width="18" customWidth="1" style="86" min="10" max="10"/>
  </cols>
  <sheetData>
    <row r="2" ht="21" customHeight="1" s="86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" customHeight="1" s="86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" customHeight="1" s="86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" customHeight="1" s="86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85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85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85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85" t="inlineStr">
        <is>
          <t>Cost of goods sold as % of revenue (retail).</t>
        </is>
      </c>
    </row>
    <row r="22" ht="16" customHeight="1" s="86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85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85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85" t="inlineStr">
        <is>
          <t>5% YoY assumed for 2028 (applied to 2027 seasonal pattern)</t>
        </is>
      </c>
    </row>
    <row r="27" ht="16" customHeight="1" s="86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" customHeight="1" s="86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966"/>
    <outlinePr summaryBelow="1" summaryRight="1"/>
    <pageSetUpPr/>
  </sheetPr>
  <dimension ref="B2:AM11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H8" sqref="H8"/>
    </sheetView>
  </sheetViews>
  <sheetFormatPr baseColWidth="10" defaultColWidth="8.83203125" defaultRowHeight="15" outlineLevelCol="0"/>
  <cols>
    <col hidden="1" width="2" customWidth="1" style="86" min="1" max="1"/>
    <col width="8" customWidth="1" style="86" min="2" max="2"/>
    <col width="22" customWidth="1" style="86" min="3" max="3"/>
    <col width="11" customWidth="1" style="86" min="4" max="39"/>
  </cols>
  <sheetData>
    <row r="2" ht="21" customHeight="1" s="86">
      <c r="B2" s="9" t="inlineStr">
        <is>
          <t>Sales Forecast (Gross)</t>
        </is>
      </c>
    </row>
    <row r="3">
      <c r="B3" s="3" t="inlineStr">
        <is>
          <t>Jan-Jul 2026 actuals (locked, Cat-authoritative). Aug 2026 onwards forecast (editable).</t>
        </is>
      </c>
    </row>
    <row r="4" ht="16" customHeight="1" s="86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 (A)</t>
        </is>
      </c>
      <c r="I5" s="14" t="inlineStr">
        <is>
          <t>Jun 2026</t>
        </is>
      </c>
      <c r="J5" s="14" t="inlineStr">
        <is>
          <t>Jul 2026 (A)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124393</v>
      </c>
      <c r="E6" s="19" t="n">
        <v>129377</v>
      </c>
      <c r="F6" s="64" t="n">
        <v>103159</v>
      </c>
      <c r="G6" s="64" t="n">
        <v>136117</v>
      </c>
      <c r="H6" s="87" t="n">
        <v>83273</v>
      </c>
      <c r="I6" s="31" t="n">
        <v>100821</v>
      </c>
      <c r="J6" s="31" t="n">
        <v>99551</v>
      </c>
      <c r="K6" s="31" t="n">
        <v>120000</v>
      </c>
      <c r="L6" s="31" t="n">
        <v>120000</v>
      </c>
      <c r="M6" s="31" t="n">
        <v>130000</v>
      </c>
      <c r="N6" s="31" t="n">
        <v>130000</v>
      </c>
      <c r="O6" s="31" t="n">
        <v>149000</v>
      </c>
      <c r="P6" s="31" t="n">
        <v>130612.65</v>
      </c>
      <c r="Q6" s="31" t="n">
        <v>135845.85</v>
      </c>
      <c r="R6" s="31" t="n">
        <v>108316.95</v>
      </c>
      <c r="S6" s="31" t="n">
        <v>142922.85</v>
      </c>
      <c r="T6" s="31" t="n">
        <v>87649.8</v>
      </c>
      <c r="U6" s="31" t="n">
        <v>115500</v>
      </c>
      <c r="V6" s="31" t="n">
        <v>110250</v>
      </c>
      <c r="W6" s="31" t="n">
        <v>126000</v>
      </c>
      <c r="X6" s="31" t="n">
        <v>126000</v>
      </c>
      <c r="Y6" s="31" t="n">
        <v>136500</v>
      </c>
      <c r="Z6" s="31" t="n">
        <v>136500</v>
      </c>
      <c r="AA6" s="31" t="n">
        <v>156450</v>
      </c>
      <c r="AB6" s="31" t="n">
        <v>137143.28</v>
      </c>
      <c r="AC6" s="31" t="n">
        <v>142638.14</v>
      </c>
      <c r="AD6" s="31" t="n">
        <v>113732.8</v>
      </c>
      <c r="AE6" s="31" t="n">
        <v>150068.99</v>
      </c>
      <c r="AF6" s="31" t="n">
        <v>92032.28999999999</v>
      </c>
      <c r="AG6" s="31" t="n">
        <v>121275</v>
      </c>
      <c r="AH6" s="31" t="n">
        <v>115762.5</v>
      </c>
      <c r="AI6" s="31" t="n">
        <v>132300</v>
      </c>
      <c r="AJ6" s="31" t="n">
        <v>132300</v>
      </c>
      <c r="AK6" s="31" t="n">
        <v>143325</v>
      </c>
      <c r="AL6" s="31" t="n">
        <v>143325</v>
      </c>
      <c r="AM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43840</v>
      </c>
      <c r="E7" s="19" t="n">
        <v>38704</v>
      </c>
      <c r="F7" s="64" t="n">
        <v>42619</v>
      </c>
      <c r="G7" s="64" t="n">
        <v>39690</v>
      </c>
      <c r="H7" s="87" t="n">
        <v>43327</v>
      </c>
      <c r="I7" s="31" t="n">
        <v>32522</v>
      </c>
      <c r="J7" s="31" t="n">
        <v>42903</v>
      </c>
      <c r="K7" s="31" t="n">
        <v>50000</v>
      </c>
      <c r="L7" s="31" t="n">
        <v>53000</v>
      </c>
      <c r="M7" s="31" t="n">
        <v>60000</v>
      </c>
      <c r="N7" s="31" t="n">
        <v>64000</v>
      </c>
      <c r="O7" s="31" t="n">
        <v>60000</v>
      </c>
      <c r="P7" s="31" t="n">
        <v>61000</v>
      </c>
      <c r="Q7" s="31" t="n">
        <v>73307</v>
      </c>
      <c r="R7" s="31" t="n">
        <v>69238</v>
      </c>
      <c r="S7" s="31" t="n">
        <v>75096</v>
      </c>
      <c r="T7" s="31" t="n">
        <v>70949</v>
      </c>
      <c r="U7" s="31" t="n">
        <v>64231</v>
      </c>
      <c r="V7" s="31" t="n">
        <v>95489</v>
      </c>
      <c r="W7" s="31" t="n">
        <v>107456</v>
      </c>
      <c r="X7" s="31" t="n">
        <v>102425</v>
      </c>
      <c r="Y7" s="31" t="n">
        <v>95000</v>
      </c>
      <c r="Z7" s="31" t="n">
        <v>95000</v>
      </c>
      <c r="AA7" s="31" t="n">
        <v>95000</v>
      </c>
      <c r="AB7" s="31" t="n">
        <v>64050</v>
      </c>
      <c r="AC7" s="31" t="n">
        <v>76972.35000000001</v>
      </c>
      <c r="AD7" s="31" t="n">
        <v>72699.89999999999</v>
      </c>
      <c r="AE7" s="31" t="n">
        <v>78850.8</v>
      </c>
      <c r="AF7" s="31" t="n">
        <v>74496.45</v>
      </c>
      <c r="AG7" s="31" t="n">
        <v>67442.55</v>
      </c>
      <c r="AH7" s="31" t="n">
        <v>100263.45</v>
      </c>
      <c r="AI7" s="31" t="n">
        <v>112828.8</v>
      </c>
      <c r="AJ7" s="31" t="n">
        <v>107546.25</v>
      </c>
      <c r="AK7" s="31" t="n">
        <v>99750</v>
      </c>
      <c r="AL7" s="31" t="n">
        <v>99750</v>
      </c>
      <c r="AM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24286</v>
      </c>
      <c r="E8" s="19" t="n">
        <v>23358</v>
      </c>
      <c r="F8" s="64" t="n">
        <v>20289</v>
      </c>
      <c r="G8" s="64" t="n">
        <v>20363</v>
      </c>
      <c r="H8" s="87" t="n">
        <v>15337</v>
      </c>
      <c r="I8" s="31" t="n">
        <v>20327</v>
      </c>
      <c r="J8" s="31" t="n">
        <v>16795</v>
      </c>
      <c r="K8" s="31" t="n">
        <v>25000</v>
      </c>
      <c r="L8" s="31" t="n">
        <v>25000</v>
      </c>
      <c r="M8" s="31" t="n">
        <v>30000</v>
      </c>
      <c r="N8" s="31" t="n">
        <v>25000</v>
      </c>
      <c r="O8" s="31" t="n">
        <v>32000</v>
      </c>
      <c r="P8" s="31" t="n">
        <v>32000</v>
      </c>
      <c r="Q8" s="31" t="n">
        <v>40000</v>
      </c>
      <c r="R8" s="31" t="n">
        <v>40000</v>
      </c>
      <c r="S8" s="31" t="n">
        <v>45000</v>
      </c>
      <c r="T8" s="31" t="n">
        <v>45000</v>
      </c>
      <c r="U8" s="31" t="n">
        <v>50000</v>
      </c>
      <c r="V8" s="31" t="n">
        <v>50000</v>
      </c>
      <c r="W8" s="31" t="n">
        <v>50000</v>
      </c>
      <c r="X8" s="31" t="n">
        <v>55000</v>
      </c>
      <c r="Y8" s="31" t="n">
        <v>55000</v>
      </c>
      <c r="Z8" s="31" t="n">
        <v>55000</v>
      </c>
      <c r="AA8" s="31" t="n">
        <v>55000</v>
      </c>
      <c r="AB8" s="31" t="n">
        <v>33600</v>
      </c>
      <c r="AC8" s="31" t="n">
        <v>42000</v>
      </c>
      <c r="AD8" s="31" t="n">
        <v>42000</v>
      </c>
      <c r="AE8" s="31" t="n">
        <v>47250</v>
      </c>
      <c r="AF8" s="31" t="n">
        <v>47250</v>
      </c>
      <c r="AG8" s="31" t="n">
        <v>52500</v>
      </c>
      <c r="AH8" s="31" t="n">
        <v>52500</v>
      </c>
      <c r="AI8" s="31" t="n">
        <v>52500</v>
      </c>
      <c r="AJ8" s="31" t="n">
        <v>57750</v>
      </c>
      <c r="AK8" s="31" t="n">
        <v>57750</v>
      </c>
      <c r="AL8" s="31" t="n">
        <v>57750</v>
      </c>
      <c r="AM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92365</v>
      </c>
      <c r="E9" s="19" t="n">
        <v>126186</v>
      </c>
      <c r="F9" s="64" t="n">
        <v>78385</v>
      </c>
      <c r="G9" s="64" t="n">
        <v>106542</v>
      </c>
      <c r="H9" s="87" t="n">
        <v>71444</v>
      </c>
      <c r="I9" s="31" t="n">
        <v>81024</v>
      </c>
      <c r="J9" s="31" t="n">
        <v>86878</v>
      </c>
      <c r="K9" s="31" t="n">
        <v>80000</v>
      </c>
      <c r="L9" s="31" t="n">
        <v>80250</v>
      </c>
      <c r="M9" s="31" t="n">
        <v>85000</v>
      </c>
      <c r="N9" s="31" t="n">
        <v>95000</v>
      </c>
      <c r="O9" s="31" t="n">
        <v>110000</v>
      </c>
      <c r="P9" s="31" t="n">
        <v>96983.25</v>
      </c>
      <c r="Q9" s="31" t="n">
        <v>132495.3</v>
      </c>
      <c r="R9" s="31" t="n">
        <v>82304.25</v>
      </c>
      <c r="S9" s="31" t="n">
        <v>111869.1</v>
      </c>
      <c r="T9" s="31" t="n">
        <v>75832.05</v>
      </c>
      <c r="U9" s="31" t="n">
        <v>84000</v>
      </c>
      <c r="V9" s="31" t="n">
        <v>84262.5</v>
      </c>
      <c r="W9" s="31" t="n">
        <v>84000</v>
      </c>
      <c r="X9" s="31" t="n">
        <v>84262.5</v>
      </c>
      <c r="Y9" s="31" t="n">
        <v>89250</v>
      </c>
      <c r="Z9" s="31" t="n">
        <v>99750</v>
      </c>
      <c r="AA9" s="31" t="n">
        <v>115500</v>
      </c>
      <c r="AB9" s="31" t="n">
        <v>101832.41</v>
      </c>
      <c r="AC9" s="31" t="n">
        <v>139120.07</v>
      </c>
      <c r="AD9" s="31" t="n">
        <v>86419.46000000001</v>
      </c>
      <c r="AE9" s="31" t="n">
        <v>117462.56</v>
      </c>
      <c r="AF9" s="31" t="n">
        <v>79623.64999999999</v>
      </c>
      <c r="AG9" s="31" t="n">
        <v>88200</v>
      </c>
      <c r="AH9" s="31" t="n">
        <v>88475.62</v>
      </c>
      <c r="AI9" s="31" t="n">
        <v>88200</v>
      </c>
      <c r="AJ9" s="31" t="n">
        <v>88475.62</v>
      </c>
      <c r="AK9" s="31" t="n">
        <v>93712.5</v>
      </c>
      <c r="AL9" s="31" t="n">
        <v>104737.5</v>
      </c>
      <c r="AM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100589</v>
      </c>
      <c r="E10" s="19" t="n">
        <v>114193</v>
      </c>
      <c r="F10" s="64" t="n">
        <v>90196</v>
      </c>
      <c r="G10" s="64" t="n">
        <v>140256</v>
      </c>
      <c r="H10" s="87" t="n">
        <v>74382</v>
      </c>
      <c r="I10" s="31" t="n">
        <v>98742</v>
      </c>
      <c r="J10" s="31" t="n">
        <v>109856</v>
      </c>
      <c r="K10" s="31" t="n">
        <v>120000</v>
      </c>
      <c r="L10" s="31" t="n">
        <v>98000</v>
      </c>
      <c r="M10" s="31" t="n">
        <v>110000</v>
      </c>
      <c r="N10" s="31" t="n">
        <v>120000</v>
      </c>
      <c r="O10" s="31" t="n">
        <v>115000</v>
      </c>
      <c r="P10" s="31" t="n">
        <v>105618.45</v>
      </c>
      <c r="Q10" s="31" t="n">
        <v>119902.65</v>
      </c>
      <c r="R10" s="31" t="n">
        <v>94705.8</v>
      </c>
      <c r="S10" s="31" t="n">
        <v>147268.8</v>
      </c>
      <c r="T10" s="31" t="n">
        <v>78685.95</v>
      </c>
      <c r="U10" s="31" t="n">
        <v>101115</v>
      </c>
      <c r="V10" s="31" t="n">
        <v>99750</v>
      </c>
      <c r="W10" s="31" t="n">
        <v>126000</v>
      </c>
      <c r="X10" s="31" t="n">
        <v>102900</v>
      </c>
      <c r="Y10" s="31" t="n">
        <v>115500</v>
      </c>
      <c r="Z10" s="31" t="n">
        <v>126000</v>
      </c>
      <c r="AA10" s="31" t="n">
        <v>120750</v>
      </c>
      <c r="AB10" s="31" t="n">
        <v>110899.37</v>
      </c>
      <c r="AC10" s="31" t="n">
        <v>125897.78</v>
      </c>
      <c r="AD10" s="31" t="n">
        <v>99441.09</v>
      </c>
      <c r="AE10" s="31" t="n">
        <v>154632.24</v>
      </c>
      <c r="AF10" s="31" t="n">
        <v>82620.25</v>
      </c>
      <c r="AG10" s="31" t="n">
        <v>106170.75</v>
      </c>
      <c r="AH10" s="31" t="n">
        <v>104737.5</v>
      </c>
      <c r="AI10" s="31" t="n">
        <v>132300</v>
      </c>
      <c r="AJ10" s="31" t="n">
        <v>108045</v>
      </c>
      <c r="AK10" s="31" t="n">
        <v>121275</v>
      </c>
      <c r="AL10" s="31" t="n">
        <v>132300</v>
      </c>
      <c r="AM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60583</v>
      </c>
      <c r="E11" s="19" t="n">
        <v>59614</v>
      </c>
      <c r="F11" s="64" t="n">
        <v>62052</v>
      </c>
      <c r="G11" s="64" t="n">
        <v>73815</v>
      </c>
      <c r="H11" s="87" t="n">
        <v>63770</v>
      </c>
      <c r="I11" s="31" t="n">
        <v>50286</v>
      </c>
      <c r="J11" s="31" t="n">
        <v>58162</v>
      </c>
      <c r="K11" s="31" t="n">
        <v>60000</v>
      </c>
      <c r="L11" s="31" t="n">
        <v>63000</v>
      </c>
      <c r="M11" s="31" t="n">
        <v>70000</v>
      </c>
      <c r="N11" s="31" t="n">
        <v>75000</v>
      </c>
      <c r="O11" s="31" t="n">
        <v>60000</v>
      </c>
      <c r="P11" s="31" t="n">
        <v>63612.15</v>
      </c>
      <c r="Q11" s="31" t="n">
        <v>62594.7</v>
      </c>
      <c r="R11" s="31" t="n">
        <v>65154.6</v>
      </c>
      <c r="S11" s="31" t="n">
        <v>77505.75</v>
      </c>
      <c r="T11" s="31" t="n">
        <v>67045.64999999999</v>
      </c>
      <c r="U11" s="31" t="n">
        <v>67410</v>
      </c>
      <c r="V11" s="31" t="n">
        <v>78750</v>
      </c>
      <c r="W11" s="31" t="n">
        <v>63000</v>
      </c>
      <c r="X11" s="31" t="n">
        <v>66150</v>
      </c>
      <c r="Y11" s="31" t="n">
        <v>73500</v>
      </c>
      <c r="Z11" s="31" t="n">
        <v>78750</v>
      </c>
      <c r="AA11" s="31" t="n">
        <v>63000</v>
      </c>
      <c r="AB11" s="31" t="n">
        <v>66792.75999999999</v>
      </c>
      <c r="AC11" s="31" t="n">
        <v>65724.42999999999</v>
      </c>
      <c r="AD11" s="31" t="n">
        <v>68412.33</v>
      </c>
      <c r="AE11" s="31" t="n">
        <v>81381.03999999999</v>
      </c>
      <c r="AF11" s="31" t="n">
        <v>70397.92999999999</v>
      </c>
      <c r="AG11" s="31" t="n">
        <v>70780.5</v>
      </c>
      <c r="AH11" s="31" t="n">
        <v>82687.5</v>
      </c>
      <c r="AI11" s="31" t="n">
        <v>66150</v>
      </c>
      <c r="AJ11" s="31" t="n">
        <v>69457.5</v>
      </c>
      <c r="AK11" s="31" t="n">
        <v>77175</v>
      </c>
      <c r="AL11" s="31" t="n">
        <v>82687.5</v>
      </c>
      <c r="AM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124927</v>
      </c>
      <c r="E12" s="19" t="n">
        <v>180839</v>
      </c>
      <c r="F12" s="64" t="n">
        <v>115051</v>
      </c>
      <c r="G12" s="64" t="n">
        <v>179323</v>
      </c>
      <c r="H12" s="87" t="n">
        <v>93511</v>
      </c>
      <c r="I12" s="31" t="n">
        <v>113383</v>
      </c>
      <c r="J12" s="31" t="n">
        <v>117515</v>
      </c>
      <c r="K12" s="31" t="n">
        <v>155000</v>
      </c>
      <c r="L12" s="31" t="n">
        <v>120000</v>
      </c>
      <c r="M12" s="31" t="n">
        <v>125000</v>
      </c>
      <c r="N12" s="31" t="n">
        <v>140000</v>
      </c>
      <c r="O12" s="31" t="n">
        <v>150000</v>
      </c>
      <c r="P12" s="31" t="n">
        <v>131173.35</v>
      </c>
      <c r="Q12" s="31" t="n">
        <v>189880.95</v>
      </c>
      <c r="R12" s="31" t="n">
        <v>120803.55</v>
      </c>
      <c r="S12" s="31" t="n">
        <v>188289.15</v>
      </c>
      <c r="T12" s="31" t="n">
        <v>100401</v>
      </c>
      <c r="U12" s="31" t="n">
        <v>120750</v>
      </c>
      <c r="V12" s="31" t="n">
        <v>115500</v>
      </c>
      <c r="W12" s="31" t="n">
        <v>162750</v>
      </c>
      <c r="X12" s="31" t="n">
        <v>126000</v>
      </c>
      <c r="Y12" s="31" t="n">
        <v>131250</v>
      </c>
      <c r="Z12" s="31" t="n">
        <v>147000</v>
      </c>
      <c r="AA12" s="31" t="n">
        <v>157500</v>
      </c>
      <c r="AB12" s="31" t="n">
        <v>137732.02</v>
      </c>
      <c r="AC12" s="31" t="n">
        <v>199375</v>
      </c>
      <c r="AD12" s="31" t="n">
        <v>126843.73</v>
      </c>
      <c r="AE12" s="31" t="n">
        <v>197703.61</v>
      </c>
      <c r="AF12" s="31" t="n">
        <v>105421.05</v>
      </c>
      <c r="AG12" s="31" t="n">
        <v>126787.5</v>
      </c>
      <c r="AH12" s="31" t="n">
        <v>121275</v>
      </c>
      <c r="AI12" s="31" t="n">
        <v>170887.5</v>
      </c>
      <c r="AJ12" s="31" t="n">
        <v>132300</v>
      </c>
      <c r="AK12" s="31" t="n">
        <v>137812.5</v>
      </c>
      <c r="AL12" s="31" t="n">
        <v>154350</v>
      </c>
      <c r="AM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96145</v>
      </c>
      <c r="E13" s="19" t="n">
        <v>94253</v>
      </c>
      <c r="F13" s="64" t="n">
        <v>85589</v>
      </c>
      <c r="G13" s="64" t="n">
        <v>108129</v>
      </c>
      <c r="H13" s="87" t="n">
        <v>66857</v>
      </c>
      <c r="I13" s="31" t="n">
        <v>71619</v>
      </c>
      <c r="J13" s="31" t="n">
        <v>75936</v>
      </c>
      <c r="K13" s="31" t="n">
        <v>95000</v>
      </c>
      <c r="L13" s="31" t="n">
        <v>80000</v>
      </c>
      <c r="M13" s="31" t="n">
        <v>82000</v>
      </c>
      <c r="N13" s="31" t="n">
        <v>80000</v>
      </c>
      <c r="O13" s="31" t="n">
        <v>88000</v>
      </c>
      <c r="P13" s="31" t="n">
        <v>100952.25</v>
      </c>
      <c r="Q13" s="31" t="n">
        <v>98965.64999999999</v>
      </c>
      <c r="R13" s="31" t="n">
        <v>89868.45</v>
      </c>
      <c r="S13" s="31" t="n">
        <v>113535.45</v>
      </c>
      <c r="T13" s="31" t="n">
        <v>71700.3</v>
      </c>
      <c r="U13" s="31" t="n">
        <v>80850</v>
      </c>
      <c r="V13" s="31" t="n">
        <v>78750</v>
      </c>
      <c r="W13" s="31" t="n">
        <v>99750</v>
      </c>
      <c r="X13" s="31" t="n">
        <v>84000</v>
      </c>
      <c r="Y13" s="31" t="n">
        <v>86100</v>
      </c>
      <c r="Z13" s="31" t="n">
        <v>84000</v>
      </c>
      <c r="AA13" s="31" t="n">
        <v>92400</v>
      </c>
      <c r="AB13" s="31" t="n">
        <v>105999.86</v>
      </c>
      <c r="AC13" s="31" t="n">
        <v>103913.93</v>
      </c>
      <c r="AD13" s="31" t="n">
        <v>94361.87</v>
      </c>
      <c r="AE13" s="31" t="n">
        <v>119212.22</v>
      </c>
      <c r="AF13" s="31" t="n">
        <v>75285.32000000001</v>
      </c>
      <c r="AG13" s="31" t="n">
        <v>84892.5</v>
      </c>
      <c r="AH13" s="31" t="n">
        <v>82687.5</v>
      </c>
      <c r="AI13" s="31" t="n">
        <v>104737.5</v>
      </c>
      <c r="AJ13" s="31" t="n">
        <v>88200</v>
      </c>
      <c r="AK13" s="31" t="n">
        <v>90405</v>
      </c>
      <c r="AL13" s="31" t="n">
        <v>88200</v>
      </c>
      <c r="AM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32747</v>
      </c>
      <c r="E14" s="19" t="n">
        <v>27799</v>
      </c>
      <c r="F14" s="64" t="n">
        <v>25898</v>
      </c>
      <c r="G14" s="64" t="n">
        <v>23393</v>
      </c>
      <c r="H14" s="87" t="n">
        <v>20133</v>
      </c>
      <c r="I14" s="31" t="n">
        <v>17783</v>
      </c>
      <c r="J14" s="31" t="n">
        <v>18714</v>
      </c>
      <c r="K14" s="31" t="n">
        <v>30000</v>
      </c>
      <c r="L14" s="31" t="n">
        <v>30000</v>
      </c>
      <c r="M14" s="31" t="n">
        <v>33000</v>
      </c>
      <c r="N14" s="31" t="n">
        <v>35000</v>
      </c>
      <c r="O14" s="31" t="n">
        <v>35000</v>
      </c>
      <c r="P14" s="31" t="n">
        <v>59231</v>
      </c>
      <c r="Q14" s="31" t="n">
        <v>60132</v>
      </c>
      <c r="R14" s="31" t="n">
        <v>52754</v>
      </c>
      <c r="S14" s="31" t="n">
        <v>51670</v>
      </c>
      <c r="T14" s="31" t="n">
        <v>60236</v>
      </c>
      <c r="U14" s="31" t="n">
        <v>51621</v>
      </c>
      <c r="V14" s="31" t="n">
        <v>62000</v>
      </c>
      <c r="W14" s="31" t="n">
        <v>63000</v>
      </c>
      <c r="X14" s="31" t="n">
        <v>73000</v>
      </c>
      <c r="Y14" s="31" t="n">
        <v>65000</v>
      </c>
      <c r="Z14" s="31" t="n">
        <v>64200</v>
      </c>
      <c r="AA14" s="31" t="n">
        <v>64200</v>
      </c>
      <c r="AB14" s="31" t="n">
        <v>62192.55</v>
      </c>
      <c r="AC14" s="31" t="n">
        <v>63138.6</v>
      </c>
      <c r="AD14" s="31" t="n">
        <v>55391.7</v>
      </c>
      <c r="AE14" s="31" t="n">
        <v>54253.5</v>
      </c>
      <c r="AF14" s="31" t="n">
        <v>63247.8</v>
      </c>
      <c r="AG14" s="31" t="n">
        <v>54202.05</v>
      </c>
      <c r="AH14" s="31" t="n">
        <v>65100</v>
      </c>
      <c r="AI14" s="31" t="n">
        <v>66150</v>
      </c>
      <c r="AJ14" s="31" t="n">
        <v>76650</v>
      </c>
      <c r="AK14" s="31" t="n">
        <v>68250</v>
      </c>
      <c r="AL14" s="31" t="n">
        <v>67410</v>
      </c>
      <c r="AM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184491</v>
      </c>
      <c r="E15" s="19" t="n">
        <v>161597</v>
      </c>
      <c r="F15" s="64" t="n">
        <v>192258</v>
      </c>
      <c r="G15" s="64" t="n">
        <v>157521</v>
      </c>
      <c r="H15" s="87" t="n">
        <v>206632</v>
      </c>
      <c r="I15" s="31" t="n">
        <v>130716</v>
      </c>
      <c r="J15" s="31" t="n">
        <v>163688</v>
      </c>
      <c r="K15" s="31" t="n">
        <v>200000</v>
      </c>
      <c r="L15" s="31" t="n">
        <v>190000</v>
      </c>
      <c r="M15" s="31" t="n">
        <v>220000</v>
      </c>
      <c r="N15" s="31" t="n">
        <v>251450</v>
      </c>
      <c r="O15" s="31" t="n">
        <v>190000</v>
      </c>
      <c r="P15" s="31" t="n">
        <v>193715.55</v>
      </c>
      <c r="Q15" s="31" t="n">
        <v>169676.85</v>
      </c>
      <c r="R15" s="31" t="n">
        <v>201870.9</v>
      </c>
      <c r="S15" s="31" t="n">
        <v>165397.05</v>
      </c>
      <c r="T15" s="31" t="n">
        <v>217676.55</v>
      </c>
      <c r="U15" s="31" t="n">
        <v>210000</v>
      </c>
      <c r="V15" s="31" t="n">
        <v>210000</v>
      </c>
      <c r="W15" s="31" t="n">
        <v>210000</v>
      </c>
      <c r="X15" s="31" t="n">
        <v>199500</v>
      </c>
      <c r="Y15" s="31" t="n">
        <v>231000</v>
      </c>
      <c r="Z15" s="31" t="n">
        <v>264022.5</v>
      </c>
      <c r="AA15" s="31" t="n">
        <v>199500</v>
      </c>
      <c r="AB15" s="31" t="n">
        <v>203401.33</v>
      </c>
      <c r="AC15" s="31" t="n">
        <v>178160.69</v>
      </c>
      <c r="AD15" s="31" t="n">
        <v>211964.45</v>
      </c>
      <c r="AE15" s="31" t="n">
        <v>173666.9</v>
      </c>
      <c r="AF15" s="31" t="n">
        <v>228560.38</v>
      </c>
      <c r="AG15" s="31" t="n">
        <v>220500</v>
      </c>
      <c r="AH15" s="31" t="n">
        <v>220500</v>
      </c>
      <c r="AI15" s="31" t="n">
        <v>220500</v>
      </c>
      <c r="AJ15" s="31" t="n">
        <v>209475</v>
      </c>
      <c r="AK15" s="31" t="n">
        <v>242550</v>
      </c>
      <c r="AL15" s="31" t="n">
        <v>277223.62</v>
      </c>
      <c r="AM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1573</v>
      </c>
      <c r="E16" s="19" t="n">
        <v>1513</v>
      </c>
      <c r="F16" s="64" t="n">
        <v>784</v>
      </c>
      <c r="G16" s="64" t="n">
        <v>370</v>
      </c>
      <c r="H16" s="87" t="n">
        <v>26</v>
      </c>
      <c r="I16" s="31" t="n">
        <v>225</v>
      </c>
      <c r="J16" s="31" t="n">
        <v>99</v>
      </c>
      <c r="K16" s="31" t="n">
        <v>78000</v>
      </c>
      <c r="L16" s="31" t="n">
        <v>75000</v>
      </c>
      <c r="M16" s="31" t="n">
        <v>80000</v>
      </c>
      <c r="N16" s="31" t="n">
        <v>80000</v>
      </c>
      <c r="O16" s="31" t="n">
        <v>80000</v>
      </c>
      <c r="P16" s="31" t="n">
        <v>90025</v>
      </c>
      <c r="Q16" s="31" t="n">
        <v>86822</v>
      </c>
      <c r="R16" s="31" t="n">
        <v>85300</v>
      </c>
      <c r="S16" s="31" t="n">
        <v>127703</v>
      </c>
      <c r="T16" s="31" t="n">
        <v>79689</v>
      </c>
      <c r="U16" s="31" t="n">
        <v>76768</v>
      </c>
      <c r="V16" s="31" t="n">
        <v>70767</v>
      </c>
      <c r="W16" s="31" t="n">
        <v>102739</v>
      </c>
      <c r="X16" s="31" t="n">
        <v>68837</v>
      </c>
      <c r="Y16" s="31" t="n">
        <v>83777</v>
      </c>
      <c r="Z16" s="31" t="n">
        <v>79979</v>
      </c>
      <c r="AA16" s="31" t="n">
        <v>79880</v>
      </c>
      <c r="AB16" s="31" t="n">
        <v>94526.25</v>
      </c>
      <c r="AC16" s="31" t="n">
        <v>91163.10000000001</v>
      </c>
      <c r="AD16" s="31" t="n">
        <v>89565</v>
      </c>
      <c r="AE16" s="31" t="n">
        <v>134088.15</v>
      </c>
      <c r="AF16" s="31" t="n">
        <v>83673.45</v>
      </c>
      <c r="AG16" s="31" t="n">
        <v>80606.39999999999</v>
      </c>
      <c r="AH16" s="31" t="n">
        <v>74305.35000000001</v>
      </c>
      <c r="AI16" s="31" t="n">
        <v>107875.95</v>
      </c>
      <c r="AJ16" s="31" t="n">
        <v>72278.85000000001</v>
      </c>
      <c r="AK16" s="31" t="n">
        <v>87965.85000000001</v>
      </c>
      <c r="AL16" s="31" t="n">
        <v>83977.95</v>
      </c>
      <c r="AM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71360</v>
      </c>
      <c r="E17" s="19" t="n">
        <v>69405</v>
      </c>
      <c r="F17" s="64" t="n">
        <v>62992</v>
      </c>
      <c r="G17" s="64" t="n">
        <v>49441</v>
      </c>
      <c r="H17" s="87" t="n">
        <v>60750</v>
      </c>
      <c r="I17" s="31" t="n">
        <v>41757</v>
      </c>
      <c r="J17" s="31" t="n">
        <v>47537</v>
      </c>
      <c r="K17" s="31" t="n">
        <v>64000</v>
      </c>
      <c r="L17" s="31" t="n">
        <v>72000</v>
      </c>
      <c r="M17" s="31" t="n">
        <v>80000</v>
      </c>
      <c r="N17" s="31" t="n">
        <v>85600</v>
      </c>
      <c r="O17" s="31" t="n">
        <v>74900</v>
      </c>
      <c r="P17" s="31" t="n">
        <v>74928</v>
      </c>
      <c r="Q17" s="31" t="n">
        <v>72875.25</v>
      </c>
      <c r="R17" s="31" t="n">
        <v>66141.60000000001</v>
      </c>
      <c r="S17" s="31" t="n">
        <v>51913.05</v>
      </c>
      <c r="T17" s="31" t="n">
        <v>63897.75</v>
      </c>
      <c r="U17" s="31" t="n">
        <v>68250</v>
      </c>
      <c r="V17" s="31" t="n">
        <v>65100</v>
      </c>
      <c r="W17" s="31" t="n">
        <v>67200</v>
      </c>
      <c r="X17" s="31" t="n">
        <v>75600</v>
      </c>
      <c r="Y17" s="31" t="n">
        <v>84000</v>
      </c>
      <c r="Z17" s="31" t="n">
        <v>89880</v>
      </c>
      <c r="AA17" s="31" t="n">
        <v>78645</v>
      </c>
      <c r="AB17" s="31" t="n">
        <v>78674.39999999999</v>
      </c>
      <c r="AC17" s="31" t="n">
        <v>76519.00999999999</v>
      </c>
      <c r="AD17" s="31" t="n">
        <v>69448.67999999999</v>
      </c>
      <c r="AE17" s="31" t="n">
        <v>54508.7</v>
      </c>
      <c r="AF17" s="31" t="n">
        <v>67092.64</v>
      </c>
      <c r="AG17" s="31" t="n">
        <v>71662.5</v>
      </c>
      <c r="AH17" s="31" t="n">
        <v>68355</v>
      </c>
      <c r="AI17" s="31" t="n">
        <v>70560</v>
      </c>
      <c r="AJ17" s="31" t="n">
        <v>79380</v>
      </c>
      <c r="AK17" s="31" t="n">
        <v>88200</v>
      </c>
      <c r="AL17" s="31" t="n">
        <v>94374</v>
      </c>
      <c r="AM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</row>
    <row r="20" ht="16" customHeight="1" s="86">
      <c r="B20" s="10" t="inlineStr">
        <is>
          <t>Annual Summary</t>
        </is>
      </c>
      <c r="C20" s="11" t="n"/>
      <c r="D20" s="11" t="n"/>
      <c r="E20" s="11" t="n"/>
      <c r="F20" s="11" t="n"/>
      <c r="G20" s="11" t="n"/>
      <c r="H20" s="11" t="n"/>
    </row>
    <row r="21">
      <c r="B21" s="14" t="inlineStr">
        <is>
          <t>Code</t>
        </is>
      </c>
      <c r="C21" s="14" t="inlineStr">
        <is>
          <t>Studio</t>
        </is>
      </c>
      <c r="D21" s="14" t="inlineStr">
        <is>
          <t>2026</t>
        </is>
      </c>
      <c r="E21" s="14" t="inlineStr">
        <is>
          <t>2027</t>
        </is>
      </c>
      <c r="F21" s="14" t="inlineStr">
        <is>
          <t>2028</t>
        </is>
      </c>
      <c r="G21" s="14" t="inlineStr">
        <is>
          <t>2027 YoY</t>
        </is>
      </c>
      <c r="H21" s="14" t="inlineStr">
        <is>
          <t>2028 YoY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2">
        <f>IFERROR((E22-D22)/D22,0)</f>
        <v/>
      </c>
      <c r="H22" s="22">
        <f>IFERROR((F22-E22)/E22,0)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2">
        <f>IFERROR((E23-D23)/D23,0)</f>
        <v/>
      </c>
      <c r="H23" s="22">
        <f>IFERROR((F23-E23)/E23,0)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2">
        <f>IFERROR((E24-D24)/D24,0)</f>
        <v/>
      </c>
      <c r="H24" s="22">
        <f>IFERROR((F24-E24)/E24,0)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2">
        <f>IFERROR((E25-D25)/D25,0)</f>
        <v/>
      </c>
      <c r="H25" s="22">
        <f>IFERROR((F25-E25)/E25,0)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2">
        <f>IFERROR((E26-D26)/D26,0)</f>
        <v/>
      </c>
      <c r="H26" s="22">
        <f>IFERROR((F26-E26)/E26,0)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2">
        <f>IFERROR((E27-D27)/D27,0)</f>
        <v/>
      </c>
      <c r="H27" s="22">
        <f>IFERROR((F27-E27)/E27,0)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2">
        <f>IFERROR((E28-D28)/D28,0)</f>
        <v/>
      </c>
      <c r="H28" s="22">
        <f>IFERROR((F28-E28)/E28,0)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2">
        <f>IFERROR((E29-D29)/D29,0)</f>
        <v/>
      </c>
      <c r="H29" s="22">
        <f>IFERROR((F29-E29)/E29,0)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2">
        <f>IFERROR((E30-D30)/D30,0)</f>
        <v/>
      </c>
      <c r="H30" s="22">
        <f>IFERROR((F30-E30)/E30,0)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2">
        <f>IFERROR((E31-D31)/D31,0)</f>
        <v/>
      </c>
      <c r="H31" s="22">
        <f>IFERROR((F31-E31)/E31,0)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2">
        <f>IFERROR((E32-D32)/D32,0)</f>
        <v/>
      </c>
      <c r="H32" s="22">
        <f>IFERROR((F32-E32)/E32,0)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2">
        <f>IFERROR((E33-D33)/D33,0)</f>
        <v/>
      </c>
      <c r="H33" s="22">
        <f>IFERROR((F33-E33)/E33,0)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29">
        <f>IFERROR((E34-D34)/D34,0)</f>
        <v/>
      </c>
      <c r="H34" s="29">
        <f>IFERROR((F34-E34)/E34,0)</f>
        <v/>
      </c>
    </row>
    <row r="100" hidden="1" s="86">
      <c r="B100" s="54" t="inlineStr">
        <is>
          <t>2025 SALES HISTORY (hidden helper for lag formulas)</t>
        </is>
      </c>
      <c r="D100" s="54" t="inlineStr">
        <is>
          <t>2025-07</t>
        </is>
      </c>
      <c r="E100" s="54" t="inlineStr">
        <is>
          <t>2025-08</t>
        </is>
      </c>
      <c r="F100" s="54" t="inlineStr">
        <is>
          <t>2025-09</t>
        </is>
      </c>
      <c r="G100" s="54" t="inlineStr">
        <is>
          <t>2025-10</t>
        </is>
      </c>
      <c r="H100" s="54" t="inlineStr">
        <is>
          <t>2025-11</t>
        </is>
      </c>
      <c r="I100" s="54" t="inlineStr">
        <is>
          <t>2025-12</t>
        </is>
      </c>
    </row>
    <row r="101" hidden="1" s="86">
      <c r="D101" s="55" t="n">
        <v>808077</v>
      </c>
      <c r="E101" s="55" t="n">
        <v>930709</v>
      </c>
      <c r="F101" s="55" t="n">
        <v>758432</v>
      </c>
      <c r="G101" s="55" t="n">
        <v>830044</v>
      </c>
      <c r="H101" s="55" t="n">
        <v>833160</v>
      </c>
      <c r="I101" s="55" t="n">
        <v>847328</v>
      </c>
    </row>
    <row r="102" hidden="1" s="86">
      <c r="B102" s="54" t="inlineStr">
        <is>
          <t xml:space="preserve">  2025 helper: BK (Berkeley)</t>
        </is>
      </c>
      <c r="H102" s="84" t="n">
        <v>102111.01</v>
      </c>
      <c r="I102" s="84" t="n">
        <v>103847.42</v>
      </c>
    </row>
    <row r="103" hidden="1" s="86">
      <c r="B103" s="54" t="inlineStr">
        <is>
          <t xml:space="preserve">  2025 helper: CC (Culver City)</t>
        </is>
      </c>
      <c r="H103" s="84" t="n">
        <v>36886.61</v>
      </c>
      <c r="I103" s="84" t="n">
        <v>37513.88</v>
      </c>
    </row>
    <row r="104" hidden="1" s="86">
      <c r="B104" s="54" t="inlineStr">
        <is>
          <t xml:space="preserve">  2025 helper: DN (Danville)</t>
        </is>
      </c>
      <c r="H104" s="84" t="n">
        <v>18359.97</v>
      </c>
      <c r="I104" s="84" t="n">
        <v>18672.19</v>
      </c>
    </row>
    <row r="105" hidden="1" s="86">
      <c r="B105" s="54" t="inlineStr">
        <is>
          <t xml:space="preserve">  2025 helper: LF (Lafayette)</t>
        </is>
      </c>
      <c r="H105" s="84" t="n">
        <v>84253.69</v>
      </c>
      <c r="I105" s="84" t="n">
        <v>85686.42999999999</v>
      </c>
    </row>
    <row r="106" hidden="1" s="86">
      <c r="B106" s="54" t="inlineStr">
        <is>
          <t xml:space="preserve">  2025 helper: MR (Marin)</t>
        </is>
      </c>
      <c r="H106" s="84" t="n">
        <v>92130.72</v>
      </c>
      <c r="I106" s="84" t="n">
        <v>93697.42</v>
      </c>
    </row>
    <row r="107" hidden="1" s="86">
      <c r="B107" s="54" t="inlineStr">
        <is>
          <t xml:space="preserve">  2025 helper: OP (Ocean Park)</t>
        </is>
      </c>
      <c r="H107" s="84" t="n">
        <v>56662.27</v>
      </c>
      <c r="I107" s="84" t="n">
        <v>57625.82</v>
      </c>
    </row>
    <row r="108" hidden="1" s="86">
      <c r="B108" s="54" t="inlineStr">
        <is>
          <t xml:space="preserve">  2025 helper: PH (Presidio Heights)</t>
        </is>
      </c>
      <c r="H108" s="84" t="n">
        <v>123229.91</v>
      </c>
      <c r="I108" s="84" t="n">
        <v>125325.45</v>
      </c>
    </row>
    <row r="109" hidden="1" s="86">
      <c r="B109" s="54" t="inlineStr">
        <is>
          <t xml:space="preserve">  2025 helper: RH (Russian Hill)</t>
        </is>
      </c>
      <c r="H109" s="84" t="n">
        <v>80127.42</v>
      </c>
      <c r="I109" s="84" t="n">
        <v>81490</v>
      </c>
    </row>
    <row r="110" hidden="1" s="86">
      <c r="B110" s="54" t="inlineStr">
        <is>
          <t xml:space="preserve">  2025 helper: SB (Santa Barbara)</t>
        </is>
      </c>
      <c r="H110" s="84" t="n">
        <v>23052.3</v>
      </c>
      <c r="I110" s="84" t="n">
        <v>23444.3</v>
      </c>
    </row>
    <row r="111" hidden="1" s="86">
      <c r="B111" s="54" t="inlineStr">
        <is>
          <t xml:space="preserve">  2025 helper: SM (Santa Monica)</t>
        </is>
      </c>
      <c r="H111" s="84" t="n">
        <v>159966.86</v>
      </c>
      <c r="I111" s="84" t="n">
        <v>162687.12</v>
      </c>
    </row>
    <row r="112" hidden="1" s="86">
      <c r="B112" s="54" t="inlineStr">
        <is>
          <t xml:space="preserve">  2025 helper: WP (West Portal)</t>
        </is>
      </c>
      <c r="H112" s="84" t="n">
        <v>755.5700000000001</v>
      </c>
      <c r="I112" s="84" t="n">
        <v>768.42</v>
      </c>
    </row>
    <row r="113" hidden="1" s="86">
      <c r="B113" s="54" t="inlineStr">
        <is>
          <t xml:space="preserve">  2025 helper: WW (Westwood)</t>
        </is>
      </c>
      <c r="H113" s="84" t="n">
        <v>55623.67</v>
      </c>
      <c r="I113" s="84" t="n">
        <v>56569.55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B2:AM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2" customWidth="1" style="86" min="3" max="39"/>
  </cols>
  <sheetData>
    <row r="2" ht="21" customHeight="1" s="86">
      <c r="B2" s="9" t="inlineStr">
        <is>
          <t>Cash, Debt &amp; Equity</t>
        </is>
      </c>
    </row>
    <row r="4">
      <c r="B4" s="12" t="inlineStr">
        <is>
          <t>Item</t>
        </is>
      </c>
      <c r="D4" s="14" t="inlineStr">
        <is>
          <t>Jan 2026</t>
        </is>
      </c>
      <c r="E4" s="14" t="inlineStr">
        <is>
          <t>Feb 2026</t>
        </is>
      </c>
      <c r="F4" s="14" t="inlineStr">
        <is>
          <t>Mar 2026</t>
        </is>
      </c>
      <c r="G4" s="14" t="inlineStr">
        <is>
          <t>Apr 2026</t>
        </is>
      </c>
      <c r="H4" s="14" t="inlineStr">
        <is>
          <t>May 2026</t>
        </is>
      </c>
      <c r="I4" s="14" t="inlineStr">
        <is>
          <t>Jun 2026</t>
        </is>
      </c>
      <c r="J4" s="14" t="inlineStr">
        <is>
          <t>Jul 2026</t>
        </is>
      </c>
      <c r="K4" s="14" t="inlineStr">
        <is>
          <t>Aug 2026</t>
        </is>
      </c>
      <c r="L4" s="14" t="inlineStr">
        <is>
          <t>Sep 2026</t>
        </is>
      </c>
      <c r="M4" s="14" t="inlineStr">
        <is>
          <t>Oct 2026</t>
        </is>
      </c>
      <c r="N4" s="14" t="inlineStr">
        <is>
          <t>Nov 2026</t>
        </is>
      </c>
      <c r="O4" s="14" t="inlineStr">
        <is>
          <t>Dec 2026</t>
        </is>
      </c>
      <c r="P4" s="14" t="inlineStr">
        <is>
          <t>Jan 2027</t>
        </is>
      </c>
      <c r="Q4" s="14" t="inlineStr">
        <is>
          <t>Feb 2027</t>
        </is>
      </c>
      <c r="R4" s="14" t="inlineStr">
        <is>
          <t>Mar 2027</t>
        </is>
      </c>
      <c r="S4" s="14" t="inlineStr">
        <is>
          <t>Apr 2027</t>
        </is>
      </c>
      <c r="T4" s="14" t="inlineStr">
        <is>
          <t>May 2027</t>
        </is>
      </c>
      <c r="U4" s="14" t="inlineStr">
        <is>
          <t>Jun 2027</t>
        </is>
      </c>
      <c r="V4" s="14" t="inlineStr">
        <is>
          <t>Jul 2027</t>
        </is>
      </c>
      <c r="W4" s="14" t="inlineStr">
        <is>
          <t>Aug 2027</t>
        </is>
      </c>
      <c r="X4" s="14" t="inlineStr">
        <is>
          <t>Sep 2027</t>
        </is>
      </c>
      <c r="Y4" s="14" t="inlineStr">
        <is>
          <t>Oct 2027</t>
        </is>
      </c>
      <c r="Z4" s="14" t="inlineStr">
        <is>
          <t>Nov 2027</t>
        </is>
      </c>
      <c r="AA4" s="14" t="inlineStr">
        <is>
          <t>Dec 2027</t>
        </is>
      </c>
      <c r="AB4" s="14" t="inlineStr">
        <is>
          <t>Jan 2028</t>
        </is>
      </c>
      <c r="AC4" s="14" t="inlineStr">
        <is>
          <t>Feb 2028</t>
        </is>
      </c>
      <c r="AD4" s="14" t="inlineStr">
        <is>
          <t>Mar 2028</t>
        </is>
      </c>
      <c r="AE4" s="14" t="inlineStr">
        <is>
          <t>Apr 2028</t>
        </is>
      </c>
      <c r="AF4" s="14" t="inlineStr">
        <is>
          <t>May 2028</t>
        </is>
      </c>
      <c r="AG4" s="14" t="inlineStr">
        <is>
          <t>Jun 2028</t>
        </is>
      </c>
      <c r="AH4" s="14" t="inlineStr">
        <is>
          <t>Jul 2028</t>
        </is>
      </c>
      <c r="AI4" s="14" t="inlineStr">
        <is>
          <t>Aug 2028</t>
        </is>
      </c>
      <c r="AJ4" s="14" t="inlineStr">
        <is>
          <t>Sep 2028</t>
        </is>
      </c>
      <c r="AK4" s="14" t="inlineStr">
        <is>
          <t>Oct 2028</t>
        </is>
      </c>
      <c r="AL4" s="14" t="inlineStr">
        <is>
          <t>Nov 2028</t>
        </is>
      </c>
      <c r="AM4" s="14" t="inlineStr">
        <is>
          <t>Dec 2028</t>
        </is>
      </c>
    </row>
    <row r="5" ht="16" customHeight="1" s="86">
      <c r="B5" s="10" t="inlineStr">
        <is>
          <t>CASH POSITION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B6" s="15" t="inlineStr">
        <is>
          <t>Ending Cash Balance (from CF)</t>
        </is>
      </c>
      <c r="D6" s="36">
        <f>'Cash Flow Forecast'!D38</f>
        <v/>
      </c>
      <c r="E6" s="36">
        <f>'Cash Flow Forecast'!E38</f>
        <v/>
      </c>
      <c r="F6" s="36">
        <f>'Cash Flow Forecast'!F38</f>
        <v/>
      </c>
      <c r="G6" s="36">
        <f>'Cash Flow Forecast'!G38</f>
        <v/>
      </c>
      <c r="H6" s="36">
        <f>'Cash Flow Forecast'!H38</f>
        <v/>
      </c>
      <c r="I6" s="36">
        <f>'Cash Flow Forecast'!I38</f>
        <v/>
      </c>
      <c r="J6" s="36">
        <f>'Cash Flow Forecast'!J38</f>
        <v/>
      </c>
      <c r="K6" s="36">
        <f>'Cash Flow Forecast'!K38</f>
        <v/>
      </c>
      <c r="L6" s="36">
        <f>'Cash Flow Forecast'!L38</f>
        <v/>
      </c>
      <c r="M6" s="36">
        <f>'Cash Flow Forecast'!M38</f>
        <v/>
      </c>
      <c r="N6" s="36">
        <f>'Cash Flow Forecast'!N38</f>
        <v/>
      </c>
      <c r="O6" s="36">
        <f>'Cash Flow Forecast'!O38</f>
        <v/>
      </c>
      <c r="P6" s="36">
        <f>'Cash Flow Forecast'!P38</f>
        <v/>
      </c>
      <c r="Q6" s="36">
        <f>'Cash Flow Forecast'!Q38</f>
        <v/>
      </c>
      <c r="R6" s="36">
        <f>'Cash Flow Forecast'!R38</f>
        <v/>
      </c>
      <c r="S6" s="36">
        <f>'Cash Flow Forecast'!S38</f>
        <v/>
      </c>
      <c r="T6" s="36">
        <f>'Cash Flow Forecast'!T38</f>
        <v/>
      </c>
      <c r="U6" s="36">
        <f>'Cash Flow Forecast'!U38</f>
        <v/>
      </c>
      <c r="V6" s="36">
        <f>'Cash Flow Forecast'!V38</f>
        <v/>
      </c>
      <c r="W6" s="36">
        <f>'Cash Flow Forecast'!W38</f>
        <v/>
      </c>
      <c r="X6" s="36">
        <f>'Cash Flow Forecast'!X38</f>
        <v/>
      </c>
      <c r="Y6" s="36">
        <f>'Cash Flow Forecast'!Y38</f>
        <v/>
      </c>
      <c r="Z6" s="36">
        <f>'Cash Flow Forecast'!Z38</f>
        <v/>
      </c>
      <c r="AA6" s="36">
        <f>'Cash Flow Forecast'!AA38</f>
        <v/>
      </c>
      <c r="AB6" s="36">
        <f>'Cash Flow Forecast'!AB38</f>
        <v/>
      </c>
      <c r="AC6" s="36">
        <f>'Cash Flow Forecast'!AC38</f>
        <v/>
      </c>
      <c r="AD6" s="36">
        <f>'Cash Flow Forecast'!AD38</f>
        <v/>
      </c>
      <c r="AE6" s="36">
        <f>'Cash Flow Forecast'!AE38</f>
        <v/>
      </c>
      <c r="AF6" s="36">
        <f>'Cash Flow Forecast'!AF38</f>
        <v/>
      </c>
      <c r="AG6" s="36">
        <f>'Cash Flow Forecast'!AG38</f>
        <v/>
      </c>
      <c r="AH6" s="36">
        <f>'Cash Flow Forecast'!AH38</f>
        <v/>
      </c>
      <c r="AI6" s="36">
        <f>'Cash Flow Forecast'!AI38</f>
        <v/>
      </c>
      <c r="AJ6" s="36">
        <f>'Cash Flow Forecast'!AJ38</f>
        <v/>
      </c>
      <c r="AK6" s="36">
        <f>'Cash Flow Forecast'!AK38</f>
        <v/>
      </c>
      <c r="AL6" s="36">
        <f>'Cash Flow Forecast'!AL38</f>
        <v/>
      </c>
      <c r="AM6" s="36">
        <f>'Cash Flow Forecast'!AM38</f>
        <v/>
      </c>
    </row>
    <row r="8" ht="16" customHeight="1" s="86">
      <c r="B8" s="10" t="inlineStr">
        <is>
          <t>DEBT SCHEDULE — Loan Balances by Month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>
      <c r="B9" s="15" t="inlineStr">
        <is>
          <t>MindBody Loan - SM</t>
        </is>
      </c>
      <c r="D9" s="19" t="n">
        <v>0</v>
      </c>
      <c r="E9" s="19" t="n">
        <v>0</v>
      </c>
      <c r="F9" s="19" t="n">
        <v>0</v>
      </c>
      <c r="G9" s="19" t="n">
        <v>99348.21000000001</v>
      </c>
      <c r="H9" s="88" t="n">
        <v>0</v>
      </c>
      <c r="I9" s="20">
        <f>MAX(H9-18871.69,0)</f>
        <v/>
      </c>
      <c r="J9" s="20">
        <f>MAX(I9-18871.69,0)</f>
        <v/>
      </c>
      <c r="K9" s="20">
        <f>MAX(J9-18871.69,0)</f>
        <v/>
      </c>
      <c r="L9" s="20">
        <f>MAX(K9-18871.69,0)</f>
        <v/>
      </c>
      <c r="M9" s="20">
        <f>MAX(L9-18871.69,0)</f>
        <v/>
      </c>
      <c r="N9" s="20">
        <f>MAX(M9-18871.69,0)</f>
        <v/>
      </c>
      <c r="O9" s="20">
        <f>MAX(N9-18871.69,0)</f>
        <v/>
      </c>
      <c r="P9" s="20">
        <f>MAX(O9-18871.69,0)</f>
        <v/>
      </c>
      <c r="Q9" s="20">
        <f>MAX(P9-18871.69,0)</f>
        <v/>
      </c>
      <c r="R9" s="20">
        <f>MAX(Q9-18871.69,0)</f>
        <v/>
      </c>
      <c r="S9" s="20">
        <f>MAX(R9-18871.69,0)</f>
        <v/>
      </c>
      <c r="T9" s="20">
        <f>MAX(S9-18871.69,0)</f>
        <v/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</row>
    <row r="10">
      <c r="B10" s="15" t="inlineStr">
        <is>
          <t>MindBody Loan - PH</t>
        </is>
      </c>
      <c r="D10" s="19" t="n">
        <v>0</v>
      </c>
      <c r="E10" s="19" t="n">
        <v>0</v>
      </c>
      <c r="F10" s="19" t="n">
        <v>0</v>
      </c>
      <c r="G10" s="19" t="n">
        <v>46989.79</v>
      </c>
      <c r="H10" s="88" t="n">
        <v>0</v>
      </c>
      <c r="I10" s="20">
        <f>MAX(H10-16602.04,0)</f>
        <v/>
      </c>
      <c r="J10" s="20">
        <f>MAX(I10-16602.04,0)</f>
        <v/>
      </c>
      <c r="K10" s="20">
        <f>MAX(J10-16602.04,0)</f>
        <v/>
      </c>
      <c r="L10" s="20">
        <f>MAX(K10-16602.04,0)</f>
        <v/>
      </c>
      <c r="M10" s="20">
        <f>MAX(L10-16602.04,0)</f>
        <v/>
      </c>
      <c r="N10" s="20">
        <f>MAX(M10-16602.04,0)</f>
        <v/>
      </c>
      <c r="O10" s="20">
        <f>MAX(N10-16602.04,0)</f>
        <v/>
      </c>
      <c r="P10" s="20">
        <f>MAX(O10-16602.04,0)</f>
        <v/>
      </c>
      <c r="Q10" s="20">
        <f>MAX(P10-16602.04,0)</f>
        <v/>
      </c>
      <c r="R10" s="20">
        <f>MAX(Q10-16602.04,0)</f>
        <v/>
      </c>
      <c r="S10" s="20">
        <f>MAX(R10-16602.04,0)</f>
        <v/>
      </c>
      <c r="T10" s="20">
        <f>MAX(S10-16602.04,0)</f>
        <v/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</row>
    <row r="11">
      <c r="B11" s="15" t="inlineStr">
        <is>
          <t>MindBody Loan - LF</t>
        </is>
      </c>
      <c r="D11" s="19" t="n">
        <v>0</v>
      </c>
      <c r="E11" s="19" t="n">
        <v>0</v>
      </c>
      <c r="F11" s="19" t="n">
        <v>0</v>
      </c>
      <c r="G11" s="19" t="n">
        <v>20599.85</v>
      </c>
      <c r="H11" s="88" t="n">
        <v>0</v>
      </c>
      <c r="I11" s="20">
        <f>MAX(H11-12162.36,0)</f>
        <v/>
      </c>
      <c r="J11" s="20">
        <f>MAX(I11-12162.36,0)</f>
        <v/>
      </c>
      <c r="K11" s="20">
        <f>MAX(J11-12162.36,0)</f>
        <v/>
      </c>
      <c r="L11" s="20">
        <f>MAX(K11-12162.36,0)</f>
        <v/>
      </c>
      <c r="M11" s="20">
        <f>MAX(L11-12162.36,0)</f>
        <v/>
      </c>
      <c r="N11" s="20">
        <f>MAX(M11-12162.36,0)</f>
        <v/>
      </c>
      <c r="O11" s="20">
        <f>MAX(N11-12162.36,0)</f>
        <v/>
      </c>
      <c r="P11" s="20">
        <f>MAX(O11-12162.36,0)</f>
        <v/>
      </c>
      <c r="Q11" s="20">
        <f>MAX(P11-12162.36,0)</f>
        <v/>
      </c>
      <c r="R11" s="20">
        <f>MAX(Q11-12162.36,0)</f>
        <v/>
      </c>
      <c r="S11" s="20">
        <f>MAX(R11-12162.36,0)</f>
        <v/>
      </c>
      <c r="T11" s="20">
        <f>MAX(S11-12162.36,0)</f>
        <v/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</row>
    <row r="12">
      <c r="B12" s="15" t="inlineStr">
        <is>
          <t>MindBody Loan - MR</t>
        </is>
      </c>
      <c r="D12" s="19" t="n">
        <v>0</v>
      </c>
      <c r="E12" s="19" t="n">
        <v>0</v>
      </c>
      <c r="F12" s="19" t="n">
        <v>0</v>
      </c>
      <c r="G12" s="19" t="n">
        <v>14815.18</v>
      </c>
      <c r="H12" s="88" t="n">
        <v>0</v>
      </c>
      <c r="I12" s="20">
        <f>MAX(H12-13157.16,0)</f>
        <v/>
      </c>
      <c r="J12" s="20">
        <f>MAX(I12-13157.16,0)</f>
        <v/>
      </c>
      <c r="K12" s="20">
        <f>MAX(J12-13157.16,0)</f>
        <v/>
      </c>
      <c r="L12" s="20">
        <f>MAX(K12-13157.16,0)</f>
        <v/>
      </c>
      <c r="M12" s="20">
        <f>MAX(L12-13157.16,0)</f>
        <v/>
      </c>
      <c r="N12" s="20">
        <f>MAX(M12-13157.16,0)</f>
        <v/>
      </c>
      <c r="O12" s="20">
        <f>MAX(N12-13157.16,0)</f>
        <v/>
      </c>
      <c r="P12" s="20">
        <f>MAX(O12-13157.16,0)</f>
        <v/>
      </c>
      <c r="Q12" s="20">
        <f>MAX(P12-13157.16,0)</f>
        <v/>
      </c>
      <c r="R12" s="20">
        <f>MAX(Q12-13157.16,0)</f>
        <v/>
      </c>
      <c r="S12" s="20">
        <f>MAX(R12-13157.16,0)</f>
        <v/>
      </c>
      <c r="T12" s="20">
        <f>MAX(S12-13157.16,0)</f>
        <v/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</row>
    <row r="13">
      <c r="B13" s="15" t="inlineStr">
        <is>
          <t>Samson Loan</t>
        </is>
      </c>
      <c r="D13" s="19" t="n">
        <v>205426.16</v>
      </c>
      <c r="E13" s="19" t="n">
        <v>189034.12</v>
      </c>
      <c r="F13" s="19" t="n">
        <v>154505.72</v>
      </c>
      <c r="G13" s="19" t="n">
        <v>129045.5</v>
      </c>
      <c r="H13" s="88" t="n">
        <v>94517.10000000001</v>
      </c>
      <c r="I13" s="20">
        <f>MAX(H13-25460.22,0)</f>
        <v/>
      </c>
      <c r="J13" s="20">
        <f>MAX(I13-25460.22,0)</f>
        <v/>
      </c>
      <c r="K13" s="20">
        <f>MAX(J13-25460.22,0)</f>
        <v/>
      </c>
      <c r="L13" s="20">
        <f>MAX(K13-25460.22,0)</f>
        <v/>
      </c>
      <c r="M13" s="20">
        <f>MAX(L13-25460.22,0)</f>
        <v/>
      </c>
      <c r="N13" s="20">
        <f>MAX(M13-25460.22,0)</f>
        <v/>
      </c>
      <c r="O13" s="20">
        <f>MAX(N13-25460.22,0)</f>
        <v/>
      </c>
      <c r="P13" s="20">
        <f>MAX(O13-25460.22,0)</f>
        <v/>
      </c>
      <c r="Q13" s="20">
        <f>MAX(P13-25460.22,0)</f>
        <v/>
      </c>
      <c r="R13" s="20">
        <f>MAX(Q13-25460.22,0)</f>
        <v/>
      </c>
      <c r="S13" s="20">
        <f>MAX(R13-25460.22,0)</f>
        <v/>
      </c>
      <c r="T13" s="20">
        <f>MAX(S13-25460.22,0)</f>
        <v/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</row>
    <row r="14">
      <c r="B14" s="15" t="inlineStr">
        <is>
          <t>Specialty Capital Loan</t>
        </is>
      </c>
      <c r="D14" s="19" t="n">
        <v>187921.05</v>
      </c>
      <c r="E14" s="19" t="n">
        <v>165407.89</v>
      </c>
      <c r="F14" s="19" t="n">
        <v>135078.94</v>
      </c>
      <c r="G14" s="19" t="n">
        <v>112565.78</v>
      </c>
      <c r="H14" s="88" t="n">
        <v>90052.62</v>
      </c>
      <c r="I14" s="20">
        <f>MAX(H14-25888.16,0)</f>
        <v/>
      </c>
      <c r="J14" s="20">
        <f>MAX(I14-25888.16,0)</f>
        <v/>
      </c>
      <c r="K14" s="20">
        <f>MAX(J14-25888.16,0)</f>
        <v/>
      </c>
      <c r="L14" s="20">
        <f>MAX(K14-25888.16,0)</f>
        <v/>
      </c>
      <c r="M14" s="20">
        <f>MAX(L14-25888.16,0)</f>
        <v/>
      </c>
      <c r="N14" s="20">
        <f>MAX(M14-25888.16,0)</f>
        <v/>
      </c>
      <c r="O14" s="20">
        <f>MAX(N14-25888.16,0)</f>
        <v/>
      </c>
      <c r="P14" s="20">
        <f>MAX(O14-25888.16,0)</f>
        <v/>
      </c>
      <c r="Q14" s="20">
        <f>MAX(P14-25888.16,0)</f>
        <v/>
      </c>
      <c r="R14" s="20">
        <f>MAX(Q14-25888.16,0)</f>
        <v/>
      </c>
      <c r="S14" s="20">
        <f>MAX(R14-25888.16,0)</f>
        <v/>
      </c>
      <c r="T14" s="20">
        <f>MAX(S14-25888.16,0)</f>
        <v/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</row>
    <row r="15">
      <c r="B15" s="15" t="inlineStr">
        <is>
          <t>Norbrook Inc Loan</t>
        </is>
      </c>
      <c r="D15" s="19" t="n">
        <v>0</v>
      </c>
      <c r="E15" s="19" t="n">
        <v>0</v>
      </c>
      <c r="F15" s="19" t="n">
        <v>0</v>
      </c>
      <c r="G15" s="19" t="n">
        <v>162318</v>
      </c>
      <c r="H15" s="88" t="n">
        <v>0</v>
      </c>
      <c r="I15" s="20">
        <f>H15</f>
        <v/>
      </c>
      <c r="J15" s="20">
        <f>I15</f>
        <v/>
      </c>
      <c r="K15" s="20">
        <f>J15</f>
        <v/>
      </c>
      <c r="L15" s="20">
        <f>K15</f>
        <v/>
      </c>
      <c r="M15" s="20">
        <f>L15</f>
        <v/>
      </c>
      <c r="N15" s="20">
        <f>M15</f>
        <v/>
      </c>
      <c r="O15" s="20">
        <f>N15</f>
        <v/>
      </c>
      <c r="P15" s="20">
        <f>O15</f>
        <v/>
      </c>
      <c r="Q15" s="20">
        <f>P15</f>
        <v/>
      </c>
      <c r="R15" s="20">
        <f>Q15</f>
        <v/>
      </c>
      <c r="S15" s="20">
        <f>R15</f>
        <v/>
      </c>
      <c r="T15" s="20">
        <f>S15</f>
        <v/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</row>
    <row r="16">
      <c r="B16" s="15" t="inlineStr">
        <is>
          <t>TOTAL DEBT</t>
        </is>
      </c>
      <c r="D16" s="17">
        <f>SUM(D9:D15)</f>
        <v/>
      </c>
      <c r="E16" s="17">
        <f>SUM(E9:E15)</f>
        <v/>
      </c>
      <c r="F16" s="17">
        <f>SUM(F9:F15)</f>
        <v/>
      </c>
      <c r="G16" s="17">
        <f>SUM(G9:G15)</f>
        <v/>
      </c>
      <c r="H16" s="17">
        <f>SUM(H9:H15)</f>
        <v/>
      </c>
      <c r="I16" s="17">
        <f>SUM(I9:I15)</f>
        <v/>
      </c>
      <c r="J16" s="17">
        <f>SUM(J9:J15)</f>
        <v/>
      </c>
      <c r="K16" s="17">
        <f>SUM(K9:K15)</f>
        <v/>
      </c>
      <c r="L16" s="17">
        <f>SUM(L9:L15)</f>
        <v/>
      </c>
      <c r="M16" s="17">
        <f>SUM(M9:M15)</f>
        <v/>
      </c>
      <c r="N16" s="17">
        <f>SUM(N9:N15)</f>
        <v/>
      </c>
      <c r="O16" s="17">
        <f>SUM(O9:O15)</f>
        <v/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</row>
    <row r="18" ht="16" customHeight="1" s="86">
      <c r="B18" s="10" t="inlineStr">
        <is>
          <t>MONTHLY DEBT SERVICE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>
      <c r="B19" s="18" t="inlineStr">
        <is>
          <t>MindBody Loan - SM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88" t="n">
        <v>0</v>
      </c>
      <c r="I19" s="20">
        <f>IF(I9&gt;0,18871.69,0)</f>
        <v/>
      </c>
      <c r="J19" s="20">
        <f>IF(J9&gt;0,18871.69,0)</f>
        <v/>
      </c>
      <c r="K19" s="20">
        <f>IF(K9&gt;0,18871.69,0)</f>
        <v/>
      </c>
      <c r="L19" s="20">
        <f>IF(L9&gt;0,18871.69,0)</f>
        <v/>
      </c>
      <c r="M19" s="20">
        <f>IF(M9&gt;0,18871.69,0)</f>
        <v/>
      </c>
      <c r="N19" s="20">
        <f>IF(N9&gt;0,18871.69,0)</f>
        <v/>
      </c>
      <c r="O19" s="20">
        <f>IF(O9&gt;0,18871.69,0)</f>
        <v/>
      </c>
      <c r="P19" s="20">
        <f>IF(P9&gt;0,18871.69,0)</f>
        <v/>
      </c>
      <c r="Q19" s="20">
        <f>IF(Q9&gt;0,18871.69,0)</f>
        <v/>
      </c>
      <c r="R19" s="20">
        <f>IF(R9&gt;0,18871.69,0)</f>
        <v/>
      </c>
      <c r="S19" s="20">
        <f>IF(S9&gt;0,18871.69,0)</f>
        <v/>
      </c>
      <c r="T19" s="20">
        <f>IF(T9&gt;0,18871.69,0)</f>
        <v/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</row>
    <row r="20">
      <c r="B20" s="18" t="inlineStr">
        <is>
          <t>MindBody Loan - PH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88" t="n">
        <v>0</v>
      </c>
      <c r="I20" s="20">
        <f>IF(I10&gt;0,16602.04,0)</f>
        <v/>
      </c>
      <c r="J20" s="20">
        <f>IF(J10&gt;0,16602.04,0)</f>
        <v/>
      </c>
      <c r="K20" s="20">
        <f>IF(K10&gt;0,16602.04,0)</f>
        <v/>
      </c>
      <c r="L20" s="20">
        <f>IF(L10&gt;0,16602.04,0)</f>
        <v/>
      </c>
      <c r="M20" s="20">
        <f>IF(M10&gt;0,16602.04,0)</f>
        <v/>
      </c>
      <c r="N20" s="20">
        <f>IF(N10&gt;0,16602.04,0)</f>
        <v/>
      </c>
      <c r="O20" s="20">
        <f>IF(O10&gt;0,16602.04,0)</f>
        <v/>
      </c>
      <c r="P20" s="20">
        <f>IF(P10&gt;0,16602.04,0)</f>
        <v/>
      </c>
      <c r="Q20" s="20">
        <f>IF(Q10&gt;0,16602.04,0)</f>
        <v/>
      </c>
      <c r="R20" s="20">
        <f>IF(R10&gt;0,16602.04,0)</f>
        <v/>
      </c>
      <c r="S20" s="20">
        <f>IF(S10&gt;0,16602.04,0)</f>
        <v/>
      </c>
      <c r="T20" s="20">
        <f>IF(T10&gt;0,16602.04,0)</f>
        <v/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</row>
    <row r="21">
      <c r="B21" s="18" t="inlineStr">
        <is>
          <t>MindBody Loan - LF</t>
        </is>
      </c>
      <c r="D21" s="19" t="n">
        <v>0</v>
      </c>
      <c r="E21" s="19" t="n">
        <v>0</v>
      </c>
      <c r="F21" s="19" t="n">
        <v>0</v>
      </c>
      <c r="G21" s="19" t="n">
        <v>0</v>
      </c>
      <c r="H21" s="88" t="n">
        <v>0</v>
      </c>
      <c r="I21" s="20">
        <f>IF(I11&gt;0,12162.36,0)</f>
        <v/>
      </c>
      <c r="J21" s="20">
        <f>IF(J11&gt;0,12162.36,0)</f>
        <v/>
      </c>
      <c r="K21" s="20">
        <f>IF(K11&gt;0,12162.36,0)</f>
        <v/>
      </c>
      <c r="L21" s="20">
        <f>IF(L11&gt;0,12162.36,0)</f>
        <v/>
      </c>
      <c r="M21" s="20">
        <f>IF(M11&gt;0,12162.36,0)</f>
        <v/>
      </c>
      <c r="N21" s="20">
        <f>IF(N11&gt;0,12162.36,0)</f>
        <v/>
      </c>
      <c r="O21" s="20">
        <f>IF(O11&gt;0,12162.36,0)</f>
        <v/>
      </c>
      <c r="P21" s="20">
        <f>IF(P11&gt;0,12162.36,0)</f>
        <v/>
      </c>
      <c r="Q21" s="20">
        <f>IF(Q11&gt;0,12162.36,0)</f>
        <v/>
      </c>
      <c r="R21" s="20">
        <f>IF(R11&gt;0,12162.36,0)</f>
        <v/>
      </c>
      <c r="S21" s="20">
        <f>IF(S11&gt;0,12162.36,0)</f>
        <v/>
      </c>
      <c r="T21" s="20">
        <f>IF(T11&gt;0,12162.36,0)</f>
        <v/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</row>
    <row r="22">
      <c r="B22" s="18" t="inlineStr">
        <is>
          <t>MindBody Loan - MR</t>
        </is>
      </c>
      <c r="D22" s="19" t="n">
        <v>0</v>
      </c>
      <c r="E22" s="19" t="n">
        <v>0</v>
      </c>
      <c r="F22" s="19" t="n">
        <v>0</v>
      </c>
      <c r="G22" s="19" t="n">
        <v>0</v>
      </c>
      <c r="H22" s="88" t="n">
        <v>0</v>
      </c>
      <c r="I22" s="20">
        <f>IF(I12&gt;0,13157.16,0)</f>
        <v/>
      </c>
      <c r="J22" s="20">
        <f>IF(J12&gt;0,13157.16,0)</f>
        <v/>
      </c>
      <c r="K22" s="20">
        <f>IF(K12&gt;0,13157.16,0)</f>
        <v/>
      </c>
      <c r="L22" s="20">
        <f>IF(L12&gt;0,13157.16,0)</f>
        <v/>
      </c>
      <c r="M22" s="20">
        <f>IF(M12&gt;0,13157.16,0)</f>
        <v/>
      </c>
      <c r="N22" s="20">
        <f>IF(N12&gt;0,13157.16,0)</f>
        <v/>
      </c>
      <c r="O22" s="20">
        <f>IF(O12&gt;0,13157.16,0)</f>
        <v/>
      </c>
      <c r="P22" s="20">
        <f>IF(P12&gt;0,13157.16,0)</f>
        <v/>
      </c>
      <c r="Q22" s="20">
        <f>IF(Q12&gt;0,13157.16,0)</f>
        <v/>
      </c>
      <c r="R22" s="20">
        <f>IF(R12&gt;0,13157.16,0)</f>
        <v/>
      </c>
      <c r="S22" s="20">
        <f>IF(S12&gt;0,13157.16,0)</f>
        <v/>
      </c>
      <c r="T22" s="20">
        <f>IF(T12&gt;0,13157.16,0)</f>
        <v/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</row>
    <row r="23">
      <c r="B23" s="18" t="inlineStr">
        <is>
          <t>Samson Loan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88" t="n">
        <v>94517.10000000001</v>
      </c>
      <c r="I23" s="20">
        <f>IF(I13&gt;0,25460.22,0)</f>
        <v/>
      </c>
      <c r="J23" s="20">
        <f>IF(J13&gt;0,25460.22,0)</f>
        <v/>
      </c>
      <c r="K23" s="20">
        <f>IF(K13&gt;0,25460.22,0)</f>
        <v/>
      </c>
      <c r="L23" s="20">
        <f>IF(L13&gt;0,25460.22,0)</f>
        <v/>
      </c>
      <c r="M23" s="20">
        <f>IF(M13&gt;0,25460.22,0)</f>
        <v/>
      </c>
      <c r="N23" s="20">
        <f>IF(N13&gt;0,25460.22,0)</f>
        <v/>
      </c>
      <c r="O23" s="20">
        <f>IF(O13&gt;0,25460.22,0)</f>
        <v/>
      </c>
      <c r="P23" s="20">
        <f>IF(P13&gt;0,25460.22,0)</f>
        <v/>
      </c>
      <c r="Q23" s="20">
        <f>IF(Q13&gt;0,25460.22,0)</f>
        <v/>
      </c>
      <c r="R23" s="20">
        <f>IF(R13&gt;0,25460.22,0)</f>
        <v/>
      </c>
      <c r="S23" s="20">
        <f>IF(S13&gt;0,25460.22,0)</f>
        <v/>
      </c>
      <c r="T23" s="20">
        <f>IF(T13&gt;0,25460.22,0)</f>
        <v/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</row>
    <row r="24">
      <c r="B24" s="18" t="inlineStr">
        <is>
          <t>Specialty Capital Loan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88" t="n">
        <v>90052.62</v>
      </c>
      <c r="I24" s="20">
        <f>IF(I14&gt;0,25888.16,0)</f>
        <v/>
      </c>
      <c r="J24" s="20">
        <f>IF(J14&gt;0,25888.16,0)</f>
        <v/>
      </c>
      <c r="K24" s="20">
        <f>IF(K14&gt;0,25888.16,0)</f>
        <v/>
      </c>
      <c r="L24" s="20">
        <f>IF(L14&gt;0,25888.16,0)</f>
        <v/>
      </c>
      <c r="M24" s="20">
        <f>IF(M14&gt;0,25888.16,0)</f>
        <v/>
      </c>
      <c r="N24" s="20">
        <f>IF(N14&gt;0,25888.16,0)</f>
        <v/>
      </c>
      <c r="O24" s="20">
        <f>IF(O14&gt;0,25888.16,0)</f>
        <v/>
      </c>
      <c r="P24" s="20">
        <f>IF(P14&gt;0,25888.16,0)</f>
        <v/>
      </c>
      <c r="Q24" s="20">
        <f>IF(Q14&gt;0,25888.16,0)</f>
        <v/>
      </c>
      <c r="R24" s="20">
        <f>IF(R14&gt;0,25888.16,0)</f>
        <v/>
      </c>
      <c r="S24" s="20">
        <f>IF(S14&gt;0,25888.16,0)</f>
        <v/>
      </c>
      <c r="T24" s="20">
        <f>IF(T14&gt;0,25888.16,0)</f>
        <v/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</row>
    <row r="25">
      <c r="B25" s="18" t="inlineStr">
        <is>
          <t>Norbrook Inc Loan</t>
        </is>
      </c>
      <c r="D25" s="19" t="n">
        <v>0</v>
      </c>
      <c r="E25" s="19" t="n">
        <v>0</v>
      </c>
      <c r="F25" s="19" t="n">
        <v>0</v>
      </c>
      <c r="G25" s="19" t="n">
        <v>0</v>
      </c>
      <c r="H25" s="88" t="n">
        <v>0</v>
      </c>
      <c r="I25" s="20">
        <f>I15*0.08/12</f>
        <v/>
      </c>
      <c r="J25" s="20">
        <f>J15*0.08/12</f>
        <v/>
      </c>
      <c r="K25" s="20">
        <f>K15*0.08/12</f>
        <v/>
      </c>
      <c r="L25" s="20">
        <f>L15*0.08/12</f>
        <v/>
      </c>
      <c r="M25" s="20">
        <f>M15*0.08/12</f>
        <v/>
      </c>
      <c r="N25" s="20">
        <f>N15*0.08/12</f>
        <v/>
      </c>
      <c r="O25" s="20">
        <f>O15*0.08/12</f>
        <v/>
      </c>
      <c r="P25" s="20">
        <f>P15*0.08/12</f>
        <v/>
      </c>
      <c r="Q25" s="20">
        <f>Q15*0.08/12</f>
        <v/>
      </c>
      <c r="R25" s="20">
        <f>R15*0.08/12</f>
        <v/>
      </c>
      <c r="S25" s="20">
        <f>S15*0.08/12</f>
        <v/>
      </c>
      <c r="T25" s="20">
        <f>T15*0.08/12</f>
        <v/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</row>
    <row r="26">
      <c r="B26" s="15" t="inlineStr">
        <is>
          <t>TOTAL DEBT SERVICE</t>
        </is>
      </c>
      <c r="D26" s="17">
        <f>SUM(D19:D25)</f>
        <v/>
      </c>
      <c r="E26" s="17">
        <f>SUM(E19:E25)</f>
        <v/>
      </c>
      <c r="F26" s="17">
        <f>SUM(F19:F25)</f>
        <v/>
      </c>
      <c r="G26" s="17">
        <f>SUM(G19:G25)</f>
        <v/>
      </c>
      <c r="H26" s="17">
        <f>SUM(H19:H25)</f>
        <v/>
      </c>
      <c r="I26" s="17">
        <f>SUM(I19:I25)</f>
        <v/>
      </c>
      <c r="J26" s="17">
        <f>SUM(J19:J25)</f>
        <v/>
      </c>
      <c r="K26" s="17">
        <f>SUM(K19:K25)</f>
        <v/>
      </c>
      <c r="L26" s="17">
        <f>SUM(L19:L25)</f>
        <v/>
      </c>
      <c r="M26" s="17">
        <f>SUM(M19:M25)</f>
        <v/>
      </c>
      <c r="N26" s="17">
        <f>SUM(N19:N25)</f>
        <v/>
      </c>
      <c r="O26" s="17">
        <f>SUM(O19:O25)</f>
        <v/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</row>
    <row r="28" ht="16" customHeight="1" s="86">
      <c r="B28" s="10" t="inlineStr">
        <is>
          <t>OWNER EQUITY / INTERCOMPANY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</row>
    <row r="29">
      <c r="B29" s="15" t="inlineStr">
        <is>
          <t>Intercompany Net Position</t>
        </is>
      </c>
      <c r="D29" s="19" t="n">
        <v>224773.04</v>
      </c>
      <c r="E29" s="19" t="n">
        <v>224773.04</v>
      </c>
      <c r="F29" s="19" t="n">
        <v>358106.37</v>
      </c>
      <c r="G29" s="19" t="n">
        <v>436439.7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B2:AM3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N42" sqref="N42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2" customWidth="1" style="86" min="3" max="39"/>
  </cols>
  <sheetData>
    <row r="2" ht="21" customHeight="1" s="86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" customHeight="1" s="86">
      <c r="B4" s="10" t="inlineStr">
        <is>
          <t>Monthly Cash Flow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C5" s="14" t="inlineStr">
        <is>
          <t>Annual Total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CASH INFLOWS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15" t="inlineStr">
        <is>
          <t>Total Cash Sales</t>
        </is>
      </c>
      <c r="D7" s="65">
        <f>'Sales Forecast'!D18</f>
        <v/>
      </c>
      <c r="E7" s="65">
        <f>'Sales Forecast'!E18</f>
        <v/>
      </c>
      <c r="F7" s="65">
        <f>'Sales Forecast'!F18</f>
        <v/>
      </c>
      <c r="G7" s="65">
        <f>'Sales Forecast'!G18</f>
        <v/>
      </c>
      <c r="H7" s="89">
        <f>'Sales Forecast'!H18</f>
        <v/>
      </c>
      <c r="I7" s="37">
        <f>'Sales Forecast'!I18</f>
        <v/>
      </c>
      <c r="J7" s="37">
        <f>'Sales Forecast'!J18</f>
        <v/>
      </c>
      <c r="K7" s="37">
        <f>'Sales Forecast'!K18</f>
        <v/>
      </c>
      <c r="L7" s="37">
        <f>'Sales Forecast'!L18</f>
        <v/>
      </c>
      <c r="M7" s="37">
        <f>'Sales Forecast'!M18</f>
        <v/>
      </c>
      <c r="N7" s="37">
        <f>'Sales Forecast'!N18</f>
        <v/>
      </c>
      <c r="O7" s="37">
        <f>'Sales Forecast'!O18</f>
        <v/>
      </c>
      <c r="P7" s="37">
        <f>'Sales Forecast'!P18</f>
        <v/>
      </c>
      <c r="Q7" s="37">
        <f>'Sales Forecast'!Q18</f>
        <v/>
      </c>
      <c r="R7" s="37">
        <f>'Sales Forecast'!R18</f>
        <v/>
      </c>
      <c r="S7" s="37">
        <f>'Sales Forecast'!S18</f>
        <v/>
      </c>
      <c r="T7" s="37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</row>
    <row r="9" ht="16" customHeight="1" s="86">
      <c r="B9" s="10" t="inlineStr">
        <is>
          <t>OPERATING OUTFLOWS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>
      <c r="B10" s="18" t="inlineStr">
        <is>
          <t>Property Costs</t>
        </is>
      </c>
      <c r="D10" s="19" t="n">
        <v>147113.46</v>
      </c>
      <c r="E10" s="19" t="n">
        <v>146344.65</v>
      </c>
      <c r="F10" s="19" t="n">
        <v>147382.66</v>
      </c>
      <c r="G10" s="19" t="n">
        <v>148059.43</v>
      </c>
      <c r="H10" s="31" t="n">
        <v>147112.25</v>
      </c>
      <c r="I10" s="31" t="n">
        <v>147112.25</v>
      </c>
      <c r="J10" s="31" t="n">
        <v>147112.25</v>
      </c>
      <c r="K10" s="31" t="n">
        <v>147112.25</v>
      </c>
      <c r="L10" s="31" t="n">
        <v>147112.25</v>
      </c>
      <c r="M10" s="31" t="n">
        <v>147112.25</v>
      </c>
      <c r="N10" s="31" t="n">
        <v>147112.25</v>
      </c>
      <c r="O10" s="31" t="n">
        <v>147112.25</v>
      </c>
      <c r="P10" s="31" t="n">
        <v>151525.62</v>
      </c>
      <c r="Q10" s="31" t="n">
        <v>151525.62</v>
      </c>
      <c r="R10" s="31" t="n">
        <v>151525.62</v>
      </c>
      <c r="S10" s="31" t="n">
        <v>151525.62</v>
      </c>
      <c r="T10" s="31" t="n">
        <v>151525.62</v>
      </c>
      <c r="U10" s="31" t="n">
        <v>151525.62</v>
      </c>
      <c r="V10" s="31" t="n">
        <v>151525.62</v>
      </c>
      <c r="W10" s="31" t="n">
        <v>151525.62</v>
      </c>
      <c r="X10" s="31" t="n">
        <v>151525.62</v>
      </c>
      <c r="Y10" s="31" t="n">
        <v>151525.62</v>
      </c>
      <c r="Z10" s="31" t="n">
        <v>151525.62</v>
      </c>
      <c r="AA10" s="31" t="n">
        <v>151525.62</v>
      </c>
      <c r="AB10" s="31" t="n">
        <v>156071.4</v>
      </c>
      <c r="AC10" s="31" t="n">
        <v>156071.4</v>
      </c>
      <c r="AD10" s="31" t="n">
        <v>156071.4</v>
      </c>
      <c r="AE10" s="31" t="n">
        <v>156071.4</v>
      </c>
      <c r="AF10" s="31" t="n">
        <v>156071.4</v>
      </c>
      <c r="AG10" s="31" t="n">
        <v>156071.4</v>
      </c>
      <c r="AH10" s="31" t="n">
        <v>156071.4</v>
      </c>
      <c r="AI10" s="31" t="n">
        <v>156071.4</v>
      </c>
      <c r="AJ10" s="31" t="n">
        <v>156071.4</v>
      </c>
      <c r="AK10" s="31" t="n">
        <v>156071.4</v>
      </c>
      <c r="AL10" s="31" t="n">
        <v>156071.4</v>
      </c>
      <c r="AM10" s="31" t="n">
        <v>156071.4</v>
      </c>
    </row>
    <row r="11">
      <c r="B11" s="18" t="inlineStr">
        <is>
          <t>Staff Costs</t>
        </is>
      </c>
      <c r="D11" s="19" t="n">
        <v>681232.98</v>
      </c>
      <c r="E11" s="19" t="n">
        <v>590412.0599999999</v>
      </c>
      <c r="F11" s="19" t="n">
        <v>628953.8100000001</v>
      </c>
      <c r="G11" s="19" t="n">
        <v>576480.9800000001</v>
      </c>
      <c r="H11" s="31" t="n">
        <v>598615.6099999999</v>
      </c>
      <c r="I11" s="31" t="n">
        <v>598615.6099999999</v>
      </c>
      <c r="J11" s="31" t="n">
        <v>598615.6099999999</v>
      </c>
      <c r="K11" s="31" t="n">
        <v>598615.6099999999</v>
      </c>
      <c r="L11" s="31" t="n">
        <v>598615.6099999999</v>
      </c>
      <c r="M11" s="31" t="n">
        <v>598615.6099999999</v>
      </c>
      <c r="N11" s="31" t="n">
        <v>598615.6099999999</v>
      </c>
      <c r="O11" s="31" t="n">
        <v>598615.6099999999</v>
      </c>
      <c r="P11" s="31" t="n">
        <v>622560.2300000001</v>
      </c>
      <c r="Q11" s="31" t="n">
        <v>622560.2300000001</v>
      </c>
      <c r="R11" s="31" t="n">
        <v>622560.2300000001</v>
      </c>
      <c r="S11" s="31" t="n">
        <v>622560.2300000001</v>
      </c>
      <c r="T11" s="31" t="n">
        <v>622560.2300000001</v>
      </c>
      <c r="U11" s="31" t="n">
        <v>622560.2300000001</v>
      </c>
      <c r="V11" s="31" t="n">
        <v>622560.2300000001</v>
      </c>
      <c r="W11" s="31" t="n">
        <v>622560.2300000001</v>
      </c>
      <c r="X11" s="31" t="n">
        <v>622560.2300000001</v>
      </c>
      <c r="Y11" s="31" t="n">
        <v>622560.2300000001</v>
      </c>
      <c r="Z11" s="31" t="n">
        <v>622560.2300000001</v>
      </c>
      <c r="AA11" s="31" t="n">
        <v>622560.2300000001</v>
      </c>
      <c r="AB11" s="31" t="n">
        <v>647462.64</v>
      </c>
      <c r="AC11" s="31" t="n">
        <v>647462.64</v>
      </c>
      <c r="AD11" s="31" t="n">
        <v>647462.64</v>
      </c>
      <c r="AE11" s="31" t="n">
        <v>647462.64</v>
      </c>
      <c r="AF11" s="31" t="n">
        <v>647462.64</v>
      </c>
      <c r="AG11" s="31" t="n">
        <v>647462.64</v>
      </c>
      <c r="AH11" s="31" t="n">
        <v>647462.64</v>
      </c>
      <c r="AI11" s="31" t="n">
        <v>647462.64</v>
      </c>
      <c r="AJ11" s="31" t="n">
        <v>647462.64</v>
      </c>
      <c r="AK11" s="31" t="n">
        <v>647462.64</v>
      </c>
      <c r="AL11" s="31" t="n">
        <v>647462.64</v>
      </c>
      <c r="AM11" s="31" t="n">
        <v>647462.64</v>
      </c>
    </row>
    <row r="12">
      <c r="B12" s="18" t="inlineStr">
        <is>
          <t>Utilities</t>
        </is>
      </c>
      <c r="D12" s="19" t="n">
        <v>7087.42</v>
      </c>
      <c r="E12" s="19" t="n">
        <v>9973.09</v>
      </c>
      <c r="F12" s="19" t="n">
        <v>7034.72</v>
      </c>
      <c r="G12" s="19" t="n">
        <v>7270.22</v>
      </c>
      <c r="H12" s="31" t="n">
        <v>8720.110000000001</v>
      </c>
      <c r="I12" s="31" t="n">
        <v>8720.110000000001</v>
      </c>
      <c r="J12" s="31" t="n">
        <v>8720.110000000001</v>
      </c>
      <c r="K12" s="31" t="n">
        <v>8720.110000000001</v>
      </c>
      <c r="L12" s="31" t="n">
        <v>8720.110000000001</v>
      </c>
      <c r="M12" s="31" t="n">
        <v>8720.110000000001</v>
      </c>
      <c r="N12" s="31" t="n">
        <v>8720.110000000001</v>
      </c>
      <c r="O12" s="31" t="n">
        <v>8720.110000000001</v>
      </c>
      <c r="P12" s="31" t="n">
        <v>9043.820000000002</v>
      </c>
      <c r="Q12" s="31" t="n">
        <v>9043.820000000002</v>
      </c>
      <c r="R12" s="31" t="n">
        <v>9043.820000000002</v>
      </c>
      <c r="S12" s="31" t="n">
        <v>9043.820000000002</v>
      </c>
      <c r="T12" s="31" t="n">
        <v>9043.820000000002</v>
      </c>
      <c r="U12" s="31" t="n">
        <v>9043.820000000002</v>
      </c>
      <c r="V12" s="31" t="n">
        <v>9043.820000000002</v>
      </c>
      <c r="W12" s="31" t="n">
        <v>9043.820000000002</v>
      </c>
      <c r="X12" s="31" t="n">
        <v>9043.820000000002</v>
      </c>
      <c r="Y12" s="31" t="n">
        <v>9043.820000000002</v>
      </c>
      <c r="Z12" s="31" t="n">
        <v>9043.820000000002</v>
      </c>
      <c r="AA12" s="31" t="n">
        <v>9043.820000000002</v>
      </c>
      <c r="AB12" s="31" t="n">
        <v>9380.480000000001</v>
      </c>
      <c r="AC12" s="31" t="n">
        <v>9380.480000000001</v>
      </c>
      <c r="AD12" s="31" t="n">
        <v>8753.050000000001</v>
      </c>
      <c r="AE12" s="31" t="n">
        <v>8753.050000000001</v>
      </c>
      <c r="AF12" s="31" t="n">
        <v>8753.050000000001</v>
      </c>
      <c r="AG12" s="31" t="n">
        <v>8753.050000000001</v>
      </c>
      <c r="AH12" s="31" t="n">
        <v>8753.050000000001</v>
      </c>
      <c r="AI12" s="31" t="n">
        <v>8753.050000000001</v>
      </c>
      <c r="AJ12" s="31" t="n">
        <v>8753.050000000001</v>
      </c>
      <c r="AK12" s="31" t="n">
        <v>8753.050000000001</v>
      </c>
      <c r="AL12" s="31" t="n">
        <v>8753.050000000001</v>
      </c>
      <c r="AM12" s="31" t="n">
        <v>8753.050000000001</v>
      </c>
    </row>
    <row r="13">
      <c r="B13" s="18" t="inlineStr">
        <is>
          <t>Marketing &amp; Promotion</t>
        </is>
      </c>
      <c r="D13" s="19" t="n">
        <v>27740.18</v>
      </c>
      <c r="E13" s="19" t="n">
        <v>27007.49</v>
      </c>
      <c r="F13" s="19" t="n">
        <v>16681.8</v>
      </c>
      <c r="G13" s="19" t="n">
        <v>5975.58</v>
      </c>
      <c r="H13" s="31" t="n">
        <v>16948.9</v>
      </c>
      <c r="I13" s="31" t="n">
        <v>16948.9</v>
      </c>
      <c r="J13" s="31" t="n">
        <v>16948.9</v>
      </c>
      <c r="K13" s="31" t="n">
        <v>16948.9</v>
      </c>
      <c r="L13" s="31" t="n">
        <v>16948.9</v>
      </c>
      <c r="M13" s="31" t="n">
        <v>16948.9</v>
      </c>
      <c r="N13" s="31" t="n">
        <v>16948.9</v>
      </c>
      <c r="O13" s="31" t="n">
        <v>16948.9</v>
      </c>
      <c r="P13" s="31" t="n">
        <v>17626.86</v>
      </c>
      <c r="Q13" s="31" t="n">
        <v>17626.86</v>
      </c>
      <c r="R13" s="31" t="n">
        <v>17626.86</v>
      </c>
      <c r="S13" s="31" t="n">
        <v>17626.86</v>
      </c>
      <c r="T13" s="31" t="n">
        <v>17626.86</v>
      </c>
      <c r="U13" s="31" t="n">
        <v>17626.86</v>
      </c>
      <c r="V13" s="31" t="n">
        <v>17626.86</v>
      </c>
      <c r="W13" s="31" t="n">
        <v>17626.86</v>
      </c>
      <c r="X13" s="31" t="n">
        <v>17626.86</v>
      </c>
      <c r="Y13" s="31" t="n">
        <v>17626.86</v>
      </c>
      <c r="Z13" s="31" t="n">
        <v>17626.86</v>
      </c>
      <c r="AA13" s="31" t="n">
        <v>17626.86</v>
      </c>
      <c r="AB13" s="31" t="n">
        <v>18331.93</v>
      </c>
      <c r="AC13" s="31" t="n">
        <v>18331.93</v>
      </c>
      <c r="AD13" s="31" t="n">
        <v>18331.93</v>
      </c>
      <c r="AE13" s="31" t="n">
        <v>18331.93</v>
      </c>
      <c r="AF13" s="31" t="n">
        <v>18331.93</v>
      </c>
      <c r="AG13" s="31" t="n">
        <v>18331.93</v>
      </c>
      <c r="AH13" s="31" t="n">
        <v>18331.93</v>
      </c>
      <c r="AI13" s="31" t="n">
        <v>18331.93</v>
      </c>
      <c r="AJ13" s="31" t="n">
        <v>18331.93</v>
      </c>
      <c r="AK13" s="31" t="n">
        <v>18331.93</v>
      </c>
      <c r="AL13" s="31" t="n">
        <v>18331.93</v>
      </c>
      <c r="AM13" s="31" t="n">
        <v>18331.93</v>
      </c>
    </row>
    <row r="14">
      <c r="B14" s="18" t="inlineStr">
        <is>
          <t>Administrative &amp; G&amp;A</t>
        </is>
      </c>
      <c r="D14" s="19" t="n">
        <v>32760.80999999999</v>
      </c>
      <c r="E14" s="19" t="n">
        <v>38409.23</v>
      </c>
      <c r="F14" s="19" t="n">
        <v>33297.16</v>
      </c>
      <c r="G14" s="19" t="n">
        <v>28817.49</v>
      </c>
      <c r="H14" s="31" t="n">
        <v>37431.59</v>
      </c>
      <c r="I14" s="31" t="n">
        <v>37431.59</v>
      </c>
      <c r="J14" s="31" t="n">
        <v>37431.59</v>
      </c>
      <c r="K14" s="31" t="n">
        <v>37431.59</v>
      </c>
      <c r="L14" s="31" t="n">
        <v>37431.59</v>
      </c>
      <c r="M14" s="31" t="n">
        <v>37431.59</v>
      </c>
      <c r="N14" s="31" t="n">
        <v>37431.59</v>
      </c>
      <c r="O14" s="31" t="n">
        <v>37431.59</v>
      </c>
      <c r="P14" s="31" t="n">
        <v>38928.85000000001</v>
      </c>
      <c r="Q14" s="31" t="n">
        <v>38928.85000000001</v>
      </c>
      <c r="R14" s="31" t="n">
        <v>38928.85000000001</v>
      </c>
      <c r="S14" s="31" t="n">
        <v>38928.85000000001</v>
      </c>
      <c r="T14" s="31" t="n">
        <v>38928.85000000001</v>
      </c>
      <c r="U14" s="31" t="n">
        <v>38928.85000000001</v>
      </c>
      <c r="V14" s="31" t="n">
        <v>38928.85000000001</v>
      </c>
      <c r="W14" s="31" t="n">
        <v>38928.85000000001</v>
      </c>
      <c r="X14" s="31" t="n">
        <v>38928.85000000001</v>
      </c>
      <c r="Y14" s="31" t="n">
        <v>38928.85000000001</v>
      </c>
      <c r="Z14" s="31" t="n">
        <v>38928.85000000001</v>
      </c>
      <c r="AA14" s="31" t="n">
        <v>38928.85000000001</v>
      </c>
      <c r="AB14" s="31" t="n">
        <v>40486.00999999999</v>
      </c>
      <c r="AC14" s="31" t="n">
        <v>40486.00999999999</v>
      </c>
      <c r="AD14" s="31" t="n">
        <v>40486.00999999999</v>
      </c>
      <c r="AE14" s="31" t="n">
        <v>40486.00999999999</v>
      </c>
      <c r="AF14" s="31" t="n">
        <v>40486.00999999999</v>
      </c>
      <c r="AG14" s="31" t="n">
        <v>40486.00999999999</v>
      </c>
      <c r="AH14" s="31" t="n">
        <v>40486.00999999999</v>
      </c>
      <c r="AI14" s="31" t="n">
        <v>40486.00999999999</v>
      </c>
      <c r="AJ14" s="31" t="n">
        <v>40486.00999999999</v>
      </c>
      <c r="AK14" s="31" t="n">
        <v>40486.00999999999</v>
      </c>
      <c r="AL14" s="31" t="n">
        <v>40486.00999999999</v>
      </c>
      <c r="AM14" s="31" t="n">
        <v>40486.00999999999</v>
      </c>
    </row>
    <row r="15">
      <c r="B15" s="18" t="inlineStr">
        <is>
          <t>Professional Fees</t>
        </is>
      </c>
      <c r="D15" s="19" t="n">
        <v>42733.79</v>
      </c>
      <c r="E15" s="19" t="n">
        <v>24202.3</v>
      </c>
      <c r="F15" s="19" t="n">
        <v>22556.84</v>
      </c>
      <c r="G15" s="19" t="n">
        <v>25366</v>
      </c>
      <c r="H15" s="31" t="n">
        <v>24041.72</v>
      </c>
      <c r="I15" s="31" t="n">
        <v>24041.72</v>
      </c>
      <c r="J15" s="31" t="n">
        <v>24041.72</v>
      </c>
      <c r="K15" s="31" t="n">
        <v>24041.72</v>
      </c>
      <c r="L15" s="31" t="n">
        <v>24041.72</v>
      </c>
      <c r="M15" s="31" t="n">
        <v>24041.72</v>
      </c>
      <c r="N15" s="31" t="n">
        <v>24041.72</v>
      </c>
      <c r="O15" s="31" t="n">
        <v>24041.72</v>
      </c>
      <c r="P15" s="31" t="n">
        <v>25003.37</v>
      </c>
      <c r="Q15" s="31" t="n">
        <v>25003.37</v>
      </c>
      <c r="R15" s="31" t="n">
        <v>25003.37</v>
      </c>
      <c r="S15" s="31" t="n">
        <v>25003.37</v>
      </c>
      <c r="T15" s="31" t="n">
        <v>25003.37</v>
      </c>
      <c r="U15" s="31" t="n">
        <v>25003.37</v>
      </c>
      <c r="V15" s="31" t="n">
        <v>25003.37</v>
      </c>
      <c r="W15" s="31" t="n">
        <v>25003.37</v>
      </c>
      <c r="X15" s="31" t="n">
        <v>25003.37</v>
      </c>
      <c r="Y15" s="31" t="n">
        <v>25003.37</v>
      </c>
      <c r="Z15" s="31" t="n">
        <v>25003.37</v>
      </c>
      <c r="AA15" s="31" t="n">
        <v>25003.37</v>
      </c>
      <c r="AB15" s="31" t="n">
        <v>26003.5</v>
      </c>
      <c r="AC15" s="31" t="n">
        <v>26003.5</v>
      </c>
      <c r="AD15" s="31" t="n">
        <v>26003.5</v>
      </c>
      <c r="AE15" s="31" t="n">
        <v>26003.5</v>
      </c>
      <c r="AF15" s="31" t="n">
        <v>26003.5</v>
      </c>
      <c r="AG15" s="31" t="n">
        <v>26003.5</v>
      </c>
      <c r="AH15" s="31" t="n">
        <v>26003.5</v>
      </c>
      <c r="AI15" s="31" t="n">
        <v>26003.5</v>
      </c>
      <c r="AJ15" s="31" t="n">
        <v>26003.5</v>
      </c>
      <c r="AK15" s="31" t="n">
        <v>26003.5</v>
      </c>
      <c r="AL15" s="31" t="n">
        <v>26003.5</v>
      </c>
      <c r="AM15" s="31" t="n">
        <v>26003.5</v>
      </c>
    </row>
    <row r="16">
      <c r="B16" s="18" t="inlineStr">
        <is>
          <t>Travel &amp; Meals</t>
        </is>
      </c>
      <c r="D16" s="19" t="n">
        <v>6819.030000000001</v>
      </c>
      <c r="E16" s="19" t="n">
        <v>3543.33</v>
      </c>
      <c r="F16" s="19" t="n">
        <v>6002.360000000001</v>
      </c>
      <c r="G16" s="19" t="n">
        <v>2789.61</v>
      </c>
      <c r="H16" s="31" t="n">
        <v>4111.78</v>
      </c>
      <c r="I16" s="31" t="n">
        <v>4111.78</v>
      </c>
      <c r="J16" s="31" t="n">
        <v>4111.78</v>
      </c>
      <c r="K16" s="31" t="n">
        <v>4111.78</v>
      </c>
      <c r="L16" s="31" t="n">
        <v>4111.78</v>
      </c>
      <c r="M16" s="31" t="n">
        <v>4111.78</v>
      </c>
      <c r="N16" s="31" t="n">
        <v>4111.78</v>
      </c>
      <c r="O16" s="31" t="n">
        <v>4111.78</v>
      </c>
      <c r="P16" s="31" t="n">
        <v>4276.25</v>
      </c>
      <c r="Q16" s="31" t="n">
        <v>4276.25</v>
      </c>
      <c r="R16" s="31" t="n">
        <v>4276.25</v>
      </c>
      <c r="S16" s="31" t="n">
        <v>4276.25</v>
      </c>
      <c r="T16" s="31" t="n">
        <v>4276.25</v>
      </c>
      <c r="U16" s="31" t="n">
        <v>4276.25</v>
      </c>
      <c r="V16" s="31" t="n">
        <v>4276.25</v>
      </c>
      <c r="W16" s="31" t="n">
        <v>4276.25</v>
      </c>
      <c r="X16" s="31" t="n">
        <v>4276.25</v>
      </c>
      <c r="Y16" s="31" t="n">
        <v>4276.25</v>
      </c>
      <c r="Z16" s="31" t="n">
        <v>4276.25</v>
      </c>
      <c r="AA16" s="31" t="n">
        <v>4276.25</v>
      </c>
      <c r="AB16" s="31" t="n">
        <v>4447.309999999999</v>
      </c>
      <c r="AC16" s="31" t="n">
        <v>4447.309999999999</v>
      </c>
      <c r="AD16" s="31" t="n">
        <v>4447.309999999999</v>
      </c>
      <c r="AE16" s="31" t="n">
        <v>4447.309999999999</v>
      </c>
      <c r="AF16" s="31" t="n">
        <v>4447.309999999999</v>
      </c>
      <c r="AG16" s="31" t="n">
        <v>4447.309999999999</v>
      </c>
      <c r="AH16" s="31" t="n">
        <v>4447.309999999999</v>
      </c>
      <c r="AI16" s="31" t="n">
        <v>4447.309999999999</v>
      </c>
      <c r="AJ16" s="31" t="n">
        <v>4447.309999999999</v>
      </c>
      <c r="AK16" s="31" t="n">
        <v>4447.309999999999</v>
      </c>
      <c r="AL16" s="31" t="n">
        <v>4447.309999999999</v>
      </c>
      <c r="AM16" s="31" t="n">
        <v>4447.309999999999</v>
      </c>
    </row>
    <row r="17">
      <c r="B17" s="18" t="inlineStr">
        <is>
          <t>Merchant Fees &amp; COGS</t>
        </is>
      </c>
      <c r="D17" s="19" t="n">
        <v>65117.3</v>
      </c>
      <c r="E17" s="19" t="n">
        <v>67419.25999999999</v>
      </c>
      <c r="F17" s="19" t="n">
        <v>61727.36</v>
      </c>
      <c r="G17" s="19" t="n">
        <v>65364.98000000001</v>
      </c>
      <c r="H17" s="20">
        <f>H7*(Assumptions!$C$19+Assumptions!$C$20)</f>
        <v/>
      </c>
      <c r="I17" s="20">
        <f>I7*(Assumptions!$C$19+Assumptions!$C$20)</f>
        <v/>
      </c>
      <c r="J17" s="20">
        <f>J7*(Assumptions!$C$19+Assumptions!$C$20)</f>
        <v/>
      </c>
      <c r="K17" s="20">
        <f>K7*(Assumptions!$C$19+Assumptions!$C$20)</f>
        <v/>
      </c>
      <c r="L17" s="20">
        <f>L7*(Assumptions!$C$19+Assumptions!$C$20)</f>
        <v/>
      </c>
      <c r="M17" s="20">
        <f>M7*(Assumptions!$C$19+Assumptions!$C$20)</f>
        <v/>
      </c>
      <c r="N17" s="20">
        <f>N7*(Assumptions!$C$19+Assumptions!$C$20)</f>
        <v/>
      </c>
      <c r="O17" s="20">
        <f>O7*(Assumptions!$C$19+Assumptions!$C$20)</f>
        <v/>
      </c>
      <c r="P17" s="20">
        <f>P7*(Assumptions!$C$19+Assumptions!$C$20)</f>
        <v/>
      </c>
      <c r="Q17" s="20">
        <f>Q7*(Assumptions!$C$19+Assumptions!$C$20)</f>
        <v/>
      </c>
      <c r="R17" s="20">
        <f>R7*(Assumptions!$C$19+Assumptions!$C$20)</f>
        <v/>
      </c>
      <c r="S17" s="20">
        <f>S7*(Assumptions!$C$19+Assumptions!$C$20)</f>
        <v/>
      </c>
      <c r="T17" s="20">
        <f>T7*(Assumptions!$C$19+Assumptions!$C$20)</f>
        <v/>
      </c>
      <c r="U17" s="20">
        <f>U7*(Assumptions!$C$19+Assumptions!$C$20)</f>
        <v/>
      </c>
      <c r="V17" s="20">
        <f>V7*(Assumptions!$C$19+Assumptions!$C$20)</f>
        <v/>
      </c>
      <c r="W17" s="20">
        <f>W7*(Assumptions!$C$19+Assumptions!$C$20)</f>
        <v/>
      </c>
      <c r="X17" s="20">
        <f>X7*(Assumptions!$C$19+Assumptions!$C$20)</f>
        <v/>
      </c>
      <c r="Y17" s="20">
        <f>Y7*(Assumptions!$C$19+Assumptions!$C$20)</f>
        <v/>
      </c>
      <c r="Z17" s="20">
        <f>Z7*(Assumptions!$C$19+Assumptions!$C$20)</f>
        <v/>
      </c>
      <c r="AA17" s="20">
        <f>AA7*(Assumptions!$C$19+Assumptions!$C$20)</f>
        <v/>
      </c>
      <c r="AB17" s="20">
        <f>AB7*(Assumptions!$C$19+Assumptions!$C$20)</f>
        <v/>
      </c>
      <c r="AC17" s="20">
        <f>AC7*(Assumptions!$C$19+Assumptions!$C$20)</f>
        <v/>
      </c>
      <c r="AD17" s="20">
        <f>AD7*(Assumptions!$C$19+Assumptions!$C$20)</f>
        <v/>
      </c>
      <c r="AE17" s="20">
        <f>AE7*(Assumptions!$C$19+Assumptions!$C$20)</f>
        <v/>
      </c>
      <c r="AF17" s="20">
        <f>AF7*(Assumptions!$C$19+Assumptions!$C$20)</f>
        <v/>
      </c>
      <c r="AG17" s="20">
        <f>AG7*(Assumptions!$C$19+Assumptions!$C$20)</f>
        <v/>
      </c>
      <c r="AH17" s="20">
        <f>AH7*(Assumptions!$C$19+Assumptions!$C$20)</f>
        <v/>
      </c>
      <c r="AI17" s="20">
        <f>AI7*(Assumptions!$C$19+Assumptions!$C$20)</f>
        <v/>
      </c>
      <c r="AJ17" s="20">
        <f>AJ7*(Assumptions!$C$19+Assumptions!$C$20)</f>
        <v/>
      </c>
      <c r="AK17" s="20">
        <f>AK7*(Assumptions!$C$19+Assumptions!$C$20)</f>
        <v/>
      </c>
      <c r="AL17" s="20">
        <f>AL7*(Assumptions!$C$19+Assumptions!$C$20)</f>
        <v/>
      </c>
      <c r="AM17" s="20">
        <f>AM7*(Assumptions!$C$19+Assumptions!$C$20)</f>
        <v/>
      </c>
    </row>
    <row r="18">
      <c r="B18" s="18" t="inlineStr">
        <is>
          <t>Studio Start Up Costs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</row>
    <row r="19">
      <c r="B19" s="18" t="inlineStr">
        <is>
          <t>Taxes</t>
        </is>
      </c>
      <c r="D19" s="19" t="n">
        <v>3673</v>
      </c>
      <c r="E19" s="19" t="n">
        <v>8816</v>
      </c>
      <c r="F19" s="19" t="n">
        <v>3673</v>
      </c>
      <c r="G19" s="19" t="n">
        <v>3673</v>
      </c>
      <c r="H19" s="31" t="n">
        <v>5387.33</v>
      </c>
      <c r="I19" s="31" t="n">
        <v>5387.33</v>
      </c>
      <c r="J19" s="31" t="n">
        <v>5387.33</v>
      </c>
      <c r="K19" s="31" t="n">
        <v>5387.33</v>
      </c>
      <c r="L19" s="31" t="n">
        <v>5387.33</v>
      </c>
      <c r="M19" s="31" t="n">
        <v>5387.33</v>
      </c>
      <c r="N19" s="31" t="n">
        <v>5387.33</v>
      </c>
      <c r="O19" s="31" t="n">
        <v>5387.33</v>
      </c>
      <c r="P19" s="31" t="n">
        <v>5602.82</v>
      </c>
      <c r="Q19" s="31" t="n">
        <v>5602.82</v>
      </c>
      <c r="R19" s="31" t="n">
        <v>5602.82</v>
      </c>
      <c r="S19" s="31" t="n">
        <v>5602.82</v>
      </c>
      <c r="T19" s="31" t="n">
        <v>5602.82</v>
      </c>
      <c r="U19" s="31" t="n">
        <v>5602.82</v>
      </c>
      <c r="V19" s="31" t="n">
        <v>5602.82</v>
      </c>
      <c r="W19" s="31" t="n">
        <v>5602.82</v>
      </c>
      <c r="X19" s="31" t="n">
        <v>5602.82</v>
      </c>
      <c r="Y19" s="31" t="n">
        <v>5602.82</v>
      </c>
      <c r="Z19" s="31" t="n">
        <v>5602.82</v>
      </c>
      <c r="AA19" s="31" t="n">
        <v>5602.82</v>
      </c>
      <c r="AB19" s="31" t="n">
        <v>5826.93</v>
      </c>
      <c r="AC19" s="31" t="n">
        <v>5826.93</v>
      </c>
      <c r="AD19" s="31" t="n">
        <v>5826.93</v>
      </c>
      <c r="AE19" s="31" t="n">
        <v>5826.93</v>
      </c>
      <c r="AF19" s="31" t="n">
        <v>5826.93</v>
      </c>
      <c r="AG19" s="31" t="n">
        <v>5826.93</v>
      </c>
      <c r="AH19" s="31" t="n">
        <v>5826.93</v>
      </c>
      <c r="AI19" s="31" t="n">
        <v>5826.93</v>
      </c>
      <c r="AJ19" s="31" t="n">
        <v>5826.93</v>
      </c>
      <c r="AK19" s="31" t="n">
        <v>5826.93</v>
      </c>
      <c r="AL19" s="31" t="n">
        <v>5826.93</v>
      </c>
      <c r="AM19" s="31" t="n">
        <v>5826.93</v>
      </c>
    </row>
    <row r="20">
      <c r="B20" s="15" t="inlineStr">
        <is>
          <t>Total Operating Expenses</t>
        </is>
      </c>
      <c r="D20" s="17">
        <f>SUM(D10:D19)</f>
        <v/>
      </c>
      <c r="E20" s="17">
        <f>SUM(E10:E19)</f>
        <v/>
      </c>
      <c r="F20" s="17">
        <f>SUM(F10:F19)</f>
        <v/>
      </c>
      <c r="G20" s="17">
        <f>SUM(G10:G19)</f>
        <v/>
      </c>
      <c r="H20" s="17">
        <f>SUM(H10:H19)</f>
        <v/>
      </c>
      <c r="I20" s="17">
        <f>SUM(I10:I19)</f>
        <v/>
      </c>
      <c r="J20" s="17">
        <f>SUM(J10:J19)</f>
        <v/>
      </c>
      <c r="K20" s="17">
        <f>SUM(K10:K19)</f>
        <v/>
      </c>
      <c r="L20" s="17">
        <f>SUM(L10:L19)</f>
        <v/>
      </c>
      <c r="M20" s="17">
        <f>SUM(M10:M19)</f>
        <v/>
      </c>
      <c r="N20" s="17">
        <f>SUM(N10:N19)</f>
        <v/>
      </c>
      <c r="O20" s="17">
        <f>SUM(O10:O19)</f>
        <v/>
      </c>
      <c r="P20" s="17">
        <f>SUM(P10:P19)</f>
        <v/>
      </c>
      <c r="Q20" s="17">
        <f>SUM(Q10:Q19)</f>
        <v/>
      </c>
      <c r="R20" s="17">
        <f>SUM(R10:R19)</f>
        <v/>
      </c>
      <c r="S20" s="17">
        <f>SUM(S10:S19)</f>
        <v/>
      </c>
      <c r="T20" s="17">
        <f>SUM(T10:T19)</f>
        <v/>
      </c>
      <c r="U20" s="17">
        <f>SUM(U10:U19)</f>
        <v/>
      </c>
      <c r="V20" s="17">
        <f>SUM(V10:V19)</f>
        <v/>
      </c>
      <c r="W20" s="17">
        <f>SUM(W10:W19)</f>
        <v/>
      </c>
      <c r="X20" s="17">
        <f>SUM(X10:X19)</f>
        <v/>
      </c>
      <c r="Y20" s="17">
        <f>SUM(Y10:Y19)</f>
        <v/>
      </c>
      <c r="Z20" s="17">
        <f>SUM(Z10:Z19)</f>
        <v/>
      </c>
      <c r="AA20" s="17">
        <f>SUM(AA10:AA19)</f>
        <v/>
      </c>
      <c r="AB20" s="17">
        <f>SUM(AB10:AB19)</f>
        <v/>
      </c>
      <c r="AC20" s="17">
        <f>SUM(AC10:AC19)</f>
        <v/>
      </c>
      <c r="AD20" s="17">
        <f>SUM(AD10:AD19)</f>
        <v/>
      </c>
      <c r="AE20" s="17">
        <f>SUM(AE10:AE19)</f>
        <v/>
      </c>
      <c r="AF20" s="17">
        <f>SUM(AF10:AF19)</f>
        <v/>
      </c>
      <c r="AG20" s="17">
        <f>SUM(AG10:AG19)</f>
        <v/>
      </c>
      <c r="AH20" s="17">
        <f>SUM(AH10:AH19)</f>
        <v/>
      </c>
      <c r="AI20" s="17">
        <f>SUM(AI10:AI19)</f>
        <v/>
      </c>
      <c r="AJ20" s="17">
        <f>SUM(AJ10:AJ19)</f>
        <v/>
      </c>
      <c r="AK20" s="17">
        <f>SUM(AK10:AK19)</f>
        <v/>
      </c>
      <c r="AL20" s="17">
        <f>SUM(AL10:AL19)</f>
        <v/>
      </c>
      <c r="AM20" s="17">
        <f>SUM(AM10:AM19)</f>
        <v/>
      </c>
    </row>
    <row r="21">
      <c r="B21" s="15" t="inlineStr">
        <is>
          <t>Net Cash from Operations</t>
        </is>
      </c>
      <c r="D21" s="36">
        <f>D7-D20</f>
        <v/>
      </c>
      <c r="E21" s="36">
        <f>E7-E20</f>
        <v/>
      </c>
      <c r="F21" s="36">
        <f>F7-F20</f>
        <v/>
      </c>
      <c r="G21" s="36">
        <f>G7-G20</f>
        <v/>
      </c>
      <c r="H21" s="36">
        <f>H7-H20</f>
        <v/>
      </c>
      <c r="I21" s="36">
        <f>I7-I20</f>
        <v/>
      </c>
      <c r="J21" s="36">
        <f>J7-J20</f>
        <v/>
      </c>
      <c r="K21" s="36">
        <f>K7-K20</f>
        <v/>
      </c>
      <c r="L21" s="36">
        <f>L7-L20</f>
        <v/>
      </c>
      <c r="M21" s="36">
        <f>M7-M20</f>
        <v/>
      </c>
      <c r="N21" s="36">
        <f>N7-N20</f>
        <v/>
      </c>
      <c r="O21" s="36">
        <f>O7-O20</f>
        <v/>
      </c>
      <c r="P21" s="36">
        <f>P7-P20</f>
        <v/>
      </c>
      <c r="Q21" s="36">
        <f>Q7-Q20</f>
        <v/>
      </c>
      <c r="R21" s="36">
        <f>R7-R20</f>
        <v/>
      </c>
      <c r="S21" s="36">
        <f>S7-S20</f>
        <v/>
      </c>
      <c r="T21" s="36">
        <f>T7-T20</f>
        <v/>
      </c>
      <c r="U21" s="36">
        <f>U7-U20</f>
        <v/>
      </c>
      <c r="V21" s="36">
        <f>V7-V20</f>
        <v/>
      </c>
      <c r="W21" s="36">
        <f>W7-W20</f>
        <v/>
      </c>
      <c r="X21" s="36">
        <f>X7-X20</f>
        <v/>
      </c>
      <c r="Y21" s="36">
        <f>Y7-Y20</f>
        <v/>
      </c>
      <c r="Z21" s="36">
        <f>Z7-Z20</f>
        <v/>
      </c>
      <c r="AA21" s="36">
        <f>AA7-AA20</f>
        <v/>
      </c>
      <c r="AB21" s="36">
        <f>AB7-AB20</f>
        <v/>
      </c>
      <c r="AC21" s="36">
        <f>AC7-AC20</f>
        <v/>
      </c>
      <c r="AD21" s="36">
        <f>AD7-AD20</f>
        <v/>
      </c>
      <c r="AE21" s="36">
        <f>AE7-AE20</f>
        <v/>
      </c>
      <c r="AF21" s="36">
        <f>AF7-AF20</f>
        <v/>
      </c>
      <c r="AG21" s="36">
        <f>AG7-AG20</f>
        <v/>
      </c>
      <c r="AH21" s="36">
        <f>AH7-AH20</f>
        <v/>
      </c>
      <c r="AI21" s="36">
        <f>AI7-AI20</f>
        <v/>
      </c>
      <c r="AJ21" s="36">
        <f>AJ7-AJ20</f>
        <v/>
      </c>
      <c r="AK21" s="36">
        <f>AK7-AK20</f>
        <v/>
      </c>
      <c r="AL21" s="36">
        <f>AL7-AL20</f>
        <v/>
      </c>
      <c r="AM21" s="36">
        <f>AM7-AM20</f>
        <v/>
      </c>
    </row>
    <row r="23" ht="16" customHeight="1" s="86">
      <c r="B23" s="10" t="inlineStr">
        <is>
          <t>INVESTING ACTIVITIES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B24" s="18" t="inlineStr">
        <is>
          <t>Equipment &amp; Furniture</t>
        </is>
      </c>
      <c r="D24" s="19" t="n">
        <v>0</v>
      </c>
      <c r="E24" s="19" t="n">
        <v>2497.4</v>
      </c>
      <c r="F24" s="19" t="n">
        <v>0</v>
      </c>
      <c r="G24" s="19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A24" s="31" t="n">
        <v>0</v>
      </c>
      <c r="AB24" s="31" t="n">
        <v>0</v>
      </c>
      <c r="AC24" s="31" t="n">
        <v>0</v>
      </c>
      <c r="AD24" s="31" t="n">
        <v>0</v>
      </c>
      <c r="AE24" s="31" t="n">
        <v>0</v>
      </c>
      <c r="AF24" s="31" t="n">
        <v>0</v>
      </c>
      <c r="AG24" s="31" t="n">
        <v>0</v>
      </c>
      <c r="AH24" s="31" t="n">
        <v>0</v>
      </c>
      <c r="AI24" s="31" t="n">
        <v>0</v>
      </c>
      <c r="AJ24" s="31" t="n">
        <v>0</v>
      </c>
      <c r="AK24" s="31" t="n">
        <v>0</v>
      </c>
      <c r="AL24" s="31" t="n">
        <v>0</v>
      </c>
      <c r="AM24" s="31" t="n">
        <v>0</v>
      </c>
    </row>
    <row r="25">
      <c r="B25" s="18" t="inlineStr">
        <is>
          <t>Leasehold Improvements</t>
        </is>
      </c>
      <c r="D25" s="19" t="n">
        <v>-17810.67</v>
      </c>
      <c r="E25" s="19" t="n">
        <v>-7094.5</v>
      </c>
      <c r="F25" s="19" t="n">
        <v>-24075</v>
      </c>
      <c r="G25" s="19" t="n">
        <v>-1035.5</v>
      </c>
      <c r="H25" s="31" t="n">
        <v>0</v>
      </c>
      <c r="I25" s="31" t="n">
        <v>0</v>
      </c>
      <c r="J25" s="31" t="n">
        <v>-275000</v>
      </c>
      <c r="K25" s="31" t="n">
        <v>-160000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</row>
    <row r="26">
      <c r="B26" s="18" t="inlineStr">
        <is>
          <t>Deposits</t>
        </is>
      </c>
      <c r="D26" s="19" t="n">
        <v>0</v>
      </c>
      <c r="E26" s="19" t="n">
        <v>0</v>
      </c>
      <c r="F26" s="19" t="n">
        <v>0</v>
      </c>
      <c r="G26" s="19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</row>
    <row r="27">
      <c r="B27" s="15" t="inlineStr">
        <is>
          <t>Net Investing</t>
        </is>
      </c>
      <c r="D27" s="17">
        <f>SUM(D24:D26)</f>
        <v/>
      </c>
      <c r="E27" s="17">
        <f>SUM(E24:E26)</f>
        <v/>
      </c>
      <c r="F27" s="17">
        <f>SUM(F24:F26)</f>
        <v/>
      </c>
      <c r="G27" s="17">
        <f>SUM(G24:G26)</f>
        <v/>
      </c>
      <c r="H27" s="17">
        <f>SUM(H24:H26)</f>
        <v/>
      </c>
      <c r="I27" s="17">
        <f>SUM(I24:I26)</f>
        <v/>
      </c>
      <c r="J27" s="17">
        <f>SUM(J24:J26)</f>
        <v/>
      </c>
      <c r="K27" s="17">
        <f>SUM(K24:K26)</f>
        <v/>
      </c>
      <c r="L27" s="17">
        <f>SUM(L24:L26)</f>
        <v/>
      </c>
      <c r="M27" s="17">
        <f>SUM(M24:M26)</f>
        <v/>
      </c>
      <c r="N27" s="17">
        <f>SUM(N24:N26)</f>
        <v/>
      </c>
      <c r="O27" s="17">
        <f>SUM(O24:O26)</f>
        <v/>
      </c>
      <c r="P27" s="17">
        <f>SUM(P24:P26)</f>
        <v/>
      </c>
      <c r="Q27" s="17">
        <f>SUM(Q24:Q26)</f>
        <v/>
      </c>
      <c r="R27" s="17">
        <f>SUM(R24:R26)</f>
        <v/>
      </c>
      <c r="S27" s="17">
        <f>SUM(S24:S26)</f>
        <v/>
      </c>
      <c r="T27" s="17">
        <f>SUM(T24:T26)</f>
        <v/>
      </c>
      <c r="U27" s="17">
        <f>SUM(U24:U26)</f>
        <v/>
      </c>
      <c r="V27" s="17">
        <f>SUM(V24:V26)</f>
        <v/>
      </c>
      <c r="W27" s="17">
        <f>SUM(W24:W26)</f>
        <v/>
      </c>
      <c r="X27" s="17">
        <f>SUM(X24:X26)</f>
        <v/>
      </c>
      <c r="Y27" s="17">
        <f>SUM(Y24:Y26)</f>
        <v/>
      </c>
      <c r="Z27" s="17">
        <f>SUM(Z24:Z26)</f>
        <v/>
      </c>
      <c r="AA27" s="17">
        <f>SUM(AA24:AA26)</f>
        <v/>
      </c>
      <c r="AB27" s="17">
        <f>SUM(AB24:AB26)</f>
        <v/>
      </c>
      <c r="AC27" s="17">
        <f>SUM(AC24:AC26)</f>
        <v/>
      </c>
      <c r="AD27" s="17">
        <f>SUM(AD24:AD26)</f>
        <v/>
      </c>
      <c r="AE27" s="17">
        <f>SUM(AE24:AE26)</f>
        <v/>
      </c>
      <c r="AF27" s="17">
        <f>SUM(AF24:AF26)</f>
        <v/>
      </c>
      <c r="AG27" s="17">
        <f>SUM(AG24:AG26)</f>
        <v/>
      </c>
      <c r="AH27" s="17">
        <f>SUM(AH24:AH26)</f>
        <v/>
      </c>
      <c r="AI27" s="17">
        <f>SUM(AI24:AI26)</f>
        <v/>
      </c>
      <c r="AJ27" s="17">
        <f>SUM(AJ24:AJ26)</f>
        <v/>
      </c>
      <c r="AK27" s="17">
        <f>SUM(AK24:AK26)</f>
        <v/>
      </c>
      <c r="AL27" s="17">
        <f>SUM(AL24:AL26)</f>
        <v/>
      </c>
      <c r="AM27" s="17">
        <f>SUM(AM24:AM26)</f>
        <v/>
      </c>
    </row>
    <row r="29" ht="16" customHeight="1" s="86">
      <c r="B29" s="10" t="inlineStr">
        <is>
          <t>FINANCING ACTIVITIES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B30" s="18" t="inlineStr">
        <is>
          <t>Loan Proceeds</t>
        </is>
      </c>
      <c r="D30" s="19" t="n">
        <v>9059.380000000001</v>
      </c>
      <c r="E30" s="19" t="n">
        <v>9059.380000000001</v>
      </c>
      <c r="F30" s="19" t="n">
        <v>9059.380000000001</v>
      </c>
      <c r="G30" s="19" t="n">
        <v>12507.09</v>
      </c>
      <c r="H30" s="31" t="n">
        <v>0</v>
      </c>
      <c r="I30" s="31" t="n">
        <v>0</v>
      </c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  <c r="AF30" s="31" t="n">
        <v>0</v>
      </c>
      <c r="AG30" s="31" t="n">
        <v>0</v>
      </c>
      <c r="AH30" s="31" t="n">
        <v>0</v>
      </c>
      <c r="AI30" s="31" t="n">
        <v>0</v>
      </c>
      <c r="AJ30" s="31" t="n">
        <v>0</v>
      </c>
      <c r="AK30" s="31" t="n">
        <v>0</v>
      </c>
      <c r="AL30" s="31" t="n">
        <v>0</v>
      </c>
      <c r="AM30" s="31" t="n">
        <v>0</v>
      </c>
    </row>
    <row r="31">
      <c r="B31" s="18" t="inlineStr">
        <is>
          <t>Loan Repayments</t>
        </is>
      </c>
      <c r="D31" s="19" t="n">
        <v>-132128.24</v>
      </c>
      <c r="E31" s="19" t="n">
        <v>-122128.76</v>
      </c>
      <c r="F31" s="19" t="n">
        <v>-132834.5</v>
      </c>
      <c r="G31" s="19" t="n">
        <v>-114793.66</v>
      </c>
      <c r="H31" s="20">
        <f>-'Cash, Debt &amp; Equity'!H26</f>
        <v/>
      </c>
      <c r="I31" s="20">
        <f>-'Cash, Debt &amp; Equity'!I26</f>
        <v/>
      </c>
      <c r="J31" s="20">
        <f>-'Cash, Debt &amp; Equity'!J26</f>
        <v/>
      </c>
      <c r="K31" s="20">
        <f>-'Cash, Debt &amp; Equity'!K26</f>
        <v/>
      </c>
      <c r="L31" s="20">
        <f>-'Cash, Debt &amp; Equity'!L26</f>
        <v/>
      </c>
      <c r="M31" s="20">
        <f>-'Cash, Debt &amp; Equity'!M26</f>
        <v/>
      </c>
      <c r="N31" s="20">
        <f>-'Cash, Debt &amp; Equity'!N26</f>
        <v/>
      </c>
      <c r="O31" s="20">
        <f>-'Cash, Debt &amp; Equity'!O26</f>
        <v/>
      </c>
      <c r="P31" s="20">
        <f>-'Cash, Debt &amp; Equity'!P26</f>
        <v/>
      </c>
      <c r="Q31" s="20">
        <f>-'Cash, Debt &amp; Equity'!Q26</f>
        <v/>
      </c>
      <c r="R31" s="20">
        <f>-'Cash, Debt &amp; Equity'!R26</f>
        <v/>
      </c>
      <c r="S31" s="20">
        <f>-'Cash, Debt &amp; Equity'!S26</f>
        <v/>
      </c>
      <c r="T31" s="20">
        <f>-'Cash, Debt &amp; Equity'!T26</f>
        <v/>
      </c>
      <c r="U31" s="20">
        <f>-'Cash, Debt &amp; Equity'!U26</f>
        <v/>
      </c>
      <c r="V31" s="20">
        <f>-'Cash, Debt &amp; Equity'!V26</f>
        <v/>
      </c>
      <c r="W31" s="20">
        <f>-'Cash, Debt &amp; Equity'!W26</f>
        <v/>
      </c>
      <c r="X31" s="20">
        <f>-'Cash, Debt &amp; Equity'!X26</f>
        <v/>
      </c>
      <c r="Y31" s="20">
        <f>-'Cash, Debt &amp; Equity'!Y26</f>
        <v/>
      </c>
      <c r="Z31" s="20">
        <f>-'Cash, Debt &amp; Equity'!Z26</f>
        <v/>
      </c>
      <c r="AA31" s="20">
        <f>-'Cash, Debt &amp; Equity'!AA26</f>
        <v/>
      </c>
      <c r="AB31" s="20">
        <f>-'Cash, Debt &amp; Equity'!AB26</f>
        <v/>
      </c>
      <c r="AC31" s="20">
        <f>-'Cash, Debt &amp; Equity'!AC26</f>
        <v/>
      </c>
      <c r="AD31" s="20">
        <f>-'Cash, Debt &amp; Equity'!AD26</f>
        <v/>
      </c>
      <c r="AE31" s="20">
        <f>-'Cash, Debt &amp; Equity'!AE26</f>
        <v/>
      </c>
      <c r="AF31" s="20">
        <f>-'Cash, Debt &amp; Equity'!AF26</f>
        <v/>
      </c>
      <c r="AG31" s="20">
        <f>-'Cash, Debt &amp; Equity'!AG26</f>
        <v/>
      </c>
      <c r="AH31" s="20">
        <f>-'Cash, Debt &amp; Equity'!AH26</f>
        <v/>
      </c>
      <c r="AI31" s="20">
        <f>-'Cash, Debt &amp; Equity'!AI26</f>
        <v/>
      </c>
      <c r="AJ31" s="20">
        <f>-'Cash, Debt &amp; Equity'!AJ26</f>
        <v/>
      </c>
      <c r="AK31" s="20">
        <f>-'Cash, Debt &amp; Equity'!AK26</f>
        <v/>
      </c>
      <c r="AL31" s="20">
        <f>-'Cash, Debt &amp; Equity'!AL26</f>
        <v/>
      </c>
      <c r="AM31" s="20">
        <f>-'Cash, Debt &amp; Equity'!AM26</f>
        <v/>
      </c>
    </row>
    <row r="32">
      <c r="B32" s="18" t="inlineStr">
        <is>
          <t>Intercompany / Owner Contributions</t>
        </is>
      </c>
      <c r="D32" s="19" t="n">
        <v>0</v>
      </c>
      <c r="E32" s="19" t="n">
        <v>0</v>
      </c>
      <c r="F32" s="19" t="n">
        <v>133333.33</v>
      </c>
      <c r="G32" s="19" t="n">
        <v>78333.33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-100000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</row>
    <row r="33">
      <c r="B33" s="15" t="inlineStr">
        <is>
          <t>Net Financing</t>
        </is>
      </c>
      <c r="D33" s="17">
        <f>SUM(D30:D32)</f>
        <v/>
      </c>
      <c r="E33" s="17">
        <f>SUM(E30:E32)</f>
        <v/>
      </c>
      <c r="F33" s="17">
        <f>SUM(F30:F32)</f>
        <v/>
      </c>
      <c r="G33" s="17">
        <f>SUM(G30:G32)</f>
        <v/>
      </c>
      <c r="H33" s="17">
        <f>SUM(H30:H32)</f>
        <v/>
      </c>
      <c r="I33" s="17">
        <f>SUM(I30:I32)</f>
        <v/>
      </c>
      <c r="J33" s="17">
        <f>SUM(J30:J32)</f>
        <v/>
      </c>
      <c r="K33" s="17">
        <f>SUM(K30:K32)</f>
        <v/>
      </c>
      <c r="L33" s="17">
        <f>SUM(L30:L32)</f>
        <v/>
      </c>
      <c r="M33" s="17">
        <f>SUM(M30:M32)</f>
        <v/>
      </c>
      <c r="N33" s="17">
        <f>SUM(N30:N32)</f>
        <v/>
      </c>
      <c r="O33" s="17">
        <f>SUM(O30:O32)</f>
        <v/>
      </c>
      <c r="P33" s="17">
        <f>SUM(P30:P32)</f>
        <v/>
      </c>
      <c r="Q33" s="17">
        <f>SUM(Q30:Q32)</f>
        <v/>
      </c>
      <c r="R33" s="17">
        <f>SUM(R30:R32)</f>
        <v/>
      </c>
      <c r="S33" s="17">
        <f>SUM(S30:S32)</f>
        <v/>
      </c>
      <c r="T33" s="17">
        <f>SUM(T30:T32)</f>
        <v/>
      </c>
      <c r="U33" s="17">
        <f>SUM(U30:U32)</f>
        <v/>
      </c>
      <c r="V33" s="17">
        <f>SUM(V30:V32)</f>
        <v/>
      </c>
      <c r="W33" s="17">
        <f>SUM(W30:W32)</f>
        <v/>
      </c>
      <c r="X33" s="17">
        <f>SUM(X30:X32)</f>
        <v/>
      </c>
      <c r="Y33" s="17">
        <f>SUM(Y30:Y32)</f>
        <v/>
      </c>
      <c r="Z33" s="17">
        <f>SUM(Z30:Z32)</f>
        <v/>
      </c>
      <c r="AA33" s="17">
        <f>SUM(AA30:AA32)</f>
        <v/>
      </c>
      <c r="AB33" s="17">
        <f>SUM(AB30:AB32)</f>
        <v/>
      </c>
      <c r="AC33" s="17">
        <f>SUM(AC30:AC32)</f>
        <v/>
      </c>
      <c r="AD33" s="17">
        <f>SUM(AD30:AD32)</f>
        <v/>
      </c>
      <c r="AE33" s="17">
        <f>SUM(AE30:AE32)</f>
        <v/>
      </c>
      <c r="AF33" s="17">
        <f>SUM(AF30:AF32)</f>
        <v/>
      </c>
      <c r="AG33" s="17">
        <f>SUM(AG30:AG32)</f>
        <v/>
      </c>
      <c r="AH33" s="17">
        <f>SUM(AH30:AH32)</f>
        <v/>
      </c>
      <c r="AI33" s="17">
        <f>SUM(AI30:AI32)</f>
        <v/>
      </c>
      <c r="AJ33" s="17">
        <f>SUM(AJ30:AJ32)</f>
        <v/>
      </c>
      <c r="AK33" s="17">
        <f>SUM(AK30:AK32)</f>
        <v/>
      </c>
      <c r="AL33" s="17">
        <f>SUM(AL30:AL32)</f>
        <v/>
      </c>
      <c r="AM33" s="17">
        <f>SUM(AM30:AM32)</f>
        <v/>
      </c>
    </row>
    <row r="35" ht="16" customHeight="1" s="86">
      <c r="B35" s="10" t="inlineStr">
        <is>
          <t>NET CHANGE IN CASH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B36" s="15" t="inlineStr">
        <is>
          <t>Net Change in Cash</t>
        </is>
      </c>
      <c r="D36" s="36">
        <f>D21+D27+D33</f>
        <v/>
      </c>
      <c r="E36" s="36">
        <f>E21+E27+E33</f>
        <v/>
      </c>
      <c r="F36" s="36">
        <f>F21+F27+F33</f>
        <v/>
      </c>
      <c r="G36" s="36">
        <f>G21+G27+G33</f>
        <v/>
      </c>
      <c r="H36" s="36">
        <f>H21+H27+H33</f>
        <v/>
      </c>
      <c r="I36" s="36">
        <f>I21+I27+I33</f>
        <v/>
      </c>
      <c r="J36" s="36">
        <f>J21+J27+J33</f>
        <v/>
      </c>
      <c r="K36" s="36">
        <f>K21+K27+K33</f>
        <v/>
      </c>
      <c r="L36" s="36">
        <f>L21+L27+L33</f>
        <v/>
      </c>
      <c r="M36" s="36">
        <f>M21+M27+M33</f>
        <v/>
      </c>
      <c r="N36" s="36">
        <f>N21+N27+N33</f>
        <v/>
      </c>
      <c r="O36" s="36">
        <f>O21+O27+O33</f>
        <v/>
      </c>
      <c r="P36" s="36">
        <f>P21+P27+P33</f>
        <v/>
      </c>
      <c r="Q36" s="36">
        <f>Q21+Q27+Q33</f>
        <v/>
      </c>
      <c r="R36" s="36">
        <f>R21+R27+R33</f>
        <v/>
      </c>
      <c r="S36" s="36">
        <f>S21+S27+S33</f>
        <v/>
      </c>
      <c r="T36" s="36">
        <f>T21+T27+T33</f>
        <v/>
      </c>
      <c r="U36" s="36">
        <f>U21+U27+U33</f>
        <v/>
      </c>
      <c r="V36" s="36">
        <f>V21+V27+V33</f>
        <v/>
      </c>
      <c r="W36" s="36">
        <f>W21+W27+W33</f>
        <v/>
      </c>
      <c r="X36" s="36">
        <f>X21+X27+X33</f>
        <v/>
      </c>
      <c r="Y36" s="36">
        <f>Y21+Y27+Y33</f>
        <v/>
      </c>
      <c r="Z36" s="36">
        <f>Z21+Z27+Z33</f>
        <v/>
      </c>
      <c r="AA36" s="36">
        <f>AA21+AA27+AA33</f>
        <v/>
      </c>
      <c r="AB36" s="36">
        <f>AB21+AB27+AB33</f>
        <v/>
      </c>
      <c r="AC36" s="36">
        <f>AC21+AC27+AC33</f>
        <v/>
      </c>
      <c r="AD36" s="36">
        <f>AD21+AD27+AD33</f>
        <v/>
      </c>
      <c r="AE36" s="36">
        <f>AE21+AE27+AE33</f>
        <v/>
      </c>
      <c r="AF36" s="36">
        <f>AF21+AF27+AF33</f>
        <v/>
      </c>
      <c r="AG36" s="36">
        <f>AG21+AG27+AG33</f>
        <v/>
      </c>
      <c r="AH36" s="36">
        <f>AH21+AH27+AH33</f>
        <v/>
      </c>
      <c r="AI36" s="36">
        <f>AI21+AI27+AI33</f>
        <v/>
      </c>
      <c r="AJ36" s="36">
        <f>AJ21+AJ27+AJ33</f>
        <v/>
      </c>
      <c r="AK36" s="36">
        <f>AK21+AK27+AK33</f>
        <v/>
      </c>
      <c r="AL36" s="36">
        <f>AL21+AL27+AL33</f>
        <v/>
      </c>
      <c r="AM36" s="36">
        <f>AM21+AM27+AM33</f>
        <v/>
      </c>
    </row>
    <row r="37">
      <c r="B37" s="18" t="inlineStr">
        <is>
          <t>Beginning Cash Balance</t>
        </is>
      </c>
      <c r="D37" s="19">
        <f>D38-D36</f>
        <v/>
      </c>
      <c r="E37" s="19">
        <f>D38</f>
        <v/>
      </c>
      <c r="F37" s="19">
        <f>E38</f>
        <v/>
      </c>
      <c r="G37" s="19">
        <f>F38</f>
        <v/>
      </c>
      <c r="H37" s="20">
        <f>G38</f>
        <v/>
      </c>
      <c r="I37" s="20">
        <f>H38</f>
        <v/>
      </c>
      <c r="J37" s="20">
        <f>I38</f>
        <v/>
      </c>
      <c r="K37" s="20">
        <f>J38</f>
        <v/>
      </c>
      <c r="L37" s="20">
        <f>K38</f>
        <v/>
      </c>
      <c r="M37" s="20">
        <f>L38</f>
        <v/>
      </c>
      <c r="N37" s="20">
        <f>M38</f>
        <v/>
      </c>
      <c r="O37" s="20">
        <f>N38</f>
        <v/>
      </c>
      <c r="P37" s="20">
        <f>O38</f>
        <v/>
      </c>
      <c r="Q37" s="20">
        <f>P38</f>
        <v/>
      </c>
      <c r="R37" s="20">
        <f>Q38</f>
        <v/>
      </c>
      <c r="S37" s="20">
        <f>R38</f>
        <v/>
      </c>
      <c r="T37" s="20">
        <f>S38</f>
        <v/>
      </c>
      <c r="U37" s="20">
        <f>T38</f>
        <v/>
      </c>
      <c r="V37" s="20">
        <f>U38</f>
        <v/>
      </c>
      <c r="W37" s="20">
        <f>V38</f>
        <v/>
      </c>
      <c r="X37" s="20">
        <f>W38</f>
        <v/>
      </c>
      <c r="Y37" s="20">
        <f>X38</f>
        <v/>
      </c>
      <c r="Z37" s="20">
        <f>Y38</f>
        <v/>
      </c>
      <c r="AA37" s="20">
        <f>Z38</f>
        <v/>
      </c>
      <c r="AB37" s="20">
        <f>AA38</f>
        <v/>
      </c>
      <c r="AC37" s="20">
        <f>AB38</f>
        <v/>
      </c>
      <c r="AD37" s="20">
        <f>AC38</f>
        <v/>
      </c>
      <c r="AE37" s="20">
        <f>AD38</f>
        <v/>
      </c>
      <c r="AF37" s="20">
        <f>AE38</f>
        <v/>
      </c>
      <c r="AG37" s="20">
        <f>AF38</f>
        <v/>
      </c>
      <c r="AH37" s="20">
        <f>AG38</f>
        <v/>
      </c>
      <c r="AI37" s="20">
        <f>AH38</f>
        <v/>
      </c>
      <c r="AJ37" s="20">
        <f>AI38</f>
        <v/>
      </c>
      <c r="AK37" s="20">
        <f>AJ38</f>
        <v/>
      </c>
      <c r="AL37" s="20">
        <f>AK38</f>
        <v/>
      </c>
      <c r="AM37" s="20">
        <f>AL38</f>
        <v/>
      </c>
    </row>
    <row r="38">
      <c r="B38" s="15" t="inlineStr">
        <is>
          <t>Ending Cash Balance</t>
        </is>
      </c>
      <c r="D38" s="65" t="n">
        <v>187021.69</v>
      </c>
      <c r="E38" s="65" t="n">
        <v>261314.24</v>
      </c>
      <c r="F38" s="65" t="n">
        <v>237762.6</v>
      </c>
      <c r="G38" s="65" t="n">
        <v>473976.03</v>
      </c>
      <c r="H38" s="36">
        <f>H37+H36</f>
        <v/>
      </c>
      <c r="I38" s="36">
        <f>I37+I36</f>
        <v/>
      </c>
      <c r="J38" s="36">
        <f>J37+J36</f>
        <v/>
      </c>
      <c r="K38" s="36">
        <f>K37+K36</f>
        <v/>
      </c>
      <c r="L38" s="36">
        <f>L37+L36</f>
        <v/>
      </c>
      <c r="M38" s="36">
        <f>M37+M36</f>
        <v/>
      </c>
      <c r="N38" s="36">
        <f>N37+N36</f>
        <v/>
      </c>
      <c r="O38" s="36">
        <f>O37+O36</f>
        <v/>
      </c>
      <c r="P38" s="36">
        <f>P37+P36</f>
        <v/>
      </c>
      <c r="Q38" s="36">
        <f>Q37+Q36</f>
        <v/>
      </c>
      <c r="R38" s="36">
        <f>R37+R36</f>
        <v/>
      </c>
      <c r="S38" s="36">
        <f>S37+S36</f>
        <v/>
      </c>
      <c r="T38" s="36">
        <f>T37+T36</f>
        <v/>
      </c>
      <c r="U38" s="36">
        <f>U37+U36</f>
        <v/>
      </c>
      <c r="V38" s="36">
        <f>V37+V36</f>
        <v/>
      </c>
      <c r="W38" s="36">
        <f>W37+W36</f>
        <v/>
      </c>
      <c r="X38" s="36">
        <f>X37+X36</f>
        <v/>
      </c>
      <c r="Y38" s="36">
        <f>Y37+Y36</f>
        <v/>
      </c>
      <c r="Z38" s="36">
        <f>Z37+Z36</f>
        <v/>
      </c>
      <c r="AA38" s="36">
        <f>AA37+AA36</f>
        <v/>
      </c>
      <c r="AB38" s="36">
        <f>AB37+AB36</f>
        <v/>
      </c>
      <c r="AC38" s="36">
        <f>AC37+AC36</f>
        <v/>
      </c>
      <c r="AD38" s="36">
        <f>AD37+AD36</f>
        <v/>
      </c>
      <c r="AE38" s="36">
        <f>AE37+AE36</f>
        <v/>
      </c>
      <c r="AF38" s="36">
        <f>AF37+AF36</f>
        <v/>
      </c>
      <c r="AG38" s="36">
        <f>AG37+AG36</f>
        <v/>
      </c>
      <c r="AH38" s="36">
        <f>AH37+AH36</f>
        <v/>
      </c>
      <c r="AI38" s="36">
        <f>AI37+AI36</f>
        <v/>
      </c>
      <c r="AJ38" s="36">
        <f>AJ37+AJ36</f>
        <v/>
      </c>
      <c r="AK38" s="36">
        <f>AK37+AK36</f>
        <v/>
      </c>
      <c r="AL38" s="36">
        <f>AL37+AL36</f>
        <v/>
      </c>
      <c r="AM38" s="36">
        <f>AM37+AM36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M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B1" sqref="B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" customHeight="1" s="86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8" t="inlineStr">
        <is>
          <t>Session Revenue</t>
        </is>
      </c>
      <c r="D6" s="19" t="n">
        <v>1000203.99</v>
      </c>
      <c r="E6" s="19" t="n">
        <v>866507.65</v>
      </c>
      <c r="F6" s="19" t="n">
        <v>867748.3999999999</v>
      </c>
      <c r="G6" s="19" t="n">
        <v>790938.8199999999</v>
      </c>
      <c r="H6" s="88" t="n">
        <v>807497.91</v>
      </c>
      <c r="I6" s="20">
        <f>'Sales Forecast'!I18*Assumptions!$C$12+'Sales Forecast'!H18*Assumptions!$D$12+'Sales Forecast'!G18*Assumptions!$E$12+'Sales Forecast'!F18*Assumptions!$F$12+'Sales Forecast'!E18*Assumptions!$G$12+'Sales Forecast'!D18*Assumptions!$H$12+'Sales Forecast'!I101*Assumptions!$I$12</f>
        <v/>
      </c>
      <c r="J6" s="20">
        <f>'Sales Forecast'!J18*Assumptions!$C$12+'Sales Forecast'!I18*Assumptions!$D$12+'Sales Forecast'!H18*Assumptions!$E$12+'Sales Forecast'!G18*Assumptions!$F$12+'Sales Forecast'!F18*Assumptions!$G$12+'Sales Forecast'!E18*Assumptions!$H$12+'Sales Forecast'!D18*Assumptions!$I$12</f>
        <v/>
      </c>
      <c r="K6" s="20">
        <f>'Sales Forecast'!K18*Assumptions!$C$12+'Sales Forecast'!J18*Assumptions!$D$12+'Sales Forecast'!I18*Assumptions!$E$12+'Sales Forecast'!H18*Assumptions!$F$12+'Sales Forecast'!G18*Assumptions!$G$12+'Sales Forecast'!F18*Assumptions!$H$12+'Sales Forecast'!E18*Assumptions!$I$12</f>
        <v/>
      </c>
      <c r="L6" s="20">
        <f>'Sales Forecast'!L18*Assumptions!$C$12+'Sales Forecast'!K18*Assumptions!$D$12+'Sales Forecast'!J18*Assumptions!$E$12+'Sales Forecast'!I18*Assumptions!$F$12+'Sales Forecast'!H18*Assumptions!$G$12+'Sales Forecast'!G18*Assumptions!$H$12+'Sales Forecast'!F18*Assumptions!$I$12</f>
        <v/>
      </c>
      <c r="M6" s="20">
        <f>'Sales Forecast'!M18*Assumptions!$C$12+'Sales Forecast'!L18*Assumptions!$D$12+'Sales Forecast'!K18*Assumptions!$E$12+'Sales Forecast'!J18*Assumptions!$F$12+'Sales Forecast'!I18*Assumptions!$G$12+'Sales Forecast'!H18*Assumptions!$H$12+'Sales Forecast'!G18*Assumptions!$I$12</f>
        <v/>
      </c>
      <c r="N6" s="20">
        <f>'Sales Forecast'!N18*Assumptions!$C$12+'Sales Forecast'!M18*Assumptions!$D$12+'Sales Forecast'!L18*Assumptions!$E$12+'Sales Forecast'!K18*Assumptions!$F$12+'Sales Forecast'!J18*Assumptions!$G$12+'Sales Forecast'!I18*Assumptions!$H$12+'Sales Forecast'!H18*Assumptions!$I$12</f>
        <v/>
      </c>
      <c r="O6" s="20">
        <f>'Sales Forecast'!O18*Assumptions!$C$12+'Sales Forecast'!N18*Assumptions!$D$12+'Sales Forecast'!M18*Assumptions!$E$12+'Sales Forecast'!L18*Assumptions!$F$12+'Sales Forecast'!K18*Assumptions!$G$12+'Sales Forecast'!J18*Assumptions!$H$12+'Sales Forecast'!I18*Assumptions!$I$12</f>
        <v/>
      </c>
      <c r="P6" s="20">
        <f>'Sales Forecast'!P18*Assumptions!$C$12+'Sales Forecast'!O18*Assumptions!$D$12+'Sales Forecast'!N18*Assumptions!$E$12+'Sales Forecast'!M18*Assumptions!$F$12+'Sales Forecast'!L18*Assumptions!$G$12+'Sales Forecast'!K18*Assumptions!$H$12+'Sales Forecast'!J18*Assumptions!$I$12</f>
        <v/>
      </c>
      <c r="Q6" s="20">
        <f>'Sales Forecast'!Q18*Assumptions!$C$12+'Sales Forecast'!P18*Assumptions!$D$12+'Sales Forecast'!O18*Assumptions!$E$12+'Sales Forecast'!N18*Assumptions!$F$12+'Sales Forecast'!M18*Assumptions!$G$12+'Sales Forecast'!L18*Assumptions!$H$12+'Sales Forecast'!K18*Assumptions!$I$12</f>
        <v/>
      </c>
      <c r="R6" s="20">
        <f>'Sales Forecast'!R18*Assumptions!$C$12+'Sales Forecast'!Q18*Assumptions!$D$12+'Sales Forecast'!P18*Assumptions!$E$12+'Sales Forecast'!O18*Assumptions!$F$12+'Sales Forecast'!N18*Assumptions!$G$12+'Sales Forecast'!M18*Assumptions!$H$12+'Sales Forecast'!L18*Assumptions!$I$12</f>
        <v/>
      </c>
      <c r="S6" s="20">
        <f>'Sales Forecast'!S18*Assumptions!$C$12+'Sales Forecast'!R18*Assumptions!$D$12+'Sales Forecast'!Q18*Assumptions!$E$12+'Sales Forecast'!P18*Assumptions!$F$12+'Sales Forecast'!O18*Assumptions!$G$12+'Sales Forecast'!N18*Assumptions!$H$12+'Sales Forecast'!M18*Assumptions!$I$12</f>
        <v/>
      </c>
      <c r="T6" s="20">
        <f>'Sales Forecast'!T18*Assumptions!$C$12+'Sales Forecast'!S18*Assumptions!$D$12+'Sales Forecast'!R18*Assumptions!$E$12+'Sales Forecast'!Q18*Assumptions!$F$12+'Sales Forecast'!P18*Assumptions!$G$12+'Sales Forecast'!O18*Assumptions!$H$12+'Sales Forecast'!N18*Assumptions!$I$12</f>
        <v/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Forecast'!O18*Assumptions!$I$12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</row>
    <row r="7">
      <c r="B7" s="18" t="inlineStr">
        <is>
          <t>Breakage Revenue</t>
        </is>
      </c>
      <c r="D7" s="19" t="n">
        <v>139780.94</v>
      </c>
      <c r="E7" s="19" t="n">
        <v>155452.01</v>
      </c>
      <c r="F7" s="19" t="n">
        <v>132350.01</v>
      </c>
      <c r="G7" s="19" t="n">
        <v>142563.17</v>
      </c>
      <c r="H7" s="88" t="n">
        <v>141174.57</v>
      </c>
      <c r="I7" s="20">
        <f>'Sales Forecast'!I18*Assumptions!$C$13+'Sales Forecast'!H18*Assumptions!$D$13+'Sales Forecast'!G18*Assumptions!$E$13+'Sales Forecast'!F18*Assumptions!$F$13+'Sales Forecast'!E18*Assumptions!$G$13+'Sales Forecast'!D18*Assumptions!$H$13+'Sales Forecast'!I101*Assumptions!$I$13</f>
        <v/>
      </c>
      <c r="J7" s="20">
        <f>'Sales Forecast'!J18*Assumptions!$C$13+'Sales Forecast'!I18*Assumptions!$D$13+'Sales Forecast'!H18*Assumptions!$E$13+'Sales Forecast'!G18*Assumptions!$F$13+'Sales Forecast'!F18*Assumptions!$G$13+'Sales Forecast'!E18*Assumptions!$H$13+'Sales Forecast'!D18*Assumptions!$I$13</f>
        <v/>
      </c>
      <c r="K7" s="20">
        <f>'Sales Forecast'!K18*Assumptions!$C$13+'Sales Forecast'!J18*Assumptions!$D$13+'Sales Forecast'!I18*Assumptions!$E$13+'Sales Forecast'!H18*Assumptions!$F$13+'Sales Forecast'!G18*Assumptions!$G$13+'Sales Forecast'!F18*Assumptions!$H$13+'Sales Forecast'!E18*Assumptions!$I$13</f>
        <v/>
      </c>
      <c r="L7" s="20">
        <f>'Sales Forecast'!L18*Assumptions!$C$13+'Sales Forecast'!K18*Assumptions!$D$13+'Sales Forecast'!J18*Assumptions!$E$13+'Sales Forecast'!I18*Assumptions!$F$13+'Sales Forecast'!H18*Assumptions!$G$13+'Sales Forecast'!G18*Assumptions!$H$13+'Sales Forecast'!F18*Assumptions!$I$13</f>
        <v/>
      </c>
      <c r="M7" s="20">
        <f>'Sales Forecast'!M18*Assumptions!$C$13+'Sales Forecast'!L18*Assumptions!$D$13+'Sales Forecast'!K18*Assumptions!$E$13+'Sales Forecast'!J18*Assumptions!$F$13+'Sales Forecast'!I18*Assumptions!$G$13+'Sales Forecast'!H18*Assumptions!$H$13+'Sales Forecast'!G18*Assumptions!$I$13</f>
        <v/>
      </c>
      <c r="N7" s="20">
        <f>'Sales Forecast'!N18*Assumptions!$C$13+'Sales Forecast'!M18*Assumptions!$D$13+'Sales Forecast'!L18*Assumptions!$E$13+'Sales Forecast'!K18*Assumptions!$F$13+'Sales Forecast'!J18*Assumptions!$G$13+'Sales Forecast'!I18*Assumptions!$H$13+'Sales Forecast'!H18*Assumptions!$I$13</f>
        <v/>
      </c>
      <c r="O7" s="20">
        <f>'Sales Forecast'!O18*Assumptions!$C$13+'Sales Forecast'!N18*Assumptions!$D$13+'Sales Forecast'!M18*Assumptions!$E$13+'Sales Forecast'!L18*Assumptions!$F$13+'Sales Forecast'!K18*Assumptions!$G$13+'Sales Forecast'!J18*Assumptions!$H$13+'Sales Forecast'!I18*Assumptions!$I$13</f>
        <v/>
      </c>
      <c r="P7" s="20">
        <f>'Sales Forecast'!P18*Assumptions!$C$13+'Sales Forecast'!O18*Assumptions!$D$13+'Sales Forecast'!N18*Assumptions!$E$13+'Sales Forecast'!M18*Assumptions!$F$13+'Sales Forecast'!L18*Assumptions!$G$13+'Sales Forecast'!K18*Assumptions!$H$13+'Sales Forecast'!J18*Assumptions!$I$13</f>
        <v/>
      </c>
      <c r="Q7" s="20">
        <f>'Sales Forecast'!Q18*Assumptions!$C$13+'Sales Forecast'!P18*Assumptions!$D$13+'Sales Forecast'!O18*Assumptions!$E$13+'Sales Forecast'!N18*Assumptions!$F$13+'Sales Forecast'!M18*Assumptions!$G$13+'Sales Forecast'!L18*Assumptions!$H$13+'Sales Forecast'!K18*Assumptions!$I$13</f>
        <v/>
      </c>
      <c r="R7" s="20">
        <f>'Sales Forecast'!R18*Assumptions!$C$13+'Sales Forecast'!Q18*Assumptions!$D$13+'Sales Forecast'!P18*Assumptions!$E$13+'Sales Forecast'!O18*Assumptions!$F$13+'Sales Forecast'!N18*Assumptions!$G$13+'Sales Forecast'!M18*Assumptions!$H$13+'Sales Forecast'!L18*Assumptions!$I$13</f>
        <v/>
      </c>
      <c r="S7" s="20">
        <f>'Sales Forecast'!S18*Assumptions!$C$13+'Sales Forecast'!R18*Assumptions!$D$13+'Sales Forecast'!Q18*Assumptions!$E$13+'Sales Forecast'!P18*Assumptions!$F$13+'Sales Forecast'!O18*Assumptions!$G$13+'Sales Forecast'!N18*Assumptions!$H$13+'Sales Forecast'!M18*Assumptions!$I$13</f>
        <v/>
      </c>
      <c r="T7" s="20">
        <f>'Sales Forecast'!T18*Assumptions!$C$13+'Sales Forecast'!S18*Assumptions!$D$13+'Sales Forecast'!R18*Assumptions!$E$13+'Sales Forecast'!Q18*Assumptions!$F$13+'Sales Forecast'!P18*Assumptions!$G$13+'Sales Forecast'!O18*Assumptions!$H$13+'Sales Forecast'!N18*Assumptions!$I$13</f>
        <v/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Forecast'!O18*Assumptions!$I$13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</row>
    <row r="8">
      <c r="B8" s="18" t="inlineStr">
        <is>
          <t>Retail Sales</t>
        </is>
      </c>
      <c r="D8" s="19" t="n">
        <v>23308</v>
      </c>
      <c r="E8" s="19" t="n">
        <v>19847</v>
      </c>
      <c r="F8" s="19" t="n">
        <v>17655</v>
      </c>
      <c r="G8" s="19" t="n">
        <v>18479</v>
      </c>
      <c r="H8" s="88" t="n">
        <v>13825.81</v>
      </c>
      <c r="I8" s="90" t="n">
        <v>16653.27</v>
      </c>
      <c r="J8" s="90" t="n">
        <v>16653.27</v>
      </c>
      <c r="K8" s="90" t="n">
        <v>16653.27</v>
      </c>
      <c r="L8" s="90" t="n">
        <v>16653.27</v>
      </c>
      <c r="M8" s="90" t="n">
        <v>16653.27</v>
      </c>
      <c r="N8" s="90" t="n">
        <v>16653.27</v>
      </c>
      <c r="O8" s="90" t="n">
        <v>16653.27</v>
      </c>
      <c r="P8" s="90" t="n">
        <v>16653.27</v>
      </c>
      <c r="Q8" s="90" t="n">
        <v>16653.27</v>
      </c>
      <c r="R8" s="90" t="n">
        <v>16653.27</v>
      </c>
      <c r="S8" s="90" t="n">
        <v>16653.27</v>
      </c>
      <c r="T8" s="90" t="n">
        <v>16653.27</v>
      </c>
      <c r="U8" s="90" t="n">
        <v>16653.27</v>
      </c>
      <c r="V8" s="90" t="n">
        <v>16653.27</v>
      </c>
      <c r="W8" s="90" t="n">
        <v>16653.27</v>
      </c>
      <c r="X8" s="90" t="n">
        <v>16653.27</v>
      </c>
      <c r="Y8" s="90" t="n">
        <v>16653.27</v>
      </c>
      <c r="Z8" s="90" t="n">
        <v>16653.27</v>
      </c>
      <c r="AA8" s="90" t="n">
        <v>16653.27</v>
      </c>
      <c r="AB8" s="90" t="n">
        <v>16653.27</v>
      </c>
      <c r="AC8" s="90" t="n">
        <v>16653.27</v>
      </c>
      <c r="AD8" s="90" t="n">
        <v>16653.27</v>
      </c>
      <c r="AE8" s="90" t="n">
        <v>16653.27</v>
      </c>
      <c r="AF8" s="90" t="n">
        <v>16653.27</v>
      </c>
      <c r="AG8" s="90" t="n">
        <v>16653.27</v>
      </c>
      <c r="AH8" s="90" t="n">
        <v>16653.27</v>
      </c>
      <c r="AI8" s="90" t="n">
        <v>16653.27</v>
      </c>
      <c r="AJ8" s="90" t="n">
        <v>16653.27</v>
      </c>
      <c r="AK8" s="90" t="n">
        <v>16653.27</v>
      </c>
      <c r="AL8" s="90" t="n">
        <v>16653.27</v>
      </c>
      <c r="AM8" s="90" t="n">
        <v>16653.27</v>
      </c>
    </row>
    <row r="9">
      <c r="B9" s="18" t="inlineStr">
        <is>
          <t>Refunds</t>
        </is>
      </c>
      <c r="D9" s="19" t="n">
        <v>-20830.24</v>
      </c>
      <c r="E9" s="19" t="n">
        <v>-15645.66</v>
      </c>
      <c r="F9" s="19" t="n">
        <v>-16880.65</v>
      </c>
      <c r="G9" s="19" t="n">
        <v>-12793.11</v>
      </c>
      <c r="H9" s="88" t="n">
        <v>-9390.209999999999</v>
      </c>
      <c r="I9" s="20">
        <f>(I6+I7)*Assumptions!$C$17</f>
        <v/>
      </c>
      <c r="J9" s="20">
        <f>(J6+J7)*Assumptions!$C$17</f>
        <v/>
      </c>
      <c r="K9" s="20">
        <f>(K6+K7)*Assumptions!$C$17</f>
        <v/>
      </c>
      <c r="L9" s="20">
        <f>(L6+L7)*Assumptions!$C$17</f>
        <v/>
      </c>
      <c r="M9" s="20">
        <f>(M6+M7)*Assumptions!$C$17</f>
        <v/>
      </c>
      <c r="N9" s="20">
        <f>(N6+N7)*Assumptions!$C$17</f>
        <v/>
      </c>
      <c r="O9" s="20">
        <f>(O6+O7)*Assumptions!$C$17</f>
        <v/>
      </c>
      <c r="P9" s="20">
        <f>(P6+P7)*Assumptions!$C$17</f>
        <v/>
      </c>
      <c r="Q9" s="20">
        <f>(Q6+Q7)*Assumptions!$C$17</f>
        <v/>
      </c>
      <c r="R9" s="20">
        <f>(R6+R7)*Assumptions!$C$17</f>
        <v/>
      </c>
      <c r="S9" s="20">
        <f>(S6+S7)*Assumptions!$C$17</f>
        <v/>
      </c>
      <c r="T9" s="20">
        <f>(T6+T7)*Assumptions!$C$17</f>
        <v/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</row>
    <row r="10">
      <c r="B10" s="18" t="inlineStr">
        <is>
          <t>Discounts</t>
        </is>
      </c>
      <c r="D10" s="19" t="n">
        <v>-59600.85000000001</v>
      </c>
      <c r="E10" s="19" t="n">
        <v>-56707.91</v>
      </c>
      <c r="F10" s="19" t="n">
        <v>-53962.12</v>
      </c>
      <c r="G10" s="19" t="n">
        <v>-51310.18</v>
      </c>
      <c r="H10" s="88" t="n">
        <v>-35101.57</v>
      </c>
      <c r="I10" s="20">
        <f>(I6+I7)*Assumptions!$C$18</f>
        <v/>
      </c>
      <c r="J10" s="20">
        <f>(J6+J7)*Assumptions!$C$18</f>
        <v/>
      </c>
      <c r="K10" s="20">
        <f>(K6+K7)*Assumptions!$C$18</f>
        <v/>
      </c>
      <c r="L10" s="20">
        <f>(L6+L7)*Assumptions!$C$18</f>
        <v/>
      </c>
      <c r="M10" s="20">
        <f>(M6+M7)*Assumptions!$C$18</f>
        <v/>
      </c>
      <c r="N10" s="20">
        <f>(N6+N7)*Assumptions!$C$18</f>
        <v/>
      </c>
      <c r="O10" s="20">
        <f>(O6+O7)*Assumptions!$C$18</f>
        <v/>
      </c>
      <c r="P10" s="20">
        <f>(P6+P7)*Assumptions!$C$18</f>
        <v/>
      </c>
      <c r="Q10" s="20">
        <f>(Q6+Q7)*Assumptions!$C$18</f>
        <v/>
      </c>
      <c r="R10" s="20">
        <f>(R6+R7)*Assumptions!$C$18</f>
        <v/>
      </c>
      <c r="S10" s="20">
        <f>(S6+S7)*Assumptions!$C$18</f>
        <v/>
      </c>
      <c r="T10" s="20">
        <f>(T6+T7)*Assumptions!$C$18</f>
        <v/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</row>
    <row r="11">
      <c r="B11" s="32" t="inlineStr">
        <is>
          <t>Total Revenue</t>
        </is>
      </c>
      <c r="C11" s="34" t="n"/>
      <c r="D11" s="35" t="n">
        <v>1082861.84</v>
      </c>
      <c r="E11" s="35" t="n">
        <v>969453.09</v>
      </c>
      <c r="F11" s="35" t="n">
        <v>946910.6399999999</v>
      </c>
      <c r="G11" s="35" t="n">
        <v>887877.7</v>
      </c>
      <c r="H11" s="89" t="n">
        <v>918006.51</v>
      </c>
      <c r="I11" s="17">
        <f>I6+I7+I8+I9+I10</f>
        <v/>
      </c>
      <c r="J11" s="17">
        <f>J6+J7+J8+J9+J10</f>
        <v/>
      </c>
      <c r="K11" s="17">
        <f>K6+K7+K8+K9+K10</f>
        <v/>
      </c>
      <c r="L11" s="17">
        <f>L6+L7+L8+L9+L10</f>
        <v/>
      </c>
      <c r="M11" s="17">
        <f>M6+M7+M8+M9+M10</f>
        <v/>
      </c>
      <c r="N11" s="17">
        <f>N6+N7+N8+N9+N10</f>
        <v/>
      </c>
      <c r="O11" s="17">
        <f>O6+O7+O8+O9+O10</f>
        <v/>
      </c>
      <c r="P11" s="17">
        <f>P6+P7+P8+P9+P10</f>
        <v/>
      </c>
      <c r="Q11" s="17">
        <f>Q6+Q7+Q8+Q9+Q10</f>
        <v/>
      </c>
      <c r="R11" s="17">
        <f>R6+R7+R8+R9+R10</f>
        <v/>
      </c>
      <c r="S11" s="17">
        <f>S6+S7+S8+S9+S10</f>
        <v/>
      </c>
      <c r="T11" s="17">
        <f>T6+T7+T8+T9+T10</f>
        <v/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</row>
    <row r="12">
      <c r="B12" s="18" t="inlineStr">
        <is>
          <t>COGS &amp; Merchant Fees</t>
        </is>
      </c>
      <c r="D12" s="19" t="n">
        <v>38009.85</v>
      </c>
      <c r="E12" s="19" t="n">
        <v>38497.03</v>
      </c>
      <c r="F12" s="19" t="n">
        <v>34960.53</v>
      </c>
      <c r="G12" s="19" t="n">
        <v>36936.49000000001</v>
      </c>
      <c r="H12" s="88" t="n">
        <v>27088.66</v>
      </c>
      <c r="I12" s="20">
        <f>I11*(Assumptions!$C$19+Assumptions!$C$20)</f>
        <v/>
      </c>
      <c r="J12" s="20">
        <f>J11*(Assumptions!$C$19+Assumptions!$C$20)</f>
        <v/>
      </c>
      <c r="K12" s="20">
        <f>K11*(Assumptions!$C$19+Assumptions!$C$20)</f>
        <v/>
      </c>
      <c r="L12" s="20">
        <f>L11*(Assumptions!$C$19+Assumptions!$C$20)</f>
        <v/>
      </c>
      <c r="M12" s="20">
        <f>M11*(Assumptions!$C$19+Assumptions!$C$20)</f>
        <v/>
      </c>
      <c r="N12" s="20">
        <f>N11*(Assumptions!$C$19+Assumptions!$C$20)</f>
        <v/>
      </c>
      <c r="O12" s="20">
        <f>O11*(Assumptions!$C$19+Assumptions!$C$20)</f>
        <v/>
      </c>
      <c r="P12" s="20">
        <f>P11*(Assumptions!$C$19+Assumptions!$C$20)</f>
        <v/>
      </c>
      <c r="Q12" s="20">
        <f>Q11*(Assumptions!$C$19+Assumptions!$C$20)</f>
        <v/>
      </c>
      <c r="R12" s="20">
        <f>R11*(Assumptions!$C$19+Assumptions!$C$20)</f>
        <v/>
      </c>
      <c r="S12" s="20">
        <f>S11*(Assumptions!$C$19+Assumptions!$C$20)</f>
        <v/>
      </c>
      <c r="T12" s="20">
        <f>T11*(Assumptions!$C$19+Assumptions!$C$20)</f>
        <v/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</row>
    <row r="13">
      <c r="B13" s="32" t="inlineStr">
        <is>
          <t>Gross Profit</t>
        </is>
      </c>
      <c r="C13" s="34" t="n"/>
      <c r="D13" s="35" t="n">
        <v>1044851.99</v>
      </c>
      <c r="E13" s="35" t="n">
        <v>930956.0599999999</v>
      </c>
      <c r="F13" s="35" t="n">
        <v>911950.1099999999</v>
      </c>
      <c r="G13" s="35" t="n">
        <v>850941.21</v>
      </c>
      <c r="H13" s="89" t="n">
        <v>890917.8500000001</v>
      </c>
      <c r="I13" s="17">
        <f>I11-I12</f>
        <v/>
      </c>
      <c r="J13" s="17">
        <f>J11-J12</f>
        <v/>
      </c>
      <c r="K13" s="17">
        <f>K11-K12</f>
        <v/>
      </c>
      <c r="L13" s="17">
        <f>L11-L12</f>
        <v/>
      </c>
      <c r="M13" s="17">
        <f>M11-M12</f>
        <v/>
      </c>
      <c r="N13" s="17">
        <f>N11-N12</f>
        <v/>
      </c>
      <c r="O13" s="17">
        <f>O11-O12</f>
        <v/>
      </c>
      <c r="P13" s="17">
        <f>P11-P12</f>
        <v/>
      </c>
      <c r="Q13" s="17">
        <f>Q11-Q12</f>
        <v/>
      </c>
      <c r="R13" s="17">
        <f>R11-R12</f>
        <v/>
      </c>
      <c r="S13" s="17">
        <f>S11-S12</f>
        <v/>
      </c>
      <c r="T13" s="17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</row>
    <row r="14">
      <c r="B14" s="18" t="inlineStr">
        <is>
          <t>Marketing</t>
        </is>
      </c>
      <c r="D14" s="19" t="n">
        <v>27740.18</v>
      </c>
      <c r="E14" s="19" t="n">
        <v>27007.49</v>
      </c>
      <c r="F14" s="19" t="n">
        <v>16681.8</v>
      </c>
      <c r="G14" s="19" t="n">
        <v>5975.58</v>
      </c>
      <c r="H14" s="88" t="n">
        <v>5982.17</v>
      </c>
      <c r="I14" s="20">
        <f>'BK P&amp;L'!I33+'CC P&amp;L'!I33+'DN P&amp;L'!I33+'LF P&amp;L'!I33+'MR P&amp;L'!I33+'OP P&amp;L'!I33+'PH P&amp;L'!I33+'RH P&amp;L'!I33+'SB P&amp;L'!I33+'SM P&amp;L'!I33+'WP P&amp;L'!I33+'WW P&amp;L'!I33+'HO P&amp;L'!I12</f>
        <v/>
      </c>
      <c r="J14" s="20">
        <f>'BK P&amp;L'!J33+'CC P&amp;L'!J33+'DN P&amp;L'!J33+'LF P&amp;L'!J33+'MR P&amp;L'!J33+'OP P&amp;L'!J33+'PH P&amp;L'!J33+'RH P&amp;L'!J33+'SB P&amp;L'!J33+'SM P&amp;L'!J33+'WP P&amp;L'!J33+'WW P&amp;L'!J33+'HO P&amp;L'!J12</f>
        <v/>
      </c>
      <c r="K14" s="20">
        <f>'BK P&amp;L'!K33+'CC P&amp;L'!K33+'DN P&amp;L'!K33+'LF P&amp;L'!K33+'MR P&amp;L'!K33+'OP P&amp;L'!K33+'PH P&amp;L'!K33+'RH P&amp;L'!K33+'SB P&amp;L'!K33+'SM P&amp;L'!K33+'WP P&amp;L'!K33+'WW P&amp;L'!K33+'HO P&amp;L'!K12</f>
        <v/>
      </c>
      <c r="L14" s="20">
        <f>'BK P&amp;L'!L33+'CC P&amp;L'!L33+'DN P&amp;L'!L33+'LF P&amp;L'!L33+'MR P&amp;L'!L33+'OP P&amp;L'!L33+'PH P&amp;L'!L33+'RH P&amp;L'!L33+'SB P&amp;L'!L33+'SM P&amp;L'!L33+'WP P&amp;L'!L33+'WW P&amp;L'!L33+'HO P&amp;L'!L12</f>
        <v/>
      </c>
      <c r="M14" s="20">
        <f>'BK P&amp;L'!M33+'CC P&amp;L'!M33+'DN P&amp;L'!M33+'LF P&amp;L'!M33+'MR P&amp;L'!M33+'OP P&amp;L'!M33+'PH P&amp;L'!M33+'RH P&amp;L'!M33+'SB P&amp;L'!M33+'SM P&amp;L'!M33+'WP P&amp;L'!M33+'WW P&amp;L'!M33+'HO P&amp;L'!M12</f>
        <v/>
      </c>
      <c r="N14" s="20">
        <f>'BK P&amp;L'!N33+'CC P&amp;L'!N33+'DN P&amp;L'!N33+'LF P&amp;L'!N33+'MR P&amp;L'!N33+'OP P&amp;L'!N33+'PH P&amp;L'!N33+'RH P&amp;L'!N33+'SB P&amp;L'!N33+'SM P&amp;L'!N33+'WP P&amp;L'!N33+'WW P&amp;L'!N33+'HO P&amp;L'!N12</f>
        <v/>
      </c>
      <c r="O14" s="20">
        <f>'BK P&amp;L'!O33+'CC P&amp;L'!O33+'DN P&amp;L'!O33+'LF P&amp;L'!O33+'MR P&amp;L'!O33+'OP P&amp;L'!O33+'PH P&amp;L'!O33+'RH P&amp;L'!O33+'SB P&amp;L'!O33+'SM P&amp;L'!O33+'WP P&amp;L'!O33+'WW P&amp;L'!O33+'HO P&amp;L'!O12</f>
        <v/>
      </c>
      <c r="P14" s="20">
        <f>'BK P&amp;L'!P33+'CC P&amp;L'!P33+'DN P&amp;L'!P33+'LF P&amp;L'!P33+'MR P&amp;L'!P33+'OP P&amp;L'!P33+'PH P&amp;L'!P33+'RH P&amp;L'!P33+'SB P&amp;L'!P33+'SM P&amp;L'!P33+'WP P&amp;L'!P33+'WW P&amp;L'!P33+'HO P&amp;L'!P12</f>
        <v/>
      </c>
      <c r="Q14" s="20">
        <f>'BK P&amp;L'!Q33+'CC P&amp;L'!Q33+'DN P&amp;L'!Q33+'LF P&amp;L'!Q33+'MR P&amp;L'!Q33+'OP P&amp;L'!Q33+'PH P&amp;L'!Q33+'RH P&amp;L'!Q33+'SB P&amp;L'!Q33+'SM P&amp;L'!Q33+'WP P&amp;L'!Q33+'WW P&amp;L'!Q33+'HO P&amp;L'!Q12</f>
        <v/>
      </c>
      <c r="R14" s="20">
        <f>'BK P&amp;L'!R33+'CC P&amp;L'!R33+'DN P&amp;L'!R33+'LF P&amp;L'!R33+'MR P&amp;L'!R33+'OP P&amp;L'!R33+'PH P&amp;L'!R33+'RH P&amp;L'!R33+'SB P&amp;L'!R33+'SM P&amp;L'!R33+'WP P&amp;L'!R33+'WW P&amp;L'!R33+'HO P&amp;L'!R12</f>
        <v/>
      </c>
      <c r="S14" s="20">
        <f>'BK P&amp;L'!S33+'CC P&amp;L'!S33+'DN P&amp;L'!S33+'LF P&amp;L'!S33+'MR P&amp;L'!S33+'OP P&amp;L'!S33+'PH P&amp;L'!S33+'RH P&amp;L'!S33+'SB P&amp;L'!S33+'SM P&amp;L'!S33+'WP P&amp;L'!S33+'WW P&amp;L'!S33+'HO P&amp;L'!S12</f>
        <v/>
      </c>
      <c r="T14" s="20">
        <f>'BK P&amp;L'!T33+'CC P&amp;L'!T33+'DN P&amp;L'!T33+'LF P&amp;L'!T33+'MR P&amp;L'!T33+'OP P&amp;L'!T33+'PH P&amp;L'!T33+'RH P&amp;L'!T33+'SB P&amp;L'!T33+'SM P&amp;L'!T33+'WP P&amp;L'!T33+'WW P&amp;L'!T33+'HO P&amp;L'!T12</f>
        <v/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</row>
    <row r="15">
      <c r="B15" s="18" t="inlineStr">
        <is>
          <t>Payroll</t>
        </is>
      </c>
      <c r="D15" s="19" t="n">
        <v>681232.98</v>
      </c>
      <c r="E15" s="19" t="n">
        <v>590412.0599999999</v>
      </c>
      <c r="F15" s="19" t="n">
        <v>628953.8100000001</v>
      </c>
      <c r="G15" s="19" t="n">
        <v>576480.9800000001</v>
      </c>
      <c r="H15" s="88" t="n">
        <v>589210.62</v>
      </c>
      <c r="I15" s="20">
        <f>'BK P&amp;L'!I38+'CC P&amp;L'!I38+'DN P&amp;L'!I38+'LF P&amp;L'!I38+'MR P&amp;L'!I38+'OP P&amp;L'!I38+'PH P&amp;L'!I38+'RH P&amp;L'!I38+'SB P&amp;L'!I38+'SM P&amp;L'!I38+'WP P&amp;L'!I38+'WW P&amp;L'!I38+'HO P&amp;L'!I17</f>
        <v/>
      </c>
      <c r="J15" s="20">
        <f>'BK P&amp;L'!J38+'CC P&amp;L'!J38+'DN P&amp;L'!J38+'LF P&amp;L'!J38+'MR P&amp;L'!J38+'OP P&amp;L'!J38+'PH P&amp;L'!J38+'RH P&amp;L'!J38+'SB P&amp;L'!J38+'SM P&amp;L'!J38+'WP P&amp;L'!J38+'WW P&amp;L'!J38+'HO P&amp;L'!J17</f>
        <v/>
      </c>
      <c r="K15" s="20">
        <f>'BK P&amp;L'!K38+'CC P&amp;L'!K38+'DN P&amp;L'!K38+'LF P&amp;L'!K38+'MR P&amp;L'!K38+'OP P&amp;L'!K38+'PH P&amp;L'!K38+'RH P&amp;L'!K38+'SB P&amp;L'!K38+'SM P&amp;L'!K38+'WP P&amp;L'!K38+'WW P&amp;L'!K38+'HO P&amp;L'!K17</f>
        <v/>
      </c>
      <c r="L15" s="20">
        <f>'BK P&amp;L'!L38+'CC P&amp;L'!L38+'DN P&amp;L'!L38+'LF P&amp;L'!L38+'MR P&amp;L'!L38+'OP P&amp;L'!L38+'PH P&amp;L'!L38+'RH P&amp;L'!L38+'SB P&amp;L'!L38+'SM P&amp;L'!L38+'WP P&amp;L'!L38+'WW P&amp;L'!L38+'HO P&amp;L'!L17</f>
        <v/>
      </c>
      <c r="M15" s="20">
        <f>'BK P&amp;L'!M38+'CC P&amp;L'!M38+'DN P&amp;L'!M38+'LF P&amp;L'!M38+'MR P&amp;L'!M38+'OP P&amp;L'!M38+'PH P&amp;L'!M38+'RH P&amp;L'!M38+'SB P&amp;L'!M38+'SM P&amp;L'!M38+'WP P&amp;L'!M38+'WW P&amp;L'!M38+'HO P&amp;L'!M17</f>
        <v/>
      </c>
      <c r="N15" s="20">
        <f>'BK P&amp;L'!N38+'CC P&amp;L'!N38+'DN P&amp;L'!N38+'LF P&amp;L'!N38+'MR P&amp;L'!N38+'OP P&amp;L'!N38+'PH P&amp;L'!N38+'RH P&amp;L'!N38+'SB P&amp;L'!N38+'SM P&amp;L'!N38+'WP P&amp;L'!N38+'WW P&amp;L'!N38+'HO P&amp;L'!N17</f>
        <v/>
      </c>
      <c r="O15" s="20">
        <f>'BK P&amp;L'!O38+'CC P&amp;L'!O38+'DN P&amp;L'!O38+'LF P&amp;L'!O38+'MR P&amp;L'!O38+'OP P&amp;L'!O38+'PH P&amp;L'!O38+'RH P&amp;L'!O38+'SB P&amp;L'!O38+'SM P&amp;L'!O38+'WP P&amp;L'!O38+'WW P&amp;L'!O38+'HO P&amp;L'!O17</f>
        <v/>
      </c>
      <c r="P15" s="20">
        <f>'BK P&amp;L'!P38+'CC P&amp;L'!P38+'DN P&amp;L'!P38+'LF P&amp;L'!P38+'MR P&amp;L'!P38+'OP P&amp;L'!P38+'PH P&amp;L'!P38+'RH P&amp;L'!P38+'SB P&amp;L'!P38+'SM P&amp;L'!P38+'WP P&amp;L'!P38+'WW P&amp;L'!P38+'HO P&amp;L'!P17</f>
        <v/>
      </c>
      <c r="Q15" s="20">
        <f>'BK P&amp;L'!Q38+'CC P&amp;L'!Q38+'DN P&amp;L'!Q38+'LF P&amp;L'!Q38+'MR P&amp;L'!Q38+'OP P&amp;L'!Q38+'PH P&amp;L'!Q38+'RH P&amp;L'!Q38+'SB P&amp;L'!Q38+'SM P&amp;L'!Q38+'WP P&amp;L'!Q38+'WW P&amp;L'!Q38+'HO P&amp;L'!Q17</f>
        <v/>
      </c>
      <c r="R15" s="20">
        <f>'BK P&amp;L'!R38+'CC P&amp;L'!R38+'DN P&amp;L'!R38+'LF P&amp;L'!R38+'MR P&amp;L'!R38+'OP P&amp;L'!R38+'PH P&amp;L'!R38+'RH P&amp;L'!R38+'SB P&amp;L'!R38+'SM P&amp;L'!R38+'WP P&amp;L'!R38+'WW P&amp;L'!R38+'HO P&amp;L'!R17</f>
        <v/>
      </c>
      <c r="S15" s="20">
        <f>'BK P&amp;L'!S38+'CC P&amp;L'!S38+'DN P&amp;L'!S38+'LF P&amp;L'!S38+'MR P&amp;L'!S38+'OP P&amp;L'!S38+'PH P&amp;L'!S38+'RH P&amp;L'!S38+'SB P&amp;L'!S38+'SM P&amp;L'!S38+'WP P&amp;L'!S38+'WW P&amp;L'!S38+'HO P&amp;L'!S17</f>
        <v/>
      </c>
      <c r="T15" s="20">
        <f>'BK P&amp;L'!T38+'CC P&amp;L'!T38+'DN P&amp;L'!T38+'LF P&amp;L'!T38+'MR P&amp;L'!T38+'OP P&amp;L'!T38+'PH P&amp;L'!T38+'RH P&amp;L'!T38+'SB P&amp;L'!T38+'SM P&amp;L'!T38+'WP P&amp;L'!T38+'WW P&amp;L'!T38+'HO P&amp;L'!T17</f>
        <v/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</row>
    <row r="16">
      <c r="B16" s="18" t="inlineStr">
        <is>
          <t>Software</t>
        </is>
      </c>
      <c r="D16" s="19" t="n">
        <v>14854.43</v>
      </c>
      <c r="E16" s="19" t="n">
        <v>23709.03</v>
      </c>
      <c r="F16" s="19" t="n">
        <v>10924.01</v>
      </c>
      <c r="G16" s="19" t="n">
        <v>13421.72</v>
      </c>
      <c r="H16" s="88" t="n">
        <v>14118.08</v>
      </c>
      <c r="I16" s="20">
        <f>'BK P&amp;L'!I42+'CC P&amp;L'!I42+'DN P&amp;L'!I42+'LF P&amp;L'!I42+'MR P&amp;L'!I42+'OP P&amp;L'!I42+'PH P&amp;L'!I42+'RH P&amp;L'!I42+'SB P&amp;L'!I42+'SM P&amp;L'!I42+'WP P&amp;L'!I42+'WW P&amp;L'!I42+'HO P&amp;L'!I22</f>
        <v/>
      </c>
      <c r="J16" s="20">
        <f>'BK P&amp;L'!J42+'CC P&amp;L'!J42+'DN P&amp;L'!J42+'LF P&amp;L'!J42+'MR P&amp;L'!J42+'OP P&amp;L'!J42+'PH P&amp;L'!J42+'RH P&amp;L'!J42+'SB P&amp;L'!J42+'SM P&amp;L'!J42+'WP P&amp;L'!J42+'WW P&amp;L'!J42+'HO P&amp;L'!J22</f>
        <v/>
      </c>
      <c r="K16" s="20">
        <f>'BK P&amp;L'!K42+'CC P&amp;L'!K42+'DN P&amp;L'!K42+'LF P&amp;L'!K42+'MR P&amp;L'!K42+'OP P&amp;L'!K42+'PH P&amp;L'!K42+'RH P&amp;L'!K42+'SB P&amp;L'!K42+'SM P&amp;L'!K42+'WP P&amp;L'!K42+'WW P&amp;L'!K42+'HO P&amp;L'!K22</f>
        <v/>
      </c>
      <c r="L16" s="20">
        <f>'BK P&amp;L'!L42+'CC P&amp;L'!L42+'DN P&amp;L'!L42+'LF P&amp;L'!L42+'MR P&amp;L'!L42+'OP P&amp;L'!L42+'PH P&amp;L'!L42+'RH P&amp;L'!L42+'SB P&amp;L'!L42+'SM P&amp;L'!L42+'WP P&amp;L'!L42+'WW P&amp;L'!L42+'HO P&amp;L'!L22</f>
        <v/>
      </c>
      <c r="M16" s="20">
        <f>'BK P&amp;L'!M42+'CC P&amp;L'!M42+'DN P&amp;L'!M42+'LF P&amp;L'!M42+'MR P&amp;L'!M42+'OP P&amp;L'!M42+'PH P&amp;L'!M42+'RH P&amp;L'!M42+'SB P&amp;L'!M42+'SM P&amp;L'!M42+'WP P&amp;L'!M42+'WW P&amp;L'!M42+'HO P&amp;L'!M22</f>
        <v/>
      </c>
      <c r="N16" s="20">
        <f>'BK P&amp;L'!N42+'CC P&amp;L'!N42+'DN P&amp;L'!N42+'LF P&amp;L'!N42+'MR P&amp;L'!N42+'OP P&amp;L'!N42+'PH P&amp;L'!N42+'RH P&amp;L'!N42+'SB P&amp;L'!N42+'SM P&amp;L'!N42+'WP P&amp;L'!N42+'WW P&amp;L'!N42+'HO P&amp;L'!N22</f>
        <v/>
      </c>
      <c r="O16" s="20">
        <f>'BK P&amp;L'!O42+'CC P&amp;L'!O42+'DN P&amp;L'!O42+'LF P&amp;L'!O42+'MR P&amp;L'!O42+'OP P&amp;L'!O42+'PH P&amp;L'!O42+'RH P&amp;L'!O42+'SB P&amp;L'!O42+'SM P&amp;L'!O42+'WP P&amp;L'!O42+'WW P&amp;L'!O42+'HO P&amp;L'!O22</f>
        <v/>
      </c>
      <c r="P16" s="20">
        <f>'BK P&amp;L'!P42+'CC P&amp;L'!P42+'DN P&amp;L'!P42+'LF P&amp;L'!P42+'MR P&amp;L'!P42+'OP P&amp;L'!P42+'PH P&amp;L'!P42+'RH P&amp;L'!P42+'SB P&amp;L'!P42+'SM P&amp;L'!P42+'WP P&amp;L'!P42+'WW P&amp;L'!P42+'HO P&amp;L'!P22</f>
        <v/>
      </c>
      <c r="Q16" s="20">
        <f>'BK P&amp;L'!Q42+'CC P&amp;L'!Q42+'DN P&amp;L'!Q42+'LF P&amp;L'!Q42+'MR P&amp;L'!Q42+'OP P&amp;L'!Q42+'PH P&amp;L'!Q42+'RH P&amp;L'!Q42+'SB P&amp;L'!Q42+'SM P&amp;L'!Q42+'WP P&amp;L'!Q42+'WW P&amp;L'!Q42+'HO P&amp;L'!Q22</f>
        <v/>
      </c>
      <c r="R16" s="20">
        <f>'BK P&amp;L'!R42+'CC P&amp;L'!R42+'DN P&amp;L'!R42+'LF P&amp;L'!R42+'MR P&amp;L'!R42+'OP P&amp;L'!R42+'PH P&amp;L'!R42+'RH P&amp;L'!R42+'SB P&amp;L'!R42+'SM P&amp;L'!R42+'WP P&amp;L'!R42+'WW P&amp;L'!R42+'HO P&amp;L'!R22</f>
        <v/>
      </c>
      <c r="S16" s="20">
        <f>'BK P&amp;L'!S42+'CC P&amp;L'!S42+'DN P&amp;L'!S42+'LF P&amp;L'!S42+'MR P&amp;L'!S42+'OP P&amp;L'!S42+'PH P&amp;L'!S42+'RH P&amp;L'!S42+'SB P&amp;L'!S42+'SM P&amp;L'!S42+'WP P&amp;L'!S42+'WW P&amp;L'!S42+'HO P&amp;L'!S22</f>
        <v/>
      </c>
      <c r="T16" s="20">
        <f>'BK P&amp;L'!T42+'CC P&amp;L'!T42+'DN P&amp;L'!T42+'LF P&amp;L'!T42+'MR P&amp;L'!T42+'OP P&amp;L'!T42+'PH P&amp;L'!T42+'RH P&amp;L'!T42+'SB P&amp;L'!T42+'SM P&amp;L'!T42+'WP P&amp;L'!T42+'WW P&amp;L'!T42+'HO P&amp;L'!T22</f>
        <v/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</row>
    <row r="17">
      <c r="B17" s="18" t="inlineStr">
        <is>
          <t>Professional Fees</t>
        </is>
      </c>
      <c r="D17" s="19" t="n">
        <v>42733.79</v>
      </c>
      <c r="E17" s="19" t="n">
        <v>24202.3</v>
      </c>
      <c r="F17" s="19" t="n">
        <v>22556.84</v>
      </c>
      <c r="G17" s="19" t="n">
        <v>25366</v>
      </c>
      <c r="H17" s="88" t="n">
        <v>30273</v>
      </c>
      <c r="I17" s="20">
        <f>'BK P&amp;L'!I47+'CC P&amp;L'!I47+'DN P&amp;L'!I47+'LF P&amp;L'!I47+'MR P&amp;L'!I47+'OP P&amp;L'!I47+'PH P&amp;L'!I47+'RH P&amp;L'!I47+'SB P&amp;L'!I47+'SM P&amp;L'!I47+'WP P&amp;L'!I47+'WW P&amp;L'!I47+'HO P&amp;L'!I27</f>
        <v/>
      </c>
      <c r="J17" s="20">
        <f>'BK P&amp;L'!J47+'CC P&amp;L'!J47+'DN P&amp;L'!J47+'LF P&amp;L'!J47+'MR P&amp;L'!J47+'OP P&amp;L'!J47+'PH P&amp;L'!J47+'RH P&amp;L'!J47+'SB P&amp;L'!J47+'SM P&amp;L'!J47+'WP P&amp;L'!J47+'WW P&amp;L'!J47+'HO P&amp;L'!J27</f>
        <v/>
      </c>
      <c r="K17" s="20">
        <f>'BK P&amp;L'!K47+'CC P&amp;L'!K47+'DN P&amp;L'!K47+'LF P&amp;L'!K47+'MR P&amp;L'!K47+'OP P&amp;L'!K47+'PH P&amp;L'!K47+'RH P&amp;L'!K47+'SB P&amp;L'!K47+'SM P&amp;L'!K47+'WP P&amp;L'!K47+'WW P&amp;L'!K47+'HO P&amp;L'!K27</f>
        <v/>
      </c>
      <c r="L17" s="20">
        <f>'BK P&amp;L'!L47+'CC P&amp;L'!L47+'DN P&amp;L'!L47+'LF P&amp;L'!L47+'MR P&amp;L'!L47+'OP P&amp;L'!L47+'PH P&amp;L'!L47+'RH P&amp;L'!L47+'SB P&amp;L'!L47+'SM P&amp;L'!L47+'WP P&amp;L'!L47+'WW P&amp;L'!L47+'HO P&amp;L'!L27</f>
        <v/>
      </c>
      <c r="M17" s="20">
        <f>'BK P&amp;L'!M47+'CC P&amp;L'!M47+'DN P&amp;L'!M47+'LF P&amp;L'!M47+'MR P&amp;L'!M47+'OP P&amp;L'!M47+'PH P&amp;L'!M47+'RH P&amp;L'!M47+'SB P&amp;L'!M47+'SM P&amp;L'!M47+'WP P&amp;L'!M47+'WW P&amp;L'!M47+'HO P&amp;L'!M27</f>
        <v/>
      </c>
      <c r="N17" s="20">
        <f>'BK P&amp;L'!N47+'CC P&amp;L'!N47+'DN P&amp;L'!N47+'LF P&amp;L'!N47+'MR P&amp;L'!N47+'OP P&amp;L'!N47+'PH P&amp;L'!N47+'RH P&amp;L'!N47+'SB P&amp;L'!N47+'SM P&amp;L'!N47+'WP P&amp;L'!N47+'WW P&amp;L'!N47+'HO P&amp;L'!N27</f>
        <v/>
      </c>
      <c r="O17" s="20">
        <f>'BK P&amp;L'!O47+'CC P&amp;L'!O47+'DN P&amp;L'!O47+'LF P&amp;L'!O47+'MR P&amp;L'!O47+'OP P&amp;L'!O47+'PH P&amp;L'!O47+'RH P&amp;L'!O47+'SB P&amp;L'!O47+'SM P&amp;L'!O47+'WP P&amp;L'!O47+'WW P&amp;L'!O47+'HO P&amp;L'!O27</f>
        <v/>
      </c>
      <c r="P17" s="20">
        <f>'BK P&amp;L'!P47+'CC P&amp;L'!P47+'DN P&amp;L'!P47+'LF P&amp;L'!P47+'MR P&amp;L'!P47+'OP P&amp;L'!P47+'PH P&amp;L'!P47+'RH P&amp;L'!P47+'SB P&amp;L'!P47+'SM P&amp;L'!P47+'WP P&amp;L'!P47+'WW P&amp;L'!P47+'HO P&amp;L'!P27</f>
        <v/>
      </c>
      <c r="Q17" s="20">
        <f>'BK P&amp;L'!Q47+'CC P&amp;L'!Q47+'DN P&amp;L'!Q47+'LF P&amp;L'!Q47+'MR P&amp;L'!Q47+'OP P&amp;L'!Q47+'PH P&amp;L'!Q47+'RH P&amp;L'!Q47+'SB P&amp;L'!Q47+'SM P&amp;L'!Q47+'WP P&amp;L'!Q47+'WW P&amp;L'!Q47+'HO P&amp;L'!Q27</f>
        <v/>
      </c>
      <c r="R17" s="20">
        <f>'BK P&amp;L'!R47+'CC P&amp;L'!R47+'DN P&amp;L'!R47+'LF P&amp;L'!R47+'MR P&amp;L'!R47+'OP P&amp;L'!R47+'PH P&amp;L'!R47+'RH P&amp;L'!R47+'SB P&amp;L'!R47+'SM P&amp;L'!R47+'WP P&amp;L'!R47+'WW P&amp;L'!R47+'HO P&amp;L'!R27</f>
        <v/>
      </c>
      <c r="S17" s="20">
        <f>'BK P&amp;L'!S47+'CC P&amp;L'!S47+'DN P&amp;L'!S47+'LF P&amp;L'!S47+'MR P&amp;L'!S47+'OP P&amp;L'!S47+'PH P&amp;L'!S47+'RH P&amp;L'!S47+'SB P&amp;L'!S47+'SM P&amp;L'!S47+'WP P&amp;L'!S47+'WW P&amp;L'!S47+'HO P&amp;L'!S27</f>
        <v/>
      </c>
      <c r="T17" s="20">
        <f>'BK P&amp;L'!T47+'CC P&amp;L'!T47+'DN P&amp;L'!T47+'LF P&amp;L'!T47+'MR P&amp;L'!T47+'OP P&amp;L'!T47+'PH P&amp;L'!T47+'RH P&amp;L'!T47+'SB P&amp;L'!T47+'SM P&amp;L'!T47+'WP P&amp;L'!T47+'WW P&amp;L'!T47+'HO P&amp;L'!T27</f>
        <v/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</row>
    <row r="18">
      <c r="B18" s="18" t="inlineStr">
        <is>
          <t>Utilities</t>
        </is>
      </c>
      <c r="D18" s="19" t="n">
        <v>7087.42</v>
      </c>
      <c r="E18" s="19" t="n">
        <v>9973.09</v>
      </c>
      <c r="F18" s="19" t="n">
        <v>7034.72</v>
      </c>
      <c r="G18" s="19" t="n">
        <v>7270.22</v>
      </c>
      <c r="H18" s="88" t="n">
        <v>7128.539999999999</v>
      </c>
      <c r="I18" s="20">
        <f>'BK P&amp;L'!I56+'CC P&amp;L'!I56+'DN P&amp;L'!I56+'LF P&amp;L'!I56+'MR P&amp;L'!I56+'OP P&amp;L'!I56+'PH P&amp;L'!I56+'RH P&amp;L'!I56+'SB P&amp;L'!I56+'SM P&amp;L'!I56+'WP P&amp;L'!I56+'WW P&amp;L'!I56</f>
        <v/>
      </c>
      <c r="J18" s="20">
        <f>'BK P&amp;L'!J56+'CC P&amp;L'!J56+'DN P&amp;L'!J56+'LF P&amp;L'!J56+'MR P&amp;L'!J56+'OP P&amp;L'!J56+'PH P&amp;L'!J56+'RH P&amp;L'!J56+'SB P&amp;L'!J56+'SM P&amp;L'!J56+'WP P&amp;L'!J56+'WW P&amp;L'!J56</f>
        <v/>
      </c>
      <c r="K18" s="20">
        <f>'BK P&amp;L'!K56+'CC P&amp;L'!K56+'DN P&amp;L'!K56+'LF P&amp;L'!K56+'MR P&amp;L'!K56+'OP P&amp;L'!K56+'PH P&amp;L'!K56+'RH P&amp;L'!K56+'SB P&amp;L'!K56+'SM P&amp;L'!K56+'WP P&amp;L'!K56+'WW P&amp;L'!K56</f>
        <v/>
      </c>
      <c r="L18" s="20">
        <f>'BK P&amp;L'!L56+'CC P&amp;L'!L56+'DN P&amp;L'!L56+'LF P&amp;L'!L56+'MR P&amp;L'!L56+'OP P&amp;L'!L56+'PH P&amp;L'!L56+'RH P&amp;L'!L56+'SB P&amp;L'!L56+'SM P&amp;L'!L56+'WP P&amp;L'!L56+'WW P&amp;L'!L56</f>
        <v/>
      </c>
      <c r="M18" s="20">
        <f>'BK P&amp;L'!M56+'CC P&amp;L'!M56+'DN P&amp;L'!M56+'LF P&amp;L'!M56+'MR P&amp;L'!M56+'OP P&amp;L'!M56+'PH P&amp;L'!M56+'RH P&amp;L'!M56+'SB P&amp;L'!M56+'SM P&amp;L'!M56+'WP P&amp;L'!M56+'WW P&amp;L'!M56</f>
        <v/>
      </c>
      <c r="N18" s="20">
        <f>'BK P&amp;L'!N56+'CC P&amp;L'!N56+'DN P&amp;L'!N56+'LF P&amp;L'!N56+'MR P&amp;L'!N56+'OP P&amp;L'!N56+'PH P&amp;L'!N56+'RH P&amp;L'!N56+'SB P&amp;L'!N56+'SM P&amp;L'!N56+'WP P&amp;L'!N56+'WW P&amp;L'!N56</f>
        <v/>
      </c>
      <c r="O18" s="20">
        <f>'BK P&amp;L'!O56+'CC P&amp;L'!O56+'DN P&amp;L'!O56+'LF P&amp;L'!O56+'MR P&amp;L'!O56+'OP P&amp;L'!O56+'PH P&amp;L'!O56+'RH P&amp;L'!O56+'SB P&amp;L'!O56+'SM P&amp;L'!O56+'WP P&amp;L'!O56+'WW P&amp;L'!O56</f>
        <v/>
      </c>
      <c r="P18" s="20">
        <f>'BK P&amp;L'!P56+'CC P&amp;L'!P56+'DN P&amp;L'!P56+'LF P&amp;L'!P56+'MR P&amp;L'!P56+'OP P&amp;L'!P56+'PH P&amp;L'!P56+'RH P&amp;L'!P56+'SB P&amp;L'!P56+'SM P&amp;L'!P56+'WP P&amp;L'!P56+'WW P&amp;L'!P56</f>
        <v/>
      </c>
      <c r="Q18" s="20">
        <f>'BK P&amp;L'!Q56+'CC P&amp;L'!Q56+'DN P&amp;L'!Q56+'LF P&amp;L'!Q56+'MR P&amp;L'!Q56+'OP P&amp;L'!Q56+'PH P&amp;L'!Q56+'RH P&amp;L'!Q56+'SB P&amp;L'!Q56+'SM P&amp;L'!Q56+'WP P&amp;L'!Q56+'WW P&amp;L'!Q56</f>
        <v/>
      </c>
      <c r="R18" s="20">
        <f>'BK P&amp;L'!R56+'CC P&amp;L'!R56+'DN P&amp;L'!R56+'LF P&amp;L'!R56+'MR P&amp;L'!R56+'OP P&amp;L'!R56+'PH P&amp;L'!R56+'RH P&amp;L'!R56+'SB P&amp;L'!R56+'SM P&amp;L'!R56+'WP P&amp;L'!R56+'WW P&amp;L'!R56</f>
        <v/>
      </c>
      <c r="S18" s="20">
        <f>'BK P&amp;L'!S56+'CC P&amp;L'!S56+'DN P&amp;L'!S56+'LF P&amp;L'!S56+'MR P&amp;L'!S56+'OP P&amp;L'!S56+'PH P&amp;L'!S56+'RH P&amp;L'!S56+'SB P&amp;L'!S56+'SM P&amp;L'!S56+'WP P&amp;L'!S56+'WW P&amp;L'!S56</f>
        <v/>
      </c>
      <c r="T18" s="20">
        <f>'BK P&amp;L'!T56+'CC P&amp;L'!T56+'DN P&amp;L'!T56+'LF P&amp;L'!T56+'MR P&amp;L'!T56+'OP P&amp;L'!T56+'PH P&amp;L'!T56+'RH P&amp;L'!T56+'SB P&amp;L'!T56+'SM P&amp;L'!T56+'WP P&amp;L'!T56+'WW P&amp;L'!T56</f>
        <v/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</row>
    <row r="19">
      <c r="B19" s="18" t="inlineStr">
        <is>
          <t>Property Costs</t>
        </is>
      </c>
      <c r="D19" s="19" t="n">
        <v>147113.46</v>
      </c>
      <c r="E19" s="19" t="n">
        <v>146344.65</v>
      </c>
      <c r="F19" s="19" t="n">
        <v>147382.66</v>
      </c>
      <c r="G19" s="19" t="n">
        <v>148059.43</v>
      </c>
      <c r="H19" s="88" t="n">
        <v>149341.42</v>
      </c>
      <c r="I19" s="20">
        <f>'BK P&amp;L'!I61+'CC P&amp;L'!I61+'DN P&amp;L'!I61+'LF P&amp;L'!I61+'MR P&amp;L'!I61+'OP P&amp;L'!I61+'PH P&amp;L'!I61+'RH P&amp;L'!I61+'SB P&amp;L'!I61+'SM P&amp;L'!I61+'WP P&amp;L'!I61+'WW P&amp;L'!I61+'HO P&amp;L'!I32</f>
        <v/>
      </c>
      <c r="J19" s="20">
        <f>'BK P&amp;L'!J61+'CC P&amp;L'!J61+'DN P&amp;L'!J61+'LF P&amp;L'!J61+'MR P&amp;L'!J61+'OP P&amp;L'!J61+'PH P&amp;L'!J61+'RH P&amp;L'!J61+'SB P&amp;L'!J61+'SM P&amp;L'!J61+'WP P&amp;L'!J61+'WW P&amp;L'!J61+'HO P&amp;L'!J32</f>
        <v/>
      </c>
      <c r="K19" s="20">
        <f>'BK P&amp;L'!K61+'CC P&amp;L'!K61+'DN P&amp;L'!K61+'LF P&amp;L'!K61+'MR P&amp;L'!K61+'OP P&amp;L'!K61+'PH P&amp;L'!K61+'RH P&amp;L'!K61+'SB P&amp;L'!K61+'SM P&amp;L'!K61+'WP P&amp;L'!K61+'WW P&amp;L'!K61+'HO P&amp;L'!K32</f>
        <v/>
      </c>
      <c r="L19" s="20">
        <f>'BK P&amp;L'!L61+'CC P&amp;L'!L61+'DN P&amp;L'!L61+'LF P&amp;L'!L61+'MR P&amp;L'!L61+'OP P&amp;L'!L61+'PH P&amp;L'!L61+'RH P&amp;L'!L61+'SB P&amp;L'!L61+'SM P&amp;L'!L61+'WP P&amp;L'!L61+'WW P&amp;L'!L61+'HO P&amp;L'!L32</f>
        <v/>
      </c>
      <c r="M19" s="20">
        <f>'BK P&amp;L'!M61+'CC P&amp;L'!M61+'DN P&amp;L'!M61+'LF P&amp;L'!M61+'MR P&amp;L'!M61+'OP P&amp;L'!M61+'PH P&amp;L'!M61+'RH P&amp;L'!M61+'SB P&amp;L'!M61+'SM P&amp;L'!M61+'WP P&amp;L'!M61+'WW P&amp;L'!M61+'HO P&amp;L'!M32</f>
        <v/>
      </c>
      <c r="N19" s="20">
        <f>'BK P&amp;L'!N61+'CC P&amp;L'!N61+'DN P&amp;L'!N61+'LF P&amp;L'!N61+'MR P&amp;L'!N61+'OP P&amp;L'!N61+'PH P&amp;L'!N61+'RH P&amp;L'!N61+'SB P&amp;L'!N61+'SM P&amp;L'!N61+'WP P&amp;L'!N61+'WW P&amp;L'!N61+'HO P&amp;L'!N32</f>
        <v/>
      </c>
      <c r="O19" s="20">
        <f>'BK P&amp;L'!O61+'CC P&amp;L'!O61+'DN P&amp;L'!O61+'LF P&amp;L'!O61+'MR P&amp;L'!O61+'OP P&amp;L'!O61+'PH P&amp;L'!O61+'RH P&amp;L'!O61+'SB P&amp;L'!O61+'SM P&amp;L'!O61+'WP P&amp;L'!O61+'WW P&amp;L'!O61+'HO P&amp;L'!O32</f>
        <v/>
      </c>
      <c r="P19" s="20">
        <f>'BK P&amp;L'!P61+'CC P&amp;L'!P61+'DN P&amp;L'!P61+'LF P&amp;L'!P61+'MR P&amp;L'!P61+'OP P&amp;L'!P61+'PH P&amp;L'!P61+'RH P&amp;L'!P61+'SB P&amp;L'!P61+'SM P&amp;L'!P61+'WP P&amp;L'!P61+'WW P&amp;L'!P61+'HO P&amp;L'!P32</f>
        <v/>
      </c>
      <c r="Q19" s="20">
        <f>'BK P&amp;L'!Q61+'CC P&amp;L'!Q61+'DN P&amp;L'!Q61+'LF P&amp;L'!Q61+'MR P&amp;L'!Q61+'OP P&amp;L'!Q61+'PH P&amp;L'!Q61+'RH P&amp;L'!Q61+'SB P&amp;L'!Q61+'SM P&amp;L'!Q61+'WP P&amp;L'!Q61+'WW P&amp;L'!Q61+'HO P&amp;L'!Q32</f>
        <v/>
      </c>
      <c r="R19" s="20">
        <f>'BK P&amp;L'!R61+'CC P&amp;L'!R61+'DN P&amp;L'!R61+'LF P&amp;L'!R61+'MR P&amp;L'!R61+'OP P&amp;L'!R61+'PH P&amp;L'!R61+'RH P&amp;L'!R61+'SB P&amp;L'!R61+'SM P&amp;L'!R61+'WP P&amp;L'!R61+'WW P&amp;L'!R61+'HO P&amp;L'!R32</f>
        <v/>
      </c>
      <c r="S19" s="20">
        <f>'BK P&amp;L'!S61+'CC P&amp;L'!S61+'DN P&amp;L'!S61+'LF P&amp;L'!S61+'MR P&amp;L'!S61+'OP P&amp;L'!S61+'PH P&amp;L'!S61+'RH P&amp;L'!S61+'SB P&amp;L'!S61+'SM P&amp;L'!S61+'WP P&amp;L'!S61+'WW P&amp;L'!S61+'HO P&amp;L'!S32</f>
        <v/>
      </c>
      <c r="T19" s="20">
        <f>'BK P&amp;L'!T61+'CC P&amp;L'!T61+'DN P&amp;L'!T61+'LF P&amp;L'!T61+'MR P&amp;L'!T61+'OP P&amp;L'!T61+'PH P&amp;L'!T61+'RH P&amp;L'!T61+'SB P&amp;L'!T61+'SM P&amp;L'!T61+'WP P&amp;L'!T61+'WW P&amp;L'!T61+'HO P&amp;L'!T32</f>
        <v/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</row>
    <row r="20">
      <c r="B20" s="62" t="inlineStr">
        <is>
          <t>HO Other (Util+Fin)</t>
        </is>
      </c>
      <c r="D20" s="63" t="n">
        <v>0</v>
      </c>
      <c r="E20" s="63" t="n">
        <v>0</v>
      </c>
      <c r="F20" s="63" t="n">
        <v>0</v>
      </c>
      <c r="G20" s="63" t="n">
        <v>0</v>
      </c>
      <c r="H20" s="63" t="n">
        <v>1193.14</v>
      </c>
      <c r="I20" s="63" t="n">
        <v>1193.14</v>
      </c>
      <c r="J20" s="63" t="n">
        <v>1193.14</v>
      </c>
      <c r="K20" s="63" t="n">
        <v>1193.14</v>
      </c>
      <c r="L20" s="63" t="n">
        <v>1193.14</v>
      </c>
      <c r="M20" s="63" t="n">
        <v>1193.14</v>
      </c>
      <c r="N20" s="63" t="n">
        <v>1193.14</v>
      </c>
      <c r="O20" s="63" t="n">
        <v>1193.14</v>
      </c>
      <c r="P20" s="63" t="n">
        <v>1193.14</v>
      </c>
      <c r="Q20" s="63" t="n">
        <v>1193.14</v>
      </c>
      <c r="R20" s="63" t="n">
        <v>1193.14</v>
      </c>
      <c r="S20" s="63" t="n">
        <v>1193.14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0</v>
      </c>
      <c r="AE20" s="63" t="n">
        <v>0</v>
      </c>
      <c r="AF20" s="63" t="n">
        <v>0</v>
      </c>
      <c r="AG20" s="63" t="n">
        <v>0</v>
      </c>
      <c r="AH20" s="63" t="n">
        <v>0</v>
      </c>
      <c r="AI20" s="63" t="n">
        <v>0</v>
      </c>
      <c r="AJ20" s="63" t="n">
        <v>0</v>
      </c>
      <c r="AK20" s="63" t="n">
        <v>0</v>
      </c>
      <c r="AL20" s="63" t="n">
        <v>0</v>
      </c>
      <c r="AM20" s="63" t="n">
        <v>0</v>
      </c>
    </row>
    <row r="21">
      <c r="B21" s="32" t="inlineStr">
        <is>
          <t>Total Operating Expenses</t>
        </is>
      </c>
      <c r="C21" s="34" t="n"/>
      <c r="D21" s="35" t="n">
        <v>945487.6700000002</v>
      </c>
      <c r="E21" s="35" t="n">
        <v>846207.66</v>
      </c>
      <c r="F21" s="35" t="n">
        <v>863798.3500000001</v>
      </c>
      <c r="G21" s="35" t="n">
        <v>797830.6700000002</v>
      </c>
      <c r="H21" s="89" t="n">
        <v>817186.3100000001</v>
      </c>
      <c r="I21" s="17">
        <f>I14+I15+I16+I17+I18+I19+I20</f>
        <v/>
      </c>
      <c r="J21" s="17">
        <f>J14+J15+J16+J17+J18+J19+J20</f>
        <v/>
      </c>
      <c r="K21" s="17">
        <f>K14+K15+K16+K17+K18+K19+K20</f>
        <v/>
      </c>
      <c r="L21" s="17">
        <f>L14+L15+L16+L17+L18+L19+L20</f>
        <v/>
      </c>
      <c r="M21" s="17">
        <f>M14+M15+M16+M17+M18+M19+M20</f>
        <v/>
      </c>
      <c r="N21" s="17">
        <f>N14+N15+N16+N17+N18+N19+N20</f>
        <v/>
      </c>
      <c r="O21" s="17">
        <f>O14+O15+O16+O17+O18+O19+O20</f>
        <v/>
      </c>
      <c r="P21" s="17">
        <f>P14+P15+P16+P17+P18+P19+P20</f>
        <v/>
      </c>
      <c r="Q21" s="17">
        <f>Q14+Q15+Q16+Q17+Q18+Q19+Q20</f>
        <v/>
      </c>
      <c r="R21" s="17">
        <f>R14+R15+R16+R17+R18+R19+R20</f>
        <v/>
      </c>
      <c r="S21" s="17">
        <f>S14+S15+S16+S17+S18+S19+S20</f>
        <v/>
      </c>
      <c r="T21" s="17">
        <f>T14+T15+T16+T17+T18+T19+T20</f>
        <v/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</row>
    <row r="22">
      <c r="B22" s="32" t="inlineStr">
        <is>
          <t>Net Operating Income</t>
        </is>
      </c>
      <c r="C22" s="34" t="n"/>
      <c r="D22" s="35" t="n">
        <v>99364.31999999996</v>
      </c>
      <c r="E22" s="35" t="n">
        <v>84748.39999999991</v>
      </c>
      <c r="F22" s="35" t="n">
        <v>48151.75999999989</v>
      </c>
      <c r="G22" s="35" t="n">
        <v>53110.5399999998</v>
      </c>
      <c r="H22" s="89" t="n">
        <v>73731.54000000004</v>
      </c>
      <c r="I22" s="17">
        <f>I13-I21</f>
        <v/>
      </c>
      <c r="J22" s="17">
        <f>J13-J21</f>
        <v/>
      </c>
      <c r="K22" s="17">
        <f>K13-K21</f>
        <v/>
      </c>
      <c r="L22" s="17">
        <f>L13-L21</f>
        <v/>
      </c>
      <c r="M22" s="17">
        <f>M13-M21</f>
        <v/>
      </c>
      <c r="N22" s="17">
        <f>N13-N21</f>
        <v/>
      </c>
      <c r="O22" s="17">
        <f>O13-O21</f>
        <v/>
      </c>
      <c r="P22" s="17">
        <f>P13-P21</f>
        <v/>
      </c>
      <c r="Q22" s="17">
        <f>Q13-Q21</f>
        <v/>
      </c>
      <c r="R22" s="17">
        <f>R13-R21</f>
        <v/>
      </c>
      <c r="S22" s="17">
        <f>S13-S21</f>
        <v/>
      </c>
      <c r="T22" s="17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</row>
    <row r="23">
      <c r="B23" s="18" t="inlineStr">
        <is>
          <t>Depreciation</t>
        </is>
      </c>
      <c r="D23" s="19" t="n">
        <v>30633.94</v>
      </c>
      <c r="E23" s="19" t="n">
        <v>30665.6</v>
      </c>
      <c r="F23" s="19" t="n">
        <v>30876.78</v>
      </c>
      <c r="G23" s="19" t="n">
        <v>30893.75</v>
      </c>
      <c r="H23" s="88" t="n">
        <v>30876.78</v>
      </c>
      <c r="I23" s="90" t="n">
        <v>30882.44</v>
      </c>
      <c r="J23" s="90" t="n">
        <v>30882.44</v>
      </c>
      <c r="K23" s="90" t="n">
        <v>30882.44</v>
      </c>
      <c r="L23" s="90" t="n">
        <v>30882.44</v>
      </c>
      <c r="M23" s="90" t="n">
        <v>30882.44</v>
      </c>
      <c r="N23" s="90" t="n">
        <v>30882.44</v>
      </c>
      <c r="O23" s="90" t="n">
        <v>30882.44</v>
      </c>
      <c r="P23" s="90" t="n">
        <v>30882.44</v>
      </c>
      <c r="Q23" s="90" t="n">
        <v>30882.44</v>
      </c>
      <c r="R23" s="90" t="n">
        <v>30882.44</v>
      </c>
      <c r="S23" s="90" t="n">
        <v>30882.44</v>
      </c>
      <c r="T23" s="90" t="n">
        <v>30882.44</v>
      </c>
      <c r="U23" s="90" t="n">
        <v>30882.44</v>
      </c>
      <c r="V23" s="90" t="n">
        <v>30882.44</v>
      </c>
      <c r="W23" s="90" t="n">
        <v>30882.44</v>
      </c>
      <c r="X23" s="90" t="n">
        <v>30882.44</v>
      </c>
      <c r="Y23" s="90" t="n">
        <v>30882.44</v>
      </c>
      <c r="Z23" s="90" t="n">
        <v>30882.44</v>
      </c>
      <c r="AA23" s="90" t="n">
        <v>30882.44</v>
      </c>
      <c r="AB23" s="90" t="n">
        <v>30882.44</v>
      </c>
      <c r="AC23" s="90" t="n">
        <v>30882.44</v>
      </c>
      <c r="AD23" s="90" t="n">
        <v>30882.44</v>
      </c>
      <c r="AE23" s="90" t="n">
        <v>30882.44</v>
      </c>
      <c r="AF23" s="90" t="n">
        <v>30882.44</v>
      </c>
      <c r="AG23" s="90" t="n">
        <v>30882.44</v>
      </c>
      <c r="AH23" s="90" t="n">
        <v>30882.44</v>
      </c>
      <c r="AI23" s="90" t="n">
        <v>30882.44</v>
      </c>
      <c r="AJ23" s="90" t="n">
        <v>30882.44</v>
      </c>
      <c r="AK23" s="90" t="n">
        <v>30882.44</v>
      </c>
      <c r="AL23" s="90" t="n">
        <v>30882.44</v>
      </c>
      <c r="AM23" s="90" t="n">
        <v>30882.44</v>
      </c>
    </row>
    <row r="24">
      <c r="B24" s="18" t="inlineStr">
        <is>
          <t>Interest Expense</t>
        </is>
      </c>
      <c r="D24" s="19" t="n">
        <v>28621.88</v>
      </c>
      <c r="E24" s="19" t="n">
        <v>28621.88</v>
      </c>
      <c r="F24" s="19" t="n">
        <v>28621.88</v>
      </c>
      <c r="G24" s="19" t="n">
        <v>32069.59</v>
      </c>
      <c r="H24" s="88" t="n">
        <v>23912.5</v>
      </c>
      <c r="I24" s="20">
        <f>14026</f>
        <v/>
      </c>
      <c r="J24" s="20">
        <f>7728</f>
        <v/>
      </c>
      <c r="K24" s="20">
        <f>1430</f>
        <v/>
      </c>
      <c r="L24" s="20">
        <f>1082</f>
        <v/>
      </c>
      <c r="M24" s="20">
        <f>1082</f>
        <v/>
      </c>
      <c r="N24" s="20">
        <f>1082</f>
        <v/>
      </c>
      <c r="O24" s="20">
        <f>1082</f>
        <v/>
      </c>
      <c r="P24" s="20">
        <f>1082</f>
        <v/>
      </c>
      <c r="Q24" s="20">
        <f>1082</f>
        <v/>
      </c>
      <c r="R24" s="20">
        <f>1082</f>
        <v/>
      </c>
      <c r="S24" s="20">
        <f>1082</f>
        <v/>
      </c>
      <c r="T24" s="20">
        <f>1082</f>
        <v/>
      </c>
      <c r="U24" s="20">
        <f>1082</f>
        <v/>
      </c>
      <c r="V24" s="20">
        <f>1082</f>
        <v/>
      </c>
      <c r="W24" s="20">
        <f>1082</f>
        <v/>
      </c>
      <c r="X24" s="20">
        <f>1082</f>
        <v/>
      </c>
      <c r="Y24" s="20">
        <f>1082</f>
        <v/>
      </c>
      <c r="Z24" s="20">
        <f>1082</f>
        <v/>
      </c>
      <c r="AA24" s="20">
        <f>1082</f>
        <v/>
      </c>
      <c r="AB24" s="20">
        <f>1082</f>
        <v/>
      </c>
      <c r="AC24" s="20">
        <f>1082</f>
        <v/>
      </c>
      <c r="AD24" s="20">
        <f>1082</f>
        <v/>
      </c>
      <c r="AE24" s="20">
        <f>1082</f>
        <v/>
      </c>
      <c r="AF24" s="20">
        <f>1082</f>
        <v/>
      </c>
      <c r="AG24" s="20">
        <f>1082</f>
        <v/>
      </c>
      <c r="AH24" s="20">
        <f>1082</f>
        <v/>
      </c>
      <c r="AI24" s="20">
        <f>1082</f>
        <v/>
      </c>
      <c r="AJ24" s="20">
        <f>1082</f>
        <v/>
      </c>
      <c r="AK24" s="20">
        <f>1082</f>
        <v/>
      </c>
      <c r="AL24" s="20">
        <f>1082</f>
        <v/>
      </c>
      <c r="AM24" s="20">
        <f>1082</f>
        <v/>
      </c>
    </row>
    <row r="25">
      <c r="B25" s="18" t="inlineStr">
        <is>
          <t>Taxes Paid</t>
        </is>
      </c>
      <c r="D25" s="19" t="n">
        <v>0</v>
      </c>
      <c r="E25" s="19" t="n">
        <v>5143</v>
      </c>
      <c r="F25" s="19" t="n">
        <v>0</v>
      </c>
      <c r="G25" s="19" t="n">
        <v>0</v>
      </c>
      <c r="H25" s="88" t="n">
        <v>800</v>
      </c>
      <c r="I25" s="90" t="n">
        <v>266.67</v>
      </c>
      <c r="J25" s="90" t="n">
        <v>266.67</v>
      </c>
      <c r="K25" s="90" t="n">
        <v>266.67</v>
      </c>
      <c r="L25" s="90" t="n">
        <v>266.67</v>
      </c>
      <c r="M25" s="90" t="n">
        <v>266.67</v>
      </c>
      <c r="N25" s="90" t="n">
        <v>266.67</v>
      </c>
      <c r="O25" s="90" t="n">
        <v>266.67</v>
      </c>
      <c r="P25" s="90" t="n">
        <v>266.67</v>
      </c>
      <c r="Q25" s="90" t="n">
        <v>266.67</v>
      </c>
      <c r="R25" s="90" t="n">
        <v>266.67</v>
      </c>
      <c r="S25" s="90" t="n">
        <v>266.67</v>
      </c>
      <c r="T25" s="90" t="n">
        <v>266.67</v>
      </c>
      <c r="U25" s="90" t="n">
        <v>266.67</v>
      </c>
      <c r="V25" s="90" t="n">
        <v>266.67</v>
      </c>
      <c r="W25" s="90" t="n">
        <v>266.67</v>
      </c>
      <c r="X25" s="90" t="n">
        <v>266.67</v>
      </c>
      <c r="Y25" s="90" t="n">
        <v>266.67</v>
      </c>
      <c r="Z25" s="90" t="n">
        <v>266.67</v>
      </c>
      <c r="AA25" s="90" t="n">
        <v>266.67</v>
      </c>
      <c r="AB25" s="90" t="n">
        <v>266.67</v>
      </c>
      <c r="AC25" s="90" t="n">
        <v>266.67</v>
      </c>
      <c r="AD25" s="90" t="n">
        <v>266.67</v>
      </c>
      <c r="AE25" s="90" t="n">
        <v>266.67</v>
      </c>
      <c r="AF25" s="90" t="n">
        <v>266.67</v>
      </c>
      <c r="AG25" s="90" t="n">
        <v>266.67</v>
      </c>
      <c r="AH25" s="90" t="n">
        <v>266.67</v>
      </c>
      <c r="AI25" s="90" t="n">
        <v>266.67</v>
      </c>
      <c r="AJ25" s="90" t="n">
        <v>266.67</v>
      </c>
      <c r="AK25" s="90" t="n">
        <v>266.67</v>
      </c>
      <c r="AL25" s="90" t="n">
        <v>266.67</v>
      </c>
      <c r="AM25" s="90" t="n">
        <v>266.67</v>
      </c>
    </row>
    <row r="26">
      <c r="B26" s="18" t="inlineStr">
        <is>
          <t>Property Taxes</t>
        </is>
      </c>
      <c r="D26" s="19" t="n">
        <v>3673</v>
      </c>
      <c r="E26" s="19" t="n">
        <v>3673</v>
      </c>
      <c r="F26" s="19" t="n">
        <v>3673</v>
      </c>
      <c r="G26" s="19" t="n">
        <v>3673</v>
      </c>
      <c r="H26" s="88" t="n">
        <v>3673</v>
      </c>
      <c r="I26" s="90" t="n">
        <v>3673</v>
      </c>
      <c r="J26" s="90" t="n">
        <v>3673</v>
      </c>
      <c r="K26" s="90" t="n">
        <v>3673</v>
      </c>
      <c r="L26" s="90" t="n">
        <v>3673</v>
      </c>
      <c r="M26" s="90" t="n">
        <v>3673</v>
      </c>
      <c r="N26" s="90" t="n">
        <v>3673</v>
      </c>
      <c r="O26" s="90" t="n">
        <v>3673</v>
      </c>
      <c r="P26" s="90" t="n">
        <v>3673</v>
      </c>
      <c r="Q26" s="90" t="n">
        <v>3673</v>
      </c>
      <c r="R26" s="90" t="n">
        <v>3673</v>
      </c>
      <c r="S26" s="90" t="n">
        <v>3673</v>
      </c>
      <c r="T26" s="90" t="n">
        <v>3673</v>
      </c>
      <c r="U26" s="90" t="n">
        <v>3673</v>
      </c>
      <c r="V26" s="90" t="n">
        <v>3673</v>
      </c>
      <c r="W26" s="90" t="n">
        <v>3673</v>
      </c>
      <c r="X26" s="90" t="n">
        <v>3673</v>
      </c>
      <c r="Y26" s="90" t="n">
        <v>3673</v>
      </c>
      <c r="Z26" s="90" t="n">
        <v>3673</v>
      </c>
      <c r="AA26" s="90" t="n">
        <v>3673</v>
      </c>
      <c r="AB26" s="90" t="n">
        <v>3673</v>
      </c>
      <c r="AC26" s="90" t="n">
        <v>3673</v>
      </c>
      <c r="AD26" s="90" t="n">
        <v>3673</v>
      </c>
      <c r="AE26" s="90" t="n">
        <v>3673</v>
      </c>
      <c r="AF26" s="90" t="n">
        <v>3673</v>
      </c>
      <c r="AG26" s="90" t="n">
        <v>3673</v>
      </c>
      <c r="AH26" s="90" t="n">
        <v>3673</v>
      </c>
      <c r="AI26" s="90" t="n">
        <v>3673</v>
      </c>
      <c r="AJ26" s="90" t="n">
        <v>3673</v>
      </c>
      <c r="AK26" s="90" t="n">
        <v>3673</v>
      </c>
      <c r="AL26" s="90" t="n">
        <v>3673</v>
      </c>
      <c r="AM26" s="90" t="n">
        <v>3673</v>
      </c>
    </row>
    <row r="27">
      <c r="B27" s="32" t="inlineStr">
        <is>
          <t>Total Other Expenses</t>
        </is>
      </c>
      <c r="C27" s="34" t="n"/>
      <c r="D27" s="35" t="n">
        <v>62905.92</v>
      </c>
      <c r="E27" s="35" t="n">
        <v>68103.48</v>
      </c>
      <c r="F27" s="35" t="n">
        <v>63171.66</v>
      </c>
      <c r="G27" s="35" t="n">
        <v>62636.34</v>
      </c>
      <c r="H27" s="89" t="n">
        <v>64262.28</v>
      </c>
      <c r="I27" s="17">
        <f>I22+I23+I24+I25</f>
        <v/>
      </c>
      <c r="J27" s="17">
        <f>J22+J23+J24+J25</f>
        <v/>
      </c>
      <c r="K27" s="17">
        <f>K22+K23+K24+K25</f>
        <v/>
      </c>
      <c r="L27" s="17">
        <f>L22+L23+L24+L25</f>
        <v/>
      </c>
      <c r="M27" s="17">
        <f>M22+M23+M24+M25</f>
        <v/>
      </c>
      <c r="N27" s="17">
        <f>N22+N23+N24+N25</f>
        <v/>
      </c>
      <c r="O27" s="17">
        <f>O22+O23+O24+O25</f>
        <v/>
      </c>
      <c r="P27" s="17">
        <f>P22+P23+P24+P25</f>
        <v/>
      </c>
      <c r="Q27" s="17">
        <f>Q22+Q23+Q24+Q25</f>
        <v/>
      </c>
      <c r="R27" s="17">
        <f>R22+R23+R24+R25</f>
        <v/>
      </c>
      <c r="S27" s="17">
        <f>S22+S23+S24+S25</f>
        <v/>
      </c>
      <c r="T27" s="17">
        <f>T22+T23+T24+T25</f>
        <v/>
      </c>
      <c r="U27" s="17">
        <f>U22+U23+U24+U25</f>
        <v/>
      </c>
      <c r="V27" s="17">
        <f>V22+V23+V24+V25</f>
        <v/>
      </c>
      <c r="W27" s="17">
        <f>W22+W23+W24+W25</f>
        <v/>
      </c>
      <c r="X27" s="17">
        <f>X22+X23+X24+X25</f>
        <v/>
      </c>
      <c r="Y27" s="17">
        <f>Y22+Y23+Y24+Y25</f>
        <v/>
      </c>
      <c r="Z27" s="17">
        <f>Z22+Z23+Z24+Z25</f>
        <v/>
      </c>
      <c r="AA27" s="17">
        <f>AA22+AA23+AA24+AA25</f>
        <v/>
      </c>
      <c r="AB27" s="17">
        <f>AB22+AB23+AB24+AB25</f>
        <v/>
      </c>
      <c r="AC27" s="17">
        <f>AC22+AC23+AC24+AC25</f>
        <v/>
      </c>
      <c r="AD27" s="17">
        <f>AD22+AD23+AD24+AD25</f>
        <v/>
      </c>
      <c r="AE27" s="17">
        <f>AE22+AE23+AE24+AE25</f>
        <v/>
      </c>
      <c r="AF27" s="17">
        <f>AF22+AF23+AF24+AF25</f>
        <v/>
      </c>
      <c r="AG27" s="17">
        <f>AG22+AG23+AG24+AG25</f>
        <v/>
      </c>
      <c r="AH27" s="17">
        <f>AH22+AH23+AH24+AH25</f>
        <v/>
      </c>
      <c r="AI27" s="17">
        <f>AI22+AI23+AI24+AI25</f>
        <v/>
      </c>
      <c r="AJ27" s="17">
        <f>AJ22+AJ23+AJ24+AJ25</f>
        <v/>
      </c>
      <c r="AK27" s="17">
        <f>AK22+AK23+AK24+AK25</f>
        <v/>
      </c>
      <c r="AL27" s="17">
        <f>AL22+AL23+AL24+AL25</f>
        <v/>
      </c>
      <c r="AM27" s="17">
        <f>AM22+AM23+AM24+AM25</f>
        <v/>
      </c>
    </row>
    <row r="28">
      <c r="B28" s="32" t="inlineStr">
        <is>
          <t>Net Income</t>
        </is>
      </c>
      <c r="C28" s="34" t="n"/>
      <c r="D28" s="35" t="n">
        <v>36458.39999999995</v>
      </c>
      <c r="E28" s="35" t="n">
        <v>16644.91999999991</v>
      </c>
      <c r="F28" s="35" t="n">
        <v>-15019.90000000011</v>
      </c>
      <c r="G28" s="35" t="n">
        <v>-9525.800000000192</v>
      </c>
      <c r="H28" s="89" t="n">
        <v>9469.260000000038</v>
      </c>
      <c r="I28" s="17">
        <f>I21-I26</f>
        <v/>
      </c>
      <c r="J28" s="17">
        <f>J21-J26</f>
        <v/>
      </c>
      <c r="K28" s="17">
        <f>K21-K26</f>
        <v/>
      </c>
      <c r="L28" s="17">
        <f>L21-L26</f>
        <v/>
      </c>
      <c r="M28" s="17">
        <f>M21-M26</f>
        <v/>
      </c>
      <c r="N28" s="17">
        <f>N21-N26</f>
        <v/>
      </c>
      <c r="O28" s="17">
        <f>O21-O26</f>
        <v/>
      </c>
      <c r="P28" s="17">
        <f>P21-P26</f>
        <v/>
      </c>
      <c r="Q28" s="17">
        <f>Q21-Q26</f>
        <v/>
      </c>
      <c r="R28" s="17">
        <f>R21-R26</f>
        <v/>
      </c>
      <c r="S28" s="17">
        <f>S21-S26</f>
        <v/>
      </c>
      <c r="T28" s="17">
        <f>T21-T26</f>
        <v/>
      </c>
      <c r="U28" s="17">
        <f>U21-U26</f>
        <v/>
      </c>
      <c r="V28" s="17">
        <f>V21-V26</f>
        <v/>
      </c>
      <c r="W28" s="17">
        <f>W21-W26</f>
        <v/>
      </c>
      <c r="X28" s="17">
        <f>X21-X26</f>
        <v/>
      </c>
      <c r="Y28" s="17">
        <f>Y21-Y26</f>
        <v/>
      </c>
      <c r="Z28" s="17">
        <f>Z21-Z26</f>
        <v/>
      </c>
      <c r="AA28" s="17">
        <f>AA21-AA26</f>
        <v/>
      </c>
      <c r="AB28" s="17">
        <f>AB21-AB26</f>
        <v/>
      </c>
      <c r="AC28" s="17">
        <f>AC21-AC26</f>
        <v/>
      </c>
      <c r="AD28" s="17">
        <f>AD21-AD26</f>
        <v/>
      </c>
      <c r="AE28" s="17">
        <f>AE21-AE26</f>
        <v/>
      </c>
      <c r="AF28" s="17">
        <f>AF21-AF26</f>
        <v/>
      </c>
      <c r="AG28" s="17">
        <f>AG21-AG26</f>
        <v/>
      </c>
      <c r="AH28" s="17">
        <f>AH21-AH26</f>
        <v/>
      </c>
      <c r="AI28" s="17">
        <f>AI21-AI26</f>
        <v/>
      </c>
      <c r="AJ28" s="17">
        <f>AJ21-AJ26</f>
        <v/>
      </c>
      <c r="AK28" s="17">
        <f>AK21-AK26</f>
        <v/>
      </c>
      <c r="AL28" s="17">
        <f>AL21-AL26</f>
        <v/>
      </c>
      <c r="AM28" s="17">
        <f>AM21-AM26</f>
        <v/>
      </c>
    </row>
    <row r="30" ht="16" customHeight="1" s="86">
      <c r="B30" s="67" t="inlineStr">
        <is>
          <t>ADJUSTED EBITDA RECONCILIATION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8" t="n"/>
      <c r="AK30" s="68" t="n"/>
      <c r="AL30" s="68" t="n"/>
      <c r="AM30" s="68" t="n"/>
    </row>
    <row r="31">
      <c r="B31" s="69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</row>
    <row r="32">
      <c r="B32" s="70" t="inlineStr">
        <is>
          <t>Add Backs:</t>
        </is>
      </c>
    </row>
    <row r="33">
      <c r="B33" s="70" t="inlineStr">
        <is>
          <t xml:space="preserve">  West Portal Start-Up Costs</t>
        </is>
      </c>
      <c r="D33" s="71" t="n">
        <v>16222.39</v>
      </c>
      <c r="E33" s="71" t="n">
        <v>17111.26</v>
      </c>
      <c r="F33" s="71" t="n">
        <v>14310.31</v>
      </c>
      <c r="G33" s="71" t="n">
        <v>19092.69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</row>
    <row r="34">
      <c r="B34" s="70" t="inlineStr">
        <is>
          <t xml:space="preserve">  ADP Error</t>
        </is>
      </c>
      <c r="D34" s="71" t="n">
        <v>0</v>
      </c>
      <c r="E34" s="71" t="n">
        <v>0</v>
      </c>
      <c r="F34" s="71" t="n">
        <v>45000</v>
      </c>
      <c r="G34" s="71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</row>
    <row r="35">
      <c r="B35" s="70" t="inlineStr">
        <is>
          <t xml:space="preserve">  One-Time Legal Fees</t>
        </is>
      </c>
      <c r="D35" s="71" t="n">
        <v>2957</v>
      </c>
      <c r="E35" s="71" t="n">
        <v>0</v>
      </c>
      <c r="F35" s="71">
        <f>3995.5</f>
        <v/>
      </c>
      <c r="G35" s="71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</row>
    <row r="36">
      <c r="B36" s="70" t="inlineStr">
        <is>
          <t xml:space="preserve">  Santa Barbara Start Up</t>
        </is>
      </c>
      <c r="D36" s="71" t="n">
        <v>3481</v>
      </c>
      <c r="E36" s="71" t="n">
        <v>0</v>
      </c>
      <c r="F36" s="71" t="n">
        <v>0</v>
      </c>
      <c r="G36" s="71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</row>
    <row r="37">
      <c r="B37" s="70" t="inlineStr">
        <is>
          <t xml:space="preserve">  One-Time Accounting Fees</t>
        </is>
      </c>
      <c r="D37" s="71" t="n">
        <v>19887.5</v>
      </c>
      <c r="E37" s="71" t="n">
        <v>0</v>
      </c>
      <c r="F37" s="71" t="n">
        <v>0</v>
      </c>
      <c r="G37" s="71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</row>
    <row r="38">
      <c r="B38" s="69" t="inlineStr">
        <is>
          <t>Total Add Backs</t>
        </is>
      </c>
      <c r="D38" s="72">
        <f>SUM(D33:D37)</f>
        <v/>
      </c>
      <c r="E38" s="72">
        <f>SUM(E33:E37)</f>
        <v/>
      </c>
      <c r="F38" s="72">
        <f>SUM(F33:F37)</f>
        <v/>
      </c>
      <c r="G38" s="72">
        <f>SUM(G33:G37)</f>
        <v/>
      </c>
      <c r="H38" s="72">
        <f>SUM(H33:H37)</f>
        <v/>
      </c>
      <c r="I38" s="72">
        <f>SUM(I33:I37)</f>
        <v/>
      </c>
      <c r="J38" s="72">
        <f>SUM(J33:J37)</f>
        <v/>
      </c>
      <c r="K38" s="72">
        <f>SUM(K33:K37)</f>
        <v/>
      </c>
      <c r="L38" s="72">
        <f>SUM(L33:L37)</f>
        <v/>
      </c>
      <c r="M38" s="72">
        <f>SUM(M33:M37)</f>
        <v/>
      </c>
      <c r="N38" s="72">
        <f>SUM(N33:N37)</f>
        <v/>
      </c>
      <c r="O38" s="72">
        <f>SUM(O33:O37)</f>
        <v/>
      </c>
      <c r="P38" s="72">
        <f>SUM(P33:P37)</f>
        <v/>
      </c>
      <c r="Q38" s="72">
        <f>SUM(Q33:Q37)</f>
        <v/>
      </c>
      <c r="R38" s="72">
        <f>SUM(R33:R37)</f>
        <v/>
      </c>
      <c r="S38" s="72">
        <f>SUM(S33:S37)</f>
        <v/>
      </c>
      <c r="T38" s="72">
        <f>SUM(T33:T37)</f>
        <v/>
      </c>
      <c r="U38" s="72">
        <f>SUM(U33:U37)</f>
        <v/>
      </c>
      <c r="V38" s="72">
        <f>SUM(V33:V37)</f>
        <v/>
      </c>
      <c r="W38" s="72">
        <f>SUM(W33:W37)</f>
        <v/>
      </c>
      <c r="X38" s="72">
        <f>SUM(X33:X37)</f>
        <v/>
      </c>
      <c r="Y38" s="72">
        <f>SUM(Y33:Y37)</f>
        <v/>
      </c>
      <c r="Z38" s="72">
        <f>SUM(Z33:Z37)</f>
        <v/>
      </c>
      <c r="AA38" s="72">
        <f>SUM(AA33:AA37)</f>
        <v/>
      </c>
      <c r="AB38" s="72">
        <f>SUM(AB33:AB37)</f>
        <v/>
      </c>
      <c r="AC38" s="72">
        <f>SUM(AC33:AC37)</f>
        <v/>
      </c>
      <c r="AD38" s="72">
        <f>SUM(AD33:AD37)</f>
        <v/>
      </c>
      <c r="AE38" s="72">
        <f>SUM(AE33:AE37)</f>
        <v/>
      </c>
      <c r="AF38" s="72">
        <f>SUM(AF33:AF37)</f>
        <v/>
      </c>
      <c r="AG38" s="72">
        <f>SUM(AG33:AG37)</f>
        <v/>
      </c>
      <c r="AH38" s="72">
        <f>SUM(AH33:AH37)</f>
        <v/>
      </c>
      <c r="AI38" s="72">
        <f>SUM(AI33:AI37)</f>
        <v/>
      </c>
      <c r="AJ38" s="72">
        <f>SUM(AJ33:AJ37)</f>
        <v/>
      </c>
      <c r="AK38" s="72">
        <f>SUM(AK33:AK37)</f>
        <v/>
      </c>
      <c r="AL38" s="72">
        <f>SUM(AL33:AL37)</f>
        <v/>
      </c>
      <c r="AM38" s="72">
        <f>SUM(AM33:AM37)</f>
        <v/>
      </c>
    </row>
    <row r="39">
      <c r="B39" s="69" t="inlineStr">
        <is>
          <t>Adjusted EBITDA</t>
        </is>
      </c>
      <c r="D39" s="73">
        <f>D31+D38</f>
        <v/>
      </c>
      <c r="E39" s="73">
        <f>E31+E38</f>
        <v/>
      </c>
      <c r="F39" s="73">
        <f>F31+F38</f>
        <v/>
      </c>
      <c r="G39" s="73">
        <f>G31+G38</f>
        <v/>
      </c>
      <c r="H39" s="73">
        <f>H31+H38</f>
        <v/>
      </c>
      <c r="I39" s="73">
        <f>I31+I38</f>
        <v/>
      </c>
      <c r="J39" s="73">
        <f>J31+J38</f>
        <v/>
      </c>
      <c r="K39" s="73">
        <f>K31+K38</f>
        <v/>
      </c>
      <c r="L39" s="73">
        <f>L31+L38</f>
        <v/>
      </c>
      <c r="M39" s="73">
        <f>M31+M38</f>
        <v/>
      </c>
      <c r="N39" s="73">
        <f>N31+N38</f>
        <v/>
      </c>
      <c r="O39" s="73">
        <f>O31+O38</f>
        <v/>
      </c>
      <c r="P39" s="73">
        <f>P31+P38</f>
        <v/>
      </c>
      <c r="Q39" s="73">
        <f>Q31+Q38</f>
        <v/>
      </c>
      <c r="R39" s="73">
        <f>R31+R38</f>
        <v/>
      </c>
      <c r="S39" s="73">
        <f>S31+S38</f>
        <v/>
      </c>
      <c r="T39" s="73">
        <f>T31+T38</f>
        <v/>
      </c>
      <c r="U39" s="73">
        <f>U31+U38</f>
        <v/>
      </c>
      <c r="V39" s="73">
        <f>V31+V38</f>
        <v/>
      </c>
      <c r="W39" s="73">
        <f>W31+W38</f>
        <v/>
      </c>
      <c r="X39" s="73">
        <f>X31+X38</f>
        <v/>
      </c>
      <c r="Y39" s="73">
        <f>Y31+Y38</f>
        <v/>
      </c>
      <c r="Z39" s="73">
        <f>Z31+Z38</f>
        <v/>
      </c>
      <c r="AA39" s="73">
        <f>AA31+AA38</f>
        <v/>
      </c>
      <c r="AB39" s="73">
        <f>AB31+AB38</f>
        <v/>
      </c>
      <c r="AC39" s="73">
        <f>AC31+AC38</f>
        <v/>
      </c>
      <c r="AD39" s="73">
        <f>AD31+AD38</f>
        <v/>
      </c>
      <c r="AE39" s="73">
        <f>AE31+AE38</f>
        <v/>
      </c>
      <c r="AF39" s="73">
        <f>AF31+AF38</f>
        <v/>
      </c>
      <c r="AG39" s="73">
        <f>AG31+AG38</f>
        <v/>
      </c>
      <c r="AH39" s="73">
        <f>AH31+AH38</f>
        <v/>
      </c>
      <c r="AI39" s="73">
        <f>AI31+AI38</f>
        <v/>
      </c>
      <c r="AJ39" s="73">
        <f>AJ31+AJ38</f>
        <v/>
      </c>
      <c r="AK39" s="73">
        <f>AK31+AK38</f>
        <v/>
      </c>
      <c r="AL39" s="73">
        <f>AL31+AL38</f>
        <v/>
      </c>
      <c r="AM39" s="73">
        <f>AM31+AM38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B2:AM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22" customWidth="1" style="86" min="2" max="2"/>
    <col width="14" customWidth="1" style="86" min="3" max="3"/>
    <col width="12" customWidth="1" style="86" min="4" max="39"/>
  </cols>
  <sheetData>
    <row r="2" ht="21" customHeight="1" s="86">
      <c r="B2" s="9" t="inlineStr">
        <is>
          <t>All Studios — Summary</t>
        </is>
      </c>
    </row>
    <row r="4">
      <c r="B4" s="12" t="inlineStr">
        <is>
          <t>Studio / Metric</t>
        </is>
      </c>
      <c r="D4" s="14" t="inlineStr">
        <is>
          <t>Jan 2026</t>
        </is>
      </c>
      <c r="E4" s="14" t="inlineStr">
        <is>
          <t>Feb 2026</t>
        </is>
      </c>
      <c r="F4" s="14" t="inlineStr">
        <is>
          <t>Mar 2026</t>
        </is>
      </c>
      <c r="G4" s="14" t="inlineStr">
        <is>
          <t>Apr 2026</t>
        </is>
      </c>
      <c r="H4" s="14" t="inlineStr">
        <is>
          <t>May 2026</t>
        </is>
      </c>
      <c r="I4" s="14" t="inlineStr">
        <is>
          <t>Jun 2026</t>
        </is>
      </c>
      <c r="J4" s="14" t="inlineStr">
        <is>
          <t>Jul 2026</t>
        </is>
      </c>
      <c r="K4" s="14" t="inlineStr">
        <is>
          <t>Aug 2026</t>
        </is>
      </c>
      <c r="L4" s="14" t="inlineStr">
        <is>
          <t>Sep 2026</t>
        </is>
      </c>
      <c r="M4" s="14" t="inlineStr">
        <is>
          <t>Oct 2026</t>
        </is>
      </c>
      <c r="N4" s="14" t="inlineStr">
        <is>
          <t>Nov 2026</t>
        </is>
      </c>
      <c r="O4" s="14" t="inlineStr">
        <is>
          <t>Dec 2026</t>
        </is>
      </c>
      <c r="P4" s="14" t="inlineStr">
        <is>
          <t>Jan 2027</t>
        </is>
      </c>
      <c r="Q4" s="14" t="inlineStr">
        <is>
          <t>Feb 2027</t>
        </is>
      </c>
      <c r="R4" s="14" t="inlineStr">
        <is>
          <t>Mar 2027</t>
        </is>
      </c>
      <c r="S4" s="14" t="inlineStr">
        <is>
          <t>Apr 2027</t>
        </is>
      </c>
      <c r="T4" s="14" t="inlineStr">
        <is>
          <t>May 2027</t>
        </is>
      </c>
      <c r="U4" s="14" t="inlineStr">
        <is>
          <t>Jun 2027</t>
        </is>
      </c>
      <c r="V4" s="14" t="inlineStr">
        <is>
          <t>Jul 2027</t>
        </is>
      </c>
      <c r="W4" s="14" t="inlineStr">
        <is>
          <t>Aug 2027</t>
        </is>
      </c>
      <c r="X4" s="14" t="inlineStr">
        <is>
          <t>Sep 2027</t>
        </is>
      </c>
      <c r="Y4" s="14" t="inlineStr">
        <is>
          <t>Oct 2027</t>
        </is>
      </c>
      <c r="Z4" s="14" t="inlineStr">
        <is>
          <t>Nov 2027</t>
        </is>
      </c>
      <c r="AA4" s="14" t="inlineStr">
        <is>
          <t>Dec 2027</t>
        </is>
      </c>
      <c r="AB4" s="14" t="inlineStr">
        <is>
          <t>Jan 2028</t>
        </is>
      </c>
      <c r="AC4" s="14" t="inlineStr">
        <is>
          <t>Feb 2028</t>
        </is>
      </c>
      <c r="AD4" s="14" t="inlineStr">
        <is>
          <t>Mar 2028</t>
        </is>
      </c>
      <c r="AE4" s="14" t="inlineStr">
        <is>
          <t>Apr 2028</t>
        </is>
      </c>
      <c r="AF4" s="14" t="inlineStr">
        <is>
          <t>May 2028</t>
        </is>
      </c>
      <c r="AG4" s="14" t="inlineStr">
        <is>
          <t>Jun 2028</t>
        </is>
      </c>
      <c r="AH4" s="14" t="inlineStr">
        <is>
          <t>Jul 2028</t>
        </is>
      </c>
      <c r="AI4" s="14" t="inlineStr">
        <is>
          <t>Aug 2028</t>
        </is>
      </c>
      <c r="AJ4" s="14" t="inlineStr">
        <is>
          <t>Sep 2028</t>
        </is>
      </c>
      <c r="AK4" s="14" t="inlineStr">
        <is>
          <t>Oct 2028</t>
        </is>
      </c>
      <c r="AL4" s="14" t="inlineStr">
        <is>
          <t>Nov 2028</t>
        </is>
      </c>
      <c r="AM4" s="14" t="inlineStr">
        <is>
          <t>Dec 2028</t>
        </is>
      </c>
    </row>
    <row r="5" ht="16" customHeight="1" s="86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</row>
    <row r="11" ht="16" customHeight="1" s="86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</row>
    <row r="17" ht="16" customHeight="1" s="86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</row>
    <row r="23" ht="16" customHeight="1" s="86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</row>
    <row r="29" ht="16" customHeight="1" s="86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</row>
    <row r="35" ht="16" customHeight="1" s="86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</row>
    <row r="41" ht="16" customHeight="1" s="86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</row>
    <row r="47" ht="16" customHeight="1" s="86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</row>
    <row r="53" ht="16" customHeight="1" s="86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</row>
    <row r="59" ht="16" customHeight="1" s="86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</row>
    <row r="65" ht="16" customHeight="1" s="86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</row>
    <row r="71" ht="16" customHeight="1" s="86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15" activePane="bottomRight" state="frozen"/>
      <selection pane="topRight" activeCell="A1" sqref="A1"/>
      <selection pane="bottomLeft" activeCell="A1" sqref="A1"/>
      <selection pane="bottomRight" activeCell="H50" sqref="H50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Berkeley (BK)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67553.69</v>
      </c>
      <c r="E7" s="19" t="n">
        <v>60691.23</v>
      </c>
      <c r="F7" s="19" t="n">
        <v>63647.98</v>
      </c>
      <c r="G7" s="19" t="n">
        <v>60903.08</v>
      </c>
      <c r="H7" s="88" t="n">
        <v>59469.95</v>
      </c>
      <c r="I7" s="20">
        <f>I13*0.598021</f>
        <v/>
      </c>
      <c r="J7" s="20">
        <f>J13*0.598021</f>
        <v/>
      </c>
      <c r="K7" s="20">
        <f>K13*0.598021</f>
        <v/>
      </c>
      <c r="L7" s="20">
        <f>L13*0.598021</f>
        <v/>
      </c>
      <c r="M7" s="20">
        <f>M13*0.598021</f>
        <v/>
      </c>
      <c r="N7" s="20">
        <f>N13*0.598021</f>
        <v/>
      </c>
      <c r="O7" s="20">
        <f>O13*0.598021</f>
        <v/>
      </c>
      <c r="P7" s="20">
        <f>P13*0.598021</f>
        <v/>
      </c>
      <c r="Q7" s="20">
        <f>Q13*0.598021</f>
        <v/>
      </c>
      <c r="R7" s="20">
        <f>R13*0.598021</f>
        <v/>
      </c>
      <c r="S7" s="20">
        <f>S13*0.598021</f>
        <v/>
      </c>
      <c r="T7" s="20">
        <f>T13*0.598021</f>
        <v/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</row>
    <row r="8">
      <c r="B8" s="33" t="inlineStr">
        <is>
          <t xml:space="preserve">  401002 Private Pilates</t>
        </is>
      </c>
      <c r="D8" s="19" t="n">
        <v>4967</v>
      </c>
      <c r="E8" s="19" t="n">
        <v>6520</v>
      </c>
      <c r="F8" s="19" t="n">
        <v>7898</v>
      </c>
      <c r="G8" s="19" t="n">
        <v>6484</v>
      </c>
      <c r="H8" s="88" t="n">
        <v>4535</v>
      </c>
      <c r="I8" s="20">
        <f>I13*0.061196</f>
        <v/>
      </c>
      <c r="J8" s="20">
        <f>J13*0.061196</f>
        <v/>
      </c>
      <c r="K8" s="20">
        <f>K13*0.061196</f>
        <v/>
      </c>
      <c r="L8" s="20">
        <f>L13*0.061196</f>
        <v/>
      </c>
      <c r="M8" s="20">
        <f>M13*0.061196</f>
        <v/>
      </c>
      <c r="N8" s="20">
        <f>N13*0.061196</f>
        <v/>
      </c>
      <c r="O8" s="20">
        <f>O13*0.061196</f>
        <v/>
      </c>
      <c r="P8" s="20">
        <f>P13*0.061196</f>
        <v/>
      </c>
      <c r="Q8" s="20">
        <f>Q13*0.061196</f>
        <v/>
      </c>
      <c r="R8" s="20">
        <f>R13*0.061196</f>
        <v/>
      </c>
      <c r="S8" s="20">
        <f>S13*0.061196</f>
        <v/>
      </c>
      <c r="T8" s="20">
        <f>T13*0.061196</f>
        <v/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</row>
    <row r="9">
      <c r="B9" s="33" t="inlineStr">
        <is>
          <t xml:space="preserve">  401003 Class Pass</t>
        </is>
      </c>
      <c r="D9" s="19" t="n">
        <v>28869.3</v>
      </c>
      <c r="E9" s="19" t="n">
        <v>25522.33</v>
      </c>
      <c r="F9" s="19" t="n">
        <v>29455.32</v>
      </c>
      <c r="G9" s="19" t="n">
        <v>30289</v>
      </c>
      <c r="H9" s="88" t="n">
        <v>26097.27</v>
      </c>
      <c r="I9" s="20">
        <f>I13*0.270003</f>
        <v/>
      </c>
      <c r="J9" s="20">
        <f>J13*0.270003</f>
        <v/>
      </c>
      <c r="K9" s="20">
        <f>K13*0.270003</f>
        <v/>
      </c>
      <c r="L9" s="20">
        <f>L13*0.270003</f>
        <v/>
      </c>
      <c r="M9" s="20">
        <f>M13*0.270003</f>
        <v/>
      </c>
      <c r="N9" s="20">
        <f>N13*0.270003</f>
        <v/>
      </c>
      <c r="O9" s="20">
        <f>O13*0.270003</f>
        <v/>
      </c>
      <c r="P9" s="20">
        <f>P13*0.270003</f>
        <v/>
      </c>
      <c r="Q9" s="20">
        <f>Q13*0.270003</f>
        <v/>
      </c>
      <c r="R9" s="20">
        <f>R13*0.270003</f>
        <v/>
      </c>
      <c r="S9" s="20">
        <f>S13*0.270003</f>
        <v/>
      </c>
      <c r="T9" s="20">
        <f>T13*0.270003</f>
        <v/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</row>
    <row r="10">
      <c r="B10" s="33" t="inlineStr">
        <is>
          <t xml:space="preserve">  401004 Mighty Teacher Training</t>
        </is>
      </c>
      <c r="D10" s="19" t="n">
        <v>21644.5</v>
      </c>
      <c r="E10" s="19" t="n">
        <v>6831</v>
      </c>
      <c r="F10" s="19" t="n">
        <v>0</v>
      </c>
      <c r="G10" s="19" t="n">
        <v>0</v>
      </c>
      <c r="H10" s="88" t="n">
        <v>0</v>
      </c>
      <c r="I10" s="20">
        <f>I13*0.067362</f>
        <v/>
      </c>
      <c r="J10" s="20">
        <f>J13*0.067362</f>
        <v/>
      </c>
      <c r="K10" s="20">
        <f>K13*0.067362</f>
        <v/>
      </c>
      <c r="L10" s="20">
        <f>L13*0.067362</f>
        <v/>
      </c>
      <c r="M10" s="20">
        <f>M13*0.067362</f>
        <v/>
      </c>
      <c r="N10" s="20">
        <f>N13*0.067362</f>
        <v/>
      </c>
      <c r="O10" s="20">
        <f>O13*0.067362</f>
        <v/>
      </c>
      <c r="P10" s="20">
        <f>P13*0.067362</f>
        <v/>
      </c>
      <c r="Q10" s="20">
        <f>Q13*0.067362</f>
        <v/>
      </c>
      <c r="R10" s="20">
        <f>R13*0.067362</f>
        <v/>
      </c>
      <c r="S10" s="20">
        <f>S13*0.067362</f>
        <v/>
      </c>
      <c r="T10" s="20">
        <f>T13*0.067362</f>
        <v/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</row>
    <row r="11">
      <c r="B11" s="33" t="inlineStr">
        <is>
          <t xml:space="preserve">  401005 Livestream Classes</t>
        </is>
      </c>
      <c r="D11" s="19" t="n">
        <v>49.4</v>
      </c>
      <c r="E11" s="19" t="n">
        <v>64.90000000000001</v>
      </c>
      <c r="F11" s="19" t="n">
        <v>82.59999999999999</v>
      </c>
      <c r="G11" s="19" t="n">
        <v>18.22</v>
      </c>
      <c r="H11" s="88" t="n">
        <v>31.56</v>
      </c>
      <c r="I11" s="20">
        <f>I13*0.000509</f>
        <v/>
      </c>
      <c r="J11" s="20">
        <f>J13*0.000509</f>
        <v/>
      </c>
      <c r="K11" s="20">
        <f>K13*0.000509</f>
        <v/>
      </c>
      <c r="L11" s="20">
        <f>L13*0.000509</f>
        <v/>
      </c>
      <c r="M11" s="20">
        <f>M13*0.000509</f>
        <v/>
      </c>
      <c r="N11" s="20">
        <f>N13*0.000509</f>
        <v/>
      </c>
      <c r="O11" s="20">
        <f>O13*0.000509</f>
        <v/>
      </c>
      <c r="P11" s="20">
        <f>P13*0.000509</f>
        <v/>
      </c>
      <c r="Q11" s="20">
        <f>Q13*0.000509</f>
        <v/>
      </c>
      <c r="R11" s="20">
        <f>R13*0.000509</f>
        <v/>
      </c>
      <c r="S11" s="20">
        <f>S13*0.000509</f>
        <v/>
      </c>
      <c r="T11" s="20">
        <f>T13*0.000509</f>
        <v/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</row>
    <row r="12">
      <c r="B12" s="33" t="inlineStr">
        <is>
          <t xml:space="preserve">  401006 Wellhub</t>
        </is>
      </c>
      <c r="D12" s="19" t="n">
        <v>289</v>
      </c>
      <c r="E12" s="19" t="n">
        <v>341.54</v>
      </c>
      <c r="F12" s="19" t="n">
        <v>289</v>
      </c>
      <c r="G12" s="19" t="n">
        <v>309.99</v>
      </c>
      <c r="H12" s="88" t="n">
        <v>202.28</v>
      </c>
      <c r="I12" s="20">
        <f>I13*0.002909</f>
        <v/>
      </c>
      <c r="J12" s="20">
        <f>J13*0.002909</f>
        <v/>
      </c>
      <c r="K12" s="20">
        <f>K13*0.002909</f>
        <v/>
      </c>
      <c r="L12" s="20">
        <f>L13*0.002909</f>
        <v/>
      </c>
      <c r="M12" s="20">
        <f>M13*0.002909</f>
        <v/>
      </c>
      <c r="N12" s="20">
        <f>N13*0.002909</f>
        <v/>
      </c>
      <c r="O12" s="20">
        <f>O13*0.002909</f>
        <v/>
      </c>
      <c r="P12" s="20">
        <f>P13*0.002909</f>
        <v/>
      </c>
      <c r="Q12" s="20">
        <f>Q13*0.002909</f>
        <v/>
      </c>
      <c r="R12" s="20">
        <f>R13*0.002909</f>
        <v/>
      </c>
      <c r="S12" s="20">
        <f>S13*0.002909</f>
        <v/>
      </c>
      <c r="T12" s="20">
        <f>T13*0.002909</f>
        <v/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</row>
    <row r="13">
      <c r="B13" s="32" t="inlineStr">
        <is>
          <t>Total Sessions</t>
        </is>
      </c>
      <c r="C13" s="34" t="n"/>
      <c r="D13" s="35" t="n">
        <v>123372.89</v>
      </c>
      <c r="E13" s="35" t="n">
        <v>99971</v>
      </c>
      <c r="F13" s="35" t="n">
        <v>101372.9</v>
      </c>
      <c r="G13" s="35" t="n">
        <v>98004.29000000001</v>
      </c>
      <c r="H13" s="89" t="n">
        <v>90336.06</v>
      </c>
      <c r="I13" s="17">
        <f>'Sales Forecast'!I6*Assumptions!$C$12+'Sales Forecast'!H6*Assumptions!$D$12+'Sales Forecast'!G6*Assumptions!$E$12+'Sales Forecast'!F6*Assumptions!$F$12+'Sales Forecast'!E6*Assumptions!$G$12+'Sales Forecast'!D6*Assumptions!$H$12+'Sales Forecast'!I102*Assumptions!$I$12</f>
        <v/>
      </c>
      <c r="J13" s="17">
        <f>'Sales Forecast'!J6*Assumptions!$C$12+'Sales Forecast'!I6*Assumptions!$D$12+'Sales Forecast'!H6*Assumptions!$E$12+'Sales Forecast'!G6*Assumptions!$F$12+'Sales Forecast'!F6*Assumptions!$G$12+'Sales Forecast'!E6*Assumptions!$H$12+'Sales Forecast'!D6*Assumptions!$I$12</f>
        <v/>
      </c>
      <c r="K13" s="17">
        <f>'Sales Forecast'!K6*Assumptions!$C$12+'Sales Forecast'!J6*Assumptions!$D$12+'Sales Forecast'!I6*Assumptions!$E$12+'Sales Forecast'!H6*Assumptions!$F$12+'Sales Forecast'!G6*Assumptions!$G$12+'Sales Forecast'!F6*Assumptions!$H$12+'Sales Forecast'!E6*Assumptions!$I$12</f>
        <v/>
      </c>
      <c r="L13" s="17">
        <f>'Sales Forecast'!L6*Assumptions!$C$12+'Sales Forecast'!K6*Assumptions!$D$12+'Sales Forecast'!J6*Assumptions!$E$12+'Sales Forecast'!I6*Assumptions!$F$12+'Sales Forecast'!H6*Assumptions!$G$12+'Sales Forecast'!G6*Assumptions!$H$12+'Sales Forecast'!F6*Assumptions!$I$12</f>
        <v/>
      </c>
      <c r="M13" s="17">
        <f>'Sales Forecast'!M6*Assumptions!$C$12+'Sales Forecast'!L6*Assumptions!$D$12+'Sales Forecast'!K6*Assumptions!$E$12+'Sales Forecast'!J6*Assumptions!$F$12+'Sales Forecast'!I6*Assumptions!$G$12+'Sales Forecast'!H6*Assumptions!$H$12+'Sales Forecast'!G6*Assumptions!$I$12</f>
        <v/>
      </c>
      <c r="N13" s="17">
        <f>'Sales Forecast'!N6*Assumptions!$C$12+'Sales Forecast'!M6*Assumptions!$D$12+'Sales Forecast'!L6*Assumptions!$E$12+'Sales Forecast'!K6*Assumptions!$F$12+'Sales Forecast'!J6*Assumptions!$G$12+'Sales Forecast'!I6*Assumptions!$H$12+'Sales Forecast'!H6*Assumptions!$I$12</f>
        <v/>
      </c>
      <c r="O13" s="17">
        <f>'Sales Forecast'!O6*Assumptions!$C$12+'Sales Forecast'!N6*Assumptions!$D$12+'Sales Forecast'!M6*Assumptions!$E$12+'Sales Forecast'!L6*Assumptions!$F$12+'Sales Forecast'!K6*Assumptions!$G$12+'Sales Forecast'!J6*Assumptions!$H$12+'Sales Forecast'!I6*Assumptions!$I$12</f>
        <v/>
      </c>
      <c r="P13" s="17">
        <f>'Sales Forecast'!P6*Assumptions!$C$12+'Sales Forecast'!O6*Assumptions!$D$12+'Sales Forecast'!N6*Assumptions!$E$12+'Sales Forecast'!M6*Assumptions!$F$12+'Sales Forecast'!L6*Assumptions!$G$12+'Sales Forecast'!K6*Assumptions!$H$12+'Sales Forecast'!J6*Assumptions!$I$12</f>
        <v/>
      </c>
      <c r="Q13" s="17">
        <f>'Sales Forecast'!Q6*Assumptions!$C$12+'Sales Forecast'!P6*Assumptions!$D$12+'Sales Forecast'!O6*Assumptions!$E$12+'Sales Forecast'!N6*Assumptions!$F$12+'Sales Forecast'!M6*Assumptions!$G$12+'Sales Forecast'!L6*Assumptions!$H$12+'Sales Forecast'!K6*Assumptions!$I$12</f>
        <v/>
      </c>
      <c r="R13" s="17">
        <f>'Sales Forecast'!R6*Assumptions!$C$12+'Sales Forecast'!Q6*Assumptions!$D$12+'Sales Forecast'!P6*Assumptions!$E$12+'Sales Forecast'!O6*Assumptions!$F$12+'Sales Forecast'!N6*Assumptions!$G$12+'Sales Forecast'!M6*Assumptions!$H$12+'Sales Forecast'!L6*Assumptions!$I$12</f>
        <v/>
      </c>
      <c r="S13" s="17">
        <f>'Sales Forecast'!S6*Assumptions!$C$12+'Sales Forecast'!R6*Assumptions!$D$12+'Sales Forecast'!Q6*Assumptions!$E$12+'Sales Forecast'!P6*Assumptions!$F$12+'Sales Forecast'!O6*Assumptions!$G$12+'Sales Forecast'!N6*Assumptions!$H$12+'Sales Forecast'!M6*Assumptions!$I$12</f>
        <v/>
      </c>
      <c r="T13" s="17">
        <f>'Sales Forecast'!T6*Assumptions!$C$12+'Sales Forecast'!S6*Assumptions!$D$12+'Sales Forecast'!R6*Assumptions!$E$12+'Sales Forecast'!Q6*Assumptions!$F$12+'Sales Forecast'!P6*Assumptions!$G$12+'Sales Forecast'!O6*Assumptions!$H$12+'Sales Forecast'!N6*Assumptions!$I$12</f>
        <v/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Forecast'!O6*Assumptions!$I$12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</row>
    <row r="14">
      <c r="B14" s="33" t="inlineStr">
        <is>
          <t xml:space="preserve">  403001 Machine Breakage</t>
        </is>
      </c>
      <c r="D14" s="19" t="n">
        <v>17169.98</v>
      </c>
      <c r="E14" s="19" t="n">
        <v>24950.31</v>
      </c>
      <c r="F14" s="19" t="n">
        <v>19308.85</v>
      </c>
      <c r="G14" s="19" t="n">
        <v>22389.08</v>
      </c>
      <c r="H14" s="88" t="n">
        <v>17746.33</v>
      </c>
      <c r="I14" s="20">
        <f>I17*0.952386</f>
        <v/>
      </c>
      <c r="J14" s="20">
        <f>J17*0.952386</f>
        <v/>
      </c>
      <c r="K14" s="20">
        <f>K17*0.952386</f>
        <v/>
      </c>
      <c r="L14" s="20">
        <f>L17*0.952386</f>
        <v/>
      </c>
      <c r="M14" s="20">
        <f>M17*0.952386</f>
        <v/>
      </c>
      <c r="N14" s="20">
        <f>N17*0.952386</f>
        <v/>
      </c>
      <c r="O14" s="20">
        <f>O17*0.952386</f>
        <v/>
      </c>
      <c r="P14" s="20">
        <f>P17*0.952386</f>
        <v/>
      </c>
      <c r="Q14" s="20">
        <f>Q17*0.952386</f>
        <v/>
      </c>
      <c r="R14" s="20">
        <f>R17*0.952386</f>
        <v/>
      </c>
      <c r="S14" s="20">
        <f>S17*0.952386</f>
        <v/>
      </c>
      <c r="T14" s="20">
        <f>T17*0.952386</f>
        <v/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</row>
    <row r="15">
      <c r="B15" s="33" t="inlineStr">
        <is>
          <t xml:space="preserve">  403003 Private Pilates Breakage</t>
        </is>
      </c>
      <c r="D15" s="19" t="n">
        <v>1385</v>
      </c>
      <c r="E15" s="19" t="n">
        <v>430</v>
      </c>
      <c r="F15" s="19" t="n">
        <v>965</v>
      </c>
      <c r="G15" s="19" t="n">
        <v>1375</v>
      </c>
      <c r="H15" s="88" t="n">
        <v>1085</v>
      </c>
      <c r="I15" s="20">
        <f>I17*0.047211</f>
        <v/>
      </c>
      <c r="J15" s="20">
        <f>J17*0.047211</f>
        <v/>
      </c>
      <c r="K15" s="20">
        <f>K17*0.047211</f>
        <v/>
      </c>
      <c r="L15" s="20">
        <f>L17*0.047211</f>
        <v/>
      </c>
      <c r="M15" s="20">
        <f>M17*0.047211</f>
        <v/>
      </c>
      <c r="N15" s="20">
        <f>N17*0.047211</f>
        <v/>
      </c>
      <c r="O15" s="20">
        <f>O17*0.047211</f>
        <v/>
      </c>
      <c r="P15" s="20">
        <f>P17*0.047211</f>
        <v/>
      </c>
      <c r="Q15" s="20">
        <f>Q17*0.047211</f>
        <v/>
      </c>
      <c r="R15" s="20">
        <f>R17*0.047211</f>
        <v/>
      </c>
      <c r="S15" s="20">
        <f>S17*0.047211</f>
        <v/>
      </c>
      <c r="T15" s="20">
        <f>T17*0.047211</f>
        <v/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35.4</v>
      </c>
      <c r="F16" s="19" t="n">
        <v>0</v>
      </c>
      <c r="G16" s="19" t="n">
        <v>0</v>
      </c>
      <c r="H16" s="88" t="n">
        <v>0</v>
      </c>
      <c r="I16" s="20">
        <f>I17*0.000402</f>
        <v/>
      </c>
      <c r="J16" s="20">
        <f>J17*0.000402</f>
        <v/>
      </c>
      <c r="K16" s="20">
        <f>K17*0.000402</f>
        <v/>
      </c>
      <c r="L16" s="20">
        <f>L17*0.000402</f>
        <v/>
      </c>
      <c r="M16" s="20">
        <f>M17*0.000402</f>
        <v/>
      </c>
      <c r="N16" s="20">
        <f>N17*0.000402</f>
        <v/>
      </c>
      <c r="O16" s="20">
        <f>O17*0.000402</f>
        <v/>
      </c>
      <c r="P16" s="20">
        <f>P17*0.000402</f>
        <v/>
      </c>
      <c r="Q16" s="20">
        <f>Q17*0.000402</f>
        <v/>
      </c>
      <c r="R16" s="20">
        <f>R17*0.000402</f>
        <v/>
      </c>
      <c r="S16" s="20">
        <f>S17*0.000402</f>
        <v/>
      </c>
      <c r="T16" s="20">
        <f>T17*0.000402</f>
        <v/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</row>
    <row r="17">
      <c r="B17" s="32" t="inlineStr">
        <is>
          <t>Total Breakage Revenue</t>
        </is>
      </c>
      <c r="C17" s="34" t="n"/>
      <c r="D17" s="35" t="n">
        <v>18554.98</v>
      </c>
      <c r="E17" s="35" t="n">
        <v>25415.71</v>
      </c>
      <c r="F17" s="35" t="n">
        <v>20273.85</v>
      </c>
      <c r="G17" s="35" t="n">
        <v>23764.08</v>
      </c>
      <c r="H17" s="89" t="n">
        <v>18831.33</v>
      </c>
      <c r="I17" s="17">
        <f>'Sales Forecast'!I6*Assumptions!$C$13+'Sales Forecast'!H6*Assumptions!$D$13+'Sales Forecast'!G6*Assumptions!$E$13+'Sales Forecast'!F6*Assumptions!$F$13+'Sales Forecast'!E6*Assumptions!$G$13+'Sales Forecast'!D6*Assumptions!$H$13+'Sales Forecast'!I102*Assumptions!$I$13</f>
        <v/>
      </c>
      <c r="J17" s="17">
        <f>'Sales Forecast'!J6*Assumptions!$C$13+'Sales Forecast'!I6*Assumptions!$D$13+'Sales Forecast'!H6*Assumptions!$E$13+'Sales Forecast'!G6*Assumptions!$F$13+'Sales Forecast'!F6*Assumptions!$G$13+'Sales Forecast'!E6*Assumptions!$H$13+'Sales Forecast'!D6*Assumptions!$I$13</f>
        <v/>
      </c>
      <c r="K17" s="17">
        <f>'Sales Forecast'!K6*Assumptions!$C$13+'Sales Forecast'!J6*Assumptions!$D$13+'Sales Forecast'!I6*Assumptions!$E$13+'Sales Forecast'!H6*Assumptions!$F$13+'Sales Forecast'!G6*Assumptions!$G$13+'Sales Forecast'!F6*Assumptions!$H$13+'Sales Forecast'!E6*Assumptions!$I$13</f>
        <v/>
      </c>
      <c r="L17" s="17">
        <f>'Sales Forecast'!L6*Assumptions!$C$13+'Sales Forecast'!K6*Assumptions!$D$13+'Sales Forecast'!J6*Assumptions!$E$13+'Sales Forecast'!I6*Assumptions!$F$13+'Sales Forecast'!H6*Assumptions!$G$13+'Sales Forecast'!G6*Assumptions!$H$13+'Sales Forecast'!F6*Assumptions!$I$13</f>
        <v/>
      </c>
      <c r="M17" s="17">
        <f>'Sales Forecast'!M6*Assumptions!$C$13+'Sales Forecast'!L6*Assumptions!$D$13+'Sales Forecast'!K6*Assumptions!$E$13+'Sales Forecast'!J6*Assumptions!$F$13+'Sales Forecast'!I6*Assumptions!$G$13+'Sales Forecast'!H6*Assumptions!$H$13+'Sales Forecast'!G6*Assumptions!$I$13</f>
        <v/>
      </c>
      <c r="N17" s="17">
        <f>'Sales Forecast'!N6*Assumptions!$C$13+'Sales Forecast'!M6*Assumptions!$D$13+'Sales Forecast'!L6*Assumptions!$E$13+'Sales Forecast'!K6*Assumptions!$F$13+'Sales Forecast'!J6*Assumptions!$G$13+'Sales Forecast'!I6*Assumptions!$H$13+'Sales Forecast'!H6*Assumptions!$I$13</f>
        <v/>
      </c>
      <c r="O17" s="17">
        <f>'Sales Forecast'!O6*Assumptions!$C$13+'Sales Forecast'!N6*Assumptions!$D$13+'Sales Forecast'!M6*Assumptions!$E$13+'Sales Forecast'!L6*Assumptions!$F$13+'Sales Forecast'!K6*Assumptions!$G$13+'Sales Forecast'!J6*Assumptions!$H$13+'Sales Forecast'!I6*Assumptions!$I$13</f>
        <v/>
      </c>
      <c r="P17" s="17">
        <f>'Sales Forecast'!P6*Assumptions!$C$13+'Sales Forecast'!O6*Assumptions!$D$13+'Sales Forecast'!N6*Assumptions!$E$13+'Sales Forecast'!M6*Assumptions!$F$13+'Sales Forecast'!L6*Assumptions!$G$13+'Sales Forecast'!K6*Assumptions!$H$13+'Sales Forecast'!J6*Assumptions!$I$13</f>
        <v/>
      </c>
      <c r="Q17" s="17">
        <f>'Sales Forecast'!Q6*Assumptions!$C$13+'Sales Forecast'!P6*Assumptions!$D$13+'Sales Forecast'!O6*Assumptions!$E$13+'Sales Forecast'!N6*Assumptions!$F$13+'Sales Forecast'!M6*Assumptions!$G$13+'Sales Forecast'!L6*Assumptions!$H$13+'Sales Forecast'!K6*Assumptions!$I$13</f>
        <v/>
      </c>
      <c r="R17" s="17">
        <f>'Sales Forecast'!R6*Assumptions!$C$13+'Sales Forecast'!Q6*Assumptions!$D$13+'Sales Forecast'!P6*Assumptions!$E$13+'Sales Forecast'!O6*Assumptions!$F$13+'Sales Forecast'!N6*Assumptions!$G$13+'Sales Forecast'!M6*Assumptions!$H$13+'Sales Forecast'!L6*Assumptions!$I$13</f>
        <v/>
      </c>
      <c r="S17" s="17">
        <f>'Sales Forecast'!S6*Assumptions!$C$13+'Sales Forecast'!R6*Assumptions!$D$13+'Sales Forecast'!Q6*Assumptions!$E$13+'Sales Forecast'!P6*Assumptions!$F$13+'Sales Forecast'!O6*Assumptions!$G$13+'Sales Forecast'!N6*Assumptions!$H$13+'Sales Forecast'!M6*Assumptions!$I$13</f>
        <v/>
      </c>
      <c r="T17" s="17">
        <f>'Sales Forecast'!T6*Assumptions!$C$13+'Sales Forecast'!S6*Assumptions!$D$13+'Sales Forecast'!R6*Assumptions!$E$13+'Sales Forecast'!Q6*Assumptions!$F$13+'Sales Forecast'!P6*Assumptions!$G$13+'Sales Forecast'!O6*Assumptions!$H$13+'Sales Forecast'!N6*Assumptions!$I$13</f>
        <v/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Forecast'!O6*Assumptions!$I$13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</row>
    <row r="18">
      <c r="B18" s="33" t="inlineStr">
        <is>
          <t xml:space="preserve">  404000 Retail Sales</t>
        </is>
      </c>
      <c r="D18" s="19" t="n">
        <v>2152</v>
      </c>
      <c r="E18" s="19" t="n">
        <v>1414</v>
      </c>
      <c r="F18" s="19" t="n">
        <v>1104</v>
      </c>
      <c r="G18" s="19" t="n">
        <v>2254</v>
      </c>
      <c r="H18" s="88" t="n">
        <v>2098</v>
      </c>
      <c r="I18" s="20">
        <f>1731</f>
        <v/>
      </c>
      <c r="J18" s="20">
        <f>1731</f>
        <v/>
      </c>
      <c r="K18" s="20">
        <f>1731</f>
        <v/>
      </c>
      <c r="L18" s="20">
        <f>1731</f>
        <v/>
      </c>
      <c r="M18" s="20">
        <f>1731</f>
        <v/>
      </c>
      <c r="N18" s="20">
        <f>1731</f>
        <v/>
      </c>
      <c r="O18" s="20">
        <f>1731</f>
        <v/>
      </c>
      <c r="P18" s="20">
        <f>1731</f>
        <v/>
      </c>
      <c r="Q18" s="20">
        <f>1731</f>
        <v/>
      </c>
      <c r="R18" s="20">
        <f>1731</f>
        <v/>
      </c>
      <c r="S18" s="20">
        <f>1731</f>
        <v/>
      </c>
      <c r="T18" s="20">
        <f>1731</f>
        <v/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</row>
    <row r="19">
      <c r="B19" s="33" t="inlineStr">
        <is>
          <t xml:space="preserve">  406000 Refunds</t>
        </is>
      </c>
      <c r="D19" s="19" t="n">
        <v>3600</v>
      </c>
      <c r="E19" s="19" t="n">
        <v>1510</v>
      </c>
      <c r="F19" s="19" t="n">
        <v>2088</v>
      </c>
      <c r="G19" s="19" t="n">
        <v>3980</v>
      </c>
      <c r="H19" s="88" t="n">
        <v>1700</v>
      </c>
      <c r="I19" s="20">
        <f>('Sales Forecast'!I6*Assumptions!$C$12+'Sales Forecast'!H6*Assumptions!$D$12+'Sales Forecast'!G6*Assumptions!$E$12+'Sales Forecast'!F6*Assumptions!$F$12+'Sales Forecast'!E6*Assumptions!$G$12+'Sales Forecast'!D6*Assumptions!$H$12+'Sales Forecast'!I6*Assumptions!$C$13+'Sales Forecast'!H6*Assumptions!$D$13+'Sales Forecast'!G6*Assumptions!$E$13+'Sales Forecast'!F6*Assumptions!$F$13+'Sales Forecast'!E6*Assumptions!$G$13+'Sales Forecast'!D6*Assumptions!$H$13+1731)*Assumptions!$C$17</f>
        <v/>
      </c>
      <c r="J19" s="20">
        <f>('Sales Forecast'!J6*Assumptions!$C$12+'Sales Forecast'!I6*Assumptions!$D$12+'Sales Forecast'!H6*Assumptions!$E$12+'Sales Forecast'!G6*Assumptions!$F$12+'Sales Forecast'!F6*Assumptions!$G$12+'Sales Forecast'!E6*Assumptions!$H$12+'Sales Forecast'!D6*Assumptions!$I$12+'Sales Forecast'!J6*Assumptions!$C$13+'Sales Forecast'!I6*Assumptions!$D$13+'Sales Forecast'!H6*Assumptions!$E$13+'Sales Forecast'!G6*Assumptions!$F$13+'Sales Forecast'!F6*Assumptions!$G$13+'Sales Forecast'!E6*Assumptions!$H$13+'Sales Forecast'!D6*Assumptions!$I$13+1731)*Assumptions!$C$17</f>
        <v/>
      </c>
      <c r="K19" s="20">
        <f>('Sales Forecast'!K6*Assumptions!$C$12+'Sales Forecast'!J6*Assumptions!$D$12+'Sales Forecast'!I6*Assumptions!$E$12+'Sales Forecast'!H6*Assumptions!$F$12+'Sales Forecast'!G6*Assumptions!$G$12+'Sales Forecast'!F6*Assumptions!$H$12+'Sales Forecast'!E6*Assumptions!$I$12+'Sales Forecast'!K6*Assumptions!$C$13+'Sales Forecast'!J6*Assumptions!$D$13+'Sales Forecast'!I6*Assumptions!$E$13+'Sales Forecast'!H6*Assumptions!$F$13+'Sales Forecast'!G6*Assumptions!$G$13+'Sales Forecast'!F6*Assumptions!$H$13+'Sales Forecast'!E6*Assumptions!$I$13+1731)*Assumptions!$C$17</f>
        <v/>
      </c>
      <c r="L19" s="20">
        <f>('Sales Forecast'!L6*Assumptions!$C$12+'Sales Forecast'!K6*Assumptions!$D$12+'Sales Forecast'!J6*Assumptions!$E$12+'Sales Forecast'!I6*Assumptions!$F$12+'Sales Forecast'!H6*Assumptions!$G$12+'Sales Forecast'!G6*Assumptions!$H$12+'Sales Forecast'!F6*Assumptions!$I$12+'Sales Forecast'!L6*Assumptions!$C$13+'Sales Forecast'!K6*Assumptions!$D$13+'Sales Forecast'!J6*Assumptions!$E$13+'Sales Forecast'!I6*Assumptions!$F$13+'Sales Forecast'!H6*Assumptions!$G$13+'Sales Forecast'!G6*Assumptions!$H$13+'Sales Forecast'!F6*Assumptions!$I$13+1731)*Assumptions!$C$17</f>
        <v/>
      </c>
      <c r="M19" s="20">
        <f>('Sales Forecast'!M6*Assumptions!$C$12+'Sales Forecast'!L6*Assumptions!$D$12+'Sales Forecast'!K6*Assumptions!$E$12+'Sales Forecast'!J6*Assumptions!$F$12+'Sales Forecast'!I6*Assumptions!$G$12+'Sales Forecast'!H6*Assumptions!$H$12+'Sales Forecast'!G6*Assumptions!$I$12+'Sales Forecast'!M6*Assumptions!$C$13+'Sales Forecast'!L6*Assumptions!$D$13+'Sales Forecast'!K6*Assumptions!$E$13+'Sales Forecast'!J6*Assumptions!$F$13+'Sales Forecast'!I6*Assumptions!$G$13+'Sales Forecast'!H6*Assumptions!$H$13+'Sales Forecast'!G6*Assumptions!$I$13+1731)*Assumptions!$C$17</f>
        <v/>
      </c>
      <c r="N19" s="20">
        <f>('Sales Forecast'!N6*Assumptions!$C$12+'Sales Forecast'!M6*Assumptions!$D$12+'Sales Forecast'!L6*Assumptions!$E$12+'Sales Forecast'!K6*Assumptions!$F$12+'Sales Forecast'!J6*Assumptions!$G$12+'Sales Forecast'!I6*Assumptions!$H$12+'Sales Forecast'!H6*Assumptions!$I$12+'Sales Forecast'!N6*Assumptions!$C$13+'Sales Forecast'!M6*Assumptions!$D$13+'Sales Forecast'!L6*Assumptions!$E$13+'Sales Forecast'!K6*Assumptions!$F$13+'Sales Forecast'!J6*Assumptions!$G$13+'Sales Forecast'!I6*Assumptions!$H$13+'Sales Forecast'!H6*Assumptions!$I$13+1731)*Assumptions!$C$17</f>
        <v/>
      </c>
      <c r="O19" s="20">
        <f>('Sales Forecast'!O6*Assumptions!$C$12+'Sales Forecast'!N6*Assumptions!$D$12+'Sales Forecast'!M6*Assumptions!$E$12+'Sales Forecast'!L6*Assumptions!$F$12+'Sales Forecast'!K6*Assumptions!$G$12+'Sales Forecast'!J6*Assumptions!$H$12+'Sales Forecast'!I6*Assumptions!$I$12+'Sales Forecast'!O6*Assumptions!$C$13+'Sales Forecast'!N6*Assumptions!$D$13+'Sales Forecast'!M6*Assumptions!$E$13+'Sales Forecast'!L6*Assumptions!$F$13+'Sales Forecast'!K6*Assumptions!$G$13+'Sales Forecast'!J6*Assumptions!$H$13+'Sales Forecast'!I6*Assumptions!$I$13+1731)*Assumptions!$C$17</f>
        <v/>
      </c>
      <c r="P19" s="20">
        <f>('Sales Forecast'!P6*Assumptions!$C$12+'Sales Forecast'!O6*Assumptions!$D$12+'Sales Forecast'!N6*Assumptions!$E$12+'Sales Forecast'!M6*Assumptions!$F$12+'Sales Forecast'!L6*Assumptions!$G$12+'Sales Forecast'!K6*Assumptions!$H$12+'Sales Forecast'!J6*Assumptions!$I$12+'Sales Forecast'!P6*Assumptions!$C$13+'Sales Forecast'!O6*Assumptions!$D$13+'Sales Forecast'!N6*Assumptions!$E$13+'Sales Forecast'!M6*Assumptions!$F$13+'Sales Forecast'!L6*Assumptions!$G$13+'Sales Forecast'!K6*Assumptions!$H$13+'Sales Forecast'!J6*Assumptions!$I$13+1731)*Assumptions!$C$17</f>
        <v/>
      </c>
      <c r="Q19" s="20">
        <f>('Sales Forecast'!Q6*Assumptions!$C$12+'Sales Forecast'!P6*Assumptions!$D$12+'Sales Forecast'!O6*Assumptions!$E$12+'Sales Forecast'!N6*Assumptions!$F$12+'Sales Forecast'!M6*Assumptions!$G$12+'Sales Forecast'!L6*Assumptions!$H$12+'Sales Forecast'!K6*Assumptions!$I$12+'Sales Forecast'!Q6*Assumptions!$C$13+'Sales Forecast'!P6*Assumptions!$D$13+'Sales Forecast'!O6*Assumptions!$E$13+'Sales Forecast'!N6*Assumptions!$F$13+'Sales Forecast'!M6*Assumptions!$G$13+'Sales Forecast'!L6*Assumptions!$H$13+'Sales Forecast'!K6*Assumptions!$I$13+1731)*Assumptions!$C$17</f>
        <v/>
      </c>
      <c r="R19" s="20">
        <f>('Sales Forecast'!R6*Assumptions!$C$12+'Sales Forecast'!Q6*Assumptions!$D$12+'Sales Forecast'!P6*Assumptions!$E$12+'Sales Forecast'!O6*Assumptions!$F$12+'Sales Forecast'!N6*Assumptions!$G$12+'Sales Forecast'!M6*Assumptions!$H$12+'Sales Forecast'!L6*Assumptions!$I$12+'Sales Forecast'!R6*Assumptions!$C$13+'Sales Forecast'!Q6*Assumptions!$D$13+'Sales Forecast'!P6*Assumptions!$E$13+'Sales Forecast'!O6*Assumptions!$F$13+'Sales Forecast'!N6*Assumptions!$G$13+'Sales Forecast'!M6*Assumptions!$H$13+'Sales Forecast'!L6*Assumptions!$I$13+1731)*Assumptions!$C$17</f>
        <v/>
      </c>
      <c r="S19" s="20">
        <f>('Sales Forecast'!S6*Assumptions!$C$12+'Sales Forecast'!R6*Assumptions!$D$12+'Sales Forecast'!Q6*Assumptions!$E$12+'Sales Forecast'!P6*Assumptions!$F$12+'Sales Forecast'!O6*Assumptions!$G$12+'Sales Forecast'!N6*Assumptions!$H$12+'Sales Forecast'!M6*Assumptions!$I$12+'Sales Forecast'!S6*Assumptions!$C$13+'Sales Forecast'!R6*Assumptions!$D$13+'Sales Forecast'!Q6*Assumptions!$E$13+'Sales Forecast'!P6*Assumptions!$F$13+'Sales Forecast'!O6*Assumptions!$G$13+'Sales Forecast'!N6*Assumptions!$H$13+'Sales Forecast'!M6*Assumptions!$I$13+1731)*Assumptions!$C$17</f>
        <v/>
      </c>
      <c r="T19" s="20">
        <f>('Sales Forecast'!T6*Assumptions!$C$12+'Sales Forecast'!S6*Assumptions!$D$12+'Sales Forecast'!R6*Assumptions!$E$12+'Sales Forecast'!Q6*Assumptions!$F$12+'Sales Forecast'!P6*Assumptions!$G$12+'Sales Forecast'!O6*Assumptions!$H$12+'Sales Forecast'!N6*Assumptions!$I$12+'Sales Forecast'!T6*Assumptions!$C$13+'Sales Forecast'!S6*Assumptions!$D$13+'Sales Forecast'!R6*Assumptions!$E$13+'Sales Forecast'!Q6*Assumptions!$F$13+'Sales Forecast'!P6*Assumptions!$G$13+'Sales Forecast'!O6*Assumptions!$H$13+'Sales Forecast'!N6*Assumptions!$I$13+1731)*Assumptions!$C$17</f>
        <v/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Forecast'!O6*Assumptions!$I$12+'Sales Forecast'!U6*Assumptions!$C$13+'Sales Forecast'!T6*Assumptions!$D$13+'Sales Forecast'!S6*Assumptions!$E$13+'Sales Forecast'!R6*Assumptions!$F$13+'Sales Forecast'!Q6*Assumptions!$G$13+'Sales Forecast'!P6*Assumptions!$H$13+'Sales Forecast'!O6*Assumptions!$I$13+1731)*Assumptions!$C$17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</row>
    <row r="20">
      <c r="B20" s="33" t="inlineStr">
        <is>
          <t xml:space="preserve">  407000 Discounts</t>
        </is>
      </c>
      <c r="D20" s="19" t="n">
        <v>7048.4</v>
      </c>
      <c r="E20" s="19" t="n">
        <v>3527.26</v>
      </c>
      <c r="F20" s="19" t="n">
        <v>2111.8</v>
      </c>
      <c r="G20" s="19" t="n">
        <v>4735.7</v>
      </c>
      <c r="H20" s="88" t="n">
        <v>2292.2</v>
      </c>
      <c r="I20" s="20">
        <f>('Sales Forecast'!I6*Assumptions!$C$12+'Sales Forecast'!H6*Assumptions!$D$12+'Sales Forecast'!G6*Assumptions!$E$12+'Sales Forecast'!F6*Assumptions!$F$12+'Sales Forecast'!E6*Assumptions!$G$12+'Sales Forecast'!D6*Assumptions!$H$12+'Sales Forecast'!I6*Assumptions!$C$13+'Sales Forecast'!H6*Assumptions!$D$13+'Sales Forecast'!G6*Assumptions!$E$13+'Sales Forecast'!F6*Assumptions!$F$13+'Sales Forecast'!E6*Assumptions!$G$13+'Sales Forecast'!D6*Assumptions!$H$13+1731)*Assumptions!$C$18</f>
        <v/>
      </c>
      <c r="J20" s="20">
        <f>('Sales Forecast'!J6*Assumptions!$C$12+'Sales Forecast'!I6*Assumptions!$D$12+'Sales Forecast'!H6*Assumptions!$E$12+'Sales Forecast'!G6*Assumptions!$F$12+'Sales Forecast'!F6*Assumptions!$G$12+'Sales Forecast'!E6*Assumptions!$H$12+'Sales Forecast'!D6*Assumptions!$I$12+'Sales Forecast'!J6*Assumptions!$C$13+'Sales Forecast'!I6*Assumptions!$D$13+'Sales Forecast'!H6*Assumptions!$E$13+'Sales Forecast'!G6*Assumptions!$F$13+'Sales Forecast'!F6*Assumptions!$G$13+'Sales Forecast'!E6*Assumptions!$H$13+'Sales Forecast'!D6*Assumptions!$I$13+1731)*Assumptions!$C$18</f>
        <v/>
      </c>
      <c r="K20" s="20">
        <f>('Sales Forecast'!K6*Assumptions!$C$12+'Sales Forecast'!J6*Assumptions!$D$12+'Sales Forecast'!I6*Assumptions!$E$12+'Sales Forecast'!H6*Assumptions!$F$12+'Sales Forecast'!G6*Assumptions!$G$12+'Sales Forecast'!F6*Assumptions!$H$12+'Sales Forecast'!E6*Assumptions!$I$12+'Sales Forecast'!K6*Assumptions!$C$13+'Sales Forecast'!J6*Assumptions!$D$13+'Sales Forecast'!I6*Assumptions!$E$13+'Sales Forecast'!H6*Assumptions!$F$13+'Sales Forecast'!G6*Assumptions!$G$13+'Sales Forecast'!F6*Assumptions!$H$13+'Sales Forecast'!E6*Assumptions!$I$13+1731)*Assumptions!$C$18</f>
        <v/>
      </c>
      <c r="L20" s="20">
        <f>('Sales Forecast'!L6*Assumptions!$C$12+'Sales Forecast'!K6*Assumptions!$D$12+'Sales Forecast'!J6*Assumptions!$E$12+'Sales Forecast'!I6*Assumptions!$F$12+'Sales Forecast'!H6*Assumptions!$G$12+'Sales Forecast'!G6*Assumptions!$H$12+'Sales Forecast'!F6*Assumptions!$I$12+'Sales Forecast'!L6*Assumptions!$C$13+'Sales Forecast'!K6*Assumptions!$D$13+'Sales Forecast'!J6*Assumptions!$E$13+'Sales Forecast'!I6*Assumptions!$F$13+'Sales Forecast'!H6*Assumptions!$G$13+'Sales Forecast'!G6*Assumptions!$H$13+'Sales Forecast'!F6*Assumptions!$I$13+1731)*Assumptions!$C$18</f>
        <v/>
      </c>
      <c r="M20" s="20">
        <f>('Sales Forecast'!M6*Assumptions!$C$12+'Sales Forecast'!L6*Assumptions!$D$12+'Sales Forecast'!K6*Assumptions!$E$12+'Sales Forecast'!J6*Assumptions!$F$12+'Sales Forecast'!I6*Assumptions!$G$12+'Sales Forecast'!H6*Assumptions!$H$12+'Sales Forecast'!G6*Assumptions!$I$12+'Sales Forecast'!M6*Assumptions!$C$13+'Sales Forecast'!L6*Assumptions!$D$13+'Sales Forecast'!K6*Assumptions!$E$13+'Sales Forecast'!J6*Assumptions!$F$13+'Sales Forecast'!I6*Assumptions!$G$13+'Sales Forecast'!H6*Assumptions!$H$13+'Sales Forecast'!G6*Assumptions!$I$13+1731)*Assumptions!$C$18</f>
        <v/>
      </c>
      <c r="N20" s="20">
        <f>('Sales Forecast'!N6*Assumptions!$C$12+'Sales Forecast'!M6*Assumptions!$D$12+'Sales Forecast'!L6*Assumptions!$E$12+'Sales Forecast'!K6*Assumptions!$F$12+'Sales Forecast'!J6*Assumptions!$G$12+'Sales Forecast'!I6*Assumptions!$H$12+'Sales Forecast'!H6*Assumptions!$I$12+'Sales Forecast'!N6*Assumptions!$C$13+'Sales Forecast'!M6*Assumptions!$D$13+'Sales Forecast'!L6*Assumptions!$E$13+'Sales Forecast'!K6*Assumptions!$F$13+'Sales Forecast'!J6*Assumptions!$G$13+'Sales Forecast'!I6*Assumptions!$H$13+'Sales Forecast'!H6*Assumptions!$I$13+1731)*Assumptions!$C$18</f>
        <v/>
      </c>
      <c r="O20" s="20">
        <f>('Sales Forecast'!O6*Assumptions!$C$12+'Sales Forecast'!N6*Assumptions!$D$12+'Sales Forecast'!M6*Assumptions!$E$12+'Sales Forecast'!L6*Assumptions!$F$12+'Sales Forecast'!K6*Assumptions!$G$12+'Sales Forecast'!J6*Assumptions!$H$12+'Sales Forecast'!I6*Assumptions!$I$12+'Sales Forecast'!O6*Assumptions!$C$13+'Sales Forecast'!N6*Assumptions!$D$13+'Sales Forecast'!M6*Assumptions!$E$13+'Sales Forecast'!L6*Assumptions!$F$13+'Sales Forecast'!K6*Assumptions!$G$13+'Sales Forecast'!J6*Assumptions!$H$13+'Sales Forecast'!I6*Assumptions!$I$13+1731)*Assumptions!$C$18</f>
        <v/>
      </c>
      <c r="P20" s="20">
        <f>('Sales Forecast'!P6*Assumptions!$C$12+'Sales Forecast'!O6*Assumptions!$D$12+'Sales Forecast'!N6*Assumptions!$E$12+'Sales Forecast'!M6*Assumptions!$F$12+'Sales Forecast'!L6*Assumptions!$G$12+'Sales Forecast'!K6*Assumptions!$H$12+'Sales Forecast'!J6*Assumptions!$I$12+'Sales Forecast'!P6*Assumptions!$C$13+'Sales Forecast'!O6*Assumptions!$D$13+'Sales Forecast'!N6*Assumptions!$E$13+'Sales Forecast'!M6*Assumptions!$F$13+'Sales Forecast'!L6*Assumptions!$G$13+'Sales Forecast'!K6*Assumptions!$H$13+'Sales Forecast'!J6*Assumptions!$I$13+1731)*Assumptions!$C$18</f>
        <v/>
      </c>
      <c r="Q20" s="20">
        <f>('Sales Forecast'!Q6*Assumptions!$C$12+'Sales Forecast'!P6*Assumptions!$D$12+'Sales Forecast'!O6*Assumptions!$E$12+'Sales Forecast'!N6*Assumptions!$F$12+'Sales Forecast'!M6*Assumptions!$G$12+'Sales Forecast'!L6*Assumptions!$H$12+'Sales Forecast'!K6*Assumptions!$I$12+'Sales Forecast'!Q6*Assumptions!$C$13+'Sales Forecast'!P6*Assumptions!$D$13+'Sales Forecast'!O6*Assumptions!$E$13+'Sales Forecast'!N6*Assumptions!$F$13+'Sales Forecast'!M6*Assumptions!$G$13+'Sales Forecast'!L6*Assumptions!$H$13+'Sales Forecast'!K6*Assumptions!$I$13+1731)*Assumptions!$C$18</f>
        <v/>
      </c>
      <c r="R20" s="20">
        <f>('Sales Forecast'!R6*Assumptions!$C$12+'Sales Forecast'!Q6*Assumptions!$D$12+'Sales Forecast'!P6*Assumptions!$E$12+'Sales Forecast'!O6*Assumptions!$F$12+'Sales Forecast'!N6*Assumptions!$G$12+'Sales Forecast'!M6*Assumptions!$H$12+'Sales Forecast'!L6*Assumptions!$I$12+'Sales Forecast'!R6*Assumptions!$C$13+'Sales Forecast'!Q6*Assumptions!$D$13+'Sales Forecast'!P6*Assumptions!$E$13+'Sales Forecast'!O6*Assumptions!$F$13+'Sales Forecast'!N6*Assumptions!$G$13+'Sales Forecast'!M6*Assumptions!$H$13+'Sales Forecast'!L6*Assumptions!$I$13+1731)*Assumptions!$C$18</f>
        <v/>
      </c>
      <c r="S20" s="20">
        <f>('Sales Forecast'!S6*Assumptions!$C$12+'Sales Forecast'!R6*Assumptions!$D$12+'Sales Forecast'!Q6*Assumptions!$E$12+'Sales Forecast'!P6*Assumptions!$F$12+'Sales Forecast'!O6*Assumptions!$G$12+'Sales Forecast'!N6*Assumptions!$H$12+'Sales Forecast'!M6*Assumptions!$I$12+'Sales Forecast'!S6*Assumptions!$C$13+'Sales Forecast'!R6*Assumptions!$D$13+'Sales Forecast'!Q6*Assumptions!$E$13+'Sales Forecast'!P6*Assumptions!$F$13+'Sales Forecast'!O6*Assumptions!$G$13+'Sales Forecast'!N6*Assumptions!$H$13+'Sales Forecast'!M6*Assumptions!$I$13+1731)*Assumptions!$C$18</f>
        <v/>
      </c>
      <c r="T20" s="20">
        <f>('Sales Forecast'!T6*Assumptions!$C$12+'Sales Forecast'!S6*Assumptions!$D$12+'Sales Forecast'!R6*Assumptions!$E$12+'Sales Forecast'!Q6*Assumptions!$F$12+'Sales Forecast'!P6*Assumptions!$G$12+'Sales Forecast'!O6*Assumptions!$H$12+'Sales Forecast'!N6*Assumptions!$I$12+'Sales Forecast'!T6*Assumptions!$C$13+'Sales Forecast'!S6*Assumptions!$D$13+'Sales Forecast'!R6*Assumptions!$E$13+'Sales Forecast'!Q6*Assumptions!$F$13+'Sales Forecast'!P6*Assumptions!$G$13+'Sales Forecast'!O6*Assumptions!$H$13+'Sales Forecast'!N6*Assumptions!$I$13+1731)*Assumptions!$C$18</f>
        <v/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Forecast'!O6*Assumptions!$I$12+'Sales Forecast'!U6*Assumptions!$C$13+'Sales Forecast'!T6*Assumptions!$D$13+'Sales Forecast'!S6*Assumptions!$E$13+'Sales Forecast'!R6*Assumptions!$F$13+'Sales Forecast'!Q6*Assumptions!$G$13+'Sales Forecast'!P6*Assumptions!$H$13+'Sales Forecast'!O6*Assumptions!$I$13+1731)*Assumptions!$C$18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133431.47</v>
      </c>
      <c r="E21" s="35" t="n">
        <v>121763.45</v>
      </c>
      <c r="F21" s="35" t="n">
        <v>118550.95</v>
      </c>
      <c r="G21" s="35" t="n">
        <v>115306.67</v>
      </c>
      <c r="H21" s="89" t="n">
        <v>107273.19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1064.8</v>
      </c>
      <c r="E23" s="19" t="n">
        <v>699.7</v>
      </c>
      <c r="F23" s="19" t="n">
        <v>552</v>
      </c>
      <c r="G23" s="19" t="n">
        <v>1117</v>
      </c>
      <c r="H23" s="88" t="n">
        <v>1037.7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3389.06</v>
      </c>
      <c r="E24" s="19" t="n">
        <v>3622.31</v>
      </c>
      <c r="F24" s="19" t="n">
        <v>2884.21</v>
      </c>
      <c r="G24" s="19" t="n">
        <v>3288.71</v>
      </c>
      <c r="H24" s="88" t="n">
        <v>2178.41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4453.86</v>
      </c>
      <c r="E25" s="35" t="n">
        <v>4322.01</v>
      </c>
      <c r="F25" s="35" t="n">
        <v>3436.21</v>
      </c>
      <c r="G25" s="35" t="n">
        <v>4405.71</v>
      </c>
      <c r="H25" s="89" t="n">
        <v>3216.11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128977.61</v>
      </c>
      <c r="E26" s="35" t="n">
        <v>117441.44</v>
      </c>
      <c r="F26" s="35" t="n">
        <v>115114.74</v>
      </c>
      <c r="G26" s="35" t="n">
        <v>110900.96</v>
      </c>
      <c r="H26" s="89" t="n">
        <v>104057.08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890.91</v>
      </c>
      <c r="E28" s="19" t="n">
        <v>89.98999999999999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890.91</v>
      </c>
      <c r="E33" s="35" t="n">
        <v>89.98999999999999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53569.86</v>
      </c>
      <c r="E34" s="19" t="n">
        <v>45269.74</v>
      </c>
      <c r="F34" s="19" t="n">
        <v>50483.61</v>
      </c>
      <c r="G34" s="19" t="n">
        <v>48918.6</v>
      </c>
      <c r="H34" s="88" t="n">
        <v>46519.09</v>
      </c>
      <c r="I34" s="20" t="n">
        <v>43315.25</v>
      </c>
      <c r="J34" s="20" t="n">
        <v>38833.52</v>
      </c>
      <c r="K34" s="20" t="n">
        <v>41413.73</v>
      </c>
      <c r="L34" s="20" t="n">
        <v>43268.43</v>
      </c>
      <c r="M34" s="20" t="n">
        <v>45285.75</v>
      </c>
      <c r="N34" s="20" t="n">
        <v>47951.33</v>
      </c>
      <c r="O34" s="20" t="n">
        <v>51055.88</v>
      </c>
      <c r="P34" s="20" t="n">
        <v>40664.36</v>
      </c>
      <c r="Q34" s="20" t="n">
        <v>40625.33</v>
      </c>
      <c r="R34" s="20" t="n">
        <v>34619.86</v>
      </c>
      <c r="S34" s="20" t="n">
        <v>35938.11</v>
      </c>
      <c r="T34" s="20" t="n">
        <v>42329.64</v>
      </c>
      <c r="U34" s="20" t="n">
        <v>37828.54</v>
      </c>
      <c r="V34" s="20" t="n">
        <v>34441.26</v>
      </c>
      <c r="W34" s="20" t="n">
        <v>36324.13</v>
      </c>
      <c r="X34" s="20" t="n">
        <v>37477.66</v>
      </c>
      <c r="Y34" s="20" t="n">
        <v>39849.89</v>
      </c>
      <c r="Z34" s="20" t="n">
        <v>40707.25</v>
      </c>
      <c r="AA34" s="20" t="n">
        <v>44854.49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</row>
    <row r="35">
      <c r="B35" s="33" t="inlineStr">
        <is>
          <t xml:space="preserve">  602004 Payroll Taxes</t>
        </is>
      </c>
      <c r="D35" s="19" t="n">
        <v>8608.49</v>
      </c>
      <c r="E35" s="19" t="n">
        <v>4671.71</v>
      </c>
      <c r="F35" s="19" t="n">
        <v>4875.87</v>
      </c>
      <c r="G35" s="19" t="n">
        <v>4083.91</v>
      </c>
      <c r="H35" s="88" t="n">
        <v>3866.81</v>
      </c>
      <c r="I35" s="20" t="n">
        <v>4859.37</v>
      </c>
      <c r="J35" s="20" t="n">
        <v>4356.58</v>
      </c>
      <c r="K35" s="20" t="n">
        <v>4646.05</v>
      </c>
      <c r="L35" s="20" t="n">
        <v>4854.12</v>
      </c>
      <c r="M35" s="20" t="n">
        <v>5080.43</v>
      </c>
      <c r="N35" s="20" t="n">
        <v>5379.47</v>
      </c>
      <c r="O35" s="20" t="n">
        <v>5727.76</v>
      </c>
      <c r="P35" s="20" t="n">
        <v>4561.98</v>
      </c>
      <c r="Q35" s="20" t="n">
        <v>4557.6</v>
      </c>
      <c r="R35" s="20" t="n">
        <v>3883.87</v>
      </c>
      <c r="S35" s="20" t="n">
        <v>4031.76</v>
      </c>
      <c r="T35" s="20" t="n">
        <v>4748.8</v>
      </c>
      <c r="U35" s="20" t="n">
        <v>4243.84</v>
      </c>
      <c r="V35" s="20" t="n">
        <v>3863.83</v>
      </c>
      <c r="W35" s="20" t="n">
        <v>4075.06</v>
      </c>
      <c r="X35" s="20" t="n">
        <v>4204.47</v>
      </c>
      <c r="Y35" s="20" t="n">
        <v>4470.6</v>
      </c>
      <c r="Z35" s="20" t="n">
        <v>4566.79</v>
      </c>
      <c r="AA35" s="20" t="n">
        <v>5032.05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</row>
    <row r="36">
      <c r="B36" s="33" t="inlineStr">
        <is>
          <t xml:space="preserve">  602005 Employee Benefits</t>
        </is>
      </c>
      <c r="D36" s="19" t="n">
        <v>576.08</v>
      </c>
      <c r="E36" s="19" t="n">
        <v>604.4299999999999</v>
      </c>
      <c r="F36" s="19" t="n">
        <v>788.96</v>
      </c>
      <c r="G36" s="19" t="n">
        <v>594.3200000000001</v>
      </c>
      <c r="H36" s="88" t="n">
        <v>505.23</v>
      </c>
      <c r="I36" s="20" t="n">
        <v>560.1799999999999</v>
      </c>
      <c r="J36" s="20" t="n">
        <v>502.22</v>
      </c>
      <c r="K36" s="20" t="n">
        <v>535.59</v>
      </c>
      <c r="L36" s="20" t="n">
        <v>559.58</v>
      </c>
      <c r="M36" s="20" t="n">
        <v>585.66</v>
      </c>
      <c r="N36" s="20" t="n">
        <v>620.14</v>
      </c>
      <c r="O36" s="20" t="n">
        <v>660.29</v>
      </c>
      <c r="P36" s="20" t="n">
        <v>525.9</v>
      </c>
      <c r="Q36" s="20" t="n">
        <v>525.39</v>
      </c>
      <c r="R36" s="20" t="n">
        <v>447.73</v>
      </c>
      <c r="S36" s="20" t="n">
        <v>464.77</v>
      </c>
      <c r="T36" s="20" t="n">
        <v>547.4299999999999</v>
      </c>
      <c r="U36" s="20" t="n">
        <v>489.22</v>
      </c>
      <c r="V36" s="20" t="n">
        <v>445.42</v>
      </c>
      <c r="W36" s="20" t="n">
        <v>469.77</v>
      </c>
      <c r="X36" s="20" t="n">
        <v>484.69</v>
      </c>
      <c r="Y36" s="20" t="n">
        <v>515.36</v>
      </c>
      <c r="Z36" s="20" t="n">
        <v>526.45</v>
      </c>
      <c r="AA36" s="20" t="n">
        <v>580.09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</row>
    <row r="37">
      <c r="B37" s="33" t="inlineStr">
        <is>
          <t xml:space="preserve">  602010 Payroll Processing Fees</t>
        </is>
      </c>
      <c r="D37" s="19" t="n">
        <v>2263.63</v>
      </c>
      <c r="E37" s="19" t="n">
        <v>2268.79</v>
      </c>
      <c r="F37" s="19" t="n">
        <v>3275.92</v>
      </c>
      <c r="G37" s="19" t="n">
        <v>2263.27</v>
      </c>
      <c r="H37" s="88" t="n">
        <v>2125.12</v>
      </c>
      <c r="I37" s="20" t="n">
        <v>2200.62</v>
      </c>
      <c r="J37" s="20" t="n">
        <v>1972.92</v>
      </c>
      <c r="K37" s="20" t="n">
        <v>2104.01</v>
      </c>
      <c r="L37" s="20" t="n">
        <v>2198.24</v>
      </c>
      <c r="M37" s="20" t="n">
        <v>2300.73</v>
      </c>
      <c r="N37" s="20" t="n">
        <v>2436.15</v>
      </c>
      <c r="O37" s="20" t="n">
        <v>2593.88</v>
      </c>
      <c r="P37" s="20" t="n">
        <v>2065.94</v>
      </c>
      <c r="Q37" s="20" t="n">
        <v>2063.96</v>
      </c>
      <c r="R37" s="20" t="n">
        <v>1758.85</v>
      </c>
      <c r="S37" s="20" t="n">
        <v>1825.82</v>
      </c>
      <c r="T37" s="20" t="n">
        <v>2150.54</v>
      </c>
      <c r="U37" s="20" t="n">
        <v>1921.87</v>
      </c>
      <c r="V37" s="20" t="n">
        <v>1749.78</v>
      </c>
      <c r="W37" s="20" t="n">
        <v>1845.44</v>
      </c>
      <c r="X37" s="20" t="n">
        <v>1904.04</v>
      </c>
      <c r="Y37" s="20" t="n">
        <v>2024.56</v>
      </c>
      <c r="Z37" s="20" t="n">
        <v>2068.12</v>
      </c>
      <c r="AA37" s="20" t="n">
        <v>2278.82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</row>
    <row r="38">
      <c r="B38" s="32" t="inlineStr">
        <is>
          <t>Total Payroll</t>
        </is>
      </c>
      <c r="C38" s="34" t="n"/>
      <c r="D38" s="35" t="n">
        <v>65018.06</v>
      </c>
      <c r="E38" s="35" t="n">
        <v>52814.67</v>
      </c>
      <c r="F38" s="35" t="n">
        <v>59424.36</v>
      </c>
      <c r="G38" s="35" t="n">
        <v>55860.09999999999</v>
      </c>
      <c r="H38" s="89" t="n">
        <v>53016.25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790.53</v>
      </c>
      <c r="E39" s="19" t="n">
        <v>1351.94</v>
      </c>
      <c r="F39" s="19" t="n">
        <v>737.08</v>
      </c>
      <c r="G39" s="19" t="n">
        <v>763.26</v>
      </c>
      <c r="H39" s="88" t="n">
        <v>762.26</v>
      </c>
      <c r="I39" s="20" t="n">
        <v>864.3099999999999</v>
      </c>
      <c r="J39" s="20" t="n">
        <v>864.3099999999999</v>
      </c>
      <c r="K39" s="20" t="n">
        <v>864.3099999999999</v>
      </c>
      <c r="L39" s="20" t="n">
        <v>864.3099999999999</v>
      </c>
      <c r="M39" s="20" t="n">
        <v>864.3099999999999</v>
      </c>
      <c r="N39" s="20" t="n">
        <v>864.3099999999999</v>
      </c>
      <c r="O39" s="20" t="n">
        <v>864.3099999999999</v>
      </c>
      <c r="P39" s="20" t="n">
        <v>864.3099999999999</v>
      </c>
      <c r="Q39" s="20" t="n">
        <v>864.3099999999999</v>
      </c>
      <c r="R39" s="20" t="n">
        <v>864.3099999999999</v>
      </c>
      <c r="S39" s="20" t="n">
        <v>864.3099999999999</v>
      </c>
      <c r="T39" s="20" t="n">
        <v>864.3099999999999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</row>
    <row r="40">
      <c r="B40" s="33" t="inlineStr">
        <is>
          <t xml:space="preserve">  608000 Insurance</t>
        </is>
      </c>
      <c r="D40" s="19" t="n">
        <v>94.62</v>
      </c>
      <c r="E40" s="19" t="n">
        <v>94.62</v>
      </c>
      <c r="F40" s="19" t="n">
        <v>230.72</v>
      </c>
      <c r="G40" s="19" t="n">
        <v>230.72</v>
      </c>
      <c r="H40" s="88" t="n">
        <v>251.35</v>
      </c>
      <c r="I40" s="20" t="n">
        <v>154.38</v>
      </c>
      <c r="J40" s="20" t="n">
        <v>154.38</v>
      </c>
      <c r="K40" s="20" t="n">
        <v>154.38</v>
      </c>
      <c r="L40" s="20" t="n">
        <v>154.38</v>
      </c>
      <c r="M40" s="20" t="n">
        <v>154.38</v>
      </c>
      <c r="N40" s="20" t="n">
        <v>154.38</v>
      </c>
      <c r="O40" s="20" t="n">
        <v>154.38</v>
      </c>
      <c r="P40" s="20" t="n">
        <v>154.38</v>
      </c>
      <c r="Q40" s="20" t="n">
        <v>154.38</v>
      </c>
      <c r="R40" s="20" t="n">
        <v>154.38</v>
      </c>
      <c r="S40" s="20" t="n">
        <v>154.38</v>
      </c>
      <c r="T40" s="20" t="n">
        <v>154.38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</row>
    <row r="41">
      <c r="B41" s="33" t="inlineStr">
        <is>
          <t xml:space="preserve">  610000 Office Supplies</t>
        </is>
      </c>
      <c r="D41" s="19" t="n">
        <v>689.59</v>
      </c>
      <c r="E41" s="19" t="n">
        <v>149.49</v>
      </c>
      <c r="F41" s="19" t="n">
        <v>768.45</v>
      </c>
      <c r="G41" s="19" t="n">
        <v>736.05</v>
      </c>
      <c r="H41" s="88" t="n">
        <v>0</v>
      </c>
      <c r="I41" s="20" t="n">
        <v>556.05</v>
      </c>
      <c r="J41" s="20" t="n">
        <v>556.05</v>
      </c>
      <c r="K41" s="20" t="n">
        <v>556.05</v>
      </c>
      <c r="L41" s="20" t="n">
        <v>556.05</v>
      </c>
      <c r="M41" s="20" t="n">
        <v>556.05</v>
      </c>
      <c r="N41" s="20" t="n">
        <v>556.05</v>
      </c>
      <c r="O41" s="20" t="n">
        <v>556.05</v>
      </c>
      <c r="P41" s="20" t="n">
        <v>556.05</v>
      </c>
      <c r="Q41" s="20" t="n">
        <v>556.05</v>
      </c>
      <c r="R41" s="20" t="n">
        <v>556.05</v>
      </c>
      <c r="S41" s="20" t="n">
        <v>556.05</v>
      </c>
      <c r="T41" s="20" t="n">
        <v>556.05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0</v>
      </c>
      <c r="I44" s="20" t="n">
        <v>136.49</v>
      </c>
      <c r="J44" s="20" t="n">
        <v>136.49</v>
      </c>
      <c r="K44" s="20" t="n">
        <v>136.49</v>
      </c>
      <c r="L44" s="20" t="n">
        <v>136.49</v>
      </c>
      <c r="M44" s="20" t="n">
        <v>136.49</v>
      </c>
      <c r="N44" s="20" t="n">
        <v>136.49</v>
      </c>
      <c r="O44" s="20" t="n">
        <v>136.49</v>
      </c>
      <c r="P44" s="20" t="n">
        <v>136.49</v>
      </c>
      <c r="Q44" s="20" t="n">
        <v>136.49</v>
      </c>
      <c r="R44" s="20" t="n">
        <v>136.49</v>
      </c>
      <c r="S44" s="20" t="n">
        <v>136.49</v>
      </c>
      <c r="T44" s="20" t="n">
        <v>136.49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517</v>
      </c>
      <c r="E46" s="19" t="n">
        <v>517</v>
      </c>
      <c r="F46" s="19" t="n">
        <v>517</v>
      </c>
      <c r="G46" s="19" t="n">
        <v>517</v>
      </c>
      <c r="H46" s="88" t="n">
        <v>517</v>
      </c>
      <c r="I46" s="20" t="n">
        <v>380.51</v>
      </c>
      <c r="J46" s="20" t="n">
        <v>380.51</v>
      </c>
      <c r="K46" s="20" t="n">
        <v>380.51</v>
      </c>
      <c r="L46" s="20" t="n">
        <v>380.51</v>
      </c>
      <c r="M46" s="20" t="n">
        <v>380.51</v>
      </c>
      <c r="N46" s="20" t="n">
        <v>380.51</v>
      </c>
      <c r="O46" s="20" t="n">
        <v>380.51</v>
      </c>
      <c r="P46" s="20" t="n">
        <v>380.51</v>
      </c>
      <c r="Q46" s="20" t="n">
        <v>380.51</v>
      </c>
      <c r="R46" s="20" t="n">
        <v>380.51</v>
      </c>
      <c r="S46" s="20" t="n">
        <v>380.51</v>
      </c>
      <c r="T46" s="20" t="n">
        <v>380.51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</row>
    <row r="47">
      <c r="B47" s="32" t="inlineStr">
        <is>
          <t>Total Professional Fees</t>
        </is>
      </c>
      <c r="C47" s="34" t="n"/>
      <c r="D47" s="35" t="n">
        <v>517</v>
      </c>
      <c r="E47" s="35" t="n">
        <v>818.8199999999999</v>
      </c>
      <c r="F47" s="35" t="n">
        <v>957</v>
      </c>
      <c r="G47" s="35" t="n">
        <v>517</v>
      </c>
      <c r="H47" s="89" t="n">
        <v>517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17.1</v>
      </c>
      <c r="E48" s="19" t="n">
        <v>34</v>
      </c>
      <c r="F48" s="19" t="n">
        <v>6.02</v>
      </c>
      <c r="G48" s="19" t="n">
        <v>12.53</v>
      </c>
      <c r="H48" s="88" t="n">
        <v>0</v>
      </c>
      <c r="I48" s="20" t="n">
        <v>21.44</v>
      </c>
      <c r="J48" s="20" t="n">
        <v>21.44</v>
      </c>
      <c r="K48" s="20" t="n">
        <v>21.44</v>
      </c>
      <c r="L48" s="20" t="n">
        <v>21.44</v>
      </c>
      <c r="M48" s="20" t="n">
        <v>21.44</v>
      </c>
      <c r="N48" s="20" t="n">
        <v>21.44</v>
      </c>
      <c r="O48" s="20" t="n">
        <v>21.44</v>
      </c>
      <c r="P48" s="20" t="n">
        <v>21.44</v>
      </c>
      <c r="Q48" s="20" t="n">
        <v>21.44</v>
      </c>
      <c r="R48" s="20" t="n">
        <v>21.44</v>
      </c>
      <c r="S48" s="20" t="n">
        <v>21.44</v>
      </c>
      <c r="T48" s="20" t="n">
        <v>21.44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</row>
    <row r="49">
      <c r="B49" s="33" t="inlineStr">
        <is>
          <t xml:space="preserve">  606000 Meals</t>
        </is>
      </c>
      <c r="D49" s="19" t="n">
        <v>122.32</v>
      </c>
      <c r="E49" s="19" t="n">
        <v>90.59</v>
      </c>
      <c r="F49" s="19" t="n">
        <v>78.12</v>
      </c>
      <c r="G49" s="19" t="n">
        <v>92.19</v>
      </c>
      <c r="H49" s="88" t="n">
        <v>0</v>
      </c>
      <c r="I49" s="20" t="n">
        <v>117.98</v>
      </c>
      <c r="J49" s="20" t="n">
        <v>117.98</v>
      </c>
      <c r="K49" s="20" t="n">
        <v>117.98</v>
      </c>
      <c r="L49" s="20" t="n">
        <v>117.98</v>
      </c>
      <c r="M49" s="20" t="n">
        <v>117.98</v>
      </c>
      <c r="N49" s="20" t="n">
        <v>117.98</v>
      </c>
      <c r="O49" s="20" t="n">
        <v>117.98</v>
      </c>
      <c r="P49" s="20" t="n">
        <v>117.98</v>
      </c>
      <c r="Q49" s="20" t="n">
        <v>117.98</v>
      </c>
      <c r="R49" s="20" t="n">
        <v>117.98</v>
      </c>
      <c r="S49" s="20" t="n">
        <v>117.98</v>
      </c>
      <c r="T49" s="20" t="n">
        <v>117.98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212.35</v>
      </c>
      <c r="E52" s="19" t="n">
        <v>212.35</v>
      </c>
      <c r="F52" s="19" t="n">
        <v>212.35</v>
      </c>
      <c r="G52" s="19" t="n">
        <v>212.35</v>
      </c>
      <c r="H52" s="88" t="n">
        <v>0</v>
      </c>
      <c r="I52" s="20" t="n">
        <v>70.31999999999999</v>
      </c>
      <c r="J52" s="20" t="n">
        <v>70.31999999999999</v>
      </c>
      <c r="K52" s="20" t="n">
        <v>70.31999999999999</v>
      </c>
      <c r="L52" s="20" t="n">
        <v>70.31999999999999</v>
      </c>
      <c r="M52" s="20" t="n">
        <v>70.31999999999999</v>
      </c>
      <c r="N52" s="20" t="n">
        <v>70.31999999999999</v>
      </c>
      <c r="O52" s="20" t="n">
        <v>70.31999999999999</v>
      </c>
      <c r="P52" s="20" t="n">
        <v>70.31999999999999</v>
      </c>
      <c r="Q52" s="20" t="n">
        <v>70.31999999999999</v>
      </c>
      <c r="R52" s="20" t="n">
        <v>70.31999999999999</v>
      </c>
      <c r="S52" s="20" t="n">
        <v>70.31999999999999</v>
      </c>
      <c r="T52" s="20" t="n">
        <v>70.31999999999999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</row>
    <row r="53">
      <c r="B53" s="33" t="inlineStr">
        <is>
          <t xml:space="preserve">  616003 Phone service</t>
        </is>
      </c>
      <c r="D53" s="19" t="n">
        <v>116.81</v>
      </c>
      <c r="E53" s="19" t="n">
        <v>2776.16</v>
      </c>
      <c r="F53" s="19" t="n">
        <v>116.75</v>
      </c>
      <c r="G53" s="19" t="n">
        <v>116.75</v>
      </c>
      <c r="H53" s="88" t="n">
        <v>116.73</v>
      </c>
      <c r="I53" s="20" t="n">
        <v>258.84</v>
      </c>
      <c r="J53" s="20" t="n">
        <v>258.84</v>
      </c>
      <c r="K53" s="20" t="n">
        <v>258.84</v>
      </c>
      <c r="L53" s="20" t="n">
        <v>258.84</v>
      </c>
      <c r="M53" s="20" t="n">
        <v>258.84</v>
      </c>
      <c r="N53" s="20" t="n">
        <v>258.84</v>
      </c>
      <c r="O53" s="20" t="n">
        <v>258.84</v>
      </c>
      <c r="P53" s="20" t="n">
        <v>258.84</v>
      </c>
      <c r="Q53" s="20" t="n">
        <v>258.84</v>
      </c>
      <c r="R53" s="20" t="n">
        <v>258.84</v>
      </c>
      <c r="S53" s="20" t="n">
        <v>258.84</v>
      </c>
      <c r="T53" s="20" t="n">
        <v>258.84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329.16</v>
      </c>
      <c r="E56" s="35" t="n">
        <v>2988.51</v>
      </c>
      <c r="F56" s="35" t="n">
        <v>329.1</v>
      </c>
      <c r="G56" s="35" t="n">
        <v>329.1</v>
      </c>
      <c r="H56" s="89" t="n">
        <v>329.08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88" t="n">
        <v>6916.2</v>
      </c>
      <c r="I57" s="20" t="n">
        <v>7077.57</v>
      </c>
      <c r="J57" s="20" t="n">
        <v>7077.57</v>
      </c>
      <c r="K57" s="20" t="n">
        <v>7077.57</v>
      </c>
      <c r="L57" s="20" t="n">
        <v>7077.57</v>
      </c>
      <c r="M57" s="20" t="n">
        <v>7077.57</v>
      </c>
      <c r="N57" s="20" t="n">
        <v>7077.57</v>
      </c>
      <c r="O57" s="20" t="n">
        <v>7077.57</v>
      </c>
      <c r="P57" s="20" t="n">
        <v>7077.57</v>
      </c>
      <c r="Q57" s="20" t="n">
        <v>7077.57</v>
      </c>
      <c r="R57" s="20" t="n">
        <v>7077.57</v>
      </c>
      <c r="S57" s="20" t="n">
        <v>7077.57</v>
      </c>
      <c r="T57" s="20" t="n">
        <v>7077.57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</row>
    <row r="58">
      <c r="B58" s="33" t="inlineStr">
        <is>
          <t xml:space="preserve">  702000 Security</t>
        </is>
      </c>
      <c r="D58" s="19" t="n">
        <v>34.99</v>
      </c>
      <c r="E58" s="19" t="n">
        <v>34.99</v>
      </c>
      <c r="F58" s="19" t="n">
        <v>34.99</v>
      </c>
      <c r="G58" s="19" t="n">
        <v>34.99</v>
      </c>
      <c r="H58" s="88" t="n">
        <v>34.99</v>
      </c>
      <c r="I58" s="20" t="n">
        <v>35.81</v>
      </c>
      <c r="J58" s="20" t="n">
        <v>35.81</v>
      </c>
      <c r="K58" s="20" t="n">
        <v>35.81</v>
      </c>
      <c r="L58" s="20" t="n">
        <v>35.81</v>
      </c>
      <c r="M58" s="20" t="n">
        <v>35.81</v>
      </c>
      <c r="N58" s="20" t="n">
        <v>35.81</v>
      </c>
      <c r="O58" s="20" t="n">
        <v>35.81</v>
      </c>
      <c r="P58" s="20" t="n">
        <v>35.81</v>
      </c>
      <c r="Q58" s="20" t="n">
        <v>35.81</v>
      </c>
      <c r="R58" s="20" t="n">
        <v>35.81</v>
      </c>
      <c r="S58" s="20" t="n">
        <v>35.81</v>
      </c>
      <c r="T58" s="20" t="n">
        <v>35.81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</row>
    <row r="59">
      <c r="B59" s="33" t="inlineStr">
        <is>
          <t xml:space="preserve">  703000 Cleaning</t>
        </is>
      </c>
      <c r="D59" s="19" t="n">
        <v>732.99</v>
      </c>
      <c r="E59" s="19" t="n">
        <v>198.34</v>
      </c>
      <c r="F59" s="19" t="n">
        <v>743.55</v>
      </c>
      <c r="G59" s="19" t="n">
        <v>346.55</v>
      </c>
      <c r="H59" s="88" t="n">
        <v>246.89</v>
      </c>
      <c r="I59" s="20" t="n">
        <v>517.15</v>
      </c>
      <c r="J59" s="20" t="n">
        <v>517.15</v>
      </c>
      <c r="K59" s="20" t="n">
        <v>517.15</v>
      </c>
      <c r="L59" s="20" t="n">
        <v>517.15</v>
      </c>
      <c r="M59" s="20" t="n">
        <v>517.15</v>
      </c>
      <c r="N59" s="20" t="n">
        <v>517.15</v>
      </c>
      <c r="O59" s="20" t="n">
        <v>517.15</v>
      </c>
      <c r="P59" s="20" t="n">
        <v>517.15</v>
      </c>
      <c r="Q59" s="20" t="n">
        <v>517.15</v>
      </c>
      <c r="R59" s="20" t="n">
        <v>517.15</v>
      </c>
      <c r="S59" s="20" t="n">
        <v>517.15</v>
      </c>
      <c r="T59" s="20" t="n">
        <v>517.15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</row>
    <row r="60">
      <c r="B60" s="33" t="inlineStr">
        <is>
          <t xml:space="preserve">  705000 Property Maintenance</t>
        </is>
      </c>
      <c r="D60" s="19" t="n">
        <v>800</v>
      </c>
      <c r="E60" s="19" t="n">
        <v>800</v>
      </c>
      <c r="F60" s="19" t="n">
        <v>800</v>
      </c>
      <c r="G60" s="19" t="n">
        <v>800</v>
      </c>
      <c r="H60" s="88" t="n">
        <v>800</v>
      </c>
      <c r="I60" s="20" t="n">
        <v>818.67</v>
      </c>
      <c r="J60" s="20" t="n">
        <v>818.67</v>
      </c>
      <c r="K60" s="20" t="n">
        <v>818.67</v>
      </c>
      <c r="L60" s="20" t="n">
        <v>818.67</v>
      </c>
      <c r="M60" s="20" t="n">
        <v>818.67</v>
      </c>
      <c r="N60" s="20" t="n">
        <v>818.67</v>
      </c>
      <c r="O60" s="20" t="n">
        <v>818.67</v>
      </c>
      <c r="P60" s="20" t="n">
        <v>818.67</v>
      </c>
      <c r="Q60" s="20" t="n">
        <v>818.67</v>
      </c>
      <c r="R60" s="20" t="n">
        <v>818.67</v>
      </c>
      <c r="S60" s="20" t="n">
        <v>818.67</v>
      </c>
      <c r="T60" s="20" t="n">
        <v>818.67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</row>
    <row r="61">
      <c r="B61" s="32" t="inlineStr">
        <is>
          <t>Total Property Costs</t>
        </is>
      </c>
      <c r="C61" s="34" t="n"/>
      <c r="D61" s="35" t="n">
        <v>8484.18</v>
      </c>
      <c r="E61" s="35" t="n">
        <v>7949.53</v>
      </c>
      <c r="F61" s="35" t="n">
        <v>8494.74</v>
      </c>
      <c r="G61" s="35" t="n">
        <v>8097.74</v>
      </c>
      <c r="H61" s="89" t="n">
        <v>7998.08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76953.47</v>
      </c>
      <c r="E62" s="35" t="n">
        <v>66382.16</v>
      </c>
      <c r="F62" s="35" t="n">
        <v>71025.59</v>
      </c>
      <c r="G62" s="35" t="n">
        <v>67335.39</v>
      </c>
      <c r="H62" s="89" t="n">
        <v>64099.98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52024.14</v>
      </c>
      <c r="E63" s="35" t="n">
        <v>51059.28000000001</v>
      </c>
      <c r="F63" s="35" t="n">
        <v>44089.15000000002</v>
      </c>
      <c r="G63" s="35" t="n">
        <v>43565.57000000001</v>
      </c>
      <c r="H63" s="89" t="n">
        <v>39957.1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1833.55</v>
      </c>
      <c r="E65" s="19" t="n">
        <v>1833.55</v>
      </c>
      <c r="F65" s="19" t="n">
        <v>1833.55</v>
      </c>
      <c r="G65" s="19" t="n">
        <v>1833.55</v>
      </c>
      <c r="H65" s="88" t="n">
        <v>1833.55</v>
      </c>
      <c r="I65" s="20">
        <f>I69*0.929227</f>
        <v/>
      </c>
      <c r="J65" s="20">
        <f>J69*0.929227</f>
        <v/>
      </c>
      <c r="K65" s="20">
        <f>K69*0.929227</f>
        <v/>
      </c>
      <c r="L65" s="20">
        <f>L69*0.929227</f>
        <v/>
      </c>
      <c r="M65" s="20">
        <f>M69*0.929227</f>
        <v/>
      </c>
      <c r="N65" s="20">
        <f>N69*0.929227</f>
        <v/>
      </c>
      <c r="O65" s="20">
        <f>O69*0.929227</f>
        <v/>
      </c>
      <c r="P65" s="20">
        <f>P69*0.929227</f>
        <v/>
      </c>
      <c r="Q65" s="20">
        <f>Q69*0.929227</f>
        <v/>
      </c>
      <c r="R65" s="20">
        <f>R69*0.929227</f>
        <v/>
      </c>
      <c r="S65" s="20">
        <f>S69*0.929227</f>
        <v/>
      </c>
      <c r="T65" s="20">
        <f>T69*0.929227</f>
        <v/>
      </c>
      <c r="U65" s="20">
        <f>U69*0.929227</f>
        <v/>
      </c>
      <c r="V65" s="20">
        <f>V69*0.929227</f>
        <v/>
      </c>
      <c r="W65" s="20">
        <f>W69*0.929227</f>
        <v/>
      </c>
      <c r="X65" s="20">
        <f>X69*0.929227</f>
        <v/>
      </c>
      <c r="Y65" s="20">
        <f>Y69*0.929227</f>
        <v/>
      </c>
      <c r="Z65" s="20">
        <f>Z69*0.929227</f>
        <v/>
      </c>
      <c r="AA65" s="20">
        <f>AA69*0.929227</f>
        <v/>
      </c>
      <c r="AB65" s="20">
        <f>AB69*0.929227</f>
        <v/>
      </c>
      <c r="AC65" s="20">
        <f>AC69*0.929227</f>
        <v/>
      </c>
      <c r="AD65" s="20">
        <f>AD69*0.929227</f>
        <v/>
      </c>
      <c r="AE65" s="20">
        <f>AE69*0.929227</f>
        <v/>
      </c>
      <c r="AF65" s="20">
        <f>AF69*0.929227</f>
        <v/>
      </c>
      <c r="AG65" s="20">
        <f>AG69*0.929227</f>
        <v/>
      </c>
      <c r="AH65" s="20">
        <f>AH69*0.929227</f>
        <v/>
      </c>
      <c r="AI65" s="20">
        <f>AI69*0.929227</f>
        <v/>
      </c>
      <c r="AJ65" s="20">
        <f>AJ69*0.929227</f>
        <v/>
      </c>
      <c r="AK65" s="20">
        <f>AK69*0.929227</f>
        <v/>
      </c>
      <c r="AL65" s="20">
        <f>AL69*0.929227</f>
        <v/>
      </c>
      <c r="AM65" s="20">
        <f>AM69*0.929227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558.6</v>
      </c>
      <c r="F67" s="19" t="n">
        <v>0</v>
      </c>
      <c r="G67" s="19" t="n">
        <v>0</v>
      </c>
      <c r="H67" s="88" t="n">
        <v>0</v>
      </c>
      <c r="I67" s="20">
        <f>I69*0.070773</f>
        <v/>
      </c>
      <c r="J67" s="20">
        <f>J69*0.070773</f>
        <v/>
      </c>
      <c r="K67" s="20">
        <f>K69*0.070773</f>
        <v/>
      </c>
      <c r="L67" s="20">
        <f>L69*0.070773</f>
        <v/>
      </c>
      <c r="M67" s="20">
        <f>M69*0.070773</f>
        <v/>
      </c>
      <c r="N67" s="20">
        <f>N69*0.070773</f>
        <v/>
      </c>
      <c r="O67" s="20">
        <f>O69*0.070773</f>
        <v/>
      </c>
      <c r="P67" s="20">
        <f>P69*0.070773</f>
        <v/>
      </c>
      <c r="Q67" s="20">
        <f>Q69*0.070773</f>
        <v/>
      </c>
      <c r="R67" s="20">
        <f>R69*0.070773</f>
        <v/>
      </c>
      <c r="S67" s="20">
        <f>S69*0.070773</f>
        <v/>
      </c>
      <c r="T67" s="20">
        <f>T69*0.070773</f>
        <v/>
      </c>
      <c r="U67" s="20">
        <f>U69*0.070773</f>
        <v/>
      </c>
      <c r="V67" s="20">
        <f>V69*0.070773</f>
        <v/>
      </c>
      <c r="W67" s="20">
        <f>W69*0.070773</f>
        <v/>
      </c>
      <c r="X67" s="20">
        <f>X69*0.070773</f>
        <v/>
      </c>
      <c r="Y67" s="20">
        <f>Y69*0.070773</f>
        <v/>
      </c>
      <c r="Z67" s="20">
        <f>Z69*0.070773</f>
        <v/>
      </c>
      <c r="AA67" s="20">
        <f>AA69*0.070773</f>
        <v/>
      </c>
      <c r="AB67" s="20">
        <f>AB69*0.070773</f>
        <v/>
      </c>
      <c r="AC67" s="20">
        <f>AC69*0.070773</f>
        <v/>
      </c>
      <c r="AD67" s="20">
        <f>AD69*0.070773</f>
        <v/>
      </c>
      <c r="AE67" s="20">
        <f>AE69*0.070773</f>
        <v/>
      </c>
      <c r="AF67" s="20">
        <f>AF69*0.070773</f>
        <v/>
      </c>
      <c r="AG67" s="20">
        <f>AG69*0.070773</f>
        <v/>
      </c>
      <c r="AH67" s="20">
        <f>AH69*0.070773</f>
        <v/>
      </c>
      <c r="AI67" s="20">
        <f>AI69*0.070773</f>
        <v/>
      </c>
      <c r="AJ67" s="20">
        <f>AJ69*0.070773</f>
        <v/>
      </c>
      <c r="AK67" s="20">
        <f>AK69*0.070773</f>
        <v/>
      </c>
      <c r="AL67" s="20">
        <f>AL69*0.070773</f>
        <v/>
      </c>
      <c r="AM67" s="20">
        <f>AM69*0.070773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1833.55</v>
      </c>
      <c r="E69" s="35" t="n">
        <v>2392.15</v>
      </c>
      <c r="F69" s="35" t="n">
        <v>1833.55</v>
      </c>
      <c r="G69" s="35" t="n">
        <v>1833.55</v>
      </c>
      <c r="H69" s="89" t="n">
        <v>1833.55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50190.59</v>
      </c>
      <c r="E70" s="35" t="n">
        <v>48667.13000000001</v>
      </c>
      <c r="F70" s="35" t="n">
        <v>42255.60000000002</v>
      </c>
      <c r="G70" s="35" t="n">
        <v>41732.02</v>
      </c>
      <c r="H70" s="89" t="n">
        <v>38123.55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Culver City (CC)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20397.9</v>
      </c>
      <c r="E7" s="19" t="n">
        <v>19548.71</v>
      </c>
      <c r="F7" s="19" t="n">
        <v>20502.29</v>
      </c>
      <c r="G7" s="19" t="n">
        <v>17774.52</v>
      </c>
      <c r="H7" s="88" t="n">
        <v>16596.07</v>
      </c>
      <c r="I7" s="20">
        <f>I13*0.510234</f>
        <v/>
      </c>
      <c r="J7" s="20">
        <f>J13*0.510234</f>
        <v/>
      </c>
      <c r="K7" s="20">
        <f>K13*0.510234</f>
        <v/>
      </c>
      <c r="L7" s="20">
        <f>L13*0.510234</f>
        <v/>
      </c>
      <c r="M7" s="20">
        <f>M13*0.510234</f>
        <v/>
      </c>
      <c r="N7" s="20">
        <f>N13*0.510234</f>
        <v/>
      </c>
      <c r="O7" s="20">
        <f>O13*0.510234</f>
        <v/>
      </c>
      <c r="P7" s="20">
        <f>P13*0.510234</f>
        <v/>
      </c>
      <c r="Q7" s="20">
        <f>Q13*0.510234</f>
        <v/>
      </c>
      <c r="R7" s="20">
        <f>R13*0.510234</f>
        <v/>
      </c>
      <c r="S7" s="20">
        <f>S13*0.510234</f>
        <v/>
      </c>
      <c r="T7" s="20">
        <f>T13*0.510234</f>
        <v/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</row>
    <row r="8">
      <c r="B8" s="33" t="inlineStr">
        <is>
          <t xml:space="preserve">  401002 Private Pilates</t>
        </is>
      </c>
      <c r="D8" s="19" t="n">
        <v>1170</v>
      </c>
      <c r="E8" s="19" t="n">
        <v>1512</v>
      </c>
      <c r="F8" s="19" t="n">
        <v>1002</v>
      </c>
      <c r="G8" s="19" t="n">
        <v>333</v>
      </c>
      <c r="H8" s="88" t="n">
        <v>628</v>
      </c>
      <c r="I8" s="20">
        <f>I13*0.026202</f>
        <v/>
      </c>
      <c r="J8" s="20">
        <f>J13*0.026202</f>
        <v/>
      </c>
      <c r="K8" s="20">
        <f>K13*0.026202</f>
        <v/>
      </c>
      <c r="L8" s="20">
        <f>L13*0.026202</f>
        <v/>
      </c>
      <c r="M8" s="20">
        <f>M13*0.026202</f>
        <v/>
      </c>
      <c r="N8" s="20">
        <f>N13*0.026202</f>
        <v/>
      </c>
      <c r="O8" s="20">
        <f>O13*0.026202</f>
        <v/>
      </c>
      <c r="P8" s="20">
        <f>P13*0.026202</f>
        <v/>
      </c>
      <c r="Q8" s="20">
        <f>Q13*0.026202</f>
        <v/>
      </c>
      <c r="R8" s="20">
        <f>R13*0.026202</f>
        <v/>
      </c>
      <c r="S8" s="20">
        <f>S13*0.026202</f>
        <v/>
      </c>
      <c r="T8" s="20">
        <f>T13*0.026202</f>
        <v/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</row>
    <row r="9">
      <c r="B9" s="33" t="inlineStr">
        <is>
          <t xml:space="preserve">  401003 Class Pass</t>
        </is>
      </c>
      <c r="D9" s="19" t="n">
        <v>16587.97</v>
      </c>
      <c r="E9" s="19" t="n">
        <v>15654.65</v>
      </c>
      <c r="F9" s="19" t="n">
        <v>18636.28</v>
      </c>
      <c r="G9" s="19" t="n">
        <v>15895</v>
      </c>
      <c r="H9" s="88" t="n">
        <v>15302.32</v>
      </c>
      <c r="I9" s="20">
        <f>I13*0.435551</f>
        <v/>
      </c>
      <c r="J9" s="20">
        <f>J13*0.435551</f>
        <v/>
      </c>
      <c r="K9" s="20">
        <f>K13*0.435551</f>
        <v/>
      </c>
      <c r="L9" s="20">
        <f>L13*0.435551</f>
        <v/>
      </c>
      <c r="M9" s="20">
        <f>M13*0.435551</f>
        <v/>
      </c>
      <c r="N9" s="20">
        <f>N13*0.435551</f>
        <v/>
      </c>
      <c r="O9" s="20">
        <f>O13*0.435551</f>
        <v/>
      </c>
      <c r="P9" s="20">
        <f>P13*0.435551</f>
        <v/>
      </c>
      <c r="Q9" s="20">
        <f>Q13*0.435551</f>
        <v/>
      </c>
      <c r="R9" s="20">
        <f>R13*0.435551</f>
        <v/>
      </c>
      <c r="S9" s="20">
        <f>S13*0.435551</f>
        <v/>
      </c>
      <c r="T9" s="20">
        <f>T13*0.435551</f>
        <v/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1845.46</v>
      </c>
      <c r="F10" s="19" t="n">
        <v>961.04</v>
      </c>
      <c r="G10" s="19" t="n">
        <v>0</v>
      </c>
      <c r="H10" s="88" t="n">
        <v>0</v>
      </c>
      <c r="I10" s="20">
        <f>I13*0.018306</f>
        <v/>
      </c>
      <c r="J10" s="20">
        <f>J13*0.018306</f>
        <v/>
      </c>
      <c r="K10" s="20">
        <f>K13*0.018306</f>
        <v/>
      </c>
      <c r="L10" s="20">
        <f>L13*0.018306</f>
        <v/>
      </c>
      <c r="M10" s="20">
        <f>M13*0.018306</f>
        <v/>
      </c>
      <c r="N10" s="20">
        <f>N13*0.018306</f>
        <v/>
      </c>
      <c r="O10" s="20">
        <f>O13*0.018306</f>
        <v/>
      </c>
      <c r="P10" s="20">
        <f>P13*0.018306</f>
        <v/>
      </c>
      <c r="Q10" s="20">
        <f>Q13*0.018306</f>
        <v/>
      </c>
      <c r="R10" s="20">
        <f>R13*0.018306</f>
        <v/>
      </c>
      <c r="S10" s="20">
        <f>S13*0.018306</f>
        <v/>
      </c>
      <c r="T10" s="20">
        <f>T13*0.018306</f>
        <v/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37.6</v>
      </c>
      <c r="H11" s="88" t="n">
        <v>65.22</v>
      </c>
      <c r="I11" s="20">
        <f>I13*0.000245</f>
        <v/>
      </c>
      <c r="J11" s="20">
        <f>J13*0.000245</f>
        <v/>
      </c>
      <c r="K11" s="20">
        <f>K13*0.000245</f>
        <v/>
      </c>
      <c r="L11" s="20">
        <f>L13*0.000245</f>
        <v/>
      </c>
      <c r="M11" s="20">
        <f>M13*0.000245</f>
        <v/>
      </c>
      <c r="N11" s="20">
        <f>N13*0.000245</f>
        <v/>
      </c>
      <c r="O11" s="20">
        <f>O13*0.000245</f>
        <v/>
      </c>
      <c r="P11" s="20">
        <f>P13*0.000245</f>
        <v/>
      </c>
      <c r="Q11" s="20">
        <f>Q13*0.000245</f>
        <v/>
      </c>
      <c r="R11" s="20">
        <f>R13*0.000245</f>
        <v/>
      </c>
      <c r="S11" s="20">
        <f>S13*0.000245</f>
        <v/>
      </c>
      <c r="T11" s="20">
        <f>T13*0.000245</f>
        <v/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</row>
    <row r="12">
      <c r="B12" s="33" t="inlineStr">
        <is>
          <t xml:space="preserve">  401006 Wellhub</t>
        </is>
      </c>
      <c r="D12" s="19" t="n">
        <v>336.6</v>
      </c>
      <c r="E12" s="19" t="n">
        <v>367.2</v>
      </c>
      <c r="F12" s="19" t="n">
        <v>501.84</v>
      </c>
      <c r="G12" s="19" t="n">
        <v>244.8</v>
      </c>
      <c r="H12" s="88" t="n">
        <v>82.62</v>
      </c>
      <c r="I12" s="20">
        <f>I13*0.009461</f>
        <v/>
      </c>
      <c r="J12" s="20">
        <f>J13*0.009461</f>
        <v/>
      </c>
      <c r="K12" s="20">
        <f>K13*0.009461</f>
        <v/>
      </c>
      <c r="L12" s="20">
        <f>L13*0.009461</f>
        <v/>
      </c>
      <c r="M12" s="20">
        <f>M13*0.009461</f>
        <v/>
      </c>
      <c r="N12" s="20">
        <f>N13*0.009461</f>
        <v/>
      </c>
      <c r="O12" s="20">
        <f>O13*0.009461</f>
        <v/>
      </c>
      <c r="P12" s="20">
        <f>P13*0.009461</f>
        <v/>
      </c>
      <c r="Q12" s="20">
        <f>Q13*0.009461</f>
        <v/>
      </c>
      <c r="R12" s="20">
        <f>R13*0.009461</f>
        <v/>
      </c>
      <c r="S12" s="20">
        <f>S13*0.009461</f>
        <v/>
      </c>
      <c r="T12" s="20">
        <f>T13*0.009461</f>
        <v/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</row>
    <row r="13">
      <c r="B13" s="32" t="inlineStr">
        <is>
          <t>Total Sessions</t>
        </is>
      </c>
      <c r="C13" s="34" t="n"/>
      <c r="D13" s="35" t="n">
        <v>38492.47</v>
      </c>
      <c r="E13" s="35" t="n">
        <v>38928.02</v>
      </c>
      <c r="F13" s="35" t="n">
        <v>41603.45</v>
      </c>
      <c r="G13" s="35" t="n">
        <v>34284.92</v>
      </c>
      <c r="H13" s="89" t="n">
        <v>32674.23</v>
      </c>
      <c r="I13" s="17">
        <f>'Sales Forecast'!I7*Assumptions!$C$12+'Sales Forecast'!H7*Assumptions!$D$12+'Sales Forecast'!G7*Assumptions!$E$12+'Sales Forecast'!F7*Assumptions!$F$12+'Sales Forecast'!E7*Assumptions!$G$12+'Sales Forecast'!D7*Assumptions!$H$12+'Sales Forecast'!I103*Assumptions!$I$12</f>
        <v/>
      </c>
      <c r="J13" s="17">
        <f>'Sales Forecast'!J7*Assumptions!$C$12+'Sales Forecast'!I7*Assumptions!$D$12+'Sales Forecast'!H7*Assumptions!$E$12+'Sales Forecast'!G7*Assumptions!$F$12+'Sales Forecast'!F7*Assumptions!$G$12+'Sales Forecast'!E7*Assumptions!$H$12+'Sales Forecast'!D7*Assumptions!$I$12</f>
        <v/>
      </c>
      <c r="K13" s="17">
        <f>'Sales Forecast'!K7*Assumptions!$C$12+'Sales Forecast'!J7*Assumptions!$D$12+'Sales Forecast'!I7*Assumptions!$E$12+'Sales Forecast'!H7*Assumptions!$F$12+'Sales Forecast'!G7*Assumptions!$G$12+'Sales Forecast'!F7*Assumptions!$H$12+'Sales Forecast'!E7*Assumptions!$I$12</f>
        <v/>
      </c>
      <c r="L13" s="17">
        <f>'Sales Forecast'!L7*Assumptions!$C$12+'Sales Forecast'!K7*Assumptions!$D$12+'Sales Forecast'!J7*Assumptions!$E$12+'Sales Forecast'!I7*Assumptions!$F$12+'Sales Forecast'!H7*Assumptions!$G$12+'Sales Forecast'!G7*Assumptions!$H$12+'Sales Forecast'!F7*Assumptions!$I$12</f>
        <v/>
      </c>
      <c r="M13" s="17">
        <f>'Sales Forecast'!M7*Assumptions!$C$12+'Sales Forecast'!L7*Assumptions!$D$12+'Sales Forecast'!K7*Assumptions!$E$12+'Sales Forecast'!J7*Assumptions!$F$12+'Sales Forecast'!I7*Assumptions!$G$12+'Sales Forecast'!H7*Assumptions!$H$12+'Sales Forecast'!G7*Assumptions!$I$12</f>
        <v/>
      </c>
      <c r="N13" s="17">
        <f>'Sales Forecast'!N7*Assumptions!$C$12+'Sales Forecast'!M7*Assumptions!$D$12+'Sales Forecast'!L7*Assumptions!$E$12+'Sales Forecast'!K7*Assumptions!$F$12+'Sales Forecast'!J7*Assumptions!$G$12+'Sales Forecast'!I7*Assumptions!$H$12+'Sales Forecast'!H7*Assumptions!$I$12</f>
        <v/>
      </c>
      <c r="O13" s="17">
        <f>'Sales Forecast'!O7*Assumptions!$C$12+'Sales Forecast'!N7*Assumptions!$D$12+'Sales Forecast'!M7*Assumptions!$E$12+'Sales Forecast'!L7*Assumptions!$F$12+'Sales Forecast'!K7*Assumptions!$G$12+'Sales Forecast'!J7*Assumptions!$H$12+'Sales Forecast'!I7*Assumptions!$I$12</f>
        <v/>
      </c>
      <c r="P13" s="17">
        <f>'Sales Forecast'!P7*Assumptions!$C$12+'Sales Forecast'!O7*Assumptions!$D$12+'Sales Forecast'!N7*Assumptions!$E$12+'Sales Forecast'!M7*Assumptions!$F$12+'Sales Forecast'!L7*Assumptions!$G$12+'Sales Forecast'!K7*Assumptions!$H$12+'Sales Forecast'!J7*Assumptions!$I$12</f>
        <v/>
      </c>
      <c r="Q13" s="17">
        <f>'Sales Forecast'!Q7*Assumptions!$C$12+'Sales Forecast'!P7*Assumptions!$D$12+'Sales Forecast'!O7*Assumptions!$E$12+'Sales Forecast'!N7*Assumptions!$F$12+'Sales Forecast'!M7*Assumptions!$G$12+'Sales Forecast'!L7*Assumptions!$H$12+'Sales Forecast'!K7*Assumptions!$I$12</f>
        <v/>
      </c>
      <c r="R13" s="17">
        <f>'Sales Forecast'!R7*Assumptions!$C$12+'Sales Forecast'!Q7*Assumptions!$D$12+'Sales Forecast'!P7*Assumptions!$E$12+'Sales Forecast'!O7*Assumptions!$F$12+'Sales Forecast'!N7*Assumptions!$G$12+'Sales Forecast'!M7*Assumptions!$H$12+'Sales Forecast'!L7*Assumptions!$I$12</f>
        <v/>
      </c>
      <c r="S13" s="17">
        <f>'Sales Forecast'!S7*Assumptions!$C$12+'Sales Forecast'!R7*Assumptions!$D$12+'Sales Forecast'!Q7*Assumptions!$E$12+'Sales Forecast'!P7*Assumptions!$F$12+'Sales Forecast'!O7*Assumptions!$G$12+'Sales Forecast'!N7*Assumptions!$H$12+'Sales Forecast'!M7*Assumptions!$I$12</f>
        <v/>
      </c>
      <c r="T13" s="17">
        <f>'Sales Forecast'!T7*Assumptions!$C$12+'Sales Forecast'!S7*Assumptions!$D$12+'Sales Forecast'!R7*Assumptions!$E$12+'Sales Forecast'!Q7*Assumptions!$F$12+'Sales Forecast'!P7*Assumptions!$G$12+'Sales Forecast'!O7*Assumptions!$H$12+'Sales Forecast'!N7*Assumptions!$I$12</f>
        <v/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Forecast'!O7*Assumptions!$I$12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</row>
    <row r="14">
      <c r="B14" s="33" t="inlineStr">
        <is>
          <t xml:space="preserve">  403001 Machine Breakage</t>
        </is>
      </c>
      <c r="D14" s="19" t="n">
        <v>2890.72</v>
      </c>
      <c r="E14" s="19" t="n">
        <v>4105.76</v>
      </c>
      <c r="F14" s="19" t="n">
        <v>2843.53</v>
      </c>
      <c r="G14" s="19" t="n">
        <v>4737.65</v>
      </c>
      <c r="H14" s="88" t="n">
        <v>4879.41</v>
      </c>
      <c r="I14" s="20">
        <f>I17*0.979836</f>
        <v/>
      </c>
      <c r="J14" s="20">
        <f>J17*0.979836</f>
        <v/>
      </c>
      <c r="K14" s="20">
        <f>K17*0.979836</f>
        <v/>
      </c>
      <c r="L14" s="20">
        <f>L17*0.979836</f>
        <v/>
      </c>
      <c r="M14" s="20">
        <f>M17*0.979836</f>
        <v/>
      </c>
      <c r="N14" s="20">
        <f>N17*0.979836</f>
        <v/>
      </c>
      <c r="O14" s="20">
        <f>O17*0.979836</f>
        <v/>
      </c>
      <c r="P14" s="20">
        <f>P17*0.979836</f>
        <v/>
      </c>
      <c r="Q14" s="20">
        <f>Q17*0.979836</f>
        <v/>
      </c>
      <c r="R14" s="20">
        <f>R17*0.979836</f>
        <v/>
      </c>
      <c r="S14" s="20">
        <f>S17*0.979836</f>
        <v/>
      </c>
      <c r="T14" s="20">
        <f>T17*0.979836</f>
        <v/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225</v>
      </c>
      <c r="F15" s="19" t="n">
        <v>0</v>
      </c>
      <c r="G15" s="19" t="n">
        <v>75</v>
      </c>
      <c r="H15" s="88" t="n">
        <v>230</v>
      </c>
      <c r="I15" s="20">
        <f>I17*0.020164</f>
        <v/>
      </c>
      <c r="J15" s="20">
        <f>J17*0.020164</f>
        <v/>
      </c>
      <c r="K15" s="20">
        <f>K17*0.020164</f>
        <v/>
      </c>
      <c r="L15" s="20">
        <f>L17*0.020164</f>
        <v/>
      </c>
      <c r="M15" s="20">
        <f>M17*0.020164</f>
        <v/>
      </c>
      <c r="N15" s="20">
        <f>N17*0.020164</f>
        <v/>
      </c>
      <c r="O15" s="20">
        <f>O17*0.020164</f>
        <v/>
      </c>
      <c r="P15" s="20">
        <f>P17*0.020164</f>
        <v/>
      </c>
      <c r="Q15" s="20">
        <f>Q17*0.020164</f>
        <v/>
      </c>
      <c r="R15" s="20">
        <f>R17*0.020164</f>
        <v/>
      </c>
      <c r="S15" s="20">
        <f>S17*0.020164</f>
        <v/>
      </c>
      <c r="T15" s="20">
        <f>T17*0.020164</f>
        <v/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2890.72</v>
      </c>
      <c r="E17" s="35" t="n">
        <v>4330.76</v>
      </c>
      <c r="F17" s="35" t="n">
        <v>2843.53</v>
      </c>
      <c r="G17" s="35" t="n">
        <v>4812.65</v>
      </c>
      <c r="H17" s="89" t="n">
        <v>5109.41</v>
      </c>
      <c r="I17" s="17">
        <f>'Sales Forecast'!I7*Assumptions!$C$13+'Sales Forecast'!H7*Assumptions!$D$13+'Sales Forecast'!G7*Assumptions!$E$13+'Sales Forecast'!F7*Assumptions!$F$13+'Sales Forecast'!E7*Assumptions!$G$13+'Sales Forecast'!D7*Assumptions!$H$13+'Sales Forecast'!I103*Assumptions!$I$13</f>
        <v/>
      </c>
      <c r="J17" s="17">
        <f>'Sales Forecast'!J7*Assumptions!$C$13+'Sales Forecast'!I7*Assumptions!$D$13+'Sales Forecast'!H7*Assumptions!$E$13+'Sales Forecast'!G7*Assumptions!$F$13+'Sales Forecast'!F7*Assumptions!$G$13+'Sales Forecast'!E7*Assumptions!$H$13+'Sales Forecast'!D7*Assumptions!$I$13</f>
        <v/>
      </c>
      <c r="K17" s="17">
        <f>'Sales Forecast'!K7*Assumptions!$C$13+'Sales Forecast'!J7*Assumptions!$D$13+'Sales Forecast'!I7*Assumptions!$E$13+'Sales Forecast'!H7*Assumptions!$F$13+'Sales Forecast'!G7*Assumptions!$G$13+'Sales Forecast'!F7*Assumptions!$H$13+'Sales Forecast'!E7*Assumptions!$I$13</f>
        <v/>
      </c>
      <c r="L17" s="17">
        <f>'Sales Forecast'!L7*Assumptions!$C$13+'Sales Forecast'!K7*Assumptions!$D$13+'Sales Forecast'!J7*Assumptions!$E$13+'Sales Forecast'!I7*Assumptions!$F$13+'Sales Forecast'!H7*Assumptions!$G$13+'Sales Forecast'!G7*Assumptions!$H$13+'Sales Forecast'!F7*Assumptions!$I$13</f>
        <v/>
      </c>
      <c r="M17" s="17">
        <f>'Sales Forecast'!M7*Assumptions!$C$13+'Sales Forecast'!L7*Assumptions!$D$13+'Sales Forecast'!K7*Assumptions!$E$13+'Sales Forecast'!J7*Assumptions!$F$13+'Sales Forecast'!I7*Assumptions!$G$13+'Sales Forecast'!H7*Assumptions!$H$13+'Sales Forecast'!G7*Assumptions!$I$13</f>
        <v/>
      </c>
      <c r="N17" s="17">
        <f>'Sales Forecast'!N7*Assumptions!$C$13+'Sales Forecast'!M7*Assumptions!$D$13+'Sales Forecast'!L7*Assumptions!$E$13+'Sales Forecast'!K7*Assumptions!$F$13+'Sales Forecast'!J7*Assumptions!$G$13+'Sales Forecast'!I7*Assumptions!$H$13+'Sales Forecast'!H7*Assumptions!$I$13</f>
        <v/>
      </c>
      <c r="O17" s="17">
        <f>'Sales Forecast'!O7*Assumptions!$C$13+'Sales Forecast'!N7*Assumptions!$D$13+'Sales Forecast'!M7*Assumptions!$E$13+'Sales Forecast'!L7*Assumptions!$F$13+'Sales Forecast'!K7*Assumptions!$G$13+'Sales Forecast'!J7*Assumptions!$H$13+'Sales Forecast'!I7*Assumptions!$I$13</f>
        <v/>
      </c>
      <c r="P17" s="17">
        <f>'Sales Forecast'!P7*Assumptions!$C$13+'Sales Forecast'!O7*Assumptions!$D$13+'Sales Forecast'!N7*Assumptions!$E$13+'Sales Forecast'!M7*Assumptions!$F$13+'Sales Forecast'!L7*Assumptions!$G$13+'Sales Forecast'!K7*Assumptions!$H$13+'Sales Forecast'!J7*Assumptions!$I$13</f>
        <v/>
      </c>
      <c r="Q17" s="17">
        <f>'Sales Forecast'!Q7*Assumptions!$C$13+'Sales Forecast'!P7*Assumptions!$D$13+'Sales Forecast'!O7*Assumptions!$E$13+'Sales Forecast'!N7*Assumptions!$F$13+'Sales Forecast'!M7*Assumptions!$G$13+'Sales Forecast'!L7*Assumptions!$H$13+'Sales Forecast'!K7*Assumptions!$I$13</f>
        <v/>
      </c>
      <c r="R17" s="17">
        <f>'Sales Forecast'!R7*Assumptions!$C$13+'Sales Forecast'!Q7*Assumptions!$D$13+'Sales Forecast'!P7*Assumptions!$E$13+'Sales Forecast'!O7*Assumptions!$F$13+'Sales Forecast'!N7*Assumptions!$G$13+'Sales Forecast'!M7*Assumptions!$H$13+'Sales Forecast'!L7*Assumptions!$I$13</f>
        <v/>
      </c>
      <c r="S17" s="17">
        <f>'Sales Forecast'!S7*Assumptions!$C$13+'Sales Forecast'!R7*Assumptions!$D$13+'Sales Forecast'!Q7*Assumptions!$E$13+'Sales Forecast'!P7*Assumptions!$F$13+'Sales Forecast'!O7*Assumptions!$G$13+'Sales Forecast'!N7*Assumptions!$H$13+'Sales Forecast'!M7*Assumptions!$I$13</f>
        <v/>
      </c>
      <c r="T17" s="17">
        <f>'Sales Forecast'!T7*Assumptions!$C$13+'Sales Forecast'!S7*Assumptions!$D$13+'Sales Forecast'!R7*Assumptions!$E$13+'Sales Forecast'!Q7*Assumptions!$F$13+'Sales Forecast'!P7*Assumptions!$G$13+'Sales Forecast'!O7*Assumptions!$H$13+'Sales Forecast'!N7*Assumptions!$I$13</f>
        <v/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Forecast'!O7*Assumptions!$I$13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</row>
    <row r="18">
      <c r="B18" s="33" t="inlineStr">
        <is>
          <t xml:space="preserve">  404000 Retail Sales</t>
        </is>
      </c>
      <c r="D18" s="19" t="n">
        <v>1794</v>
      </c>
      <c r="E18" s="19" t="n">
        <v>1344</v>
      </c>
      <c r="F18" s="19" t="n">
        <v>1586</v>
      </c>
      <c r="G18" s="19" t="n">
        <v>946</v>
      </c>
      <c r="H18" s="88" t="n">
        <v>928</v>
      </c>
      <c r="I18" s="20">
        <f>1417.5</f>
        <v/>
      </c>
      <c r="J18" s="20">
        <f>1417.5</f>
        <v/>
      </c>
      <c r="K18" s="20">
        <f>1417.5</f>
        <v/>
      </c>
      <c r="L18" s="20">
        <f>1417.5</f>
        <v/>
      </c>
      <c r="M18" s="20">
        <f>1417.5</f>
        <v/>
      </c>
      <c r="N18" s="20">
        <f>1417.5</f>
        <v/>
      </c>
      <c r="O18" s="20">
        <f>1417.5</f>
        <v/>
      </c>
      <c r="P18" s="20">
        <f>1417.5</f>
        <v/>
      </c>
      <c r="Q18" s="20">
        <f>1417.5</f>
        <v/>
      </c>
      <c r="R18" s="20">
        <f>1417.5</f>
        <v/>
      </c>
      <c r="S18" s="20">
        <f>1417.5</f>
        <v/>
      </c>
      <c r="T18" s="20">
        <f>1417.5</f>
        <v/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</row>
    <row r="19">
      <c r="B19" s="33" t="inlineStr">
        <is>
          <t xml:space="preserve">  406000 Refunds</t>
        </is>
      </c>
      <c r="D19" s="19" t="n">
        <v>1048</v>
      </c>
      <c r="E19" s="19" t="n">
        <v>740</v>
      </c>
      <c r="F19" s="19" t="n">
        <v>500</v>
      </c>
      <c r="G19" s="19" t="n">
        <v>245</v>
      </c>
      <c r="H19" s="88" t="n">
        <v>443</v>
      </c>
      <c r="I19" s="20">
        <f>('Sales Forecast'!I7*Assumptions!$C$12+'Sales Forecast'!H7*Assumptions!$D$12+'Sales Forecast'!G7*Assumptions!$E$12+'Sales Forecast'!F7*Assumptions!$F$12+'Sales Forecast'!E7*Assumptions!$G$12+'Sales Forecast'!D7*Assumptions!$H$12+'Sales Forecast'!I7*Assumptions!$C$13+'Sales Forecast'!H7*Assumptions!$D$13+'Sales Forecast'!G7*Assumptions!$E$13+'Sales Forecast'!F7*Assumptions!$F$13+'Sales Forecast'!E7*Assumptions!$G$13+'Sales Forecast'!D7*Assumptions!$H$13+1417.5)*Assumptions!$C$17</f>
        <v/>
      </c>
      <c r="J19" s="20">
        <f>('Sales Forecast'!J7*Assumptions!$C$12+'Sales Forecast'!I7*Assumptions!$D$12+'Sales Forecast'!H7*Assumptions!$E$12+'Sales Forecast'!G7*Assumptions!$F$12+'Sales Forecast'!F7*Assumptions!$G$12+'Sales Forecast'!E7*Assumptions!$H$12+'Sales Forecast'!D7*Assumptions!$I$12+'Sales Forecast'!J7*Assumptions!$C$13+'Sales Forecast'!I7*Assumptions!$D$13+'Sales Forecast'!H7*Assumptions!$E$13+'Sales Forecast'!G7*Assumptions!$F$13+'Sales Forecast'!F7*Assumptions!$G$13+'Sales Forecast'!E7*Assumptions!$H$13+'Sales Forecast'!D7*Assumptions!$I$13+1417.5)*Assumptions!$C$17</f>
        <v/>
      </c>
      <c r="K19" s="20">
        <f>('Sales Forecast'!K7*Assumptions!$C$12+'Sales Forecast'!J7*Assumptions!$D$12+'Sales Forecast'!I7*Assumptions!$E$12+'Sales Forecast'!H7*Assumptions!$F$12+'Sales Forecast'!G7*Assumptions!$G$12+'Sales Forecast'!F7*Assumptions!$H$12+'Sales Forecast'!E7*Assumptions!$I$12+'Sales Forecast'!K7*Assumptions!$C$13+'Sales Forecast'!J7*Assumptions!$D$13+'Sales Forecast'!I7*Assumptions!$E$13+'Sales Forecast'!H7*Assumptions!$F$13+'Sales Forecast'!G7*Assumptions!$G$13+'Sales Forecast'!F7*Assumptions!$H$13+'Sales Forecast'!E7*Assumptions!$I$13+1417.5)*Assumptions!$C$17</f>
        <v/>
      </c>
      <c r="L19" s="20">
        <f>('Sales Forecast'!L7*Assumptions!$C$12+'Sales Forecast'!K7*Assumptions!$D$12+'Sales Forecast'!J7*Assumptions!$E$12+'Sales Forecast'!I7*Assumptions!$F$12+'Sales Forecast'!H7*Assumptions!$G$12+'Sales Forecast'!G7*Assumptions!$H$12+'Sales Forecast'!F7*Assumptions!$I$12+'Sales Forecast'!L7*Assumptions!$C$13+'Sales Forecast'!K7*Assumptions!$D$13+'Sales Forecast'!J7*Assumptions!$E$13+'Sales Forecast'!I7*Assumptions!$F$13+'Sales Forecast'!H7*Assumptions!$G$13+'Sales Forecast'!G7*Assumptions!$H$13+'Sales Forecast'!F7*Assumptions!$I$13+1417.5)*Assumptions!$C$17</f>
        <v/>
      </c>
      <c r="M19" s="20">
        <f>('Sales Forecast'!M7*Assumptions!$C$12+'Sales Forecast'!L7*Assumptions!$D$12+'Sales Forecast'!K7*Assumptions!$E$12+'Sales Forecast'!J7*Assumptions!$F$12+'Sales Forecast'!I7*Assumptions!$G$12+'Sales Forecast'!H7*Assumptions!$H$12+'Sales Forecast'!G7*Assumptions!$I$12+'Sales Forecast'!M7*Assumptions!$C$13+'Sales Forecast'!L7*Assumptions!$D$13+'Sales Forecast'!K7*Assumptions!$E$13+'Sales Forecast'!J7*Assumptions!$F$13+'Sales Forecast'!I7*Assumptions!$G$13+'Sales Forecast'!H7*Assumptions!$H$13+'Sales Forecast'!G7*Assumptions!$I$13+1417.5)*Assumptions!$C$17</f>
        <v/>
      </c>
      <c r="N19" s="20">
        <f>('Sales Forecast'!N7*Assumptions!$C$12+'Sales Forecast'!M7*Assumptions!$D$12+'Sales Forecast'!L7*Assumptions!$E$12+'Sales Forecast'!K7*Assumptions!$F$12+'Sales Forecast'!J7*Assumptions!$G$12+'Sales Forecast'!I7*Assumptions!$H$12+'Sales Forecast'!H7*Assumptions!$I$12+'Sales Forecast'!N7*Assumptions!$C$13+'Sales Forecast'!M7*Assumptions!$D$13+'Sales Forecast'!L7*Assumptions!$E$13+'Sales Forecast'!K7*Assumptions!$F$13+'Sales Forecast'!J7*Assumptions!$G$13+'Sales Forecast'!I7*Assumptions!$H$13+'Sales Forecast'!H7*Assumptions!$I$13+1417.5)*Assumptions!$C$17</f>
        <v/>
      </c>
      <c r="O19" s="20">
        <f>('Sales Forecast'!O7*Assumptions!$C$12+'Sales Forecast'!N7*Assumptions!$D$12+'Sales Forecast'!M7*Assumptions!$E$12+'Sales Forecast'!L7*Assumptions!$F$12+'Sales Forecast'!K7*Assumptions!$G$12+'Sales Forecast'!J7*Assumptions!$H$12+'Sales Forecast'!I7*Assumptions!$I$12+'Sales Forecast'!O7*Assumptions!$C$13+'Sales Forecast'!N7*Assumptions!$D$13+'Sales Forecast'!M7*Assumptions!$E$13+'Sales Forecast'!L7*Assumptions!$F$13+'Sales Forecast'!K7*Assumptions!$G$13+'Sales Forecast'!J7*Assumptions!$H$13+'Sales Forecast'!I7*Assumptions!$I$13+1417.5)*Assumptions!$C$17</f>
        <v/>
      </c>
      <c r="P19" s="20">
        <f>('Sales Forecast'!P7*Assumptions!$C$12+'Sales Forecast'!O7*Assumptions!$D$12+'Sales Forecast'!N7*Assumptions!$E$12+'Sales Forecast'!M7*Assumptions!$F$12+'Sales Forecast'!L7*Assumptions!$G$12+'Sales Forecast'!K7*Assumptions!$H$12+'Sales Forecast'!J7*Assumptions!$I$12+'Sales Forecast'!P7*Assumptions!$C$13+'Sales Forecast'!O7*Assumptions!$D$13+'Sales Forecast'!N7*Assumptions!$E$13+'Sales Forecast'!M7*Assumptions!$F$13+'Sales Forecast'!L7*Assumptions!$G$13+'Sales Forecast'!K7*Assumptions!$H$13+'Sales Forecast'!J7*Assumptions!$I$13+1417.5)*Assumptions!$C$17</f>
        <v/>
      </c>
      <c r="Q19" s="20">
        <f>('Sales Forecast'!Q7*Assumptions!$C$12+'Sales Forecast'!P7*Assumptions!$D$12+'Sales Forecast'!O7*Assumptions!$E$12+'Sales Forecast'!N7*Assumptions!$F$12+'Sales Forecast'!M7*Assumptions!$G$12+'Sales Forecast'!L7*Assumptions!$H$12+'Sales Forecast'!K7*Assumptions!$I$12+'Sales Forecast'!Q7*Assumptions!$C$13+'Sales Forecast'!P7*Assumptions!$D$13+'Sales Forecast'!O7*Assumptions!$E$13+'Sales Forecast'!N7*Assumptions!$F$13+'Sales Forecast'!M7*Assumptions!$G$13+'Sales Forecast'!L7*Assumptions!$H$13+'Sales Forecast'!K7*Assumptions!$I$13+1417.5)*Assumptions!$C$17</f>
        <v/>
      </c>
      <c r="R19" s="20">
        <f>('Sales Forecast'!R7*Assumptions!$C$12+'Sales Forecast'!Q7*Assumptions!$D$12+'Sales Forecast'!P7*Assumptions!$E$12+'Sales Forecast'!O7*Assumptions!$F$12+'Sales Forecast'!N7*Assumptions!$G$12+'Sales Forecast'!M7*Assumptions!$H$12+'Sales Forecast'!L7*Assumptions!$I$12+'Sales Forecast'!R7*Assumptions!$C$13+'Sales Forecast'!Q7*Assumptions!$D$13+'Sales Forecast'!P7*Assumptions!$E$13+'Sales Forecast'!O7*Assumptions!$F$13+'Sales Forecast'!N7*Assumptions!$G$13+'Sales Forecast'!M7*Assumptions!$H$13+'Sales Forecast'!L7*Assumptions!$I$13+1417.5)*Assumptions!$C$17</f>
        <v/>
      </c>
      <c r="S19" s="20">
        <f>('Sales Forecast'!S7*Assumptions!$C$12+'Sales Forecast'!R7*Assumptions!$D$12+'Sales Forecast'!Q7*Assumptions!$E$12+'Sales Forecast'!P7*Assumptions!$F$12+'Sales Forecast'!O7*Assumptions!$G$12+'Sales Forecast'!N7*Assumptions!$H$12+'Sales Forecast'!M7*Assumptions!$I$12+'Sales Forecast'!S7*Assumptions!$C$13+'Sales Forecast'!R7*Assumptions!$D$13+'Sales Forecast'!Q7*Assumptions!$E$13+'Sales Forecast'!P7*Assumptions!$F$13+'Sales Forecast'!O7*Assumptions!$G$13+'Sales Forecast'!N7*Assumptions!$H$13+'Sales Forecast'!M7*Assumptions!$I$13+1417.5)*Assumptions!$C$17</f>
        <v/>
      </c>
      <c r="T19" s="20">
        <f>('Sales Forecast'!T7*Assumptions!$C$12+'Sales Forecast'!S7*Assumptions!$D$12+'Sales Forecast'!R7*Assumptions!$E$12+'Sales Forecast'!Q7*Assumptions!$F$12+'Sales Forecast'!P7*Assumptions!$G$12+'Sales Forecast'!O7*Assumptions!$H$12+'Sales Forecast'!N7*Assumptions!$I$12+'Sales Forecast'!T7*Assumptions!$C$13+'Sales Forecast'!S7*Assumptions!$D$13+'Sales Forecast'!R7*Assumptions!$E$13+'Sales Forecast'!Q7*Assumptions!$F$13+'Sales Forecast'!P7*Assumptions!$G$13+'Sales Forecast'!O7*Assumptions!$H$13+'Sales Forecast'!N7*Assumptions!$I$13+1417.5)*Assumptions!$C$17</f>
        <v/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Forecast'!O7*Assumptions!$I$12+'Sales Forecast'!U7*Assumptions!$C$13+'Sales Forecast'!T7*Assumptions!$D$13+'Sales Forecast'!S7*Assumptions!$E$13+'Sales Forecast'!R7*Assumptions!$F$13+'Sales Forecast'!Q7*Assumptions!$G$13+'Sales Forecast'!P7*Assumptions!$H$13+'Sales Forecast'!O7*Assumptions!$I$13+1417.5)*Assumptions!$C$17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</row>
    <row r="20">
      <c r="B20" s="33" t="inlineStr">
        <is>
          <t xml:space="preserve">  407000 Discounts</t>
        </is>
      </c>
      <c r="D20" s="19" t="n">
        <v>5079.6</v>
      </c>
      <c r="E20" s="19" t="n">
        <v>2303.3</v>
      </c>
      <c r="F20" s="19" t="n">
        <v>2607.5</v>
      </c>
      <c r="G20" s="19" t="n">
        <v>2783.2</v>
      </c>
      <c r="H20" s="88" t="n">
        <v>1884.8</v>
      </c>
      <c r="I20" s="20">
        <f>('Sales Forecast'!I7*Assumptions!$C$12+'Sales Forecast'!H7*Assumptions!$D$12+'Sales Forecast'!G7*Assumptions!$E$12+'Sales Forecast'!F7*Assumptions!$F$12+'Sales Forecast'!E7*Assumptions!$G$12+'Sales Forecast'!D7*Assumptions!$H$12+'Sales Forecast'!I7*Assumptions!$C$13+'Sales Forecast'!H7*Assumptions!$D$13+'Sales Forecast'!G7*Assumptions!$E$13+'Sales Forecast'!F7*Assumptions!$F$13+'Sales Forecast'!E7*Assumptions!$G$13+'Sales Forecast'!D7*Assumptions!$H$13+1417.5)*Assumptions!$C$18</f>
        <v/>
      </c>
      <c r="J20" s="20">
        <f>('Sales Forecast'!J7*Assumptions!$C$12+'Sales Forecast'!I7*Assumptions!$D$12+'Sales Forecast'!H7*Assumptions!$E$12+'Sales Forecast'!G7*Assumptions!$F$12+'Sales Forecast'!F7*Assumptions!$G$12+'Sales Forecast'!E7*Assumptions!$H$12+'Sales Forecast'!D7*Assumptions!$I$12+'Sales Forecast'!J7*Assumptions!$C$13+'Sales Forecast'!I7*Assumptions!$D$13+'Sales Forecast'!H7*Assumptions!$E$13+'Sales Forecast'!G7*Assumptions!$F$13+'Sales Forecast'!F7*Assumptions!$G$13+'Sales Forecast'!E7*Assumptions!$H$13+'Sales Forecast'!D7*Assumptions!$I$13+1417.5)*Assumptions!$C$18</f>
        <v/>
      </c>
      <c r="K20" s="20">
        <f>('Sales Forecast'!K7*Assumptions!$C$12+'Sales Forecast'!J7*Assumptions!$D$12+'Sales Forecast'!I7*Assumptions!$E$12+'Sales Forecast'!H7*Assumptions!$F$12+'Sales Forecast'!G7*Assumptions!$G$12+'Sales Forecast'!F7*Assumptions!$H$12+'Sales Forecast'!E7*Assumptions!$I$12+'Sales Forecast'!K7*Assumptions!$C$13+'Sales Forecast'!J7*Assumptions!$D$13+'Sales Forecast'!I7*Assumptions!$E$13+'Sales Forecast'!H7*Assumptions!$F$13+'Sales Forecast'!G7*Assumptions!$G$13+'Sales Forecast'!F7*Assumptions!$H$13+'Sales Forecast'!E7*Assumptions!$I$13+1417.5)*Assumptions!$C$18</f>
        <v/>
      </c>
      <c r="L20" s="20">
        <f>('Sales Forecast'!L7*Assumptions!$C$12+'Sales Forecast'!K7*Assumptions!$D$12+'Sales Forecast'!J7*Assumptions!$E$12+'Sales Forecast'!I7*Assumptions!$F$12+'Sales Forecast'!H7*Assumptions!$G$12+'Sales Forecast'!G7*Assumptions!$H$12+'Sales Forecast'!F7*Assumptions!$I$12+'Sales Forecast'!L7*Assumptions!$C$13+'Sales Forecast'!K7*Assumptions!$D$13+'Sales Forecast'!J7*Assumptions!$E$13+'Sales Forecast'!I7*Assumptions!$F$13+'Sales Forecast'!H7*Assumptions!$G$13+'Sales Forecast'!G7*Assumptions!$H$13+'Sales Forecast'!F7*Assumptions!$I$13+1417.5)*Assumptions!$C$18</f>
        <v/>
      </c>
      <c r="M20" s="20">
        <f>('Sales Forecast'!M7*Assumptions!$C$12+'Sales Forecast'!L7*Assumptions!$D$12+'Sales Forecast'!K7*Assumptions!$E$12+'Sales Forecast'!J7*Assumptions!$F$12+'Sales Forecast'!I7*Assumptions!$G$12+'Sales Forecast'!H7*Assumptions!$H$12+'Sales Forecast'!G7*Assumptions!$I$12+'Sales Forecast'!M7*Assumptions!$C$13+'Sales Forecast'!L7*Assumptions!$D$13+'Sales Forecast'!K7*Assumptions!$E$13+'Sales Forecast'!J7*Assumptions!$F$13+'Sales Forecast'!I7*Assumptions!$G$13+'Sales Forecast'!H7*Assumptions!$H$13+'Sales Forecast'!G7*Assumptions!$I$13+1417.5)*Assumptions!$C$18</f>
        <v/>
      </c>
      <c r="N20" s="20">
        <f>('Sales Forecast'!N7*Assumptions!$C$12+'Sales Forecast'!M7*Assumptions!$D$12+'Sales Forecast'!L7*Assumptions!$E$12+'Sales Forecast'!K7*Assumptions!$F$12+'Sales Forecast'!J7*Assumptions!$G$12+'Sales Forecast'!I7*Assumptions!$H$12+'Sales Forecast'!H7*Assumptions!$I$12+'Sales Forecast'!N7*Assumptions!$C$13+'Sales Forecast'!M7*Assumptions!$D$13+'Sales Forecast'!L7*Assumptions!$E$13+'Sales Forecast'!K7*Assumptions!$F$13+'Sales Forecast'!J7*Assumptions!$G$13+'Sales Forecast'!I7*Assumptions!$H$13+'Sales Forecast'!H7*Assumptions!$I$13+1417.5)*Assumptions!$C$18</f>
        <v/>
      </c>
      <c r="O20" s="20">
        <f>('Sales Forecast'!O7*Assumptions!$C$12+'Sales Forecast'!N7*Assumptions!$D$12+'Sales Forecast'!M7*Assumptions!$E$12+'Sales Forecast'!L7*Assumptions!$F$12+'Sales Forecast'!K7*Assumptions!$G$12+'Sales Forecast'!J7*Assumptions!$H$12+'Sales Forecast'!I7*Assumptions!$I$12+'Sales Forecast'!O7*Assumptions!$C$13+'Sales Forecast'!N7*Assumptions!$D$13+'Sales Forecast'!M7*Assumptions!$E$13+'Sales Forecast'!L7*Assumptions!$F$13+'Sales Forecast'!K7*Assumptions!$G$13+'Sales Forecast'!J7*Assumptions!$H$13+'Sales Forecast'!I7*Assumptions!$I$13+1417.5)*Assumptions!$C$18</f>
        <v/>
      </c>
      <c r="P20" s="20">
        <f>('Sales Forecast'!P7*Assumptions!$C$12+'Sales Forecast'!O7*Assumptions!$D$12+'Sales Forecast'!N7*Assumptions!$E$12+'Sales Forecast'!M7*Assumptions!$F$12+'Sales Forecast'!L7*Assumptions!$G$12+'Sales Forecast'!K7*Assumptions!$H$12+'Sales Forecast'!J7*Assumptions!$I$12+'Sales Forecast'!P7*Assumptions!$C$13+'Sales Forecast'!O7*Assumptions!$D$13+'Sales Forecast'!N7*Assumptions!$E$13+'Sales Forecast'!M7*Assumptions!$F$13+'Sales Forecast'!L7*Assumptions!$G$13+'Sales Forecast'!K7*Assumptions!$H$13+'Sales Forecast'!J7*Assumptions!$I$13+1417.5)*Assumptions!$C$18</f>
        <v/>
      </c>
      <c r="Q20" s="20">
        <f>('Sales Forecast'!Q7*Assumptions!$C$12+'Sales Forecast'!P7*Assumptions!$D$12+'Sales Forecast'!O7*Assumptions!$E$12+'Sales Forecast'!N7*Assumptions!$F$12+'Sales Forecast'!M7*Assumptions!$G$12+'Sales Forecast'!L7*Assumptions!$H$12+'Sales Forecast'!K7*Assumptions!$I$12+'Sales Forecast'!Q7*Assumptions!$C$13+'Sales Forecast'!P7*Assumptions!$D$13+'Sales Forecast'!O7*Assumptions!$E$13+'Sales Forecast'!N7*Assumptions!$F$13+'Sales Forecast'!M7*Assumptions!$G$13+'Sales Forecast'!L7*Assumptions!$H$13+'Sales Forecast'!K7*Assumptions!$I$13+1417.5)*Assumptions!$C$18</f>
        <v/>
      </c>
      <c r="R20" s="20">
        <f>('Sales Forecast'!R7*Assumptions!$C$12+'Sales Forecast'!Q7*Assumptions!$D$12+'Sales Forecast'!P7*Assumptions!$E$12+'Sales Forecast'!O7*Assumptions!$F$12+'Sales Forecast'!N7*Assumptions!$G$12+'Sales Forecast'!M7*Assumptions!$H$12+'Sales Forecast'!L7*Assumptions!$I$12+'Sales Forecast'!R7*Assumptions!$C$13+'Sales Forecast'!Q7*Assumptions!$D$13+'Sales Forecast'!P7*Assumptions!$E$13+'Sales Forecast'!O7*Assumptions!$F$13+'Sales Forecast'!N7*Assumptions!$G$13+'Sales Forecast'!M7*Assumptions!$H$13+'Sales Forecast'!L7*Assumptions!$I$13+1417.5)*Assumptions!$C$18</f>
        <v/>
      </c>
      <c r="S20" s="20">
        <f>('Sales Forecast'!S7*Assumptions!$C$12+'Sales Forecast'!R7*Assumptions!$D$12+'Sales Forecast'!Q7*Assumptions!$E$12+'Sales Forecast'!P7*Assumptions!$F$12+'Sales Forecast'!O7*Assumptions!$G$12+'Sales Forecast'!N7*Assumptions!$H$12+'Sales Forecast'!M7*Assumptions!$I$12+'Sales Forecast'!S7*Assumptions!$C$13+'Sales Forecast'!R7*Assumptions!$D$13+'Sales Forecast'!Q7*Assumptions!$E$13+'Sales Forecast'!P7*Assumptions!$F$13+'Sales Forecast'!O7*Assumptions!$G$13+'Sales Forecast'!N7*Assumptions!$H$13+'Sales Forecast'!M7*Assumptions!$I$13+1417.5)*Assumptions!$C$18</f>
        <v/>
      </c>
      <c r="T20" s="20">
        <f>('Sales Forecast'!T7*Assumptions!$C$12+'Sales Forecast'!S7*Assumptions!$D$12+'Sales Forecast'!R7*Assumptions!$E$12+'Sales Forecast'!Q7*Assumptions!$F$12+'Sales Forecast'!P7*Assumptions!$G$12+'Sales Forecast'!O7*Assumptions!$H$12+'Sales Forecast'!N7*Assumptions!$I$12+'Sales Forecast'!T7*Assumptions!$C$13+'Sales Forecast'!S7*Assumptions!$D$13+'Sales Forecast'!R7*Assumptions!$E$13+'Sales Forecast'!Q7*Assumptions!$F$13+'Sales Forecast'!P7*Assumptions!$G$13+'Sales Forecast'!O7*Assumptions!$H$13+'Sales Forecast'!N7*Assumptions!$I$13+1417.5)*Assumptions!$C$18</f>
        <v/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Forecast'!O7*Assumptions!$I$12+'Sales Forecast'!U7*Assumptions!$C$13+'Sales Forecast'!T7*Assumptions!$D$13+'Sales Forecast'!S7*Assumptions!$E$13+'Sales Forecast'!R7*Assumptions!$F$13+'Sales Forecast'!Q7*Assumptions!$G$13+'Sales Forecast'!P7*Assumptions!$H$13+'Sales Forecast'!O7*Assumptions!$I$13+1417.5)*Assumptions!$C$18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37049.59</v>
      </c>
      <c r="E21" s="35" t="n">
        <v>41559.48</v>
      </c>
      <c r="F21" s="35" t="n">
        <v>42925.48</v>
      </c>
      <c r="G21" s="35" t="n">
        <v>37015.37</v>
      </c>
      <c r="H21" s="89" t="n">
        <v>36383.84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817.2</v>
      </c>
      <c r="E23" s="19" t="n">
        <v>667.6</v>
      </c>
      <c r="F23" s="19" t="n">
        <v>782.7</v>
      </c>
      <c r="G23" s="19" t="n">
        <v>474.5</v>
      </c>
      <c r="H23" s="88" t="n">
        <v>464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997.5599999999999</v>
      </c>
      <c r="E24" s="19" t="n">
        <v>898.16</v>
      </c>
      <c r="F24" s="19" t="n">
        <v>1146.66</v>
      </c>
      <c r="G24" s="19" t="n">
        <v>855.58</v>
      </c>
      <c r="H24" s="88" t="n">
        <v>876.72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1814.76</v>
      </c>
      <c r="E25" s="35" t="n">
        <v>1565.76</v>
      </c>
      <c r="F25" s="35" t="n">
        <v>1929.36</v>
      </c>
      <c r="G25" s="35" t="n">
        <v>1330.08</v>
      </c>
      <c r="H25" s="89" t="n">
        <v>1340.72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35234.83</v>
      </c>
      <c r="E26" s="35" t="n">
        <v>39993.71999999999</v>
      </c>
      <c r="F26" s="35" t="n">
        <v>40996.12</v>
      </c>
      <c r="G26" s="35" t="n">
        <v>35685.29</v>
      </c>
      <c r="H26" s="89" t="n">
        <v>35043.12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1338.08</v>
      </c>
      <c r="E28" s="19" t="n">
        <v>1423.13</v>
      </c>
      <c r="F28" s="19" t="n">
        <v>557.1</v>
      </c>
      <c r="G28" s="19" t="n">
        <v>0</v>
      </c>
      <c r="H28" s="88" t="n">
        <v>0</v>
      </c>
      <c r="I28" s="20" t="n">
        <v>747.17</v>
      </c>
      <c r="J28" s="20" t="n">
        <v>747.17</v>
      </c>
      <c r="K28" s="20" t="n">
        <v>747.17</v>
      </c>
      <c r="L28" s="20" t="n">
        <v>747.17</v>
      </c>
      <c r="M28" s="20" t="n">
        <v>747.17</v>
      </c>
      <c r="N28" s="20" t="n">
        <v>747.17</v>
      </c>
      <c r="O28" s="20" t="n">
        <v>747.17</v>
      </c>
      <c r="P28" s="20" t="n">
        <v>747.17</v>
      </c>
      <c r="Q28" s="20" t="n">
        <v>747.17</v>
      </c>
      <c r="R28" s="20" t="n">
        <v>747.17</v>
      </c>
      <c r="S28" s="20" t="n">
        <v>747.17</v>
      </c>
      <c r="T28" s="20" t="n">
        <v>747.17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1338.08</v>
      </c>
      <c r="E33" s="35" t="n">
        <v>1423.13</v>
      </c>
      <c r="F33" s="35" t="n">
        <v>557.1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19792.41</v>
      </c>
      <c r="E34" s="19" t="n">
        <v>21148.5</v>
      </c>
      <c r="F34" s="19" t="n">
        <v>23707.86</v>
      </c>
      <c r="G34" s="19" t="n">
        <v>21562.97</v>
      </c>
      <c r="H34" s="88" t="n">
        <v>20706.63</v>
      </c>
      <c r="I34" s="20" t="n">
        <v>20091.59</v>
      </c>
      <c r="J34" s="20" t="n">
        <v>21765.89</v>
      </c>
      <c r="K34" s="20" t="n">
        <v>19254.44</v>
      </c>
      <c r="L34" s="20" t="n">
        <v>20091.59</v>
      </c>
      <c r="M34" s="20" t="n">
        <v>21765.89</v>
      </c>
      <c r="N34" s="20" t="n">
        <v>22603.04</v>
      </c>
      <c r="O34" s="20" t="n">
        <v>21765.89</v>
      </c>
      <c r="P34" s="20" t="n">
        <v>21765.89</v>
      </c>
      <c r="Q34" s="20" t="n">
        <v>24277.34</v>
      </c>
      <c r="R34" s="20" t="n">
        <v>22603.04</v>
      </c>
      <c r="S34" s="20" t="n">
        <v>22022.61</v>
      </c>
      <c r="T34" s="20" t="n">
        <v>21786.79</v>
      </c>
      <c r="U34" s="20" t="n">
        <v>21760.62</v>
      </c>
      <c r="V34" s="20" t="n">
        <v>25464.53</v>
      </c>
      <c r="W34" s="20" t="n">
        <v>30068.98</v>
      </c>
      <c r="X34" s="20" t="n">
        <v>30715.76</v>
      </c>
      <c r="Y34" s="20" t="n">
        <v>29176.34</v>
      </c>
      <c r="Z34" s="20" t="n">
        <v>28512.63</v>
      </c>
      <c r="AA34" s="20" t="n">
        <v>28358.26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</row>
    <row r="35">
      <c r="B35" s="33" t="inlineStr">
        <is>
          <t xml:space="preserve">  602004 Payroll Taxes</t>
        </is>
      </c>
      <c r="D35" s="19" t="n">
        <v>3244.47</v>
      </c>
      <c r="E35" s="19" t="n">
        <v>2155.86</v>
      </c>
      <c r="F35" s="19" t="n">
        <v>2294.08</v>
      </c>
      <c r="G35" s="19" t="n">
        <v>2133.96</v>
      </c>
      <c r="H35" s="88" t="n">
        <v>1999.79</v>
      </c>
      <c r="I35" s="20" t="n">
        <v>2290.5</v>
      </c>
      <c r="J35" s="20" t="n">
        <v>2481.37</v>
      </c>
      <c r="K35" s="20" t="n">
        <v>2195.06</v>
      </c>
      <c r="L35" s="20" t="n">
        <v>2290.5</v>
      </c>
      <c r="M35" s="20" t="n">
        <v>2481.37</v>
      </c>
      <c r="N35" s="20" t="n">
        <v>2576.81</v>
      </c>
      <c r="O35" s="20" t="n">
        <v>2481.37</v>
      </c>
      <c r="P35" s="20" t="n">
        <v>2481.37</v>
      </c>
      <c r="Q35" s="20" t="n">
        <v>2767.68</v>
      </c>
      <c r="R35" s="20" t="n">
        <v>2576.81</v>
      </c>
      <c r="S35" s="20" t="n">
        <v>2510.64</v>
      </c>
      <c r="T35" s="20" t="n">
        <v>2483.75</v>
      </c>
      <c r="U35" s="20" t="n">
        <v>2480.77</v>
      </c>
      <c r="V35" s="20" t="n">
        <v>2903.02</v>
      </c>
      <c r="W35" s="20" t="n">
        <v>3427.94</v>
      </c>
      <c r="X35" s="20" t="n">
        <v>3501.68</v>
      </c>
      <c r="Y35" s="20" t="n">
        <v>3326.18</v>
      </c>
      <c r="Z35" s="20" t="n">
        <v>3250.52</v>
      </c>
      <c r="AA35" s="20" t="n">
        <v>3232.92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</row>
    <row r="36">
      <c r="B36" s="33" t="inlineStr">
        <is>
          <t xml:space="preserve">  602005 Employee Benefits</t>
        </is>
      </c>
      <c r="D36" s="19" t="n">
        <v>362.04</v>
      </c>
      <c r="E36" s="19" t="n">
        <v>867.02</v>
      </c>
      <c r="F36" s="19" t="n">
        <v>756.24</v>
      </c>
      <c r="G36" s="19" t="n">
        <v>567.73</v>
      </c>
      <c r="H36" s="88" t="n">
        <v>577.5</v>
      </c>
      <c r="I36" s="20" t="n">
        <v>594.98</v>
      </c>
      <c r="J36" s="20" t="n">
        <v>644.5599999999999</v>
      </c>
      <c r="K36" s="20" t="n">
        <v>570.1900000000001</v>
      </c>
      <c r="L36" s="20" t="n">
        <v>594.98</v>
      </c>
      <c r="M36" s="20" t="n">
        <v>644.5599999999999</v>
      </c>
      <c r="N36" s="20" t="n">
        <v>669.35</v>
      </c>
      <c r="O36" s="20" t="n">
        <v>644.5599999999999</v>
      </c>
      <c r="P36" s="20" t="n">
        <v>644.5599999999999</v>
      </c>
      <c r="Q36" s="20" t="n">
        <v>718.9400000000001</v>
      </c>
      <c r="R36" s="20" t="n">
        <v>669.35</v>
      </c>
      <c r="S36" s="20" t="n">
        <v>652.17</v>
      </c>
      <c r="T36" s="20" t="n">
        <v>645.1799999999999</v>
      </c>
      <c r="U36" s="20" t="n">
        <v>644.41</v>
      </c>
      <c r="V36" s="20" t="n">
        <v>754.09</v>
      </c>
      <c r="W36" s="20" t="n">
        <v>890.45</v>
      </c>
      <c r="X36" s="20" t="n">
        <v>909.6</v>
      </c>
      <c r="Y36" s="20" t="n">
        <v>864.01</v>
      </c>
      <c r="Z36" s="20" t="n">
        <v>844.36</v>
      </c>
      <c r="AA36" s="20" t="n">
        <v>839.79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</row>
    <row r="37">
      <c r="B37" s="33" t="inlineStr">
        <is>
          <t xml:space="preserve">  602010 Payroll Processing Fees</t>
        </is>
      </c>
      <c r="D37" s="19" t="n">
        <v>676.22</v>
      </c>
      <c r="E37" s="19" t="n">
        <v>1136.79</v>
      </c>
      <c r="F37" s="19" t="n">
        <v>1540.85</v>
      </c>
      <c r="G37" s="19" t="n">
        <v>1035.47</v>
      </c>
      <c r="H37" s="88" t="n">
        <v>857.6799999999999</v>
      </c>
      <c r="I37" s="20" t="n">
        <v>1022.93</v>
      </c>
      <c r="J37" s="20" t="n">
        <v>1108.17</v>
      </c>
      <c r="K37" s="20" t="n">
        <v>980.3099999999999</v>
      </c>
      <c r="L37" s="20" t="n">
        <v>1022.93</v>
      </c>
      <c r="M37" s="20" t="n">
        <v>1108.17</v>
      </c>
      <c r="N37" s="20" t="n">
        <v>1150.8</v>
      </c>
      <c r="O37" s="20" t="n">
        <v>1108.17</v>
      </c>
      <c r="P37" s="20" t="n">
        <v>1108.17</v>
      </c>
      <c r="Q37" s="20" t="n">
        <v>1236.04</v>
      </c>
      <c r="R37" s="20" t="n">
        <v>1150.8</v>
      </c>
      <c r="S37" s="20" t="n">
        <v>1121.25</v>
      </c>
      <c r="T37" s="20" t="n">
        <v>1109.24</v>
      </c>
      <c r="U37" s="20" t="n">
        <v>1107.91</v>
      </c>
      <c r="V37" s="20" t="n">
        <v>1296.48</v>
      </c>
      <c r="W37" s="20" t="n">
        <v>1530.91</v>
      </c>
      <c r="X37" s="20" t="n">
        <v>1563.84</v>
      </c>
      <c r="Y37" s="20" t="n">
        <v>1485.47</v>
      </c>
      <c r="Z37" s="20" t="n">
        <v>1451.67</v>
      </c>
      <c r="AA37" s="20" t="n">
        <v>1443.81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</row>
    <row r="38">
      <c r="B38" s="32" t="inlineStr">
        <is>
          <t>Total Payroll</t>
        </is>
      </c>
      <c r="C38" s="34" t="n"/>
      <c r="D38" s="35" t="n">
        <v>24075.14</v>
      </c>
      <c r="E38" s="35" t="n">
        <v>25308.17</v>
      </c>
      <c r="F38" s="35" t="n">
        <v>28299.03</v>
      </c>
      <c r="G38" s="35" t="n">
        <v>25300.13</v>
      </c>
      <c r="H38" s="89" t="n">
        <v>24141.6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910.98</v>
      </c>
      <c r="E39" s="19" t="n">
        <v>1253.44</v>
      </c>
      <c r="F39" s="19" t="n">
        <v>881.08</v>
      </c>
      <c r="G39" s="19" t="n">
        <v>840.0599999999999</v>
      </c>
      <c r="H39" s="88" t="n">
        <v>1223.66</v>
      </c>
      <c r="I39" s="20" t="n">
        <v>903.34</v>
      </c>
      <c r="J39" s="20" t="n">
        <v>903.34</v>
      </c>
      <c r="K39" s="20" t="n">
        <v>903.34</v>
      </c>
      <c r="L39" s="20" t="n">
        <v>903.34</v>
      </c>
      <c r="M39" s="20" t="n">
        <v>903.34</v>
      </c>
      <c r="N39" s="20" t="n">
        <v>903.34</v>
      </c>
      <c r="O39" s="20" t="n">
        <v>903.34</v>
      </c>
      <c r="P39" s="20" t="n">
        <v>903.34</v>
      </c>
      <c r="Q39" s="20" t="n">
        <v>903.34</v>
      </c>
      <c r="R39" s="20" t="n">
        <v>903.34</v>
      </c>
      <c r="S39" s="20" t="n">
        <v>903.34</v>
      </c>
      <c r="T39" s="20" t="n">
        <v>903.34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</row>
    <row r="40">
      <c r="B40" s="33" t="inlineStr">
        <is>
          <t xml:space="preserve">  608000 Insurance</t>
        </is>
      </c>
      <c r="D40" s="19" t="n">
        <v>314.75</v>
      </c>
      <c r="E40" s="19" t="n">
        <v>314.75</v>
      </c>
      <c r="F40" s="19" t="n">
        <v>612.95</v>
      </c>
      <c r="G40" s="19" t="n">
        <v>580.03</v>
      </c>
      <c r="H40" s="88" t="n">
        <v>431.04</v>
      </c>
      <c r="I40" s="20" t="n">
        <v>423.7</v>
      </c>
      <c r="J40" s="20" t="n">
        <v>423.7</v>
      </c>
      <c r="K40" s="20" t="n">
        <v>423.7</v>
      </c>
      <c r="L40" s="20" t="n">
        <v>423.7</v>
      </c>
      <c r="M40" s="20" t="n">
        <v>423.7</v>
      </c>
      <c r="N40" s="20" t="n">
        <v>423.7</v>
      </c>
      <c r="O40" s="20" t="n">
        <v>423.7</v>
      </c>
      <c r="P40" s="20" t="n">
        <v>423.7</v>
      </c>
      <c r="Q40" s="20" t="n">
        <v>423.7</v>
      </c>
      <c r="R40" s="20" t="n">
        <v>423.7</v>
      </c>
      <c r="S40" s="20" t="n">
        <v>423.7</v>
      </c>
      <c r="T40" s="20" t="n">
        <v>423.7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</row>
    <row r="41">
      <c r="B41" s="33" t="inlineStr">
        <is>
          <t xml:space="preserve">  610000 Office Supplies</t>
        </is>
      </c>
      <c r="D41" s="19" t="n">
        <v>601.0599999999999</v>
      </c>
      <c r="E41" s="19" t="n">
        <v>153.33</v>
      </c>
      <c r="F41" s="19" t="n">
        <v>1031.56</v>
      </c>
      <c r="G41" s="19" t="n">
        <v>363.63</v>
      </c>
      <c r="H41" s="88" t="n">
        <v>0</v>
      </c>
      <c r="I41" s="20" t="n">
        <v>499.75</v>
      </c>
      <c r="J41" s="20" t="n">
        <v>499.75</v>
      </c>
      <c r="K41" s="20" t="n">
        <v>499.75</v>
      </c>
      <c r="L41" s="20" t="n">
        <v>499.75</v>
      </c>
      <c r="M41" s="20" t="n">
        <v>499.75</v>
      </c>
      <c r="N41" s="20" t="n">
        <v>499.75</v>
      </c>
      <c r="O41" s="20" t="n">
        <v>499.75</v>
      </c>
      <c r="P41" s="20" t="n">
        <v>499.75</v>
      </c>
      <c r="Q41" s="20" t="n">
        <v>499.75</v>
      </c>
      <c r="R41" s="20" t="n">
        <v>499.75</v>
      </c>
      <c r="S41" s="20" t="n">
        <v>499.75</v>
      </c>
      <c r="T41" s="20" t="n">
        <v>499.75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880</v>
      </c>
      <c r="G44" s="19" t="n">
        <v>2870</v>
      </c>
      <c r="H44" s="88" t="n">
        <v>1116.82</v>
      </c>
      <c r="I44" s="20" t="n">
        <v>341.86</v>
      </c>
      <c r="J44" s="20" t="n">
        <v>341.86</v>
      </c>
      <c r="K44" s="20" t="n">
        <v>341.86</v>
      </c>
      <c r="L44" s="20" t="n">
        <v>341.86</v>
      </c>
      <c r="M44" s="20" t="n">
        <v>341.86</v>
      </c>
      <c r="N44" s="20" t="n">
        <v>341.86</v>
      </c>
      <c r="O44" s="20" t="n">
        <v>341.86</v>
      </c>
      <c r="P44" s="20" t="n">
        <v>341.86</v>
      </c>
      <c r="Q44" s="20" t="n">
        <v>341.86</v>
      </c>
      <c r="R44" s="20" t="n">
        <v>341.86</v>
      </c>
      <c r="S44" s="20" t="n">
        <v>341.86</v>
      </c>
      <c r="T44" s="20" t="n">
        <v>341.86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174.14</v>
      </c>
      <c r="J46" s="20" t="n">
        <v>174.14</v>
      </c>
      <c r="K46" s="20" t="n">
        <v>174.14</v>
      </c>
      <c r="L46" s="20" t="n">
        <v>174.14</v>
      </c>
      <c r="M46" s="20" t="n">
        <v>174.14</v>
      </c>
      <c r="N46" s="20" t="n">
        <v>174.14</v>
      </c>
      <c r="O46" s="20" t="n">
        <v>174.14</v>
      </c>
      <c r="P46" s="20" t="n">
        <v>174.14</v>
      </c>
      <c r="Q46" s="20" t="n">
        <v>174.14</v>
      </c>
      <c r="R46" s="20" t="n">
        <v>174.14</v>
      </c>
      <c r="S46" s="20" t="n">
        <v>174.14</v>
      </c>
      <c r="T46" s="20" t="n">
        <v>174.14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1396</v>
      </c>
      <c r="G47" s="35" t="n">
        <v>3386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420.63</v>
      </c>
      <c r="E48" s="19" t="n">
        <v>159.5</v>
      </c>
      <c r="F48" s="19" t="n">
        <v>271.5</v>
      </c>
      <c r="G48" s="19" t="n">
        <v>0</v>
      </c>
      <c r="H48" s="88" t="n">
        <v>0</v>
      </c>
      <c r="I48" s="20" t="n">
        <v>340.41</v>
      </c>
      <c r="J48" s="20" t="n">
        <v>340.41</v>
      </c>
      <c r="K48" s="20" t="n">
        <v>340.41</v>
      </c>
      <c r="L48" s="20" t="n">
        <v>340.41</v>
      </c>
      <c r="M48" s="20" t="n">
        <v>340.41</v>
      </c>
      <c r="N48" s="20" t="n">
        <v>340.41</v>
      </c>
      <c r="O48" s="20" t="n">
        <v>340.41</v>
      </c>
      <c r="P48" s="20" t="n">
        <v>340.41</v>
      </c>
      <c r="Q48" s="20" t="n">
        <v>340.41</v>
      </c>
      <c r="R48" s="20" t="n">
        <v>340.41</v>
      </c>
      <c r="S48" s="20" t="n">
        <v>340.41</v>
      </c>
      <c r="T48" s="20" t="n">
        <v>340.41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43.24</v>
      </c>
      <c r="F49" s="19" t="n">
        <v>141.74</v>
      </c>
      <c r="G49" s="19" t="n">
        <v>15.7</v>
      </c>
      <c r="H49" s="88" t="n">
        <v>63.02</v>
      </c>
      <c r="I49" s="20" t="n">
        <v>80.22</v>
      </c>
      <c r="J49" s="20" t="n">
        <v>80.22</v>
      </c>
      <c r="K49" s="20" t="n">
        <v>80.22</v>
      </c>
      <c r="L49" s="20" t="n">
        <v>80.22</v>
      </c>
      <c r="M49" s="20" t="n">
        <v>80.22</v>
      </c>
      <c r="N49" s="20" t="n">
        <v>80.22</v>
      </c>
      <c r="O49" s="20" t="n">
        <v>80.22</v>
      </c>
      <c r="P49" s="20" t="n">
        <v>80.22</v>
      </c>
      <c r="Q49" s="20" t="n">
        <v>80.22</v>
      </c>
      <c r="R49" s="20" t="n">
        <v>80.22</v>
      </c>
      <c r="S49" s="20" t="n">
        <v>80.22</v>
      </c>
      <c r="T49" s="20" t="n">
        <v>80.22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347.43</v>
      </c>
      <c r="E51" s="19" t="n">
        <v>327.14</v>
      </c>
      <c r="F51" s="19" t="n">
        <v>449.57</v>
      </c>
      <c r="G51" s="19" t="n">
        <v>414.77</v>
      </c>
      <c r="H51" s="88" t="n">
        <v>384.52</v>
      </c>
      <c r="I51" s="20" t="n">
        <v>389.78</v>
      </c>
      <c r="J51" s="20" t="n">
        <v>389.78</v>
      </c>
      <c r="K51" s="20" t="n">
        <v>389.78</v>
      </c>
      <c r="L51" s="20" t="n">
        <v>389.78</v>
      </c>
      <c r="M51" s="20" t="n">
        <v>389.78</v>
      </c>
      <c r="N51" s="20" t="n">
        <v>389.78</v>
      </c>
      <c r="O51" s="20" t="n">
        <v>389.78</v>
      </c>
      <c r="P51" s="20" t="n">
        <v>389.78</v>
      </c>
      <c r="Q51" s="20" t="n">
        <v>389.78</v>
      </c>
      <c r="R51" s="20" t="n">
        <v>389.78</v>
      </c>
      <c r="S51" s="20" t="n">
        <v>389.78</v>
      </c>
      <c r="T51" s="20" t="n">
        <v>389.78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</row>
    <row r="52">
      <c r="B52" s="33" t="inlineStr">
        <is>
          <t xml:space="preserve">  616002 Internet &amp; TV</t>
        </is>
      </c>
      <c r="D52" s="19" t="n">
        <v>81.25</v>
      </c>
      <c r="E52" s="19" t="n">
        <v>93.09</v>
      </c>
      <c r="F52" s="19" t="n">
        <v>93.09</v>
      </c>
      <c r="G52" s="19" t="n">
        <v>93</v>
      </c>
      <c r="H52" s="88" t="n">
        <v>0</v>
      </c>
      <c r="I52" s="20" t="n">
        <v>91.29000000000001</v>
      </c>
      <c r="J52" s="20" t="n">
        <v>91.29000000000001</v>
      </c>
      <c r="K52" s="20" t="n">
        <v>91.29000000000001</v>
      </c>
      <c r="L52" s="20" t="n">
        <v>91.29000000000001</v>
      </c>
      <c r="M52" s="20" t="n">
        <v>91.29000000000001</v>
      </c>
      <c r="N52" s="20" t="n">
        <v>91.29000000000001</v>
      </c>
      <c r="O52" s="20" t="n">
        <v>91.29000000000001</v>
      </c>
      <c r="P52" s="20" t="n">
        <v>91.29000000000001</v>
      </c>
      <c r="Q52" s="20" t="n">
        <v>91.29000000000001</v>
      </c>
      <c r="R52" s="20" t="n">
        <v>91.29000000000001</v>
      </c>
      <c r="S52" s="20" t="n">
        <v>91.29000000000001</v>
      </c>
      <c r="T52" s="20" t="n">
        <v>91.29000000000001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</row>
    <row r="53">
      <c r="B53" s="33" t="inlineStr">
        <is>
          <t xml:space="preserve">  616003 Phone service</t>
        </is>
      </c>
      <c r="D53" s="19" t="n">
        <v>150</v>
      </c>
      <c r="E53" s="19" t="n">
        <v>149.97</v>
      </c>
      <c r="F53" s="19" t="n">
        <v>149.97</v>
      </c>
      <c r="G53" s="19" t="n">
        <v>150.52</v>
      </c>
      <c r="H53" s="88" t="n">
        <v>151.44</v>
      </c>
      <c r="I53" s="20" t="n">
        <v>152.09</v>
      </c>
      <c r="J53" s="20" t="n">
        <v>152.09</v>
      </c>
      <c r="K53" s="20" t="n">
        <v>152.09</v>
      </c>
      <c r="L53" s="20" t="n">
        <v>152.09</v>
      </c>
      <c r="M53" s="20" t="n">
        <v>152.09</v>
      </c>
      <c r="N53" s="20" t="n">
        <v>152.09</v>
      </c>
      <c r="O53" s="20" t="n">
        <v>152.09</v>
      </c>
      <c r="P53" s="20" t="n">
        <v>152.09</v>
      </c>
      <c r="Q53" s="20" t="n">
        <v>152.09</v>
      </c>
      <c r="R53" s="20" t="n">
        <v>152.09</v>
      </c>
      <c r="S53" s="20" t="n">
        <v>152.09</v>
      </c>
      <c r="T53" s="20" t="n">
        <v>152.09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77.98</v>
      </c>
      <c r="E55" s="19" t="n">
        <v>83.75</v>
      </c>
      <c r="F55" s="19" t="n">
        <v>91.59999999999999</v>
      </c>
      <c r="G55" s="19" t="n">
        <v>76.36</v>
      </c>
      <c r="H55" s="88" t="n">
        <v>70.14</v>
      </c>
      <c r="I55" s="20" t="n">
        <v>83.5</v>
      </c>
      <c r="J55" s="20" t="n">
        <v>83.5</v>
      </c>
      <c r="K55" s="20" t="n">
        <v>83.5</v>
      </c>
      <c r="L55" s="20" t="n">
        <v>83.5</v>
      </c>
      <c r="M55" s="20" t="n">
        <v>83.5</v>
      </c>
      <c r="N55" s="20" t="n">
        <v>83.5</v>
      </c>
      <c r="O55" s="20" t="n">
        <v>83.5</v>
      </c>
      <c r="P55" s="20" t="n">
        <v>83.5</v>
      </c>
      <c r="Q55" s="20" t="n">
        <v>83.5</v>
      </c>
      <c r="R55" s="20" t="n">
        <v>83.5</v>
      </c>
      <c r="S55" s="20" t="n">
        <v>83.5</v>
      </c>
      <c r="T55" s="20" t="n">
        <v>83.5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</row>
    <row r="56">
      <c r="B56" s="32" t="inlineStr">
        <is>
          <t>Total Utilities</t>
        </is>
      </c>
      <c r="C56" s="34" t="n"/>
      <c r="D56" s="35" t="n">
        <v>656.6600000000001</v>
      </c>
      <c r="E56" s="35" t="n">
        <v>653.95</v>
      </c>
      <c r="F56" s="35" t="n">
        <v>784.23</v>
      </c>
      <c r="G56" s="35" t="n">
        <v>734.65</v>
      </c>
      <c r="H56" s="89" t="n">
        <v>699.1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8122.98</v>
      </c>
      <c r="E57" s="19" t="n">
        <v>8122.98</v>
      </c>
      <c r="F57" s="19" t="n">
        <v>8122.98</v>
      </c>
      <c r="G57" s="19" t="n">
        <v>8122.98</v>
      </c>
      <c r="H57" s="88" t="n">
        <v>8122.98</v>
      </c>
      <c r="I57" s="20" t="n">
        <v>8028.77</v>
      </c>
      <c r="J57" s="20" t="n">
        <v>8028.77</v>
      </c>
      <c r="K57" s="20" t="n">
        <v>8028.77</v>
      </c>
      <c r="L57" s="20" t="n">
        <v>8028.77</v>
      </c>
      <c r="M57" s="20" t="n">
        <v>8028.77</v>
      </c>
      <c r="N57" s="20" t="n">
        <v>8028.77</v>
      </c>
      <c r="O57" s="20" t="n">
        <v>8028.77</v>
      </c>
      <c r="P57" s="20" t="n">
        <v>8028.77</v>
      </c>
      <c r="Q57" s="20" t="n">
        <v>8028.77</v>
      </c>
      <c r="R57" s="20" t="n">
        <v>8028.77</v>
      </c>
      <c r="S57" s="20" t="n">
        <v>8028.77</v>
      </c>
      <c r="T57" s="20" t="n">
        <v>8028.77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140.57</v>
      </c>
      <c r="E59" s="19" t="n">
        <v>394.25</v>
      </c>
      <c r="F59" s="19" t="n">
        <v>414.89</v>
      </c>
      <c r="G59" s="19" t="n">
        <v>-0.45</v>
      </c>
      <c r="H59" s="88" t="n">
        <v>84.04000000000001</v>
      </c>
      <c r="I59" s="20" t="n">
        <v>234.78</v>
      </c>
      <c r="J59" s="20" t="n">
        <v>234.78</v>
      </c>
      <c r="K59" s="20" t="n">
        <v>234.78</v>
      </c>
      <c r="L59" s="20" t="n">
        <v>234.78</v>
      </c>
      <c r="M59" s="20" t="n">
        <v>234.78</v>
      </c>
      <c r="N59" s="20" t="n">
        <v>234.78</v>
      </c>
      <c r="O59" s="20" t="n">
        <v>234.78</v>
      </c>
      <c r="P59" s="20" t="n">
        <v>234.78</v>
      </c>
      <c r="Q59" s="20" t="n">
        <v>234.78</v>
      </c>
      <c r="R59" s="20" t="n">
        <v>234.78</v>
      </c>
      <c r="S59" s="20" t="n">
        <v>234.78</v>
      </c>
      <c r="T59" s="20" t="n">
        <v>234.78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8263.549999999999</v>
      </c>
      <c r="E61" s="35" t="n">
        <v>8517.23</v>
      </c>
      <c r="F61" s="35" t="n">
        <v>8537.869999999999</v>
      </c>
      <c r="G61" s="35" t="n">
        <v>8267.279999999999</v>
      </c>
      <c r="H61" s="89" t="n">
        <v>8207.02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37096.85000000001</v>
      </c>
      <c r="E62" s="35" t="n">
        <v>38680.31</v>
      </c>
      <c r="F62" s="35" t="n">
        <v>42513.06000000001</v>
      </c>
      <c r="G62" s="35" t="n">
        <v>42818.39999999999</v>
      </c>
      <c r="H62" s="89" t="n">
        <v>37822.43000000001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-1862.020000000004</v>
      </c>
      <c r="E63" s="35" t="n">
        <v>1313.409999999989</v>
      </c>
      <c r="F63" s="35" t="n">
        <v>-1516.940000000017</v>
      </c>
      <c r="G63" s="35" t="n">
        <v>-7133.109999999986</v>
      </c>
      <c r="H63" s="89" t="n">
        <v>-2779.310000000012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4691.67</v>
      </c>
      <c r="E65" s="19" t="n">
        <v>4691.67</v>
      </c>
      <c r="F65" s="19" t="n">
        <v>4691.67</v>
      </c>
      <c r="G65" s="19" t="n">
        <v>4691.67</v>
      </c>
      <c r="H65" s="88" t="n">
        <v>4691.67</v>
      </c>
      <c r="I65" s="20">
        <f>I69*0.979862</f>
        <v/>
      </c>
      <c r="J65" s="20">
        <f>J69*0.979862</f>
        <v/>
      </c>
      <c r="K65" s="20">
        <f>K69*0.979862</f>
        <v/>
      </c>
      <c r="L65" s="20">
        <f>L69*0.979862</f>
        <v/>
      </c>
      <c r="M65" s="20">
        <f>M69*0.979862</f>
        <v/>
      </c>
      <c r="N65" s="20">
        <f>N69*0.979862</f>
        <v/>
      </c>
      <c r="O65" s="20">
        <f>O69*0.979862</f>
        <v/>
      </c>
      <c r="P65" s="20">
        <f>P69*0.979862</f>
        <v/>
      </c>
      <c r="Q65" s="20">
        <f>Q69*0.979862</f>
        <v/>
      </c>
      <c r="R65" s="20">
        <f>R69*0.979862</f>
        <v/>
      </c>
      <c r="S65" s="20">
        <f>S69*0.979862</f>
        <v/>
      </c>
      <c r="T65" s="20">
        <f>T69*0.979862</f>
        <v/>
      </c>
      <c r="U65" s="20">
        <f>U69*0.979862</f>
        <v/>
      </c>
      <c r="V65" s="20">
        <f>V69*0.979862</f>
        <v/>
      </c>
      <c r="W65" s="20">
        <f>W69*0.979862</f>
        <v/>
      </c>
      <c r="X65" s="20">
        <f>X69*0.979862</f>
        <v/>
      </c>
      <c r="Y65" s="20">
        <f>Y69*0.979862</f>
        <v/>
      </c>
      <c r="Z65" s="20">
        <f>Z69*0.979862</f>
        <v/>
      </c>
      <c r="AA65" s="20">
        <f>AA69*0.979862</f>
        <v/>
      </c>
      <c r="AB65" s="20">
        <f>AB69*0.979862</f>
        <v/>
      </c>
      <c r="AC65" s="20">
        <f>AC69*0.979862</f>
        <v/>
      </c>
      <c r="AD65" s="20">
        <f>AD69*0.979862</f>
        <v/>
      </c>
      <c r="AE65" s="20">
        <f>AE69*0.979862</f>
        <v/>
      </c>
      <c r="AF65" s="20">
        <f>AF69*0.979862</f>
        <v/>
      </c>
      <c r="AG65" s="20">
        <f>AG69*0.979862</f>
        <v/>
      </c>
      <c r="AH65" s="20">
        <f>AH69*0.979862</f>
        <v/>
      </c>
      <c r="AI65" s="20">
        <f>AI69*0.979862</f>
        <v/>
      </c>
      <c r="AJ65" s="20">
        <f>AJ69*0.979862</f>
        <v/>
      </c>
      <c r="AK65" s="20">
        <f>AK69*0.979862</f>
        <v/>
      </c>
      <c r="AL65" s="20">
        <f>AL69*0.979862</f>
        <v/>
      </c>
      <c r="AM65" s="20">
        <f>AM69*0.979862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385.69</v>
      </c>
      <c r="F67" s="19" t="n">
        <v>0</v>
      </c>
      <c r="G67" s="19" t="n">
        <v>0</v>
      </c>
      <c r="H67" s="88" t="n">
        <v>0</v>
      </c>
      <c r="I67" s="20">
        <f>I69*0.020138</f>
        <v/>
      </c>
      <c r="J67" s="20">
        <f>J69*0.020138</f>
        <v/>
      </c>
      <c r="K67" s="20">
        <f>K69*0.020138</f>
        <v/>
      </c>
      <c r="L67" s="20">
        <f>L69*0.020138</f>
        <v/>
      </c>
      <c r="M67" s="20">
        <f>M69*0.020138</f>
        <v/>
      </c>
      <c r="N67" s="20">
        <f>N69*0.020138</f>
        <v/>
      </c>
      <c r="O67" s="20">
        <f>O69*0.020138</f>
        <v/>
      </c>
      <c r="P67" s="20">
        <f>P69*0.020138</f>
        <v/>
      </c>
      <c r="Q67" s="20">
        <f>Q69*0.020138</f>
        <v/>
      </c>
      <c r="R67" s="20">
        <f>R69*0.020138</f>
        <v/>
      </c>
      <c r="S67" s="20">
        <f>S69*0.020138</f>
        <v/>
      </c>
      <c r="T67" s="20">
        <f>T69*0.020138</f>
        <v/>
      </c>
      <c r="U67" s="20">
        <f>U69*0.020138</f>
        <v/>
      </c>
      <c r="V67" s="20">
        <f>V69*0.020138</f>
        <v/>
      </c>
      <c r="W67" s="20">
        <f>W69*0.020138</f>
        <v/>
      </c>
      <c r="X67" s="20">
        <f>X69*0.020138</f>
        <v/>
      </c>
      <c r="Y67" s="20">
        <f>Y69*0.020138</f>
        <v/>
      </c>
      <c r="Z67" s="20">
        <f>Z69*0.020138</f>
        <v/>
      </c>
      <c r="AA67" s="20">
        <f>AA69*0.020138</f>
        <v/>
      </c>
      <c r="AB67" s="20">
        <f>AB69*0.020138</f>
        <v/>
      </c>
      <c r="AC67" s="20">
        <f>AC69*0.020138</f>
        <v/>
      </c>
      <c r="AD67" s="20">
        <f>AD69*0.020138</f>
        <v/>
      </c>
      <c r="AE67" s="20">
        <f>AE69*0.020138</f>
        <v/>
      </c>
      <c r="AF67" s="20">
        <f>AF69*0.020138</f>
        <v/>
      </c>
      <c r="AG67" s="20">
        <f>AG69*0.020138</f>
        <v/>
      </c>
      <c r="AH67" s="20">
        <f>AH69*0.020138</f>
        <v/>
      </c>
      <c r="AI67" s="20">
        <f>AI69*0.020138</f>
        <v/>
      </c>
      <c r="AJ67" s="20">
        <f>AJ69*0.020138</f>
        <v/>
      </c>
      <c r="AK67" s="20">
        <f>AK69*0.020138</f>
        <v/>
      </c>
      <c r="AL67" s="20">
        <f>AL69*0.020138</f>
        <v/>
      </c>
      <c r="AM67" s="20">
        <f>AM69*0.020138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4691.67</v>
      </c>
      <c r="E69" s="35" t="n">
        <v>5077.36</v>
      </c>
      <c r="F69" s="35" t="n">
        <v>4691.67</v>
      </c>
      <c r="G69" s="35" t="n">
        <v>4691.67</v>
      </c>
      <c r="H69" s="89" t="n">
        <v>4691.67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-6553.690000000004</v>
      </c>
      <c r="E70" s="35" t="n">
        <v>-3763.95000000001</v>
      </c>
      <c r="F70" s="35" t="n">
        <v>-6208.610000000017</v>
      </c>
      <c r="G70" s="35" t="n">
        <v>-11824.77999999999</v>
      </c>
      <c r="H70" s="89" t="n">
        <v>-7470.980000000012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Danville (DN)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13528.97</v>
      </c>
      <c r="E7" s="19" t="n">
        <v>12132.96</v>
      </c>
      <c r="F7" s="19" t="n">
        <v>13736.52</v>
      </c>
      <c r="G7" s="19" t="n">
        <v>12829.22</v>
      </c>
      <c r="H7" s="88" t="n">
        <v>10784.93</v>
      </c>
      <c r="I7" s="20">
        <f>I13*0.654061</f>
        <v/>
      </c>
      <c r="J7" s="20">
        <f>J13*0.654061</f>
        <v/>
      </c>
      <c r="K7" s="20">
        <f>K13*0.654061</f>
        <v/>
      </c>
      <c r="L7" s="20">
        <f>L13*0.654061</f>
        <v/>
      </c>
      <c r="M7" s="20">
        <f>M13*0.654061</f>
        <v/>
      </c>
      <c r="N7" s="20">
        <f>N13*0.654061</f>
        <v/>
      </c>
      <c r="O7" s="20">
        <f>O13*0.654061</f>
        <v/>
      </c>
      <c r="P7" s="20">
        <f>P13*0.654061</f>
        <v/>
      </c>
      <c r="Q7" s="20">
        <f>Q13*0.654061</f>
        <v/>
      </c>
      <c r="R7" s="20">
        <f>R13*0.654061</f>
        <v/>
      </c>
      <c r="S7" s="20">
        <f>S13*0.654061</f>
        <v/>
      </c>
      <c r="T7" s="20">
        <f>T13*0.654061</f>
        <v/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</row>
    <row r="8">
      <c r="B8" s="33" t="inlineStr">
        <is>
          <t xml:space="preserve">  401002 Private Pilates</t>
        </is>
      </c>
      <c r="D8" s="19" t="n">
        <v>450</v>
      </c>
      <c r="E8" s="19" t="n">
        <v>1593</v>
      </c>
      <c r="F8" s="19" t="n">
        <v>1977</v>
      </c>
      <c r="G8" s="19" t="n">
        <v>1360</v>
      </c>
      <c r="H8" s="88" t="n">
        <v>1031.67</v>
      </c>
      <c r="I8" s="20">
        <f>I13*0.067375</f>
        <v/>
      </c>
      <c r="J8" s="20">
        <f>J13*0.067375</f>
        <v/>
      </c>
      <c r="K8" s="20">
        <f>K13*0.067375</f>
        <v/>
      </c>
      <c r="L8" s="20">
        <f>L13*0.067375</f>
        <v/>
      </c>
      <c r="M8" s="20">
        <f>M13*0.067375</f>
        <v/>
      </c>
      <c r="N8" s="20">
        <f>N13*0.067375</f>
        <v/>
      </c>
      <c r="O8" s="20">
        <f>O13*0.067375</f>
        <v/>
      </c>
      <c r="P8" s="20">
        <f>P13*0.067375</f>
        <v/>
      </c>
      <c r="Q8" s="20">
        <f>Q13*0.067375</f>
        <v/>
      </c>
      <c r="R8" s="20">
        <f>R13*0.067375</f>
        <v/>
      </c>
      <c r="S8" s="20">
        <f>S13*0.067375</f>
        <v/>
      </c>
      <c r="T8" s="20">
        <f>T13*0.067375</f>
        <v/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</row>
    <row r="9">
      <c r="B9" s="33" t="inlineStr">
        <is>
          <t xml:space="preserve">  401003 Class Pass</t>
        </is>
      </c>
      <c r="D9" s="19" t="n">
        <v>6572</v>
      </c>
      <c r="E9" s="19" t="n">
        <v>5183.81</v>
      </c>
      <c r="F9" s="19" t="n">
        <v>5673.02</v>
      </c>
      <c r="G9" s="19" t="n">
        <v>4787</v>
      </c>
      <c r="H9" s="88" t="n">
        <v>4644.86</v>
      </c>
      <c r="I9" s="20">
        <f>I13*0.278215</f>
        <v/>
      </c>
      <c r="J9" s="20">
        <f>J13*0.278215</f>
        <v/>
      </c>
      <c r="K9" s="20">
        <f>K13*0.278215</f>
        <v/>
      </c>
      <c r="L9" s="20">
        <f>L13*0.278215</f>
        <v/>
      </c>
      <c r="M9" s="20">
        <f>M13*0.278215</f>
        <v/>
      </c>
      <c r="N9" s="20">
        <f>N13*0.278215</f>
        <v/>
      </c>
      <c r="O9" s="20">
        <f>O13*0.278215</f>
        <v/>
      </c>
      <c r="P9" s="20">
        <f>P13*0.278215</f>
        <v/>
      </c>
      <c r="Q9" s="20">
        <f>Q13*0.278215</f>
        <v/>
      </c>
      <c r="R9" s="20">
        <f>R13*0.278215</f>
        <v/>
      </c>
      <c r="S9" s="20">
        <f>S13*0.278215</f>
        <v/>
      </c>
      <c r="T9" s="20">
        <f>T13*0.278215</f>
        <v/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88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27.82</v>
      </c>
      <c r="G12" s="19" t="n">
        <v>0</v>
      </c>
      <c r="H12" s="88" t="n">
        <v>0</v>
      </c>
      <c r="I12" s="20">
        <f>I13*0.000348</f>
        <v/>
      </c>
      <c r="J12" s="20">
        <f>J13*0.000348</f>
        <v/>
      </c>
      <c r="K12" s="20">
        <f>K13*0.000348</f>
        <v/>
      </c>
      <c r="L12" s="20">
        <f>L13*0.000348</f>
        <v/>
      </c>
      <c r="M12" s="20">
        <f>M13*0.000348</f>
        <v/>
      </c>
      <c r="N12" s="20">
        <f>N13*0.000348</f>
        <v/>
      </c>
      <c r="O12" s="20">
        <f>O13*0.000348</f>
        <v/>
      </c>
      <c r="P12" s="20">
        <f>P13*0.000348</f>
        <v/>
      </c>
      <c r="Q12" s="20">
        <f>Q13*0.000348</f>
        <v/>
      </c>
      <c r="R12" s="20">
        <f>R13*0.000348</f>
        <v/>
      </c>
      <c r="S12" s="20">
        <f>S13*0.000348</f>
        <v/>
      </c>
      <c r="T12" s="20">
        <f>T13*0.000348</f>
        <v/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</row>
    <row r="13">
      <c r="B13" s="32" t="inlineStr">
        <is>
          <t>Total Sessions</t>
        </is>
      </c>
      <c r="C13" s="34" t="n"/>
      <c r="D13" s="35" t="n">
        <v>20550.97</v>
      </c>
      <c r="E13" s="35" t="n">
        <v>18909.77</v>
      </c>
      <c r="F13" s="35" t="n">
        <v>21414.36</v>
      </c>
      <c r="G13" s="35" t="n">
        <v>18976.22</v>
      </c>
      <c r="H13" s="89" t="n">
        <v>16461.46</v>
      </c>
      <c r="I13" s="17">
        <f>'Sales Forecast'!I8*Assumptions!$C$12+'Sales Forecast'!H8*Assumptions!$D$12+'Sales Forecast'!G8*Assumptions!$E$12+'Sales Forecast'!F8*Assumptions!$F$12+'Sales Forecast'!E8*Assumptions!$G$12+'Sales Forecast'!D8*Assumptions!$H$12+'Sales Forecast'!I104*Assumptions!$I$12</f>
        <v/>
      </c>
      <c r="J13" s="17">
        <f>'Sales Forecast'!J8*Assumptions!$C$12+'Sales Forecast'!I8*Assumptions!$D$12+'Sales Forecast'!H8*Assumptions!$E$12+'Sales Forecast'!G8*Assumptions!$F$12+'Sales Forecast'!F8*Assumptions!$G$12+'Sales Forecast'!E8*Assumptions!$H$12+'Sales Forecast'!D8*Assumptions!$I$12</f>
        <v/>
      </c>
      <c r="K13" s="17">
        <f>'Sales Forecast'!K8*Assumptions!$C$12+'Sales Forecast'!J8*Assumptions!$D$12+'Sales Forecast'!I8*Assumptions!$E$12+'Sales Forecast'!H8*Assumptions!$F$12+'Sales Forecast'!G8*Assumptions!$G$12+'Sales Forecast'!F8*Assumptions!$H$12+'Sales Forecast'!E8*Assumptions!$I$12</f>
        <v/>
      </c>
      <c r="L13" s="17">
        <f>'Sales Forecast'!L8*Assumptions!$C$12+'Sales Forecast'!K8*Assumptions!$D$12+'Sales Forecast'!J8*Assumptions!$E$12+'Sales Forecast'!I8*Assumptions!$F$12+'Sales Forecast'!H8*Assumptions!$G$12+'Sales Forecast'!G8*Assumptions!$H$12+'Sales Forecast'!F8*Assumptions!$I$12</f>
        <v/>
      </c>
      <c r="M13" s="17">
        <f>'Sales Forecast'!M8*Assumptions!$C$12+'Sales Forecast'!L8*Assumptions!$D$12+'Sales Forecast'!K8*Assumptions!$E$12+'Sales Forecast'!J8*Assumptions!$F$12+'Sales Forecast'!I8*Assumptions!$G$12+'Sales Forecast'!H8*Assumptions!$H$12+'Sales Forecast'!G8*Assumptions!$I$12</f>
        <v/>
      </c>
      <c r="N13" s="17">
        <f>'Sales Forecast'!N8*Assumptions!$C$12+'Sales Forecast'!M8*Assumptions!$D$12+'Sales Forecast'!L8*Assumptions!$E$12+'Sales Forecast'!K8*Assumptions!$F$12+'Sales Forecast'!J8*Assumptions!$G$12+'Sales Forecast'!I8*Assumptions!$H$12+'Sales Forecast'!H8*Assumptions!$I$12</f>
        <v/>
      </c>
      <c r="O13" s="17">
        <f>'Sales Forecast'!O8*Assumptions!$C$12+'Sales Forecast'!N8*Assumptions!$D$12+'Sales Forecast'!M8*Assumptions!$E$12+'Sales Forecast'!L8*Assumptions!$F$12+'Sales Forecast'!K8*Assumptions!$G$12+'Sales Forecast'!J8*Assumptions!$H$12+'Sales Forecast'!I8*Assumptions!$I$12</f>
        <v/>
      </c>
      <c r="P13" s="17">
        <f>'Sales Forecast'!P8*Assumptions!$C$12+'Sales Forecast'!O8*Assumptions!$D$12+'Sales Forecast'!N8*Assumptions!$E$12+'Sales Forecast'!M8*Assumptions!$F$12+'Sales Forecast'!L8*Assumptions!$G$12+'Sales Forecast'!K8*Assumptions!$H$12+'Sales Forecast'!J8*Assumptions!$I$12</f>
        <v/>
      </c>
      <c r="Q13" s="17">
        <f>'Sales Forecast'!Q8*Assumptions!$C$12+'Sales Forecast'!P8*Assumptions!$D$12+'Sales Forecast'!O8*Assumptions!$E$12+'Sales Forecast'!N8*Assumptions!$F$12+'Sales Forecast'!M8*Assumptions!$G$12+'Sales Forecast'!L8*Assumptions!$H$12+'Sales Forecast'!K8*Assumptions!$I$12</f>
        <v/>
      </c>
      <c r="R13" s="17">
        <f>'Sales Forecast'!R8*Assumptions!$C$12+'Sales Forecast'!Q8*Assumptions!$D$12+'Sales Forecast'!P8*Assumptions!$E$12+'Sales Forecast'!O8*Assumptions!$F$12+'Sales Forecast'!N8*Assumptions!$G$12+'Sales Forecast'!M8*Assumptions!$H$12+'Sales Forecast'!L8*Assumptions!$I$12</f>
        <v/>
      </c>
      <c r="S13" s="17">
        <f>'Sales Forecast'!S8*Assumptions!$C$12+'Sales Forecast'!R8*Assumptions!$D$12+'Sales Forecast'!Q8*Assumptions!$E$12+'Sales Forecast'!P8*Assumptions!$F$12+'Sales Forecast'!O8*Assumptions!$G$12+'Sales Forecast'!N8*Assumptions!$H$12+'Sales Forecast'!M8*Assumptions!$I$12</f>
        <v/>
      </c>
      <c r="T13" s="17">
        <f>'Sales Forecast'!T8*Assumptions!$C$12+'Sales Forecast'!S8*Assumptions!$D$12+'Sales Forecast'!R8*Assumptions!$E$12+'Sales Forecast'!Q8*Assumptions!$F$12+'Sales Forecast'!P8*Assumptions!$G$12+'Sales Forecast'!O8*Assumptions!$H$12+'Sales Forecast'!N8*Assumptions!$I$12</f>
        <v/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Forecast'!O8*Assumptions!$I$12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</row>
    <row r="14">
      <c r="B14" s="33" t="inlineStr">
        <is>
          <t xml:space="preserve">  403001 Machine Breakage</t>
        </is>
      </c>
      <c r="D14" s="19" t="n">
        <v>3417.25</v>
      </c>
      <c r="E14" s="19" t="n">
        <v>3639.02</v>
      </c>
      <c r="F14" s="19" t="n">
        <v>3973.02</v>
      </c>
      <c r="G14" s="19" t="n">
        <v>3208.35</v>
      </c>
      <c r="H14" s="88" t="n">
        <v>4144.05</v>
      </c>
      <c r="I14" s="20">
        <f>I17*0.958916</f>
        <v/>
      </c>
      <c r="J14" s="20">
        <f>J17*0.958916</f>
        <v/>
      </c>
      <c r="K14" s="20">
        <f>K17*0.958916</f>
        <v/>
      </c>
      <c r="L14" s="20">
        <f>L17*0.958916</f>
        <v/>
      </c>
      <c r="M14" s="20">
        <f>M17*0.958916</f>
        <v/>
      </c>
      <c r="N14" s="20">
        <f>N17*0.958916</f>
        <v/>
      </c>
      <c r="O14" s="20">
        <f>O17*0.958916</f>
        <v/>
      </c>
      <c r="P14" s="20">
        <f>P17*0.958916</f>
        <v/>
      </c>
      <c r="Q14" s="20">
        <f>Q17*0.958916</f>
        <v/>
      </c>
      <c r="R14" s="20">
        <f>R17*0.958916</f>
        <v/>
      </c>
      <c r="S14" s="20">
        <f>S17*0.958916</f>
        <v/>
      </c>
      <c r="T14" s="20">
        <f>T17*0.958916</f>
        <v/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150</v>
      </c>
      <c r="F15" s="19" t="n">
        <v>460</v>
      </c>
      <c r="G15" s="19" t="n">
        <v>0</v>
      </c>
      <c r="H15" s="88" t="n">
        <v>200</v>
      </c>
      <c r="I15" s="20">
        <f>I17*0.041084</f>
        <v/>
      </c>
      <c r="J15" s="20">
        <f>J17*0.041084</f>
        <v/>
      </c>
      <c r="K15" s="20">
        <f>K17*0.041084</f>
        <v/>
      </c>
      <c r="L15" s="20">
        <f>L17*0.041084</f>
        <v/>
      </c>
      <c r="M15" s="20">
        <f>M17*0.041084</f>
        <v/>
      </c>
      <c r="N15" s="20">
        <f>N17*0.041084</f>
        <v/>
      </c>
      <c r="O15" s="20">
        <f>O17*0.041084</f>
        <v/>
      </c>
      <c r="P15" s="20">
        <f>P17*0.041084</f>
        <v/>
      </c>
      <c r="Q15" s="20">
        <f>Q17*0.041084</f>
        <v/>
      </c>
      <c r="R15" s="20">
        <f>R17*0.041084</f>
        <v/>
      </c>
      <c r="S15" s="20">
        <f>S17*0.041084</f>
        <v/>
      </c>
      <c r="T15" s="20">
        <f>T17*0.041084</f>
        <v/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3417.25</v>
      </c>
      <c r="E17" s="35" t="n">
        <v>3789.02</v>
      </c>
      <c r="F17" s="35" t="n">
        <v>4433.02</v>
      </c>
      <c r="G17" s="35" t="n">
        <v>3208.35</v>
      </c>
      <c r="H17" s="89" t="n">
        <v>4344.05</v>
      </c>
      <c r="I17" s="17">
        <f>'Sales Forecast'!I8*Assumptions!$C$13+'Sales Forecast'!H8*Assumptions!$D$13+'Sales Forecast'!G8*Assumptions!$E$13+'Sales Forecast'!F8*Assumptions!$F$13+'Sales Forecast'!E8*Assumptions!$G$13+'Sales Forecast'!D8*Assumptions!$H$13+'Sales Forecast'!I104*Assumptions!$I$13</f>
        <v/>
      </c>
      <c r="J17" s="17">
        <f>'Sales Forecast'!J8*Assumptions!$C$13+'Sales Forecast'!I8*Assumptions!$D$13+'Sales Forecast'!H8*Assumptions!$E$13+'Sales Forecast'!G8*Assumptions!$F$13+'Sales Forecast'!F8*Assumptions!$G$13+'Sales Forecast'!E8*Assumptions!$H$13+'Sales Forecast'!D8*Assumptions!$I$13</f>
        <v/>
      </c>
      <c r="K17" s="17">
        <f>'Sales Forecast'!K8*Assumptions!$C$13+'Sales Forecast'!J8*Assumptions!$D$13+'Sales Forecast'!I8*Assumptions!$E$13+'Sales Forecast'!H8*Assumptions!$F$13+'Sales Forecast'!G8*Assumptions!$G$13+'Sales Forecast'!F8*Assumptions!$H$13+'Sales Forecast'!E8*Assumptions!$I$13</f>
        <v/>
      </c>
      <c r="L17" s="17">
        <f>'Sales Forecast'!L8*Assumptions!$C$13+'Sales Forecast'!K8*Assumptions!$D$13+'Sales Forecast'!J8*Assumptions!$E$13+'Sales Forecast'!I8*Assumptions!$F$13+'Sales Forecast'!H8*Assumptions!$G$13+'Sales Forecast'!G8*Assumptions!$H$13+'Sales Forecast'!F8*Assumptions!$I$13</f>
        <v/>
      </c>
      <c r="M17" s="17">
        <f>'Sales Forecast'!M8*Assumptions!$C$13+'Sales Forecast'!L8*Assumptions!$D$13+'Sales Forecast'!K8*Assumptions!$E$13+'Sales Forecast'!J8*Assumptions!$F$13+'Sales Forecast'!I8*Assumptions!$G$13+'Sales Forecast'!H8*Assumptions!$H$13+'Sales Forecast'!G8*Assumptions!$I$13</f>
        <v/>
      </c>
      <c r="N17" s="17">
        <f>'Sales Forecast'!N8*Assumptions!$C$13+'Sales Forecast'!M8*Assumptions!$D$13+'Sales Forecast'!L8*Assumptions!$E$13+'Sales Forecast'!K8*Assumptions!$F$13+'Sales Forecast'!J8*Assumptions!$G$13+'Sales Forecast'!I8*Assumptions!$H$13+'Sales Forecast'!H8*Assumptions!$I$13</f>
        <v/>
      </c>
      <c r="O17" s="17">
        <f>'Sales Forecast'!O8*Assumptions!$C$13+'Sales Forecast'!N8*Assumptions!$D$13+'Sales Forecast'!M8*Assumptions!$E$13+'Sales Forecast'!L8*Assumptions!$F$13+'Sales Forecast'!K8*Assumptions!$G$13+'Sales Forecast'!J8*Assumptions!$H$13+'Sales Forecast'!I8*Assumptions!$I$13</f>
        <v/>
      </c>
      <c r="P17" s="17">
        <f>'Sales Forecast'!P8*Assumptions!$C$13+'Sales Forecast'!O8*Assumptions!$D$13+'Sales Forecast'!N8*Assumptions!$E$13+'Sales Forecast'!M8*Assumptions!$F$13+'Sales Forecast'!L8*Assumptions!$G$13+'Sales Forecast'!K8*Assumptions!$H$13+'Sales Forecast'!J8*Assumptions!$I$13</f>
        <v/>
      </c>
      <c r="Q17" s="17">
        <f>'Sales Forecast'!Q8*Assumptions!$C$13+'Sales Forecast'!P8*Assumptions!$D$13+'Sales Forecast'!O8*Assumptions!$E$13+'Sales Forecast'!N8*Assumptions!$F$13+'Sales Forecast'!M8*Assumptions!$G$13+'Sales Forecast'!L8*Assumptions!$H$13+'Sales Forecast'!K8*Assumptions!$I$13</f>
        <v/>
      </c>
      <c r="R17" s="17">
        <f>'Sales Forecast'!R8*Assumptions!$C$13+'Sales Forecast'!Q8*Assumptions!$D$13+'Sales Forecast'!P8*Assumptions!$E$13+'Sales Forecast'!O8*Assumptions!$F$13+'Sales Forecast'!N8*Assumptions!$G$13+'Sales Forecast'!M8*Assumptions!$H$13+'Sales Forecast'!L8*Assumptions!$I$13</f>
        <v/>
      </c>
      <c r="S17" s="17">
        <f>'Sales Forecast'!S8*Assumptions!$C$13+'Sales Forecast'!R8*Assumptions!$D$13+'Sales Forecast'!Q8*Assumptions!$E$13+'Sales Forecast'!P8*Assumptions!$F$13+'Sales Forecast'!O8*Assumptions!$G$13+'Sales Forecast'!N8*Assumptions!$H$13+'Sales Forecast'!M8*Assumptions!$I$13</f>
        <v/>
      </c>
      <c r="T17" s="17">
        <f>'Sales Forecast'!T8*Assumptions!$C$13+'Sales Forecast'!S8*Assumptions!$D$13+'Sales Forecast'!R8*Assumptions!$E$13+'Sales Forecast'!Q8*Assumptions!$F$13+'Sales Forecast'!P8*Assumptions!$G$13+'Sales Forecast'!O8*Assumptions!$H$13+'Sales Forecast'!N8*Assumptions!$I$13</f>
        <v/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Forecast'!O8*Assumptions!$I$13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</row>
    <row r="18">
      <c r="B18" s="33" t="inlineStr">
        <is>
          <t xml:space="preserve">  404000 Retail Sales</t>
        </is>
      </c>
      <c r="D18" s="19" t="n">
        <v>768</v>
      </c>
      <c r="E18" s="19" t="n">
        <v>416</v>
      </c>
      <c r="F18" s="19" t="n">
        <v>528</v>
      </c>
      <c r="G18" s="19" t="n">
        <v>598</v>
      </c>
      <c r="H18" s="88" t="n">
        <v>332</v>
      </c>
      <c r="I18" s="20">
        <f>577.5</f>
        <v/>
      </c>
      <c r="J18" s="20">
        <f>577.5</f>
        <v/>
      </c>
      <c r="K18" s="20">
        <f>577.5</f>
        <v/>
      </c>
      <c r="L18" s="20">
        <f>577.5</f>
        <v/>
      </c>
      <c r="M18" s="20">
        <f>577.5</f>
        <v/>
      </c>
      <c r="N18" s="20">
        <f>577.5</f>
        <v/>
      </c>
      <c r="O18" s="20">
        <f>577.5</f>
        <v/>
      </c>
      <c r="P18" s="20">
        <f>577.5</f>
        <v/>
      </c>
      <c r="Q18" s="20">
        <f>577.5</f>
        <v/>
      </c>
      <c r="R18" s="20">
        <f>577.5</f>
        <v/>
      </c>
      <c r="S18" s="20">
        <f>577.5</f>
        <v/>
      </c>
      <c r="T18" s="20">
        <f>577.5</f>
        <v/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245</v>
      </c>
      <c r="G19" s="19" t="n">
        <v>245</v>
      </c>
      <c r="H19" s="88" t="n">
        <v>245</v>
      </c>
      <c r="I19" s="20">
        <f>('Sales Forecast'!I8*Assumptions!$C$12+'Sales Forecast'!H8*Assumptions!$D$12+'Sales Forecast'!G8*Assumptions!$E$12+'Sales Forecast'!F8*Assumptions!$F$12+'Sales Forecast'!E8*Assumptions!$G$12+'Sales Forecast'!D8*Assumptions!$H$12+'Sales Forecast'!I8*Assumptions!$C$13+'Sales Forecast'!H8*Assumptions!$D$13+'Sales Forecast'!G8*Assumptions!$E$13+'Sales Forecast'!F8*Assumptions!$F$13+'Sales Forecast'!E8*Assumptions!$G$13+'Sales Forecast'!D8*Assumptions!$H$13+577.5)*Assumptions!$C$17</f>
        <v/>
      </c>
      <c r="J19" s="20">
        <f>('Sales Forecast'!J8*Assumptions!$C$12+'Sales Forecast'!I8*Assumptions!$D$12+'Sales Forecast'!H8*Assumptions!$E$12+'Sales Forecast'!G8*Assumptions!$F$12+'Sales Forecast'!F8*Assumptions!$G$12+'Sales Forecast'!E8*Assumptions!$H$12+'Sales Forecast'!D8*Assumptions!$I$12+'Sales Forecast'!J8*Assumptions!$C$13+'Sales Forecast'!I8*Assumptions!$D$13+'Sales Forecast'!H8*Assumptions!$E$13+'Sales Forecast'!G8*Assumptions!$F$13+'Sales Forecast'!F8*Assumptions!$G$13+'Sales Forecast'!E8*Assumptions!$H$13+'Sales Forecast'!D8*Assumptions!$I$13+577.5)*Assumptions!$C$17</f>
        <v/>
      </c>
      <c r="K19" s="20">
        <f>('Sales Forecast'!K8*Assumptions!$C$12+'Sales Forecast'!J8*Assumptions!$D$12+'Sales Forecast'!I8*Assumptions!$E$12+'Sales Forecast'!H8*Assumptions!$F$12+'Sales Forecast'!G8*Assumptions!$G$12+'Sales Forecast'!F8*Assumptions!$H$12+'Sales Forecast'!E8*Assumptions!$I$12+'Sales Forecast'!K8*Assumptions!$C$13+'Sales Forecast'!J8*Assumptions!$D$13+'Sales Forecast'!I8*Assumptions!$E$13+'Sales Forecast'!H8*Assumptions!$F$13+'Sales Forecast'!G8*Assumptions!$G$13+'Sales Forecast'!F8*Assumptions!$H$13+'Sales Forecast'!E8*Assumptions!$I$13+577.5)*Assumptions!$C$17</f>
        <v/>
      </c>
      <c r="L19" s="20">
        <f>('Sales Forecast'!L8*Assumptions!$C$12+'Sales Forecast'!K8*Assumptions!$D$12+'Sales Forecast'!J8*Assumptions!$E$12+'Sales Forecast'!I8*Assumptions!$F$12+'Sales Forecast'!H8*Assumptions!$G$12+'Sales Forecast'!G8*Assumptions!$H$12+'Sales Forecast'!F8*Assumptions!$I$12+'Sales Forecast'!L8*Assumptions!$C$13+'Sales Forecast'!K8*Assumptions!$D$13+'Sales Forecast'!J8*Assumptions!$E$13+'Sales Forecast'!I8*Assumptions!$F$13+'Sales Forecast'!H8*Assumptions!$G$13+'Sales Forecast'!G8*Assumptions!$H$13+'Sales Forecast'!F8*Assumptions!$I$13+577.5)*Assumptions!$C$17</f>
        <v/>
      </c>
      <c r="M19" s="20">
        <f>('Sales Forecast'!M8*Assumptions!$C$12+'Sales Forecast'!L8*Assumptions!$D$12+'Sales Forecast'!K8*Assumptions!$E$12+'Sales Forecast'!J8*Assumptions!$F$12+'Sales Forecast'!I8*Assumptions!$G$12+'Sales Forecast'!H8*Assumptions!$H$12+'Sales Forecast'!G8*Assumptions!$I$12+'Sales Forecast'!M8*Assumptions!$C$13+'Sales Forecast'!L8*Assumptions!$D$13+'Sales Forecast'!K8*Assumptions!$E$13+'Sales Forecast'!J8*Assumptions!$F$13+'Sales Forecast'!I8*Assumptions!$G$13+'Sales Forecast'!H8*Assumptions!$H$13+'Sales Forecast'!G8*Assumptions!$I$13+577.5)*Assumptions!$C$17</f>
        <v/>
      </c>
      <c r="N19" s="20">
        <f>('Sales Forecast'!N8*Assumptions!$C$12+'Sales Forecast'!M8*Assumptions!$D$12+'Sales Forecast'!L8*Assumptions!$E$12+'Sales Forecast'!K8*Assumptions!$F$12+'Sales Forecast'!J8*Assumptions!$G$12+'Sales Forecast'!I8*Assumptions!$H$12+'Sales Forecast'!H8*Assumptions!$I$12+'Sales Forecast'!N8*Assumptions!$C$13+'Sales Forecast'!M8*Assumptions!$D$13+'Sales Forecast'!L8*Assumptions!$E$13+'Sales Forecast'!K8*Assumptions!$F$13+'Sales Forecast'!J8*Assumptions!$G$13+'Sales Forecast'!I8*Assumptions!$H$13+'Sales Forecast'!H8*Assumptions!$I$13+577.5)*Assumptions!$C$17</f>
        <v/>
      </c>
      <c r="O19" s="20">
        <f>('Sales Forecast'!O8*Assumptions!$C$12+'Sales Forecast'!N8*Assumptions!$D$12+'Sales Forecast'!M8*Assumptions!$E$12+'Sales Forecast'!L8*Assumptions!$F$12+'Sales Forecast'!K8*Assumptions!$G$12+'Sales Forecast'!J8*Assumptions!$H$12+'Sales Forecast'!I8*Assumptions!$I$12+'Sales Forecast'!O8*Assumptions!$C$13+'Sales Forecast'!N8*Assumptions!$D$13+'Sales Forecast'!M8*Assumptions!$E$13+'Sales Forecast'!L8*Assumptions!$F$13+'Sales Forecast'!K8*Assumptions!$G$13+'Sales Forecast'!J8*Assumptions!$H$13+'Sales Forecast'!I8*Assumptions!$I$13+577.5)*Assumptions!$C$17</f>
        <v/>
      </c>
      <c r="P19" s="20">
        <f>('Sales Forecast'!P8*Assumptions!$C$12+'Sales Forecast'!O8*Assumptions!$D$12+'Sales Forecast'!N8*Assumptions!$E$12+'Sales Forecast'!M8*Assumptions!$F$12+'Sales Forecast'!L8*Assumptions!$G$12+'Sales Forecast'!K8*Assumptions!$H$12+'Sales Forecast'!J8*Assumptions!$I$12+'Sales Forecast'!P8*Assumptions!$C$13+'Sales Forecast'!O8*Assumptions!$D$13+'Sales Forecast'!N8*Assumptions!$E$13+'Sales Forecast'!M8*Assumptions!$F$13+'Sales Forecast'!L8*Assumptions!$G$13+'Sales Forecast'!K8*Assumptions!$H$13+'Sales Forecast'!J8*Assumptions!$I$13+577.5)*Assumptions!$C$17</f>
        <v/>
      </c>
      <c r="Q19" s="20">
        <f>('Sales Forecast'!Q8*Assumptions!$C$12+'Sales Forecast'!P8*Assumptions!$D$12+'Sales Forecast'!O8*Assumptions!$E$12+'Sales Forecast'!N8*Assumptions!$F$12+'Sales Forecast'!M8*Assumptions!$G$12+'Sales Forecast'!L8*Assumptions!$H$12+'Sales Forecast'!K8*Assumptions!$I$12+'Sales Forecast'!Q8*Assumptions!$C$13+'Sales Forecast'!P8*Assumptions!$D$13+'Sales Forecast'!O8*Assumptions!$E$13+'Sales Forecast'!N8*Assumptions!$F$13+'Sales Forecast'!M8*Assumptions!$G$13+'Sales Forecast'!L8*Assumptions!$H$13+'Sales Forecast'!K8*Assumptions!$I$13+577.5)*Assumptions!$C$17</f>
        <v/>
      </c>
      <c r="R19" s="20">
        <f>('Sales Forecast'!R8*Assumptions!$C$12+'Sales Forecast'!Q8*Assumptions!$D$12+'Sales Forecast'!P8*Assumptions!$E$12+'Sales Forecast'!O8*Assumptions!$F$12+'Sales Forecast'!N8*Assumptions!$G$12+'Sales Forecast'!M8*Assumptions!$H$12+'Sales Forecast'!L8*Assumptions!$I$12+'Sales Forecast'!R8*Assumptions!$C$13+'Sales Forecast'!Q8*Assumptions!$D$13+'Sales Forecast'!P8*Assumptions!$E$13+'Sales Forecast'!O8*Assumptions!$F$13+'Sales Forecast'!N8*Assumptions!$G$13+'Sales Forecast'!M8*Assumptions!$H$13+'Sales Forecast'!L8*Assumptions!$I$13+577.5)*Assumptions!$C$17</f>
        <v/>
      </c>
      <c r="S19" s="20">
        <f>('Sales Forecast'!S8*Assumptions!$C$12+'Sales Forecast'!R8*Assumptions!$D$12+'Sales Forecast'!Q8*Assumptions!$E$12+'Sales Forecast'!P8*Assumptions!$F$12+'Sales Forecast'!O8*Assumptions!$G$12+'Sales Forecast'!N8*Assumptions!$H$12+'Sales Forecast'!M8*Assumptions!$I$12+'Sales Forecast'!S8*Assumptions!$C$13+'Sales Forecast'!R8*Assumptions!$D$13+'Sales Forecast'!Q8*Assumptions!$E$13+'Sales Forecast'!P8*Assumptions!$F$13+'Sales Forecast'!O8*Assumptions!$G$13+'Sales Forecast'!N8*Assumptions!$H$13+'Sales Forecast'!M8*Assumptions!$I$13+577.5)*Assumptions!$C$17</f>
        <v/>
      </c>
      <c r="T19" s="20">
        <f>('Sales Forecast'!T8*Assumptions!$C$12+'Sales Forecast'!S8*Assumptions!$D$12+'Sales Forecast'!R8*Assumptions!$E$12+'Sales Forecast'!Q8*Assumptions!$F$12+'Sales Forecast'!P8*Assumptions!$G$12+'Sales Forecast'!O8*Assumptions!$H$12+'Sales Forecast'!N8*Assumptions!$I$12+'Sales Forecast'!T8*Assumptions!$C$13+'Sales Forecast'!S8*Assumptions!$D$13+'Sales Forecast'!R8*Assumptions!$E$13+'Sales Forecast'!Q8*Assumptions!$F$13+'Sales Forecast'!P8*Assumptions!$G$13+'Sales Forecast'!O8*Assumptions!$H$13+'Sales Forecast'!N8*Assumptions!$I$13+577.5)*Assumptions!$C$17</f>
        <v/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Forecast'!O8*Assumptions!$I$12+'Sales Forecast'!U8*Assumptions!$C$13+'Sales Forecast'!T8*Assumptions!$D$13+'Sales Forecast'!S8*Assumptions!$E$13+'Sales Forecast'!R8*Assumptions!$F$13+'Sales Forecast'!Q8*Assumptions!$G$13+'Sales Forecast'!P8*Assumptions!$H$13+'Sales Forecast'!O8*Assumptions!$I$13+577.5)*Assumptions!$C$17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</row>
    <row r="20">
      <c r="B20" s="33" t="inlineStr">
        <is>
          <t xml:space="preserve">  407000 Discounts</t>
        </is>
      </c>
      <c r="D20" s="19" t="n">
        <v>3930.1</v>
      </c>
      <c r="E20" s="19" t="n">
        <v>2252.3</v>
      </c>
      <c r="F20" s="19" t="n">
        <v>2380.1</v>
      </c>
      <c r="G20" s="19" t="n">
        <v>1371.5</v>
      </c>
      <c r="H20" s="88" t="n">
        <v>1163</v>
      </c>
      <c r="I20" s="20">
        <f>('Sales Forecast'!I8*Assumptions!$C$12+'Sales Forecast'!H8*Assumptions!$D$12+'Sales Forecast'!G8*Assumptions!$E$12+'Sales Forecast'!F8*Assumptions!$F$12+'Sales Forecast'!E8*Assumptions!$G$12+'Sales Forecast'!D8*Assumptions!$H$12+'Sales Forecast'!I8*Assumptions!$C$13+'Sales Forecast'!H8*Assumptions!$D$13+'Sales Forecast'!G8*Assumptions!$E$13+'Sales Forecast'!F8*Assumptions!$F$13+'Sales Forecast'!E8*Assumptions!$G$13+'Sales Forecast'!D8*Assumptions!$H$13+577.5)*Assumptions!$C$18</f>
        <v/>
      </c>
      <c r="J20" s="20">
        <f>('Sales Forecast'!J8*Assumptions!$C$12+'Sales Forecast'!I8*Assumptions!$D$12+'Sales Forecast'!H8*Assumptions!$E$12+'Sales Forecast'!G8*Assumptions!$F$12+'Sales Forecast'!F8*Assumptions!$G$12+'Sales Forecast'!E8*Assumptions!$H$12+'Sales Forecast'!D8*Assumptions!$I$12+'Sales Forecast'!J8*Assumptions!$C$13+'Sales Forecast'!I8*Assumptions!$D$13+'Sales Forecast'!H8*Assumptions!$E$13+'Sales Forecast'!G8*Assumptions!$F$13+'Sales Forecast'!F8*Assumptions!$G$13+'Sales Forecast'!E8*Assumptions!$H$13+'Sales Forecast'!D8*Assumptions!$I$13+577.5)*Assumptions!$C$18</f>
        <v/>
      </c>
      <c r="K20" s="20">
        <f>('Sales Forecast'!K8*Assumptions!$C$12+'Sales Forecast'!J8*Assumptions!$D$12+'Sales Forecast'!I8*Assumptions!$E$12+'Sales Forecast'!H8*Assumptions!$F$12+'Sales Forecast'!G8*Assumptions!$G$12+'Sales Forecast'!F8*Assumptions!$H$12+'Sales Forecast'!E8*Assumptions!$I$12+'Sales Forecast'!K8*Assumptions!$C$13+'Sales Forecast'!J8*Assumptions!$D$13+'Sales Forecast'!I8*Assumptions!$E$13+'Sales Forecast'!H8*Assumptions!$F$13+'Sales Forecast'!G8*Assumptions!$G$13+'Sales Forecast'!F8*Assumptions!$H$13+'Sales Forecast'!E8*Assumptions!$I$13+577.5)*Assumptions!$C$18</f>
        <v/>
      </c>
      <c r="L20" s="20">
        <f>('Sales Forecast'!L8*Assumptions!$C$12+'Sales Forecast'!K8*Assumptions!$D$12+'Sales Forecast'!J8*Assumptions!$E$12+'Sales Forecast'!I8*Assumptions!$F$12+'Sales Forecast'!H8*Assumptions!$G$12+'Sales Forecast'!G8*Assumptions!$H$12+'Sales Forecast'!F8*Assumptions!$I$12+'Sales Forecast'!L8*Assumptions!$C$13+'Sales Forecast'!K8*Assumptions!$D$13+'Sales Forecast'!J8*Assumptions!$E$13+'Sales Forecast'!I8*Assumptions!$F$13+'Sales Forecast'!H8*Assumptions!$G$13+'Sales Forecast'!G8*Assumptions!$H$13+'Sales Forecast'!F8*Assumptions!$I$13+577.5)*Assumptions!$C$18</f>
        <v/>
      </c>
      <c r="M20" s="20">
        <f>('Sales Forecast'!M8*Assumptions!$C$12+'Sales Forecast'!L8*Assumptions!$D$12+'Sales Forecast'!K8*Assumptions!$E$12+'Sales Forecast'!J8*Assumptions!$F$12+'Sales Forecast'!I8*Assumptions!$G$12+'Sales Forecast'!H8*Assumptions!$H$12+'Sales Forecast'!G8*Assumptions!$I$12+'Sales Forecast'!M8*Assumptions!$C$13+'Sales Forecast'!L8*Assumptions!$D$13+'Sales Forecast'!K8*Assumptions!$E$13+'Sales Forecast'!J8*Assumptions!$F$13+'Sales Forecast'!I8*Assumptions!$G$13+'Sales Forecast'!H8*Assumptions!$H$13+'Sales Forecast'!G8*Assumptions!$I$13+577.5)*Assumptions!$C$18</f>
        <v/>
      </c>
      <c r="N20" s="20">
        <f>('Sales Forecast'!N8*Assumptions!$C$12+'Sales Forecast'!M8*Assumptions!$D$12+'Sales Forecast'!L8*Assumptions!$E$12+'Sales Forecast'!K8*Assumptions!$F$12+'Sales Forecast'!J8*Assumptions!$G$12+'Sales Forecast'!I8*Assumptions!$H$12+'Sales Forecast'!H8*Assumptions!$I$12+'Sales Forecast'!N8*Assumptions!$C$13+'Sales Forecast'!M8*Assumptions!$D$13+'Sales Forecast'!L8*Assumptions!$E$13+'Sales Forecast'!K8*Assumptions!$F$13+'Sales Forecast'!J8*Assumptions!$G$13+'Sales Forecast'!I8*Assumptions!$H$13+'Sales Forecast'!H8*Assumptions!$I$13+577.5)*Assumptions!$C$18</f>
        <v/>
      </c>
      <c r="O20" s="20">
        <f>('Sales Forecast'!O8*Assumptions!$C$12+'Sales Forecast'!N8*Assumptions!$D$12+'Sales Forecast'!M8*Assumptions!$E$12+'Sales Forecast'!L8*Assumptions!$F$12+'Sales Forecast'!K8*Assumptions!$G$12+'Sales Forecast'!J8*Assumptions!$H$12+'Sales Forecast'!I8*Assumptions!$I$12+'Sales Forecast'!O8*Assumptions!$C$13+'Sales Forecast'!N8*Assumptions!$D$13+'Sales Forecast'!M8*Assumptions!$E$13+'Sales Forecast'!L8*Assumptions!$F$13+'Sales Forecast'!K8*Assumptions!$G$13+'Sales Forecast'!J8*Assumptions!$H$13+'Sales Forecast'!I8*Assumptions!$I$13+577.5)*Assumptions!$C$18</f>
        <v/>
      </c>
      <c r="P20" s="20">
        <f>('Sales Forecast'!P8*Assumptions!$C$12+'Sales Forecast'!O8*Assumptions!$D$12+'Sales Forecast'!N8*Assumptions!$E$12+'Sales Forecast'!M8*Assumptions!$F$12+'Sales Forecast'!L8*Assumptions!$G$12+'Sales Forecast'!K8*Assumptions!$H$12+'Sales Forecast'!J8*Assumptions!$I$12+'Sales Forecast'!P8*Assumptions!$C$13+'Sales Forecast'!O8*Assumptions!$D$13+'Sales Forecast'!N8*Assumptions!$E$13+'Sales Forecast'!M8*Assumptions!$F$13+'Sales Forecast'!L8*Assumptions!$G$13+'Sales Forecast'!K8*Assumptions!$H$13+'Sales Forecast'!J8*Assumptions!$I$13+577.5)*Assumptions!$C$18</f>
        <v/>
      </c>
      <c r="Q20" s="20">
        <f>('Sales Forecast'!Q8*Assumptions!$C$12+'Sales Forecast'!P8*Assumptions!$D$12+'Sales Forecast'!O8*Assumptions!$E$12+'Sales Forecast'!N8*Assumptions!$F$12+'Sales Forecast'!M8*Assumptions!$G$12+'Sales Forecast'!L8*Assumptions!$H$12+'Sales Forecast'!K8*Assumptions!$I$12+'Sales Forecast'!Q8*Assumptions!$C$13+'Sales Forecast'!P8*Assumptions!$D$13+'Sales Forecast'!O8*Assumptions!$E$13+'Sales Forecast'!N8*Assumptions!$F$13+'Sales Forecast'!M8*Assumptions!$G$13+'Sales Forecast'!L8*Assumptions!$H$13+'Sales Forecast'!K8*Assumptions!$I$13+577.5)*Assumptions!$C$18</f>
        <v/>
      </c>
      <c r="R20" s="20">
        <f>('Sales Forecast'!R8*Assumptions!$C$12+'Sales Forecast'!Q8*Assumptions!$D$12+'Sales Forecast'!P8*Assumptions!$E$12+'Sales Forecast'!O8*Assumptions!$F$12+'Sales Forecast'!N8*Assumptions!$G$12+'Sales Forecast'!M8*Assumptions!$H$12+'Sales Forecast'!L8*Assumptions!$I$12+'Sales Forecast'!R8*Assumptions!$C$13+'Sales Forecast'!Q8*Assumptions!$D$13+'Sales Forecast'!P8*Assumptions!$E$13+'Sales Forecast'!O8*Assumptions!$F$13+'Sales Forecast'!N8*Assumptions!$G$13+'Sales Forecast'!M8*Assumptions!$H$13+'Sales Forecast'!L8*Assumptions!$I$13+577.5)*Assumptions!$C$18</f>
        <v/>
      </c>
      <c r="S20" s="20">
        <f>('Sales Forecast'!S8*Assumptions!$C$12+'Sales Forecast'!R8*Assumptions!$D$12+'Sales Forecast'!Q8*Assumptions!$E$12+'Sales Forecast'!P8*Assumptions!$F$12+'Sales Forecast'!O8*Assumptions!$G$12+'Sales Forecast'!N8*Assumptions!$H$12+'Sales Forecast'!M8*Assumptions!$I$12+'Sales Forecast'!S8*Assumptions!$C$13+'Sales Forecast'!R8*Assumptions!$D$13+'Sales Forecast'!Q8*Assumptions!$E$13+'Sales Forecast'!P8*Assumptions!$F$13+'Sales Forecast'!O8*Assumptions!$G$13+'Sales Forecast'!N8*Assumptions!$H$13+'Sales Forecast'!M8*Assumptions!$I$13+577.5)*Assumptions!$C$18</f>
        <v/>
      </c>
      <c r="T20" s="20">
        <f>('Sales Forecast'!T8*Assumptions!$C$12+'Sales Forecast'!S8*Assumptions!$D$12+'Sales Forecast'!R8*Assumptions!$E$12+'Sales Forecast'!Q8*Assumptions!$F$12+'Sales Forecast'!P8*Assumptions!$G$12+'Sales Forecast'!O8*Assumptions!$H$12+'Sales Forecast'!N8*Assumptions!$I$12+'Sales Forecast'!T8*Assumptions!$C$13+'Sales Forecast'!S8*Assumptions!$D$13+'Sales Forecast'!R8*Assumptions!$E$13+'Sales Forecast'!Q8*Assumptions!$F$13+'Sales Forecast'!P8*Assumptions!$G$13+'Sales Forecast'!O8*Assumptions!$H$13+'Sales Forecast'!N8*Assumptions!$I$13+577.5)*Assumptions!$C$18</f>
        <v/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Forecast'!O8*Assumptions!$I$12+'Sales Forecast'!U8*Assumptions!$C$13+'Sales Forecast'!T8*Assumptions!$D$13+'Sales Forecast'!S8*Assumptions!$E$13+'Sales Forecast'!R8*Assumptions!$F$13+'Sales Forecast'!Q8*Assumptions!$G$13+'Sales Forecast'!P8*Assumptions!$H$13+'Sales Forecast'!O8*Assumptions!$I$13+577.5)*Assumptions!$C$18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20806.12</v>
      </c>
      <c r="E21" s="35" t="n">
        <v>20862.49</v>
      </c>
      <c r="F21" s="35" t="n">
        <v>23750.28</v>
      </c>
      <c r="G21" s="35" t="n">
        <v>21166.07</v>
      </c>
      <c r="H21" s="89" t="n">
        <v>19729.51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384</v>
      </c>
      <c r="E23" s="19" t="n">
        <v>208</v>
      </c>
      <c r="F23" s="19" t="n">
        <v>264</v>
      </c>
      <c r="G23" s="19" t="n">
        <v>297</v>
      </c>
      <c r="H23" s="88" t="n">
        <v>163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678.49</v>
      </c>
      <c r="E24" s="19" t="n">
        <v>641.48</v>
      </c>
      <c r="F24" s="19" t="n">
        <v>475.8</v>
      </c>
      <c r="G24" s="19" t="n">
        <v>545.99</v>
      </c>
      <c r="H24" s="88" t="n">
        <v>360.62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1062.49</v>
      </c>
      <c r="E25" s="35" t="n">
        <v>849.48</v>
      </c>
      <c r="F25" s="35" t="n">
        <v>739.8</v>
      </c>
      <c r="G25" s="35" t="n">
        <v>842.99</v>
      </c>
      <c r="H25" s="89" t="n">
        <v>523.62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19743.63</v>
      </c>
      <c r="E26" s="35" t="n">
        <v>20013.01</v>
      </c>
      <c r="F26" s="35" t="n">
        <v>23010.48</v>
      </c>
      <c r="G26" s="35" t="n">
        <v>20323.08</v>
      </c>
      <c r="H26" s="89" t="n">
        <v>19205.89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939</v>
      </c>
      <c r="E28" s="19" t="n">
        <v>119.9</v>
      </c>
      <c r="F28" s="19" t="n">
        <v>0</v>
      </c>
      <c r="G28" s="19" t="n">
        <v>0</v>
      </c>
      <c r="H28" s="88" t="n">
        <v>0</v>
      </c>
      <c r="I28" s="20" t="n">
        <v>287.6</v>
      </c>
      <c r="J28" s="20" t="n">
        <v>287.6</v>
      </c>
      <c r="K28" s="20" t="n">
        <v>287.6</v>
      </c>
      <c r="L28" s="20" t="n">
        <v>287.6</v>
      </c>
      <c r="M28" s="20" t="n">
        <v>287.6</v>
      </c>
      <c r="N28" s="20" t="n">
        <v>287.6</v>
      </c>
      <c r="O28" s="20" t="n">
        <v>287.6</v>
      </c>
      <c r="P28" s="20" t="n">
        <v>287.6</v>
      </c>
      <c r="Q28" s="20" t="n">
        <v>287.6</v>
      </c>
      <c r="R28" s="20" t="n">
        <v>287.6</v>
      </c>
      <c r="S28" s="20" t="n">
        <v>287.6</v>
      </c>
      <c r="T28" s="20" t="n">
        <v>287.6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700</v>
      </c>
      <c r="E30" s="19" t="n">
        <v>700</v>
      </c>
      <c r="F30" s="19" t="n">
        <v>700</v>
      </c>
      <c r="G30" s="19" t="n">
        <v>700</v>
      </c>
      <c r="H30" s="88" t="n">
        <v>700</v>
      </c>
      <c r="I30" s="20" t="n">
        <v>760.49</v>
      </c>
      <c r="J30" s="20" t="n">
        <v>760.49</v>
      </c>
      <c r="K30" s="20" t="n">
        <v>760.49</v>
      </c>
      <c r="L30" s="20" t="n">
        <v>760.49</v>
      </c>
      <c r="M30" s="20" t="n">
        <v>760.49</v>
      </c>
      <c r="N30" s="20" t="n">
        <v>760.49</v>
      </c>
      <c r="O30" s="20" t="n">
        <v>760.49</v>
      </c>
      <c r="P30" s="20" t="n">
        <v>760.49</v>
      </c>
      <c r="Q30" s="20" t="n">
        <v>760.49</v>
      </c>
      <c r="R30" s="20" t="n">
        <v>760.49</v>
      </c>
      <c r="S30" s="20" t="n">
        <v>760.49</v>
      </c>
      <c r="T30" s="20" t="n">
        <v>760.49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1639</v>
      </c>
      <c r="E33" s="35" t="n">
        <v>819.9</v>
      </c>
      <c r="F33" s="35" t="n">
        <v>700</v>
      </c>
      <c r="G33" s="35" t="n">
        <v>700</v>
      </c>
      <c r="H33" s="89" t="n">
        <v>700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12689.22</v>
      </c>
      <c r="E34" s="19" t="n">
        <v>11932.17</v>
      </c>
      <c r="F34" s="19" t="n">
        <v>13130.37</v>
      </c>
      <c r="G34" s="19" t="n">
        <v>12113.96</v>
      </c>
      <c r="H34" s="88" t="n">
        <v>12729.83</v>
      </c>
      <c r="I34" s="20" t="n">
        <v>14097.87</v>
      </c>
      <c r="J34" s="20" t="n">
        <v>20824.18</v>
      </c>
      <c r="K34" s="20" t="n">
        <v>20862.76</v>
      </c>
      <c r="L34" s="20" t="n">
        <v>20848.92</v>
      </c>
      <c r="M34" s="20" t="n">
        <v>20850.98</v>
      </c>
      <c r="N34" s="20" t="n">
        <v>20858.7</v>
      </c>
      <c r="O34" s="20" t="n">
        <v>20862.69</v>
      </c>
      <c r="P34" s="20" t="n">
        <v>20863.38</v>
      </c>
      <c r="Q34" s="20" t="n">
        <v>20890.63</v>
      </c>
      <c r="R34" s="20" t="n">
        <v>20901.89</v>
      </c>
      <c r="S34" s="20" t="n">
        <v>20921.93</v>
      </c>
      <c r="T34" s="20" t="n">
        <v>20929.06</v>
      </c>
      <c r="U34" s="20" t="n">
        <v>20948.05</v>
      </c>
      <c r="V34" s="20" t="n">
        <v>20955.14</v>
      </c>
      <c r="W34" s="20" t="n">
        <v>20957.11</v>
      </c>
      <c r="X34" s="20" t="n">
        <v>20974.16</v>
      </c>
      <c r="Y34" s="20" t="n">
        <v>20981.24</v>
      </c>
      <c r="Z34" s="20" t="n">
        <v>20983.16</v>
      </c>
      <c r="AA34" s="20" t="n">
        <v>20983.22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</row>
    <row r="35">
      <c r="B35" s="33" t="inlineStr">
        <is>
          <t xml:space="preserve">  602004 Payroll Taxes</t>
        </is>
      </c>
      <c r="D35" s="19" t="n">
        <v>2561.18</v>
      </c>
      <c r="E35" s="19" t="n">
        <v>1437.75</v>
      </c>
      <c r="F35" s="19" t="n">
        <v>1373.4</v>
      </c>
      <c r="G35" s="19" t="n">
        <v>1235.26</v>
      </c>
      <c r="H35" s="88" t="n">
        <v>1196.14</v>
      </c>
      <c r="I35" s="20" t="n">
        <v>1868.08</v>
      </c>
      <c r="J35" s="20" t="n">
        <v>2759.36</v>
      </c>
      <c r="K35" s="20" t="n">
        <v>2764.48</v>
      </c>
      <c r="L35" s="20" t="n">
        <v>2762.64</v>
      </c>
      <c r="M35" s="20" t="n">
        <v>2762.91</v>
      </c>
      <c r="N35" s="20" t="n">
        <v>2763.94</v>
      </c>
      <c r="O35" s="20" t="n">
        <v>2764.47</v>
      </c>
      <c r="P35" s="20" t="n">
        <v>2764.56</v>
      </c>
      <c r="Q35" s="20" t="n">
        <v>2768.17</v>
      </c>
      <c r="R35" s="20" t="n">
        <v>2769.66</v>
      </c>
      <c r="S35" s="20" t="n">
        <v>2772.32</v>
      </c>
      <c r="T35" s="20" t="n">
        <v>2773.26</v>
      </c>
      <c r="U35" s="20" t="n">
        <v>2775.78</v>
      </c>
      <c r="V35" s="20" t="n">
        <v>2776.72</v>
      </c>
      <c r="W35" s="20" t="n">
        <v>2776.98</v>
      </c>
      <c r="X35" s="20" t="n">
        <v>2779.24</v>
      </c>
      <c r="Y35" s="20" t="n">
        <v>2780.18</v>
      </c>
      <c r="Z35" s="20" t="n">
        <v>2780.43</v>
      </c>
      <c r="AA35" s="20" t="n">
        <v>2780.44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80</v>
      </c>
      <c r="F36" s="19" t="n">
        <v>62</v>
      </c>
      <c r="G36" s="19" t="n">
        <v>0</v>
      </c>
      <c r="H36" s="88" t="n">
        <v>0</v>
      </c>
      <c r="I36" s="20" t="n">
        <v>51.45</v>
      </c>
      <c r="J36" s="20" t="n">
        <v>76</v>
      </c>
      <c r="K36" s="20" t="n">
        <v>76.14</v>
      </c>
      <c r="L36" s="20" t="n">
        <v>76.09</v>
      </c>
      <c r="M36" s="20" t="n">
        <v>76.09999999999999</v>
      </c>
      <c r="N36" s="20" t="n">
        <v>76.13</v>
      </c>
      <c r="O36" s="20" t="n">
        <v>76.14</v>
      </c>
      <c r="P36" s="20" t="n">
        <v>76.15000000000001</v>
      </c>
      <c r="Q36" s="20" t="n">
        <v>76.25</v>
      </c>
      <c r="R36" s="20" t="n">
        <v>76.29000000000001</v>
      </c>
      <c r="S36" s="20" t="n">
        <v>76.36</v>
      </c>
      <c r="T36" s="20" t="n">
        <v>76.39</v>
      </c>
      <c r="U36" s="20" t="n">
        <v>76.45999999999999</v>
      </c>
      <c r="V36" s="20" t="n">
        <v>76.48</v>
      </c>
      <c r="W36" s="20" t="n">
        <v>76.48999999999999</v>
      </c>
      <c r="X36" s="20" t="n">
        <v>76.55</v>
      </c>
      <c r="Y36" s="20" t="n">
        <v>76.58</v>
      </c>
      <c r="Z36" s="20" t="n">
        <v>76.58</v>
      </c>
      <c r="AA36" s="20" t="n">
        <v>76.58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</row>
    <row r="37">
      <c r="B37" s="33" t="inlineStr">
        <is>
          <t xml:space="preserve">  602010 Payroll Processing Fees</t>
        </is>
      </c>
      <c r="D37" s="19" t="n">
        <v>587.3200000000001</v>
      </c>
      <c r="E37" s="19" t="n">
        <v>571.91</v>
      </c>
      <c r="F37" s="19" t="n">
        <v>844.86</v>
      </c>
      <c r="G37" s="19" t="n">
        <v>562.35</v>
      </c>
      <c r="H37" s="88" t="n">
        <v>567</v>
      </c>
      <c r="I37" s="20" t="n">
        <v>725.58</v>
      </c>
      <c r="J37" s="20" t="n">
        <v>1071.76</v>
      </c>
      <c r="K37" s="20" t="n">
        <v>1073.74</v>
      </c>
      <c r="L37" s="20" t="n">
        <v>1073.03</v>
      </c>
      <c r="M37" s="20" t="n">
        <v>1073.14</v>
      </c>
      <c r="N37" s="20" t="n">
        <v>1073.54</v>
      </c>
      <c r="O37" s="20" t="n">
        <v>1073.74</v>
      </c>
      <c r="P37" s="20" t="n">
        <v>1073.78</v>
      </c>
      <c r="Q37" s="20" t="n">
        <v>1075.18</v>
      </c>
      <c r="R37" s="20" t="n">
        <v>1075.76</v>
      </c>
      <c r="S37" s="20" t="n">
        <v>1076.79</v>
      </c>
      <c r="T37" s="20" t="n">
        <v>1077.16</v>
      </c>
      <c r="U37" s="20" t="n">
        <v>1078.13</v>
      </c>
      <c r="V37" s="20" t="n">
        <v>1078.5</v>
      </c>
      <c r="W37" s="20" t="n">
        <v>1078.6</v>
      </c>
      <c r="X37" s="20" t="n">
        <v>1079.48</v>
      </c>
      <c r="Y37" s="20" t="n">
        <v>1079.84</v>
      </c>
      <c r="Z37" s="20" t="n">
        <v>1079.94</v>
      </c>
      <c r="AA37" s="20" t="n">
        <v>1079.94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</row>
    <row r="38">
      <c r="B38" s="32" t="inlineStr">
        <is>
          <t>Total Payroll</t>
        </is>
      </c>
      <c r="C38" s="34" t="n"/>
      <c r="D38" s="35" t="n">
        <v>15877.72</v>
      </c>
      <c r="E38" s="35" t="n">
        <v>14021.83</v>
      </c>
      <c r="F38" s="35" t="n">
        <v>15410.63</v>
      </c>
      <c r="G38" s="35" t="n">
        <v>13911.57</v>
      </c>
      <c r="H38" s="89" t="n">
        <v>14492.97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723.09</v>
      </c>
      <c r="E39" s="19" t="n">
        <v>1181.45</v>
      </c>
      <c r="F39" s="19" t="n">
        <v>723.09</v>
      </c>
      <c r="G39" s="19" t="n">
        <v>748.27</v>
      </c>
      <c r="H39" s="88" t="n">
        <v>748.27</v>
      </c>
      <c r="I39" s="20" t="n">
        <v>654.75</v>
      </c>
      <c r="J39" s="20" t="n">
        <v>654.75</v>
      </c>
      <c r="K39" s="20" t="n">
        <v>654.75</v>
      </c>
      <c r="L39" s="20" t="n">
        <v>654.75</v>
      </c>
      <c r="M39" s="20" t="n">
        <v>654.75</v>
      </c>
      <c r="N39" s="20" t="n">
        <v>654.75</v>
      </c>
      <c r="O39" s="20" t="n">
        <v>654.75</v>
      </c>
      <c r="P39" s="20" t="n">
        <v>654.75</v>
      </c>
      <c r="Q39" s="20" t="n">
        <v>654.75</v>
      </c>
      <c r="R39" s="20" t="n">
        <v>654.75</v>
      </c>
      <c r="S39" s="20" t="n">
        <v>654.75</v>
      </c>
      <c r="T39" s="20" t="n">
        <v>654.75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</row>
    <row r="40">
      <c r="B40" s="33" t="inlineStr">
        <is>
          <t xml:space="preserve">  608000 Insurance</t>
        </is>
      </c>
      <c r="D40" s="19" t="n">
        <v>322.57</v>
      </c>
      <c r="E40" s="19" t="n">
        <v>322.57</v>
      </c>
      <c r="F40" s="19" t="n">
        <v>500.79</v>
      </c>
      <c r="G40" s="19" t="n">
        <v>302.12</v>
      </c>
      <c r="H40" s="88" t="n">
        <v>298.04</v>
      </c>
      <c r="I40" s="20" t="n">
        <v>280.85</v>
      </c>
      <c r="J40" s="20" t="n">
        <v>280.85</v>
      </c>
      <c r="K40" s="20" t="n">
        <v>280.85</v>
      </c>
      <c r="L40" s="20" t="n">
        <v>280.85</v>
      </c>
      <c r="M40" s="20" t="n">
        <v>280.85</v>
      </c>
      <c r="N40" s="20" t="n">
        <v>280.85</v>
      </c>
      <c r="O40" s="20" t="n">
        <v>280.85</v>
      </c>
      <c r="P40" s="20" t="n">
        <v>280.85</v>
      </c>
      <c r="Q40" s="20" t="n">
        <v>280.85</v>
      </c>
      <c r="R40" s="20" t="n">
        <v>280.85</v>
      </c>
      <c r="S40" s="20" t="n">
        <v>280.85</v>
      </c>
      <c r="T40" s="20" t="n">
        <v>280.85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</row>
    <row r="41">
      <c r="B41" s="33" t="inlineStr">
        <is>
          <t xml:space="preserve">  610000 Office Supplies</t>
        </is>
      </c>
      <c r="D41" s="19" t="n">
        <v>87.8</v>
      </c>
      <c r="E41" s="19" t="n">
        <v>146.81</v>
      </c>
      <c r="F41" s="19" t="n">
        <v>633.64</v>
      </c>
      <c r="G41" s="19" t="n">
        <v>151.95</v>
      </c>
      <c r="H41" s="88" t="n">
        <v>0</v>
      </c>
      <c r="I41" s="20" t="n">
        <v>197.87</v>
      </c>
      <c r="J41" s="20" t="n">
        <v>197.87</v>
      </c>
      <c r="K41" s="20" t="n">
        <v>197.87</v>
      </c>
      <c r="L41" s="20" t="n">
        <v>197.87</v>
      </c>
      <c r="M41" s="20" t="n">
        <v>197.87</v>
      </c>
      <c r="N41" s="20" t="n">
        <v>197.87</v>
      </c>
      <c r="O41" s="20" t="n">
        <v>197.87</v>
      </c>
      <c r="P41" s="20" t="n">
        <v>197.87</v>
      </c>
      <c r="Q41" s="20" t="n">
        <v>197.87</v>
      </c>
      <c r="R41" s="20" t="n">
        <v>197.87</v>
      </c>
      <c r="S41" s="20" t="n">
        <v>197.87</v>
      </c>
      <c r="T41" s="20" t="n">
        <v>197.87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88" t="n">
        <v>32.84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116.98</v>
      </c>
      <c r="E51" s="19" t="n">
        <v>105</v>
      </c>
      <c r="F51" s="19" t="n">
        <v>139.04</v>
      </c>
      <c r="G51" s="19" t="n">
        <v>83.53</v>
      </c>
      <c r="H51" s="88" t="n">
        <v>124.29</v>
      </c>
      <c r="I51" s="20" t="n">
        <v>112.01</v>
      </c>
      <c r="J51" s="20" t="n">
        <v>112.01</v>
      </c>
      <c r="K51" s="20" t="n">
        <v>112.01</v>
      </c>
      <c r="L51" s="20" t="n">
        <v>112.01</v>
      </c>
      <c r="M51" s="20" t="n">
        <v>112.01</v>
      </c>
      <c r="N51" s="20" t="n">
        <v>112.01</v>
      </c>
      <c r="O51" s="20" t="n">
        <v>112.01</v>
      </c>
      <c r="P51" s="20" t="n">
        <v>112.01</v>
      </c>
      <c r="Q51" s="20" t="n">
        <v>112.01</v>
      </c>
      <c r="R51" s="20" t="n">
        <v>112.01</v>
      </c>
      <c r="S51" s="20" t="n">
        <v>112.01</v>
      </c>
      <c r="T51" s="20" t="n">
        <v>112.01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</row>
    <row r="52">
      <c r="B52" s="33" t="inlineStr">
        <is>
          <t xml:space="preserve">  616002 Internet &amp; TV</t>
        </is>
      </c>
      <c r="D52" s="19" t="n">
        <v>165.39</v>
      </c>
      <c r="E52" s="19" t="n">
        <v>165.39</v>
      </c>
      <c r="F52" s="19" t="n">
        <v>165.39</v>
      </c>
      <c r="G52" s="19" t="n">
        <v>165.39</v>
      </c>
      <c r="H52" s="88" t="n">
        <v>0</v>
      </c>
      <c r="I52" s="20" t="n">
        <v>166.69</v>
      </c>
      <c r="J52" s="20" t="n">
        <v>166.69</v>
      </c>
      <c r="K52" s="20" t="n">
        <v>166.69</v>
      </c>
      <c r="L52" s="20" t="n">
        <v>166.69</v>
      </c>
      <c r="M52" s="20" t="n">
        <v>166.69</v>
      </c>
      <c r="N52" s="20" t="n">
        <v>166.69</v>
      </c>
      <c r="O52" s="20" t="n">
        <v>166.69</v>
      </c>
      <c r="P52" s="20" t="n">
        <v>166.69</v>
      </c>
      <c r="Q52" s="20" t="n">
        <v>166.69</v>
      </c>
      <c r="R52" s="20" t="n">
        <v>166.69</v>
      </c>
      <c r="S52" s="20" t="n">
        <v>166.69</v>
      </c>
      <c r="T52" s="20" t="n">
        <v>166.69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</row>
    <row r="53">
      <c r="B53" s="33" t="inlineStr">
        <is>
          <t xml:space="preserve">  616003 Phone service</t>
        </is>
      </c>
      <c r="D53" s="19" t="n">
        <v>108.06</v>
      </c>
      <c r="E53" s="19" t="n">
        <v>108.04</v>
      </c>
      <c r="F53" s="19" t="n">
        <v>108</v>
      </c>
      <c r="G53" s="19" t="n">
        <v>108.01</v>
      </c>
      <c r="H53" s="88" t="n">
        <v>108</v>
      </c>
      <c r="I53" s="20" t="n">
        <v>108.88</v>
      </c>
      <c r="J53" s="20" t="n">
        <v>108.88</v>
      </c>
      <c r="K53" s="20" t="n">
        <v>108.88</v>
      </c>
      <c r="L53" s="20" t="n">
        <v>108.88</v>
      </c>
      <c r="M53" s="20" t="n">
        <v>108.88</v>
      </c>
      <c r="N53" s="20" t="n">
        <v>108.88</v>
      </c>
      <c r="O53" s="20" t="n">
        <v>108.88</v>
      </c>
      <c r="P53" s="20" t="n">
        <v>108.88</v>
      </c>
      <c r="Q53" s="20" t="n">
        <v>108.88</v>
      </c>
      <c r="R53" s="20" t="n">
        <v>108.88</v>
      </c>
      <c r="S53" s="20" t="n">
        <v>108.88</v>
      </c>
      <c r="T53" s="20" t="n">
        <v>108.88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362.25</v>
      </c>
      <c r="E55" s="19" t="n">
        <v>362.25</v>
      </c>
      <c r="F55" s="19" t="n">
        <v>362.25</v>
      </c>
      <c r="G55" s="19" t="n">
        <v>362.25</v>
      </c>
      <c r="H55" s="88" t="n">
        <v>362.25</v>
      </c>
      <c r="I55" s="20" t="n">
        <v>365.1</v>
      </c>
      <c r="J55" s="20" t="n">
        <v>365.1</v>
      </c>
      <c r="K55" s="20" t="n">
        <v>365.1</v>
      </c>
      <c r="L55" s="20" t="n">
        <v>365.1</v>
      </c>
      <c r="M55" s="20" t="n">
        <v>365.1</v>
      </c>
      <c r="N55" s="20" t="n">
        <v>365.1</v>
      </c>
      <c r="O55" s="20" t="n">
        <v>365.1</v>
      </c>
      <c r="P55" s="20" t="n">
        <v>365.1</v>
      </c>
      <c r="Q55" s="20" t="n">
        <v>365.1</v>
      </c>
      <c r="R55" s="20" t="n">
        <v>365.1</v>
      </c>
      <c r="S55" s="20" t="n">
        <v>365.1</v>
      </c>
      <c r="T55" s="20" t="n">
        <v>365.1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</row>
    <row r="56">
      <c r="B56" s="32" t="inlineStr">
        <is>
          <t>Total Utilities</t>
        </is>
      </c>
      <c r="C56" s="34" t="n"/>
      <c r="D56" s="35" t="n">
        <v>752.6800000000001</v>
      </c>
      <c r="E56" s="35" t="n">
        <v>740.6800000000001</v>
      </c>
      <c r="F56" s="35" t="n">
        <v>774.6799999999999</v>
      </c>
      <c r="G56" s="35" t="n">
        <v>719.1800000000001</v>
      </c>
      <c r="H56" s="89" t="n">
        <v>759.9300000000001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5932.56</v>
      </c>
      <c r="E57" s="19" t="n">
        <v>5932.56</v>
      </c>
      <c r="F57" s="19" t="n">
        <v>5932.56</v>
      </c>
      <c r="G57" s="19" t="n">
        <v>5932.56</v>
      </c>
      <c r="H57" s="88" t="n">
        <v>5932.56</v>
      </c>
      <c r="I57" s="20" t="n">
        <v>5907.21</v>
      </c>
      <c r="J57" s="20" t="n">
        <v>5907.21</v>
      </c>
      <c r="K57" s="20" t="n">
        <v>5907.21</v>
      </c>
      <c r="L57" s="20" t="n">
        <v>5907.21</v>
      </c>
      <c r="M57" s="20" t="n">
        <v>5907.21</v>
      </c>
      <c r="N57" s="20" t="n">
        <v>5907.21</v>
      </c>
      <c r="O57" s="20" t="n">
        <v>5907.21</v>
      </c>
      <c r="P57" s="20" t="n">
        <v>5907.21</v>
      </c>
      <c r="Q57" s="20" t="n">
        <v>5907.21</v>
      </c>
      <c r="R57" s="20" t="n">
        <v>5907.21</v>
      </c>
      <c r="S57" s="20" t="n">
        <v>5907.21</v>
      </c>
      <c r="T57" s="20" t="n">
        <v>5907.21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134.84</v>
      </c>
      <c r="G59" s="19" t="n">
        <v>0</v>
      </c>
      <c r="H59" s="88" t="n">
        <v>79.75</v>
      </c>
      <c r="I59" s="20" t="n">
        <v>33.57</v>
      </c>
      <c r="J59" s="20" t="n">
        <v>33.57</v>
      </c>
      <c r="K59" s="20" t="n">
        <v>33.57</v>
      </c>
      <c r="L59" s="20" t="n">
        <v>33.57</v>
      </c>
      <c r="M59" s="20" t="n">
        <v>33.57</v>
      </c>
      <c r="N59" s="20" t="n">
        <v>33.57</v>
      </c>
      <c r="O59" s="20" t="n">
        <v>33.57</v>
      </c>
      <c r="P59" s="20" t="n">
        <v>33.57</v>
      </c>
      <c r="Q59" s="20" t="n">
        <v>33.57</v>
      </c>
      <c r="R59" s="20" t="n">
        <v>33.57</v>
      </c>
      <c r="S59" s="20" t="n">
        <v>33.57</v>
      </c>
      <c r="T59" s="20" t="n">
        <v>33.57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</row>
    <row r="60">
      <c r="B60" s="33" t="inlineStr">
        <is>
          <t xml:space="preserve">  705000 Property Maintenance</t>
        </is>
      </c>
      <c r="D60" s="19" t="n">
        <v>1923.06</v>
      </c>
      <c r="E60" s="19" t="n">
        <v>1923.06</v>
      </c>
      <c r="F60" s="19" t="n">
        <v>1923.06</v>
      </c>
      <c r="G60" s="19" t="n">
        <v>1923.06</v>
      </c>
      <c r="H60" s="88" t="n">
        <v>1923.06</v>
      </c>
      <c r="I60" s="20" t="n">
        <v>1914.84</v>
      </c>
      <c r="J60" s="20" t="n">
        <v>1914.84</v>
      </c>
      <c r="K60" s="20" t="n">
        <v>1914.84</v>
      </c>
      <c r="L60" s="20" t="n">
        <v>1914.84</v>
      </c>
      <c r="M60" s="20" t="n">
        <v>1914.84</v>
      </c>
      <c r="N60" s="20" t="n">
        <v>1914.84</v>
      </c>
      <c r="O60" s="20" t="n">
        <v>1914.84</v>
      </c>
      <c r="P60" s="20" t="n">
        <v>1914.84</v>
      </c>
      <c r="Q60" s="20" t="n">
        <v>1914.84</v>
      </c>
      <c r="R60" s="20" t="n">
        <v>1914.84</v>
      </c>
      <c r="S60" s="20" t="n">
        <v>1914.84</v>
      </c>
      <c r="T60" s="20" t="n">
        <v>1914.84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</row>
    <row r="61">
      <c r="B61" s="32" t="inlineStr">
        <is>
          <t>Total Property Costs</t>
        </is>
      </c>
      <c r="C61" s="34" t="n"/>
      <c r="D61" s="35" t="n">
        <v>7855.620000000001</v>
      </c>
      <c r="E61" s="35" t="n">
        <v>7855.620000000001</v>
      </c>
      <c r="F61" s="35" t="n">
        <v>7990.460000000001</v>
      </c>
      <c r="G61" s="35" t="n">
        <v>7855.620000000001</v>
      </c>
      <c r="H61" s="89" t="n">
        <v>7935.370000000001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27774.48</v>
      </c>
      <c r="E62" s="35" t="n">
        <v>25912.92000000001</v>
      </c>
      <c r="F62" s="35" t="n">
        <v>27249.29</v>
      </c>
      <c r="G62" s="35" t="n">
        <v>24904.71</v>
      </c>
      <c r="H62" s="89" t="n">
        <v>27471.5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-8030.850000000002</v>
      </c>
      <c r="E63" s="35" t="n">
        <v>-5899.910000000003</v>
      </c>
      <c r="F63" s="35" t="n">
        <v>-4238.809999999998</v>
      </c>
      <c r="G63" s="35" t="n">
        <v>-4581.630000000001</v>
      </c>
      <c r="H63" s="89" t="n">
        <v>-8265.610000000001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3615.45</v>
      </c>
      <c r="E65" s="19" t="n">
        <v>3615.45</v>
      </c>
      <c r="F65" s="19" t="n">
        <v>3615.45</v>
      </c>
      <c r="G65" s="19" t="n">
        <v>3615.45</v>
      </c>
      <c r="H65" s="88" t="n">
        <v>3615.45</v>
      </c>
      <c r="I65" s="20">
        <f>I69*0.986539</f>
        <v/>
      </c>
      <c r="J65" s="20">
        <f>J69*0.986539</f>
        <v/>
      </c>
      <c r="K65" s="20">
        <f>K69*0.986539</f>
        <v/>
      </c>
      <c r="L65" s="20">
        <f>L69*0.986539</f>
        <v/>
      </c>
      <c r="M65" s="20">
        <f>M69*0.986539</f>
        <v/>
      </c>
      <c r="N65" s="20">
        <f>N69*0.986539</f>
        <v/>
      </c>
      <c r="O65" s="20">
        <f>O69*0.986539</f>
        <v/>
      </c>
      <c r="P65" s="20">
        <f>P69*0.986539</f>
        <v/>
      </c>
      <c r="Q65" s="20">
        <f>Q69*0.986539</f>
        <v/>
      </c>
      <c r="R65" s="20">
        <f>R69*0.986539</f>
        <v/>
      </c>
      <c r="S65" s="20">
        <f>S69*0.986539</f>
        <v/>
      </c>
      <c r="T65" s="20">
        <f>T69*0.986539</f>
        <v/>
      </c>
      <c r="U65" s="20">
        <f>U69*0.986539</f>
        <v/>
      </c>
      <c r="V65" s="20">
        <f>V69*0.986539</f>
        <v/>
      </c>
      <c r="W65" s="20">
        <f>W69*0.986539</f>
        <v/>
      </c>
      <c r="X65" s="20">
        <f>X69*0.986539</f>
        <v/>
      </c>
      <c r="Y65" s="20">
        <f>Y69*0.986539</f>
        <v/>
      </c>
      <c r="Z65" s="20">
        <f>Z69*0.986539</f>
        <v/>
      </c>
      <c r="AA65" s="20">
        <f>AA69*0.986539</f>
        <v/>
      </c>
      <c r="AB65" s="20">
        <f>AB69*0.986539</f>
        <v/>
      </c>
      <c r="AC65" s="20">
        <f>AC69*0.986539</f>
        <v/>
      </c>
      <c r="AD65" s="20">
        <f>AD69*0.986539</f>
        <v/>
      </c>
      <c r="AE65" s="20">
        <f>AE69*0.986539</f>
        <v/>
      </c>
      <c r="AF65" s="20">
        <f>AF69*0.986539</f>
        <v/>
      </c>
      <c r="AG65" s="20">
        <f>AG69*0.986539</f>
        <v/>
      </c>
      <c r="AH65" s="20">
        <f>AH69*0.986539</f>
        <v/>
      </c>
      <c r="AI65" s="20">
        <f>AI69*0.986539</f>
        <v/>
      </c>
      <c r="AJ65" s="20">
        <f>AJ69*0.986539</f>
        <v/>
      </c>
      <c r="AK65" s="20">
        <f>AK69*0.986539</f>
        <v/>
      </c>
      <c r="AL65" s="20">
        <f>AL69*0.986539</f>
        <v/>
      </c>
      <c r="AM65" s="20">
        <f>AM69*0.986539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197.33</v>
      </c>
      <c r="F67" s="19" t="n">
        <v>0</v>
      </c>
      <c r="G67" s="19" t="n">
        <v>0</v>
      </c>
      <c r="H67" s="88" t="n">
        <v>0</v>
      </c>
      <c r="I67" s="20">
        <f>I69*0.013461</f>
        <v/>
      </c>
      <c r="J67" s="20">
        <f>J69*0.013461</f>
        <v/>
      </c>
      <c r="K67" s="20">
        <f>K69*0.013461</f>
        <v/>
      </c>
      <c r="L67" s="20">
        <f>L69*0.013461</f>
        <v/>
      </c>
      <c r="M67" s="20">
        <f>M69*0.013461</f>
        <v/>
      </c>
      <c r="N67" s="20">
        <f>N69*0.013461</f>
        <v/>
      </c>
      <c r="O67" s="20">
        <f>O69*0.013461</f>
        <v/>
      </c>
      <c r="P67" s="20">
        <f>P69*0.013461</f>
        <v/>
      </c>
      <c r="Q67" s="20">
        <f>Q69*0.013461</f>
        <v/>
      </c>
      <c r="R67" s="20">
        <f>R69*0.013461</f>
        <v/>
      </c>
      <c r="S67" s="20">
        <f>S69*0.013461</f>
        <v/>
      </c>
      <c r="T67" s="20">
        <f>T69*0.013461</f>
        <v/>
      </c>
      <c r="U67" s="20">
        <f>U69*0.013461</f>
        <v/>
      </c>
      <c r="V67" s="20">
        <f>V69*0.013461</f>
        <v/>
      </c>
      <c r="W67" s="20">
        <f>W69*0.013461</f>
        <v/>
      </c>
      <c r="X67" s="20">
        <f>X69*0.013461</f>
        <v/>
      </c>
      <c r="Y67" s="20">
        <f>Y69*0.013461</f>
        <v/>
      </c>
      <c r="Z67" s="20">
        <f>Z69*0.013461</f>
        <v/>
      </c>
      <c r="AA67" s="20">
        <f>AA69*0.013461</f>
        <v/>
      </c>
      <c r="AB67" s="20">
        <f>AB69*0.013461</f>
        <v/>
      </c>
      <c r="AC67" s="20">
        <f>AC69*0.013461</f>
        <v/>
      </c>
      <c r="AD67" s="20">
        <f>AD69*0.013461</f>
        <v/>
      </c>
      <c r="AE67" s="20">
        <f>AE69*0.013461</f>
        <v/>
      </c>
      <c r="AF67" s="20">
        <f>AF69*0.013461</f>
        <v/>
      </c>
      <c r="AG67" s="20">
        <f>AG69*0.013461</f>
        <v/>
      </c>
      <c r="AH67" s="20">
        <f>AH69*0.013461</f>
        <v/>
      </c>
      <c r="AI67" s="20">
        <f>AI69*0.013461</f>
        <v/>
      </c>
      <c r="AJ67" s="20">
        <f>AJ69*0.013461</f>
        <v/>
      </c>
      <c r="AK67" s="20">
        <f>AK69*0.013461</f>
        <v/>
      </c>
      <c r="AL67" s="20">
        <f>AL69*0.013461</f>
        <v/>
      </c>
      <c r="AM67" s="20">
        <f>AM69*0.013461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3615.45</v>
      </c>
      <c r="E69" s="35" t="n">
        <v>3812.78</v>
      </c>
      <c r="F69" s="35" t="n">
        <v>3615.45</v>
      </c>
      <c r="G69" s="35" t="n">
        <v>3615.45</v>
      </c>
      <c r="H69" s="89" t="n">
        <v>3615.45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-11646.3</v>
      </c>
      <c r="E70" s="35" t="n">
        <v>-9712.690000000002</v>
      </c>
      <c r="F70" s="35" t="n">
        <v>-7854.259999999997</v>
      </c>
      <c r="G70" s="35" t="n">
        <v>-8197.080000000002</v>
      </c>
      <c r="H70" s="89" t="n">
        <v>-11881.06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Lafayette (LF)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60615.29</v>
      </c>
      <c r="E7" s="19" t="n">
        <v>55465.57</v>
      </c>
      <c r="F7" s="19" t="n">
        <v>61292.28</v>
      </c>
      <c r="G7" s="19" t="n">
        <v>56608.39</v>
      </c>
      <c r="H7" s="88" t="n">
        <v>60702.81</v>
      </c>
      <c r="I7" s="20">
        <f>I13*0.726851</f>
        <v/>
      </c>
      <c r="J7" s="20">
        <f>J13*0.726851</f>
        <v/>
      </c>
      <c r="K7" s="20">
        <f>K13*0.726851</f>
        <v/>
      </c>
      <c r="L7" s="20">
        <f>L13*0.726851</f>
        <v/>
      </c>
      <c r="M7" s="20">
        <f>M13*0.726851</f>
        <v/>
      </c>
      <c r="N7" s="20">
        <f>N13*0.726851</f>
        <v/>
      </c>
      <c r="O7" s="20">
        <f>O13*0.726851</f>
        <v/>
      </c>
      <c r="P7" s="20">
        <f>P13*0.726851</f>
        <v/>
      </c>
      <c r="Q7" s="20">
        <f>Q13*0.726851</f>
        <v/>
      </c>
      <c r="R7" s="20">
        <f>R13*0.726851</f>
        <v/>
      </c>
      <c r="S7" s="20">
        <f>S13*0.726851</f>
        <v/>
      </c>
      <c r="T7" s="20">
        <f>T13*0.726851</f>
        <v/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</row>
    <row r="8">
      <c r="B8" s="33" t="inlineStr">
        <is>
          <t xml:space="preserve">  401002 Private Pilates</t>
        </is>
      </c>
      <c r="D8" s="19" t="n">
        <v>2761</v>
      </c>
      <c r="E8" s="19" t="n">
        <v>3375</v>
      </c>
      <c r="F8" s="19" t="n">
        <v>4874</v>
      </c>
      <c r="G8" s="19" t="n">
        <v>2940</v>
      </c>
      <c r="H8" s="88" t="n">
        <v>3589</v>
      </c>
      <c r="I8" s="20">
        <f>I13*0.043335</f>
        <v/>
      </c>
      <c r="J8" s="20">
        <f>J13*0.043335</f>
        <v/>
      </c>
      <c r="K8" s="20">
        <f>K13*0.043335</f>
        <v/>
      </c>
      <c r="L8" s="20">
        <f>L13*0.043335</f>
        <v/>
      </c>
      <c r="M8" s="20">
        <f>M13*0.043335</f>
        <v/>
      </c>
      <c r="N8" s="20">
        <f>N13*0.043335</f>
        <v/>
      </c>
      <c r="O8" s="20">
        <f>O13*0.043335</f>
        <v/>
      </c>
      <c r="P8" s="20">
        <f>P13*0.043335</f>
        <v/>
      </c>
      <c r="Q8" s="20">
        <f>Q13*0.043335</f>
        <v/>
      </c>
      <c r="R8" s="20">
        <f>R13*0.043335</f>
        <v/>
      </c>
      <c r="S8" s="20">
        <f>S13*0.043335</f>
        <v/>
      </c>
      <c r="T8" s="20">
        <f>T13*0.043335</f>
        <v/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</row>
    <row r="9">
      <c r="B9" s="33" t="inlineStr">
        <is>
          <t xml:space="preserve">  401003 Class Pass</t>
        </is>
      </c>
      <c r="D9" s="19" t="n">
        <v>12346.11</v>
      </c>
      <c r="E9" s="19" t="n">
        <v>11594.81</v>
      </c>
      <c r="F9" s="19" t="n">
        <v>12982.46</v>
      </c>
      <c r="G9" s="19" t="n">
        <v>11890</v>
      </c>
      <c r="H9" s="88" t="n">
        <v>12469.24</v>
      </c>
      <c r="I9" s="20">
        <f>I13*0.151636</f>
        <v/>
      </c>
      <c r="J9" s="20">
        <f>J13*0.151636</f>
        <v/>
      </c>
      <c r="K9" s="20">
        <f>K13*0.151636</f>
        <v/>
      </c>
      <c r="L9" s="20">
        <f>L13*0.151636</f>
        <v/>
      </c>
      <c r="M9" s="20">
        <f>M13*0.151636</f>
        <v/>
      </c>
      <c r="N9" s="20">
        <f>N13*0.151636</f>
        <v/>
      </c>
      <c r="O9" s="20">
        <f>O13*0.151636</f>
        <v/>
      </c>
      <c r="P9" s="20">
        <f>P13*0.151636</f>
        <v/>
      </c>
      <c r="Q9" s="20">
        <f>Q13*0.151636</f>
        <v/>
      </c>
      <c r="R9" s="20">
        <f>R13*0.151636</f>
        <v/>
      </c>
      <c r="S9" s="20">
        <f>S13*0.151636</f>
        <v/>
      </c>
      <c r="T9" s="20">
        <f>T13*0.151636</f>
        <v/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</row>
    <row r="10">
      <c r="B10" s="33" t="inlineStr">
        <is>
          <t xml:space="preserve">  401004 Mighty Teacher Training</t>
        </is>
      </c>
      <c r="D10" s="19" t="n">
        <v>15183.33</v>
      </c>
      <c r="E10" s="19" t="n">
        <v>5620.98</v>
      </c>
      <c r="F10" s="19" t="n">
        <v>480.52</v>
      </c>
      <c r="G10" s="19" t="n">
        <v>0</v>
      </c>
      <c r="H10" s="88" t="n">
        <v>0</v>
      </c>
      <c r="I10" s="20">
        <f>I13*0.06612</f>
        <v/>
      </c>
      <c r="J10" s="20">
        <f>J13*0.06612</f>
        <v/>
      </c>
      <c r="K10" s="20">
        <f>K13*0.06612</f>
        <v/>
      </c>
      <c r="L10" s="20">
        <f>L13*0.06612</f>
        <v/>
      </c>
      <c r="M10" s="20">
        <f>M13*0.06612</f>
        <v/>
      </c>
      <c r="N10" s="20">
        <f>N13*0.06612</f>
        <v/>
      </c>
      <c r="O10" s="20">
        <f>O13*0.06612</f>
        <v/>
      </c>
      <c r="P10" s="20">
        <f>P13*0.06612</f>
        <v/>
      </c>
      <c r="Q10" s="20">
        <f>Q13*0.06612</f>
        <v/>
      </c>
      <c r="R10" s="20">
        <f>R13*0.06612</f>
        <v/>
      </c>
      <c r="S10" s="20">
        <f>S13*0.06612</f>
        <v/>
      </c>
      <c r="T10" s="20">
        <f>T13*0.06612</f>
        <v/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</row>
    <row r="11">
      <c r="B11" s="33" t="inlineStr">
        <is>
          <t xml:space="preserve">  401005 Livestream Classes</t>
        </is>
      </c>
      <c r="D11" s="19" t="n">
        <v>136.52</v>
      </c>
      <c r="E11" s="19" t="n">
        <v>140.18</v>
      </c>
      <c r="F11" s="19" t="n">
        <v>96.72</v>
      </c>
      <c r="G11" s="19" t="n">
        <v>96.94</v>
      </c>
      <c r="H11" s="88" t="n">
        <v>157.92</v>
      </c>
      <c r="I11" s="20">
        <f>I13*0.001461</f>
        <v/>
      </c>
      <c r="J11" s="20">
        <f>J13*0.001461</f>
        <v/>
      </c>
      <c r="K11" s="20">
        <f>K13*0.001461</f>
        <v/>
      </c>
      <c r="L11" s="20">
        <f>L13*0.001461</f>
        <v/>
      </c>
      <c r="M11" s="20">
        <f>M13*0.001461</f>
        <v/>
      </c>
      <c r="N11" s="20">
        <f>N13*0.001461</f>
        <v/>
      </c>
      <c r="O11" s="20">
        <f>O13*0.001461</f>
        <v/>
      </c>
      <c r="P11" s="20">
        <f>P13*0.001461</f>
        <v/>
      </c>
      <c r="Q11" s="20">
        <f>Q13*0.001461</f>
        <v/>
      </c>
      <c r="R11" s="20">
        <f>R13*0.001461</f>
        <v/>
      </c>
      <c r="S11" s="20">
        <f>S13*0.001461</f>
        <v/>
      </c>
      <c r="T11" s="20">
        <f>T13*0.001461</f>
        <v/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</row>
    <row r="12">
      <c r="B12" s="33" t="inlineStr">
        <is>
          <t xml:space="preserve">  401006 Wellhub</t>
        </is>
      </c>
      <c r="D12" s="19" t="n">
        <v>1041.13</v>
      </c>
      <c r="E12" s="19" t="n">
        <v>750.0700000000001</v>
      </c>
      <c r="F12" s="19" t="n">
        <v>679.59</v>
      </c>
      <c r="G12" s="19" t="n">
        <v>940.45</v>
      </c>
      <c r="H12" s="88" t="n">
        <v>777.3</v>
      </c>
      <c r="I12" s="20">
        <f>I13*0.010597</f>
        <v/>
      </c>
      <c r="J12" s="20">
        <f>J13*0.010597</f>
        <v/>
      </c>
      <c r="K12" s="20">
        <f>K13*0.010597</f>
        <v/>
      </c>
      <c r="L12" s="20">
        <f>L13*0.010597</f>
        <v/>
      </c>
      <c r="M12" s="20">
        <f>M13*0.010597</f>
        <v/>
      </c>
      <c r="N12" s="20">
        <f>N13*0.010597</f>
        <v/>
      </c>
      <c r="O12" s="20">
        <f>O13*0.010597</f>
        <v/>
      </c>
      <c r="P12" s="20">
        <f>P13*0.010597</f>
        <v/>
      </c>
      <c r="Q12" s="20">
        <f>Q13*0.010597</f>
        <v/>
      </c>
      <c r="R12" s="20">
        <f>R13*0.010597</f>
        <v/>
      </c>
      <c r="S12" s="20">
        <f>S13*0.010597</f>
        <v/>
      </c>
      <c r="T12" s="20">
        <f>T13*0.010597</f>
        <v/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</row>
    <row r="13">
      <c r="B13" s="32" t="inlineStr">
        <is>
          <t>Total Sessions</t>
        </is>
      </c>
      <c r="C13" s="34" t="n"/>
      <c r="D13" s="35" t="n">
        <v>92083.38</v>
      </c>
      <c r="E13" s="35" t="n">
        <v>76946.61</v>
      </c>
      <c r="F13" s="35" t="n">
        <v>80405.56999999999</v>
      </c>
      <c r="G13" s="35" t="n">
        <v>72475.78</v>
      </c>
      <c r="H13" s="89" t="n">
        <v>77696.27</v>
      </c>
      <c r="I13" s="17">
        <f>'Sales Forecast'!I9*Assumptions!$C$12+'Sales Forecast'!H9*Assumptions!$D$12+'Sales Forecast'!G9*Assumptions!$E$12+'Sales Forecast'!F9*Assumptions!$F$12+'Sales Forecast'!E9*Assumptions!$G$12+'Sales Forecast'!D9*Assumptions!$H$12+'Sales Forecast'!I105*Assumptions!$I$12</f>
        <v/>
      </c>
      <c r="J13" s="17">
        <f>'Sales Forecast'!J9*Assumptions!$C$12+'Sales Forecast'!I9*Assumptions!$D$12+'Sales Forecast'!H9*Assumptions!$E$12+'Sales Forecast'!G9*Assumptions!$F$12+'Sales Forecast'!F9*Assumptions!$G$12+'Sales Forecast'!E9*Assumptions!$H$12+'Sales Forecast'!D9*Assumptions!$I$12</f>
        <v/>
      </c>
      <c r="K13" s="17">
        <f>'Sales Forecast'!K9*Assumptions!$C$12+'Sales Forecast'!J9*Assumptions!$D$12+'Sales Forecast'!I9*Assumptions!$E$12+'Sales Forecast'!H9*Assumptions!$F$12+'Sales Forecast'!G9*Assumptions!$G$12+'Sales Forecast'!F9*Assumptions!$H$12+'Sales Forecast'!E9*Assumptions!$I$12</f>
        <v/>
      </c>
      <c r="L13" s="17">
        <f>'Sales Forecast'!L9*Assumptions!$C$12+'Sales Forecast'!K9*Assumptions!$D$12+'Sales Forecast'!J9*Assumptions!$E$12+'Sales Forecast'!I9*Assumptions!$F$12+'Sales Forecast'!H9*Assumptions!$G$12+'Sales Forecast'!G9*Assumptions!$H$12+'Sales Forecast'!F9*Assumptions!$I$12</f>
        <v/>
      </c>
      <c r="M13" s="17">
        <f>'Sales Forecast'!M9*Assumptions!$C$12+'Sales Forecast'!L9*Assumptions!$D$12+'Sales Forecast'!K9*Assumptions!$E$12+'Sales Forecast'!J9*Assumptions!$F$12+'Sales Forecast'!I9*Assumptions!$G$12+'Sales Forecast'!H9*Assumptions!$H$12+'Sales Forecast'!G9*Assumptions!$I$12</f>
        <v/>
      </c>
      <c r="N13" s="17">
        <f>'Sales Forecast'!N9*Assumptions!$C$12+'Sales Forecast'!M9*Assumptions!$D$12+'Sales Forecast'!L9*Assumptions!$E$12+'Sales Forecast'!K9*Assumptions!$F$12+'Sales Forecast'!J9*Assumptions!$G$12+'Sales Forecast'!I9*Assumptions!$H$12+'Sales Forecast'!H9*Assumptions!$I$12</f>
        <v/>
      </c>
      <c r="O13" s="17">
        <f>'Sales Forecast'!O9*Assumptions!$C$12+'Sales Forecast'!N9*Assumptions!$D$12+'Sales Forecast'!M9*Assumptions!$E$12+'Sales Forecast'!L9*Assumptions!$F$12+'Sales Forecast'!K9*Assumptions!$G$12+'Sales Forecast'!J9*Assumptions!$H$12+'Sales Forecast'!I9*Assumptions!$I$12</f>
        <v/>
      </c>
      <c r="P13" s="17">
        <f>'Sales Forecast'!P9*Assumptions!$C$12+'Sales Forecast'!O9*Assumptions!$D$12+'Sales Forecast'!N9*Assumptions!$E$12+'Sales Forecast'!M9*Assumptions!$F$12+'Sales Forecast'!L9*Assumptions!$G$12+'Sales Forecast'!K9*Assumptions!$H$12+'Sales Forecast'!J9*Assumptions!$I$12</f>
        <v/>
      </c>
      <c r="Q13" s="17">
        <f>'Sales Forecast'!Q9*Assumptions!$C$12+'Sales Forecast'!P9*Assumptions!$D$12+'Sales Forecast'!O9*Assumptions!$E$12+'Sales Forecast'!N9*Assumptions!$F$12+'Sales Forecast'!M9*Assumptions!$G$12+'Sales Forecast'!L9*Assumptions!$H$12+'Sales Forecast'!K9*Assumptions!$I$12</f>
        <v/>
      </c>
      <c r="R13" s="17">
        <f>'Sales Forecast'!R9*Assumptions!$C$12+'Sales Forecast'!Q9*Assumptions!$D$12+'Sales Forecast'!P9*Assumptions!$E$12+'Sales Forecast'!O9*Assumptions!$F$12+'Sales Forecast'!N9*Assumptions!$G$12+'Sales Forecast'!M9*Assumptions!$H$12+'Sales Forecast'!L9*Assumptions!$I$12</f>
        <v/>
      </c>
      <c r="S13" s="17">
        <f>'Sales Forecast'!S9*Assumptions!$C$12+'Sales Forecast'!R9*Assumptions!$D$12+'Sales Forecast'!Q9*Assumptions!$E$12+'Sales Forecast'!P9*Assumptions!$F$12+'Sales Forecast'!O9*Assumptions!$G$12+'Sales Forecast'!N9*Assumptions!$H$12+'Sales Forecast'!M9*Assumptions!$I$12</f>
        <v/>
      </c>
      <c r="T13" s="17">
        <f>'Sales Forecast'!T9*Assumptions!$C$12+'Sales Forecast'!S9*Assumptions!$D$12+'Sales Forecast'!R9*Assumptions!$E$12+'Sales Forecast'!Q9*Assumptions!$F$12+'Sales Forecast'!P9*Assumptions!$G$12+'Sales Forecast'!O9*Assumptions!$H$12+'Sales Forecast'!N9*Assumptions!$I$12</f>
        <v/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Forecast'!O9*Assumptions!$I$12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</row>
    <row r="14">
      <c r="B14" s="33" t="inlineStr">
        <is>
          <t xml:space="preserve">  403001 Machine Breakage</t>
        </is>
      </c>
      <c r="D14" s="19" t="n">
        <v>13400.43</v>
      </c>
      <c r="E14" s="19" t="n">
        <v>15883.02</v>
      </c>
      <c r="F14" s="19" t="n">
        <v>12911.17</v>
      </c>
      <c r="G14" s="19" t="n">
        <v>13278.92</v>
      </c>
      <c r="H14" s="88" t="n">
        <v>12597.23</v>
      </c>
      <c r="I14" s="20">
        <f>I17*0.9552</f>
        <v/>
      </c>
      <c r="J14" s="20">
        <f>J17*0.9552</f>
        <v/>
      </c>
      <c r="K14" s="20">
        <f>K17*0.9552</f>
        <v/>
      </c>
      <c r="L14" s="20">
        <f>L17*0.9552</f>
        <v/>
      </c>
      <c r="M14" s="20">
        <f>M17*0.9552</f>
        <v/>
      </c>
      <c r="N14" s="20">
        <f>N17*0.9552</f>
        <v/>
      </c>
      <c r="O14" s="20">
        <f>O17*0.9552</f>
        <v/>
      </c>
      <c r="P14" s="20">
        <f>P17*0.9552</f>
        <v/>
      </c>
      <c r="Q14" s="20">
        <f>Q17*0.9552</f>
        <v/>
      </c>
      <c r="R14" s="20">
        <f>R17*0.9552</f>
        <v/>
      </c>
      <c r="S14" s="20">
        <f>S17*0.9552</f>
        <v/>
      </c>
      <c r="T14" s="20">
        <f>T17*0.9552</f>
        <v/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</row>
    <row r="15">
      <c r="B15" s="33" t="inlineStr">
        <is>
          <t xml:space="preserve">  403003 Private Pilates Breakage</t>
        </is>
      </c>
      <c r="D15" s="19" t="n">
        <v>115</v>
      </c>
      <c r="E15" s="19" t="n">
        <v>340</v>
      </c>
      <c r="F15" s="19" t="n">
        <v>1260</v>
      </c>
      <c r="G15" s="19" t="n">
        <v>875</v>
      </c>
      <c r="H15" s="88" t="n">
        <v>375</v>
      </c>
      <c r="I15" s="20">
        <f>I17*0.044597</f>
        <v/>
      </c>
      <c r="J15" s="20">
        <f>J17*0.044597</f>
        <v/>
      </c>
      <c r="K15" s="20">
        <f>K17*0.044597</f>
        <v/>
      </c>
      <c r="L15" s="20">
        <f>L17*0.044597</f>
        <v/>
      </c>
      <c r="M15" s="20">
        <f>M17*0.044597</f>
        <v/>
      </c>
      <c r="N15" s="20">
        <f>N17*0.044597</f>
        <v/>
      </c>
      <c r="O15" s="20">
        <f>O17*0.044597</f>
        <v/>
      </c>
      <c r="P15" s="20">
        <f>P17*0.044597</f>
        <v/>
      </c>
      <c r="Q15" s="20">
        <f>Q17*0.044597</f>
        <v/>
      </c>
      <c r="R15" s="20">
        <f>R17*0.044597</f>
        <v/>
      </c>
      <c r="S15" s="20">
        <f>S17*0.044597</f>
        <v/>
      </c>
      <c r="T15" s="20">
        <f>T17*0.044597</f>
        <v/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11.8</v>
      </c>
      <c r="F16" s="19" t="n">
        <v>0</v>
      </c>
      <c r="G16" s="19" t="n">
        <v>0</v>
      </c>
      <c r="H16" s="88" t="n">
        <v>0</v>
      </c>
      <c r="I16" s="20">
        <f>I17*0.000203</f>
        <v/>
      </c>
      <c r="J16" s="20">
        <f>J17*0.000203</f>
        <v/>
      </c>
      <c r="K16" s="20">
        <f>K17*0.000203</f>
        <v/>
      </c>
      <c r="L16" s="20">
        <f>L17*0.000203</f>
        <v/>
      </c>
      <c r="M16" s="20">
        <f>M17*0.000203</f>
        <v/>
      </c>
      <c r="N16" s="20">
        <f>N17*0.000203</f>
        <v/>
      </c>
      <c r="O16" s="20">
        <f>O17*0.000203</f>
        <v/>
      </c>
      <c r="P16" s="20">
        <f>P17*0.000203</f>
        <v/>
      </c>
      <c r="Q16" s="20">
        <f>Q17*0.000203</f>
        <v/>
      </c>
      <c r="R16" s="20">
        <f>R17*0.000203</f>
        <v/>
      </c>
      <c r="S16" s="20">
        <f>S17*0.000203</f>
        <v/>
      </c>
      <c r="T16" s="20">
        <f>T17*0.000203</f>
        <v/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</row>
    <row r="17">
      <c r="B17" s="32" t="inlineStr">
        <is>
          <t>Total Breakage Revenue</t>
        </is>
      </c>
      <c r="C17" s="34" t="n"/>
      <c r="D17" s="35" t="n">
        <v>13515.43</v>
      </c>
      <c r="E17" s="35" t="n">
        <v>16234.82</v>
      </c>
      <c r="F17" s="35" t="n">
        <v>14171.17</v>
      </c>
      <c r="G17" s="35" t="n">
        <v>14153.92</v>
      </c>
      <c r="H17" s="89" t="n">
        <v>12972.23</v>
      </c>
      <c r="I17" s="17">
        <f>'Sales Forecast'!I9*Assumptions!$C$13+'Sales Forecast'!H9*Assumptions!$D$13+'Sales Forecast'!G9*Assumptions!$E$13+'Sales Forecast'!F9*Assumptions!$F$13+'Sales Forecast'!E9*Assumptions!$G$13+'Sales Forecast'!D9*Assumptions!$H$13+'Sales Forecast'!I105*Assumptions!$I$13</f>
        <v/>
      </c>
      <c r="J17" s="17">
        <f>'Sales Forecast'!J9*Assumptions!$C$13+'Sales Forecast'!I9*Assumptions!$D$13+'Sales Forecast'!H9*Assumptions!$E$13+'Sales Forecast'!G9*Assumptions!$F$13+'Sales Forecast'!F9*Assumptions!$G$13+'Sales Forecast'!E9*Assumptions!$H$13+'Sales Forecast'!D9*Assumptions!$I$13</f>
        <v/>
      </c>
      <c r="K17" s="17">
        <f>'Sales Forecast'!K9*Assumptions!$C$13+'Sales Forecast'!J9*Assumptions!$D$13+'Sales Forecast'!I9*Assumptions!$E$13+'Sales Forecast'!H9*Assumptions!$F$13+'Sales Forecast'!G9*Assumptions!$G$13+'Sales Forecast'!F9*Assumptions!$H$13+'Sales Forecast'!E9*Assumptions!$I$13</f>
        <v/>
      </c>
      <c r="L17" s="17">
        <f>'Sales Forecast'!L9*Assumptions!$C$13+'Sales Forecast'!K9*Assumptions!$D$13+'Sales Forecast'!J9*Assumptions!$E$13+'Sales Forecast'!I9*Assumptions!$F$13+'Sales Forecast'!H9*Assumptions!$G$13+'Sales Forecast'!G9*Assumptions!$H$13+'Sales Forecast'!F9*Assumptions!$I$13</f>
        <v/>
      </c>
      <c r="M17" s="17">
        <f>'Sales Forecast'!M9*Assumptions!$C$13+'Sales Forecast'!L9*Assumptions!$D$13+'Sales Forecast'!K9*Assumptions!$E$13+'Sales Forecast'!J9*Assumptions!$F$13+'Sales Forecast'!I9*Assumptions!$G$13+'Sales Forecast'!H9*Assumptions!$H$13+'Sales Forecast'!G9*Assumptions!$I$13</f>
        <v/>
      </c>
      <c r="N17" s="17">
        <f>'Sales Forecast'!N9*Assumptions!$C$13+'Sales Forecast'!M9*Assumptions!$D$13+'Sales Forecast'!L9*Assumptions!$E$13+'Sales Forecast'!K9*Assumptions!$F$13+'Sales Forecast'!J9*Assumptions!$G$13+'Sales Forecast'!I9*Assumptions!$H$13+'Sales Forecast'!H9*Assumptions!$I$13</f>
        <v/>
      </c>
      <c r="O17" s="17">
        <f>'Sales Forecast'!O9*Assumptions!$C$13+'Sales Forecast'!N9*Assumptions!$D$13+'Sales Forecast'!M9*Assumptions!$E$13+'Sales Forecast'!L9*Assumptions!$F$13+'Sales Forecast'!K9*Assumptions!$G$13+'Sales Forecast'!J9*Assumptions!$H$13+'Sales Forecast'!I9*Assumptions!$I$13</f>
        <v/>
      </c>
      <c r="P17" s="17">
        <f>'Sales Forecast'!P9*Assumptions!$C$13+'Sales Forecast'!O9*Assumptions!$D$13+'Sales Forecast'!N9*Assumptions!$E$13+'Sales Forecast'!M9*Assumptions!$F$13+'Sales Forecast'!L9*Assumptions!$G$13+'Sales Forecast'!K9*Assumptions!$H$13+'Sales Forecast'!J9*Assumptions!$I$13</f>
        <v/>
      </c>
      <c r="Q17" s="17">
        <f>'Sales Forecast'!Q9*Assumptions!$C$13+'Sales Forecast'!P9*Assumptions!$D$13+'Sales Forecast'!O9*Assumptions!$E$13+'Sales Forecast'!N9*Assumptions!$F$13+'Sales Forecast'!M9*Assumptions!$G$13+'Sales Forecast'!L9*Assumptions!$H$13+'Sales Forecast'!K9*Assumptions!$I$13</f>
        <v/>
      </c>
      <c r="R17" s="17">
        <f>'Sales Forecast'!R9*Assumptions!$C$13+'Sales Forecast'!Q9*Assumptions!$D$13+'Sales Forecast'!P9*Assumptions!$E$13+'Sales Forecast'!O9*Assumptions!$F$13+'Sales Forecast'!N9*Assumptions!$G$13+'Sales Forecast'!M9*Assumptions!$H$13+'Sales Forecast'!L9*Assumptions!$I$13</f>
        <v/>
      </c>
      <c r="S17" s="17">
        <f>'Sales Forecast'!S9*Assumptions!$C$13+'Sales Forecast'!R9*Assumptions!$D$13+'Sales Forecast'!Q9*Assumptions!$E$13+'Sales Forecast'!P9*Assumptions!$F$13+'Sales Forecast'!O9*Assumptions!$G$13+'Sales Forecast'!N9*Assumptions!$H$13+'Sales Forecast'!M9*Assumptions!$I$13</f>
        <v/>
      </c>
      <c r="T17" s="17">
        <f>'Sales Forecast'!T9*Assumptions!$C$13+'Sales Forecast'!S9*Assumptions!$D$13+'Sales Forecast'!R9*Assumptions!$E$13+'Sales Forecast'!Q9*Assumptions!$F$13+'Sales Forecast'!P9*Assumptions!$G$13+'Sales Forecast'!O9*Assumptions!$H$13+'Sales Forecast'!N9*Assumptions!$I$13</f>
        <v/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Forecast'!O9*Assumptions!$I$13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</row>
    <row r="18">
      <c r="B18" s="33" t="inlineStr">
        <is>
          <t xml:space="preserve">  404000 Retail Sales</t>
        </is>
      </c>
      <c r="D18" s="19" t="n">
        <v>1702</v>
      </c>
      <c r="E18" s="19" t="n">
        <v>2203</v>
      </c>
      <c r="F18" s="19" t="n">
        <v>1426</v>
      </c>
      <c r="G18" s="19" t="n">
        <v>1250</v>
      </c>
      <c r="H18" s="88" t="n">
        <v>1403</v>
      </c>
      <c r="I18" s="20">
        <f>1645.25</f>
        <v/>
      </c>
      <c r="J18" s="20">
        <f>1645.25</f>
        <v/>
      </c>
      <c r="K18" s="20">
        <f>1645.25</f>
        <v/>
      </c>
      <c r="L18" s="20">
        <f>1645.25</f>
        <v/>
      </c>
      <c r="M18" s="20">
        <f>1645.25</f>
        <v/>
      </c>
      <c r="N18" s="20">
        <f>1645.25</f>
        <v/>
      </c>
      <c r="O18" s="20">
        <f>1645.25</f>
        <v/>
      </c>
      <c r="P18" s="20">
        <f>1645.25</f>
        <v/>
      </c>
      <c r="Q18" s="20">
        <f>1645.25</f>
        <v/>
      </c>
      <c r="R18" s="20">
        <f>1645.25</f>
        <v/>
      </c>
      <c r="S18" s="20">
        <f>1645.25</f>
        <v/>
      </c>
      <c r="T18" s="20">
        <f>1645.25</f>
        <v/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</row>
    <row r="19">
      <c r="B19" s="33" t="inlineStr">
        <is>
          <t xml:space="preserve">  406000 Refunds</t>
        </is>
      </c>
      <c r="D19" s="19" t="n">
        <v>1110</v>
      </c>
      <c r="E19" s="19" t="n">
        <v>330</v>
      </c>
      <c r="F19" s="19" t="n">
        <v>450</v>
      </c>
      <c r="G19" s="19" t="n">
        <v>812</v>
      </c>
      <c r="H19" s="88" t="n">
        <v>424</v>
      </c>
      <c r="I19" s="20">
        <f>('Sales Forecast'!I9*Assumptions!$C$12+'Sales Forecast'!H9*Assumptions!$D$12+'Sales Forecast'!G9*Assumptions!$E$12+'Sales Forecast'!F9*Assumptions!$F$12+'Sales Forecast'!E9*Assumptions!$G$12+'Sales Forecast'!D9*Assumptions!$H$12+'Sales Forecast'!I9*Assumptions!$C$13+'Sales Forecast'!H9*Assumptions!$D$13+'Sales Forecast'!G9*Assumptions!$E$13+'Sales Forecast'!F9*Assumptions!$F$13+'Sales Forecast'!E9*Assumptions!$G$13+'Sales Forecast'!D9*Assumptions!$H$13+1645.25)*Assumptions!$C$17</f>
        <v/>
      </c>
      <c r="J19" s="20">
        <f>('Sales Forecast'!J9*Assumptions!$C$12+'Sales Forecast'!I9*Assumptions!$D$12+'Sales Forecast'!H9*Assumptions!$E$12+'Sales Forecast'!G9*Assumptions!$F$12+'Sales Forecast'!F9*Assumptions!$G$12+'Sales Forecast'!E9*Assumptions!$H$12+'Sales Forecast'!D9*Assumptions!$I$12+'Sales Forecast'!J9*Assumptions!$C$13+'Sales Forecast'!I9*Assumptions!$D$13+'Sales Forecast'!H9*Assumptions!$E$13+'Sales Forecast'!G9*Assumptions!$F$13+'Sales Forecast'!F9*Assumptions!$G$13+'Sales Forecast'!E9*Assumptions!$H$13+'Sales Forecast'!D9*Assumptions!$I$13+1645.25)*Assumptions!$C$17</f>
        <v/>
      </c>
      <c r="K19" s="20">
        <f>('Sales Forecast'!K9*Assumptions!$C$12+'Sales Forecast'!J9*Assumptions!$D$12+'Sales Forecast'!I9*Assumptions!$E$12+'Sales Forecast'!H9*Assumptions!$F$12+'Sales Forecast'!G9*Assumptions!$G$12+'Sales Forecast'!F9*Assumptions!$H$12+'Sales Forecast'!E9*Assumptions!$I$12+'Sales Forecast'!K9*Assumptions!$C$13+'Sales Forecast'!J9*Assumptions!$D$13+'Sales Forecast'!I9*Assumptions!$E$13+'Sales Forecast'!H9*Assumptions!$F$13+'Sales Forecast'!G9*Assumptions!$G$13+'Sales Forecast'!F9*Assumptions!$H$13+'Sales Forecast'!E9*Assumptions!$I$13+1645.25)*Assumptions!$C$17</f>
        <v/>
      </c>
      <c r="L19" s="20">
        <f>('Sales Forecast'!L9*Assumptions!$C$12+'Sales Forecast'!K9*Assumptions!$D$12+'Sales Forecast'!J9*Assumptions!$E$12+'Sales Forecast'!I9*Assumptions!$F$12+'Sales Forecast'!H9*Assumptions!$G$12+'Sales Forecast'!G9*Assumptions!$H$12+'Sales Forecast'!F9*Assumptions!$I$12+'Sales Forecast'!L9*Assumptions!$C$13+'Sales Forecast'!K9*Assumptions!$D$13+'Sales Forecast'!J9*Assumptions!$E$13+'Sales Forecast'!I9*Assumptions!$F$13+'Sales Forecast'!H9*Assumptions!$G$13+'Sales Forecast'!G9*Assumptions!$H$13+'Sales Forecast'!F9*Assumptions!$I$13+1645.25)*Assumptions!$C$17</f>
        <v/>
      </c>
      <c r="M19" s="20">
        <f>('Sales Forecast'!M9*Assumptions!$C$12+'Sales Forecast'!L9*Assumptions!$D$12+'Sales Forecast'!K9*Assumptions!$E$12+'Sales Forecast'!J9*Assumptions!$F$12+'Sales Forecast'!I9*Assumptions!$G$12+'Sales Forecast'!H9*Assumptions!$H$12+'Sales Forecast'!G9*Assumptions!$I$12+'Sales Forecast'!M9*Assumptions!$C$13+'Sales Forecast'!L9*Assumptions!$D$13+'Sales Forecast'!K9*Assumptions!$E$13+'Sales Forecast'!J9*Assumptions!$F$13+'Sales Forecast'!I9*Assumptions!$G$13+'Sales Forecast'!H9*Assumptions!$H$13+'Sales Forecast'!G9*Assumptions!$I$13+1645.25)*Assumptions!$C$17</f>
        <v/>
      </c>
      <c r="N19" s="20">
        <f>('Sales Forecast'!N9*Assumptions!$C$12+'Sales Forecast'!M9*Assumptions!$D$12+'Sales Forecast'!L9*Assumptions!$E$12+'Sales Forecast'!K9*Assumptions!$F$12+'Sales Forecast'!J9*Assumptions!$G$12+'Sales Forecast'!I9*Assumptions!$H$12+'Sales Forecast'!H9*Assumptions!$I$12+'Sales Forecast'!N9*Assumptions!$C$13+'Sales Forecast'!M9*Assumptions!$D$13+'Sales Forecast'!L9*Assumptions!$E$13+'Sales Forecast'!K9*Assumptions!$F$13+'Sales Forecast'!J9*Assumptions!$G$13+'Sales Forecast'!I9*Assumptions!$H$13+'Sales Forecast'!H9*Assumptions!$I$13+1645.25)*Assumptions!$C$17</f>
        <v/>
      </c>
      <c r="O19" s="20">
        <f>('Sales Forecast'!O9*Assumptions!$C$12+'Sales Forecast'!N9*Assumptions!$D$12+'Sales Forecast'!M9*Assumptions!$E$12+'Sales Forecast'!L9*Assumptions!$F$12+'Sales Forecast'!K9*Assumptions!$G$12+'Sales Forecast'!J9*Assumptions!$H$12+'Sales Forecast'!I9*Assumptions!$I$12+'Sales Forecast'!O9*Assumptions!$C$13+'Sales Forecast'!N9*Assumptions!$D$13+'Sales Forecast'!M9*Assumptions!$E$13+'Sales Forecast'!L9*Assumptions!$F$13+'Sales Forecast'!K9*Assumptions!$G$13+'Sales Forecast'!J9*Assumptions!$H$13+'Sales Forecast'!I9*Assumptions!$I$13+1645.25)*Assumptions!$C$17</f>
        <v/>
      </c>
      <c r="P19" s="20">
        <f>('Sales Forecast'!P9*Assumptions!$C$12+'Sales Forecast'!O9*Assumptions!$D$12+'Sales Forecast'!N9*Assumptions!$E$12+'Sales Forecast'!M9*Assumptions!$F$12+'Sales Forecast'!L9*Assumptions!$G$12+'Sales Forecast'!K9*Assumptions!$H$12+'Sales Forecast'!J9*Assumptions!$I$12+'Sales Forecast'!P9*Assumptions!$C$13+'Sales Forecast'!O9*Assumptions!$D$13+'Sales Forecast'!N9*Assumptions!$E$13+'Sales Forecast'!M9*Assumptions!$F$13+'Sales Forecast'!L9*Assumptions!$G$13+'Sales Forecast'!K9*Assumptions!$H$13+'Sales Forecast'!J9*Assumptions!$I$13+1645.25)*Assumptions!$C$17</f>
        <v/>
      </c>
      <c r="Q19" s="20">
        <f>('Sales Forecast'!Q9*Assumptions!$C$12+'Sales Forecast'!P9*Assumptions!$D$12+'Sales Forecast'!O9*Assumptions!$E$12+'Sales Forecast'!N9*Assumptions!$F$12+'Sales Forecast'!M9*Assumptions!$G$12+'Sales Forecast'!L9*Assumptions!$H$12+'Sales Forecast'!K9*Assumptions!$I$12+'Sales Forecast'!Q9*Assumptions!$C$13+'Sales Forecast'!P9*Assumptions!$D$13+'Sales Forecast'!O9*Assumptions!$E$13+'Sales Forecast'!N9*Assumptions!$F$13+'Sales Forecast'!M9*Assumptions!$G$13+'Sales Forecast'!L9*Assumptions!$H$13+'Sales Forecast'!K9*Assumptions!$I$13+1645.25)*Assumptions!$C$17</f>
        <v/>
      </c>
      <c r="R19" s="20">
        <f>('Sales Forecast'!R9*Assumptions!$C$12+'Sales Forecast'!Q9*Assumptions!$D$12+'Sales Forecast'!P9*Assumptions!$E$12+'Sales Forecast'!O9*Assumptions!$F$12+'Sales Forecast'!N9*Assumptions!$G$12+'Sales Forecast'!M9*Assumptions!$H$12+'Sales Forecast'!L9*Assumptions!$I$12+'Sales Forecast'!R9*Assumptions!$C$13+'Sales Forecast'!Q9*Assumptions!$D$13+'Sales Forecast'!P9*Assumptions!$E$13+'Sales Forecast'!O9*Assumptions!$F$13+'Sales Forecast'!N9*Assumptions!$G$13+'Sales Forecast'!M9*Assumptions!$H$13+'Sales Forecast'!L9*Assumptions!$I$13+1645.25)*Assumptions!$C$17</f>
        <v/>
      </c>
      <c r="S19" s="20">
        <f>('Sales Forecast'!S9*Assumptions!$C$12+'Sales Forecast'!R9*Assumptions!$D$12+'Sales Forecast'!Q9*Assumptions!$E$12+'Sales Forecast'!P9*Assumptions!$F$12+'Sales Forecast'!O9*Assumptions!$G$12+'Sales Forecast'!N9*Assumptions!$H$12+'Sales Forecast'!M9*Assumptions!$I$12+'Sales Forecast'!S9*Assumptions!$C$13+'Sales Forecast'!R9*Assumptions!$D$13+'Sales Forecast'!Q9*Assumptions!$E$13+'Sales Forecast'!P9*Assumptions!$F$13+'Sales Forecast'!O9*Assumptions!$G$13+'Sales Forecast'!N9*Assumptions!$H$13+'Sales Forecast'!M9*Assumptions!$I$13+1645.25)*Assumptions!$C$17</f>
        <v/>
      </c>
      <c r="T19" s="20">
        <f>('Sales Forecast'!T9*Assumptions!$C$12+'Sales Forecast'!S9*Assumptions!$D$12+'Sales Forecast'!R9*Assumptions!$E$12+'Sales Forecast'!Q9*Assumptions!$F$12+'Sales Forecast'!P9*Assumptions!$G$12+'Sales Forecast'!O9*Assumptions!$H$12+'Sales Forecast'!N9*Assumptions!$I$12+'Sales Forecast'!T9*Assumptions!$C$13+'Sales Forecast'!S9*Assumptions!$D$13+'Sales Forecast'!R9*Assumptions!$E$13+'Sales Forecast'!Q9*Assumptions!$F$13+'Sales Forecast'!P9*Assumptions!$G$13+'Sales Forecast'!O9*Assumptions!$H$13+'Sales Forecast'!N9*Assumptions!$I$13+1645.25)*Assumptions!$C$17</f>
        <v/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Forecast'!O9*Assumptions!$I$12+'Sales Forecast'!U9*Assumptions!$C$13+'Sales Forecast'!T9*Assumptions!$D$13+'Sales Forecast'!S9*Assumptions!$E$13+'Sales Forecast'!R9*Assumptions!$F$13+'Sales Forecast'!Q9*Assumptions!$G$13+'Sales Forecast'!P9*Assumptions!$H$13+'Sales Forecast'!O9*Assumptions!$I$13+1645.25)*Assumptions!$C$17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</row>
    <row r="20">
      <c r="B20" s="33" t="inlineStr">
        <is>
          <t xml:space="preserve">  407000 Discounts</t>
        </is>
      </c>
      <c r="D20" s="19" t="n">
        <v>5418.12</v>
      </c>
      <c r="E20" s="19" t="n">
        <v>4627.69</v>
      </c>
      <c r="F20" s="19" t="n">
        <v>3450.62</v>
      </c>
      <c r="G20" s="19" t="n">
        <v>1711.84</v>
      </c>
      <c r="H20" s="88" t="n">
        <v>2900.5</v>
      </c>
      <c r="I20" s="20">
        <f>('Sales Forecast'!I9*Assumptions!$C$12+'Sales Forecast'!H9*Assumptions!$D$12+'Sales Forecast'!G9*Assumptions!$E$12+'Sales Forecast'!F9*Assumptions!$F$12+'Sales Forecast'!E9*Assumptions!$G$12+'Sales Forecast'!D9*Assumptions!$H$12+'Sales Forecast'!I9*Assumptions!$C$13+'Sales Forecast'!H9*Assumptions!$D$13+'Sales Forecast'!G9*Assumptions!$E$13+'Sales Forecast'!F9*Assumptions!$F$13+'Sales Forecast'!E9*Assumptions!$G$13+'Sales Forecast'!D9*Assumptions!$H$13+1645.25)*Assumptions!$C$18</f>
        <v/>
      </c>
      <c r="J20" s="20">
        <f>('Sales Forecast'!J9*Assumptions!$C$12+'Sales Forecast'!I9*Assumptions!$D$12+'Sales Forecast'!H9*Assumptions!$E$12+'Sales Forecast'!G9*Assumptions!$F$12+'Sales Forecast'!F9*Assumptions!$G$12+'Sales Forecast'!E9*Assumptions!$H$12+'Sales Forecast'!D9*Assumptions!$I$12+'Sales Forecast'!J9*Assumptions!$C$13+'Sales Forecast'!I9*Assumptions!$D$13+'Sales Forecast'!H9*Assumptions!$E$13+'Sales Forecast'!G9*Assumptions!$F$13+'Sales Forecast'!F9*Assumptions!$G$13+'Sales Forecast'!E9*Assumptions!$H$13+'Sales Forecast'!D9*Assumptions!$I$13+1645.25)*Assumptions!$C$18</f>
        <v/>
      </c>
      <c r="K20" s="20">
        <f>('Sales Forecast'!K9*Assumptions!$C$12+'Sales Forecast'!J9*Assumptions!$D$12+'Sales Forecast'!I9*Assumptions!$E$12+'Sales Forecast'!H9*Assumptions!$F$12+'Sales Forecast'!G9*Assumptions!$G$12+'Sales Forecast'!F9*Assumptions!$H$12+'Sales Forecast'!E9*Assumptions!$I$12+'Sales Forecast'!K9*Assumptions!$C$13+'Sales Forecast'!J9*Assumptions!$D$13+'Sales Forecast'!I9*Assumptions!$E$13+'Sales Forecast'!H9*Assumptions!$F$13+'Sales Forecast'!G9*Assumptions!$G$13+'Sales Forecast'!F9*Assumptions!$H$13+'Sales Forecast'!E9*Assumptions!$I$13+1645.25)*Assumptions!$C$18</f>
        <v/>
      </c>
      <c r="L20" s="20">
        <f>('Sales Forecast'!L9*Assumptions!$C$12+'Sales Forecast'!K9*Assumptions!$D$12+'Sales Forecast'!J9*Assumptions!$E$12+'Sales Forecast'!I9*Assumptions!$F$12+'Sales Forecast'!H9*Assumptions!$G$12+'Sales Forecast'!G9*Assumptions!$H$12+'Sales Forecast'!F9*Assumptions!$I$12+'Sales Forecast'!L9*Assumptions!$C$13+'Sales Forecast'!K9*Assumptions!$D$13+'Sales Forecast'!J9*Assumptions!$E$13+'Sales Forecast'!I9*Assumptions!$F$13+'Sales Forecast'!H9*Assumptions!$G$13+'Sales Forecast'!G9*Assumptions!$H$13+'Sales Forecast'!F9*Assumptions!$I$13+1645.25)*Assumptions!$C$18</f>
        <v/>
      </c>
      <c r="M20" s="20">
        <f>('Sales Forecast'!M9*Assumptions!$C$12+'Sales Forecast'!L9*Assumptions!$D$12+'Sales Forecast'!K9*Assumptions!$E$12+'Sales Forecast'!J9*Assumptions!$F$12+'Sales Forecast'!I9*Assumptions!$G$12+'Sales Forecast'!H9*Assumptions!$H$12+'Sales Forecast'!G9*Assumptions!$I$12+'Sales Forecast'!M9*Assumptions!$C$13+'Sales Forecast'!L9*Assumptions!$D$13+'Sales Forecast'!K9*Assumptions!$E$13+'Sales Forecast'!J9*Assumptions!$F$13+'Sales Forecast'!I9*Assumptions!$G$13+'Sales Forecast'!H9*Assumptions!$H$13+'Sales Forecast'!G9*Assumptions!$I$13+1645.25)*Assumptions!$C$18</f>
        <v/>
      </c>
      <c r="N20" s="20">
        <f>('Sales Forecast'!N9*Assumptions!$C$12+'Sales Forecast'!M9*Assumptions!$D$12+'Sales Forecast'!L9*Assumptions!$E$12+'Sales Forecast'!K9*Assumptions!$F$12+'Sales Forecast'!J9*Assumptions!$G$12+'Sales Forecast'!I9*Assumptions!$H$12+'Sales Forecast'!H9*Assumptions!$I$12+'Sales Forecast'!N9*Assumptions!$C$13+'Sales Forecast'!M9*Assumptions!$D$13+'Sales Forecast'!L9*Assumptions!$E$13+'Sales Forecast'!K9*Assumptions!$F$13+'Sales Forecast'!J9*Assumptions!$G$13+'Sales Forecast'!I9*Assumptions!$H$13+'Sales Forecast'!H9*Assumptions!$I$13+1645.25)*Assumptions!$C$18</f>
        <v/>
      </c>
      <c r="O20" s="20">
        <f>('Sales Forecast'!O9*Assumptions!$C$12+'Sales Forecast'!N9*Assumptions!$D$12+'Sales Forecast'!M9*Assumptions!$E$12+'Sales Forecast'!L9*Assumptions!$F$12+'Sales Forecast'!K9*Assumptions!$G$12+'Sales Forecast'!J9*Assumptions!$H$12+'Sales Forecast'!I9*Assumptions!$I$12+'Sales Forecast'!O9*Assumptions!$C$13+'Sales Forecast'!N9*Assumptions!$D$13+'Sales Forecast'!M9*Assumptions!$E$13+'Sales Forecast'!L9*Assumptions!$F$13+'Sales Forecast'!K9*Assumptions!$G$13+'Sales Forecast'!J9*Assumptions!$H$13+'Sales Forecast'!I9*Assumptions!$I$13+1645.25)*Assumptions!$C$18</f>
        <v/>
      </c>
      <c r="P20" s="20">
        <f>('Sales Forecast'!P9*Assumptions!$C$12+'Sales Forecast'!O9*Assumptions!$D$12+'Sales Forecast'!N9*Assumptions!$E$12+'Sales Forecast'!M9*Assumptions!$F$12+'Sales Forecast'!L9*Assumptions!$G$12+'Sales Forecast'!K9*Assumptions!$H$12+'Sales Forecast'!J9*Assumptions!$I$12+'Sales Forecast'!P9*Assumptions!$C$13+'Sales Forecast'!O9*Assumptions!$D$13+'Sales Forecast'!N9*Assumptions!$E$13+'Sales Forecast'!M9*Assumptions!$F$13+'Sales Forecast'!L9*Assumptions!$G$13+'Sales Forecast'!K9*Assumptions!$H$13+'Sales Forecast'!J9*Assumptions!$I$13+1645.25)*Assumptions!$C$18</f>
        <v/>
      </c>
      <c r="Q20" s="20">
        <f>('Sales Forecast'!Q9*Assumptions!$C$12+'Sales Forecast'!P9*Assumptions!$D$12+'Sales Forecast'!O9*Assumptions!$E$12+'Sales Forecast'!N9*Assumptions!$F$12+'Sales Forecast'!M9*Assumptions!$G$12+'Sales Forecast'!L9*Assumptions!$H$12+'Sales Forecast'!K9*Assumptions!$I$12+'Sales Forecast'!Q9*Assumptions!$C$13+'Sales Forecast'!P9*Assumptions!$D$13+'Sales Forecast'!O9*Assumptions!$E$13+'Sales Forecast'!N9*Assumptions!$F$13+'Sales Forecast'!M9*Assumptions!$G$13+'Sales Forecast'!L9*Assumptions!$H$13+'Sales Forecast'!K9*Assumptions!$I$13+1645.25)*Assumptions!$C$18</f>
        <v/>
      </c>
      <c r="R20" s="20">
        <f>('Sales Forecast'!R9*Assumptions!$C$12+'Sales Forecast'!Q9*Assumptions!$D$12+'Sales Forecast'!P9*Assumptions!$E$12+'Sales Forecast'!O9*Assumptions!$F$12+'Sales Forecast'!N9*Assumptions!$G$12+'Sales Forecast'!M9*Assumptions!$H$12+'Sales Forecast'!L9*Assumptions!$I$12+'Sales Forecast'!R9*Assumptions!$C$13+'Sales Forecast'!Q9*Assumptions!$D$13+'Sales Forecast'!P9*Assumptions!$E$13+'Sales Forecast'!O9*Assumptions!$F$13+'Sales Forecast'!N9*Assumptions!$G$13+'Sales Forecast'!M9*Assumptions!$H$13+'Sales Forecast'!L9*Assumptions!$I$13+1645.25)*Assumptions!$C$18</f>
        <v/>
      </c>
      <c r="S20" s="20">
        <f>('Sales Forecast'!S9*Assumptions!$C$12+'Sales Forecast'!R9*Assumptions!$D$12+'Sales Forecast'!Q9*Assumptions!$E$12+'Sales Forecast'!P9*Assumptions!$F$12+'Sales Forecast'!O9*Assumptions!$G$12+'Sales Forecast'!N9*Assumptions!$H$12+'Sales Forecast'!M9*Assumptions!$I$12+'Sales Forecast'!S9*Assumptions!$C$13+'Sales Forecast'!R9*Assumptions!$D$13+'Sales Forecast'!Q9*Assumptions!$E$13+'Sales Forecast'!P9*Assumptions!$F$13+'Sales Forecast'!O9*Assumptions!$G$13+'Sales Forecast'!N9*Assumptions!$H$13+'Sales Forecast'!M9*Assumptions!$I$13+1645.25)*Assumptions!$C$18</f>
        <v/>
      </c>
      <c r="T20" s="20">
        <f>('Sales Forecast'!T9*Assumptions!$C$12+'Sales Forecast'!S9*Assumptions!$D$12+'Sales Forecast'!R9*Assumptions!$E$12+'Sales Forecast'!Q9*Assumptions!$F$12+'Sales Forecast'!P9*Assumptions!$G$12+'Sales Forecast'!O9*Assumptions!$H$12+'Sales Forecast'!N9*Assumptions!$I$12+'Sales Forecast'!T9*Assumptions!$C$13+'Sales Forecast'!S9*Assumptions!$D$13+'Sales Forecast'!R9*Assumptions!$E$13+'Sales Forecast'!Q9*Assumptions!$F$13+'Sales Forecast'!P9*Assumptions!$G$13+'Sales Forecast'!O9*Assumptions!$H$13+'Sales Forecast'!N9*Assumptions!$I$13+1645.25)*Assumptions!$C$18</f>
        <v/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Forecast'!O9*Assumptions!$I$12+'Sales Forecast'!U9*Assumptions!$C$13+'Sales Forecast'!T9*Assumptions!$D$13+'Sales Forecast'!S9*Assumptions!$E$13+'Sales Forecast'!R9*Assumptions!$F$13+'Sales Forecast'!Q9*Assumptions!$G$13+'Sales Forecast'!P9*Assumptions!$H$13+'Sales Forecast'!O9*Assumptions!$I$13+1645.25)*Assumptions!$C$18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100772.69</v>
      </c>
      <c r="E21" s="35" t="n">
        <v>90426.73999999999</v>
      </c>
      <c r="F21" s="35" t="n">
        <v>92102.12</v>
      </c>
      <c r="G21" s="35" t="n">
        <v>85355.86</v>
      </c>
      <c r="H21" s="89" t="n">
        <v>88747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835</v>
      </c>
      <c r="E23" s="19" t="n">
        <v>1074.6</v>
      </c>
      <c r="F23" s="19" t="n">
        <v>705.1</v>
      </c>
      <c r="G23" s="19" t="n">
        <v>624.5</v>
      </c>
      <c r="H23" s="88" t="n">
        <v>598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2579.82</v>
      </c>
      <c r="E24" s="19" t="n">
        <v>3530.53</v>
      </c>
      <c r="F24" s="19" t="n">
        <v>2373.25</v>
      </c>
      <c r="G24" s="19" t="n">
        <v>2899.72</v>
      </c>
      <c r="H24" s="88" t="n">
        <v>1998.34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3414.82</v>
      </c>
      <c r="E25" s="35" t="n">
        <v>4605.13</v>
      </c>
      <c r="F25" s="35" t="n">
        <v>3078.35</v>
      </c>
      <c r="G25" s="35" t="n">
        <v>3524.22</v>
      </c>
      <c r="H25" s="89" t="n">
        <v>2596.34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97357.87</v>
      </c>
      <c r="E26" s="35" t="n">
        <v>85821.60999999999</v>
      </c>
      <c r="F26" s="35" t="n">
        <v>89023.76999999999</v>
      </c>
      <c r="G26" s="35" t="n">
        <v>81831.64</v>
      </c>
      <c r="H26" s="89" t="n">
        <v>86150.66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1659.29</v>
      </c>
      <c r="E28" s="19" t="n">
        <v>451.8</v>
      </c>
      <c r="F28" s="19" t="n">
        <v>0</v>
      </c>
      <c r="G28" s="19" t="n">
        <v>0</v>
      </c>
      <c r="H28" s="88" t="n">
        <v>0</v>
      </c>
      <c r="I28" s="20" t="n">
        <v>196.71</v>
      </c>
      <c r="J28" s="20" t="n">
        <v>196.71</v>
      </c>
      <c r="K28" s="20" t="n">
        <v>196.71</v>
      </c>
      <c r="L28" s="20" t="n">
        <v>196.71</v>
      </c>
      <c r="M28" s="20" t="n">
        <v>196.71</v>
      </c>
      <c r="N28" s="20" t="n">
        <v>196.71</v>
      </c>
      <c r="O28" s="20" t="n">
        <v>196.71</v>
      </c>
      <c r="P28" s="20" t="n">
        <v>196.71</v>
      </c>
      <c r="Q28" s="20" t="n">
        <v>196.71</v>
      </c>
      <c r="R28" s="20" t="n">
        <v>196.71</v>
      </c>
      <c r="S28" s="20" t="n">
        <v>196.71</v>
      </c>
      <c r="T28" s="20" t="n">
        <v>196.71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1545</v>
      </c>
      <c r="E30" s="19" t="n">
        <v>1545</v>
      </c>
      <c r="F30" s="19" t="n">
        <v>1545</v>
      </c>
      <c r="G30" s="19" t="n">
        <v>1500</v>
      </c>
      <c r="H30" s="88" t="n">
        <v>1545</v>
      </c>
      <c r="I30" s="20" t="n">
        <v>571.67</v>
      </c>
      <c r="J30" s="20" t="n">
        <v>571.67</v>
      </c>
      <c r="K30" s="20" t="n">
        <v>571.67</v>
      </c>
      <c r="L30" s="20" t="n">
        <v>571.67</v>
      </c>
      <c r="M30" s="20" t="n">
        <v>571.67</v>
      </c>
      <c r="N30" s="20" t="n">
        <v>571.67</v>
      </c>
      <c r="O30" s="20" t="n">
        <v>571.67</v>
      </c>
      <c r="P30" s="20" t="n">
        <v>571.67</v>
      </c>
      <c r="Q30" s="20" t="n">
        <v>571.67</v>
      </c>
      <c r="R30" s="20" t="n">
        <v>571.67</v>
      </c>
      <c r="S30" s="20" t="n">
        <v>571.67</v>
      </c>
      <c r="T30" s="20" t="n">
        <v>571.67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3204.29</v>
      </c>
      <c r="E33" s="35" t="n">
        <v>1996.8</v>
      </c>
      <c r="F33" s="35" t="n">
        <v>1545</v>
      </c>
      <c r="G33" s="35" t="n">
        <v>1500</v>
      </c>
      <c r="H33" s="89" t="n">
        <v>1545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21165.95</v>
      </c>
      <c r="E34" s="19" t="n">
        <v>21061.06</v>
      </c>
      <c r="F34" s="19" t="n">
        <v>23273</v>
      </c>
      <c r="G34" s="19" t="n">
        <v>21721.66</v>
      </c>
      <c r="H34" s="88" t="n">
        <v>22022.2</v>
      </c>
      <c r="I34" s="20" t="n">
        <v>29266.9</v>
      </c>
      <c r="J34" s="20" t="n">
        <v>20907.65</v>
      </c>
      <c r="K34" s="20" t="n">
        <v>20892.82</v>
      </c>
      <c r="L34" s="20" t="n">
        <v>20893.15</v>
      </c>
      <c r="M34" s="20" t="n">
        <v>25064.56</v>
      </c>
      <c r="N34" s="20" t="n">
        <v>28427.82</v>
      </c>
      <c r="O34" s="20" t="n">
        <v>33492.2</v>
      </c>
      <c r="P34" s="20" t="n">
        <v>32207.21</v>
      </c>
      <c r="Q34" s="20" t="n">
        <v>34133.24</v>
      </c>
      <c r="R34" s="20" t="n">
        <v>32209.54</v>
      </c>
      <c r="S34" s="20" t="n">
        <v>32170.29</v>
      </c>
      <c r="T34" s="20" t="n">
        <v>32385.91</v>
      </c>
      <c r="U34" s="20" t="n">
        <v>32179.51</v>
      </c>
      <c r="V34" s="20" t="n">
        <v>32132.91</v>
      </c>
      <c r="W34" s="20" t="n">
        <v>32117.34</v>
      </c>
      <c r="X34" s="20" t="n">
        <v>32117.69</v>
      </c>
      <c r="Y34" s="20" t="n">
        <v>32132.37</v>
      </c>
      <c r="Z34" s="20" t="n">
        <v>32171.54</v>
      </c>
      <c r="AA34" s="20" t="n">
        <v>32339.7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</row>
    <row r="35">
      <c r="B35" s="33" t="inlineStr">
        <is>
          <t xml:space="preserve">  602004 Payroll Taxes</t>
        </is>
      </c>
      <c r="D35" s="19" t="n">
        <v>4835.4</v>
      </c>
      <c r="E35" s="19" t="n">
        <v>2642.34</v>
      </c>
      <c r="F35" s="19" t="n">
        <v>2753.25</v>
      </c>
      <c r="G35" s="19" t="n">
        <v>2243.53</v>
      </c>
      <c r="H35" s="88" t="n">
        <v>2061.22</v>
      </c>
      <c r="I35" s="20" t="n">
        <v>4185.78</v>
      </c>
      <c r="J35" s="20" t="n">
        <v>2990.23</v>
      </c>
      <c r="K35" s="20" t="n">
        <v>2988.11</v>
      </c>
      <c r="L35" s="20" t="n">
        <v>2988.16</v>
      </c>
      <c r="M35" s="20" t="n">
        <v>3584.76</v>
      </c>
      <c r="N35" s="20" t="n">
        <v>4065.77</v>
      </c>
      <c r="O35" s="20" t="n">
        <v>4790.08</v>
      </c>
      <c r="P35" s="20" t="n">
        <v>4606.3</v>
      </c>
      <c r="Q35" s="20" t="n">
        <v>4881.77</v>
      </c>
      <c r="R35" s="20" t="n">
        <v>4606.64</v>
      </c>
      <c r="S35" s="20" t="n">
        <v>4601.02</v>
      </c>
      <c r="T35" s="20" t="n">
        <v>4631.86</v>
      </c>
      <c r="U35" s="20" t="n">
        <v>4602.34</v>
      </c>
      <c r="V35" s="20" t="n">
        <v>4595.68</v>
      </c>
      <c r="W35" s="20" t="n">
        <v>4593.45</v>
      </c>
      <c r="X35" s="20" t="n">
        <v>4593.5</v>
      </c>
      <c r="Y35" s="20" t="n">
        <v>4595.6</v>
      </c>
      <c r="Z35" s="20" t="n">
        <v>4601.2</v>
      </c>
      <c r="AA35" s="20" t="n">
        <v>4625.25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</row>
    <row r="36">
      <c r="B36" s="33" t="inlineStr">
        <is>
          <t xml:space="preserve">  602005 Employee Benefits</t>
        </is>
      </c>
      <c r="D36" s="19" t="n">
        <v>634.33</v>
      </c>
      <c r="E36" s="19" t="n">
        <v>206</v>
      </c>
      <c r="F36" s="19" t="n">
        <v>0</v>
      </c>
      <c r="G36" s="19" t="n">
        <v>0</v>
      </c>
      <c r="H36" s="88" t="n">
        <v>0</v>
      </c>
      <c r="I36" s="20" t="n">
        <v>281.97</v>
      </c>
      <c r="J36" s="20" t="n">
        <v>201.43</v>
      </c>
      <c r="K36" s="20" t="n">
        <v>201.29</v>
      </c>
      <c r="L36" s="20" t="n">
        <v>201.29</v>
      </c>
      <c r="M36" s="20" t="n">
        <v>241.48</v>
      </c>
      <c r="N36" s="20" t="n">
        <v>273.89</v>
      </c>
      <c r="O36" s="20" t="n">
        <v>322.68</v>
      </c>
      <c r="P36" s="20" t="n">
        <v>310.3</v>
      </c>
      <c r="Q36" s="20" t="n">
        <v>328.85</v>
      </c>
      <c r="R36" s="20" t="n">
        <v>310.32</v>
      </c>
      <c r="S36" s="20" t="n">
        <v>309.94</v>
      </c>
      <c r="T36" s="20" t="n">
        <v>312.02</v>
      </c>
      <c r="U36" s="20" t="n">
        <v>310.03</v>
      </c>
      <c r="V36" s="20" t="n">
        <v>309.58</v>
      </c>
      <c r="W36" s="20" t="n">
        <v>309.43</v>
      </c>
      <c r="X36" s="20" t="n">
        <v>309.44</v>
      </c>
      <c r="Y36" s="20" t="n">
        <v>309.58</v>
      </c>
      <c r="Z36" s="20" t="n">
        <v>309.95</v>
      </c>
      <c r="AA36" s="20" t="n">
        <v>311.57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</row>
    <row r="37">
      <c r="B37" s="33" t="inlineStr">
        <is>
          <t xml:space="preserve">  602010 Payroll Processing Fees</t>
        </is>
      </c>
      <c r="D37" s="19" t="n">
        <v>818.09</v>
      </c>
      <c r="E37" s="19" t="n">
        <v>1030.17</v>
      </c>
      <c r="F37" s="19" t="n">
        <v>1515.78</v>
      </c>
      <c r="G37" s="19" t="n">
        <v>997.83</v>
      </c>
      <c r="H37" s="88" t="n">
        <v>1015.54</v>
      </c>
      <c r="I37" s="20" t="n">
        <v>1463.61</v>
      </c>
      <c r="J37" s="20" t="n">
        <v>1045.57</v>
      </c>
      <c r="K37" s="20" t="n">
        <v>1044.83</v>
      </c>
      <c r="L37" s="20" t="n">
        <v>1044.85</v>
      </c>
      <c r="M37" s="20" t="n">
        <v>1253.45</v>
      </c>
      <c r="N37" s="20" t="n">
        <v>1421.65</v>
      </c>
      <c r="O37" s="20" t="n">
        <v>1674.91</v>
      </c>
      <c r="P37" s="20" t="n">
        <v>1610.65</v>
      </c>
      <c r="Q37" s="20" t="n">
        <v>1706.97</v>
      </c>
      <c r="R37" s="20" t="n">
        <v>1610.77</v>
      </c>
      <c r="S37" s="20" t="n">
        <v>1608.8</v>
      </c>
      <c r="T37" s="20" t="n">
        <v>1619.59</v>
      </c>
      <c r="U37" s="20" t="n">
        <v>1609.27</v>
      </c>
      <c r="V37" s="20" t="n">
        <v>1606.94</v>
      </c>
      <c r="W37" s="20" t="n">
        <v>1606.16</v>
      </c>
      <c r="X37" s="20" t="n">
        <v>1606.17</v>
      </c>
      <c r="Y37" s="20" t="n">
        <v>1606.91</v>
      </c>
      <c r="Z37" s="20" t="n">
        <v>1608.87</v>
      </c>
      <c r="AA37" s="20" t="n">
        <v>1617.28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</row>
    <row r="38">
      <c r="B38" s="32" t="inlineStr">
        <is>
          <t>Total Payroll</t>
        </is>
      </c>
      <c r="C38" s="34" t="n"/>
      <c r="D38" s="35" t="n">
        <v>27453.77</v>
      </c>
      <c r="E38" s="35" t="n">
        <v>24939.57</v>
      </c>
      <c r="F38" s="35" t="n">
        <v>27542.03</v>
      </c>
      <c r="G38" s="35" t="n">
        <v>24963.02</v>
      </c>
      <c r="H38" s="89" t="n">
        <v>25098.96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792.58</v>
      </c>
      <c r="E39" s="19" t="n">
        <v>1366.94</v>
      </c>
      <c r="F39" s="19" t="n">
        <v>755.88</v>
      </c>
      <c r="G39" s="19" t="n">
        <v>770.66</v>
      </c>
      <c r="H39" s="88" t="n">
        <v>761.26</v>
      </c>
      <c r="I39" s="20" t="n">
        <v>759.13</v>
      </c>
      <c r="J39" s="20" t="n">
        <v>759.13</v>
      </c>
      <c r="K39" s="20" t="n">
        <v>759.13</v>
      </c>
      <c r="L39" s="20" t="n">
        <v>759.13</v>
      </c>
      <c r="M39" s="20" t="n">
        <v>759.13</v>
      </c>
      <c r="N39" s="20" t="n">
        <v>759.13</v>
      </c>
      <c r="O39" s="20" t="n">
        <v>759.13</v>
      </c>
      <c r="P39" s="20" t="n">
        <v>759.13</v>
      </c>
      <c r="Q39" s="20" t="n">
        <v>759.13</v>
      </c>
      <c r="R39" s="20" t="n">
        <v>759.13</v>
      </c>
      <c r="S39" s="20" t="n">
        <v>759.13</v>
      </c>
      <c r="T39" s="20" t="n">
        <v>759.13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</row>
    <row r="40">
      <c r="B40" s="33" t="inlineStr">
        <is>
          <t xml:space="preserve">  608000 Insurance</t>
        </is>
      </c>
      <c r="D40" s="19" t="n">
        <v>67.5</v>
      </c>
      <c r="E40" s="19" t="n">
        <v>67.5</v>
      </c>
      <c r="F40" s="19" t="n">
        <v>164.59</v>
      </c>
      <c r="G40" s="19" t="n">
        <v>164.59</v>
      </c>
      <c r="H40" s="88" t="n">
        <v>208.1</v>
      </c>
      <c r="I40" s="20" t="n">
        <v>95.59999999999999</v>
      </c>
      <c r="J40" s="20" t="n">
        <v>95.59999999999999</v>
      </c>
      <c r="K40" s="20" t="n">
        <v>95.59999999999999</v>
      </c>
      <c r="L40" s="20" t="n">
        <v>95.59999999999999</v>
      </c>
      <c r="M40" s="20" t="n">
        <v>95.59999999999999</v>
      </c>
      <c r="N40" s="20" t="n">
        <v>95.59999999999999</v>
      </c>
      <c r="O40" s="20" t="n">
        <v>95.59999999999999</v>
      </c>
      <c r="P40" s="20" t="n">
        <v>95.59999999999999</v>
      </c>
      <c r="Q40" s="20" t="n">
        <v>95.59999999999999</v>
      </c>
      <c r="R40" s="20" t="n">
        <v>95.59999999999999</v>
      </c>
      <c r="S40" s="20" t="n">
        <v>95.59999999999999</v>
      </c>
      <c r="T40" s="20" t="n">
        <v>95.59999999999999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</row>
    <row r="41">
      <c r="B41" s="33" t="inlineStr">
        <is>
          <t xml:space="preserve">  610000 Office Supplies</t>
        </is>
      </c>
      <c r="D41" s="19" t="n">
        <v>532.15</v>
      </c>
      <c r="E41" s="19" t="n">
        <v>145.94</v>
      </c>
      <c r="F41" s="19" t="n">
        <v>707.47</v>
      </c>
      <c r="G41" s="19" t="n">
        <v>1234.71</v>
      </c>
      <c r="H41" s="88" t="n">
        <v>0</v>
      </c>
      <c r="I41" s="20" t="n">
        <v>539.63</v>
      </c>
      <c r="J41" s="20" t="n">
        <v>539.63</v>
      </c>
      <c r="K41" s="20" t="n">
        <v>539.63</v>
      </c>
      <c r="L41" s="20" t="n">
        <v>539.63</v>
      </c>
      <c r="M41" s="20" t="n">
        <v>539.63</v>
      </c>
      <c r="N41" s="20" t="n">
        <v>539.63</v>
      </c>
      <c r="O41" s="20" t="n">
        <v>539.63</v>
      </c>
      <c r="P41" s="20" t="n">
        <v>539.63</v>
      </c>
      <c r="Q41" s="20" t="n">
        <v>539.63</v>
      </c>
      <c r="R41" s="20" t="n">
        <v>539.63</v>
      </c>
      <c r="S41" s="20" t="n">
        <v>539.63</v>
      </c>
      <c r="T41" s="20" t="n">
        <v>539.63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483.62</v>
      </c>
      <c r="F44" s="19" t="n">
        <v>0</v>
      </c>
      <c r="G44" s="19" t="n">
        <v>0</v>
      </c>
      <c r="H44" s="88" t="n">
        <v>1116.82</v>
      </c>
      <c r="I44" s="20" t="n">
        <v>97.95</v>
      </c>
      <c r="J44" s="20" t="n">
        <v>97.95</v>
      </c>
      <c r="K44" s="20" t="n">
        <v>97.95</v>
      </c>
      <c r="L44" s="20" t="n">
        <v>97.95</v>
      </c>
      <c r="M44" s="20" t="n">
        <v>97.95</v>
      </c>
      <c r="N44" s="20" t="n">
        <v>97.95</v>
      </c>
      <c r="O44" s="20" t="n">
        <v>97.95</v>
      </c>
      <c r="P44" s="20" t="n">
        <v>97.95</v>
      </c>
      <c r="Q44" s="20" t="n">
        <v>97.95</v>
      </c>
      <c r="R44" s="20" t="n">
        <v>97.95</v>
      </c>
      <c r="S44" s="20" t="n">
        <v>97.95</v>
      </c>
      <c r="T44" s="20" t="n">
        <v>97.95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418.05</v>
      </c>
      <c r="J46" s="20" t="n">
        <v>418.05</v>
      </c>
      <c r="K46" s="20" t="n">
        <v>418.05</v>
      </c>
      <c r="L46" s="20" t="n">
        <v>418.05</v>
      </c>
      <c r="M46" s="20" t="n">
        <v>418.05</v>
      </c>
      <c r="N46" s="20" t="n">
        <v>418.05</v>
      </c>
      <c r="O46" s="20" t="n">
        <v>418.05</v>
      </c>
      <c r="P46" s="20" t="n">
        <v>418.05</v>
      </c>
      <c r="Q46" s="20" t="n">
        <v>418.05</v>
      </c>
      <c r="R46" s="20" t="n">
        <v>418.05</v>
      </c>
      <c r="S46" s="20" t="n">
        <v>418.05</v>
      </c>
      <c r="T46" s="20" t="n">
        <v>418.05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999.62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16.6</v>
      </c>
      <c r="E49" s="19" t="n">
        <v>56.29</v>
      </c>
      <c r="F49" s="19" t="n">
        <v>154.91</v>
      </c>
      <c r="G49" s="19" t="n">
        <v>39.75</v>
      </c>
      <c r="H49" s="88" t="n">
        <v>106.43</v>
      </c>
      <c r="I49" s="20" t="n">
        <v>16.6</v>
      </c>
      <c r="J49" s="20" t="n">
        <v>16.6</v>
      </c>
      <c r="K49" s="20" t="n">
        <v>16.6</v>
      </c>
      <c r="L49" s="20" t="n">
        <v>16.6</v>
      </c>
      <c r="M49" s="20" t="n">
        <v>16.6</v>
      </c>
      <c r="N49" s="20" t="n">
        <v>16.6</v>
      </c>
      <c r="O49" s="20" t="n">
        <v>16.6</v>
      </c>
      <c r="P49" s="20" t="n">
        <v>16.6</v>
      </c>
      <c r="Q49" s="20" t="n">
        <v>16.6</v>
      </c>
      <c r="R49" s="20" t="n">
        <v>16.6</v>
      </c>
      <c r="S49" s="20" t="n">
        <v>16.6</v>
      </c>
      <c r="T49" s="20" t="n">
        <v>16.6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448.53</v>
      </c>
      <c r="E51" s="19" t="n">
        <v>579.83</v>
      </c>
      <c r="F51" s="19" t="n">
        <v>441.58</v>
      </c>
      <c r="G51" s="19" t="n">
        <v>418.22</v>
      </c>
      <c r="H51" s="88" t="n">
        <v>387.4</v>
      </c>
      <c r="I51" s="20" t="n">
        <v>459.2</v>
      </c>
      <c r="J51" s="20" t="n">
        <v>459.2</v>
      </c>
      <c r="K51" s="20" t="n">
        <v>459.2</v>
      </c>
      <c r="L51" s="20" t="n">
        <v>459.2</v>
      </c>
      <c r="M51" s="20" t="n">
        <v>459.2</v>
      </c>
      <c r="N51" s="20" t="n">
        <v>459.2</v>
      </c>
      <c r="O51" s="20" t="n">
        <v>459.2</v>
      </c>
      <c r="P51" s="20" t="n">
        <v>459.2</v>
      </c>
      <c r="Q51" s="20" t="n">
        <v>459.2</v>
      </c>
      <c r="R51" s="20" t="n">
        <v>459.2</v>
      </c>
      <c r="S51" s="20" t="n">
        <v>459.2</v>
      </c>
      <c r="T51" s="20" t="n">
        <v>459.2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</row>
    <row r="52">
      <c r="B52" s="33" t="inlineStr">
        <is>
          <t xml:space="preserve">  616002 Internet &amp; TV</t>
        </is>
      </c>
      <c r="D52" s="19" t="n">
        <v>306.79</v>
      </c>
      <c r="E52" s="19" t="n">
        <v>306.79</v>
      </c>
      <c r="F52" s="19" t="n">
        <v>306.79</v>
      </c>
      <c r="G52" s="19" t="n">
        <v>306.79</v>
      </c>
      <c r="H52" s="88" t="n">
        <v>0</v>
      </c>
      <c r="I52" s="20" t="n">
        <v>298.45</v>
      </c>
      <c r="J52" s="20" t="n">
        <v>298.45</v>
      </c>
      <c r="K52" s="20" t="n">
        <v>298.45</v>
      </c>
      <c r="L52" s="20" t="n">
        <v>298.45</v>
      </c>
      <c r="M52" s="20" t="n">
        <v>298.45</v>
      </c>
      <c r="N52" s="20" t="n">
        <v>298.45</v>
      </c>
      <c r="O52" s="20" t="n">
        <v>298.45</v>
      </c>
      <c r="P52" s="20" t="n">
        <v>298.45</v>
      </c>
      <c r="Q52" s="20" t="n">
        <v>298.45</v>
      </c>
      <c r="R52" s="20" t="n">
        <v>298.45</v>
      </c>
      <c r="S52" s="20" t="n">
        <v>298.45</v>
      </c>
      <c r="T52" s="20" t="n">
        <v>298.45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</row>
    <row r="53">
      <c r="B53" s="33" t="inlineStr">
        <is>
          <t xml:space="preserve">  616003 Phone service</t>
        </is>
      </c>
      <c r="D53" s="19" t="n">
        <v>86.95</v>
      </c>
      <c r="E53" s="19" t="n">
        <v>87.11</v>
      </c>
      <c r="F53" s="19" t="n">
        <v>86.36</v>
      </c>
      <c r="G53" s="19" t="n">
        <v>87.53</v>
      </c>
      <c r="H53" s="88" t="n">
        <v>81.05</v>
      </c>
      <c r="I53" s="20" t="n">
        <v>84.62</v>
      </c>
      <c r="J53" s="20" t="n">
        <v>84.62</v>
      </c>
      <c r="K53" s="20" t="n">
        <v>84.62</v>
      </c>
      <c r="L53" s="20" t="n">
        <v>84.62</v>
      </c>
      <c r="M53" s="20" t="n">
        <v>84.62</v>
      </c>
      <c r="N53" s="20" t="n">
        <v>84.62</v>
      </c>
      <c r="O53" s="20" t="n">
        <v>84.62</v>
      </c>
      <c r="P53" s="20" t="n">
        <v>84.62</v>
      </c>
      <c r="Q53" s="20" t="n">
        <v>84.62</v>
      </c>
      <c r="R53" s="20" t="n">
        <v>84.62</v>
      </c>
      <c r="S53" s="20" t="n">
        <v>84.62</v>
      </c>
      <c r="T53" s="20" t="n">
        <v>84.62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842.27</v>
      </c>
      <c r="E56" s="35" t="n">
        <v>973.73</v>
      </c>
      <c r="F56" s="35" t="n">
        <v>834.73</v>
      </c>
      <c r="G56" s="35" t="n">
        <v>812.54</v>
      </c>
      <c r="H56" s="89" t="n">
        <v>775.24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88" t="n">
        <v>8175.32</v>
      </c>
      <c r="I57" s="20" t="n">
        <v>7745.76</v>
      </c>
      <c r="J57" s="20" t="n">
        <v>7745.76</v>
      </c>
      <c r="K57" s="20" t="n">
        <v>7745.76</v>
      </c>
      <c r="L57" s="20" t="n">
        <v>7745.76</v>
      </c>
      <c r="M57" s="20" t="n">
        <v>7745.76</v>
      </c>
      <c r="N57" s="20" t="n">
        <v>7745.76</v>
      </c>
      <c r="O57" s="20" t="n">
        <v>7745.76</v>
      </c>
      <c r="P57" s="20" t="n">
        <v>7745.76</v>
      </c>
      <c r="Q57" s="20" t="n">
        <v>7745.76</v>
      </c>
      <c r="R57" s="20" t="n">
        <v>7745.76</v>
      </c>
      <c r="S57" s="20" t="n">
        <v>7745.76</v>
      </c>
      <c r="T57" s="20" t="n">
        <v>7745.76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101.24</v>
      </c>
      <c r="E59" s="19" t="n">
        <v>-3.41</v>
      </c>
      <c r="F59" s="19" t="n">
        <v>652.9299999999999</v>
      </c>
      <c r="G59" s="19" t="n">
        <v>434.78</v>
      </c>
      <c r="H59" s="88" t="n">
        <v>385.42</v>
      </c>
      <c r="I59" s="20" t="n">
        <v>289.44</v>
      </c>
      <c r="J59" s="20" t="n">
        <v>289.44</v>
      </c>
      <c r="K59" s="20" t="n">
        <v>289.44</v>
      </c>
      <c r="L59" s="20" t="n">
        <v>289.44</v>
      </c>
      <c r="M59" s="20" t="n">
        <v>289.44</v>
      </c>
      <c r="N59" s="20" t="n">
        <v>289.44</v>
      </c>
      <c r="O59" s="20" t="n">
        <v>289.44</v>
      </c>
      <c r="P59" s="20" t="n">
        <v>289.44</v>
      </c>
      <c r="Q59" s="20" t="n">
        <v>289.44</v>
      </c>
      <c r="R59" s="20" t="n">
        <v>289.44</v>
      </c>
      <c r="S59" s="20" t="n">
        <v>289.44</v>
      </c>
      <c r="T59" s="20" t="n">
        <v>289.44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</row>
    <row r="60">
      <c r="B60" s="33" t="inlineStr">
        <is>
          <t xml:space="preserve">  705000 Property Maintenance</t>
        </is>
      </c>
      <c r="D60" s="19" t="n">
        <v>2889.56</v>
      </c>
      <c r="E60" s="19" t="n">
        <v>2889.56</v>
      </c>
      <c r="F60" s="19" t="n">
        <v>3151.05</v>
      </c>
      <c r="G60" s="19" t="n">
        <v>3151.05</v>
      </c>
      <c r="H60" s="88" t="n">
        <v>3151.05</v>
      </c>
      <c r="I60" s="20" t="n">
        <v>2932.71</v>
      </c>
      <c r="J60" s="20" t="n">
        <v>2932.71</v>
      </c>
      <c r="K60" s="20" t="n">
        <v>2932.71</v>
      </c>
      <c r="L60" s="20" t="n">
        <v>2932.71</v>
      </c>
      <c r="M60" s="20" t="n">
        <v>2932.71</v>
      </c>
      <c r="N60" s="20" t="n">
        <v>2932.71</v>
      </c>
      <c r="O60" s="20" t="n">
        <v>2932.71</v>
      </c>
      <c r="P60" s="20" t="n">
        <v>2932.71</v>
      </c>
      <c r="Q60" s="20" t="n">
        <v>2932.71</v>
      </c>
      <c r="R60" s="20" t="n">
        <v>2932.71</v>
      </c>
      <c r="S60" s="20" t="n">
        <v>2932.71</v>
      </c>
      <c r="T60" s="20" t="n">
        <v>2932.71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</row>
    <row r="61">
      <c r="B61" s="32" t="inlineStr">
        <is>
          <t>Total Property Costs</t>
        </is>
      </c>
      <c r="C61" s="34" t="n"/>
      <c r="D61" s="35" t="n">
        <v>10967.91</v>
      </c>
      <c r="E61" s="35" t="n">
        <v>10863.26</v>
      </c>
      <c r="F61" s="35" t="n">
        <v>11781.09</v>
      </c>
      <c r="G61" s="35" t="n">
        <v>11562.94</v>
      </c>
      <c r="H61" s="89" t="n">
        <v>11711.79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44393.07000000001</v>
      </c>
      <c r="E62" s="35" t="n">
        <v>41425.24999999999</v>
      </c>
      <c r="F62" s="35" t="n">
        <v>44001.7</v>
      </c>
      <c r="G62" s="35" t="n">
        <v>41564.21</v>
      </c>
      <c r="H62" s="89" t="n">
        <v>42742.29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52964.79999999999</v>
      </c>
      <c r="E63" s="35" t="n">
        <v>44396.35999999999</v>
      </c>
      <c r="F63" s="35" t="n">
        <v>45022.06999999999</v>
      </c>
      <c r="G63" s="35" t="n">
        <v>40267.43</v>
      </c>
      <c r="H63" s="89" t="n">
        <v>43408.37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4879.31</v>
      </c>
      <c r="E65" s="19" t="n">
        <v>4879.31</v>
      </c>
      <c r="F65" s="19" t="n">
        <v>4879.31</v>
      </c>
      <c r="G65" s="19" t="n">
        <v>4879.31</v>
      </c>
      <c r="H65" s="88" t="n">
        <v>4879.31</v>
      </c>
      <c r="I65" s="20">
        <f>I69*0.724626</f>
        <v/>
      </c>
      <c r="J65" s="20">
        <f>J69*0.724626</f>
        <v/>
      </c>
      <c r="K65" s="20">
        <f>K69*0.724626</f>
        <v/>
      </c>
      <c r="L65" s="20">
        <f>L69*0.724626</f>
        <v/>
      </c>
      <c r="M65" s="20">
        <f>M69*0.724626</f>
        <v/>
      </c>
      <c r="N65" s="20">
        <f>N69*0.724626</f>
        <v/>
      </c>
      <c r="O65" s="20">
        <f>O69*0.724626</f>
        <v/>
      </c>
      <c r="P65" s="20">
        <f>P69*0.724626</f>
        <v/>
      </c>
      <c r="Q65" s="20">
        <f>Q69*0.724626</f>
        <v/>
      </c>
      <c r="R65" s="20">
        <f>R69*0.724626</f>
        <v/>
      </c>
      <c r="S65" s="20">
        <f>S69*0.724626</f>
        <v/>
      </c>
      <c r="T65" s="20">
        <f>T69*0.724626</f>
        <v/>
      </c>
      <c r="U65" s="20">
        <f>U69*0.724626</f>
        <v/>
      </c>
      <c r="V65" s="20">
        <f>V69*0.724626</f>
        <v/>
      </c>
      <c r="W65" s="20">
        <f>W69*0.724626</f>
        <v/>
      </c>
      <c r="X65" s="20">
        <f>X69*0.724626</f>
        <v/>
      </c>
      <c r="Y65" s="20">
        <f>Y69*0.724626</f>
        <v/>
      </c>
      <c r="Z65" s="20">
        <f>Z69*0.724626</f>
        <v/>
      </c>
      <c r="AA65" s="20">
        <f>AA69*0.724626</f>
        <v/>
      </c>
      <c r="AB65" s="20">
        <f>AB69*0.724626</f>
        <v/>
      </c>
      <c r="AC65" s="20">
        <f>AC69*0.724626</f>
        <v/>
      </c>
      <c r="AD65" s="20">
        <f>AD69*0.724626</f>
        <v/>
      </c>
      <c r="AE65" s="20">
        <f>AE69*0.724626</f>
        <v/>
      </c>
      <c r="AF65" s="20">
        <f>AF69*0.724626</f>
        <v/>
      </c>
      <c r="AG65" s="20">
        <f>AG69*0.724626</f>
        <v/>
      </c>
      <c r="AH65" s="20">
        <f>AH69*0.724626</f>
        <v/>
      </c>
      <c r="AI65" s="20">
        <f>AI69*0.724626</f>
        <v/>
      </c>
      <c r="AJ65" s="20">
        <f>AJ69*0.724626</f>
        <v/>
      </c>
      <c r="AK65" s="20">
        <f>AK69*0.724626</f>
        <v/>
      </c>
      <c r="AL65" s="20">
        <f>AL69*0.724626</f>
        <v/>
      </c>
      <c r="AM65" s="20">
        <f>AM69*0.724626</f>
        <v/>
      </c>
    </row>
    <row r="66">
      <c r="B66" s="33" t="inlineStr">
        <is>
          <t xml:space="preserve">  901000 Interest Expense</t>
        </is>
      </c>
      <c r="D66" s="19" t="n">
        <v>1397.63</v>
      </c>
      <c r="E66" s="19" t="n">
        <v>1397.63</v>
      </c>
      <c r="F66" s="19" t="n">
        <v>1397.63</v>
      </c>
      <c r="G66" s="19" t="n">
        <v>2795.22</v>
      </c>
      <c r="H66" s="88" t="n">
        <v>0</v>
      </c>
      <c r="I66" s="20">
        <f>I69*0.259451</f>
        <v/>
      </c>
      <c r="J66" s="20">
        <f>J69*0.259451</f>
        <v/>
      </c>
      <c r="K66" s="20">
        <f>K69*0.259451</f>
        <v/>
      </c>
      <c r="L66" s="20">
        <f>L69*0.259451</f>
        <v/>
      </c>
      <c r="M66" s="20">
        <f>M69*0.259451</f>
        <v/>
      </c>
      <c r="N66" s="20">
        <f>N69*0.259451</f>
        <v/>
      </c>
      <c r="O66" s="20">
        <f>O69*0.259451</f>
        <v/>
      </c>
      <c r="P66" s="20">
        <f>P69*0.259451</f>
        <v/>
      </c>
      <c r="Q66" s="20">
        <f>Q69*0.259451</f>
        <v/>
      </c>
      <c r="R66" s="20">
        <f>R69*0.259451</f>
        <v/>
      </c>
      <c r="S66" s="20">
        <f>S69*0.259451</f>
        <v/>
      </c>
      <c r="T66" s="20">
        <f>T69*0.259451</f>
        <v/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428.89</v>
      </c>
      <c r="F67" s="19" t="n">
        <v>0</v>
      </c>
      <c r="G67" s="19" t="n">
        <v>0</v>
      </c>
      <c r="H67" s="88" t="n">
        <v>0</v>
      </c>
      <c r="I67" s="20">
        <f>I69*0.015924</f>
        <v/>
      </c>
      <c r="J67" s="20">
        <f>J69*0.015924</f>
        <v/>
      </c>
      <c r="K67" s="20">
        <f>K69*0.015924</f>
        <v/>
      </c>
      <c r="L67" s="20">
        <f>L69*0.015924</f>
        <v/>
      </c>
      <c r="M67" s="20">
        <f>M69*0.015924</f>
        <v/>
      </c>
      <c r="N67" s="20">
        <f>N69*0.015924</f>
        <v/>
      </c>
      <c r="O67" s="20">
        <f>O69*0.015924</f>
        <v/>
      </c>
      <c r="P67" s="20">
        <f>P69*0.015924</f>
        <v/>
      </c>
      <c r="Q67" s="20">
        <f>Q69*0.015924</f>
        <v/>
      </c>
      <c r="R67" s="20">
        <f>R69*0.015924</f>
        <v/>
      </c>
      <c r="S67" s="20">
        <f>S69*0.015924</f>
        <v/>
      </c>
      <c r="T67" s="20">
        <f>T69*0.015924</f>
        <v/>
      </c>
      <c r="U67" s="20">
        <f>U69*0.015924</f>
        <v/>
      </c>
      <c r="V67" s="20">
        <f>V69*0.015924</f>
        <v/>
      </c>
      <c r="W67" s="20">
        <f>W69*0.015924</f>
        <v/>
      </c>
      <c r="X67" s="20">
        <f>X69*0.015924</f>
        <v/>
      </c>
      <c r="Y67" s="20">
        <f>Y69*0.015924</f>
        <v/>
      </c>
      <c r="Z67" s="20">
        <f>Z69*0.015924</f>
        <v/>
      </c>
      <c r="AA67" s="20">
        <f>AA69*0.015924</f>
        <v/>
      </c>
      <c r="AB67" s="20">
        <f>AB69*0.015924</f>
        <v/>
      </c>
      <c r="AC67" s="20">
        <f>AC69*0.015924</f>
        <v/>
      </c>
      <c r="AD67" s="20">
        <f>AD69*0.015924</f>
        <v/>
      </c>
      <c r="AE67" s="20">
        <f>AE69*0.015924</f>
        <v/>
      </c>
      <c r="AF67" s="20">
        <f>AF69*0.015924</f>
        <v/>
      </c>
      <c r="AG67" s="20">
        <f>AG69*0.015924</f>
        <v/>
      </c>
      <c r="AH67" s="20">
        <f>AH69*0.015924</f>
        <v/>
      </c>
      <c r="AI67" s="20">
        <f>AI69*0.015924</f>
        <v/>
      </c>
      <c r="AJ67" s="20">
        <f>AJ69*0.015924</f>
        <v/>
      </c>
      <c r="AK67" s="20">
        <f>AK69*0.015924</f>
        <v/>
      </c>
      <c r="AL67" s="20">
        <f>AL69*0.015924</f>
        <v/>
      </c>
      <c r="AM67" s="20">
        <f>AM69*0.015924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6276.940000000001</v>
      </c>
      <c r="E69" s="35" t="n">
        <v>6705.830000000001</v>
      </c>
      <c r="F69" s="35" t="n">
        <v>6276.940000000001</v>
      </c>
      <c r="G69" s="35" t="n">
        <v>7674.530000000001</v>
      </c>
      <c r="H69" s="89" t="n">
        <v>4879.31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46687.85999999999</v>
      </c>
      <c r="E70" s="35" t="n">
        <v>37690.52999999999</v>
      </c>
      <c r="F70" s="35" t="n">
        <v>38745.12999999999</v>
      </c>
      <c r="G70" s="35" t="n">
        <v>32592.9</v>
      </c>
      <c r="H70" s="89" t="n">
        <v>38529.06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Marin (MR)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66390.10000000001</v>
      </c>
      <c r="E7" s="19" t="n">
        <v>57638.22</v>
      </c>
      <c r="F7" s="19" t="n">
        <v>61907.98</v>
      </c>
      <c r="G7" s="19" t="n">
        <v>57698.67</v>
      </c>
      <c r="H7" s="88" t="n">
        <v>58826.6</v>
      </c>
      <c r="I7" s="20">
        <f>I13*0.654758</f>
        <v/>
      </c>
      <c r="J7" s="20">
        <f>J13*0.654758</f>
        <v/>
      </c>
      <c r="K7" s="20">
        <f>K13*0.654758</f>
        <v/>
      </c>
      <c r="L7" s="20">
        <f>L13*0.654758</f>
        <v/>
      </c>
      <c r="M7" s="20">
        <f>M13*0.654758</f>
        <v/>
      </c>
      <c r="N7" s="20">
        <f>N13*0.654758</f>
        <v/>
      </c>
      <c r="O7" s="20">
        <f>O13*0.654758</f>
        <v/>
      </c>
      <c r="P7" s="20">
        <f>P13*0.654758</f>
        <v/>
      </c>
      <c r="Q7" s="20">
        <f>Q13*0.654758</f>
        <v/>
      </c>
      <c r="R7" s="20">
        <f>R13*0.654758</f>
        <v/>
      </c>
      <c r="S7" s="20">
        <f>S13*0.654758</f>
        <v/>
      </c>
      <c r="T7" s="20">
        <f>T13*0.654758</f>
        <v/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</row>
    <row r="8">
      <c r="B8" s="33" t="inlineStr">
        <is>
          <t xml:space="preserve">  401002 Private Pilates</t>
        </is>
      </c>
      <c r="D8" s="19" t="n">
        <v>13459.2</v>
      </c>
      <c r="E8" s="19" t="n">
        <v>12282.8</v>
      </c>
      <c r="F8" s="19" t="n">
        <v>19346.2</v>
      </c>
      <c r="G8" s="19" t="n">
        <v>18371.4</v>
      </c>
      <c r="H8" s="88" t="n">
        <v>13628</v>
      </c>
      <c r="I8" s="20">
        <f>I13*0.170545</f>
        <v/>
      </c>
      <c r="J8" s="20">
        <f>J13*0.170545</f>
        <v/>
      </c>
      <c r="K8" s="20">
        <f>K13*0.170545</f>
        <v/>
      </c>
      <c r="L8" s="20">
        <f>L13*0.170545</f>
        <v/>
      </c>
      <c r="M8" s="20">
        <f>M13*0.170545</f>
        <v/>
      </c>
      <c r="N8" s="20">
        <f>N13*0.170545</f>
        <v/>
      </c>
      <c r="O8" s="20">
        <f>O13*0.170545</f>
        <v/>
      </c>
      <c r="P8" s="20">
        <f>P13*0.170545</f>
        <v/>
      </c>
      <c r="Q8" s="20">
        <f>Q13*0.170545</f>
        <v/>
      </c>
      <c r="R8" s="20">
        <f>R13*0.170545</f>
        <v/>
      </c>
      <c r="S8" s="20">
        <f>S13*0.170545</f>
        <v/>
      </c>
      <c r="T8" s="20">
        <f>T13*0.170545</f>
        <v/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</row>
    <row r="9">
      <c r="B9" s="33" t="inlineStr">
        <is>
          <t xml:space="preserve">  401003 Class Pass</t>
        </is>
      </c>
      <c r="D9" s="19" t="n">
        <v>16446.44</v>
      </c>
      <c r="E9" s="19" t="n">
        <v>14096.07</v>
      </c>
      <c r="F9" s="19" t="n">
        <v>15599.46</v>
      </c>
      <c r="G9" s="19" t="n">
        <v>15734</v>
      </c>
      <c r="H9" s="88" t="n">
        <v>13231.37</v>
      </c>
      <c r="I9" s="20">
        <f>I13*0.166289</f>
        <v/>
      </c>
      <c r="J9" s="20">
        <f>J13*0.166289</f>
        <v/>
      </c>
      <c r="K9" s="20">
        <f>K13*0.166289</f>
        <v/>
      </c>
      <c r="L9" s="20">
        <f>L13*0.166289</f>
        <v/>
      </c>
      <c r="M9" s="20">
        <f>M13*0.166289</f>
        <v/>
      </c>
      <c r="N9" s="20">
        <f>N13*0.166289</f>
        <v/>
      </c>
      <c r="O9" s="20">
        <f>O13*0.166289</f>
        <v/>
      </c>
      <c r="P9" s="20">
        <f>P13*0.166289</f>
        <v/>
      </c>
      <c r="Q9" s="20">
        <f>Q13*0.166289</f>
        <v/>
      </c>
      <c r="R9" s="20">
        <f>R13*0.166289</f>
        <v/>
      </c>
      <c r="S9" s="20">
        <f>S13*0.166289</f>
        <v/>
      </c>
      <c r="T9" s="20">
        <f>T13*0.166289</f>
        <v/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17744.69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B11" s="33" t="inlineStr">
        <is>
          <t xml:space="preserve">  401005 Livestream Classes</t>
        </is>
      </c>
      <c r="D11" s="19" t="n">
        <v>58.96</v>
      </c>
      <c r="E11" s="19" t="n">
        <v>124.33</v>
      </c>
      <c r="F11" s="19" t="n">
        <v>48.89</v>
      </c>
      <c r="G11" s="19" t="n">
        <v>48.07</v>
      </c>
      <c r="H11" s="88" t="n">
        <v>35.16</v>
      </c>
      <c r="I11" s="20">
        <f>I13*0.000753</f>
        <v/>
      </c>
      <c r="J11" s="20">
        <f>J13*0.000753</f>
        <v/>
      </c>
      <c r="K11" s="20">
        <f>K13*0.000753</f>
        <v/>
      </c>
      <c r="L11" s="20">
        <f>L13*0.000753</f>
        <v/>
      </c>
      <c r="M11" s="20">
        <f>M13*0.000753</f>
        <v/>
      </c>
      <c r="N11" s="20">
        <f>N13*0.000753</f>
        <v/>
      </c>
      <c r="O11" s="20">
        <f>O13*0.000753</f>
        <v/>
      </c>
      <c r="P11" s="20">
        <f>P13*0.000753</f>
        <v/>
      </c>
      <c r="Q11" s="20">
        <f>Q13*0.000753</f>
        <v/>
      </c>
      <c r="R11" s="20">
        <f>R13*0.000753</f>
        <v/>
      </c>
      <c r="S11" s="20">
        <f>S13*0.000753</f>
        <v/>
      </c>
      <c r="T11" s="20">
        <f>T13*0.000753</f>
        <v/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</row>
    <row r="12">
      <c r="B12" s="33" t="inlineStr">
        <is>
          <t xml:space="preserve">  401006 Wellhub</t>
        </is>
      </c>
      <c r="D12" s="19" t="n">
        <v>973.6799999999999</v>
      </c>
      <c r="E12" s="19" t="n">
        <v>603.6900000000001</v>
      </c>
      <c r="F12" s="19" t="n">
        <v>687.15</v>
      </c>
      <c r="G12" s="19" t="n">
        <v>584.2</v>
      </c>
      <c r="H12" s="88" t="n">
        <v>556.38</v>
      </c>
      <c r="I12" s="20">
        <f>I13*0.007656</f>
        <v/>
      </c>
      <c r="J12" s="20">
        <f>J13*0.007656</f>
        <v/>
      </c>
      <c r="K12" s="20">
        <f>K13*0.007656</f>
        <v/>
      </c>
      <c r="L12" s="20">
        <f>L13*0.007656</f>
        <v/>
      </c>
      <c r="M12" s="20">
        <f>M13*0.007656</f>
        <v/>
      </c>
      <c r="N12" s="20">
        <f>N13*0.007656</f>
        <v/>
      </c>
      <c r="O12" s="20">
        <f>O13*0.007656</f>
        <v/>
      </c>
      <c r="P12" s="20">
        <f>P13*0.007656</f>
        <v/>
      </c>
      <c r="Q12" s="20">
        <f>Q13*0.007656</f>
        <v/>
      </c>
      <c r="R12" s="20">
        <f>R13*0.007656</f>
        <v/>
      </c>
      <c r="S12" s="20">
        <f>S13*0.007656</f>
        <v/>
      </c>
      <c r="T12" s="20">
        <f>T13*0.007656</f>
        <v/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</row>
    <row r="13">
      <c r="B13" s="32" t="inlineStr">
        <is>
          <t>Total Sessions</t>
        </is>
      </c>
      <c r="C13" s="34" t="n"/>
      <c r="D13" s="35" t="n">
        <v>97328.38</v>
      </c>
      <c r="E13" s="35" t="n">
        <v>84745.11</v>
      </c>
      <c r="F13" s="35" t="n">
        <v>97589.68000000001</v>
      </c>
      <c r="G13" s="35" t="n">
        <v>92436.34</v>
      </c>
      <c r="H13" s="89" t="n">
        <v>104022.2</v>
      </c>
      <c r="I13" s="17">
        <f>'Sales Forecast'!I10*Assumptions!$C$12+'Sales Forecast'!H10*Assumptions!$D$12+'Sales Forecast'!G10*Assumptions!$E$12+'Sales Forecast'!F10*Assumptions!$F$12+'Sales Forecast'!E10*Assumptions!$G$12+'Sales Forecast'!D10*Assumptions!$H$12+'Sales Forecast'!I106*Assumptions!$I$12</f>
        <v/>
      </c>
      <c r="J13" s="17">
        <f>'Sales Forecast'!J10*Assumptions!$C$12+'Sales Forecast'!I10*Assumptions!$D$12+'Sales Forecast'!H10*Assumptions!$E$12+'Sales Forecast'!G10*Assumptions!$F$12+'Sales Forecast'!F10*Assumptions!$G$12+'Sales Forecast'!E10*Assumptions!$H$12+'Sales Forecast'!D10*Assumptions!$I$12</f>
        <v/>
      </c>
      <c r="K13" s="17">
        <f>'Sales Forecast'!K10*Assumptions!$C$12+'Sales Forecast'!J10*Assumptions!$D$12+'Sales Forecast'!I10*Assumptions!$E$12+'Sales Forecast'!H10*Assumptions!$F$12+'Sales Forecast'!G10*Assumptions!$G$12+'Sales Forecast'!F10*Assumptions!$H$12+'Sales Forecast'!E10*Assumptions!$I$12</f>
        <v/>
      </c>
      <c r="L13" s="17">
        <f>'Sales Forecast'!L10*Assumptions!$C$12+'Sales Forecast'!K10*Assumptions!$D$12+'Sales Forecast'!J10*Assumptions!$E$12+'Sales Forecast'!I10*Assumptions!$F$12+'Sales Forecast'!H10*Assumptions!$G$12+'Sales Forecast'!G10*Assumptions!$H$12+'Sales Forecast'!F10*Assumptions!$I$12</f>
        <v/>
      </c>
      <c r="M13" s="17">
        <f>'Sales Forecast'!M10*Assumptions!$C$12+'Sales Forecast'!L10*Assumptions!$D$12+'Sales Forecast'!K10*Assumptions!$E$12+'Sales Forecast'!J10*Assumptions!$F$12+'Sales Forecast'!I10*Assumptions!$G$12+'Sales Forecast'!H10*Assumptions!$H$12+'Sales Forecast'!G10*Assumptions!$I$12</f>
        <v/>
      </c>
      <c r="N13" s="17">
        <f>'Sales Forecast'!N10*Assumptions!$C$12+'Sales Forecast'!M10*Assumptions!$D$12+'Sales Forecast'!L10*Assumptions!$E$12+'Sales Forecast'!K10*Assumptions!$F$12+'Sales Forecast'!J10*Assumptions!$G$12+'Sales Forecast'!I10*Assumptions!$H$12+'Sales Forecast'!H10*Assumptions!$I$12</f>
        <v/>
      </c>
      <c r="O13" s="17">
        <f>'Sales Forecast'!O10*Assumptions!$C$12+'Sales Forecast'!N10*Assumptions!$D$12+'Sales Forecast'!M10*Assumptions!$E$12+'Sales Forecast'!L10*Assumptions!$F$12+'Sales Forecast'!K10*Assumptions!$G$12+'Sales Forecast'!J10*Assumptions!$H$12+'Sales Forecast'!I10*Assumptions!$I$12</f>
        <v/>
      </c>
      <c r="P13" s="17">
        <f>'Sales Forecast'!P10*Assumptions!$C$12+'Sales Forecast'!O10*Assumptions!$D$12+'Sales Forecast'!N10*Assumptions!$E$12+'Sales Forecast'!M10*Assumptions!$F$12+'Sales Forecast'!L10*Assumptions!$G$12+'Sales Forecast'!K10*Assumptions!$H$12+'Sales Forecast'!J10*Assumptions!$I$12</f>
        <v/>
      </c>
      <c r="Q13" s="17">
        <f>'Sales Forecast'!Q10*Assumptions!$C$12+'Sales Forecast'!P10*Assumptions!$D$12+'Sales Forecast'!O10*Assumptions!$E$12+'Sales Forecast'!N10*Assumptions!$F$12+'Sales Forecast'!M10*Assumptions!$G$12+'Sales Forecast'!L10*Assumptions!$H$12+'Sales Forecast'!K10*Assumptions!$I$12</f>
        <v/>
      </c>
      <c r="R13" s="17">
        <f>'Sales Forecast'!R10*Assumptions!$C$12+'Sales Forecast'!Q10*Assumptions!$D$12+'Sales Forecast'!P10*Assumptions!$E$12+'Sales Forecast'!O10*Assumptions!$F$12+'Sales Forecast'!N10*Assumptions!$G$12+'Sales Forecast'!M10*Assumptions!$H$12+'Sales Forecast'!L10*Assumptions!$I$12</f>
        <v/>
      </c>
      <c r="S13" s="17">
        <f>'Sales Forecast'!S10*Assumptions!$C$12+'Sales Forecast'!R10*Assumptions!$D$12+'Sales Forecast'!Q10*Assumptions!$E$12+'Sales Forecast'!P10*Assumptions!$F$12+'Sales Forecast'!O10*Assumptions!$G$12+'Sales Forecast'!N10*Assumptions!$H$12+'Sales Forecast'!M10*Assumptions!$I$12</f>
        <v/>
      </c>
      <c r="T13" s="17">
        <f>'Sales Forecast'!T10*Assumptions!$C$12+'Sales Forecast'!S10*Assumptions!$D$12+'Sales Forecast'!R10*Assumptions!$E$12+'Sales Forecast'!Q10*Assumptions!$F$12+'Sales Forecast'!P10*Assumptions!$G$12+'Sales Forecast'!O10*Assumptions!$H$12+'Sales Forecast'!N10*Assumptions!$I$12</f>
        <v/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Forecast'!O10*Assumptions!$I$12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</row>
    <row r="14">
      <c r="B14" s="33" t="inlineStr">
        <is>
          <t xml:space="preserve">  403001 Machine Breakage</t>
        </is>
      </c>
      <c r="D14" s="19" t="n">
        <v>13301.42</v>
      </c>
      <c r="E14" s="19" t="n">
        <v>17324.87</v>
      </c>
      <c r="F14" s="19" t="n">
        <v>11911.35</v>
      </c>
      <c r="G14" s="19" t="n">
        <v>14342.63</v>
      </c>
      <c r="H14" s="88" t="n">
        <v>14912.82</v>
      </c>
      <c r="I14" s="20">
        <f>I17*0.882312</f>
        <v/>
      </c>
      <c r="J14" s="20">
        <f>J17*0.882312</f>
        <v/>
      </c>
      <c r="K14" s="20">
        <f>K17*0.882312</f>
        <v/>
      </c>
      <c r="L14" s="20">
        <f>L17*0.882312</f>
        <v/>
      </c>
      <c r="M14" s="20">
        <f>M17*0.882312</f>
        <v/>
      </c>
      <c r="N14" s="20">
        <f>N17*0.882312</f>
        <v/>
      </c>
      <c r="O14" s="20">
        <f>O17*0.882312</f>
        <v/>
      </c>
      <c r="P14" s="20">
        <f>P17*0.882312</f>
        <v/>
      </c>
      <c r="Q14" s="20">
        <f>Q17*0.882312</f>
        <v/>
      </c>
      <c r="R14" s="20">
        <f>R17*0.882312</f>
        <v/>
      </c>
      <c r="S14" s="20">
        <f>S17*0.882312</f>
        <v/>
      </c>
      <c r="T14" s="20">
        <f>T17*0.882312</f>
        <v/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</row>
    <row r="15">
      <c r="B15" s="33" t="inlineStr">
        <is>
          <t xml:space="preserve">  403003 Private Pilates Breakage</t>
        </is>
      </c>
      <c r="D15" s="19" t="n">
        <v>1986</v>
      </c>
      <c r="E15" s="19" t="n">
        <v>858</v>
      </c>
      <c r="F15" s="19" t="n">
        <v>1941</v>
      </c>
      <c r="G15" s="19" t="n">
        <v>2802</v>
      </c>
      <c r="H15" s="88" t="n">
        <v>1856</v>
      </c>
      <c r="I15" s="20">
        <f>I17*0.117688</f>
        <v/>
      </c>
      <c r="J15" s="20">
        <f>J17*0.117688</f>
        <v/>
      </c>
      <c r="K15" s="20">
        <f>K17*0.117688</f>
        <v/>
      </c>
      <c r="L15" s="20">
        <f>L17*0.117688</f>
        <v/>
      </c>
      <c r="M15" s="20">
        <f>M17*0.117688</f>
        <v/>
      </c>
      <c r="N15" s="20">
        <f>N17*0.117688</f>
        <v/>
      </c>
      <c r="O15" s="20">
        <f>O17*0.117688</f>
        <v/>
      </c>
      <c r="P15" s="20">
        <f>P17*0.117688</f>
        <v/>
      </c>
      <c r="Q15" s="20">
        <f>Q17*0.117688</f>
        <v/>
      </c>
      <c r="R15" s="20">
        <f>R17*0.117688</f>
        <v/>
      </c>
      <c r="S15" s="20">
        <f>S17*0.117688</f>
        <v/>
      </c>
      <c r="T15" s="20">
        <f>T17*0.117688</f>
        <v/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15287.42</v>
      </c>
      <c r="E17" s="35" t="n">
        <v>18182.87</v>
      </c>
      <c r="F17" s="35" t="n">
        <v>13852.35</v>
      </c>
      <c r="G17" s="35" t="n">
        <v>17144.63</v>
      </c>
      <c r="H17" s="89" t="n">
        <v>16768.82</v>
      </c>
      <c r="I17" s="17">
        <f>'Sales Forecast'!I10*Assumptions!$C$13+'Sales Forecast'!H10*Assumptions!$D$13+'Sales Forecast'!G10*Assumptions!$E$13+'Sales Forecast'!F10*Assumptions!$F$13+'Sales Forecast'!E10*Assumptions!$G$13+'Sales Forecast'!D10*Assumptions!$H$13+'Sales Forecast'!I106*Assumptions!$I$13</f>
        <v/>
      </c>
      <c r="J17" s="17">
        <f>'Sales Forecast'!J10*Assumptions!$C$13+'Sales Forecast'!I10*Assumptions!$D$13+'Sales Forecast'!H10*Assumptions!$E$13+'Sales Forecast'!G10*Assumptions!$F$13+'Sales Forecast'!F10*Assumptions!$G$13+'Sales Forecast'!E10*Assumptions!$H$13+'Sales Forecast'!D10*Assumptions!$I$13</f>
        <v/>
      </c>
      <c r="K17" s="17">
        <f>'Sales Forecast'!K10*Assumptions!$C$13+'Sales Forecast'!J10*Assumptions!$D$13+'Sales Forecast'!I10*Assumptions!$E$13+'Sales Forecast'!H10*Assumptions!$F$13+'Sales Forecast'!G10*Assumptions!$G$13+'Sales Forecast'!F10*Assumptions!$H$13+'Sales Forecast'!E10*Assumptions!$I$13</f>
        <v/>
      </c>
      <c r="L17" s="17">
        <f>'Sales Forecast'!L10*Assumptions!$C$13+'Sales Forecast'!K10*Assumptions!$D$13+'Sales Forecast'!J10*Assumptions!$E$13+'Sales Forecast'!I10*Assumptions!$F$13+'Sales Forecast'!H10*Assumptions!$G$13+'Sales Forecast'!G10*Assumptions!$H$13+'Sales Forecast'!F10*Assumptions!$I$13</f>
        <v/>
      </c>
      <c r="M17" s="17">
        <f>'Sales Forecast'!M10*Assumptions!$C$13+'Sales Forecast'!L10*Assumptions!$D$13+'Sales Forecast'!K10*Assumptions!$E$13+'Sales Forecast'!J10*Assumptions!$F$13+'Sales Forecast'!I10*Assumptions!$G$13+'Sales Forecast'!H10*Assumptions!$H$13+'Sales Forecast'!G10*Assumptions!$I$13</f>
        <v/>
      </c>
      <c r="N17" s="17">
        <f>'Sales Forecast'!N10*Assumptions!$C$13+'Sales Forecast'!M10*Assumptions!$D$13+'Sales Forecast'!L10*Assumptions!$E$13+'Sales Forecast'!K10*Assumptions!$F$13+'Sales Forecast'!J10*Assumptions!$G$13+'Sales Forecast'!I10*Assumptions!$H$13+'Sales Forecast'!H10*Assumptions!$I$13</f>
        <v/>
      </c>
      <c r="O17" s="17">
        <f>'Sales Forecast'!O10*Assumptions!$C$13+'Sales Forecast'!N10*Assumptions!$D$13+'Sales Forecast'!M10*Assumptions!$E$13+'Sales Forecast'!L10*Assumptions!$F$13+'Sales Forecast'!K10*Assumptions!$G$13+'Sales Forecast'!J10*Assumptions!$H$13+'Sales Forecast'!I10*Assumptions!$I$13</f>
        <v/>
      </c>
      <c r="P17" s="17">
        <f>'Sales Forecast'!P10*Assumptions!$C$13+'Sales Forecast'!O10*Assumptions!$D$13+'Sales Forecast'!N10*Assumptions!$E$13+'Sales Forecast'!M10*Assumptions!$F$13+'Sales Forecast'!L10*Assumptions!$G$13+'Sales Forecast'!K10*Assumptions!$H$13+'Sales Forecast'!J10*Assumptions!$I$13</f>
        <v/>
      </c>
      <c r="Q17" s="17">
        <f>'Sales Forecast'!Q10*Assumptions!$C$13+'Sales Forecast'!P10*Assumptions!$D$13+'Sales Forecast'!O10*Assumptions!$E$13+'Sales Forecast'!N10*Assumptions!$F$13+'Sales Forecast'!M10*Assumptions!$G$13+'Sales Forecast'!L10*Assumptions!$H$13+'Sales Forecast'!K10*Assumptions!$I$13</f>
        <v/>
      </c>
      <c r="R17" s="17">
        <f>'Sales Forecast'!R10*Assumptions!$C$13+'Sales Forecast'!Q10*Assumptions!$D$13+'Sales Forecast'!P10*Assumptions!$E$13+'Sales Forecast'!O10*Assumptions!$F$13+'Sales Forecast'!N10*Assumptions!$G$13+'Sales Forecast'!M10*Assumptions!$H$13+'Sales Forecast'!L10*Assumptions!$I$13</f>
        <v/>
      </c>
      <c r="S17" s="17">
        <f>'Sales Forecast'!S10*Assumptions!$C$13+'Sales Forecast'!R10*Assumptions!$D$13+'Sales Forecast'!Q10*Assumptions!$E$13+'Sales Forecast'!P10*Assumptions!$F$13+'Sales Forecast'!O10*Assumptions!$G$13+'Sales Forecast'!N10*Assumptions!$H$13+'Sales Forecast'!M10*Assumptions!$I$13</f>
        <v/>
      </c>
      <c r="T17" s="17">
        <f>'Sales Forecast'!T10*Assumptions!$C$13+'Sales Forecast'!S10*Assumptions!$D$13+'Sales Forecast'!R10*Assumptions!$E$13+'Sales Forecast'!Q10*Assumptions!$F$13+'Sales Forecast'!P10*Assumptions!$G$13+'Sales Forecast'!O10*Assumptions!$H$13+'Sales Forecast'!N10*Assumptions!$I$13</f>
        <v/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Forecast'!O10*Assumptions!$I$13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</row>
    <row r="18">
      <c r="B18" s="33" t="inlineStr">
        <is>
          <t xml:space="preserve">  404000 Retail Sales</t>
        </is>
      </c>
      <c r="D18" s="19" t="n">
        <v>2390</v>
      </c>
      <c r="E18" s="19" t="n">
        <v>1878</v>
      </c>
      <c r="F18" s="19" t="n">
        <v>1668</v>
      </c>
      <c r="G18" s="19" t="n">
        <v>2116</v>
      </c>
      <c r="H18" s="88" t="n">
        <v>1433.81</v>
      </c>
      <c r="I18" s="20">
        <f>2013</f>
        <v/>
      </c>
      <c r="J18" s="20">
        <f>2013</f>
        <v/>
      </c>
      <c r="K18" s="20">
        <f>2013</f>
        <v/>
      </c>
      <c r="L18" s="20">
        <f>2013</f>
        <v/>
      </c>
      <c r="M18" s="20">
        <f>2013</f>
        <v/>
      </c>
      <c r="N18" s="20">
        <f>2013</f>
        <v/>
      </c>
      <c r="O18" s="20">
        <f>2013</f>
        <v/>
      </c>
      <c r="P18" s="20">
        <f>2013</f>
        <v/>
      </c>
      <c r="Q18" s="20">
        <f>2013</f>
        <v/>
      </c>
      <c r="R18" s="20">
        <f>2013</f>
        <v/>
      </c>
      <c r="S18" s="20">
        <f>2013</f>
        <v/>
      </c>
      <c r="T18" s="20">
        <f>2013</f>
        <v/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</row>
    <row r="19">
      <c r="B19" s="33" t="inlineStr">
        <is>
          <t xml:space="preserve">  406000 Refunds</t>
        </is>
      </c>
      <c r="D19" s="19" t="n">
        <v>1329</v>
      </c>
      <c r="E19" s="19" t="n">
        <v>2148</v>
      </c>
      <c r="F19" s="19" t="n">
        <v>1701</v>
      </c>
      <c r="G19" s="19" t="n">
        <v>956</v>
      </c>
      <c r="H19" s="88" t="n">
        <v>414.81</v>
      </c>
      <c r="I19" s="20">
        <f>('Sales Forecast'!I10*Assumptions!$C$12+'Sales Forecast'!H10*Assumptions!$D$12+'Sales Forecast'!G10*Assumptions!$E$12+'Sales Forecast'!F10*Assumptions!$F$12+'Sales Forecast'!E10*Assumptions!$G$12+'Sales Forecast'!D10*Assumptions!$H$12+'Sales Forecast'!I10*Assumptions!$C$13+'Sales Forecast'!H10*Assumptions!$D$13+'Sales Forecast'!G10*Assumptions!$E$13+'Sales Forecast'!F10*Assumptions!$F$13+'Sales Forecast'!E10*Assumptions!$G$13+'Sales Forecast'!D10*Assumptions!$H$13+2013)*Assumptions!$C$17</f>
        <v/>
      </c>
      <c r="J19" s="20">
        <f>('Sales Forecast'!J10*Assumptions!$C$12+'Sales Forecast'!I10*Assumptions!$D$12+'Sales Forecast'!H10*Assumptions!$E$12+'Sales Forecast'!G10*Assumptions!$F$12+'Sales Forecast'!F10*Assumptions!$G$12+'Sales Forecast'!E10*Assumptions!$H$12+'Sales Forecast'!D10*Assumptions!$I$12+'Sales Forecast'!J10*Assumptions!$C$13+'Sales Forecast'!I10*Assumptions!$D$13+'Sales Forecast'!H10*Assumptions!$E$13+'Sales Forecast'!G10*Assumptions!$F$13+'Sales Forecast'!F10*Assumptions!$G$13+'Sales Forecast'!E10*Assumptions!$H$13+'Sales Forecast'!D10*Assumptions!$I$13+2013)*Assumptions!$C$17</f>
        <v/>
      </c>
      <c r="K19" s="20">
        <f>('Sales Forecast'!K10*Assumptions!$C$12+'Sales Forecast'!J10*Assumptions!$D$12+'Sales Forecast'!I10*Assumptions!$E$12+'Sales Forecast'!H10*Assumptions!$F$12+'Sales Forecast'!G10*Assumptions!$G$12+'Sales Forecast'!F10*Assumptions!$H$12+'Sales Forecast'!E10*Assumptions!$I$12+'Sales Forecast'!K10*Assumptions!$C$13+'Sales Forecast'!J10*Assumptions!$D$13+'Sales Forecast'!I10*Assumptions!$E$13+'Sales Forecast'!H10*Assumptions!$F$13+'Sales Forecast'!G10*Assumptions!$G$13+'Sales Forecast'!F10*Assumptions!$H$13+'Sales Forecast'!E10*Assumptions!$I$13+2013)*Assumptions!$C$17</f>
        <v/>
      </c>
      <c r="L19" s="20">
        <f>('Sales Forecast'!L10*Assumptions!$C$12+'Sales Forecast'!K10*Assumptions!$D$12+'Sales Forecast'!J10*Assumptions!$E$12+'Sales Forecast'!I10*Assumptions!$F$12+'Sales Forecast'!H10*Assumptions!$G$12+'Sales Forecast'!G10*Assumptions!$H$12+'Sales Forecast'!F10*Assumptions!$I$12+'Sales Forecast'!L10*Assumptions!$C$13+'Sales Forecast'!K10*Assumptions!$D$13+'Sales Forecast'!J10*Assumptions!$E$13+'Sales Forecast'!I10*Assumptions!$F$13+'Sales Forecast'!H10*Assumptions!$G$13+'Sales Forecast'!G10*Assumptions!$H$13+'Sales Forecast'!F10*Assumptions!$I$13+2013)*Assumptions!$C$17</f>
        <v/>
      </c>
      <c r="M19" s="20">
        <f>('Sales Forecast'!M10*Assumptions!$C$12+'Sales Forecast'!L10*Assumptions!$D$12+'Sales Forecast'!K10*Assumptions!$E$12+'Sales Forecast'!J10*Assumptions!$F$12+'Sales Forecast'!I10*Assumptions!$G$12+'Sales Forecast'!H10*Assumptions!$H$12+'Sales Forecast'!G10*Assumptions!$I$12+'Sales Forecast'!M10*Assumptions!$C$13+'Sales Forecast'!L10*Assumptions!$D$13+'Sales Forecast'!K10*Assumptions!$E$13+'Sales Forecast'!J10*Assumptions!$F$13+'Sales Forecast'!I10*Assumptions!$G$13+'Sales Forecast'!H10*Assumptions!$H$13+'Sales Forecast'!G10*Assumptions!$I$13+2013)*Assumptions!$C$17</f>
        <v/>
      </c>
      <c r="N19" s="20">
        <f>('Sales Forecast'!N10*Assumptions!$C$12+'Sales Forecast'!M10*Assumptions!$D$12+'Sales Forecast'!L10*Assumptions!$E$12+'Sales Forecast'!K10*Assumptions!$F$12+'Sales Forecast'!J10*Assumptions!$G$12+'Sales Forecast'!I10*Assumptions!$H$12+'Sales Forecast'!H10*Assumptions!$I$12+'Sales Forecast'!N10*Assumptions!$C$13+'Sales Forecast'!M10*Assumptions!$D$13+'Sales Forecast'!L10*Assumptions!$E$13+'Sales Forecast'!K10*Assumptions!$F$13+'Sales Forecast'!J10*Assumptions!$G$13+'Sales Forecast'!I10*Assumptions!$H$13+'Sales Forecast'!H10*Assumptions!$I$13+2013)*Assumptions!$C$17</f>
        <v/>
      </c>
      <c r="O19" s="20">
        <f>('Sales Forecast'!O10*Assumptions!$C$12+'Sales Forecast'!N10*Assumptions!$D$12+'Sales Forecast'!M10*Assumptions!$E$12+'Sales Forecast'!L10*Assumptions!$F$12+'Sales Forecast'!K10*Assumptions!$G$12+'Sales Forecast'!J10*Assumptions!$H$12+'Sales Forecast'!I10*Assumptions!$I$12+'Sales Forecast'!O10*Assumptions!$C$13+'Sales Forecast'!N10*Assumptions!$D$13+'Sales Forecast'!M10*Assumptions!$E$13+'Sales Forecast'!L10*Assumptions!$F$13+'Sales Forecast'!K10*Assumptions!$G$13+'Sales Forecast'!J10*Assumptions!$H$13+'Sales Forecast'!I10*Assumptions!$I$13+2013)*Assumptions!$C$17</f>
        <v/>
      </c>
      <c r="P19" s="20">
        <f>('Sales Forecast'!P10*Assumptions!$C$12+'Sales Forecast'!O10*Assumptions!$D$12+'Sales Forecast'!N10*Assumptions!$E$12+'Sales Forecast'!M10*Assumptions!$F$12+'Sales Forecast'!L10*Assumptions!$G$12+'Sales Forecast'!K10*Assumptions!$H$12+'Sales Forecast'!J10*Assumptions!$I$12+'Sales Forecast'!P10*Assumptions!$C$13+'Sales Forecast'!O10*Assumptions!$D$13+'Sales Forecast'!N10*Assumptions!$E$13+'Sales Forecast'!M10*Assumptions!$F$13+'Sales Forecast'!L10*Assumptions!$G$13+'Sales Forecast'!K10*Assumptions!$H$13+'Sales Forecast'!J10*Assumptions!$I$13+2013)*Assumptions!$C$17</f>
        <v/>
      </c>
      <c r="Q19" s="20">
        <f>('Sales Forecast'!Q10*Assumptions!$C$12+'Sales Forecast'!P10*Assumptions!$D$12+'Sales Forecast'!O10*Assumptions!$E$12+'Sales Forecast'!N10*Assumptions!$F$12+'Sales Forecast'!M10*Assumptions!$G$12+'Sales Forecast'!L10*Assumptions!$H$12+'Sales Forecast'!K10*Assumptions!$I$12+'Sales Forecast'!Q10*Assumptions!$C$13+'Sales Forecast'!P10*Assumptions!$D$13+'Sales Forecast'!O10*Assumptions!$E$13+'Sales Forecast'!N10*Assumptions!$F$13+'Sales Forecast'!M10*Assumptions!$G$13+'Sales Forecast'!L10*Assumptions!$H$13+'Sales Forecast'!K10*Assumptions!$I$13+2013)*Assumptions!$C$17</f>
        <v/>
      </c>
      <c r="R19" s="20">
        <f>('Sales Forecast'!R10*Assumptions!$C$12+'Sales Forecast'!Q10*Assumptions!$D$12+'Sales Forecast'!P10*Assumptions!$E$12+'Sales Forecast'!O10*Assumptions!$F$12+'Sales Forecast'!N10*Assumptions!$G$12+'Sales Forecast'!M10*Assumptions!$H$12+'Sales Forecast'!L10*Assumptions!$I$12+'Sales Forecast'!R10*Assumptions!$C$13+'Sales Forecast'!Q10*Assumptions!$D$13+'Sales Forecast'!P10*Assumptions!$E$13+'Sales Forecast'!O10*Assumptions!$F$13+'Sales Forecast'!N10*Assumptions!$G$13+'Sales Forecast'!M10*Assumptions!$H$13+'Sales Forecast'!L10*Assumptions!$I$13+2013)*Assumptions!$C$17</f>
        <v/>
      </c>
      <c r="S19" s="20">
        <f>('Sales Forecast'!S10*Assumptions!$C$12+'Sales Forecast'!R10*Assumptions!$D$12+'Sales Forecast'!Q10*Assumptions!$E$12+'Sales Forecast'!P10*Assumptions!$F$12+'Sales Forecast'!O10*Assumptions!$G$12+'Sales Forecast'!N10*Assumptions!$H$12+'Sales Forecast'!M10*Assumptions!$I$12+'Sales Forecast'!S10*Assumptions!$C$13+'Sales Forecast'!R10*Assumptions!$D$13+'Sales Forecast'!Q10*Assumptions!$E$13+'Sales Forecast'!P10*Assumptions!$F$13+'Sales Forecast'!O10*Assumptions!$G$13+'Sales Forecast'!N10*Assumptions!$H$13+'Sales Forecast'!M10*Assumptions!$I$13+2013)*Assumptions!$C$17</f>
        <v/>
      </c>
      <c r="T19" s="20">
        <f>('Sales Forecast'!T10*Assumptions!$C$12+'Sales Forecast'!S10*Assumptions!$D$12+'Sales Forecast'!R10*Assumptions!$E$12+'Sales Forecast'!Q10*Assumptions!$F$12+'Sales Forecast'!P10*Assumptions!$G$12+'Sales Forecast'!O10*Assumptions!$H$12+'Sales Forecast'!N10*Assumptions!$I$12+'Sales Forecast'!T10*Assumptions!$C$13+'Sales Forecast'!S10*Assumptions!$D$13+'Sales Forecast'!R10*Assumptions!$E$13+'Sales Forecast'!Q10*Assumptions!$F$13+'Sales Forecast'!P10*Assumptions!$G$13+'Sales Forecast'!O10*Assumptions!$H$13+'Sales Forecast'!N10*Assumptions!$I$13+2013)*Assumptions!$C$17</f>
        <v/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Forecast'!O10*Assumptions!$I$12+'Sales Forecast'!U10*Assumptions!$C$13+'Sales Forecast'!T10*Assumptions!$D$13+'Sales Forecast'!S10*Assumptions!$E$13+'Sales Forecast'!R10*Assumptions!$F$13+'Sales Forecast'!Q10*Assumptions!$G$13+'Sales Forecast'!P10*Assumptions!$H$13+'Sales Forecast'!O10*Assumptions!$I$13+2013)*Assumptions!$C$17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</row>
    <row r="20">
      <c r="B20" s="33" t="inlineStr">
        <is>
          <t xml:space="preserve">  407000 Discounts</t>
        </is>
      </c>
      <c r="D20" s="19" t="n">
        <v>6273.12</v>
      </c>
      <c r="E20" s="19" t="n">
        <v>5689.39</v>
      </c>
      <c r="F20" s="19" t="n">
        <v>3614.58</v>
      </c>
      <c r="G20" s="19" t="n">
        <v>3156.57</v>
      </c>
      <c r="H20" s="88" t="n">
        <v>3166</v>
      </c>
      <c r="I20" s="20">
        <f>('Sales Forecast'!I10*Assumptions!$C$12+'Sales Forecast'!H10*Assumptions!$D$12+'Sales Forecast'!G10*Assumptions!$E$12+'Sales Forecast'!F10*Assumptions!$F$12+'Sales Forecast'!E10*Assumptions!$G$12+'Sales Forecast'!D10*Assumptions!$H$12+'Sales Forecast'!I10*Assumptions!$C$13+'Sales Forecast'!H10*Assumptions!$D$13+'Sales Forecast'!G10*Assumptions!$E$13+'Sales Forecast'!F10*Assumptions!$F$13+'Sales Forecast'!E10*Assumptions!$G$13+'Sales Forecast'!D10*Assumptions!$H$13+2013)*Assumptions!$C$18</f>
        <v/>
      </c>
      <c r="J20" s="20">
        <f>('Sales Forecast'!J10*Assumptions!$C$12+'Sales Forecast'!I10*Assumptions!$D$12+'Sales Forecast'!H10*Assumptions!$E$12+'Sales Forecast'!G10*Assumptions!$F$12+'Sales Forecast'!F10*Assumptions!$G$12+'Sales Forecast'!E10*Assumptions!$H$12+'Sales Forecast'!D10*Assumptions!$I$12+'Sales Forecast'!J10*Assumptions!$C$13+'Sales Forecast'!I10*Assumptions!$D$13+'Sales Forecast'!H10*Assumptions!$E$13+'Sales Forecast'!G10*Assumptions!$F$13+'Sales Forecast'!F10*Assumptions!$G$13+'Sales Forecast'!E10*Assumptions!$H$13+'Sales Forecast'!D10*Assumptions!$I$13+2013)*Assumptions!$C$18</f>
        <v/>
      </c>
      <c r="K20" s="20">
        <f>('Sales Forecast'!K10*Assumptions!$C$12+'Sales Forecast'!J10*Assumptions!$D$12+'Sales Forecast'!I10*Assumptions!$E$12+'Sales Forecast'!H10*Assumptions!$F$12+'Sales Forecast'!G10*Assumptions!$G$12+'Sales Forecast'!F10*Assumptions!$H$12+'Sales Forecast'!E10*Assumptions!$I$12+'Sales Forecast'!K10*Assumptions!$C$13+'Sales Forecast'!J10*Assumptions!$D$13+'Sales Forecast'!I10*Assumptions!$E$13+'Sales Forecast'!H10*Assumptions!$F$13+'Sales Forecast'!G10*Assumptions!$G$13+'Sales Forecast'!F10*Assumptions!$H$13+'Sales Forecast'!E10*Assumptions!$I$13+2013)*Assumptions!$C$18</f>
        <v/>
      </c>
      <c r="L20" s="20">
        <f>('Sales Forecast'!L10*Assumptions!$C$12+'Sales Forecast'!K10*Assumptions!$D$12+'Sales Forecast'!J10*Assumptions!$E$12+'Sales Forecast'!I10*Assumptions!$F$12+'Sales Forecast'!H10*Assumptions!$G$12+'Sales Forecast'!G10*Assumptions!$H$12+'Sales Forecast'!F10*Assumptions!$I$12+'Sales Forecast'!L10*Assumptions!$C$13+'Sales Forecast'!K10*Assumptions!$D$13+'Sales Forecast'!J10*Assumptions!$E$13+'Sales Forecast'!I10*Assumptions!$F$13+'Sales Forecast'!H10*Assumptions!$G$13+'Sales Forecast'!G10*Assumptions!$H$13+'Sales Forecast'!F10*Assumptions!$I$13+2013)*Assumptions!$C$18</f>
        <v/>
      </c>
      <c r="M20" s="20">
        <f>('Sales Forecast'!M10*Assumptions!$C$12+'Sales Forecast'!L10*Assumptions!$D$12+'Sales Forecast'!K10*Assumptions!$E$12+'Sales Forecast'!J10*Assumptions!$F$12+'Sales Forecast'!I10*Assumptions!$G$12+'Sales Forecast'!H10*Assumptions!$H$12+'Sales Forecast'!G10*Assumptions!$I$12+'Sales Forecast'!M10*Assumptions!$C$13+'Sales Forecast'!L10*Assumptions!$D$13+'Sales Forecast'!K10*Assumptions!$E$13+'Sales Forecast'!J10*Assumptions!$F$13+'Sales Forecast'!I10*Assumptions!$G$13+'Sales Forecast'!H10*Assumptions!$H$13+'Sales Forecast'!G10*Assumptions!$I$13+2013)*Assumptions!$C$18</f>
        <v/>
      </c>
      <c r="N20" s="20">
        <f>('Sales Forecast'!N10*Assumptions!$C$12+'Sales Forecast'!M10*Assumptions!$D$12+'Sales Forecast'!L10*Assumptions!$E$12+'Sales Forecast'!K10*Assumptions!$F$12+'Sales Forecast'!J10*Assumptions!$G$12+'Sales Forecast'!I10*Assumptions!$H$12+'Sales Forecast'!H10*Assumptions!$I$12+'Sales Forecast'!N10*Assumptions!$C$13+'Sales Forecast'!M10*Assumptions!$D$13+'Sales Forecast'!L10*Assumptions!$E$13+'Sales Forecast'!K10*Assumptions!$F$13+'Sales Forecast'!J10*Assumptions!$G$13+'Sales Forecast'!I10*Assumptions!$H$13+'Sales Forecast'!H10*Assumptions!$I$13+2013)*Assumptions!$C$18</f>
        <v/>
      </c>
      <c r="O20" s="20">
        <f>('Sales Forecast'!O10*Assumptions!$C$12+'Sales Forecast'!N10*Assumptions!$D$12+'Sales Forecast'!M10*Assumptions!$E$12+'Sales Forecast'!L10*Assumptions!$F$12+'Sales Forecast'!K10*Assumptions!$G$12+'Sales Forecast'!J10*Assumptions!$H$12+'Sales Forecast'!I10*Assumptions!$I$12+'Sales Forecast'!O10*Assumptions!$C$13+'Sales Forecast'!N10*Assumptions!$D$13+'Sales Forecast'!M10*Assumptions!$E$13+'Sales Forecast'!L10*Assumptions!$F$13+'Sales Forecast'!K10*Assumptions!$G$13+'Sales Forecast'!J10*Assumptions!$H$13+'Sales Forecast'!I10*Assumptions!$I$13+2013)*Assumptions!$C$18</f>
        <v/>
      </c>
      <c r="P20" s="20">
        <f>('Sales Forecast'!P10*Assumptions!$C$12+'Sales Forecast'!O10*Assumptions!$D$12+'Sales Forecast'!N10*Assumptions!$E$12+'Sales Forecast'!M10*Assumptions!$F$12+'Sales Forecast'!L10*Assumptions!$G$12+'Sales Forecast'!K10*Assumptions!$H$12+'Sales Forecast'!J10*Assumptions!$I$12+'Sales Forecast'!P10*Assumptions!$C$13+'Sales Forecast'!O10*Assumptions!$D$13+'Sales Forecast'!N10*Assumptions!$E$13+'Sales Forecast'!M10*Assumptions!$F$13+'Sales Forecast'!L10*Assumptions!$G$13+'Sales Forecast'!K10*Assumptions!$H$13+'Sales Forecast'!J10*Assumptions!$I$13+2013)*Assumptions!$C$18</f>
        <v/>
      </c>
      <c r="Q20" s="20">
        <f>('Sales Forecast'!Q10*Assumptions!$C$12+'Sales Forecast'!P10*Assumptions!$D$12+'Sales Forecast'!O10*Assumptions!$E$12+'Sales Forecast'!N10*Assumptions!$F$12+'Sales Forecast'!M10*Assumptions!$G$12+'Sales Forecast'!L10*Assumptions!$H$12+'Sales Forecast'!K10*Assumptions!$I$12+'Sales Forecast'!Q10*Assumptions!$C$13+'Sales Forecast'!P10*Assumptions!$D$13+'Sales Forecast'!O10*Assumptions!$E$13+'Sales Forecast'!N10*Assumptions!$F$13+'Sales Forecast'!M10*Assumptions!$G$13+'Sales Forecast'!L10*Assumptions!$H$13+'Sales Forecast'!K10*Assumptions!$I$13+2013)*Assumptions!$C$18</f>
        <v/>
      </c>
      <c r="R20" s="20">
        <f>('Sales Forecast'!R10*Assumptions!$C$12+'Sales Forecast'!Q10*Assumptions!$D$12+'Sales Forecast'!P10*Assumptions!$E$12+'Sales Forecast'!O10*Assumptions!$F$12+'Sales Forecast'!N10*Assumptions!$G$12+'Sales Forecast'!M10*Assumptions!$H$12+'Sales Forecast'!L10*Assumptions!$I$12+'Sales Forecast'!R10*Assumptions!$C$13+'Sales Forecast'!Q10*Assumptions!$D$13+'Sales Forecast'!P10*Assumptions!$E$13+'Sales Forecast'!O10*Assumptions!$F$13+'Sales Forecast'!N10*Assumptions!$G$13+'Sales Forecast'!M10*Assumptions!$H$13+'Sales Forecast'!L10*Assumptions!$I$13+2013)*Assumptions!$C$18</f>
        <v/>
      </c>
      <c r="S20" s="20">
        <f>('Sales Forecast'!S10*Assumptions!$C$12+'Sales Forecast'!R10*Assumptions!$D$12+'Sales Forecast'!Q10*Assumptions!$E$12+'Sales Forecast'!P10*Assumptions!$F$12+'Sales Forecast'!O10*Assumptions!$G$12+'Sales Forecast'!N10*Assumptions!$H$12+'Sales Forecast'!M10*Assumptions!$I$12+'Sales Forecast'!S10*Assumptions!$C$13+'Sales Forecast'!R10*Assumptions!$D$13+'Sales Forecast'!Q10*Assumptions!$E$13+'Sales Forecast'!P10*Assumptions!$F$13+'Sales Forecast'!O10*Assumptions!$G$13+'Sales Forecast'!N10*Assumptions!$H$13+'Sales Forecast'!M10*Assumptions!$I$13+2013)*Assumptions!$C$18</f>
        <v/>
      </c>
      <c r="T20" s="20">
        <f>('Sales Forecast'!T10*Assumptions!$C$12+'Sales Forecast'!S10*Assumptions!$D$12+'Sales Forecast'!R10*Assumptions!$E$12+'Sales Forecast'!Q10*Assumptions!$F$12+'Sales Forecast'!P10*Assumptions!$G$12+'Sales Forecast'!O10*Assumptions!$H$12+'Sales Forecast'!N10*Assumptions!$I$12+'Sales Forecast'!T10*Assumptions!$C$13+'Sales Forecast'!S10*Assumptions!$D$13+'Sales Forecast'!R10*Assumptions!$E$13+'Sales Forecast'!Q10*Assumptions!$F$13+'Sales Forecast'!P10*Assumptions!$G$13+'Sales Forecast'!O10*Assumptions!$H$13+'Sales Forecast'!N10*Assumptions!$I$13+2013)*Assumptions!$C$18</f>
        <v/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Forecast'!O10*Assumptions!$I$12+'Sales Forecast'!U10*Assumptions!$C$13+'Sales Forecast'!T10*Assumptions!$D$13+'Sales Forecast'!S10*Assumptions!$E$13+'Sales Forecast'!R10*Assumptions!$F$13+'Sales Forecast'!Q10*Assumptions!$G$13+'Sales Forecast'!P10*Assumptions!$H$13+'Sales Forecast'!O10*Assumptions!$I$13+2013)*Assumptions!$C$18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107403.68</v>
      </c>
      <c r="E21" s="35" t="n">
        <v>96968.59</v>
      </c>
      <c r="F21" s="35" t="n">
        <v>107794.45</v>
      </c>
      <c r="G21" s="35" t="n">
        <v>107584.4</v>
      </c>
      <c r="H21" s="89" t="n">
        <v>118644.02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976</v>
      </c>
      <c r="E23" s="19" t="n">
        <v>858.75</v>
      </c>
      <c r="F23" s="19" t="n">
        <v>742</v>
      </c>
      <c r="G23" s="19" t="n">
        <v>921</v>
      </c>
      <c r="H23" s="88" t="n">
        <v>660.25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2883.94</v>
      </c>
      <c r="E24" s="19" t="n">
        <v>3492.89</v>
      </c>
      <c r="F24" s="19" t="n">
        <v>2723.17</v>
      </c>
      <c r="G24" s="19" t="n">
        <v>4195.19</v>
      </c>
      <c r="H24" s="88" t="n">
        <v>1898.15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3859.94</v>
      </c>
      <c r="E25" s="35" t="n">
        <v>4351.639999999999</v>
      </c>
      <c r="F25" s="35" t="n">
        <v>3465.17</v>
      </c>
      <c r="G25" s="35" t="n">
        <v>5116.19</v>
      </c>
      <c r="H25" s="89" t="n">
        <v>2558.4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103543.74</v>
      </c>
      <c r="E26" s="35" t="n">
        <v>92616.95</v>
      </c>
      <c r="F26" s="35" t="n">
        <v>104329.28</v>
      </c>
      <c r="G26" s="35" t="n">
        <v>102468.21</v>
      </c>
      <c r="H26" s="89" t="n">
        <v>116085.62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1585.87</v>
      </c>
      <c r="E28" s="19" t="n">
        <v>3576.18</v>
      </c>
      <c r="F28" s="19" t="n">
        <v>2381.63</v>
      </c>
      <c r="G28" s="19" t="n">
        <v>755.14</v>
      </c>
      <c r="H28" s="88" t="n">
        <v>747.4299999999999</v>
      </c>
      <c r="I28" s="20" t="n">
        <v>2000</v>
      </c>
      <c r="J28" s="20" t="n">
        <v>2000</v>
      </c>
      <c r="K28" s="20" t="n">
        <v>2000</v>
      </c>
      <c r="L28" s="20" t="n">
        <v>2000</v>
      </c>
      <c r="M28" s="20" t="n">
        <v>2000</v>
      </c>
      <c r="N28" s="20" t="n">
        <v>2000</v>
      </c>
      <c r="O28" s="20" t="n">
        <v>2000</v>
      </c>
      <c r="P28" s="20" t="n">
        <v>2000</v>
      </c>
      <c r="Q28" s="20" t="n">
        <v>2000</v>
      </c>
      <c r="R28" s="20" t="n">
        <v>2000</v>
      </c>
      <c r="S28" s="20" t="n">
        <v>2000</v>
      </c>
      <c r="T28" s="20" t="n">
        <v>2000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1585.87</v>
      </c>
      <c r="E33" s="35" t="n">
        <v>3576.18</v>
      </c>
      <c r="F33" s="35" t="n">
        <v>2381.63</v>
      </c>
      <c r="G33" s="35" t="n">
        <v>755.14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65040.98</v>
      </c>
      <c r="E34" s="19" t="n">
        <v>56557.6</v>
      </c>
      <c r="F34" s="19" t="n">
        <v>59612.66</v>
      </c>
      <c r="G34" s="19" t="n">
        <v>58991.83</v>
      </c>
      <c r="H34" s="88" t="n">
        <v>57110.28</v>
      </c>
      <c r="I34" s="20" t="n">
        <v>41367.13</v>
      </c>
      <c r="J34" s="20" t="n">
        <v>41190.5</v>
      </c>
      <c r="K34" s="20" t="n">
        <v>42718.28</v>
      </c>
      <c r="L34" s="20" t="n">
        <v>42078.82</v>
      </c>
      <c r="M34" s="20" t="n">
        <v>42355.44</v>
      </c>
      <c r="N34" s="20" t="n">
        <v>43854.28</v>
      </c>
      <c r="O34" s="20" t="n">
        <v>44310.06</v>
      </c>
      <c r="P34" s="20" t="n">
        <v>42694.48</v>
      </c>
      <c r="Q34" s="20" t="n">
        <v>43869.02</v>
      </c>
      <c r="R34" s="20" t="n">
        <v>41469.19</v>
      </c>
      <c r="S34" s="20" t="n">
        <v>42303.21</v>
      </c>
      <c r="T34" s="20" t="n">
        <v>42048.64</v>
      </c>
      <c r="U34" s="20" t="n">
        <v>41809.08</v>
      </c>
      <c r="V34" s="20" t="n">
        <v>41623.62</v>
      </c>
      <c r="W34" s="20" t="n">
        <v>44075.27</v>
      </c>
      <c r="X34" s="20" t="n">
        <v>42709.72</v>
      </c>
      <c r="Y34" s="20" t="n">
        <v>43000.18</v>
      </c>
      <c r="Z34" s="20" t="n">
        <v>46007.96</v>
      </c>
      <c r="AA34" s="20" t="n">
        <v>46490.59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</row>
    <row r="35">
      <c r="B35" s="33" t="inlineStr">
        <is>
          <t xml:space="preserve">  602004 Payroll Taxes</t>
        </is>
      </c>
      <c r="D35" s="19" t="n">
        <v>10305.19</v>
      </c>
      <c r="E35" s="19" t="n">
        <v>5333.86</v>
      </c>
      <c r="F35" s="19" t="n">
        <v>5347.31</v>
      </c>
      <c r="G35" s="19" t="n">
        <v>5135.8</v>
      </c>
      <c r="H35" s="88" t="n">
        <v>4871.9</v>
      </c>
      <c r="I35" s="20" t="n">
        <v>4498.69</v>
      </c>
      <c r="J35" s="20" t="n">
        <v>4479.48</v>
      </c>
      <c r="K35" s="20" t="n">
        <v>4645.63</v>
      </c>
      <c r="L35" s="20" t="n">
        <v>4576.09</v>
      </c>
      <c r="M35" s="20" t="n">
        <v>4606.17</v>
      </c>
      <c r="N35" s="20" t="n">
        <v>4769.17</v>
      </c>
      <c r="O35" s="20" t="n">
        <v>4818.73</v>
      </c>
      <c r="P35" s="20" t="n">
        <v>4643.04</v>
      </c>
      <c r="Q35" s="20" t="n">
        <v>4770.77</v>
      </c>
      <c r="R35" s="20" t="n">
        <v>4509.79</v>
      </c>
      <c r="S35" s="20" t="n">
        <v>4600.49</v>
      </c>
      <c r="T35" s="20" t="n">
        <v>4572.8</v>
      </c>
      <c r="U35" s="20" t="n">
        <v>4546.75</v>
      </c>
      <c r="V35" s="20" t="n">
        <v>4526.58</v>
      </c>
      <c r="W35" s="20" t="n">
        <v>4793.2</v>
      </c>
      <c r="X35" s="20" t="n">
        <v>4644.7</v>
      </c>
      <c r="Y35" s="20" t="n">
        <v>4676.28</v>
      </c>
      <c r="Z35" s="20" t="n">
        <v>5003.38</v>
      </c>
      <c r="AA35" s="20" t="n">
        <v>5055.87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</row>
    <row r="36">
      <c r="B36" s="33" t="inlineStr">
        <is>
          <t xml:space="preserve">  602005 Employee Benefits</t>
        </is>
      </c>
      <c r="D36" s="19" t="n">
        <v>323.31</v>
      </c>
      <c r="E36" s="19" t="n">
        <v>280.41</v>
      </c>
      <c r="F36" s="19" t="n">
        <v>585.11</v>
      </c>
      <c r="G36" s="19" t="n">
        <v>292.96</v>
      </c>
      <c r="H36" s="88" t="n">
        <v>115.48</v>
      </c>
      <c r="I36" s="20" t="n">
        <v>255.19</v>
      </c>
      <c r="J36" s="20" t="n">
        <v>254.1</v>
      </c>
      <c r="K36" s="20" t="n">
        <v>263.53</v>
      </c>
      <c r="L36" s="20" t="n">
        <v>259.58</v>
      </c>
      <c r="M36" s="20" t="n">
        <v>261.29</v>
      </c>
      <c r="N36" s="20" t="n">
        <v>270.53</v>
      </c>
      <c r="O36" s="20" t="n">
        <v>273.34</v>
      </c>
      <c r="P36" s="20" t="n">
        <v>263.38</v>
      </c>
      <c r="Q36" s="20" t="n">
        <v>270.62</v>
      </c>
      <c r="R36" s="20" t="n">
        <v>255.82</v>
      </c>
      <c r="S36" s="20" t="n">
        <v>260.96</v>
      </c>
      <c r="T36" s="20" t="n">
        <v>259.39</v>
      </c>
      <c r="U36" s="20" t="n">
        <v>257.92</v>
      </c>
      <c r="V36" s="20" t="n">
        <v>256.77</v>
      </c>
      <c r="W36" s="20" t="n">
        <v>271.9</v>
      </c>
      <c r="X36" s="20" t="n">
        <v>263.47</v>
      </c>
      <c r="Y36" s="20" t="n">
        <v>265.26</v>
      </c>
      <c r="Z36" s="20" t="n">
        <v>283.82</v>
      </c>
      <c r="AA36" s="20" t="n">
        <v>286.8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</row>
    <row r="37">
      <c r="B37" s="33" t="inlineStr">
        <is>
          <t xml:space="preserve">  602010 Payroll Processing Fees</t>
        </is>
      </c>
      <c r="D37" s="19" t="n">
        <v>2835.3</v>
      </c>
      <c r="E37" s="19" t="n">
        <v>2814.84</v>
      </c>
      <c r="F37" s="19" t="n">
        <v>3875.32</v>
      </c>
      <c r="G37" s="19" t="n">
        <v>2734.27</v>
      </c>
      <c r="H37" s="88" t="n">
        <v>2537.58</v>
      </c>
      <c r="I37" s="20" t="n">
        <v>2111.34</v>
      </c>
      <c r="J37" s="20" t="n">
        <v>2102.32</v>
      </c>
      <c r="K37" s="20" t="n">
        <v>2180.3</v>
      </c>
      <c r="L37" s="20" t="n">
        <v>2147.66</v>
      </c>
      <c r="M37" s="20" t="n">
        <v>2161.78</v>
      </c>
      <c r="N37" s="20" t="n">
        <v>2238.28</v>
      </c>
      <c r="O37" s="20" t="n">
        <v>2261.54</v>
      </c>
      <c r="P37" s="20" t="n">
        <v>2179.08</v>
      </c>
      <c r="Q37" s="20" t="n">
        <v>2239.03</v>
      </c>
      <c r="R37" s="20" t="n">
        <v>2116.55</v>
      </c>
      <c r="S37" s="20" t="n">
        <v>2159.11</v>
      </c>
      <c r="T37" s="20" t="n">
        <v>2146.12</v>
      </c>
      <c r="U37" s="20" t="n">
        <v>2133.89</v>
      </c>
      <c r="V37" s="20" t="n">
        <v>2124.43</v>
      </c>
      <c r="W37" s="20" t="n">
        <v>2249.56</v>
      </c>
      <c r="X37" s="20" t="n">
        <v>2179.86</v>
      </c>
      <c r="Y37" s="20" t="n">
        <v>2194.69</v>
      </c>
      <c r="Z37" s="20" t="n">
        <v>2348.2</v>
      </c>
      <c r="AA37" s="20" t="n">
        <v>2372.83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</row>
    <row r="38">
      <c r="B38" s="32" t="inlineStr">
        <is>
          <t>Total Payroll</t>
        </is>
      </c>
      <c r="C38" s="34" t="n"/>
      <c r="D38" s="35" t="n">
        <v>78504.78</v>
      </c>
      <c r="E38" s="35" t="n">
        <v>64986.71000000001</v>
      </c>
      <c r="F38" s="35" t="n">
        <v>69420.40000000001</v>
      </c>
      <c r="G38" s="35" t="n">
        <v>67154.86</v>
      </c>
      <c r="H38" s="89" t="n">
        <v>64635.24000000001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870.24</v>
      </c>
      <c r="E39" s="19" t="n">
        <v>1220.43</v>
      </c>
      <c r="F39" s="19" t="n">
        <v>723.09</v>
      </c>
      <c r="G39" s="19" t="n">
        <v>748.27</v>
      </c>
      <c r="H39" s="88" t="n">
        <v>748.27</v>
      </c>
      <c r="I39" s="20" t="n">
        <v>794.02</v>
      </c>
      <c r="J39" s="20" t="n">
        <v>794.02</v>
      </c>
      <c r="K39" s="20" t="n">
        <v>794.02</v>
      </c>
      <c r="L39" s="20" t="n">
        <v>794.02</v>
      </c>
      <c r="M39" s="20" t="n">
        <v>794.02</v>
      </c>
      <c r="N39" s="20" t="n">
        <v>794.02</v>
      </c>
      <c r="O39" s="20" t="n">
        <v>794.02</v>
      </c>
      <c r="P39" s="20" t="n">
        <v>794.02</v>
      </c>
      <c r="Q39" s="20" t="n">
        <v>794.02</v>
      </c>
      <c r="R39" s="20" t="n">
        <v>794.02</v>
      </c>
      <c r="S39" s="20" t="n">
        <v>794.02</v>
      </c>
      <c r="T39" s="20" t="n">
        <v>794.02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</row>
    <row r="40">
      <c r="B40" s="33" t="inlineStr">
        <is>
          <t xml:space="preserve">  608000 Insurance</t>
        </is>
      </c>
      <c r="D40" s="19" t="n">
        <v>224.61</v>
      </c>
      <c r="E40" s="19" t="n">
        <v>89.09</v>
      </c>
      <c r="F40" s="19" t="n">
        <v>217.25</v>
      </c>
      <c r="G40" s="19" t="n">
        <v>217.25</v>
      </c>
      <c r="H40" s="88" t="n">
        <v>242.53</v>
      </c>
      <c r="I40" s="20" t="n">
        <v>166.78</v>
      </c>
      <c r="J40" s="20" t="n">
        <v>166.78</v>
      </c>
      <c r="K40" s="20" t="n">
        <v>166.78</v>
      </c>
      <c r="L40" s="20" t="n">
        <v>166.78</v>
      </c>
      <c r="M40" s="20" t="n">
        <v>166.78</v>
      </c>
      <c r="N40" s="20" t="n">
        <v>166.78</v>
      </c>
      <c r="O40" s="20" t="n">
        <v>166.78</v>
      </c>
      <c r="P40" s="20" t="n">
        <v>166.78</v>
      </c>
      <c r="Q40" s="20" t="n">
        <v>166.78</v>
      </c>
      <c r="R40" s="20" t="n">
        <v>166.78</v>
      </c>
      <c r="S40" s="20" t="n">
        <v>166.78</v>
      </c>
      <c r="T40" s="20" t="n">
        <v>166.78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</row>
    <row r="41">
      <c r="B41" s="33" t="inlineStr">
        <is>
          <t xml:space="preserve">  610000 Office Supplies</t>
        </is>
      </c>
      <c r="D41" s="19" t="n">
        <v>336.9</v>
      </c>
      <c r="E41" s="19" t="n">
        <v>216.57</v>
      </c>
      <c r="F41" s="19" t="n">
        <v>1327.16</v>
      </c>
      <c r="G41" s="19" t="n">
        <v>232.04</v>
      </c>
      <c r="H41" s="88" t="n">
        <v>0</v>
      </c>
      <c r="I41" s="20" t="n">
        <v>470.94</v>
      </c>
      <c r="J41" s="20" t="n">
        <v>470.94</v>
      </c>
      <c r="K41" s="20" t="n">
        <v>470.94</v>
      </c>
      <c r="L41" s="20" t="n">
        <v>470.94</v>
      </c>
      <c r="M41" s="20" t="n">
        <v>470.94</v>
      </c>
      <c r="N41" s="20" t="n">
        <v>470.94</v>
      </c>
      <c r="O41" s="20" t="n">
        <v>470.94</v>
      </c>
      <c r="P41" s="20" t="n">
        <v>470.94</v>
      </c>
      <c r="Q41" s="20" t="n">
        <v>470.94</v>
      </c>
      <c r="R41" s="20" t="n">
        <v>470.94</v>
      </c>
      <c r="S41" s="20" t="n">
        <v>470.94</v>
      </c>
      <c r="T41" s="20" t="n">
        <v>470.94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1190.62</v>
      </c>
      <c r="F44" s="19" t="n">
        <v>0</v>
      </c>
      <c r="G44" s="19" t="n">
        <v>0</v>
      </c>
      <c r="H44" s="88" t="n">
        <v>1116.82</v>
      </c>
      <c r="I44" s="20" t="n">
        <v>188.77</v>
      </c>
      <c r="J44" s="20" t="n">
        <v>188.77</v>
      </c>
      <c r="K44" s="20" t="n">
        <v>188.77</v>
      </c>
      <c r="L44" s="20" t="n">
        <v>188.77</v>
      </c>
      <c r="M44" s="20" t="n">
        <v>188.77</v>
      </c>
      <c r="N44" s="20" t="n">
        <v>188.77</v>
      </c>
      <c r="O44" s="20" t="n">
        <v>188.77</v>
      </c>
      <c r="P44" s="20" t="n">
        <v>188.77</v>
      </c>
      <c r="Q44" s="20" t="n">
        <v>188.77</v>
      </c>
      <c r="R44" s="20" t="n">
        <v>188.77</v>
      </c>
      <c r="S44" s="20" t="n">
        <v>188.77</v>
      </c>
      <c r="T44" s="20" t="n">
        <v>188.77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327.23</v>
      </c>
      <c r="J46" s="20" t="n">
        <v>327.23</v>
      </c>
      <c r="K46" s="20" t="n">
        <v>327.23</v>
      </c>
      <c r="L46" s="20" t="n">
        <v>327.23</v>
      </c>
      <c r="M46" s="20" t="n">
        <v>327.23</v>
      </c>
      <c r="N46" s="20" t="n">
        <v>327.23</v>
      </c>
      <c r="O46" s="20" t="n">
        <v>327.23</v>
      </c>
      <c r="P46" s="20" t="n">
        <v>327.23</v>
      </c>
      <c r="Q46" s="20" t="n">
        <v>327.23</v>
      </c>
      <c r="R46" s="20" t="n">
        <v>327.23</v>
      </c>
      <c r="S46" s="20" t="n">
        <v>327.23</v>
      </c>
      <c r="T46" s="20" t="n">
        <v>327.23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1706.62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379.75</v>
      </c>
      <c r="E48" s="19" t="n">
        <v>356.58</v>
      </c>
      <c r="F48" s="19" t="n">
        <v>322</v>
      </c>
      <c r="G48" s="19" t="n">
        <v>0</v>
      </c>
      <c r="H48" s="88" t="n">
        <v>0</v>
      </c>
      <c r="I48" s="20" t="n">
        <v>331.01</v>
      </c>
      <c r="J48" s="20" t="n">
        <v>331.01</v>
      </c>
      <c r="K48" s="20" t="n">
        <v>331.01</v>
      </c>
      <c r="L48" s="20" t="n">
        <v>331.01</v>
      </c>
      <c r="M48" s="20" t="n">
        <v>331.01</v>
      </c>
      <c r="N48" s="20" t="n">
        <v>331.01</v>
      </c>
      <c r="O48" s="20" t="n">
        <v>331.01</v>
      </c>
      <c r="P48" s="20" t="n">
        <v>331.01</v>
      </c>
      <c r="Q48" s="20" t="n">
        <v>331.01</v>
      </c>
      <c r="R48" s="20" t="n">
        <v>331.01</v>
      </c>
      <c r="S48" s="20" t="n">
        <v>331.01</v>
      </c>
      <c r="T48" s="20" t="n">
        <v>331.01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</row>
    <row r="49">
      <c r="B49" s="33" t="inlineStr">
        <is>
          <t xml:space="preserve">  606000 Meals</t>
        </is>
      </c>
      <c r="D49" s="19" t="n">
        <v>0</v>
      </c>
      <c r="E49" s="19" t="n">
        <v>20</v>
      </c>
      <c r="F49" s="19" t="n">
        <v>135.83</v>
      </c>
      <c r="G49" s="19" t="n">
        <v>0</v>
      </c>
      <c r="H49" s="88" t="n">
        <v>70.55</v>
      </c>
      <c r="I49" s="20" t="n">
        <v>48.74</v>
      </c>
      <c r="J49" s="20" t="n">
        <v>48.74</v>
      </c>
      <c r="K49" s="20" t="n">
        <v>48.74</v>
      </c>
      <c r="L49" s="20" t="n">
        <v>48.74</v>
      </c>
      <c r="M49" s="20" t="n">
        <v>48.74</v>
      </c>
      <c r="N49" s="20" t="n">
        <v>48.74</v>
      </c>
      <c r="O49" s="20" t="n">
        <v>48.74</v>
      </c>
      <c r="P49" s="20" t="n">
        <v>48.74</v>
      </c>
      <c r="Q49" s="20" t="n">
        <v>48.74</v>
      </c>
      <c r="R49" s="20" t="n">
        <v>48.74</v>
      </c>
      <c r="S49" s="20" t="n">
        <v>48.74</v>
      </c>
      <c r="T49" s="20" t="n">
        <v>48.74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178.32</v>
      </c>
      <c r="E53" s="19" t="n">
        <v>172.71</v>
      </c>
      <c r="F53" s="19" t="n">
        <v>171.96</v>
      </c>
      <c r="G53" s="19" t="n">
        <v>173.13</v>
      </c>
      <c r="H53" s="88" t="n">
        <v>166.63</v>
      </c>
      <c r="I53" s="20" t="n">
        <v>178.32</v>
      </c>
      <c r="J53" s="20" t="n">
        <v>178.32</v>
      </c>
      <c r="K53" s="20" t="n">
        <v>178.32</v>
      </c>
      <c r="L53" s="20" t="n">
        <v>178.32</v>
      </c>
      <c r="M53" s="20" t="n">
        <v>178.32</v>
      </c>
      <c r="N53" s="20" t="n">
        <v>178.32</v>
      </c>
      <c r="O53" s="20" t="n">
        <v>178.32</v>
      </c>
      <c r="P53" s="20" t="n">
        <v>178.32</v>
      </c>
      <c r="Q53" s="20" t="n">
        <v>178.32</v>
      </c>
      <c r="R53" s="20" t="n">
        <v>178.32</v>
      </c>
      <c r="S53" s="20" t="n">
        <v>178.32</v>
      </c>
      <c r="T53" s="20" t="n">
        <v>178.32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178.32</v>
      </c>
      <c r="E56" s="35" t="n">
        <v>172.71</v>
      </c>
      <c r="F56" s="35" t="n">
        <v>171.96</v>
      </c>
      <c r="G56" s="35" t="n">
        <v>173.13</v>
      </c>
      <c r="H56" s="89" t="n">
        <v>166.63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88" t="n">
        <v>12632.81</v>
      </c>
      <c r="I57" s="20" t="n">
        <v>12268.43</v>
      </c>
      <c r="J57" s="20" t="n">
        <v>12268.43</v>
      </c>
      <c r="K57" s="20" t="n">
        <v>12268.43</v>
      </c>
      <c r="L57" s="20" t="n">
        <v>12268.43</v>
      </c>
      <c r="M57" s="20" t="n">
        <v>12268.43</v>
      </c>
      <c r="N57" s="20" t="n">
        <v>12268.43</v>
      </c>
      <c r="O57" s="20" t="n">
        <v>12268.43</v>
      </c>
      <c r="P57" s="20" t="n">
        <v>12268.43</v>
      </c>
      <c r="Q57" s="20" t="n">
        <v>12268.43</v>
      </c>
      <c r="R57" s="20" t="n">
        <v>12268.43</v>
      </c>
      <c r="S57" s="20" t="n">
        <v>12268.43</v>
      </c>
      <c r="T57" s="20" t="n">
        <v>12268.43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-3.41</v>
      </c>
      <c r="E59" s="19" t="n">
        <v>200</v>
      </c>
      <c r="F59" s="19" t="n">
        <v>747.51</v>
      </c>
      <c r="G59" s="19" t="n">
        <v>200.83</v>
      </c>
      <c r="H59" s="88" t="n">
        <v>774.37</v>
      </c>
      <c r="I59" s="20" t="n">
        <v>279.63</v>
      </c>
      <c r="J59" s="20" t="n">
        <v>279.63</v>
      </c>
      <c r="K59" s="20" t="n">
        <v>279.63</v>
      </c>
      <c r="L59" s="20" t="n">
        <v>279.63</v>
      </c>
      <c r="M59" s="20" t="n">
        <v>279.63</v>
      </c>
      <c r="N59" s="20" t="n">
        <v>279.63</v>
      </c>
      <c r="O59" s="20" t="n">
        <v>279.63</v>
      </c>
      <c r="P59" s="20" t="n">
        <v>279.63</v>
      </c>
      <c r="Q59" s="20" t="n">
        <v>279.63</v>
      </c>
      <c r="R59" s="20" t="n">
        <v>279.63</v>
      </c>
      <c r="S59" s="20" t="n">
        <v>279.63</v>
      </c>
      <c r="T59" s="20" t="n">
        <v>279.63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335</v>
      </c>
      <c r="F60" s="19" t="n">
        <v>0</v>
      </c>
      <c r="G60" s="19" t="n">
        <v>0</v>
      </c>
      <c r="H60" s="88" t="n">
        <v>335</v>
      </c>
      <c r="I60" s="20" t="n">
        <v>81.33</v>
      </c>
      <c r="J60" s="20" t="n">
        <v>81.33</v>
      </c>
      <c r="K60" s="20" t="n">
        <v>81.33</v>
      </c>
      <c r="L60" s="20" t="n">
        <v>81.33</v>
      </c>
      <c r="M60" s="20" t="n">
        <v>81.33</v>
      </c>
      <c r="N60" s="20" t="n">
        <v>81.33</v>
      </c>
      <c r="O60" s="20" t="n">
        <v>81.33</v>
      </c>
      <c r="P60" s="20" t="n">
        <v>81.33</v>
      </c>
      <c r="Q60" s="20" t="n">
        <v>81.33</v>
      </c>
      <c r="R60" s="20" t="n">
        <v>81.33</v>
      </c>
      <c r="S60" s="20" t="n">
        <v>81.33</v>
      </c>
      <c r="T60" s="20" t="n">
        <v>81.33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</row>
    <row r="61">
      <c r="B61" s="32" t="inlineStr">
        <is>
          <t>Total Property Costs</t>
        </is>
      </c>
      <c r="C61" s="34" t="n"/>
      <c r="D61" s="35" t="n">
        <v>12629.4</v>
      </c>
      <c r="E61" s="35" t="n">
        <v>13167.81</v>
      </c>
      <c r="F61" s="35" t="n">
        <v>13380.32</v>
      </c>
      <c r="G61" s="35" t="n">
        <v>12833.64</v>
      </c>
      <c r="H61" s="89" t="n">
        <v>13742.18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95225.87</v>
      </c>
      <c r="E62" s="35" t="n">
        <v>85813.75999999999</v>
      </c>
      <c r="F62" s="35" t="n">
        <v>88595.64000000001</v>
      </c>
      <c r="G62" s="35" t="n">
        <v>82630.33</v>
      </c>
      <c r="H62" s="89" t="n">
        <v>82907.53000000003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8317.87000000001</v>
      </c>
      <c r="E63" s="35" t="n">
        <v>6803.190000000002</v>
      </c>
      <c r="F63" s="35" t="n">
        <v>15733.64</v>
      </c>
      <c r="G63" s="35" t="n">
        <v>19837.87999999999</v>
      </c>
      <c r="H63" s="89" t="n">
        <v>33178.09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2726.68</v>
      </c>
      <c r="E65" s="19" t="n">
        <v>2726.68</v>
      </c>
      <c r="F65" s="19" t="n">
        <v>2726.68</v>
      </c>
      <c r="G65" s="19" t="n">
        <v>2726.68</v>
      </c>
      <c r="H65" s="88" t="n">
        <v>2726.68</v>
      </c>
      <c r="I65" s="20">
        <f>I69*0.573916</f>
        <v/>
      </c>
      <c r="J65" s="20">
        <f>J69*0.573916</f>
        <v/>
      </c>
      <c r="K65" s="20">
        <f>K69*0.573916</f>
        <v/>
      </c>
      <c r="L65" s="20">
        <f>L69*0.573916</f>
        <v/>
      </c>
      <c r="M65" s="20">
        <f>M69*0.573916</f>
        <v/>
      </c>
      <c r="N65" s="20">
        <f>N69*0.573916</f>
        <v/>
      </c>
      <c r="O65" s="20">
        <f>O69*0.573916</f>
        <v/>
      </c>
      <c r="P65" s="20">
        <f>P69*0.573916</f>
        <v/>
      </c>
      <c r="Q65" s="20">
        <f>Q69*0.573916</f>
        <v/>
      </c>
      <c r="R65" s="20">
        <f>R69*0.573916</f>
        <v/>
      </c>
      <c r="S65" s="20">
        <f>S69*0.573916</f>
        <v/>
      </c>
      <c r="T65" s="20">
        <f>T69*0.573916</f>
        <v/>
      </c>
      <c r="U65" s="20">
        <f>U69*0.573916</f>
        <v/>
      </c>
      <c r="V65" s="20">
        <f>V69*0.573916</f>
        <v/>
      </c>
      <c r="W65" s="20">
        <f>W69*0.573916</f>
        <v/>
      </c>
      <c r="X65" s="20">
        <f>X69*0.573916</f>
        <v/>
      </c>
      <c r="Y65" s="20">
        <f>Y69*0.573916</f>
        <v/>
      </c>
      <c r="Z65" s="20">
        <f>Z69*0.573916</f>
        <v/>
      </c>
      <c r="AA65" s="20">
        <f>AA69*0.573916</f>
        <v/>
      </c>
      <c r="AB65" s="20">
        <f>AB69*0.573916</f>
        <v/>
      </c>
      <c r="AC65" s="20">
        <f>AC69*0.573916</f>
        <v/>
      </c>
      <c r="AD65" s="20">
        <f>AD69*0.573916</f>
        <v/>
      </c>
      <c r="AE65" s="20">
        <f>AE69*0.573916</f>
        <v/>
      </c>
      <c r="AF65" s="20">
        <f>AF69*0.573916</f>
        <v/>
      </c>
      <c r="AG65" s="20">
        <f>AG69*0.573916</f>
        <v/>
      </c>
      <c r="AH65" s="20">
        <f>AH69*0.573916</f>
        <v/>
      </c>
      <c r="AI65" s="20">
        <f>AI69*0.573916</f>
        <v/>
      </c>
      <c r="AJ65" s="20">
        <f>AJ69*0.573916</f>
        <v/>
      </c>
      <c r="AK65" s="20">
        <f>AK69*0.573916</f>
        <v/>
      </c>
      <c r="AL65" s="20">
        <f>AL69*0.573916</f>
        <v/>
      </c>
      <c r="AM65" s="20">
        <f>AM69*0.573916</f>
        <v/>
      </c>
    </row>
    <row r="66">
      <c r="B66" s="33" t="inlineStr">
        <is>
          <t xml:space="preserve">  901000 Interest Expense</t>
        </is>
      </c>
      <c r="D66" s="19" t="n">
        <v>1366.75</v>
      </c>
      <c r="E66" s="19" t="n">
        <v>1366.75</v>
      </c>
      <c r="F66" s="19" t="n">
        <v>1366.75</v>
      </c>
      <c r="G66" s="19" t="n">
        <v>3416.87</v>
      </c>
      <c r="H66" s="88" t="n">
        <v>0</v>
      </c>
      <c r="I66" s="20">
        <f>I69*0.395554</f>
        <v/>
      </c>
      <c r="J66" s="20">
        <f>J69*0.395554</f>
        <v/>
      </c>
      <c r="K66" s="20">
        <f>K69*0.395554</f>
        <v/>
      </c>
      <c r="L66" s="20">
        <f>L69*0.395554</f>
        <v/>
      </c>
      <c r="M66" s="20">
        <f>M69*0.395554</f>
        <v/>
      </c>
      <c r="N66" s="20">
        <f>N69*0.395554</f>
        <v/>
      </c>
      <c r="O66" s="20">
        <f>O69*0.395554</f>
        <v/>
      </c>
      <c r="P66" s="20">
        <f>P69*0.395554</f>
        <v/>
      </c>
      <c r="Q66" s="20">
        <f>Q69*0.395554</f>
        <v/>
      </c>
      <c r="R66" s="20">
        <f>R69*0.395554</f>
        <v/>
      </c>
      <c r="S66" s="20">
        <f>S69*0.395554</f>
        <v/>
      </c>
      <c r="T66" s="20">
        <f>T69*0.395554</f>
        <v/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580.1799999999999</v>
      </c>
      <c r="F67" s="19" t="n">
        <v>0</v>
      </c>
      <c r="G67" s="19" t="n">
        <v>0</v>
      </c>
      <c r="H67" s="88" t="n">
        <v>0</v>
      </c>
      <c r="I67" s="20">
        <f>I69*0.030529</f>
        <v/>
      </c>
      <c r="J67" s="20">
        <f>J69*0.030529</f>
        <v/>
      </c>
      <c r="K67" s="20">
        <f>K69*0.030529</f>
        <v/>
      </c>
      <c r="L67" s="20">
        <f>L69*0.030529</f>
        <v/>
      </c>
      <c r="M67" s="20">
        <f>M69*0.030529</f>
        <v/>
      </c>
      <c r="N67" s="20">
        <f>N69*0.030529</f>
        <v/>
      </c>
      <c r="O67" s="20">
        <f>O69*0.030529</f>
        <v/>
      </c>
      <c r="P67" s="20">
        <f>P69*0.030529</f>
        <v/>
      </c>
      <c r="Q67" s="20">
        <f>Q69*0.030529</f>
        <v/>
      </c>
      <c r="R67" s="20">
        <f>R69*0.030529</f>
        <v/>
      </c>
      <c r="S67" s="20">
        <f>S69*0.030529</f>
        <v/>
      </c>
      <c r="T67" s="20">
        <f>T69*0.030529</f>
        <v/>
      </c>
      <c r="U67" s="20">
        <f>U69*0.030529</f>
        <v/>
      </c>
      <c r="V67" s="20">
        <f>V69*0.030529</f>
        <v/>
      </c>
      <c r="W67" s="20">
        <f>W69*0.030529</f>
        <v/>
      </c>
      <c r="X67" s="20">
        <f>X69*0.030529</f>
        <v/>
      </c>
      <c r="Y67" s="20">
        <f>Y69*0.030529</f>
        <v/>
      </c>
      <c r="Z67" s="20">
        <f>Z69*0.030529</f>
        <v/>
      </c>
      <c r="AA67" s="20">
        <f>AA69*0.030529</f>
        <v/>
      </c>
      <c r="AB67" s="20">
        <f>AB69*0.030529</f>
        <v/>
      </c>
      <c r="AC67" s="20">
        <f>AC69*0.030529</f>
        <v/>
      </c>
      <c r="AD67" s="20">
        <f>AD69*0.030529</f>
        <v/>
      </c>
      <c r="AE67" s="20">
        <f>AE69*0.030529</f>
        <v/>
      </c>
      <c r="AF67" s="20">
        <f>AF69*0.030529</f>
        <v/>
      </c>
      <c r="AG67" s="20">
        <f>AG69*0.030529</f>
        <v/>
      </c>
      <c r="AH67" s="20">
        <f>AH69*0.030529</f>
        <v/>
      </c>
      <c r="AI67" s="20">
        <f>AI69*0.030529</f>
        <v/>
      </c>
      <c r="AJ67" s="20">
        <f>AJ69*0.030529</f>
        <v/>
      </c>
      <c r="AK67" s="20">
        <f>AK69*0.030529</f>
        <v/>
      </c>
      <c r="AL67" s="20">
        <f>AL69*0.030529</f>
        <v/>
      </c>
      <c r="AM67" s="20">
        <f>AM69*0.030529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4093.43</v>
      </c>
      <c r="E69" s="35" t="n">
        <v>4673.61</v>
      </c>
      <c r="F69" s="35" t="n">
        <v>4093.43</v>
      </c>
      <c r="G69" s="35" t="n">
        <v>6143.549999999999</v>
      </c>
      <c r="H69" s="89" t="n">
        <v>2726.68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4224.44000000001</v>
      </c>
      <c r="E70" s="35" t="n">
        <v>2129.580000000003</v>
      </c>
      <c r="F70" s="35" t="n">
        <v>11640.21</v>
      </c>
      <c r="G70" s="35" t="n">
        <v>13694.32999999999</v>
      </c>
      <c r="H70" s="89" t="n">
        <v>30451.41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Ocean Park (OP)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33656.75</v>
      </c>
      <c r="E7" s="19" t="n">
        <v>30028.27</v>
      </c>
      <c r="F7" s="19" t="n">
        <v>31271</v>
      </c>
      <c r="G7" s="19" t="n">
        <v>31015.02</v>
      </c>
      <c r="H7" s="88" t="n">
        <v>37715.61</v>
      </c>
      <c r="I7" s="20">
        <f>I13*0.577355</f>
        <v/>
      </c>
      <c r="J7" s="20">
        <f>J13*0.577355</f>
        <v/>
      </c>
      <c r="K7" s="20">
        <f>K13*0.577355</f>
        <v/>
      </c>
      <c r="L7" s="20">
        <f>L13*0.577355</f>
        <v/>
      </c>
      <c r="M7" s="20">
        <f>M13*0.577355</f>
        <v/>
      </c>
      <c r="N7" s="20">
        <f>N13*0.577355</f>
        <v/>
      </c>
      <c r="O7" s="20">
        <f>O13*0.577355</f>
        <v/>
      </c>
      <c r="P7" s="20">
        <f>P13*0.577355</f>
        <v/>
      </c>
      <c r="Q7" s="20">
        <f>Q13*0.577355</f>
        <v/>
      </c>
      <c r="R7" s="20">
        <f>R13*0.577355</f>
        <v/>
      </c>
      <c r="S7" s="20">
        <f>S13*0.577355</f>
        <v/>
      </c>
      <c r="T7" s="20">
        <f>T13*0.577355</f>
        <v/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</row>
    <row r="8">
      <c r="B8" s="33" t="inlineStr">
        <is>
          <t xml:space="preserve">  401002 Private Pilates</t>
        </is>
      </c>
      <c r="D8" s="19" t="n">
        <v>5661.3</v>
      </c>
      <c r="E8" s="19" t="n">
        <v>6470</v>
      </c>
      <c r="F8" s="19" t="n">
        <v>5699.46</v>
      </c>
      <c r="G8" s="19" t="n">
        <v>4246.88</v>
      </c>
      <c r="H8" s="88" t="n">
        <v>4943</v>
      </c>
      <c r="I8" s="20">
        <f>I13*0.101187</f>
        <v/>
      </c>
      <c r="J8" s="20">
        <f>J13*0.101187</f>
        <v/>
      </c>
      <c r="K8" s="20">
        <f>K13*0.101187</f>
        <v/>
      </c>
      <c r="L8" s="20">
        <f>L13*0.101187</f>
        <v/>
      </c>
      <c r="M8" s="20">
        <f>M13*0.101187</f>
        <v/>
      </c>
      <c r="N8" s="20">
        <f>N13*0.101187</f>
        <v/>
      </c>
      <c r="O8" s="20">
        <f>O13*0.101187</f>
        <v/>
      </c>
      <c r="P8" s="20">
        <f>P13*0.101187</f>
        <v/>
      </c>
      <c r="Q8" s="20">
        <f>Q13*0.101187</f>
        <v/>
      </c>
      <c r="R8" s="20">
        <f>R13*0.101187</f>
        <v/>
      </c>
      <c r="S8" s="20">
        <f>S13*0.101187</f>
        <v/>
      </c>
      <c r="T8" s="20">
        <f>T13*0.101187</f>
        <v/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</row>
    <row r="9">
      <c r="B9" s="33" t="inlineStr">
        <is>
          <t xml:space="preserve">  401003 Class Pass</t>
        </is>
      </c>
      <c r="D9" s="19" t="n">
        <v>18924.97</v>
      </c>
      <c r="E9" s="19" t="n">
        <v>15460.98</v>
      </c>
      <c r="F9" s="19" t="n">
        <v>18153.6</v>
      </c>
      <c r="G9" s="19" t="n">
        <v>16356</v>
      </c>
      <c r="H9" s="88" t="n">
        <v>14493.87</v>
      </c>
      <c r="I9" s="20">
        <f>I13*0.315765</f>
        <v/>
      </c>
      <c r="J9" s="20">
        <f>J13*0.315765</f>
        <v/>
      </c>
      <c r="K9" s="20">
        <f>K13*0.315765</f>
        <v/>
      </c>
      <c r="L9" s="20">
        <f>L13*0.315765</f>
        <v/>
      </c>
      <c r="M9" s="20">
        <f>M13*0.315765</f>
        <v/>
      </c>
      <c r="N9" s="20">
        <f>N13*0.315765</f>
        <v/>
      </c>
      <c r="O9" s="20">
        <f>O13*0.315765</f>
        <v/>
      </c>
      <c r="P9" s="20">
        <f>P13*0.315765</f>
        <v/>
      </c>
      <c r="Q9" s="20">
        <f>Q13*0.315765</f>
        <v/>
      </c>
      <c r="R9" s="20">
        <f>R13*0.315765</f>
        <v/>
      </c>
      <c r="S9" s="20">
        <f>S13*0.315765</f>
        <v/>
      </c>
      <c r="T9" s="20">
        <f>T13*0.315765</f>
        <v/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</row>
    <row r="10">
      <c r="B10" s="33" t="inlineStr">
        <is>
          <t xml:space="preserve">  401004 Mighty Teacher Training</t>
        </is>
      </c>
      <c r="D10" s="19" t="n">
        <v>600</v>
      </c>
      <c r="E10" s="19" t="n">
        <v>0</v>
      </c>
      <c r="F10" s="19" t="n">
        <v>0</v>
      </c>
      <c r="G10" s="19" t="n">
        <v>0</v>
      </c>
      <c r="H10" s="88" t="n">
        <v>0</v>
      </c>
      <c r="I10" s="20">
        <f>I13*0.00275</f>
        <v/>
      </c>
      <c r="J10" s="20">
        <f>J13*0.00275</f>
        <v/>
      </c>
      <c r="K10" s="20">
        <f>K13*0.00275</f>
        <v/>
      </c>
      <c r="L10" s="20">
        <f>L13*0.00275</f>
        <v/>
      </c>
      <c r="M10" s="20">
        <f>M13*0.00275</f>
        <v/>
      </c>
      <c r="N10" s="20">
        <f>N13*0.00275</f>
        <v/>
      </c>
      <c r="O10" s="20">
        <f>O13*0.00275</f>
        <v/>
      </c>
      <c r="P10" s="20">
        <f>P13*0.00275</f>
        <v/>
      </c>
      <c r="Q10" s="20">
        <f>Q13*0.00275</f>
        <v/>
      </c>
      <c r="R10" s="20">
        <f>R13*0.00275</f>
        <v/>
      </c>
      <c r="S10" s="20">
        <f>S13*0.00275</f>
        <v/>
      </c>
      <c r="T10" s="20">
        <f>T13*0.00275</f>
        <v/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75.33</v>
      </c>
      <c r="G11" s="19" t="n">
        <v>107.61</v>
      </c>
      <c r="H11" s="88" t="n">
        <v>182.4</v>
      </c>
      <c r="I11" s="20">
        <f>I13*0.000903</f>
        <v/>
      </c>
      <c r="J11" s="20">
        <f>J13*0.000903</f>
        <v/>
      </c>
      <c r="K11" s="20">
        <f>K13*0.000903</f>
        <v/>
      </c>
      <c r="L11" s="20">
        <f>L13*0.000903</f>
        <v/>
      </c>
      <c r="M11" s="20">
        <f>M13*0.000903</f>
        <v/>
      </c>
      <c r="N11" s="20">
        <f>N13*0.000903</f>
        <v/>
      </c>
      <c r="O11" s="20">
        <f>O13*0.000903</f>
        <v/>
      </c>
      <c r="P11" s="20">
        <f>P13*0.000903</f>
        <v/>
      </c>
      <c r="Q11" s="20">
        <f>Q13*0.000903</f>
        <v/>
      </c>
      <c r="R11" s="20">
        <f>R13*0.000903</f>
        <v/>
      </c>
      <c r="S11" s="20">
        <f>S13*0.000903</f>
        <v/>
      </c>
      <c r="T11" s="20">
        <f>T13*0.000903</f>
        <v/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</row>
    <row r="12">
      <c r="B12" s="33" t="inlineStr">
        <is>
          <t xml:space="preserve">  401006 Wellhub</t>
        </is>
      </c>
      <c r="D12" s="19" t="n">
        <v>111.28</v>
      </c>
      <c r="E12" s="19" t="n">
        <v>55.64</v>
      </c>
      <c r="F12" s="19" t="n">
        <v>278.2</v>
      </c>
      <c r="G12" s="19" t="n">
        <v>0</v>
      </c>
      <c r="H12" s="88" t="n">
        <v>83.45999999999999</v>
      </c>
      <c r="I12" s="20">
        <f>I13*0.00204</f>
        <v/>
      </c>
      <c r="J12" s="20">
        <f>J13*0.00204</f>
        <v/>
      </c>
      <c r="K12" s="20">
        <f>K13*0.00204</f>
        <v/>
      </c>
      <c r="L12" s="20">
        <f>L13*0.00204</f>
        <v/>
      </c>
      <c r="M12" s="20">
        <f>M13*0.00204</f>
        <v/>
      </c>
      <c r="N12" s="20">
        <f>N13*0.00204</f>
        <v/>
      </c>
      <c r="O12" s="20">
        <f>O13*0.00204</f>
        <v/>
      </c>
      <c r="P12" s="20">
        <f>P13*0.00204</f>
        <v/>
      </c>
      <c r="Q12" s="20">
        <f>Q13*0.00204</f>
        <v/>
      </c>
      <c r="R12" s="20">
        <f>R13*0.00204</f>
        <v/>
      </c>
      <c r="S12" s="20">
        <f>S13*0.00204</f>
        <v/>
      </c>
      <c r="T12" s="20">
        <f>T13*0.00204</f>
        <v/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</row>
    <row r="13">
      <c r="B13" s="32" t="inlineStr">
        <is>
          <t>Total Sessions</t>
        </is>
      </c>
      <c r="C13" s="34" t="n"/>
      <c r="D13" s="35" t="n">
        <v>58954.3</v>
      </c>
      <c r="E13" s="35" t="n">
        <v>52028.89</v>
      </c>
      <c r="F13" s="35" t="n">
        <v>55477.59</v>
      </c>
      <c r="G13" s="35" t="n">
        <v>51725.51</v>
      </c>
      <c r="H13" s="89" t="n">
        <v>57418.34</v>
      </c>
      <c r="I13" s="17">
        <f>'Sales Forecast'!I11*Assumptions!$C$12+'Sales Forecast'!H11*Assumptions!$D$12+'Sales Forecast'!G11*Assumptions!$E$12+'Sales Forecast'!F11*Assumptions!$F$12+'Sales Forecast'!E11*Assumptions!$G$12+'Sales Forecast'!D11*Assumptions!$H$12+'Sales Forecast'!I107*Assumptions!$I$12</f>
        <v/>
      </c>
      <c r="J13" s="17">
        <f>'Sales Forecast'!J11*Assumptions!$C$12+'Sales Forecast'!I11*Assumptions!$D$12+'Sales Forecast'!H11*Assumptions!$E$12+'Sales Forecast'!G11*Assumptions!$F$12+'Sales Forecast'!F11*Assumptions!$G$12+'Sales Forecast'!E11*Assumptions!$H$12+'Sales Forecast'!D11*Assumptions!$I$12</f>
        <v/>
      </c>
      <c r="K13" s="17">
        <f>'Sales Forecast'!K11*Assumptions!$C$12+'Sales Forecast'!J11*Assumptions!$D$12+'Sales Forecast'!I11*Assumptions!$E$12+'Sales Forecast'!H11*Assumptions!$F$12+'Sales Forecast'!G11*Assumptions!$G$12+'Sales Forecast'!F11*Assumptions!$H$12+'Sales Forecast'!E11*Assumptions!$I$12</f>
        <v/>
      </c>
      <c r="L13" s="17">
        <f>'Sales Forecast'!L11*Assumptions!$C$12+'Sales Forecast'!K11*Assumptions!$D$12+'Sales Forecast'!J11*Assumptions!$E$12+'Sales Forecast'!I11*Assumptions!$F$12+'Sales Forecast'!H11*Assumptions!$G$12+'Sales Forecast'!G11*Assumptions!$H$12+'Sales Forecast'!F11*Assumptions!$I$12</f>
        <v/>
      </c>
      <c r="M13" s="17">
        <f>'Sales Forecast'!M11*Assumptions!$C$12+'Sales Forecast'!L11*Assumptions!$D$12+'Sales Forecast'!K11*Assumptions!$E$12+'Sales Forecast'!J11*Assumptions!$F$12+'Sales Forecast'!I11*Assumptions!$G$12+'Sales Forecast'!H11*Assumptions!$H$12+'Sales Forecast'!G11*Assumptions!$I$12</f>
        <v/>
      </c>
      <c r="N13" s="17">
        <f>'Sales Forecast'!N11*Assumptions!$C$12+'Sales Forecast'!M11*Assumptions!$D$12+'Sales Forecast'!L11*Assumptions!$E$12+'Sales Forecast'!K11*Assumptions!$F$12+'Sales Forecast'!J11*Assumptions!$G$12+'Sales Forecast'!I11*Assumptions!$H$12+'Sales Forecast'!H11*Assumptions!$I$12</f>
        <v/>
      </c>
      <c r="O13" s="17">
        <f>'Sales Forecast'!O11*Assumptions!$C$12+'Sales Forecast'!N11*Assumptions!$D$12+'Sales Forecast'!M11*Assumptions!$E$12+'Sales Forecast'!L11*Assumptions!$F$12+'Sales Forecast'!K11*Assumptions!$G$12+'Sales Forecast'!J11*Assumptions!$H$12+'Sales Forecast'!I11*Assumptions!$I$12</f>
        <v/>
      </c>
      <c r="P13" s="17">
        <f>'Sales Forecast'!P11*Assumptions!$C$12+'Sales Forecast'!O11*Assumptions!$D$12+'Sales Forecast'!N11*Assumptions!$E$12+'Sales Forecast'!M11*Assumptions!$F$12+'Sales Forecast'!L11*Assumptions!$G$12+'Sales Forecast'!K11*Assumptions!$H$12+'Sales Forecast'!J11*Assumptions!$I$12</f>
        <v/>
      </c>
      <c r="Q13" s="17">
        <f>'Sales Forecast'!Q11*Assumptions!$C$12+'Sales Forecast'!P11*Assumptions!$D$12+'Sales Forecast'!O11*Assumptions!$E$12+'Sales Forecast'!N11*Assumptions!$F$12+'Sales Forecast'!M11*Assumptions!$G$12+'Sales Forecast'!L11*Assumptions!$H$12+'Sales Forecast'!K11*Assumptions!$I$12</f>
        <v/>
      </c>
      <c r="R13" s="17">
        <f>'Sales Forecast'!R11*Assumptions!$C$12+'Sales Forecast'!Q11*Assumptions!$D$12+'Sales Forecast'!P11*Assumptions!$E$12+'Sales Forecast'!O11*Assumptions!$F$12+'Sales Forecast'!N11*Assumptions!$G$12+'Sales Forecast'!M11*Assumptions!$H$12+'Sales Forecast'!L11*Assumptions!$I$12</f>
        <v/>
      </c>
      <c r="S13" s="17">
        <f>'Sales Forecast'!S11*Assumptions!$C$12+'Sales Forecast'!R11*Assumptions!$D$12+'Sales Forecast'!Q11*Assumptions!$E$12+'Sales Forecast'!P11*Assumptions!$F$12+'Sales Forecast'!O11*Assumptions!$G$12+'Sales Forecast'!N11*Assumptions!$H$12+'Sales Forecast'!M11*Assumptions!$I$12</f>
        <v/>
      </c>
      <c r="T13" s="17">
        <f>'Sales Forecast'!T11*Assumptions!$C$12+'Sales Forecast'!S11*Assumptions!$D$12+'Sales Forecast'!R11*Assumptions!$E$12+'Sales Forecast'!Q11*Assumptions!$F$12+'Sales Forecast'!P11*Assumptions!$G$12+'Sales Forecast'!O11*Assumptions!$H$12+'Sales Forecast'!N11*Assumptions!$I$12</f>
        <v/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Forecast'!O11*Assumptions!$I$12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</row>
    <row r="14">
      <c r="B14" s="33" t="inlineStr">
        <is>
          <t xml:space="preserve">  403001 Machine Breakage</t>
        </is>
      </c>
      <c r="D14" s="19" t="n">
        <v>9500.950000000001</v>
      </c>
      <c r="E14" s="19" t="n">
        <v>7536.03</v>
      </c>
      <c r="F14" s="19" t="n">
        <v>6801.83</v>
      </c>
      <c r="G14" s="19" t="n">
        <v>6492.85</v>
      </c>
      <c r="H14" s="88" t="n">
        <v>10977.55</v>
      </c>
      <c r="I14" s="20">
        <f>I17*0.934564</f>
        <v/>
      </c>
      <c r="J14" s="20">
        <f>J17*0.934564</f>
        <v/>
      </c>
      <c r="K14" s="20">
        <f>K17*0.934564</f>
        <v/>
      </c>
      <c r="L14" s="20">
        <f>L17*0.934564</f>
        <v/>
      </c>
      <c r="M14" s="20">
        <f>M17*0.934564</f>
        <v/>
      </c>
      <c r="N14" s="20">
        <f>N17*0.934564</f>
        <v/>
      </c>
      <c r="O14" s="20">
        <f>O17*0.934564</f>
        <v/>
      </c>
      <c r="P14" s="20">
        <f>P17*0.934564</f>
        <v/>
      </c>
      <c r="Q14" s="20">
        <f>Q17*0.934564</f>
        <v/>
      </c>
      <c r="R14" s="20">
        <f>R17*0.934564</f>
        <v/>
      </c>
      <c r="S14" s="20">
        <f>S17*0.934564</f>
        <v/>
      </c>
      <c r="T14" s="20">
        <f>T17*0.934564</f>
        <v/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</row>
    <row r="15">
      <c r="B15" s="33" t="inlineStr">
        <is>
          <t xml:space="preserve">  403003 Private Pilates Breakage</t>
        </is>
      </c>
      <c r="D15" s="19" t="n">
        <v>220</v>
      </c>
      <c r="E15" s="19" t="n">
        <v>93.12</v>
      </c>
      <c r="F15" s="19" t="n">
        <v>1195</v>
      </c>
      <c r="G15" s="19" t="n">
        <v>615.63</v>
      </c>
      <c r="H15" s="88" t="n">
        <v>534.38</v>
      </c>
      <c r="I15" s="20">
        <f>I17*0.065436</f>
        <v/>
      </c>
      <c r="J15" s="20">
        <f>J17*0.065436</f>
        <v/>
      </c>
      <c r="K15" s="20">
        <f>K17*0.065436</f>
        <v/>
      </c>
      <c r="L15" s="20">
        <f>L17*0.065436</f>
        <v/>
      </c>
      <c r="M15" s="20">
        <f>M17*0.065436</f>
        <v/>
      </c>
      <c r="N15" s="20">
        <f>N17*0.065436</f>
        <v/>
      </c>
      <c r="O15" s="20">
        <f>O17*0.065436</f>
        <v/>
      </c>
      <c r="P15" s="20">
        <f>P17*0.065436</f>
        <v/>
      </c>
      <c r="Q15" s="20">
        <f>Q17*0.065436</f>
        <v/>
      </c>
      <c r="R15" s="20">
        <f>R17*0.065436</f>
        <v/>
      </c>
      <c r="S15" s="20">
        <f>S17*0.065436</f>
        <v/>
      </c>
      <c r="T15" s="20">
        <f>T17*0.065436</f>
        <v/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9720.950000000001</v>
      </c>
      <c r="E17" s="35" t="n">
        <v>7629.15</v>
      </c>
      <c r="F17" s="35" t="n">
        <v>7996.83</v>
      </c>
      <c r="G17" s="35" t="n">
        <v>7108.48</v>
      </c>
      <c r="H17" s="89" t="n">
        <v>11511.93</v>
      </c>
      <c r="I17" s="17">
        <f>'Sales Forecast'!I11*Assumptions!$C$13+'Sales Forecast'!H11*Assumptions!$D$13+'Sales Forecast'!G11*Assumptions!$E$13+'Sales Forecast'!F11*Assumptions!$F$13+'Sales Forecast'!E11*Assumptions!$G$13+'Sales Forecast'!D11*Assumptions!$H$13+'Sales Forecast'!I107*Assumptions!$I$13</f>
        <v/>
      </c>
      <c r="J17" s="17">
        <f>'Sales Forecast'!J11*Assumptions!$C$13+'Sales Forecast'!I11*Assumptions!$D$13+'Sales Forecast'!H11*Assumptions!$E$13+'Sales Forecast'!G11*Assumptions!$F$13+'Sales Forecast'!F11*Assumptions!$G$13+'Sales Forecast'!E11*Assumptions!$H$13+'Sales Forecast'!D11*Assumptions!$I$13</f>
        <v/>
      </c>
      <c r="K17" s="17">
        <f>'Sales Forecast'!K11*Assumptions!$C$13+'Sales Forecast'!J11*Assumptions!$D$13+'Sales Forecast'!I11*Assumptions!$E$13+'Sales Forecast'!H11*Assumptions!$F$13+'Sales Forecast'!G11*Assumptions!$G$13+'Sales Forecast'!F11*Assumptions!$H$13+'Sales Forecast'!E11*Assumptions!$I$13</f>
        <v/>
      </c>
      <c r="L17" s="17">
        <f>'Sales Forecast'!L11*Assumptions!$C$13+'Sales Forecast'!K11*Assumptions!$D$13+'Sales Forecast'!J11*Assumptions!$E$13+'Sales Forecast'!I11*Assumptions!$F$13+'Sales Forecast'!H11*Assumptions!$G$13+'Sales Forecast'!G11*Assumptions!$H$13+'Sales Forecast'!F11*Assumptions!$I$13</f>
        <v/>
      </c>
      <c r="M17" s="17">
        <f>'Sales Forecast'!M11*Assumptions!$C$13+'Sales Forecast'!L11*Assumptions!$D$13+'Sales Forecast'!K11*Assumptions!$E$13+'Sales Forecast'!J11*Assumptions!$F$13+'Sales Forecast'!I11*Assumptions!$G$13+'Sales Forecast'!H11*Assumptions!$H$13+'Sales Forecast'!G11*Assumptions!$I$13</f>
        <v/>
      </c>
      <c r="N17" s="17">
        <f>'Sales Forecast'!N11*Assumptions!$C$13+'Sales Forecast'!M11*Assumptions!$D$13+'Sales Forecast'!L11*Assumptions!$E$13+'Sales Forecast'!K11*Assumptions!$F$13+'Sales Forecast'!J11*Assumptions!$G$13+'Sales Forecast'!I11*Assumptions!$H$13+'Sales Forecast'!H11*Assumptions!$I$13</f>
        <v/>
      </c>
      <c r="O17" s="17">
        <f>'Sales Forecast'!O11*Assumptions!$C$13+'Sales Forecast'!N11*Assumptions!$D$13+'Sales Forecast'!M11*Assumptions!$E$13+'Sales Forecast'!L11*Assumptions!$F$13+'Sales Forecast'!K11*Assumptions!$G$13+'Sales Forecast'!J11*Assumptions!$H$13+'Sales Forecast'!I11*Assumptions!$I$13</f>
        <v/>
      </c>
      <c r="P17" s="17">
        <f>'Sales Forecast'!P11*Assumptions!$C$13+'Sales Forecast'!O11*Assumptions!$D$13+'Sales Forecast'!N11*Assumptions!$E$13+'Sales Forecast'!M11*Assumptions!$F$13+'Sales Forecast'!L11*Assumptions!$G$13+'Sales Forecast'!K11*Assumptions!$H$13+'Sales Forecast'!J11*Assumptions!$I$13</f>
        <v/>
      </c>
      <c r="Q17" s="17">
        <f>'Sales Forecast'!Q11*Assumptions!$C$13+'Sales Forecast'!P11*Assumptions!$D$13+'Sales Forecast'!O11*Assumptions!$E$13+'Sales Forecast'!N11*Assumptions!$F$13+'Sales Forecast'!M11*Assumptions!$G$13+'Sales Forecast'!L11*Assumptions!$H$13+'Sales Forecast'!K11*Assumptions!$I$13</f>
        <v/>
      </c>
      <c r="R17" s="17">
        <f>'Sales Forecast'!R11*Assumptions!$C$13+'Sales Forecast'!Q11*Assumptions!$D$13+'Sales Forecast'!P11*Assumptions!$E$13+'Sales Forecast'!O11*Assumptions!$F$13+'Sales Forecast'!N11*Assumptions!$G$13+'Sales Forecast'!M11*Assumptions!$H$13+'Sales Forecast'!L11*Assumptions!$I$13</f>
        <v/>
      </c>
      <c r="S17" s="17">
        <f>'Sales Forecast'!S11*Assumptions!$C$13+'Sales Forecast'!R11*Assumptions!$D$13+'Sales Forecast'!Q11*Assumptions!$E$13+'Sales Forecast'!P11*Assumptions!$F$13+'Sales Forecast'!O11*Assumptions!$G$13+'Sales Forecast'!N11*Assumptions!$H$13+'Sales Forecast'!M11*Assumptions!$I$13</f>
        <v/>
      </c>
      <c r="T17" s="17">
        <f>'Sales Forecast'!T11*Assumptions!$C$13+'Sales Forecast'!S11*Assumptions!$D$13+'Sales Forecast'!R11*Assumptions!$E$13+'Sales Forecast'!Q11*Assumptions!$F$13+'Sales Forecast'!P11*Assumptions!$G$13+'Sales Forecast'!O11*Assumptions!$H$13+'Sales Forecast'!N11*Assumptions!$I$13</f>
        <v/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Forecast'!O11*Assumptions!$I$13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</row>
    <row r="18">
      <c r="B18" s="33" t="inlineStr">
        <is>
          <t xml:space="preserve">  404000 Retail Sales</t>
        </is>
      </c>
      <c r="D18" s="19" t="n">
        <v>1443</v>
      </c>
      <c r="E18" s="19" t="n">
        <v>1360</v>
      </c>
      <c r="F18" s="19" t="n">
        <v>1184</v>
      </c>
      <c r="G18" s="19" t="n">
        <v>994</v>
      </c>
      <c r="H18" s="88" t="n">
        <v>1714</v>
      </c>
      <c r="I18" s="20">
        <f>1245.25</f>
        <v/>
      </c>
      <c r="J18" s="20">
        <f>1245.25</f>
        <v/>
      </c>
      <c r="K18" s="20">
        <f>1245.25</f>
        <v/>
      </c>
      <c r="L18" s="20">
        <f>1245.25</f>
        <v/>
      </c>
      <c r="M18" s="20">
        <f>1245.25</f>
        <v/>
      </c>
      <c r="N18" s="20">
        <f>1245.25</f>
        <v/>
      </c>
      <c r="O18" s="20">
        <f>1245.25</f>
        <v/>
      </c>
      <c r="P18" s="20">
        <f>1245.25</f>
        <v/>
      </c>
      <c r="Q18" s="20">
        <f>1245.25</f>
        <v/>
      </c>
      <c r="R18" s="20">
        <f>1245.25</f>
        <v/>
      </c>
      <c r="S18" s="20">
        <f>1245.25</f>
        <v/>
      </c>
      <c r="T18" s="20">
        <f>1245.25</f>
        <v/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</row>
    <row r="19">
      <c r="B19" s="33" t="inlineStr">
        <is>
          <t xml:space="preserve">  406000 Refunds</t>
        </is>
      </c>
      <c r="D19" s="19" t="n">
        <v>897.45</v>
      </c>
      <c r="E19" s="19" t="n">
        <v>875</v>
      </c>
      <c r="F19" s="19" t="n">
        <v>1683.6</v>
      </c>
      <c r="G19" s="19" t="n">
        <v>2190</v>
      </c>
      <c r="H19" s="88" t="n">
        <v>160</v>
      </c>
      <c r="I19" s="20">
        <f>('Sales Forecast'!I11*Assumptions!$C$12+'Sales Forecast'!H11*Assumptions!$D$12+'Sales Forecast'!G11*Assumptions!$E$12+'Sales Forecast'!F11*Assumptions!$F$12+'Sales Forecast'!E11*Assumptions!$G$12+'Sales Forecast'!D11*Assumptions!$H$12+'Sales Forecast'!I11*Assumptions!$C$13+'Sales Forecast'!H11*Assumptions!$D$13+'Sales Forecast'!G11*Assumptions!$E$13+'Sales Forecast'!F11*Assumptions!$F$13+'Sales Forecast'!E11*Assumptions!$G$13+'Sales Forecast'!D11*Assumptions!$H$13+1245.25)*Assumptions!$C$17</f>
        <v/>
      </c>
      <c r="J19" s="20">
        <f>('Sales Forecast'!J11*Assumptions!$C$12+'Sales Forecast'!I11*Assumptions!$D$12+'Sales Forecast'!H11*Assumptions!$E$12+'Sales Forecast'!G11*Assumptions!$F$12+'Sales Forecast'!F11*Assumptions!$G$12+'Sales Forecast'!E11*Assumptions!$H$12+'Sales Forecast'!D11*Assumptions!$I$12+'Sales Forecast'!J11*Assumptions!$C$13+'Sales Forecast'!I11*Assumptions!$D$13+'Sales Forecast'!H11*Assumptions!$E$13+'Sales Forecast'!G11*Assumptions!$F$13+'Sales Forecast'!F11*Assumptions!$G$13+'Sales Forecast'!E11*Assumptions!$H$13+'Sales Forecast'!D11*Assumptions!$I$13+1245.25)*Assumptions!$C$17</f>
        <v/>
      </c>
      <c r="K19" s="20">
        <f>('Sales Forecast'!K11*Assumptions!$C$12+'Sales Forecast'!J11*Assumptions!$D$12+'Sales Forecast'!I11*Assumptions!$E$12+'Sales Forecast'!H11*Assumptions!$F$12+'Sales Forecast'!G11*Assumptions!$G$12+'Sales Forecast'!F11*Assumptions!$H$12+'Sales Forecast'!E11*Assumptions!$I$12+'Sales Forecast'!K11*Assumptions!$C$13+'Sales Forecast'!J11*Assumptions!$D$13+'Sales Forecast'!I11*Assumptions!$E$13+'Sales Forecast'!H11*Assumptions!$F$13+'Sales Forecast'!G11*Assumptions!$G$13+'Sales Forecast'!F11*Assumptions!$H$13+'Sales Forecast'!E11*Assumptions!$I$13+1245.25)*Assumptions!$C$17</f>
        <v/>
      </c>
      <c r="L19" s="20">
        <f>('Sales Forecast'!L11*Assumptions!$C$12+'Sales Forecast'!K11*Assumptions!$D$12+'Sales Forecast'!J11*Assumptions!$E$12+'Sales Forecast'!I11*Assumptions!$F$12+'Sales Forecast'!H11*Assumptions!$G$12+'Sales Forecast'!G11*Assumptions!$H$12+'Sales Forecast'!F11*Assumptions!$I$12+'Sales Forecast'!L11*Assumptions!$C$13+'Sales Forecast'!K11*Assumptions!$D$13+'Sales Forecast'!J11*Assumptions!$E$13+'Sales Forecast'!I11*Assumptions!$F$13+'Sales Forecast'!H11*Assumptions!$G$13+'Sales Forecast'!G11*Assumptions!$H$13+'Sales Forecast'!F11*Assumptions!$I$13+1245.25)*Assumptions!$C$17</f>
        <v/>
      </c>
      <c r="M19" s="20">
        <f>('Sales Forecast'!M11*Assumptions!$C$12+'Sales Forecast'!L11*Assumptions!$D$12+'Sales Forecast'!K11*Assumptions!$E$12+'Sales Forecast'!J11*Assumptions!$F$12+'Sales Forecast'!I11*Assumptions!$G$12+'Sales Forecast'!H11*Assumptions!$H$12+'Sales Forecast'!G11*Assumptions!$I$12+'Sales Forecast'!M11*Assumptions!$C$13+'Sales Forecast'!L11*Assumptions!$D$13+'Sales Forecast'!K11*Assumptions!$E$13+'Sales Forecast'!J11*Assumptions!$F$13+'Sales Forecast'!I11*Assumptions!$G$13+'Sales Forecast'!H11*Assumptions!$H$13+'Sales Forecast'!G11*Assumptions!$I$13+1245.25)*Assumptions!$C$17</f>
        <v/>
      </c>
      <c r="N19" s="20">
        <f>('Sales Forecast'!N11*Assumptions!$C$12+'Sales Forecast'!M11*Assumptions!$D$12+'Sales Forecast'!L11*Assumptions!$E$12+'Sales Forecast'!K11*Assumptions!$F$12+'Sales Forecast'!J11*Assumptions!$G$12+'Sales Forecast'!I11*Assumptions!$H$12+'Sales Forecast'!H11*Assumptions!$I$12+'Sales Forecast'!N11*Assumptions!$C$13+'Sales Forecast'!M11*Assumptions!$D$13+'Sales Forecast'!L11*Assumptions!$E$13+'Sales Forecast'!K11*Assumptions!$F$13+'Sales Forecast'!J11*Assumptions!$G$13+'Sales Forecast'!I11*Assumptions!$H$13+'Sales Forecast'!H11*Assumptions!$I$13+1245.25)*Assumptions!$C$17</f>
        <v/>
      </c>
      <c r="O19" s="20">
        <f>('Sales Forecast'!O11*Assumptions!$C$12+'Sales Forecast'!N11*Assumptions!$D$12+'Sales Forecast'!M11*Assumptions!$E$12+'Sales Forecast'!L11*Assumptions!$F$12+'Sales Forecast'!K11*Assumptions!$G$12+'Sales Forecast'!J11*Assumptions!$H$12+'Sales Forecast'!I11*Assumptions!$I$12+'Sales Forecast'!O11*Assumptions!$C$13+'Sales Forecast'!N11*Assumptions!$D$13+'Sales Forecast'!M11*Assumptions!$E$13+'Sales Forecast'!L11*Assumptions!$F$13+'Sales Forecast'!K11*Assumptions!$G$13+'Sales Forecast'!J11*Assumptions!$H$13+'Sales Forecast'!I11*Assumptions!$I$13+1245.25)*Assumptions!$C$17</f>
        <v/>
      </c>
      <c r="P19" s="20">
        <f>('Sales Forecast'!P11*Assumptions!$C$12+'Sales Forecast'!O11*Assumptions!$D$12+'Sales Forecast'!N11*Assumptions!$E$12+'Sales Forecast'!M11*Assumptions!$F$12+'Sales Forecast'!L11*Assumptions!$G$12+'Sales Forecast'!K11*Assumptions!$H$12+'Sales Forecast'!J11*Assumptions!$I$12+'Sales Forecast'!P11*Assumptions!$C$13+'Sales Forecast'!O11*Assumptions!$D$13+'Sales Forecast'!N11*Assumptions!$E$13+'Sales Forecast'!M11*Assumptions!$F$13+'Sales Forecast'!L11*Assumptions!$G$13+'Sales Forecast'!K11*Assumptions!$H$13+'Sales Forecast'!J11*Assumptions!$I$13+1245.25)*Assumptions!$C$17</f>
        <v/>
      </c>
      <c r="Q19" s="20">
        <f>('Sales Forecast'!Q11*Assumptions!$C$12+'Sales Forecast'!P11*Assumptions!$D$12+'Sales Forecast'!O11*Assumptions!$E$12+'Sales Forecast'!N11*Assumptions!$F$12+'Sales Forecast'!M11*Assumptions!$G$12+'Sales Forecast'!L11*Assumptions!$H$12+'Sales Forecast'!K11*Assumptions!$I$12+'Sales Forecast'!Q11*Assumptions!$C$13+'Sales Forecast'!P11*Assumptions!$D$13+'Sales Forecast'!O11*Assumptions!$E$13+'Sales Forecast'!N11*Assumptions!$F$13+'Sales Forecast'!M11*Assumptions!$G$13+'Sales Forecast'!L11*Assumptions!$H$13+'Sales Forecast'!K11*Assumptions!$I$13+1245.25)*Assumptions!$C$17</f>
        <v/>
      </c>
      <c r="R19" s="20">
        <f>('Sales Forecast'!R11*Assumptions!$C$12+'Sales Forecast'!Q11*Assumptions!$D$12+'Sales Forecast'!P11*Assumptions!$E$12+'Sales Forecast'!O11*Assumptions!$F$12+'Sales Forecast'!N11*Assumptions!$G$12+'Sales Forecast'!M11*Assumptions!$H$12+'Sales Forecast'!L11*Assumptions!$I$12+'Sales Forecast'!R11*Assumptions!$C$13+'Sales Forecast'!Q11*Assumptions!$D$13+'Sales Forecast'!P11*Assumptions!$E$13+'Sales Forecast'!O11*Assumptions!$F$13+'Sales Forecast'!N11*Assumptions!$G$13+'Sales Forecast'!M11*Assumptions!$H$13+'Sales Forecast'!L11*Assumptions!$I$13+1245.25)*Assumptions!$C$17</f>
        <v/>
      </c>
      <c r="S19" s="20">
        <f>('Sales Forecast'!S11*Assumptions!$C$12+'Sales Forecast'!R11*Assumptions!$D$12+'Sales Forecast'!Q11*Assumptions!$E$12+'Sales Forecast'!P11*Assumptions!$F$12+'Sales Forecast'!O11*Assumptions!$G$12+'Sales Forecast'!N11*Assumptions!$H$12+'Sales Forecast'!M11*Assumptions!$I$12+'Sales Forecast'!S11*Assumptions!$C$13+'Sales Forecast'!R11*Assumptions!$D$13+'Sales Forecast'!Q11*Assumptions!$E$13+'Sales Forecast'!P11*Assumptions!$F$13+'Sales Forecast'!O11*Assumptions!$G$13+'Sales Forecast'!N11*Assumptions!$H$13+'Sales Forecast'!M11*Assumptions!$I$13+1245.25)*Assumptions!$C$17</f>
        <v/>
      </c>
      <c r="T19" s="20">
        <f>('Sales Forecast'!T11*Assumptions!$C$12+'Sales Forecast'!S11*Assumptions!$D$12+'Sales Forecast'!R11*Assumptions!$E$12+'Sales Forecast'!Q11*Assumptions!$F$12+'Sales Forecast'!P11*Assumptions!$G$12+'Sales Forecast'!O11*Assumptions!$H$12+'Sales Forecast'!N11*Assumptions!$I$12+'Sales Forecast'!T11*Assumptions!$C$13+'Sales Forecast'!S11*Assumptions!$D$13+'Sales Forecast'!R11*Assumptions!$E$13+'Sales Forecast'!Q11*Assumptions!$F$13+'Sales Forecast'!P11*Assumptions!$G$13+'Sales Forecast'!O11*Assumptions!$H$13+'Sales Forecast'!N11*Assumptions!$I$13+1245.25)*Assumptions!$C$17</f>
        <v/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Forecast'!O11*Assumptions!$I$12+'Sales Forecast'!U11*Assumptions!$C$13+'Sales Forecast'!T11*Assumptions!$D$13+'Sales Forecast'!S11*Assumptions!$E$13+'Sales Forecast'!R11*Assumptions!$F$13+'Sales Forecast'!Q11*Assumptions!$G$13+'Sales Forecast'!P11*Assumptions!$H$13+'Sales Forecast'!O11*Assumptions!$I$13+1245.25)*Assumptions!$C$17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3636.6</v>
      </c>
      <c r="E20" s="19" t="n">
        <v>4956.2</v>
      </c>
      <c r="F20" s="19" t="n">
        <v>3425.7</v>
      </c>
      <c r="G20" s="19" t="n">
        <v>8456.1</v>
      </c>
      <c r="H20" s="88" t="n">
        <v>3538.4</v>
      </c>
      <c r="I20" s="20">
        <f>('Sales Forecast'!I11*Assumptions!$C$12+'Sales Forecast'!H11*Assumptions!$D$12+'Sales Forecast'!G11*Assumptions!$E$12+'Sales Forecast'!F11*Assumptions!$F$12+'Sales Forecast'!E11*Assumptions!$G$12+'Sales Forecast'!D11*Assumptions!$H$12+'Sales Forecast'!I11*Assumptions!$C$13+'Sales Forecast'!H11*Assumptions!$D$13+'Sales Forecast'!G11*Assumptions!$E$13+'Sales Forecast'!F11*Assumptions!$F$13+'Sales Forecast'!E11*Assumptions!$G$13+'Sales Forecast'!D11*Assumptions!$H$13+1245.25)*Assumptions!$C$18</f>
        <v/>
      </c>
      <c r="J20" s="20">
        <f>('Sales Forecast'!J11*Assumptions!$C$12+'Sales Forecast'!I11*Assumptions!$D$12+'Sales Forecast'!H11*Assumptions!$E$12+'Sales Forecast'!G11*Assumptions!$F$12+'Sales Forecast'!F11*Assumptions!$G$12+'Sales Forecast'!E11*Assumptions!$H$12+'Sales Forecast'!D11*Assumptions!$I$12+'Sales Forecast'!J11*Assumptions!$C$13+'Sales Forecast'!I11*Assumptions!$D$13+'Sales Forecast'!H11*Assumptions!$E$13+'Sales Forecast'!G11*Assumptions!$F$13+'Sales Forecast'!F11*Assumptions!$G$13+'Sales Forecast'!E11*Assumptions!$H$13+'Sales Forecast'!D11*Assumptions!$I$13+1245.25)*Assumptions!$C$18</f>
        <v/>
      </c>
      <c r="K20" s="20">
        <f>('Sales Forecast'!K11*Assumptions!$C$12+'Sales Forecast'!J11*Assumptions!$D$12+'Sales Forecast'!I11*Assumptions!$E$12+'Sales Forecast'!H11*Assumptions!$F$12+'Sales Forecast'!G11*Assumptions!$G$12+'Sales Forecast'!F11*Assumptions!$H$12+'Sales Forecast'!E11*Assumptions!$I$12+'Sales Forecast'!K11*Assumptions!$C$13+'Sales Forecast'!J11*Assumptions!$D$13+'Sales Forecast'!I11*Assumptions!$E$13+'Sales Forecast'!H11*Assumptions!$F$13+'Sales Forecast'!G11*Assumptions!$G$13+'Sales Forecast'!F11*Assumptions!$H$13+'Sales Forecast'!E11*Assumptions!$I$13+1245.25)*Assumptions!$C$18</f>
        <v/>
      </c>
      <c r="L20" s="20">
        <f>('Sales Forecast'!L11*Assumptions!$C$12+'Sales Forecast'!K11*Assumptions!$D$12+'Sales Forecast'!J11*Assumptions!$E$12+'Sales Forecast'!I11*Assumptions!$F$12+'Sales Forecast'!H11*Assumptions!$G$12+'Sales Forecast'!G11*Assumptions!$H$12+'Sales Forecast'!F11*Assumptions!$I$12+'Sales Forecast'!L11*Assumptions!$C$13+'Sales Forecast'!K11*Assumptions!$D$13+'Sales Forecast'!J11*Assumptions!$E$13+'Sales Forecast'!I11*Assumptions!$F$13+'Sales Forecast'!H11*Assumptions!$G$13+'Sales Forecast'!G11*Assumptions!$H$13+'Sales Forecast'!F11*Assumptions!$I$13+1245.25)*Assumptions!$C$18</f>
        <v/>
      </c>
      <c r="M20" s="20">
        <f>('Sales Forecast'!M11*Assumptions!$C$12+'Sales Forecast'!L11*Assumptions!$D$12+'Sales Forecast'!K11*Assumptions!$E$12+'Sales Forecast'!J11*Assumptions!$F$12+'Sales Forecast'!I11*Assumptions!$G$12+'Sales Forecast'!H11*Assumptions!$H$12+'Sales Forecast'!G11*Assumptions!$I$12+'Sales Forecast'!M11*Assumptions!$C$13+'Sales Forecast'!L11*Assumptions!$D$13+'Sales Forecast'!K11*Assumptions!$E$13+'Sales Forecast'!J11*Assumptions!$F$13+'Sales Forecast'!I11*Assumptions!$G$13+'Sales Forecast'!H11*Assumptions!$H$13+'Sales Forecast'!G11*Assumptions!$I$13+1245.25)*Assumptions!$C$18</f>
        <v/>
      </c>
      <c r="N20" s="20">
        <f>('Sales Forecast'!N11*Assumptions!$C$12+'Sales Forecast'!M11*Assumptions!$D$12+'Sales Forecast'!L11*Assumptions!$E$12+'Sales Forecast'!K11*Assumptions!$F$12+'Sales Forecast'!J11*Assumptions!$G$12+'Sales Forecast'!I11*Assumptions!$H$12+'Sales Forecast'!H11*Assumptions!$I$12+'Sales Forecast'!N11*Assumptions!$C$13+'Sales Forecast'!M11*Assumptions!$D$13+'Sales Forecast'!L11*Assumptions!$E$13+'Sales Forecast'!K11*Assumptions!$F$13+'Sales Forecast'!J11*Assumptions!$G$13+'Sales Forecast'!I11*Assumptions!$H$13+'Sales Forecast'!H11*Assumptions!$I$13+1245.25)*Assumptions!$C$18</f>
        <v/>
      </c>
      <c r="O20" s="20">
        <f>('Sales Forecast'!O11*Assumptions!$C$12+'Sales Forecast'!N11*Assumptions!$D$12+'Sales Forecast'!M11*Assumptions!$E$12+'Sales Forecast'!L11*Assumptions!$F$12+'Sales Forecast'!K11*Assumptions!$G$12+'Sales Forecast'!J11*Assumptions!$H$12+'Sales Forecast'!I11*Assumptions!$I$12+'Sales Forecast'!O11*Assumptions!$C$13+'Sales Forecast'!N11*Assumptions!$D$13+'Sales Forecast'!M11*Assumptions!$E$13+'Sales Forecast'!L11*Assumptions!$F$13+'Sales Forecast'!K11*Assumptions!$G$13+'Sales Forecast'!J11*Assumptions!$H$13+'Sales Forecast'!I11*Assumptions!$I$13+1245.25)*Assumptions!$C$18</f>
        <v/>
      </c>
      <c r="P20" s="20">
        <f>('Sales Forecast'!P11*Assumptions!$C$12+'Sales Forecast'!O11*Assumptions!$D$12+'Sales Forecast'!N11*Assumptions!$E$12+'Sales Forecast'!M11*Assumptions!$F$12+'Sales Forecast'!L11*Assumptions!$G$12+'Sales Forecast'!K11*Assumptions!$H$12+'Sales Forecast'!J11*Assumptions!$I$12+'Sales Forecast'!P11*Assumptions!$C$13+'Sales Forecast'!O11*Assumptions!$D$13+'Sales Forecast'!N11*Assumptions!$E$13+'Sales Forecast'!M11*Assumptions!$F$13+'Sales Forecast'!L11*Assumptions!$G$13+'Sales Forecast'!K11*Assumptions!$H$13+'Sales Forecast'!J11*Assumptions!$I$13+1245.25)*Assumptions!$C$18</f>
        <v/>
      </c>
      <c r="Q20" s="20">
        <f>('Sales Forecast'!Q11*Assumptions!$C$12+'Sales Forecast'!P11*Assumptions!$D$12+'Sales Forecast'!O11*Assumptions!$E$12+'Sales Forecast'!N11*Assumptions!$F$12+'Sales Forecast'!M11*Assumptions!$G$12+'Sales Forecast'!L11*Assumptions!$H$12+'Sales Forecast'!K11*Assumptions!$I$12+'Sales Forecast'!Q11*Assumptions!$C$13+'Sales Forecast'!P11*Assumptions!$D$13+'Sales Forecast'!O11*Assumptions!$E$13+'Sales Forecast'!N11*Assumptions!$F$13+'Sales Forecast'!M11*Assumptions!$G$13+'Sales Forecast'!L11*Assumptions!$H$13+'Sales Forecast'!K11*Assumptions!$I$13+1245.25)*Assumptions!$C$18</f>
        <v/>
      </c>
      <c r="R20" s="20">
        <f>('Sales Forecast'!R11*Assumptions!$C$12+'Sales Forecast'!Q11*Assumptions!$D$12+'Sales Forecast'!P11*Assumptions!$E$12+'Sales Forecast'!O11*Assumptions!$F$12+'Sales Forecast'!N11*Assumptions!$G$12+'Sales Forecast'!M11*Assumptions!$H$12+'Sales Forecast'!L11*Assumptions!$I$12+'Sales Forecast'!R11*Assumptions!$C$13+'Sales Forecast'!Q11*Assumptions!$D$13+'Sales Forecast'!P11*Assumptions!$E$13+'Sales Forecast'!O11*Assumptions!$F$13+'Sales Forecast'!N11*Assumptions!$G$13+'Sales Forecast'!M11*Assumptions!$H$13+'Sales Forecast'!L11*Assumptions!$I$13+1245.25)*Assumptions!$C$18</f>
        <v/>
      </c>
      <c r="S20" s="20">
        <f>('Sales Forecast'!S11*Assumptions!$C$12+'Sales Forecast'!R11*Assumptions!$D$12+'Sales Forecast'!Q11*Assumptions!$E$12+'Sales Forecast'!P11*Assumptions!$F$12+'Sales Forecast'!O11*Assumptions!$G$12+'Sales Forecast'!N11*Assumptions!$H$12+'Sales Forecast'!M11*Assumptions!$I$12+'Sales Forecast'!S11*Assumptions!$C$13+'Sales Forecast'!R11*Assumptions!$D$13+'Sales Forecast'!Q11*Assumptions!$E$13+'Sales Forecast'!P11*Assumptions!$F$13+'Sales Forecast'!O11*Assumptions!$G$13+'Sales Forecast'!N11*Assumptions!$H$13+'Sales Forecast'!M11*Assumptions!$I$13+1245.25)*Assumptions!$C$18</f>
        <v/>
      </c>
      <c r="T20" s="20">
        <f>('Sales Forecast'!T11*Assumptions!$C$12+'Sales Forecast'!S11*Assumptions!$D$12+'Sales Forecast'!R11*Assumptions!$E$12+'Sales Forecast'!Q11*Assumptions!$F$12+'Sales Forecast'!P11*Assumptions!$G$12+'Sales Forecast'!O11*Assumptions!$H$12+'Sales Forecast'!N11*Assumptions!$I$12+'Sales Forecast'!T11*Assumptions!$C$13+'Sales Forecast'!S11*Assumptions!$D$13+'Sales Forecast'!R11*Assumptions!$E$13+'Sales Forecast'!Q11*Assumptions!$F$13+'Sales Forecast'!P11*Assumptions!$G$13+'Sales Forecast'!O11*Assumptions!$H$13+'Sales Forecast'!N11*Assumptions!$I$13+1245.25)*Assumptions!$C$18</f>
        <v/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Forecast'!O11*Assumptions!$I$12+'Sales Forecast'!U11*Assumptions!$C$13+'Sales Forecast'!T11*Assumptions!$D$13+'Sales Forecast'!S11*Assumptions!$E$13+'Sales Forecast'!R11*Assumptions!$F$13+'Sales Forecast'!Q11*Assumptions!$G$13+'Sales Forecast'!P11*Assumptions!$H$13+'Sales Forecast'!O11*Assumptions!$I$13+1245.25)*Assumptions!$C$18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65584.2</v>
      </c>
      <c r="E21" s="35" t="n">
        <v>55186.84</v>
      </c>
      <c r="F21" s="35" t="n">
        <v>59549.12</v>
      </c>
      <c r="G21" s="35" t="n">
        <v>49181.89000000001</v>
      </c>
      <c r="H21" s="89" t="n">
        <v>66945.87000000001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677</v>
      </c>
      <c r="E23" s="19" t="n">
        <v>658</v>
      </c>
      <c r="F23" s="19" t="n">
        <v>539.5</v>
      </c>
      <c r="G23" s="19" t="n">
        <v>447.5</v>
      </c>
      <c r="H23" s="88" t="n">
        <v>812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1715.61</v>
      </c>
      <c r="E24" s="19" t="n">
        <v>1406.78</v>
      </c>
      <c r="F24" s="19" t="n">
        <v>2075.29</v>
      </c>
      <c r="G24" s="19" t="n">
        <v>1857.48</v>
      </c>
      <c r="H24" s="88" t="n">
        <v>1479.56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2392.61</v>
      </c>
      <c r="E25" s="35" t="n">
        <v>2064.78</v>
      </c>
      <c r="F25" s="35" t="n">
        <v>2614.79</v>
      </c>
      <c r="G25" s="35" t="n">
        <v>2304.98</v>
      </c>
      <c r="H25" s="89" t="n">
        <v>2291.56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63191.59</v>
      </c>
      <c r="E26" s="35" t="n">
        <v>53122.06</v>
      </c>
      <c r="F26" s="35" t="n">
        <v>56934.33</v>
      </c>
      <c r="G26" s="35" t="n">
        <v>46876.91</v>
      </c>
      <c r="H26" s="89" t="n">
        <v>64654.31000000001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1336.21</v>
      </c>
      <c r="E28" s="19" t="n">
        <v>3470.63</v>
      </c>
      <c r="F28" s="19" t="n">
        <v>2384.28</v>
      </c>
      <c r="G28" s="19" t="n">
        <v>755.11</v>
      </c>
      <c r="H28" s="88" t="n">
        <v>747.4299999999999</v>
      </c>
      <c r="I28" s="20" t="n">
        <v>745.3</v>
      </c>
      <c r="J28" s="20" t="n">
        <v>745.3</v>
      </c>
      <c r="K28" s="20" t="n">
        <v>745.3</v>
      </c>
      <c r="L28" s="20" t="n">
        <v>745.3</v>
      </c>
      <c r="M28" s="20" t="n">
        <v>745.3</v>
      </c>
      <c r="N28" s="20" t="n">
        <v>745.3</v>
      </c>
      <c r="O28" s="20" t="n">
        <v>745.3</v>
      </c>
      <c r="P28" s="20" t="n">
        <v>745.3</v>
      </c>
      <c r="Q28" s="20" t="n">
        <v>745.3</v>
      </c>
      <c r="R28" s="20" t="n">
        <v>745.3</v>
      </c>
      <c r="S28" s="20" t="n">
        <v>745.3</v>
      </c>
      <c r="T28" s="20" t="n">
        <v>745.3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1336.21</v>
      </c>
      <c r="E33" s="35" t="n">
        <v>3470.63</v>
      </c>
      <c r="F33" s="35" t="n">
        <v>2384.28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35409.42</v>
      </c>
      <c r="E34" s="19" t="n">
        <v>26156.73</v>
      </c>
      <c r="F34" s="19" t="n">
        <v>25492.34</v>
      </c>
      <c r="G34" s="19" t="n">
        <v>27833.95</v>
      </c>
      <c r="H34" s="88" t="n">
        <v>30773.52</v>
      </c>
      <c r="I34" s="20" t="n">
        <v>30886.04</v>
      </c>
      <c r="J34" s="20" t="n">
        <v>33432.44</v>
      </c>
      <c r="K34" s="20" t="n">
        <v>30881.22</v>
      </c>
      <c r="L34" s="20" t="n">
        <v>29201.96</v>
      </c>
      <c r="M34" s="20" t="n">
        <v>34241.29</v>
      </c>
      <c r="N34" s="20" t="n">
        <v>35953</v>
      </c>
      <c r="O34" s="20" t="n">
        <v>30883.16</v>
      </c>
      <c r="P34" s="20" t="n">
        <v>32745.81</v>
      </c>
      <c r="Q34" s="20" t="n">
        <v>32741.88</v>
      </c>
      <c r="R34" s="20" t="n">
        <v>32750.16</v>
      </c>
      <c r="S34" s="20" t="n">
        <v>32842.24</v>
      </c>
      <c r="T34" s="20" t="n">
        <v>32796.73</v>
      </c>
      <c r="U34" s="20" t="n">
        <v>32772.32</v>
      </c>
      <c r="V34" s="20" t="n">
        <v>32822.6</v>
      </c>
      <c r="W34" s="20" t="n">
        <v>32767.26</v>
      </c>
      <c r="X34" s="20" t="n">
        <v>32760.01</v>
      </c>
      <c r="Y34" s="20" t="n">
        <v>32788.91</v>
      </c>
      <c r="Z34" s="20" t="n">
        <v>32835.21</v>
      </c>
      <c r="AA34" s="20" t="n">
        <v>32769.3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</row>
    <row r="35">
      <c r="B35" s="33" t="inlineStr">
        <is>
          <t xml:space="preserve">  602004 Payroll Taxes</t>
        </is>
      </c>
      <c r="D35" s="19" t="n">
        <v>6729.67</v>
      </c>
      <c r="E35" s="19" t="n">
        <v>2781.43</v>
      </c>
      <c r="F35" s="19" t="n">
        <v>2571.2</v>
      </c>
      <c r="G35" s="19" t="n">
        <v>2506.64</v>
      </c>
      <c r="H35" s="88" t="n">
        <v>2814.04</v>
      </c>
      <c r="I35" s="20" t="n">
        <v>3921.88</v>
      </c>
      <c r="J35" s="20" t="n">
        <v>4245.22</v>
      </c>
      <c r="K35" s="20" t="n">
        <v>3921.27</v>
      </c>
      <c r="L35" s="20" t="n">
        <v>3708.04</v>
      </c>
      <c r="M35" s="20" t="n">
        <v>4347.93</v>
      </c>
      <c r="N35" s="20" t="n">
        <v>4565.28</v>
      </c>
      <c r="O35" s="20" t="n">
        <v>3921.52</v>
      </c>
      <c r="P35" s="20" t="n">
        <v>4158.03</v>
      </c>
      <c r="Q35" s="20" t="n">
        <v>4157.54</v>
      </c>
      <c r="R35" s="20" t="n">
        <v>4158.59</v>
      </c>
      <c r="S35" s="20" t="n">
        <v>4170.28</v>
      </c>
      <c r="T35" s="20" t="n">
        <v>4164.5</v>
      </c>
      <c r="U35" s="20" t="n">
        <v>4161.4</v>
      </c>
      <c r="V35" s="20" t="n">
        <v>4167.78</v>
      </c>
      <c r="W35" s="20" t="n">
        <v>4160.76</v>
      </c>
      <c r="X35" s="20" t="n">
        <v>4159.84</v>
      </c>
      <c r="Y35" s="20" t="n">
        <v>4163.51</v>
      </c>
      <c r="Z35" s="20" t="n">
        <v>4169.39</v>
      </c>
      <c r="AA35" s="20" t="n">
        <v>4161.02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</row>
    <row r="36">
      <c r="B36" s="33" t="inlineStr">
        <is>
          <t xml:space="preserve">  602005 Employee Benefits</t>
        </is>
      </c>
      <c r="D36" s="19" t="n">
        <v>239.97</v>
      </c>
      <c r="E36" s="19" t="n">
        <v>826.6799999999999</v>
      </c>
      <c r="F36" s="19" t="n">
        <v>372.93</v>
      </c>
      <c r="G36" s="19" t="n">
        <v>609.11</v>
      </c>
      <c r="H36" s="88" t="n">
        <v>183.39</v>
      </c>
      <c r="I36" s="20" t="n">
        <v>550.74</v>
      </c>
      <c r="J36" s="20" t="n">
        <v>596.15</v>
      </c>
      <c r="K36" s="20" t="n">
        <v>550.65</v>
      </c>
      <c r="L36" s="20" t="n">
        <v>520.71</v>
      </c>
      <c r="M36" s="20" t="n">
        <v>610.5700000000001</v>
      </c>
      <c r="N36" s="20" t="n">
        <v>641.09</v>
      </c>
      <c r="O36" s="20" t="n">
        <v>550.6900000000001</v>
      </c>
      <c r="P36" s="20" t="n">
        <v>583.9</v>
      </c>
      <c r="Q36" s="20" t="n">
        <v>583.83</v>
      </c>
      <c r="R36" s="20" t="n">
        <v>583.98</v>
      </c>
      <c r="S36" s="20" t="n">
        <v>585.62</v>
      </c>
      <c r="T36" s="20" t="n">
        <v>584.8099999999999</v>
      </c>
      <c r="U36" s="20" t="n">
        <v>584.38</v>
      </c>
      <c r="V36" s="20" t="n">
        <v>585.27</v>
      </c>
      <c r="W36" s="20" t="n">
        <v>584.29</v>
      </c>
      <c r="X36" s="20" t="n">
        <v>584.16</v>
      </c>
      <c r="Y36" s="20" t="n">
        <v>584.67</v>
      </c>
      <c r="Z36" s="20" t="n">
        <v>585.5</v>
      </c>
      <c r="AA36" s="20" t="n">
        <v>584.3200000000001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1522.1</v>
      </c>
      <c r="E37" s="19" t="n">
        <v>1389.44</v>
      </c>
      <c r="F37" s="19" t="n">
        <v>1686.84</v>
      </c>
      <c r="G37" s="19" t="n">
        <v>1273.04</v>
      </c>
      <c r="H37" s="88" t="n">
        <v>1396.67</v>
      </c>
      <c r="I37" s="20" t="n">
        <v>1578.39</v>
      </c>
      <c r="J37" s="20" t="n">
        <v>1708.52</v>
      </c>
      <c r="K37" s="20" t="n">
        <v>1578.14</v>
      </c>
      <c r="L37" s="20" t="n">
        <v>1492.33</v>
      </c>
      <c r="M37" s="20" t="n">
        <v>1749.85</v>
      </c>
      <c r="N37" s="20" t="n">
        <v>1837.33</v>
      </c>
      <c r="O37" s="20" t="n">
        <v>1578.24</v>
      </c>
      <c r="P37" s="20" t="n">
        <v>1673.43</v>
      </c>
      <c r="Q37" s="20" t="n">
        <v>1673.23</v>
      </c>
      <c r="R37" s="20" t="n">
        <v>1673.65</v>
      </c>
      <c r="S37" s="20" t="n">
        <v>1678.36</v>
      </c>
      <c r="T37" s="20" t="n">
        <v>1676.03</v>
      </c>
      <c r="U37" s="20" t="n">
        <v>1674.78</v>
      </c>
      <c r="V37" s="20" t="n">
        <v>1677.35</v>
      </c>
      <c r="W37" s="20" t="n">
        <v>1674.53</v>
      </c>
      <c r="X37" s="20" t="n">
        <v>1674.16</v>
      </c>
      <c r="Y37" s="20" t="n">
        <v>1675.63</v>
      </c>
      <c r="Z37" s="20" t="n">
        <v>1678</v>
      </c>
      <c r="AA37" s="20" t="n">
        <v>1674.63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</row>
    <row r="38">
      <c r="B38" s="32" t="inlineStr">
        <is>
          <t>Total Payroll</t>
        </is>
      </c>
      <c r="C38" s="34" t="n"/>
      <c r="D38" s="35" t="n">
        <v>43901.16</v>
      </c>
      <c r="E38" s="35" t="n">
        <v>31154.28</v>
      </c>
      <c r="F38" s="35" t="n">
        <v>30123.31</v>
      </c>
      <c r="G38" s="35" t="n">
        <v>32222.74</v>
      </c>
      <c r="H38" s="89" t="n">
        <v>35167.62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743.08</v>
      </c>
      <c r="E39" s="19" t="n">
        <v>1330.01</v>
      </c>
      <c r="F39" s="19" t="n">
        <v>1227.37</v>
      </c>
      <c r="G39" s="19" t="n">
        <v>792.25</v>
      </c>
      <c r="H39" s="88" t="n">
        <v>770.26</v>
      </c>
      <c r="I39" s="20" t="n">
        <v>607.87</v>
      </c>
      <c r="J39" s="20" t="n">
        <v>607.87</v>
      </c>
      <c r="K39" s="20" t="n">
        <v>607.87</v>
      </c>
      <c r="L39" s="20" t="n">
        <v>607.87</v>
      </c>
      <c r="M39" s="20" t="n">
        <v>607.87</v>
      </c>
      <c r="N39" s="20" t="n">
        <v>607.87</v>
      </c>
      <c r="O39" s="20" t="n">
        <v>607.87</v>
      </c>
      <c r="P39" s="20" t="n">
        <v>607.87</v>
      </c>
      <c r="Q39" s="20" t="n">
        <v>607.87</v>
      </c>
      <c r="R39" s="20" t="n">
        <v>607.87</v>
      </c>
      <c r="S39" s="20" t="n">
        <v>607.87</v>
      </c>
      <c r="T39" s="20" t="n">
        <v>607.87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</row>
    <row r="40">
      <c r="B40" s="33" t="inlineStr">
        <is>
          <t xml:space="preserve">  608000 Insurance</t>
        </is>
      </c>
      <c r="D40" s="19" t="n">
        <v>163.59</v>
      </c>
      <c r="E40" s="19" t="n">
        <v>163.59</v>
      </c>
      <c r="F40" s="19" t="n">
        <v>328.9</v>
      </c>
      <c r="G40" s="19" t="n">
        <v>280.23</v>
      </c>
      <c r="H40" s="88" t="n">
        <v>283.72</v>
      </c>
      <c r="I40" s="20" t="n">
        <v>139.06</v>
      </c>
      <c r="J40" s="20" t="n">
        <v>139.06</v>
      </c>
      <c r="K40" s="20" t="n">
        <v>139.06</v>
      </c>
      <c r="L40" s="20" t="n">
        <v>139.06</v>
      </c>
      <c r="M40" s="20" t="n">
        <v>139.06</v>
      </c>
      <c r="N40" s="20" t="n">
        <v>139.06</v>
      </c>
      <c r="O40" s="20" t="n">
        <v>139.06</v>
      </c>
      <c r="P40" s="20" t="n">
        <v>139.06</v>
      </c>
      <c r="Q40" s="20" t="n">
        <v>139.06</v>
      </c>
      <c r="R40" s="20" t="n">
        <v>139.06</v>
      </c>
      <c r="S40" s="20" t="n">
        <v>139.06</v>
      </c>
      <c r="T40" s="20" t="n">
        <v>139.06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</row>
    <row r="41">
      <c r="B41" s="33" t="inlineStr">
        <is>
          <t xml:space="preserve">  610000 Office Supplies</t>
        </is>
      </c>
      <c r="D41" s="19" t="n">
        <v>233.76</v>
      </c>
      <c r="E41" s="19" t="n">
        <v>447.77</v>
      </c>
      <c r="F41" s="19" t="n">
        <v>1246.09</v>
      </c>
      <c r="G41" s="19" t="n">
        <v>734.62</v>
      </c>
      <c r="H41" s="88" t="n">
        <v>0</v>
      </c>
      <c r="I41" s="20" t="n">
        <v>395.41</v>
      </c>
      <c r="J41" s="20" t="n">
        <v>395.41</v>
      </c>
      <c r="K41" s="20" t="n">
        <v>395.41</v>
      </c>
      <c r="L41" s="20" t="n">
        <v>395.41</v>
      </c>
      <c r="M41" s="20" t="n">
        <v>395.41</v>
      </c>
      <c r="N41" s="20" t="n">
        <v>395.41</v>
      </c>
      <c r="O41" s="20" t="n">
        <v>395.41</v>
      </c>
      <c r="P41" s="20" t="n">
        <v>395.41</v>
      </c>
      <c r="Q41" s="20" t="n">
        <v>395.41</v>
      </c>
      <c r="R41" s="20" t="n">
        <v>395.41</v>
      </c>
      <c r="S41" s="20" t="n">
        <v>395.41</v>
      </c>
      <c r="T41" s="20" t="n">
        <v>395.41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31.2</v>
      </c>
      <c r="E49" s="19" t="n">
        <v>277.42</v>
      </c>
      <c r="F49" s="19" t="n">
        <v>36.73</v>
      </c>
      <c r="G49" s="19" t="n">
        <v>269.26</v>
      </c>
      <c r="H49" s="88" t="n">
        <v>-15.6</v>
      </c>
      <c r="I49" s="20" t="n">
        <v>15.6</v>
      </c>
      <c r="J49" s="20" t="n">
        <v>15.6</v>
      </c>
      <c r="K49" s="20" t="n">
        <v>15.6</v>
      </c>
      <c r="L49" s="20" t="n">
        <v>15.6</v>
      </c>
      <c r="M49" s="20" t="n">
        <v>15.6</v>
      </c>
      <c r="N49" s="20" t="n">
        <v>15.6</v>
      </c>
      <c r="O49" s="20" t="n">
        <v>15.6</v>
      </c>
      <c r="P49" s="20" t="n">
        <v>15.6</v>
      </c>
      <c r="Q49" s="20" t="n">
        <v>15.6</v>
      </c>
      <c r="R49" s="20" t="n">
        <v>15.6</v>
      </c>
      <c r="S49" s="20" t="n">
        <v>15.6</v>
      </c>
      <c r="T49" s="20" t="n">
        <v>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213.53</v>
      </c>
      <c r="E51" s="19" t="n">
        <v>246.19</v>
      </c>
      <c r="F51" s="19" t="n">
        <v>249.32</v>
      </c>
      <c r="G51" s="19" t="n">
        <v>293.03</v>
      </c>
      <c r="H51" s="88" t="n">
        <v>306.85</v>
      </c>
      <c r="I51" s="20" t="n">
        <v>170.07</v>
      </c>
      <c r="J51" s="20" t="n">
        <v>170.07</v>
      </c>
      <c r="K51" s="20" t="n">
        <v>170.07</v>
      </c>
      <c r="L51" s="20" t="n">
        <v>170.07</v>
      </c>
      <c r="M51" s="20" t="n">
        <v>170.07</v>
      </c>
      <c r="N51" s="20" t="n">
        <v>170.07</v>
      </c>
      <c r="O51" s="20" t="n">
        <v>170.07</v>
      </c>
      <c r="P51" s="20" t="n">
        <v>170.07</v>
      </c>
      <c r="Q51" s="20" t="n">
        <v>170.07</v>
      </c>
      <c r="R51" s="20" t="n">
        <v>170.07</v>
      </c>
      <c r="S51" s="20" t="n">
        <v>170.07</v>
      </c>
      <c r="T51" s="20" t="n">
        <v>170.07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</row>
    <row r="52">
      <c r="B52" s="33" t="inlineStr">
        <is>
          <t xml:space="preserve">  616002 Internet &amp; TV</t>
        </is>
      </c>
      <c r="D52" s="19" t="n">
        <v>106.24</v>
      </c>
      <c r="E52" s="19" t="n">
        <v>106.24</v>
      </c>
      <c r="F52" s="19" t="n">
        <v>140.78</v>
      </c>
      <c r="G52" s="19" t="n">
        <v>140.78</v>
      </c>
      <c r="H52" s="88" t="n">
        <v>0</v>
      </c>
      <c r="I52" s="20" t="n">
        <v>83.84999999999999</v>
      </c>
      <c r="J52" s="20" t="n">
        <v>83.84999999999999</v>
      </c>
      <c r="K52" s="20" t="n">
        <v>83.84999999999999</v>
      </c>
      <c r="L52" s="20" t="n">
        <v>83.84999999999999</v>
      </c>
      <c r="M52" s="20" t="n">
        <v>83.84999999999999</v>
      </c>
      <c r="N52" s="20" t="n">
        <v>83.84999999999999</v>
      </c>
      <c r="O52" s="20" t="n">
        <v>83.84999999999999</v>
      </c>
      <c r="P52" s="20" t="n">
        <v>83.84999999999999</v>
      </c>
      <c r="Q52" s="20" t="n">
        <v>83.84999999999999</v>
      </c>
      <c r="R52" s="20" t="n">
        <v>83.84999999999999</v>
      </c>
      <c r="S52" s="20" t="n">
        <v>83.84999999999999</v>
      </c>
      <c r="T52" s="20" t="n">
        <v>83.84999999999999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</row>
    <row r="53">
      <c r="B53" s="33" t="inlineStr">
        <is>
          <t xml:space="preserve">  616003 Phone service</t>
        </is>
      </c>
      <c r="D53" s="19" t="n">
        <v>113.82</v>
      </c>
      <c r="E53" s="19" t="n">
        <v>87.11</v>
      </c>
      <c r="F53" s="19" t="n">
        <v>86.36</v>
      </c>
      <c r="G53" s="19" t="n">
        <v>87.53</v>
      </c>
      <c r="H53" s="88" t="n">
        <v>81.03</v>
      </c>
      <c r="I53" s="20" t="n">
        <v>63.61</v>
      </c>
      <c r="J53" s="20" t="n">
        <v>63.61</v>
      </c>
      <c r="K53" s="20" t="n">
        <v>63.61</v>
      </c>
      <c r="L53" s="20" t="n">
        <v>63.61</v>
      </c>
      <c r="M53" s="20" t="n">
        <v>63.61</v>
      </c>
      <c r="N53" s="20" t="n">
        <v>63.61</v>
      </c>
      <c r="O53" s="20" t="n">
        <v>63.61</v>
      </c>
      <c r="P53" s="20" t="n">
        <v>63.61</v>
      </c>
      <c r="Q53" s="20" t="n">
        <v>63.61</v>
      </c>
      <c r="R53" s="20" t="n">
        <v>63.61</v>
      </c>
      <c r="S53" s="20" t="n">
        <v>63.61</v>
      </c>
      <c r="T53" s="20" t="n">
        <v>63.61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</row>
    <row r="54">
      <c r="B54" s="33" t="inlineStr">
        <is>
          <t xml:space="preserve">  616004 Water &amp; sewer</t>
        </is>
      </c>
      <c r="D54" s="19" t="n">
        <v>341.91</v>
      </c>
      <c r="E54" s="19" t="n">
        <v>341.91</v>
      </c>
      <c r="F54" s="19" t="n">
        <v>0</v>
      </c>
      <c r="G54" s="19" t="n">
        <v>0</v>
      </c>
      <c r="H54" s="88" t="n">
        <v>0</v>
      </c>
      <c r="I54" s="20" t="n">
        <v>116.06</v>
      </c>
      <c r="J54" s="20" t="n">
        <v>116.06</v>
      </c>
      <c r="K54" s="20" t="n">
        <v>116.06</v>
      </c>
      <c r="L54" s="20" t="n">
        <v>116.06</v>
      </c>
      <c r="M54" s="20" t="n">
        <v>116.06</v>
      </c>
      <c r="N54" s="20" t="n">
        <v>116.06</v>
      </c>
      <c r="O54" s="20" t="n">
        <v>116.06</v>
      </c>
      <c r="P54" s="20" t="n">
        <v>116.06</v>
      </c>
      <c r="Q54" s="20" t="n">
        <v>116.06</v>
      </c>
      <c r="R54" s="20" t="n">
        <v>116.06</v>
      </c>
      <c r="S54" s="20" t="n">
        <v>116.06</v>
      </c>
      <c r="T54" s="20" t="n">
        <v>116.06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775.5</v>
      </c>
      <c r="E56" s="35" t="n">
        <v>781.45</v>
      </c>
      <c r="F56" s="35" t="n">
        <v>476.46</v>
      </c>
      <c r="G56" s="35" t="n">
        <v>521.3399999999999</v>
      </c>
      <c r="H56" s="89" t="n">
        <v>528.66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12524.29</v>
      </c>
      <c r="E57" s="19" t="n">
        <v>12524.29</v>
      </c>
      <c r="F57" s="19" t="n">
        <v>12524.29</v>
      </c>
      <c r="G57" s="19" t="n">
        <v>12524.29</v>
      </c>
      <c r="H57" s="88" t="n">
        <v>12524.29</v>
      </c>
      <c r="I57" s="20" t="n">
        <v>12349.67</v>
      </c>
      <c r="J57" s="20" t="n">
        <v>12349.67</v>
      </c>
      <c r="K57" s="20" t="n">
        <v>12349.67</v>
      </c>
      <c r="L57" s="20" t="n">
        <v>12349.67</v>
      </c>
      <c r="M57" s="20" t="n">
        <v>12349.67</v>
      </c>
      <c r="N57" s="20" t="n">
        <v>12349.67</v>
      </c>
      <c r="O57" s="20" t="n">
        <v>12349.67</v>
      </c>
      <c r="P57" s="20" t="n">
        <v>12349.67</v>
      </c>
      <c r="Q57" s="20" t="n">
        <v>12349.67</v>
      </c>
      <c r="R57" s="20" t="n">
        <v>12349.67</v>
      </c>
      <c r="S57" s="20" t="n">
        <v>12349.67</v>
      </c>
      <c r="T57" s="20" t="n">
        <v>12349.67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202.66</v>
      </c>
      <c r="E59" s="19" t="n">
        <v>202.66</v>
      </c>
      <c r="F59" s="19" t="n">
        <v>651.03</v>
      </c>
      <c r="G59" s="19" t="n">
        <v>474.11</v>
      </c>
      <c r="H59" s="88" t="n">
        <v>392.58</v>
      </c>
      <c r="I59" s="20" t="n">
        <v>377.28</v>
      </c>
      <c r="J59" s="20" t="n">
        <v>377.28</v>
      </c>
      <c r="K59" s="20" t="n">
        <v>377.28</v>
      </c>
      <c r="L59" s="20" t="n">
        <v>377.28</v>
      </c>
      <c r="M59" s="20" t="n">
        <v>377.28</v>
      </c>
      <c r="N59" s="20" t="n">
        <v>377.28</v>
      </c>
      <c r="O59" s="20" t="n">
        <v>377.28</v>
      </c>
      <c r="P59" s="20" t="n">
        <v>377.28</v>
      </c>
      <c r="Q59" s="20" t="n">
        <v>377.28</v>
      </c>
      <c r="R59" s="20" t="n">
        <v>377.28</v>
      </c>
      <c r="S59" s="20" t="n">
        <v>377.28</v>
      </c>
      <c r="T59" s="20" t="n">
        <v>377.28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12726.95</v>
      </c>
      <c r="E61" s="35" t="n">
        <v>12726.95</v>
      </c>
      <c r="F61" s="35" t="n">
        <v>13175.32</v>
      </c>
      <c r="G61" s="35" t="n">
        <v>12998.4</v>
      </c>
      <c r="H61" s="89" t="n">
        <v>12916.87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61891.42</v>
      </c>
      <c r="E62" s="35" t="n">
        <v>53082.83999999998</v>
      </c>
      <c r="F62" s="35" t="n">
        <v>50964.46</v>
      </c>
      <c r="G62" s="35" t="n">
        <v>50550.10000000001</v>
      </c>
      <c r="H62" s="89" t="n">
        <v>54630.61000000001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1300.169999999998</v>
      </c>
      <c r="E63" s="35" t="n">
        <v>39.22000000002299</v>
      </c>
      <c r="F63" s="35" t="n">
        <v>5969.870000000003</v>
      </c>
      <c r="G63" s="35" t="n">
        <v>-3673.190000000002</v>
      </c>
      <c r="H63" s="89" t="n">
        <v>10023.7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1996.64</v>
      </c>
      <c r="E65" s="19" t="n">
        <v>1996.64</v>
      </c>
      <c r="F65" s="19" t="n">
        <v>1996.64</v>
      </c>
      <c r="G65" s="19" t="n">
        <v>1996.64</v>
      </c>
      <c r="H65" s="88" t="n">
        <v>1996.64</v>
      </c>
      <c r="I65" s="20">
        <f>I69*1</f>
        <v/>
      </c>
      <c r="J65" s="20">
        <f>J69*1</f>
        <v/>
      </c>
      <c r="K65" s="20">
        <f>K69*1</f>
        <v/>
      </c>
      <c r="L65" s="20">
        <f>L69*1</f>
        <v/>
      </c>
      <c r="M65" s="20">
        <f>M69*1</f>
        <v/>
      </c>
      <c r="N65" s="20">
        <f>N69*1</f>
        <v/>
      </c>
      <c r="O65" s="20">
        <f>O69*1</f>
        <v/>
      </c>
      <c r="P65" s="20">
        <f>P69*1</f>
        <v/>
      </c>
      <c r="Q65" s="20">
        <f>Q69*1</f>
        <v/>
      </c>
      <c r="R65" s="20">
        <f>R69*1</f>
        <v/>
      </c>
      <c r="S65" s="20">
        <f>S69*1</f>
        <v/>
      </c>
      <c r="T65" s="20">
        <f>T69*1</f>
        <v/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88" t="n">
        <v>0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1996.64</v>
      </c>
      <c r="E69" s="35" t="n">
        <v>1996.64</v>
      </c>
      <c r="F69" s="35" t="n">
        <v>1996.64</v>
      </c>
      <c r="G69" s="35" t="n">
        <v>1996.64</v>
      </c>
      <c r="H69" s="89" t="n">
        <v>1996.64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-696.4700000000018</v>
      </c>
      <c r="E70" s="35" t="n">
        <v>-1957.419999999977</v>
      </c>
      <c r="F70" s="35" t="n">
        <v>3973.230000000002</v>
      </c>
      <c r="G70" s="35" t="n">
        <v>-5669.830000000003</v>
      </c>
      <c r="H70" s="89" t="n">
        <v>8027.060000000004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Presidio Heights (PH)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94875.78999999999</v>
      </c>
      <c r="E7" s="19" t="n">
        <v>90071.06</v>
      </c>
      <c r="F7" s="19" t="n">
        <v>94637.59</v>
      </c>
      <c r="G7" s="19" t="n">
        <v>88446.17999999999</v>
      </c>
      <c r="H7" s="88" t="n">
        <v>86849.96000000001</v>
      </c>
      <c r="I7" s="20">
        <f>I13*0.662204</f>
        <v/>
      </c>
      <c r="J7" s="20">
        <f>J13*0.662204</f>
        <v/>
      </c>
      <c r="K7" s="20">
        <f>K13*0.662204</f>
        <v/>
      </c>
      <c r="L7" s="20">
        <f>L13*0.662204</f>
        <v/>
      </c>
      <c r="M7" s="20">
        <f>M13*0.662204</f>
        <v/>
      </c>
      <c r="N7" s="20">
        <f>N13*0.662204</f>
        <v/>
      </c>
      <c r="O7" s="20">
        <f>O13*0.662204</f>
        <v/>
      </c>
      <c r="P7" s="20">
        <f>P13*0.662204</f>
        <v/>
      </c>
      <c r="Q7" s="20">
        <f>Q13*0.662204</f>
        <v/>
      </c>
      <c r="R7" s="20">
        <f>R13*0.662204</f>
        <v/>
      </c>
      <c r="S7" s="20">
        <f>S13*0.662204</f>
        <v/>
      </c>
      <c r="T7" s="20">
        <f>T13*0.662204</f>
        <v/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</row>
    <row r="8">
      <c r="B8" s="33" t="inlineStr">
        <is>
          <t xml:space="preserve">  401002 Private Pilates</t>
        </is>
      </c>
      <c r="D8" s="19" t="n">
        <v>7294.5</v>
      </c>
      <c r="E8" s="19" t="n">
        <v>8852</v>
      </c>
      <c r="F8" s="19" t="n">
        <v>7516.6</v>
      </c>
      <c r="G8" s="19" t="n">
        <v>6803.2</v>
      </c>
      <c r="H8" s="88" t="n">
        <v>7098.06</v>
      </c>
      <c r="I8" s="20">
        <f>I13*0.054819</f>
        <v/>
      </c>
      <c r="J8" s="20">
        <f>J13*0.054819</f>
        <v/>
      </c>
      <c r="K8" s="20">
        <f>K13*0.054819</f>
        <v/>
      </c>
      <c r="L8" s="20">
        <f>L13*0.054819</f>
        <v/>
      </c>
      <c r="M8" s="20">
        <f>M13*0.054819</f>
        <v/>
      </c>
      <c r="N8" s="20">
        <f>N13*0.054819</f>
        <v/>
      </c>
      <c r="O8" s="20">
        <f>O13*0.054819</f>
        <v/>
      </c>
      <c r="P8" s="20">
        <f>P13*0.054819</f>
        <v/>
      </c>
      <c r="Q8" s="20">
        <f>Q13*0.054819</f>
        <v/>
      </c>
      <c r="R8" s="20">
        <f>R13*0.054819</f>
        <v/>
      </c>
      <c r="S8" s="20">
        <f>S13*0.054819</f>
        <v/>
      </c>
      <c r="T8" s="20">
        <f>T13*0.054819</f>
        <v/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</row>
    <row r="9">
      <c r="B9" s="33" t="inlineStr">
        <is>
          <t xml:space="preserve">  401003 Class Pass</t>
        </is>
      </c>
      <c r="D9" s="19" t="n">
        <v>19124.53</v>
      </c>
      <c r="E9" s="19" t="n">
        <v>17656.36</v>
      </c>
      <c r="F9" s="19" t="n">
        <v>21495.08</v>
      </c>
      <c r="G9" s="19" t="n">
        <v>21146</v>
      </c>
      <c r="H9" s="88" t="n">
        <v>20464.52</v>
      </c>
      <c r="I9" s="20">
        <f>I13*0.142905</f>
        <v/>
      </c>
      <c r="J9" s="20">
        <f>J13*0.142905</f>
        <v/>
      </c>
      <c r="K9" s="20">
        <f>K13*0.142905</f>
        <v/>
      </c>
      <c r="L9" s="20">
        <f>L13*0.142905</f>
        <v/>
      </c>
      <c r="M9" s="20">
        <f>M13*0.142905</f>
        <v/>
      </c>
      <c r="N9" s="20">
        <f>N13*0.142905</f>
        <v/>
      </c>
      <c r="O9" s="20">
        <f>O13*0.142905</f>
        <v/>
      </c>
      <c r="P9" s="20">
        <f>P13*0.142905</f>
        <v/>
      </c>
      <c r="Q9" s="20">
        <f>Q13*0.142905</f>
        <v/>
      </c>
      <c r="R9" s="20">
        <f>R13*0.142905</f>
        <v/>
      </c>
      <c r="S9" s="20">
        <f>S13*0.142905</f>
        <v/>
      </c>
      <c r="T9" s="20">
        <f>T13*0.142905</f>
        <v/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</row>
    <row r="10">
      <c r="B10" s="33" t="inlineStr">
        <is>
          <t xml:space="preserve">  401004 Mighty Teacher Training</t>
        </is>
      </c>
      <c r="D10" s="19" t="n">
        <v>53914</v>
      </c>
      <c r="E10" s="19" t="n">
        <v>14854.17</v>
      </c>
      <c r="F10" s="19" t="n">
        <v>270.83</v>
      </c>
      <c r="G10" s="19" t="n">
        <v>0</v>
      </c>
      <c r="H10" s="88" t="n">
        <v>0</v>
      </c>
      <c r="I10" s="20">
        <f>I13*0.124223</f>
        <v/>
      </c>
      <c r="J10" s="20">
        <f>J13*0.124223</f>
        <v/>
      </c>
      <c r="K10" s="20">
        <f>K13*0.124223</f>
        <v/>
      </c>
      <c r="L10" s="20">
        <f>L13*0.124223</f>
        <v/>
      </c>
      <c r="M10" s="20">
        <f>M13*0.124223</f>
        <v/>
      </c>
      <c r="N10" s="20">
        <f>N13*0.124223</f>
        <v/>
      </c>
      <c r="O10" s="20">
        <f>O13*0.124223</f>
        <v/>
      </c>
      <c r="P10" s="20">
        <f>P13*0.124223</f>
        <v/>
      </c>
      <c r="Q10" s="20">
        <f>Q13*0.124223</f>
        <v/>
      </c>
      <c r="R10" s="20">
        <f>R13*0.124223</f>
        <v/>
      </c>
      <c r="S10" s="20">
        <f>S13*0.124223</f>
        <v/>
      </c>
      <c r="T10" s="20">
        <f>T13*0.124223</f>
        <v/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</row>
    <row r="11">
      <c r="B11" s="33" t="inlineStr">
        <is>
          <t xml:space="preserve">  401005 Livestream Classes</t>
        </is>
      </c>
      <c r="D11" s="19" t="n">
        <v>478.66</v>
      </c>
      <c r="E11" s="19" t="n">
        <v>402.78</v>
      </c>
      <c r="F11" s="19" t="n">
        <v>434.62</v>
      </c>
      <c r="G11" s="19" t="n">
        <v>431.28</v>
      </c>
      <c r="H11" s="88" t="n">
        <v>419.47</v>
      </c>
      <c r="I11" s="20">
        <f>I13*0.003144</f>
        <v/>
      </c>
      <c r="J11" s="20">
        <f>J13*0.003144</f>
        <v/>
      </c>
      <c r="K11" s="20">
        <f>K13*0.003144</f>
        <v/>
      </c>
      <c r="L11" s="20">
        <f>L13*0.003144</f>
        <v/>
      </c>
      <c r="M11" s="20">
        <f>M13*0.003144</f>
        <v/>
      </c>
      <c r="N11" s="20">
        <f>N13*0.003144</f>
        <v/>
      </c>
      <c r="O11" s="20">
        <f>O13*0.003144</f>
        <v/>
      </c>
      <c r="P11" s="20">
        <f>P13*0.003144</f>
        <v/>
      </c>
      <c r="Q11" s="20">
        <f>Q13*0.003144</f>
        <v/>
      </c>
      <c r="R11" s="20">
        <f>R13*0.003144</f>
        <v/>
      </c>
      <c r="S11" s="20">
        <f>S13*0.003144</f>
        <v/>
      </c>
      <c r="T11" s="20">
        <f>T13*0.003144</f>
        <v/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</row>
    <row r="12">
      <c r="B12" s="33" t="inlineStr">
        <is>
          <t xml:space="preserve">  401006 Wellhub</t>
        </is>
      </c>
      <c r="D12" s="19" t="n">
        <v>2016.91</v>
      </c>
      <c r="E12" s="19" t="n">
        <v>920.83</v>
      </c>
      <c r="F12" s="19" t="n">
        <v>1855.57</v>
      </c>
      <c r="G12" s="19" t="n">
        <v>2267.29</v>
      </c>
      <c r="H12" s="88" t="n">
        <v>2108.74</v>
      </c>
      <c r="I12" s="20">
        <f>I13*0.012704</f>
        <v/>
      </c>
      <c r="J12" s="20">
        <f>J13*0.012704</f>
        <v/>
      </c>
      <c r="K12" s="20">
        <f>K13*0.012704</f>
        <v/>
      </c>
      <c r="L12" s="20">
        <f>L13*0.012704</f>
        <v/>
      </c>
      <c r="M12" s="20">
        <f>M13*0.012704</f>
        <v/>
      </c>
      <c r="N12" s="20">
        <f>N13*0.012704</f>
        <v/>
      </c>
      <c r="O12" s="20">
        <f>O13*0.012704</f>
        <v/>
      </c>
      <c r="P12" s="20">
        <f>P13*0.012704</f>
        <v/>
      </c>
      <c r="Q12" s="20">
        <f>Q13*0.012704</f>
        <v/>
      </c>
      <c r="R12" s="20">
        <f>R13*0.012704</f>
        <v/>
      </c>
      <c r="S12" s="20">
        <f>S13*0.012704</f>
        <v/>
      </c>
      <c r="T12" s="20">
        <f>T13*0.012704</f>
        <v/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</row>
    <row r="13">
      <c r="B13" s="32" t="inlineStr">
        <is>
          <t>Total Sessions</t>
        </is>
      </c>
      <c r="C13" s="34" t="n"/>
      <c r="D13" s="35" t="n">
        <v>177704.39</v>
      </c>
      <c r="E13" s="35" t="n">
        <v>132757.2</v>
      </c>
      <c r="F13" s="35" t="n">
        <v>126210.29</v>
      </c>
      <c r="G13" s="35" t="n">
        <v>119093.95</v>
      </c>
      <c r="H13" s="89" t="n">
        <v>116940.75</v>
      </c>
      <c r="I13" s="17">
        <f>'Sales Forecast'!I12*Assumptions!$C$12+'Sales Forecast'!H12*Assumptions!$D$12+'Sales Forecast'!G12*Assumptions!$E$12+'Sales Forecast'!F12*Assumptions!$F$12+'Sales Forecast'!E12*Assumptions!$G$12+'Sales Forecast'!D12*Assumptions!$H$12+'Sales Forecast'!I108*Assumptions!$I$12</f>
        <v/>
      </c>
      <c r="J13" s="17">
        <f>'Sales Forecast'!J12*Assumptions!$C$12+'Sales Forecast'!I12*Assumptions!$D$12+'Sales Forecast'!H12*Assumptions!$E$12+'Sales Forecast'!G12*Assumptions!$F$12+'Sales Forecast'!F12*Assumptions!$G$12+'Sales Forecast'!E12*Assumptions!$H$12+'Sales Forecast'!D12*Assumptions!$I$12</f>
        <v/>
      </c>
      <c r="K13" s="17">
        <f>'Sales Forecast'!K12*Assumptions!$C$12+'Sales Forecast'!J12*Assumptions!$D$12+'Sales Forecast'!I12*Assumptions!$E$12+'Sales Forecast'!H12*Assumptions!$F$12+'Sales Forecast'!G12*Assumptions!$G$12+'Sales Forecast'!F12*Assumptions!$H$12+'Sales Forecast'!E12*Assumptions!$I$12</f>
        <v/>
      </c>
      <c r="L13" s="17">
        <f>'Sales Forecast'!L12*Assumptions!$C$12+'Sales Forecast'!K12*Assumptions!$D$12+'Sales Forecast'!J12*Assumptions!$E$12+'Sales Forecast'!I12*Assumptions!$F$12+'Sales Forecast'!H12*Assumptions!$G$12+'Sales Forecast'!G12*Assumptions!$H$12+'Sales Forecast'!F12*Assumptions!$I$12</f>
        <v/>
      </c>
      <c r="M13" s="17">
        <f>'Sales Forecast'!M12*Assumptions!$C$12+'Sales Forecast'!L12*Assumptions!$D$12+'Sales Forecast'!K12*Assumptions!$E$12+'Sales Forecast'!J12*Assumptions!$F$12+'Sales Forecast'!I12*Assumptions!$G$12+'Sales Forecast'!H12*Assumptions!$H$12+'Sales Forecast'!G12*Assumptions!$I$12</f>
        <v/>
      </c>
      <c r="N13" s="17">
        <f>'Sales Forecast'!N12*Assumptions!$C$12+'Sales Forecast'!M12*Assumptions!$D$12+'Sales Forecast'!L12*Assumptions!$E$12+'Sales Forecast'!K12*Assumptions!$F$12+'Sales Forecast'!J12*Assumptions!$G$12+'Sales Forecast'!I12*Assumptions!$H$12+'Sales Forecast'!H12*Assumptions!$I$12</f>
        <v/>
      </c>
      <c r="O13" s="17">
        <f>'Sales Forecast'!O12*Assumptions!$C$12+'Sales Forecast'!N12*Assumptions!$D$12+'Sales Forecast'!M12*Assumptions!$E$12+'Sales Forecast'!L12*Assumptions!$F$12+'Sales Forecast'!K12*Assumptions!$G$12+'Sales Forecast'!J12*Assumptions!$H$12+'Sales Forecast'!I12*Assumptions!$I$12</f>
        <v/>
      </c>
      <c r="P13" s="17">
        <f>'Sales Forecast'!P12*Assumptions!$C$12+'Sales Forecast'!O12*Assumptions!$D$12+'Sales Forecast'!N12*Assumptions!$E$12+'Sales Forecast'!M12*Assumptions!$F$12+'Sales Forecast'!L12*Assumptions!$G$12+'Sales Forecast'!K12*Assumptions!$H$12+'Sales Forecast'!J12*Assumptions!$I$12</f>
        <v/>
      </c>
      <c r="Q13" s="17">
        <f>'Sales Forecast'!Q12*Assumptions!$C$12+'Sales Forecast'!P12*Assumptions!$D$12+'Sales Forecast'!O12*Assumptions!$E$12+'Sales Forecast'!N12*Assumptions!$F$12+'Sales Forecast'!M12*Assumptions!$G$12+'Sales Forecast'!L12*Assumptions!$H$12+'Sales Forecast'!K12*Assumptions!$I$12</f>
        <v/>
      </c>
      <c r="R13" s="17">
        <f>'Sales Forecast'!R12*Assumptions!$C$12+'Sales Forecast'!Q12*Assumptions!$D$12+'Sales Forecast'!P12*Assumptions!$E$12+'Sales Forecast'!O12*Assumptions!$F$12+'Sales Forecast'!N12*Assumptions!$G$12+'Sales Forecast'!M12*Assumptions!$H$12+'Sales Forecast'!L12*Assumptions!$I$12</f>
        <v/>
      </c>
      <c r="S13" s="17">
        <f>'Sales Forecast'!S12*Assumptions!$C$12+'Sales Forecast'!R12*Assumptions!$D$12+'Sales Forecast'!Q12*Assumptions!$E$12+'Sales Forecast'!P12*Assumptions!$F$12+'Sales Forecast'!O12*Assumptions!$G$12+'Sales Forecast'!N12*Assumptions!$H$12+'Sales Forecast'!M12*Assumptions!$I$12</f>
        <v/>
      </c>
      <c r="T13" s="17">
        <f>'Sales Forecast'!T12*Assumptions!$C$12+'Sales Forecast'!S12*Assumptions!$D$12+'Sales Forecast'!R12*Assumptions!$E$12+'Sales Forecast'!Q12*Assumptions!$F$12+'Sales Forecast'!P12*Assumptions!$G$12+'Sales Forecast'!O12*Assumptions!$H$12+'Sales Forecast'!N12*Assumptions!$I$12</f>
        <v/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Forecast'!O12*Assumptions!$I$12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</row>
    <row r="14">
      <c r="B14" s="33" t="inlineStr">
        <is>
          <t xml:space="preserve">  403001 Machine Breakage</t>
        </is>
      </c>
      <c r="D14" s="19" t="n">
        <v>15436.25</v>
      </c>
      <c r="E14" s="19" t="n">
        <v>26948.87</v>
      </c>
      <c r="F14" s="19" t="n">
        <v>17902.42</v>
      </c>
      <c r="G14" s="19" t="n">
        <v>22292.98</v>
      </c>
      <c r="H14" s="88" t="n">
        <v>17920.73</v>
      </c>
      <c r="I14" s="20">
        <f>I17*0.90148</f>
        <v/>
      </c>
      <c r="J14" s="20">
        <f>J17*0.90148</f>
        <v/>
      </c>
      <c r="K14" s="20">
        <f>K17*0.90148</f>
        <v/>
      </c>
      <c r="L14" s="20">
        <f>L17*0.90148</f>
        <v/>
      </c>
      <c r="M14" s="20">
        <f>M17*0.90148</f>
        <v/>
      </c>
      <c r="N14" s="20">
        <f>N17*0.90148</f>
        <v/>
      </c>
      <c r="O14" s="20">
        <f>O17*0.90148</f>
        <v/>
      </c>
      <c r="P14" s="20">
        <f>P17*0.90148</f>
        <v/>
      </c>
      <c r="Q14" s="20">
        <f>Q17*0.90148</f>
        <v/>
      </c>
      <c r="R14" s="20">
        <f>R17*0.90148</f>
        <v/>
      </c>
      <c r="S14" s="20">
        <f>S17*0.90148</f>
        <v/>
      </c>
      <c r="T14" s="20">
        <f>T17*0.90148</f>
        <v/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</row>
    <row r="15">
      <c r="B15" s="33" t="inlineStr">
        <is>
          <t xml:space="preserve">  403003 Private Pilates Breakage</t>
        </is>
      </c>
      <c r="D15" s="19" t="n">
        <v>1382</v>
      </c>
      <c r="E15" s="19" t="n">
        <v>1380</v>
      </c>
      <c r="F15" s="19" t="n">
        <v>3105</v>
      </c>
      <c r="G15" s="19" t="n">
        <v>3041</v>
      </c>
      <c r="H15" s="88" t="n">
        <v>610</v>
      </c>
      <c r="I15" s="20">
        <f>I17*0.097243</f>
        <v/>
      </c>
      <c r="J15" s="20">
        <f>J17*0.097243</f>
        <v/>
      </c>
      <c r="K15" s="20">
        <f>K17*0.097243</f>
        <v/>
      </c>
      <c r="L15" s="20">
        <f>L17*0.097243</f>
        <v/>
      </c>
      <c r="M15" s="20">
        <f>M17*0.097243</f>
        <v/>
      </c>
      <c r="N15" s="20">
        <f>N17*0.097243</f>
        <v/>
      </c>
      <c r="O15" s="20">
        <f>O17*0.097243</f>
        <v/>
      </c>
      <c r="P15" s="20">
        <f>P17*0.097243</f>
        <v/>
      </c>
      <c r="Q15" s="20">
        <f>Q17*0.097243</f>
        <v/>
      </c>
      <c r="R15" s="20">
        <f>R17*0.097243</f>
        <v/>
      </c>
      <c r="S15" s="20">
        <f>S17*0.097243</f>
        <v/>
      </c>
      <c r="T15" s="20">
        <f>T17*0.097243</f>
        <v/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117</v>
      </c>
      <c r="H16" s="88" t="n">
        <v>0</v>
      </c>
      <c r="I16" s="20">
        <f>I17*0.001277</f>
        <v/>
      </c>
      <c r="J16" s="20">
        <f>J17*0.001277</f>
        <v/>
      </c>
      <c r="K16" s="20">
        <f>K17*0.001277</f>
        <v/>
      </c>
      <c r="L16" s="20">
        <f>L17*0.001277</f>
        <v/>
      </c>
      <c r="M16" s="20">
        <f>M17*0.001277</f>
        <v/>
      </c>
      <c r="N16" s="20">
        <f>N17*0.001277</f>
        <v/>
      </c>
      <c r="O16" s="20">
        <f>O17*0.001277</f>
        <v/>
      </c>
      <c r="P16" s="20">
        <f>P17*0.001277</f>
        <v/>
      </c>
      <c r="Q16" s="20">
        <f>Q17*0.001277</f>
        <v/>
      </c>
      <c r="R16" s="20">
        <f>R17*0.001277</f>
        <v/>
      </c>
      <c r="S16" s="20">
        <f>S17*0.001277</f>
        <v/>
      </c>
      <c r="T16" s="20">
        <f>T17*0.001277</f>
        <v/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</row>
    <row r="17">
      <c r="B17" s="32" t="inlineStr">
        <is>
          <t>Total Breakage Revenue</t>
        </is>
      </c>
      <c r="C17" s="34" t="n"/>
      <c r="D17" s="35" t="n">
        <v>16818.25</v>
      </c>
      <c r="E17" s="35" t="n">
        <v>28328.87</v>
      </c>
      <c r="F17" s="35" t="n">
        <v>21007.42</v>
      </c>
      <c r="G17" s="35" t="n">
        <v>25450.98</v>
      </c>
      <c r="H17" s="89" t="n">
        <v>18530.73</v>
      </c>
      <c r="I17" s="17">
        <f>'Sales Forecast'!I12*Assumptions!$C$13+'Sales Forecast'!H12*Assumptions!$D$13+'Sales Forecast'!G12*Assumptions!$E$13+'Sales Forecast'!F12*Assumptions!$F$13+'Sales Forecast'!E12*Assumptions!$G$13+'Sales Forecast'!D12*Assumptions!$H$13+'Sales Forecast'!I108*Assumptions!$I$13</f>
        <v/>
      </c>
      <c r="J17" s="17">
        <f>'Sales Forecast'!J12*Assumptions!$C$13+'Sales Forecast'!I12*Assumptions!$D$13+'Sales Forecast'!H12*Assumptions!$E$13+'Sales Forecast'!G12*Assumptions!$F$13+'Sales Forecast'!F12*Assumptions!$G$13+'Sales Forecast'!E12*Assumptions!$H$13+'Sales Forecast'!D12*Assumptions!$I$13</f>
        <v/>
      </c>
      <c r="K17" s="17">
        <f>'Sales Forecast'!K12*Assumptions!$C$13+'Sales Forecast'!J12*Assumptions!$D$13+'Sales Forecast'!I12*Assumptions!$E$13+'Sales Forecast'!H12*Assumptions!$F$13+'Sales Forecast'!G12*Assumptions!$G$13+'Sales Forecast'!F12*Assumptions!$H$13+'Sales Forecast'!E12*Assumptions!$I$13</f>
        <v/>
      </c>
      <c r="L17" s="17">
        <f>'Sales Forecast'!L12*Assumptions!$C$13+'Sales Forecast'!K12*Assumptions!$D$13+'Sales Forecast'!J12*Assumptions!$E$13+'Sales Forecast'!I12*Assumptions!$F$13+'Sales Forecast'!H12*Assumptions!$G$13+'Sales Forecast'!G12*Assumptions!$H$13+'Sales Forecast'!F12*Assumptions!$I$13</f>
        <v/>
      </c>
      <c r="M17" s="17">
        <f>'Sales Forecast'!M12*Assumptions!$C$13+'Sales Forecast'!L12*Assumptions!$D$13+'Sales Forecast'!K12*Assumptions!$E$13+'Sales Forecast'!J12*Assumptions!$F$13+'Sales Forecast'!I12*Assumptions!$G$13+'Sales Forecast'!H12*Assumptions!$H$13+'Sales Forecast'!G12*Assumptions!$I$13</f>
        <v/>
      </c>
      <c r="N17" s="17">
        <f>'Sales Forecast'!N12*Assumptions!$C$13+'Sales Forecast'!M12*Assumptions!$D$13+'Sales Forecast'!L12*Assumptions!$E$13+'Sales Forecast'!K12*Assumptions!$F$13+'Sales Forecast'!J12*Assumptions!$G$13+'Sales Forecast'!I12*Assumptions!$H$13+'Sales Forecast'!H12*Assumptions!$I$13</f>
        <v/>
      </c>
      <c r="O17" s="17">
        <f>'Sales Forecast'!O12*Assumptions!$C$13+'Sales Forecast'!N12*Assumptions!$D$13+'Sales Forecast'!M12*Assumptions!$E$13+'Sales Forecast'!L12*Assumptions!$F$13+'Sales Forecast'!K12*Assumptions!$G$13+'Sales Forecast'!J12*Assumptions!$H$13+'Sales Forecast'!I12*Assumptions!$I$13</f>
        <v/>
      </c>
      <c r="P17" s="17">
        <f>'Sales Forecast'!P12*Assumptions!$C$13+'Sales Forecast'!O12*Assumptions!$D$13+'Sales Forecast'!N12*Assumptions!$E$13+'Sales Forecast'!M12*Assumptions!$F$13+'Sales Forecast'!L12*Assumptions!$G$13+'Sales Forecast'!K12*Assumptions!$H$13+'Sales Forecast'!J12*Assumptions!$I$13</f>
        <v/>
      </c>
      <c r="Q17" s="17">
        <f>'Sales Forecast'!Q12*Assumptions!$C$13+'Sales Forecast'!P12*Assumptions!$D$13+'Sales Forecast'!O12*Assumptions!$E$13+'Sales Forecast'!N12*Assumptions!$F$13+'Sales Forecast'!M12*Assumptions!$G$13+'Sales Forecast'!L12*Assumptions!$H$13+'Sales Forecast'!K12*Assumptions!$I$13</f>
        <v/>
      </c>
      <c r="R17" s="17">
        <f>'Sales Forecast'!R12*Assumptions!$C$13+'Sales Forecast'!Q12*Assumptions!$D$13+'Sales Forecast'!P12*Assumptions!$E$13+'Sales Forecast'!O12*Assumptions!$F$13+'Sales Forecast'!N12*Assumptions!$G$13+'Sales Forecast'!M12*Assumptions!$H$13+'Sales Forecast'!L12*Assumptions!$I$13</f>
        <v/>
      </c>
      <c r="S17" s="17">
        <f>'Sales Forecast'!S12*Assumptions!$C$13+'Sales Forecast'!R12*Assumptions!$D$13+'Sales Forecast'!Q12*Assumptions!$E$13+'Sales Forecast'!P12*Assumptions!$F$13+'Sales Forecast'!O12*Assumptions!$G$13+'Sales Forecast'!N12*Assumptions!$H$13+'Sales Forecast'!M12*Assumptions!$I$13</f>
        <v/>
      </c>
      <c r="T17" s="17">
        <f>'Sales Forecast'!T12*Assumptions!$C$13+'Sales Forecast'!S12*Assumptions!$D$13+'Sales Forecast'!R12*Assumptions!$E$13+'Sales Forecast'!Q12*Assumptions!$F$13+'Sales Forecast'!P12*Assumptions!$G$13+'Sales Forecast'!O12*Assumptions!$H$13+'Sales Forecast'!N12*Assumptions!$I$13</f>
        <v/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Forecast'!O12*Assumptions!$I$13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</row>
    <row r="18">
      <c r="B18" s="33" t="inlineStr">
        <is>
          <t xml:space="preserve">  404000 Retail Sales</t>
        </is>
      </c>
      <c r="D18" s="19" t="n">
        <v>2985</v>
      </c>
      <c r="E18" s="19" t="n">
        <v>2271</v>
      </c>
      <c r="F18" s="19" t="n">
        <v>2066</v>
      </c>
      <c r="G18" s="19" t="n">
        <v>2762</v>
      </c>
      <c r="H18" s="88" t="n">
        <v>1844</v>
      </c>
      <c r="I18" s="20">
        <f>2521</f>
        <v/>
      </c>
      <c r="J18" s="20">
        <f>2521</f>
        <v/>
      </c>
      <c r="K18" s="20">
        <f>2521</f>
        <v/>
      </c>
      <c r="L18" s="20">
        <f>2521</f>
        <v/>
      </c>
      <c r="M18" s="20">
        <f>2521</f>
        <v/>
      </c>
      <c r="N18" s="20">
        <f>2521</f>
        <v/>
      </c>
      <c r="O18" s="20">
        <f>2521</f>
        <v/>
      </c>
      <c r="P18" s="20">
        <f>2521</f>
        <v/>
      </c>
      <c r="Q18" s="20">
        <f>2521</f>
        <v/>
      </c>
      <c r="R18" s="20">
        <f>2521</f>
        <v/>
      </c>
      <c r="S18" s="20">
        <f>2521</f>
        <v/>
      </c>
      <c r="T18" s="20">
        <f>2521</f>
        <v/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</row>
    <row r="19">
      <c r="B19" s="33" t="inlineStr">
        <is>
          <t xml:space="preserve">  406000 Refunds</t>
        </is>
      </c>
      <c r="D19" s="19" t="n">
        <v>3855.2</v>
      </c>
      <c r="E19" s="19" t="n">
        <v>3810.96</v>
      </c>
      <c r="F19" s="19" t="n">
        <v>2727.2</v>
      </c>
      <c r="G19" s="19" t="n">
        <v>2085</v>
      </c>
      <c r="H19" s="88" t="n">
        <v>2125</v>
      </c>
      <c r="I19" s="20">
        <f>('Sales Forecast'!I12*Assumptions!$C$12+'Sales Forecast'!H12*Assumptions!$D$12+'Sales Forecast'!G12*Assumptions!$E$12+'Sales Forecast'!F12*Assumptions!$F$12+'Sales Forecast'!E12*Assumptions!$G$12+'Sales Forecast'!D12*Assumptions!$H$12+'Sales Forecast'!I12*Assumptions!$C$13+'Sales Forecast'!H12*Assumptions!$D$13+'Sales Forecast'!G12*Assumptions!$E$13+'Sales Forecast'!F12*Assumptions!$F$13+'Sales Forecast'!E12*Assumptions!$G$13+'Sales Forecast'!D12*Assumptions!$H$13+2521)*Assumptions!$C$17</f>
        <v/>
      </c>
      <c r="J19" s="20">
        <f>('Sales Forecast'!J12*Assumptions!$C$12+'Sales Forecast'!I12*Assumptions!$D$12+'Sales Forecast'!H12*Assumptions!$E$12+'Sales Forecast'!G12*Assumptions!$F$12+'Sales Forecast'!F12*Assumptions!$G$12+'Sales Forecast'!E12*Assumptions!$H$12+'Sales Forecast'!D12*Assumptions!$I$12+'Sales Forecast'!J12*Assumptions!$C$13+'Sales Forecast'!I12*Assumptions!$D$13+'Sales Forecast'!H12*Assumptions!$E$13+'Sales Forecast'!G12*Assumptions!$F$13+'Sales Forecast'!F12*Assumptions!$G$13+'Sales Forecast'!E12*Assumptions!$H$13+'Sales Forecast'!D12*Assumptions!$I$13+2521)*Assumptions!$C$17</f>
        <v/>
      </c>
      <c r="K19" s="20">
        <f>('Sales Forecast'!K12*Assumptions!$C$12+'Sales Forecast'!J12*Assumptions!$D$12+'Sales Forecast'!I12*Assumptions!$E$12+'Sales Forecast'!H12*Assumptions!$F$12+'Sales Forecast'!G12*Assumptions!$G$12+'Sales Forecast'!F12*Assumptions!$H$12+'Sales Forecast'!E12*Assumptions!$I$12+'Sales Forecast'!K12*Assumptions!$C$13+'Sales Forecast'!J12*Assumptions!$D$13+'Sales Forecast'!I12*Assumptions!$E$13+'Sales Forecast'!H12*Assumptions!$F$13+'Sales Forecast'!G12*Assumptions!$G$13+'Sales Forecast'!F12*Assumptions!$H$13+'Sales Forecast'!E12*Assumptions!$I$13+2521)*Assumptions!$C$17</f>
        <v/>
      </c>
      <c r="L19" s="20">
        <f>('Sales Forecast'!L12*Assumptions!$C$12+'Sales Forecast'!K12*Assumptions!$D$12+'Sales Forecast'!J12*Assumptions!$E$12+'Sales Forecast'!I12*Assumptions!$F$12+'Sales Forecast'!H12*Assumptions!$G$12+'Sales Forecast'!G12*Assumptions!$H$12+'Sales Forecast'!F12*Assumptions!$I$12+'Sales Forecast'!L12*Assumptions!$C$13+'Sales Forecast'!K12*Assumptions!$D$13+'Sales Forecast'!J12*Assumptions!$E$13+'Sales Forecast'!I12*Assumptions!$F$13+'Sales Forecast'!H12*Assumptions!$G$13+'Sales Forecast'!G12*Assumptions!$H$13+'Sales Forecast'!F12*Assumptions!$I$13+2521)*Assumptions!$C$17</f>
        <v/>
      </c>
      <c r="M19" s="20">
        <f>('Sales Forecast'!M12*Assumptions!$C$12+'Sales Forecast'!L12*Assumptions!$D$12+'Sales Forecast'!K12*Assumptions!$E$12+'Sales Forecast'!J12*Assumptions!$F$12+'Sales Forecast'!I12*Assumptions!$G$12+'Sales Forecast'!H12*Assumptions!$H$12+'Sales Forecast'!G12*Assumptions!$I$12+'Sales Forecast'!M12*Assumptions!$C$13+'Sales Forecast'!L12*Assumptions!$D$13+'Sales Forecast'!K12*Assumptions!$E$13+'Sales Forecast'!J12*Assumptions!$F$13+'Sales Forecast'!I12*Assumptions!$G$13+'Sales Forecast'!H12*Assumptions!$H$13+'Sales Forecast'!G12*Assumptions!$I$13+2521)*Assumptions!$C$17</f>
        <v/>
      </c>
      <c r="N19" s="20">
        <f>('Sales Forecast'!N12*Assumptions!$C$12+'Sales Forecast'!M12*Assumptions!$D$12+'Sales Forecast'!L12*Assumptions!$E$12+'Sales Forecast'!K12*Assumptions!$F$12+'Sales Forecast'!J12*Assumptions!$G$12+'Sales Forecast'!I12*Assumptions!$H$12+'Sales Forecast'!H12*Assumptions!$I$12+'Sales Forecast'!N12*Assumptions!$C$13+'Sales Forecast'!M12*Assumptions!$D$13+'Sales Forecast'!L12*Assumptions!$E$13+'Sales Forecast'!K12*Assumptions!$F$13+'Sales Forecast'!J12*Assumptions!$G$13+'Sales Forecast'!I12*Assumptions!$H$13+'Sales Forecast'!H12*Assumptions!$I$13+2521)*Assumptions!$C$17</f>
        <v/>
      </c>
      <c r="O19" s="20">
        <f>('Sales Forecast'!O12*Assumptions!$C$12+'Sales Forecast'!N12*Assumptions!$D$12+'Sales Forecast'!M12*Assumptions!$E$12+'Sales Forecast'!L12*Assumptions!$F$12+'Sales Forecast'!K12*Assumptions!$G$12+'Sales Forecast'!J12*Assumptions!$H$12+'Sales Forecast'!I12*Assumptions!$I$12+'Sales Forecast'!O12*Assumptions!$C$13+'Sales Forecast'!N12*Assumptions!$D$13+'Sales Forecast'!M12*Assumptions!$E$13+'Sales Forecast'!L12*Assumptions!$F$13+'Sales Forecast'!K12*Assumptions!$G$13+'Sales Forecast'!J12*Assumptions!$H$13+'Sales Forecast'!I12*Assumptions!$I$13+2521)*Assumptions!$C$17</f>
        <v/>
      </c>
      <c r="P19" s="20">
        <f>('Sales Forecast'!P12*Assumptions!$C$12+'Sales Forecast'!O12*Assumptions!$D$12+'Sales Forecast'!N12*Assumptions!$E$12+'Sales Forecast'!M12*Assumptions!$F$12+'Sales Forecast'!L12*Assumptions!$G$12+'Sales Forecast'!K12*Assumptions!$H$12+'Sales Forecast'!J12*Assumptions!$I$12+'Sales Forecast'!P12*Assumptions!$C$13+'Sales Forecast'!O12*Assumptions!$D$13+'Sales Forecast'!N12*Assumptions!$E$13+'Sales Forecast'!M12*Assumptions!$F$13+'Sales Forecast'!L12*Assumptions!$G$13+'Sales Forecast'!K12*Assumptions!$H$13+'Sales Forecast'!J12*Assumptions!$I$13+2521)*Assumptions!$C$17</f>
        <v/>
      </c>
      <c r="Q19" s="20">
        <f>('Sales Forecast'!Q12*Assumptions!$C$12+'Sales Forecast'!P12*Assumptions!$D$12+'Sales Forecast'!O12*Assumptions!$E$12+'Sales Forecast'!N12*Assumptions!$F$12+'Sales Forecast'!M12*Assumptions!$G$12+'Sales Forecast'!L12*Assumptions!$H$12+'Sales Forecast'!K12*Assumptions!$I$12+'Sales Forecast'!Q12*Assumptions!$C$13+'Sales Forecast'!P12*Assumptions!$D$13+'Sales Forecast'!O12*Assumptions!$E$13+'Sales Forecast'!N12*Assumptions!$F$13+'Sales Forecast'!M12*Assumptions!$G$13+'Sales Forecast'!L12*Assumptions!$H$13+'Sales Forecast'!K12*Assumptions!$I$13+2521)*Assumptions!$C$17</f>
        <v/>
      </c>
      <c r="R19" s="20">
        <f>('Sales Forecast'!R12*Assumptions!$C$12+'Sales Forecast'!Q12*Assumptions!$D$12+'Sales Forecast'!P12*Assumptions!$E$12+'Sales Forecast'!O12*Assumptions!$F$12+'Sales Forecast'!N12*Assumptions!$G$12+'Sales Forecast'!M12*Assumptions!$H$12+'Sales Forecast'!L12*Assumptions!$I$12+'Sales Forecast'!R12*Assumptions!$C$13+'Sales Forecast'!Q12*Assumptions!$D$13+'Sales Forecast'!P12*Assumptions!$E$13+'Sales Forecast'!O12*Assumptions!$F$13+'Sales Forecast'!N12*Assumptions!$G$13+'Sales Forecast'!M12*Assumptions!$H$13+'Sales Forecast'!L12*Assumptions!$I$13+2521)*Assumptions!$C$17</f>
        <v/>
      </c>
      <c r="S19" s="20">
        <f>('Sales Forecast'!S12*Assumptions!$C$12+'Sales Forecast'!R12*Assumptions!$D$12+'Sales Forecast'!Q12*Assumptions!$E$12+'Sales Forecast'!P12*Assumptions!$F$12+'Sales Forecast'!O12*Assumptions!$G$12+'Sales Forecast'!N12*Assumptions!$H$12+'Sales Forecast'!M12*Assumptions!$I$12+'Sales Forecast'!S12*Assumptions!$C$13+'Sales Forecast'!R12*Assumptions!$D$13+'Sales Forecast'!Q12*Assumptions!$E$13+'Sales Forecast'!P12*Assumptions!$F$13+'Sales Forecast'!O12*Assumptions!$G$13+'Sales Forecast'!N12*Assumptions!$H$13+'Sales Forecast'!M12*Assumptions!$I$13+2521)*Assumptions!$C$17</f>
        <v/>
      </c>
      <c r="T19" s="20">
        <f>('Sales Forecast'!T12*Assumptions!$C$12+'Sales Forecast'!S12*Assumptions!$D$12+'Sales Forecast'!R12*Assumptions!$E$12+'Sales Forecast'!Q12*Assumptions!$F$12+'Sales Forecast'!P12*Assumptions!$G$12+'Sales Forecast'!O12*Assumptions!$H$12+'Sales Forecast'!N12*Assumptions!$I$12+'Sales Forecast'!T12*Assumptions!$C$13+'Sales Forecast'!S12*Assumptions!$D$13+'Sales Forecast'!R12*Assumptions!$E$13+'Sales Forecast'!Q12*Assumptions!$F$13+'Sales Forecast'!P12*Assumptions!$G$13+'Sales Forecast'!O12*Assumptions!$H$13+'Sales Forecast'!N12*Assumptions!$I$13+2521)*Assumptions!$C$17</f>
        <v/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Forecast'!O12*Assumptions!$I$12+'Sales Forecast'!U12*Assumptions!$C$13+'Sales Forecast'!T12*Assumptions!$D$13+'Sales Forecast'!S12*Assumptions!$E$13+'Sales Forecast'!R12*Assumptions!$F$13+'Sales Forecast'!Q12*Assumptions!$G$13+'Sales Forecast'!P12*Assumptions!$H$13+'Sales Forecast'!O12*Assumptions!$I$13+2521)*Assumptions!$C$17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</row>
    <row r="20">
      <c r="B20" s="33" t="inlineStr">
        <is>
          <t xml:space="preserve">  407000 Discounts</t>
        </is>
      </c>
      <c r="D20" s="19" t="n">
        <v>5483.2</v>
      </c>
      <c r="E20" s="19" t="n">
        <v>6081.57</v>
      </c>
      <c r="F20" s="19" t="n">
        <v>5421.12</v>
      </c>
      <c r="G20" s="19" t="n">
        <v>10864.77</v>
      </c>
      <c r="H20" s="88" t="n">
        <v>3527.02</v>
      </c>
      <c r="I20" s="20">
        <f>('Sales Forecast'!I12*Assumptions!$C$12+'Sales Forecast'!H12*Assumptions!$D$12+'Sales Forecast'!G12*Assumptions!$E$12+'Sales Forecast'!F12*Assumptions!$F$12+'Sales Forecast'!E12*Assumptions!$G$12+'Sales Forecast'!D12*Assumptions!$H$12+'Sales Forecast'!I12*Assumptions!$C$13+'Sales Forecast'!H12*Assumptions!$D$13+'Sales Forecast'!G12*Assumptions!$E$13+'Sales Forecast'!F12*Assumptions!$F$13+'Sales Forecast'!E12*Assumptions!$G$13+'Sales Forecast'!D12*Assumptions!$H$13+2521)*Assumptions!$C$18</f>
        <v/>
      </c>
      <c r="J20" s="20">
        <f>('Sales Forecast'!J12*Assumptions!$C$12+'Sales Forecast'!I12*Assumptions!$D$12+'Sales Forecast'!H12*Assumptions!$E$12+'Sales Forecast'!G12*Assumptions!$F$12+'Sales Forecast'!F12*Assumptions!$G$12+'Sales Forecast'!E12*Assumptions!$H$12+'Sales Forecast'!D12*Assumptions!$I$12+'Sales Forecast'!J12*Assumptions!$C$13+'Sales Forecast'!I12*Assumptions!$D$13+'Sales Forecast'!H12*Assumptions!$E$13+'Sales Forecast'!G12*Assumptions!$F$13+'Sales Forecast'!F12*Assumptions!$G$13+'Sales Forecast'!E12*Assumptions!$H$13+'Sales Forecast'!D12*Assumptions!$I$13+2521)*Assumptions!$C$18</f>
        <v/>
      </c>
      <c r="K20" s="20">
        <f>('Sales Forecast'!K12*Assumptions!$C$12+'Sales Forecast'!J12*Assumptions!$D$12+'Sales Forecast'!I12*Assumptions!$E$12+'Sales Forecast'!H12*Assumptions!$F$12+'Sales Forecast'!G12*Assumptions!$G$12+'Sales Forecast'!F12*Assumptions!$H$12+'Sales Forecast'!E12*Assumptions!$I$12+'Sales Forecast'!K12*Assumptions!$C$13+'Sales Forecast'!J12*Assumptions!$D$13+'Sales Forecast'!I12*Assumptions!$E$13+'Sales Forecast'!H12*Assumptions!$F$13+'Sales Forecast'!G12*Assumptions!$G$13+'Sales Forecast'!F12*Assumptions!$H$13+'Sales Forecast'!E12*Assumptions!$I$13+2521)*Assumptions!$C$18</f>
        <v/>
      </c>
      <c r="L20" s="20">
        <f>('Sales Forecast'!L12*Assumptions!$C$12+'Sales Forecast'!K12*Assumptions!$D$12+'Sales Forecast'!J12*Assumptions!$E$12+'Sales Forecast'!I12*Assumptions!$F$12+'Sales Forecast'!H12*Assumptions!$G$12+'Sales Forecast'!G12*Assumptions!$H$12+'Sales Forecast'!F12*Assumptions!$I$12+'Sales Forecast'!L12*Assumptions!$C$13+'Sales Forecast'!K12*Assumptions!$D$13+'Sales Forecast'!J12*Assumptions!$E$13+'Sales Forecast'!I12*Assumptions!$F$13+'Sales Forecast'!H12*Assumptions!$G$13+'Sales Forecast'!G12*Assumptions!$H$13+'Sales Forecast'!F12*Assumptions!$I$13+2521)*Assumptions!$C$18</f>
        <v/>
      </c>
      <c r="M20" s="20">
        <f>('Sales Forecast'!M12*Assumptions!$C$12+'Sales Forecast'!L12*Assumptions!$D$12+'Sales Forecast'!K12*Assumptions!$E$12+'Sales Forecast'!J12*Assumptions!$F$12+'Sales Forecast'!I12*Assumptions!$G$12+'Sales Forecast'!H12*Assumptions!$H$12+'Sales Forecast'!G12*Assumptions!$I$12+'Sales Forecast'!M12*Assumptions!$C$13+'Sales Forecast'!L12*Assumptions!$D$13+'Sales Forecast'!K12*Assumptions!$E$13+'Sales Forecast'!J12*Assumptions!$F$13+'Sales Forecast'!I12*Assumptions!$G$13+'Sales Forecast'!H12*Assumptions!$H$13+'Sales Forecast'!G12*Assumptions!$I$13+2521)*Assumptions!$C$18</f>
        <v/>
      </c>
      <c r="N20" s="20">
        <f>('Sales Forecast'!N12*Assumptions!$C$12+'Sales Forecast'!M12*Assumptions!$D$12+'Sales Forecast'!L12*Assumptions!$E$12+'Sales Forecast'!K12*Assumptions!$F$12+'Sales Forecast'!J12*Assumptions!$G$12+'Sales Forecast'!I12*Assumptions!$H$12+'Sales Forecast'!H12*Assumptions!$I$12+'Sales Forecast'!N12*Assumptions!$C$13+'Sales Forecast'!M12*Assumptions!$D$13+'Sales Forecast'!L12*Assumptions!$E$13+'Sales Forecast'!K12*Assumptions!$F$13+'Sales Forecast'!J12*Assumptions!$G$13+'Sales Forecast'!I12*Assumptions!$H$13+'Sales Forecast'!H12*Assumptions!$I$13+2521)*Assumptions!$C$18</f>
        <v/>
      </c>
      <c r="O20" s="20">
        <f>('Sales Forecast'!O12*Assumptions!$C$12+'Sales Forecast'!N12*Assumptions!$D$12+'Sales Forecast'!M12*Assumptions!$E$12+'Sales Forecast'!L12*Assumptions!$F$12+'Sales Forecast'!K12*Assumptions!$G$12+'Sales Forecast'!J12*Assumptions!$H$12+'Sales Forecast'!I12*Assumptions!$I$12+'Sales Forecast'!O12*Assumptions!$C$13+'Sales Forecast'!N12*Assumptions!$D$13+'Sales Forecast'!M12*Assumptions!$E$13+'Sales Forecast'!L12*Assumptions!$F$13+'Sales Forecast'!K12*Assumptions!$G$13+'Sales Forecast'!J12*Assumptions!$H$13+'Sales Forecast'!I12*Assumptions!$I$13+2521)*Assumptions!$C$18</f>
        <v/>
      </c>
      <c r="P20" s="20">
        <f>('Sales Forecast'!P12*Assumptions!$C$12+'Sales Forecast'!O12*Assumptions!$D$12+'Sales Forecast'!N12*Assumptions!$E$12+'Sales Forecast'!M12*Assumptions!$F$12+'Sales Forecast'!L12*Assumptions!$G$12+'Sales Forecast'!K12*Assumptions!$H$12+'Sales Forecast'!J12*Assumptions!$I$12+'Sales Forecast'!P12*Assumptions!$C$13+'Sales Forecast'!O12*Assumptions!$D$13+'Sales Forecast'!N12*Assumptions!$E$13+'Sales Forecast'!M12*Assumptions!$F$13+'Sales Forecast'!L12*Assumptions!$G$13+'Sales Forecast'!K12*Assumptions!$H$13+'Sales Forecast'!J12*Assumptions!$I$13+2521)*Assumptions!$C$18</f>
        <v/>
      </c>
      <c r="Q20" s="20">
        <f>('Sales Forecast'!Q12*Assumptions!$C$12+'Sales Forecast'!P12*Assumptions!$D$12+'Sales Forecast'!O12*Assumptions!$E$12+'Sales Forecast'!N12*Assumptions!$F$12+'Sales Forecast'!M12*Assumptions!$G$12+'Sales Forecast'!L12*Assumptions!$H$12+'Sales Forecast'!K12*Assumptions!$I$12+'Sales Forecast'!Q12*Assumptions!$C$13+'Sales Forecast'!P12*Assumptions!$D$13+'Sales Forecast'!O12*Assumptions!$E$13+'Sales Forecast'!N12*Assumptions!$F$13+'Sales Forecast'!M12*Assumptions!$G$13+'Sales Forecast'!L12*Assumptions!$H$13+'Sales Forecast'!K12*Assumptions!$I$13+2521)*Assumptions!$C$18</f>
        <v/>
      </c>
      <c r="R20" s="20">
        <f>('Sales Forecast'!R12*Assumptions!$C$12+'Sales Forecast'!Q12*Assumptions!$D$12+'Sales Forecast'!P12*Assumptions!$E$12+'Sales Forecast'!O12*Assumptions!$F$12+'Sales Forecast'!N12*Assumptions!$G$12+'Sales Forecast'!M12*Assumptions!$H$12+'Sales Forecast'!L12*Assumptions!$I$12+'Sales Forecast'!R12*Assumptions!$C$13+'Sales Forecast'!Q12*Assumptions!$D$13+'Sales Forecast'!P12*Assumptions!$E$13+'Sales Forecast'!O12*Assumptions!$F$13+'Sales Forecast'!N12*Assumptions!$G$13+'Sales Forecast'!M12*Assumptions!$H$13+'Sales Forecast'!L12*Assumptions!$I$13+2521)*Assumptions!$C$18</f>
        <v/>
      </c>
      <c r="S20" s="20">
        <f>('Sales Forecast'!S12*Assumptions!$C$12+'Sales Forecast'!R12*Assumptions!$D$12+'Sales Forecast'!Q12*Assumptions!$E$12+'Sales Forecast'!P12*Assumptions!$F$12+'Sales Forecast'!O12*Assumptions!$G$12+'Sales Forecast'!N12*Assumptions!$H$12+'Sales Forecast'!M12*Assumptions!$I$12+'Sales Forecast'!S12*Assumptions!$C$13+'Sales Forecast'!R12*Assumptions!$D$13+'Sales Forecast'!Q12*Assumptions!$E$13+'Sales Forecast'!P12*Assumptions!$F$13+'Sales Forecast'!O12*Assumptions!$G$13+'Sales Forecast'!N12*Assumptions!$H$13+'Sales Forecast'!M12*Assumptions!$I$13+2521)*Assumptions!$C$18</f>
        <v/>
      </c>
      <c r="T20" s="20">
        <f>('Sales Forecast'!T12*Assumptions!$C$12+'Sales Forecast'!S12*Assumptions!$D$12+'Sales Forecast'!R12*Assumptions!$E$12+'Sales Forecast'!Q12*Assumptions!$F$12+'Sales Forecast'!P12*Assumptions!$G$12+'Sales Forecast'!O12*Assumptions!$H$12+'Sales Forecast'!N12*Assumptions!$I$12+'Sales Forecast'!T12*Assumptions!$C$13+'Sales Forecast'!S12*Assumptions!$D$13+'Sales Forecast'!R12*Assumptions!$E$13+'Sales Forecast'!Q12*Assumptions!$F$13+'Sales Forecast'!P12*Assumptions!$G$13+'Sales Forecast'!O12*Assumptions!$H$13+'Sales Forecast'!N12*Assumptions!$I$13+2521)*Assumptions!$C$18</f>
        <v/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Forecast'!O12*Assumptions!$I$12+'Sales Forecast'!U12*Assumptions!$C$13+'Sales Forecast'!T12*Assumptions!$D$13+'Sales Forecast'!S12*Assumptions!$E$13+'Sales Forecast'!R12*Assumptions!$F$13+'Sales Forecast'!Q12*Assumptions!$G$13+'Sales Forecast'!P12*Assumptions!$H$13+'Sales Forecast'!O12*Assumptions!$I$13+2521)*Assumptions!$C$18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188169.24</v>
      </c>
      <c r="E21" s="35" t="n">
        <v>153464.54</v>
      </c>
      <c r="F21" s="35" t="n">
        <v>141135.39</v>
      </c>
      <c r="G21" s="35" t="n">
        <v>134357.16</v>
      </c>
      <c r="H21" s="89" t="n">
        <v>131663.46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1406.1</v>
      </c>
      <c r="E23" s="19" t="n">
        <v>1101</v>
      </c>
      <c r="F23" s="19" t="n">
        <v>983.7</v>
      </c>
      <c r="G23" s="19" t="n">
        <v>1179</v>
      </c>
      <c r="H23" s="88" t="n">
        <v>915.5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3354.93</v>
      </c>
      <c r="E24" s="19" t="n">
        <v>5257.98</v>
      </c>
      <c r="F24" s="19" t="n">
        <v>3110.15</v>
      </c>
      <c r="G24" s="19" t="n">
        <v>4864.64</v>
      </c>
      <c r="H24" s="88" t="n">
        <v>2401.21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4761.03</v>
      </c>
      <c r="E25" s="35" t="n">
        <v>6358.98</v>
      </c>
      <c r="F25" s="35" t="n">
        <v>4093.85</v>
      </c>
      <c r="G25" s="35" t="n">
        <v>6043.64</v>
      </c>
      <c r="H25" s="89" t="n">
        <v>3316.71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183408.21</v>
      </c>
      <c r="E26" s="35" t="n">
        <v>147105.56</v>
      </c>
      <c r="F26" s="35" t="n">
        <v>137041.54</v>
      </c>
      <c r="G26" s="35" t="n">
        <v>128313.52</v>
      </c>
      <c r="H26" s="89" t="n">
        <v>128346.75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590.91</v>
      </c>
      <c r="E28" s="19" t="n">
        <v>0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590.91</v>
      </c>
      <c r="E33" s="35" t="n">
        <v>0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37865.96</v>
      </c>
      <c r="E34" s="19" t="n">
        <v>28298.38</v>
      </c>
      <c r="F34" s="19" t="n">
        <v>28172.31</v>
      </c>
      <c r="G34" s="19" t="n">
        <v>21673.34</v>
      </c>
      <c r="H34" s="88" t="n">
        <v>26411.14</v>
      </c>
      <c r="I34" s="20" t="n">
        <v>32323.38</v>
      </c>
      <c r="J34" s="20" t="n">
        <v>32323.38</v>
      </c>
      <c r="K34" s="20" t="n">
        <v>42020.39</v>
      </c>
      <c r="L34" s="20" t="n">
        <v>35555.71</v>
      </c>
      <c r="M34" s="20" t="n">
        <v>35555.71</v>
      </c>
      <c r="N34" s="20" t="n">
        <v>38788.05</v>
      </c>
      <c r="O34" s="20" t="n">
        <v>42020.39</v>
      </c>
      <c r="P34" s="20" t="n">
        <v>36363.8</v>
      </c>
      <c r="Q34" s="20" t="n">
        <v>35555.71</v>
      </c>
      <c r="R34" s="20" t="n">
        <v>40799.72</v>
      </c>
      <c r="S34" s="20" t="n">
        <v>42828.47</v>
      </c>
      <c r="T34" s="20" t="n">
        <v>35555.71</v>
      </c>
      <c r="U34" s="20" t="n">
        <v>35555.71</v>
      </c>
      <c r="V34" s="20" t="n">
        <v>35555.71</v>
      </c>
      <c r="W34" s="20" t="n">
        <v>42828.47</v>
      </c>
      <c r="X34" s="20" t="n">
        <v>35555.71</v>
      </c>
      <c r="Y34" s="20" t="n">
        <v>37979.97</v>
      </c>
      <c r="Z34" s="20" t="n">
        <v>42020.39</v>
      </c>
      <c r="AA34" s="20" t="n">
        <v>43636.56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</row>
    <row r="35">
      <c r="B35" s="33" t="inlineStr">
        <is>
          <t xml:space="preserve">  602004 Payroll Taxes</t>
        </is>
      </c>
      <c r="D35" s="19" t="n">
        <v>7630.95</v>
      </c>
      <c r="E35" s="19" t="n">
        <v>2972.53</v>
      </c>
      <c r="F35" s="19" t="n">
        <v>2840.44</v>
      </c>
      <c r="G35" s="19" t="n">
        <v>2151.27</v>
      </c>
      <c r="H35" s="88" t="n">
        <v>2446.11</v>
      </c>
      <c r="I35" s="20" t="n">
        <v>4345.22</v>
      </c>
      <c r="J35" s="20" t="n">
        <v>4345.22</v>
      </c>
      <c r="K35" s="20" t="n">
        <v>5648.79</v>
      </c>
      <c r="L35" s="20" t="n">
        <v>4779.74</v>
      </c>
      <c r="M35" s="20" t="n">
        <v>4779.74</v>
      </c>
      <c r="N35" s="20" t="n">
        <v>5214.27</v>
      </c>
      <c r="O35" s="20" t="n">
        <v>5648.79</v>
      </c>
      <c r="P35" s="20" t="n">
        <v>4888.38</v>
      </c>
      <c r="Q35" s="20" t="n">
        <v>4779.74</v>
      </c>
      <c r="R35" s="20" t="n">
        <v>5484.7</v>
      </c>
      <c r="S35" s="20" t="n">
        <v>5757.42</v>
      </c>
      <c r="T35" s="20" t="n">
        <v>4779.74</v>
      </c>
      <c r="U35" s="20" t="n">
        <v>4779.74</v>
      </c>
      <c r="V35" s="20" t="n">
        <v>4779.74</v>
      </c>
      <c r="W35" s="20" t="n">
        <v>5757.42</v>
      </c>
      <c r="X35" s="20" t="n">
        <v>4779.74</v>
      </c>
      <c r="Y35" s="20" t="n">
        <v>5105.64</v>
      </c>
      <c r="Z35" s="20" t="n">
        <v>5648.79</v>
      </c>
      <c r="AA35" s="20" t="n">
        <v>5866.05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</row>
    <row r="36">
      <c r="B36" s="33" t="inlineStr">
        <is>
          <t xml:space="preserve">  602005 Employee Benefits</t>
        </is>
      </c>
      <c r="D36" s="19" t="n">
        <v>4063.98</v>
      </c>
      <c r="E36" s="19" t="n">
        <v>570.49</v>
      </c>
      <c r="F36" s="19" t="n">
        <v>656.8</v>
      </c>
      <c r="G36" s="19" t="n">
        <v>639.26</v>
      </c>
      <c r="H36" s="88" t="n">
        <v>598.13</v>
      </c>
      <c r="I36" s="20" t="n">
        <v>1652.4</v>
      </c>
      <c r="J36" s="20" t="n">
        <v>1652.4</v>
      </c>
      <c r="K36" s="20" t="n">
        <v>2148.12</v>
      </c>
      <c r="L36" s="20" t="n">
        <v>1817.64</v>
      </c>
      <c r="M36" s="20" t="n">
        <v>1817.64</v>
      </c>
      <c r="N36" s="20" t="n">
        <v>1982.88</v>
      </c>
      <c r="O36" s="20" t="n">
        <v>2148.12</v>
      </c>
      <c r="P36" s="20" t="n">
        <v>1858.95</v>
      </c>
      <c r="Q36" s="20" t="n">
        <v>1817.64</v>
      </c>
      <c r="R36" s="20" t="n">
        <v>2085.72</v>
      </c>
      <c r="S36" s="20" t="n">
        <v>2189.43</v>
      </c>
      <c r="T36" s="20" t="n">
        <v>1817.64</v>
      </c>
      <c r="U36" s="20" t="n">
        <v>1817.64</v>
      </c>
      <c r="V36" s="20" t="n">
        <v>1817.64</v>
      </c>
      <c r="W36" s="20" t="n">
        <v>2189.43</v>
      </c>
      <c r="X36" s="20" t="n">
        <v>1817.64</v>
      </c>
      <c r="Y36" s="20" t="n">
        <v>1941.57</v>
      </c>
      <c r="Z36" s="20" t="n">
        <v>2148.12</v>
      </c>
      <c r="AA36" s="20" t="n">
        <v>2230.74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</row>
    <row r="37">
      <c r="B37" s="33" t="inlineStr">
        <is>
          <t xml:space="preserve">  602010 Payroll Processing Fees</t>
        </is>
      </c>
      <c r="D37" s="19" t="n">
        <v>1745.28</v>
      </c>
      <c r="E37" s="19" t="n">
        <v>1419.85</v>
      </c>
      <c r="F37" s="19" t="n">
        <v>1909.57</v>
      </c>
      <c r="G37" s="19" t="n">
        <v>951.3099999999999</v>
      </c>
      <c r="H37" s="88" t="n">
        <v>1188.32</v>
      </c>
      <c r="I37" s="20" t="n">
        <v>1679</v>
      </c>
      <c r="J37" s="20" t="n">
        <v>1679</v>
      </c>
      <c r="K37" s="20" t="n">
        <v>2182.7</v>
      </c>
      <c r="L37" s="20" t="n">
        <v>1846.9</v>
      </c>
      <c r="M37" s="20" t="n">
        <v>1846.9</v>
      </c>
      <c r="N37" s="20" t="n">
        <v>2014.8</v>
      </c>
      <c r="O37" s="20" t="n">
        <v>2182.7</v>
      </c>
      <c r="P37" s="20" t="n">
        <v>1888.88</v>
      </c>
      <c r="Q37" s="20" t="n">
        <v>1846.9</v>
      </c>
      <c r="R37" s="20" t="n">
        <v>2119.3</v>
      </c>
      <c r="S37" s="20" t="n">
        <v>2224.68</v>
      </c>
      <c r="T37" s="20" t="n">
        <v>1846.9</v>
      </c>
      <c r="U37" s="20" t="n">
        <v>1846.9</v>
      </c>
      <c r="V37" s="20" t="n">
        <v>1846.9</v>
      </c>
      <c r="W37" s="20" t="n">
        <v>2224.68</v>
      </c>
      <c r="X37" s="20" t="n">
        <v>1846.9</v>
      </c>
      <c r="Y37" s="20" t="n">
        <v>1972.83</v>
      </c>
      <c r="Z37" s="20" t="n">
        <v>2182.7</v>
      </c>
      <c r="AA37" s="20" t="n">
        <v>2266.65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</row>
    <row r="38">
      <c r="B38" s="32" t="inlineStr">
        <is>
          <t>Total Payroll</t>
        </is>
      </c>
      <c r="C38" s="34" t="n"/>
      <c r="D38" s="35" t="n">
        <v>51306.17</v>
      </c>
      <c r="E38" s="35" t="n">
        <v>33261.25</v>
      </c>
      <c r="F38" s="35" t="n">
        <v>33579.12</v>
      </c>
      <c r="G38" s="35" t="n">
        <v>25415.18</v>
      </c>
      <c r="H38" s="89" t="n">
        <v>30643.7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4516.21</v>
      </c>
      <c r="E39" s="19" t="n">
        <v>4994.44</v>
      </c>
      <c r="F39" s="19" t="n">
        <v>1424.87</v>
      </c>
      <c r="G39" s="19" t="n">
        <v>3563.26</v>
      </c>
      <c r="H39" s="88" t="n">
        <v>3560.26</v>
      </c>
      <c r="I39" s="20" t="n">
        <v>4711.32</v>
      </c>
      <c r="J39" s="20" t="n">
        <v>4711.32</v>
      </c>
      <c r="K39" s="20" t="n">
        <v>4711.32</v>
      </c>
      <c r="L39" s="20" t="n">
        <v>4711.32</v>
      </c>
      <c r="M39" s="20" t="n">
        <v>4711.32</v>
      </c>
      <c r="N39" s="20" t="n">
        <v>4711.32</v>
      </c>
      <c r="O39" s="20" t="n">
        <v>4711.32</v>
      </c>
      <c r="P39" s="20" t="n">
        <v>4711.32</v>
      </c>
      <c r="Q39" s="20" t="n">
        <v>4711.32</v>
      </c>
      <c r="R39" s="20" t="n">
        <v>4711.32</v>
      </c>
      <c r="S39" s="20" t="n">
        <v>4711.32</v>
      </c>
      <c r="T39" s="20" t="n">
        <v>4711.32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</row>
    <row r="40">
      <c r="B40" s="33" t="inlineStr">
        <is>
          <t xml:space="preserve">  608000 Insurance</t>
        </is>
      </c>
      <c r="D40" s="19" t="n">
        <v>69.67</v>
      </c>
      <c r="E40" s="19" t="n">
        <v>69.67</v>
      </c>
      <c r="F40" s="19" t="n">
        <v>169.9</v>
      </c>
      <c r="G40" s="19" t="n">
        <v>169.9</v>
      </c>
      <c r="H40" s="88" t="n">
        <v>211.57</v>
      </c>
      <c r="I40" s="20" t="n">
        <v>155.69</v>
      </c>
      <c r="J40" s="20" t="n">
        <v>155.69</v>
      </c>
      <c r="K40" s="20" t="n">
        <v>155.69</v>
      </c>
      <c r="L40" s="20" t="n">
        <v>155.69</v>
      </c>
      <c r="M40" s="20" t="n">
        <v>155.69</v>
      </c>
      <c r="N40" s="20" t="n">
        <v>155.69</v>
      </c>
      <c r="O40" s="20" t="n">
        <v>155.69</v>
      </c>
      <c r="P40" s="20" t="n">
        <v>155.69</v>
      </c>
      <c r="Q40" s="20" t="n">
        <v>155.69</v>
      </c>
      <c r="R40" s="20" t="n">
        <v>155.69</v>
      </c>
      <c r="S40" s="20" t="n">
        <v>155.69</v>
      </c>
      <c r="T40" s="20" t="n">
        <v>155.69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</row>
    <row r="41">
      <c r="B41" s="33" t="inlineStr">
        <is>
          <t xml:space="preserve">  610000 Office Supplies</t>
        </is>
      </c>
      <c r="D41" s="19" t="n">
        <v>1174.99</v>
      </c>
      <c r="E41" s="19" t="n">
        <v>144.74</v>
      </c>
      <c r="F41" s="19" t="n">
        <v>872.86</v>
      </c>
      <c r="G41" s="19" t="n">
        <v>558.21</v>
      </c>
      <c r="H41" s="88" t="n">
        <v>0</v>
      </c>
      <c r="I41" s="20" t="n">
        <v>893.86</v>
      </c>
      <c r="J41" s="20" t="n">
        <v>893.86</v>
      </c>
      <c r="K41" s="20" t="n">
        <v>893.86</v>
      </c>
      <c r="L41" s="20" t="n">
        <v>893.86</v>
      </c>
      <c r="M41" s="20" t="n">
        <v>893.86</v>
      </c>
      <c r="N41" s="20" t="n">
        <v>893.86</v>
      </c>
      <c r="O41" s="20" t="n">
        <v>893.86</v>
      </c>
      <c r="P41" s="20" t="n">
        <v>893.86</v>
      </c>
      <c r="Q41" s="20" t="n">
        <v>893.86</v>
      </c>
      <c r="R41" s="20" t="n">
        <v>893.86</v>
      </c>
      <c r="S41" s="20" t="n">
        <v>893.86</v>
      </c>
      <c r="T41" s="20" t="n">
        <v>893.86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1116.82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956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247.58</v>
      </c>
      <c r="E48" s="19" t="n">
        <v>284.79</v>
      </c>
      <c r="F48" s="19" t="n">
        <v>165.83</v>
      </c>
      <c r="G48" s="19" t="n">
        <v>0</v>
      </c>
      <c r="H48" s="88" t="n">
        <v>0</v>
      </c>
      <c r="I48" s="20" t="n">
        <v>215.52</v>
      </c>
      <c r="J48" s="20" t="n">
        <v>215.52</v>
      </c>
      <c r="K48" s="20" t="n">
        <v>215.52</v>
      </c>
      <c r="L48" s="20" t="n">
        <v>215.52</v>
      </c>
      <c r="M48" s="20" t="n">
        <v>215.52</v>
      </c>
      <c r="N48" s="20" t="n">
        <v>215.52</v>
      </c>
      <c r="O48" s="20" t="n">
        <v>215.52</v>
      </c>
      <c r="P48" s="20" t="n">
        <v>215.52</v>
      </c>
      <c r="Q48" s="20" t="n">
        <v>215.52</v>
      </c>
      <c r="R48" s="20" t="n">
        <v>215.52</v>
      </c>
      <c r="S48" s="20" t="n">
        <v>215.52</v>
      </c>
      <c r="T48" s="20" t="n">
        <v>215.52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</row>
    <row r="49">
      <c r="B49" s="33" t="inlineStr">
        <is>
          <t xml:space="preserve">  606000 Meals</t>
        </is>
      </c>
      <c r="D49" s="19" t="n">
        <v>54.67</v>
      </c>
      <c r="E49" s="19" t="n">
        <v>85.92</v>
      </c>
      <c r="F49" s="19" t="n">
        <v>89.73</v>
      </c>
      <c r="G49" s="19" t="n">
        <v>50.67</v>
      </c>
      <c r="H49" s="88" t="n">
        <v>140.73</v>
      </c>
      <c r="I49" s="20" t="n">
        <v>86.73</v>
      </c>
      <c r="J49" s="20" t="n">
        <v>86.73</v>
      </c>
      <c r="K49" s="20" t="n">
        <v>86.73</v>
      </c>
      <c r="L49" s="20" t="n">
        <v>86.73</v>
      </c>
      <c r="M49" s="20" t="n">
        <v>86.73</v>
      </c>
      <c r="N49" s="20" t="n">
        <v>86.73</v>
      </c>
      <c r="O49" s="20" t="n">
        <v>86.73</v>
      </c>
      <c r="P49" s="20" t="n">
        <v>86.73</v>
      </c>
      <c r="Q49" s="20" t="n">
        <v>86.73</v>
      </c>
      <c r="R49" s="20" t="n">
        <v>86.73</v>
      </c>
      <c r="S49" s="20" t="n">
        <v>86.73</v>
      </c>
      <c r="T49" s="20" t="n">
        <v>86.73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116.98</v>
      </c>
      <c r="E51" s="19" t="n">
        <v>105</v>
      </c>
      <c r="F51" s="19" t="n">
        <v>139.04</v>
      </c>
      <c r="G51" s="19" t="n">
        <v>83.52</v>
      </c>
      <c r="H51" s="88" t="n">
        <v>124.29</v>
      </c>
      <c r="I51" s="20" t="n">
        <v>97.94</v>
      </c>
      <c r="J51" s="20" t="n">
        <v>97.94</v>
      </c>
      <c r="K51" s="20" t="n">
        <v>97.94</v>
      </c>
      <c r="L51" s="20" t="n">
        <v>97.94</v>
      </c>
      <c r="M51" s="20" t="n">
        <v>97.94</v>
      </c>
      <c r="N51" s="20" t="n">
        <v>97.94</v>
      </c>
      <c r="O51" s="20" t="n">
        <v>97.94</v>
      </c>
      <c r="P51" s="20" t="n">
        <v>97.94</v>
      </c>
      <c r="Q51" s="20" t="n">
        <v>97.94</v>
      </c>
      <c r="R51" s="20" t="n">
        <v>97.94</v>
      </c>
      <c r="S51" s="20" t="n">
        <v>97.94</v>
      </c>
      <c r="T51" s="20" t="n">
        <v>97.94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</row>
    <row r="52">
      <c r="B52" s="33" t="inlineStr">
        <is>
          <t xml:space="preserve">  616002 Internet &amp; TV</t>
        </is>
      </c>
      <c r="D52" s="19" t="n">
        <v>210.26</v>
      </c>
      <c r="E52" s="19" t="n">
        <v>210.26</v>
      </c>
      <c r="F52" s="19" t="n">
        <v>210.26</v>
      </c>
      <c r="G52" s="19" t="n">
        <v>210.26</v>
      </c>
      <c r="H52" s="88" t="n">
        <v>0</v>
      </c>
      <c r="I52" s="20" t="n">
        <v>185.3</v>
      </c>
      <c r="J52" s="20" t="n">
        <v>185.3</v>
      </c>
      <c r="K52" s="20" t="n">
        <v>185.3</v>
      </c>
      <c r="L52" s="20" t="n">
        <v>185.3</v>
      </c>
      <c r="M52" s="20" t="n">
        <v>185.3</v>
      </c>
      <c r="N52" s="20" t="n">
        <v>185.3</v>
      </c>
      <c r="O52" s="20" t="n">
        <v>185.3</v>
      </c>
      <c r="P52" s="20" t="n">
        <v>185.3</v>
      </c>
      <c r="Q52" s="20" t="n">
        <v>185.3</v>
      </c>
      <c r="R52" s="20" t="n">
        <v>185.3</v>
      </c>
      <c r="S52" s="20" t="n">
        <v>185.3</v>
      </c>
      <c r="T52" s="20" t="n">
        <v>185.3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</row>
    <row r="53">
      <c r="B53" s="33" t="inlineStr">
        <is>
          <t xml:space="preserve">  616003 Phone service</t>
        </is>
      </c>
      <c r="D53" s="19" t="n">
        <v>73.91</v>
      </c>
      <c r="E53" s="19" t="n">
        <v>87.11</v>
      </c>
      <c r="F53" s="19" t="n">
        <v>86.36</v>
      </c>
      <c r="G53" s="19" t="n">
        <v>87.53</v>
      </c>
      <c r="H53" s="88" t="n">
        <v>81.03</v>
      </c>
      <c r="I53" s="20" t="n">
        <v>73.79000000000001</v>
      </c>
      <c r="J53" s="20" t="n">
        <v>73.79000000000001</v>
      </c>
      <c r="K53" s="20" t="n">
        <v>73.79000000000001</v>
      </c>
      <c r="L53" s="20" t="n">
        <v>73.79000000000001</v>
      </c>
      <c r="M53" s="20" t="n">
        <v>73.79000000000001</v>
      </c>
      <c r="N53" s="20" t="n">
        <v>73.79000000000001</v>
      </c>
      <c r="O53" s="20" t="n">
        <v>73.79000000000001</v>
      </c>
      <c r="P53" s="20" t="n">
        <v>73.79000000000001</v>
      </c>
      <c r="Q53" s="20" t="n">
        <v>73.79000000000001</v>
      </c>
      <c r="R53" s="20" t="n">
        <v>73.79000000000001</v>
      </c>
      <c r="S53" s="20" t="n">
        <v>73.79000000000001</v>
      </c>
      <c r="T53" s="20" t="n">
        <v>73.79000000000001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572.21</v>
      </c>
      <c r="G55" s="19" t="n">
        <v>0</v>
      </c>
      <c r="H55" s="88" t="n">
        <v>0</v>
      </c>
      <c r="I55" s="20" t="n">
        <v>126.07</v>
      </c>
      <c r="J55" s="20" t="n">
        <v>126.07</v>
      </c>
      <c r="K55" s="20" t="n">
        <v>126.07</v>
      </c>
      <c r="L55" s="20" t="n">
        <v>126.07</v>
      </c>
      <c r="M55" s="20" t="n">
        <v>126.07</v>
      </c>
      <c r="N55" s="20" t="n">
        <v>126.07</v>
      </c>
      <c r="O55" s="20" t="n">
        <v>126.07</v>
      </c>
      <c r="P55" s="20" t="n">
        <v>126.07</v>
      </c>
      <c r="Q55" s="20" t="n">
        <v>126.07</v>
      </c>
      <c r="R55" s="20" t="n">
        <v>126.07</v>
      </c>
      <c r="S55" s="20" t="n">
        <v>126.07</v>
      </c>
      <c r="T55" s="20" t="n">
        <v>126.07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</row>
    <row r="56">
      <c r="B56" s="32" t="inlineStr">
        <is>
          <t>Total Utilities</t>
        </is>
      </c>
      <c r="C56" s="34" t="n"/>
      <c r="D56" s="35" t="n">
        <v>401.15</v>
      </c>
      <c r="E56" s="35" t="n">
        <v>402.37</v>
      </c>
      <c r="F56" s="35" t="n">
        <v>1007.87</v>
      </c>
      <c r="G56" s="35" t="n">
        <v>381.3099999999999</v>
      </c>
      <c r="H56" s="89" t="n">
        <v>415.58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88" t="n">
        <v>7779.68</v>
      </c>
      <c r="I57" s="20" t="n">
        <v>7894.21</v>
      </c>
      <c r="J57" s="20" t="n">
        <v>7894.21</v>
      </c>
      <c r="K57" s="20" t="n">
        <v>7894.21</v>
      </c>
      <c r="L57" s="20" t="n">
        <v>7894.21</v>
      </c>
      <c r="M57" s="20" t="n">
        <v>7894.21</v>
      </c>
      <c r="N57" s="20" t="n">
        <v>7894.21</v>
      </c>
      <c r="O57" s="20" t="n">
        <v>7894.21</v>
      </c>
      <c r="P57" s="20" t="n">
        <v>7894.21</v>
      </c>
      <c r="Q57" s="20" t="n">
        <v>7894.21</v>
      </c>
      <c r="R57" s="20" t="n">
        <v>7894.21</v>
      </c>
      <c r="S57" s="20" t="n">
        <v>7894.21</v>
      </c>
      <c r="T57" s="20" t="n">
        <v>7894.21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146.01</v>
      </c>
      <c r="G58" s="19" t="n">
        <v>0</v>
      </c>
      <c r="H58" s="88" t="n">
        <v>0</v>
      </c>
      <c r="I58" s="20" t="n">
        <v>37.04</v>
      </c>
      <c r="J58" s="20" t="n">
        <v>37.04</v>
      </c>
      <c r="K58" s="20" t="n">
        <v>37.04</v>
      </c>
      <c r="L58" s="20" t="n">
        <v>37.04</v>
      </c>
      <c r="M58" s="20" t="n">
        <v>37.04</v>
      </c>
      <c r="N58" s="20" t="n">
        <v>37.04</v>
      </c>
      <c r="O58" s="20" t="n">
        <v>37.04</v>
      </c>
      <c r="P58" s="20" t="n">
        <v>37.04</v>
      </c>
      <c r="Q58" s="20" t="n">
        <v>37.04</v>
      </c>
      <c r="R58" s="20" t="n">
        <v>37.04</v>
      </c>
      <c r="S58" s="20" t="n">
        <v>37.04</v>
      </c>
      <c r="T58" s="20" t="n">
        <v>37.04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</row>
    <row r="59">
      <c r="B59" s="33" t="inlineStr">
        <is>
          <t xml:space="preserve">  703000 Cleaning</t>
        </is>
      </c>
      <c r="D59" s="19" t="n">
        <v>432.75</v>
      </c>
      <c r="E59" s="19" t="n">
        <v>195.37</v>
      </c>
      <c r="F59" s="19" t="n">
        <v>882.48</v>
      </c>
      <c r="G59" s="19" t="n">
        <v>274.83</v>
      </c>
      <c r="H59" s="88" t="n">
        <v>317.03</v>
      </c>
      <c r="I59" s="20" t="n">
        <v>452.93</v>
      </c>
      <c r="J59" s="20" t="n">
        <v>452.93</v>
      </c>
      <c r="K59" s="20" t="n">
        <v>452.93</v>
      </c>
      <c r="L59" s="20" t="n">
        <v>452.93</v>
      </c>
      <c r="M59" s="20" t="n">
        <v>452.93</v>
      </c>
      <c r="N59" s="20" t="n">
        <v>452.93</v>
      </c>
      <c r="O59" s="20" t="n">
        <v>452.93</v>
      </c>
      <c r="P59" s="20" t="n">
        <v>452.93</v>
      </c>
      <c r="Q59" s="20" t="n">
        <v>452.93</v>
      </c>
      <c r="R59" s="20" t="n">
        <v>452.93</v>
      </c>
      <c r="S59" s="20" t="n">
        <v>452.93</v>
      </c>
      <c r="T59" s="20" t="n">
        <v>452.93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8384.18</v>
      </c>
      <c r="E61" s="35" t="n">
        <v>8096.1</v>
      </c>
      <c r="F61" s="35" t="n">
        <v>8965.27</v>
      </c>
      <c r="G61" s="35" t="n">
        <v>8130.21</v>
      </c>
      <c r="H61" s="89" t="n">
        <v>8275.25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67536.34</v>
      </c>
      <c r="E62" s="35" t="n">
        <v>48157.1</v>
      </c>
      <c r="F62" s="35" t="n">
        <v>47231.45000000001</v>
      </c>
      <c r="G62" s="35" t="n">
        <v>38784.74000000001</v>
      </c>
      <c r="H62" s="89" t="n">
        <v>45996.7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115871.87</v>
      </c>
      <c r="E63" s="35" t="n">
        <v>98948.45999999996</v>
      </c>
      <c r="F63" s="35" t="n">
        <v>89810.09</v>
      </c>
      <c r="G63" s="35" t="n">
        <v>89528.78</v>
      </c>
      <c r="H63" s="89" t="n">
        <v>82350.05000000002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724.74</v>
      </c>
      <c r="E65" s="19" t="n">
        <v>724.74</v>
      </c>
      <c r="F65" s="19" t="n">
        <v>724.74</v>
      </c>
      <c r="G65" s="19" t="n">
        <v>724.74</v>
      </c>
      <c r="H65" s="88" t="n">
        <v>724.74</v>
      </c>
      <c r="I65" s="20">
        <f>I69*0.218701</f>
        <v/>
      </c>
      <c r="J65" s="20">
        <f>J69*0.218701</f>
        <v/>
      </c>
      <c r="K65" s="20">
        <f>K69*0.218701</f>
        <v/>
      </c>
      <c r="L65" s="20">
        <f>L69*0.218701</f>
        <v/>
      </c>
      <c r="M65" s="20">
        <f>M69*0.218701</f>
        <v/>
      </c>
      <c r="N65" s="20">
        <f>N69*0.218701</f>
        <v/>
      </c>
      <c r="O65" s="20">
        <f>O69*0.218701</f>
        <v/>
      </c>
      <c r="P65" s="20">
        <f>P69*0.218701</f>
        <v/>
      </c>
      <c r="Q65" s="20">
        <f>Q69*0.218701</f>
        <v/>
      </c>
      <c r="R65" s="20">
        <f>R69*0.218701</f>
        <v/>
      </c>
      <c r="S65" s="20">
        <f>S69*0.218701</f>
        <v/>
      </c>
      <c r="T65" s="20">
        <f>T69*0.218701</f>
        <v/>
      </c>
      <c r="U65" s="20">
        <f>U69*0.218701</f>
        <v/>
      </c>
      <c r="V65" s="20">
        <f>V69*0.218701</f>
        <v/>
      </c>
      <c r="W65" s="20">
        <f>W69*0.218701</f>
        <v/>
      </c>
      <c r="X65" s="20">
        <f>X69*0.218701</f>
        <v/>
      </c>
      <c r="Y65" s="20">
        <f>Y69*0.218701</f>
        <v/>
      </c>
      <c r="Z65" s="20">
        <f>Z69*0.218701</f>
        <v/>
      </c>
      <c r="AA65" s="20">
        <f>AA69*0.218701</f>
        <v/>
      </c>
      <c r="AB65" s="20">
        <f>AB69*0.218701</f>
        <v/>
      </c>
      <c r="AC65" s="20">
        <f>AC69*0.218701</f>
        <v/>
      </c>
      <c r="AD65" s="20">
        <f>AD69*0.218701</f>
        <v/>
      </c>
      <c r="AE65" s="20">
        <f>AE69*0.218701</f>
        <v/>
      </c>
      <c r="AF65" s="20">
        <f>AF69*0.218701</f>
        <v/>
      </c>
      <c r="AG65" s="20">
        <f>AG69*0.218701</f>
        <v/>
      </c>
      <c r="AH65" s="20">
        <f>AH69*0.218701</f>
        <v/>
      </c>
      <c r="AI65" s="20">
        <f>AI69*0.218701</f>
        <v/>
      </c>
      <c r="AJ65" s="20">
        <f>AJ69*0.218701</f>
        <v/>
      </c>
      <c r="AK65" s="20">
        <f>AK69*0.218701</f>
        <v/>
      </c>
      <c r="AL65" s="20">
        <f>AL69*0.218701</f>
        <v/>
      </c>
      <c r="AM65" s="20">
        <f>AM69*0.218701</f>
        <v/>
      </c>
    </row>
    <row r="66">
      <c r="B66" s="33" t="inlineStr">
        <is>
          <t xml:space="preserve">  901000 Interest Expense</t>
        </is>
      </c>
      <c r="D66" s="19" t="n">
        <v>2405</v>
      </c>
      <c r="E66" s="19" t="n">
        <v>2405</v>
      </c>
      <c r="F66" s="19" t="n">
        <v>2405</v>
      </c>
      <c r="G66" s="19" t="n">
        <v>2405</v>
      </c>
      <c r="H66" s="88" t="n">
        <v>0</v>
      </c>
      <c r="I66" s="20">
        <f>I69*0.725744</f>
        <v/>
      </c>
      <c r="J66" s="20">
        <f>J69*0.725744</f>
        <v/>
      </c>
      <c r="K66" s="20">
        <f>K69*0.725744</f>
        <v/>
      </c>
      <c r="L66" s="20">
        <f>L69*0.725744</f>
        <v/>
      </c>
      <c r="M66" s="20">
        <f>M69*0.725744</f>
        <v/>
      </c>
      <c r="N66" s="20">
        <f>N69*0.725744</f>
        <v/>
      </c>
      <c r="O66" s="20">
        <f>O69*0.725744</f>
        <v/>
      </c>
      <c r="P66" s="20">
        <f>P69*0.725744</f>
        <v/>
      </c>
      <c r="Q66" s="20">
        <f>Q69*0.725744</f>
        <v/>
      </c>
      <c r="R66" s="20">
        <f>R69*0.725744</f>
        <v/>
      </c>
      <c r="S66" s="20">
        <f>S69*0.725744</f>
        <v/>
      </c>
      <c r="T66" s="20">
        <f>T69*0.725744</f>
        <v/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736.4</v>
      </c>
      <c r="F67" s="19" t="n">
        <v>0</v>
      </c>
      <c r="G67" s="19" t="n">
        <v>0</v>
      </c>
      <c r="H67" s="88" t="n">
        <v>0</v>
      </c>
      <c r="I67" s="20">
        <f>I69*0.055555</f>
        <v/>
      </c>
      <c r="J67" s="20">
        <f>J69*0.055555</f>
        <v/>
      </c>
      <c r="K67" s="20">
        <f>K69*0.055555</f>
        <v/>
      </c>
      <c r="L67" s="20">
        <f>L69*0.055555</f>
        <v/>
      </c>
      <c r="M67" s="20">
        <f>M69*0.055555</f>
        <v/>
      </c>
      <c r="N67" s="20">
        <f>N69*0.055555</f>
        <v/>
      </c>
      <c r="O67" s="20">
        <f>O69*0.055555</f>
        <v/>
      </c>
      <c r="P67" s="20">
        <f>P69*0.055555</f>
        <v/>
      </c>
      <c r="Q67" s="20">
        <f>Q69*0.055555</f>
        <v/>
      </c>
      <c r="R67" s="20">
        <f>R69*0.055555</f>
        <v/>
      </c>
      <c r="S67" s="20">
        <f>S69*0.055555</f>
        <v/>
      </c>
      <c r="T67" s="20">
        <f>T69*0.055555</f>
        <v/>
      </c>
      <c r="U67" s="20">
        <f>U69*0.055555</f>
        <v/>
      </c>
      <c r="V67" s="20">
        <f>V69*0.055555</f>
        <v/>
      </c>
      <c r="W67" s="20">
        <f>W69*0.055555</f>
        <v/>
      </c>
      <c r="X67" s="20">
        <f>X69*0.055555</f>
        <v/>
      </c>
      <c r="Y67" s="20">
        <f>Y69*0.055555</f>
        <v/>
      </c>
      <c r="Z67" s="20">
        <f>Z69*0.055555</f>
        <v/>
      </c>
      <c r="AA67" s="20">
        <f>AA69*0.055555</f>
        <v/>
      </c>
      <c r="AB67" s="20">
        <f>AB69*0.055555</f>
        <v/>
      </c>
      <c r="AC67" s="20">
        <f>AC69*0.055555</f>
        <v/>
      </c>
      <c r="AD67" s="20">
        <f>AD69*0.055555</f>
        <v/>
      </c>
      <c r="AE67" s="20">
        <f>AE69*0.055555</f>
        <v/>
      </c>
      <c r="AF67" s="20">
        <f>AF69*0.055555</f>
        <v/>
      </c>
      <c r="AG67" s="20">
        <f>AG69*0.055555</f>
        <v/>
      </c>
      <c r="AH67" s="20">
        <f>AH69*0.055555</f>
        <v/>
      </c>
      <c r="AI67" s="20">
        <f>AI69*0.055555</f>
        <v/>
      </c>
      <c r="AJ67" s="20">
        <f>AJ69*0.055555</f>
        <v/>
      </c>
      <c r="AK67" s="20">
        <f>AK69*0.055555</f>
        <v/>
      </c>
      <c r="AL67" s="20">
        <f>AL69*0.055555</f>
        <v/>
      </c>
      <c r="AM67" s="20">
        <f>AM69*0.055555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3129.74</v>
      </c>
      <c r="E69" s="35" t="n">
        <v>3866.14</v>
      </c>
      <c r="F69" s="35" t="n">
        <v>3129.74</v>
      </c>
      <c r="G69" s="35" t="n">
        <v>3129.74</v>
      </c>
      <c r="H69" s="89" t="n">
        <v>3129.74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112742.13</v>
      </c>
      <c r="E70" s="35" t="n">
        <v>95082.31999999996</v>
      </c>
      <c r="F70" s="35" t="n">
        <v>86680.34999999999</v>
      </c>
      <c r="G70" s="35" t="n">
        <v>86399.03999999999</v>
      </c>
      <c r="H70" s="89" t="n">
        <v>79220.31000000001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Russian Hill (RH)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45965.84</v>
      </c>
      <c r="E7" s="19" t="n">
        <v>40953.89</v>
      </c>
      <c r="F7" s="19" t="n">
        <v>47182.84</v>
      </c>
      <c r="G7" s="19" t="n">
        <v>43586.86</v>
      </c>
      <c r="H7" s="88" t="n">
        <v>38537.59</v>
      </c>
      <c r="I7" s="20">
        <f>I13*0.516754</f>
        <v/>
      </c>
      <c r="J7" s="20">
        <f>J13*0.516754</f>
        <v/>
      </c>
      <c r="K7" s="20">
        <f>K13*0.516754</f>
        <v/>
      </c>
      <c r="L7" s="20">
        <f>L13*0.516754</f>
        <v/>
      </c>
      <c r="M7" s="20">
        <f>M13*0.516754</f>
        <v/>
      </c>
      <c r="N7" s="20">
        <f>N13*0.516754</f>
        <v/>
      </c>
      <c r="O7" s="20">
        <f>O13*0.516754</f>
        <v/>
      </c>
      <c r="P7" s="20">
        <f>P13*0.516754</f>
        <v/>
      </c>
      <c r="Q7" s="20">
        <f>Q13*0.516754</f>
        <v/>
      </c>
      <c r="R7" s="20">
        <f>R13*0.516754</f>
        <v/>
      </c>
      <c r="S7" s="20">
        <f>S13*0.516754</f>
        <v/>
      </c>
      <c r="T7" s="20">
        <f>T13*0.516754</f>
        <v/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</row>
    <row r="8">
      <c r="B8" s="33" t="inlineStr">
        <is>
          <t xml:space="preserve">  401002 Private Pilates</t>
        </is>
      </c>
      <c r="D8" s="19" t="n">
        <v>4196.33</v>
      </c>
      <c r="E8" s="19" t="n">
        <v>3350.8</v>
      </c>
      <c r="F8" s="19" t="n">
        <v>2241.8</v>
      </c>
      <c r="G8" s="19" t="n">
        <v>1954.5</v>
      </c>
      <c r="H8" s="88" t="n">
        <v>3154</v>
      </c>
      <c r="I8" s="20">
        <f>I13*0.034152</f>
        <v/>
      </c>
      <c r="J8" s="20">
        <f>J13*0.034152</f>
        <v/>
      </c>
      <c r="K8" s="20">
        <f>K13*0.034152</f>
        <v/>
      </c>
      <c r="L8" s="20">
        <f>L13*0.034152</f>
        <v/>
      </c>
      <c r="M8" s="20">
        <f>M13*0.034152</f>
        <v/>
      </c>
      <c r="N8" s="20">
        <f>N13*0.034152</f>
        <v/>
      </c>
      <c r="O8" s="20">
        <f>O13*0.034152</f>
        <v/>
      </c>
      <c r="P8" s="20">
        <f>P13*0.034152</f>
        <v/>
      </c>
      <c r="Q8" s="20">
        <f>Q13*0.034152</f>
        <v/>
      </c>
      <c r="R8" s="20">
        <f>R13*0.034152</f>
        <v/>
      </c>
      <c r="S8" s="20">
        <f>S13*0.034152</f>
        <v/>
      </c>
      <c r="T8" s="20">
        <f>T13*0.034152</f>
        <v/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</row>
    <row r="9">
      <c r="B9" s="33" t="inlineStr">
        <is>
          <t xml:space="preserve">  401003 Class Pass</t>
        </is>
      </c>
      <c r="D9" s="19" t="n">
        <v>31714.92</v>
      </c>
      <c r="E9" s="19" t="n">
        <v>29407.51</v>
      </c>
      <c r="F9" s="19" t="n">
        <v>34089.62</v>
      </c>
      <c r="G9" s="19" t="n">
        <v>31971</v>
      </c>
      <c r="H9" s="88" t="n">
        <v>28859.74</v>
      </c>
      <c r="I9" s="20">
        <f>I13*0.369872</f>
        <v/>
      </c>
      <c r="J9" s="20">
        <f>J13*0.369872</f>
        <v/>
      </c>
      <c r="K9" s="20">
        <f>K13*0.369872</f>
        <v/>
      </c>
      <c r="L9" s="20">
        <f>L13*0.369872</f>
        <v/>
      </c>
      <c r="M9" s="20">
        <f>M13*0.369872</f>
        <v/>
      </c>
      <c r="N9" s="20">
        <f>N13*0.369872</f>
        <v/>
      </c>
      <c r="O9" s="20">
        <f>O13*0.369872</f>
        <v/>
      </c>
      <c r="P9" s="20">
        <f>P13*0.369872</f>
        <v/>
      </c>
      <c r="Q9" s="20">
        <f>Q13*0.369872</f>
        <v/>
      </c>
      <c r="R9" s="20">
        <f>R13*0.369872</f>
        <v/>
      </c>
      <c r="S9" s="20">
        <f>S13*0.369872</f>
        <v/>
      </c>
      <c r="T9" s="20">
        <f>T13*0.369872</f>
        <v/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</row>
    <row r="10">
      <c r="B10" s="33" t="inlineStr">
        <is>
          <t xml:space="preserve">  401004 Mighty Teacher Training</t>
        </is>
      </c>
      <c r="D10" s="19" t="n">
        <v>12431.67</v>
      </c>
      <c r="E10" s="19" t="n">
        <v>7052.17</v>
      </c>
      <c r="F10" s="19" t="n">
        <v>208.33</v>
      </c>
      <c r="G10" s="19" t="n">
        <v>0</v>
      </c>
      <c r="H10" s="88" t="n">
        <v>0</v>
      </c>
      <c r="I10" s="20">
        <f>I13*0.057269</f>
        <v/>
      </c>
      <c r="J10" s="20">
        <f>J13*0.057269</f>
        <v/>
      </c>
      <c r="K10" s="20">
        <f>K13*0.057269</f>
        <v/>
      </c>
      <c r="L10" s="20">
        <f>L13*0.057269</f>
        <v/>
      </c>
      <c r="M10" s="20">
        <f>M13*0.057269</f>
        <v/>
      </c>
      <c r="N10" s="20">
        <f>N13*0.057269</f>
        <v/>
      </c>
      <c r="O10" s="20">
        <f>O13*0.057269</f>
        <v/>
      </c>
      <c r="P10" s="20">
        <f>P13*0.057269</f>
        <v/>
      </c>
      <c r="Q10" s="20">
        <f>Q13*0.057269</f>
        <v/>
      </c>
      <c r="R10" s="20">
        <f>R13*0.057269</f>
        <v/>
      </c>
      <c r="S10" s="20">
        <f>S13*0.057269</f>
        <v/>
      </c>
      <c r="T10" s="20">
        <f>T13*0.057269</f>
        <v/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</row>
    <row r="11">
      <c r="B11" s="33" t="inlineStr">
        <is>
          <t xml:space="preserve">  401005 Livestream Classes</t>
        </is>
      </c>
      <c r="D11" s="19" t="n">
        <v>216.27</v>
      </c>
      <c r="E11" s="19" t="n">
        <v>192.87</v>
      </c>
      <c r="F11" s="19" t="n">
        <v>101.04</v>
      </c>
      <c r="G11" s="19" t="n">
        <v>50.61</v>
      </c>
      <c r="H11" s="88" t="n">
        <v>44.1</v>
      </c>
      <c r="I11" s="20">
        <f>I13*0.001631</f>
        <v/>
      </c>
      <c r="J11" s="20">
        <f>J13*0.001631</f>
        <v/>
      </c>
      <c r="K11" s="20">
        <f>K13*0.001631</f>
        <v/>
      </c>
      <c r="L11" s="20">
        <f>L13*0.001631</f>
        <v/>
      </c>
      <c r="M11" s="20">
        <f>M13*0.001631</f>
        <v/>
      </c>
      <c r="N11" s="20">
        <f>N13*0.001631</f>
        <v/>
      </c>
      <c r="O11" s="20">
        <f>O13*0.001631</f>
        <v/>
      </c>
      <c r="P11" s="20">
        <f>P13*0.001631</f>
        <v/>
      </c>
      <c r="Q11" s="20">
        <f>Q13*0.001631</f>
        <v/>
      </c>
      <c r="R11" s="20">
        <f>R13*0.001631</f>
        <v/>
      </c>
      <c r="S11" s="20">
        <f>S13*0.001631</f>
        <v/>
      </c>
      <c r="T11" s="20">
        <f>T13*0.001631</f>
        <v/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</row>
    <row r="12">
      <c r="B12" s="33" t="inlineStr">
        <is>
          <t xml:space="preserve">  401006 Wellhub</t>
        </is>
      </c>
      <c r="D12" s="19" t="n">
        <v>1471.12</v>
      </c>
      <c r="E12" s="19" t="n">
        <v>1444.85</v>
      </c>
      <c r="F12" s="19" t="n">
        <v>2219.85</v>
      </c>
      <c r="G12" s="19" t="n">
        <v>1852.04</v>
      </c>
      <c r="H12" s="88" t="n">
        <v>1429.15</v>
      </c>
      <c r="I12" s="20">
        <f>I13*0.020322</f>
        <v/>
      </c>
      <c r="J12" s="20">
        <f>J13*0.020322</f>
        <v/>
      </c>
      <c r="K12" s="20">
        <f>K13*0.020322</f>
        <v/>
      </c>
      <c r="L12" s="20">
        <f>L13*0.020322</f>
        <v/>
      </c>
      <c r="M12" s="20">
        <f>M13*0.020322</f>
        <v/>
      </c>
      <c r="N12" s="20">
        <f>N13*0.020322</f>
        <v/>
      </c>
      <c r="O12" s="20">
        <f>O13*0.020322</f>
        <v/>
      </c>
      <c r="P12" s="20">
        <f>P13*0.020322</f>
        <v/>
      </c>
      <c r="Q12" s="20">
        <f>Q13*0.020322</f>
        <v/>
      </c>
      <c r="R12" s="20">
        <f>R13*0.020322</f>
        <v/>
      </c>
      <c r="S12" s="20">
        <f>S13*0.020322</f>
        <v/>
      </c>
      <c r="T12" s="20">
        <f>T13*0.020322</f>
        <v/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</row>
    <row r="13">
      <c r="B13" s="32" t="inlineStr">
        <is>
          <t>Total Sessions</t>
        </is>
      </c>
      <c r="C13" s="34" t="n"/>
      <c r="D13" s="35" t="n">
        <v>95996.14999999999</v>
      </c>
      <c r="E13" s="35" t="n">
        <v>82402.09</v>
      </c>
      <c r="F13" s="35" t="n">
        <v>86043.48</v>
      </c>
      <c r="G13" s="35" t="n">
        <v>79415.00999999999</v>
      </c>
      <c r="H13" s="89" t="n">
        <v>72024.58</v>
      </c>
      <c r="I13" s="17">
        <f>'Sales Forecast'!I13*Assumptions!$C$12+'Sales Forecast'!H13*Assumptions!$D$12+'Sales Forecast'!G13*Assumptions!$E$12+'Sales Forecast'!F13*Assumptions!$F$12+'Sales Forecast'!E13*Assumptions!$G$12+'Sales Forecast'!D13*Assumptions!$H$12+'Sales Forecast'!I109*Assumptions!$I$12</f>
        <v/>
      </c>
      <c r="J13" s="17">
        <f>'Sales Forecast'!J13*Assumptions!$C$12+'Sales Forecast'!I13*Assumptions!$D$12+'Sales Forecast'!H13*Assumptions!$E$12+'Sales Forecast'!G13*Assumptions!$F$12+'Sales Forecast'!F13*Assumptions!$G$12+'Sales Forecast'!E13*Assumptions!$H$12+'Sales Forecast'!D13*Assumptions!$I$12</f>
        <v/>
      </c>
      <c r="K13" s="17">
        <f>'Sales Forecast'!K13*Assumptions!$C$12+'Sales Forecast'!J13*Assumptions!$D$12+'Sales Forecast'!I13*Assumptions!$E$12+'Sales Forecast'!H13*Assumptions!$F$12+'Sales Forecast'!G13*Assumptions!$G$12+'Sales Forecast'!F13*Assumptions!$H$12+'Sales Forecast'!E13*Assumptions!$I$12</f>
        <v/>
      </c>
      <c r="L13" s="17">
        <f>'Sales Forecast'!L13*Assumptions!$C$12+'Sales Forecast'!K13*Assumptions!$D$12+'Sales Forecast'!J13*Assumptions!$E$12+'Sales Forecast'!I13*Assumptions!$F$12+'Sales Forecast'!H13*Assumptions!$G$12+'Sales Forecast'!G13*Assumptions!$H$12+'Sales Forecast'!F13*Assumptions!$I$12</f>
        <v/>
      </c>
      <c r="M13" s="17">
        <f>'Sales Forecast'!M13*Assumptions!$C$12+'Sales Forecast'!L13*Assumptions!$D$12+'Sales Forecast'!K13*Assumptions!$E$12+'Sales Forecast'!J13*Assumptions!$F$12+'Sales Forecast'!I13*Assumptions!$G$12+'Sales Forecast'!H13*Assumptions!$H$12+'Sales Forecast'!G13*Assumptions!$I$12</f>
        <v/>
      </c>
      <c r="N13" s="17">
        <f>'Sales Forecast'!N13*Assumptions!$C$12+'Sales Forecast'!M13*Assumptions!$D$12+'Sales Forecast'!L13*Assumptions!$E$12+'Sales Forecast'!K13*Assumptions!$F$12+'Sales Forecast'!J13*Assumptions!$G$12+'Sales Forecast'!I13*Assumptions!$H$12+'Sales Forecast'!H13*Assumptions!$I$12</f>
        <v/>
      </c>
      <c r="O13" s="17">
        <f>'Sales Forecast'!O13*Assumptions!$C$12+'Sales Forecast'!N13*Assumptions!$D$12+'Sales Forecast'!M13*Assumptions!$E$12+'Sales Forecast'!L13*Assumptions!$F$12+'Sales Forecast'!K13*Assumptions!$G$12+'Sales Forecast'!J13*Assumptions!$H$12+'Sales Forecast'!I13*Assumptions!$I$12</f>
        <v/>
      </c>
      <c r="P13" s="17">
        <f>'Sales Forecast'!P13*Assumptions!$C$12+'Sales Forecast'!O13*Assumptions!$D$12+'Sales Forecast'!N13*Assumptions!$E$12+'Sales Forecast'!M13*Assumptions!$F$12+'Sales Forecast'!L13*Assumptions!$G$12+'Sales Forecast'!K13*Assumptions!$H$12+'Sales Forecast'!J13*Assumptions!$I$12</f>
        <v/>
      </c>
      <c r="Q13" s="17">
        <f>'Sales Forecast'!Q13*Assumptions!$C$12+'Sales Forecast'!P13*Assumptions!$D$12+'Sales Forecast'!O13*Assumptions!$E$12+'Sales Forecast'!N13*Assumptions!$F$12+'Sales Forecast'!M13*Assumptions!$G$12+'Sales Forecast'!L13*Assumptions!$H$12+'Sales Forecast'!K13*Assumptions!$I$12</f>
        <v/>
      </c>
      <c r="R13" s="17">
        <f>'Sales Forecast'!R13*Assumptions!$C$12+'Sales Forecast'!Q13*Assumptions!$D$12+'Sales Forecast'!P13*Assumptions!$E$12+'Sales Forecast'!O13*Assumptions!$F$12+'Sales Forecast'!N13*Assumptions!$G$12+'Sales Forecast'!M13*Assumptions!$H$12+'Sales Forecast'!L13*Assumptions!$I$12</f>
        <v/>
      </c>
      <c r="S13" s="17">
        <f>'Sales Forecast'!S13*Assumptions!$C$12+'Sales Forecast'!R13*Assumptions!$D$12+'Sales Forecast'!Q13*Assumptions!$E$12+'Sales Forecast'!P13*Assumptions!$F$12+'Sales Forecast'!O13*Assumptions!$G$12+'Sales Forecast'!N13*Assumptions!$H$12+'Sales Forecast'!M13*Assumptions!$I$12</f>
        <v/>
      </c>
      <c r="T13" s="17">
        <f>'Sales Forecast'!T13*Assumptions!$C$12+'Sales Forecast'!S13*Assumptions!$D$12+'Sales Forecast'!R13*Assumptions!$E$12+'Sales Forecast'!Q13*Assumptions!$F$12+'Sales Forecast'!P13*Assumptions!$G$12+'Sales Forecast'!O13*Assumptions!$H$12+'Sales Forecast'!N13*Assumptions!$I$12</f>
        <v/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Forecast'!O13*Assumptions!$I$12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</row>
    <row r="14">
      <c r="B14" s="33" t="inlineStr">
        <is>
          <t xml:space="preserve">  403001 Machine Breakage</t>
        </is>
      </c>
      <c r="D14" s="19" t="n">
        <v>8791.27</v>
      </c>
      <c r="E14" s="19" t="n">
        <v>11486.72</v>
      </c>
      <c r="F14" s="19" t="n">
        <v>9206.629999999999</v>
      </c>
      <c r="G14" s="19" t="n">
        <v>9868.809999999999</v>
      </c>
      <c r="H14" s="88" t="n">
        <v>11274.13</v>
      </c>
      <c r="I14" s="20">
        <f>I17*0.959116</f>
        <v/>
      </c>
      <c r="J14" s="20">
        <f>J17*0.959116</f>
        <v/>
      </c>
      <c r="K14" s="20">
        <f>K17*0.959116</f>
        <v/>
      </c>
      <c r="L14" s="20">
        <f>L17*0.959116</f>
        <v/>
      </c>
      <c r="M14" s="20">
        <f>M17*0.959116</f>
        <v/>
      </c>
      <c r="N14" s="20">
        <f>N17*0.959116</f>
        <v/>
      </c>
      <c r="O14" s="20">
        <f>O17*0.959116</f>
        <v/>
      </c>
      <c r="P14" s="20">
        <f>P17*0.959116</f>
        <v/>
      </c>
      <c r="Q14" s="20">
        <f>Q17*0.959116</f>
        <v/>
      </c>
      <c r="R14" s="20">
        <f>R17*0.959116</f>
        <v/>
      </c>
      <c r="S14" s="20">
        <f>S17*0.959116</f>
        <v/>
      </c>
      <c r="T14" s="20">
        <f>T17*0.959116</f>
        <v/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</row>
    <row r="15">
      <c r="B15" s="33" t="inlineStr">
        <is>
          <t xml:space="preserve">  403003 Private Pilates Breakage</t>
        </is>
      </c>
      <c r="D15" s="19" t="n">
        <v>365</v>
      </c>
      <c r="E15" s="19" t="n">
        <v>450</v>
      </c>
      <c r="F15" s="19" t="n">
        <v>412.5</v>
      </c>
      <c r="G15" s="19" t="n">
        <v>450</v>
      </c>
      <c r="H15" s="88" t="n">
        <v>2147</v>
      </c>
      <c r="I15" s="20">
        <f>I17*0.040884</f>
        <v/>
      </c>
      <c r="J15" s="20">
        <f>J17*0.040884</f>
        <v/>
      </c>
      <c r="K15" s="20">
        <f>K17*0.040884</f>
        <v/>
      </c>
      <c r="L15" s="20">
        <f>L17*0.040884</f>
        <v/>
      </c>
      <c r="M15" s="20">
        <f>M17*0.040884</f>
        <v/>
      </c>
      <c r="N15" s="20">
        <f>N17*0.040884</f>
        <v/>
      </c>
      <c r="O15" s="20">
        <f>O17*0.040884</f>
        <v/>
      </c>
      <c r="P15" s="20">
        <f>P17*0.040884</f>
        <v/>
      </c>
      <c r="Q15" s="20">
        <f>Q17*0.040884</f>
        <v/>
      </c>
      <c r="R15" s="20">
        <f>R17*0.040884</f>
        <v/>
      </c>
      <c r="S15" s="20">
        <f>S17*0.040884</f>
        <v/>
      </c>
      <c r="T15" s="20">
        <f>T17*0.040884</f>
        <v/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9156.27</v>
      </c>
      <c r="E17" s="35" t="n">
        <v>11936.72</v>
      </c>
      <c r="F17" s="35" t="n">
        <v>9619.129999999999</v>
      </c>
      <c r="G17" s="35" t="n">
        <v>10318.81</v>
      </c>
      <c r="H17" s="89" t="n">
        <v>13421.13</v>
      </c>
      <c r="I17" s="17">
        <f>'Sales Forecast'!I13*Assumptions!$C$13+'Sales Forecast'!H13*Assumptions!$D$13+'Sales Forecast'!G13*Assumptions!$E$13+'Sales Forecast'!F13*Assumptions!$F$13+'Sales Forecast'!E13*Assumptions!$G$13+'Sales Forecast'!D13*Assumptions!$H$13+'Sales Forecast'!I109*Assumptions!$I$13</f>
        <v/>
      </c>
      <c r="J17" s="17">
        <f>'Sales Forecast'!J13*Assumptions!$C$13+'Sales Forecast'!I13*Assumptions!$D$13+'Sales Forecast'!H13*Assumptions!$E$13+'Sales Forecast'!G13*Assumptions!$F$13+'Sales Forecast'!F13*Assumptions!$G$13+'Sales Forecast'!E13*Assumptions!$H$13+'Sales Forecast'!D13*Assumptions!$I$13</f>
        <v/>
      </c>
      <c r="K17" s="17">
        <f>'Sales Forecast'!K13*Assumptions!$C$13+'Sales Forecast'!J13*Assumptions!$D$13+'Sales Forecast'!I13*Assumptions!$E$13+'Sales Forecast'!H13*Assumptions!$F$13+'Sales Forecast'!G13*Assumptions!$G$13+'Sales Forecast'!F13*Assumptions!$H$13+'Sales Forecast'!E13*Assumptions!$I$13</f>
        <v/>
      </c>
      <c r="L17" s="17">
        <f>'Sales Forecast'!L13*Assumptions!$C$13+'Sales Forecast'!K13*Assumptions!$D$13+'Sales Forecast'!J13*Assumptions!$E$13+'Sales Forecast'!I13*Assumptions!$F$13+'Sales Forecast'!H13*Assumptions!$G$13+'Sales Forecast'!G13*Assumptions!$H$13+'Sales Forecast'!F13*Assumptions!$I$13</f>
        <v/>
      </c>
      <c r="M17" s="17">
        <f>'Sales Forecast'!M13*Assumptions!$C$13+'Sales Forecast'!L13*Assumptions!$D$13+'Sales Forecast'!K13*Assumptions!$E$13+'Sales Forecast'!J13*Assumptions!$F$13+'Sales Forecast'!I13*Assumptions!$G$13+'Sales Forecast'!H13*Assumptions!$H$13+'Sales Forecast'!G13*Assumptions!$I$13</f>
        <v/>
      </c>
      <c r="N17" s="17">
        <f>'Sales Forecast'!N13*Assumptions!$C$13+'Sales Forecast'!M13*Assumptions!$D$13+'Sales Forecast'!L13*Assumptions!$E$13+'Sales Forecast'!K13*Assumptions!$F$13+'Sales Forecast'!J13*Assumptions!$G$13+'Sales Forecast'!I13*Assumptions!$H$13+'Sales Forecast'!H13*Assumptions!$I$13</f>
        <v/>
      </c>
      <c r="O17" s="17">
        <f>'Sales Forecast'!O13*Assumptions!$C$13+'Sales Forecast'!N13*Assumptions!$D$13+'Sales Forecast'!M13*Assumptions!$E$13+'Sales Forecast'!L13*Assumptions!$F$13+'Sales Forecast'!K13*Assumptions!$G$13+'Sales Forecast'!J13*Assumptions!$H$13+'Sales Forecast'!I13*Assumptions!$I$13</f>
        <v/>
      </c>
      <c r="P17" s="17">
        <f>'Sales Forecast'!P13*Assumptions!$C$13+'Sales Forecast'!O13*Assumptions!$D$13+'Sales Forecast'!N13*Assumptions!$E$13+'Sales Forecast'!M13*Assumptions!$F$13+'Sales Forecast'!L13*Assumptions!$G$13+'Sales Forecast'!K13*Assumptions!$H$13+'Sales Forecast'!J13*Assumptions!$I$13</f>
        <v/>
      </c>
      <c r="Q17" s="17">
        <f>'Sales Forecast'!Q13*Assumptions!$C$13+'Sales Forecast'!P13*Assumptions!$D$13+'Sales Forecast'!O13*Assumptions!$E$13+'Sales Forecast'!N13*Assumptions!$F$13+'Sales Forecast'!M13*Assumptions!$G$13+'Sales Forecast'!L13*Assumptions!$H$13+'Sales Forecast'!K13*Assumptions!$I$13</f>
        <v/>
      </c>
      <c r="R17" s="17">
        <f>'Sales Forecast'!R13*Assumptions!$C$13+'Sales Forecast'!Q13*Assumptions!$D$13+'Sales Forecast'!P13*Assumptions!$E$13+'Sales Forecast'!O13*Assumptions!$F$13+'Sales Forecast'!N13*Assumptions!$G$13+'Sales Forecast'!M13*Assumptions!$H$13+'Sales Forecast'!L13*Assumptions!$I$13</f>
        <v/>
      </c>
      <c r="S17" s="17">
        <f>'Sales Forecast'!S13*Assumptions!$C$13+'Sales Forecast'!R13*Assumptions!$D$13+'Sales Forecast'!Q13*Assumptions!$E$13+'Sales Forecast'!P13*Assumptions!$F$13+'Sales Forecast'!O13*Assumptions!$G$13+'Sales Forecast'!N13*Assumptions!$H$13+'Sales Forecast'!M13*Assumptions!$I$13</f>
        <v/>
      </c>
      <c r="T17" s="17">
        <f>'Sales Forecast'!T13*Assumptions!$C$13+'Sales Forecast'!S13*Assumptions!$D$13+'Sales Forecast'!R13*Assumptions!$E$13+'Sales Forecast'!Q13*Assumptions!$F$13+'Sales Forecast'!P13*Assumptions!$G$13+'Sales Forecast'!O13*Assumptions!$H$13+'Sales Forecast'!N13*Assumptions!$I$13</f>
        <v/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Forecast'!O13*Assumptions!$I$13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</row>
    <row r="18">
      <c r="B18" s="33" t="inlineStr">
        <is>
          <t xml:space="preserve">  404000 Retail Sales</t>
        </is>
      </c>
      <c r="D18" s="19" t="n">
        <v>2925</v>
      </c>
      <c r="E18" s="19" t="n">
        <v>2038</v>
      </c>
      <c r="F18" s="19" t="n">
        <v>2303</v>
      </c>
      <c r="G18" s="19" t="n">
        <v>1952</v>
      </c>
      <c r="H18" s="88" t="n">
        <v>889</v>
      </c>
      <c r="I18" s="20">
        <f>2304.5</f>
        <v/>
      </c>
      <c r="J18" s="20">
        <f>2304.5</f>
        <v/>
      </c>
      <c r="K18" s="20">
        <f>2304.5</f>
        <v/>
      </c>
      <c r="L18" s="20">
        <f>2304.5</f>
        <v/>
      </c>
      <c r="M18" s="20">
        <f>2304.5</f>
        <v/>
      </c>
      <c r="N18" s="20">
        <f>2304.5</f>
        <v/>
      </c>
      <c r="O18" s="20">
        <f>2304.5</f>
        <v/>
      </c>
      <c r="P18" s="20">
        <f>2304.5</f>
        <v/>
      </c>
      <c r="Q18" s="20">
        <f>2304.5</f>
        <v/>
      </c>
      <c r="R18" s="20">
        <f>2304.5</f>
        <v/>
      </c>
      <c r="S18" s="20">
        <f>2304.5</f>
        <v/>
      </c>
      <c r="T18" s="20">
        <f>2304.5</f>
        <v/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</row>
    <row r="19">
      <c r="B19" s="33" t="inlineStr">
        <is>
          <t xml:space="preserve">  406000 Refunds</t>
        </is>
      </c>
      <c r="D19" s="19" t="n">
        <v>446</v>
      </c>
      <c r="E19" s="19" t="n">
        <v>779</v>
      </c>
      <c r="F19" s="19" t="n">
        <v>439</v>
      </c>
      <c r="G19" s="19" t="n">
        <v>472</v>
      </c>
      <c r="H19" s="88" t="n">
        <v>350.2</v>
      </c>
      <c r="I19" s="20">
        <f>('Sales Forecast'!I13*Assumptions!$C$12+'Sales Forecast'!H13*Assumptions!$D$12+'Sales Forecast'!G13*Assumptions!$E$12+'Sales Forecast'!F13*Assumptions!$F$12+'Sales Forecast'!E13*Assumptions!$G$12+'Sales Forecast'!D13*Assumptions!$H$12+'Sales Forecast'!I13*Assumptions!$C$13+'Sales Forecast'!H13*Assumptions!$D$13+'Sales Forecast'!G13*Assumptions!$E$13+'Sales Forecast'!F13*Assumptions!$F$13+'Sales Forecast'!E13*Assumptions!$G$13+'Sales Forecast'!D13*Assumptions!$H$13+2304.5)*Assumptions!$C$17</f>
        <v/>
      </c>
      <c r="J19" s="20">
        <f>('Sales Forecast'!J13*Assumptions!$C$12+'Sales Forecast'!I13*Assumptions!$D$12+'Sales Forecast'!H13*Assumptions!$E$12+'Sales Forecast'!G13*Assumptions!$F$12+'Sales Forecast'!F13*Assumptions!$G$12+'Sales Forecast'!E13*Assumptions!$H$12+'Sales Forecast'!D13*Assumptions!$I$12+'Sales Forecast'!J13*Assumptions!$C$13+'Sales Forecast'!I13*Assumptions!$D$13+'Sales Forecast'!H13*Assumptions!$E$13+'Sales Forecast'!G13*Assumptions!$F$13+'Sales Forecast'!F13*Assumptions!$G$13+'Sales Forecast'!E13*Assumptions!$H$13+'Sales Forecast'!D13*Assumptions!$I$13+2304.5)*Assumptions!$C$17</f>
        <v/>
      </c>
      <c r="K19" s="20">
        <f>('Sales Forecast'!K13*Assumptions!$C$12+'Sales Forecast'!J13*Assumptions!$D$12+'Sales Forecast'!I13*Assumptions!$E$12+'Sales Forecast'!H13*Assumptions!$F$12+'Sales Forecast'!G13*Assumptions!$G$12+'Sales Forecast'!F13*Assumptions!$H$12+'Sales Forecast'!E13*Assumptions!$I$12+'Sales Forecast'!K13*Assumptions!$C$13+'Sales Forecast'!J13*Assumptions!$D$13+'Sales Forecast'!I13*Assumptions!$E$13+'Sales Forecast'!H13*Assumptions!$F$13+'Sales Forecast'!G13*Assumptions!$G$13+'Sales Forecast'!F13*Assumptions!$H$13+'Sales Forecast'!E13*Assumptions!$I$13+2304.5)*Assumptions!$C$17</f>
        <v/>
      </c>
      <c r="L19" s="20">
        <f>('Sales Forecast'!L13*Assumptions!$C$12+'Sales Forecast'!K13*Assumptions!$D$12+'Sales Forecast'!J13*Assumptions!$E$12+'Sales Forecast'!I13*Assumptions!$F$12+'Sales Forecast'!H13*Assumptions!$G$12+'Sales Forecast'!G13*Assumptions!$H$12+'Sales Forecast'!F13*Assumptions!$I$12+'Sales Forecast'!L13*Assumptions!$C$13+'Sales Forecast'!K13*Assumptions!$D$13+'Sales Forecast'!J13*Assumptions!$E$13+'Sales Forecast'!I13*Assumptions!$F$13+'Sales Forecast'!H13*Assumptions!$G$13+'Sales Forecast'!G13*Assumptions!$H$13+'Sales Forecast'!F13*Assumptions!$I$13+2304.5)*Assumptions!$C$17</f>
        <v/>
      </c>
      <c r="M19" s="20">
        <f>('Sales Forecast'!M13*Assumptions!$C$12+'Sales Forecast'!L13*Assumptions!$D$12+'Sales Forecast'!K13*Assumptions!$E$12+'Sales Forecast'!J13*Assumptions!$F$12+'Sales Forecast'!I13*Assumptions!$G$12+'Sales Forecast'!H13*Assumptions!$H$12+'Sales Forecast'!G13*Assumptions!$I$12+'Sales Forecast'!M13*Assumptions!$C$13+'Sales Forecast'!L13*Assumptions!$D$13+'Sales Forecast'!K13*Assumptions!$E$13+'Sales Forecast'!J13*Assumptions!$F$13+'Sales Forecast'!I13*Assumptions!$G$13+'Sales Forecast'!H13*Assumptions!$H$13+'Sales Forecast'!G13*Assumptions!$I$13+2304.5)*Assumptions!$C$17</f>
        <v/>
      </c>
      <c r="N19" s="20">
        <f>('Sales Forecast'!N13*Assumptions!$C$12+'Sales Forecast'!M13*Assumptions!$D$12+'Sales Forecast'!L13*Assumptions!$E$12+'Sales Forecast'!K13*Assumptions!$F$12+'Sales Forecast'!J13*Assumptions!$G$12+'Sales Forecast'!I13*Assumptions!$H$12+'Sales Forecast'!H13*Assumptions!$I$12+'Sales Forecast'!N13*Assumptions!$C$13+'Sales Forecast'!M13*Assumptions!$D$13+'Sales Forecast'!L13*Assumptions!$E$13+'Sales Forecast'!K13*Assumptions!$F$13+'Sales Forecast'!J13*Assumptions!$G$13+'Sales Forecast'!I13*Assumptions!$H$13+'Sales Forecast'!H13*Assumptions!$I$13+2304.5)*Assumptions!$C$17</f>
        <v/>
      </c>
      <c r="O19" s="20">
        <f>('Sales Forecast'!O13*Assumptions!$C$12+'Sales Forecast'!N13*Assumptions!$D$12+'Sales Forecast'!M13*Assumptions!$E$12+'Sales Forecast'!L13*Assumptions!$F$12+'Sales Forecast'!K13*Assumptions!$G$12+'Sales Forecast'!J13*Assumptions!$H$12+'Sales Forecast'!I13*Assumptions!$I$12+'Sales Forecast'!O13*Assumptions!$C$13+'Sales Forecast'!N13*Assumptions!$D$13+'Sales Forecast'!M13*Assumptions!$E$13+'Sales Forecast'!L13*Assumptions!$F$13+'Sales Forecast'!K13*Assumptions!$G$13+'Sales Forecast'!J13*Assumptions!$H$13+'Sales Forecast'!I13*Assumptions!$I$13+2304.5)*Assumptions!$C$17</f>
        <v/>
      </c>
      <c r="P19" s="20">
        <f>('Sales Forecast'!P13*Assumptions!$C$12+'Sales Forecast'!O13*Assumptions!$D$12+'Sales Forecast'!N13*Assumptions!$E$12+'Sales Forecast'!M13*Assumptions!$F$12+'Sales Forecast'!L13*Assumptions!$G$12+'Sales Forecast'!K13*Assumptions!$H$12+'Sales Forecast'!J13*Assumptions!$I$12+'Sales Forecast'!P13*Assumptions!$C$13+'Sales Forecast'!O13*Assumptions!$D$13+'Sales Forecast'!N13*Assumptions!$E$13+'Sales Forecast'!M13*Assumptions!$F$13+'Sales Forecast'!L13*Assumptions!$G$13+'Sales Forecast'!K13*Assumptions!$H$13+'Sales Forecast'!J13*Assumptions!$I$13+2304.5)*Assumptions!$C$17</f>
        <v/>
      </c>
      <c r="Q19" s="20">
        <f>('Sales Forecast'!Q13*Assumptions!$C$12+'Sales Forecast'!P13*Assumptions!$D$12+'Sales Forecast'!O13*Assumptions!$E$12+'Sales Forecast'!N13*Assumptions!$F$12+'Sales Forecast'!M13*Assumptions!$G$12+'Sales Forecast'!L13*Assumptions!$H$12+'Sales Forecast'!K13*Assumptions!$I$12+'Sales Forecast'!Q13*Assumptions!$C$13+'Sales Forecast'!P13*Assumptions!$D$13+'Sales Forecast'!O13*Assumptions!$E$13+'Sales Forecast'!N13*Assumptions!$F$13+'Sales Forecast'!M13*Assumptions!$G$13+'Sales Forecast'!L13*Assumptions!$H$13+'Sales Forecast'!K13*Assumptions!$I$13+2304.5)*Assumptions!$C$17</f>
        <v/>
      </c>
      <c r="R19" s="20">
        <f>('Sales Forecast'!R13*Assumptions!$C$12+'Sales Forecast'!Q13*Assumptions!$D$12+'Sales Forecast'!P13*Assumptions!$E$12+'Sales Forecast'!O13*Assumptions!$F$12+'Sales Forecast'!N13*Assumptions!$G$12+'Sales Forecast'!M13*Assumptions!$H$12+'Sales Forecast'!L13*Assumptions!$I$12+'Sales Forecast'!R13*Assumptions!$C$13+'Sales Forecast'!Q13*Assumptions!$D$13+'Sales Forecast'!P13*Assumptions!$E$13+'Sales Forecast'!O13*Assumptions!$F$13+'Sales Forecast'!N13*Assumptions!$G$13+'Sales Forecast'!M13*Assumptions!$H$13+'Sales Forecast'!L13*Assumptions!$I$13+2304.5)*Assumptions!$C$17</f>
        <v/>
      </c>
      <c r="S19" s="20">
        <f>('Sales Forecast'!S13*Assumptions!$C$12+'Sales Forecast'!R13*Assumptions!$D$12+'Sales Forecast'!Q13*Assumptions!$E$12+'Sales Forecast'!P13*Assumptions!$F$12+'Sales Forecast'!O13*Assumptions!$G$12+'Sales Forecast'!N13*Assumptions!$H$12+'Sales Forecast'!M13*Assumptions!$I$12+'Sales Forecast'!S13*Assumptions!$C$13+'Sales Forecast'!R13*Assumptions!$D$13+'Sales Forecast'!Q13*Assumptions!$E$13+'Sales Forecast'!P13*Assumptions!$F$13+'Sales Forecast'!O13*Assumptions!$G$13+'Sales Forecast'!N13*Assumptions!$H$13+'Sales Forecast'!M13*Assumptions!$I$13+2304.5)*Assumptions!$C$17</f>
        <v/>
      </c>
      <c r="T19" s="20">
        <f>('Sales Forecast'!T13*Assumptions!$C$12+'Sales Forecast'!S13*Assumptions!$D$12+'Sales Forecast'!R13*Assumptions!$E$12+'Sales Forecast'!Q13*Assumptions!$F$12+'Sales Forecast'!P13*Assumptions!$G$12+'Sales Forecast'!O13*Assumptions!$H$12+'Sales Forecast'!N13*Assumptions!$I$12+'Sales Forecast'!T13*Assumptions!$C$13+'Sales Forecast'!S13*Assumptions!$D$13+'Sales Forecast'!R13*Assumptions!$E$13+'Sales Forecast'!Q13*Assumptions!$F$13+'Sales Forecast'!P13*Assumptions!$G$13+'Sales Forecast'!O13*Assumptions!$H$13+'Sales Forecast'!N13*Assumptions!$I$13+2304.5)*Assumptions!$C$17</f>
        <v/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Forecast'!O13*Assumptions!$I$12+'Sales Forecast'!U13*Assumptions!$C$13+'Sales Forecast'!T13*Assumptions!$D$13+'Sales Forecast'!S13*Assumptions!$E$13+'Sales Forecast'!R13*Assumptions!$F$13+'Sales Forecast'!Q13*Assumptions!$G$13+'Sales Forecast'!P13*Assumptions!$H$13+'Sales Forecast'!O13*Assumptions!$I$13+2304.5)*Assumptions!$C$17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</row>
    <row r="20">
      <c r="B20" s="33" t="inlineStr">
        <is>
          <t xml:space="preserve">  407000 Discounts</t>
        </is>
      </c>
      <c r="D20" s="19" t="n">
        <v>4796.18</v>
      </c>
      <c r="E20" s="19" t="n">
        <v>3223.3</v>
      </c>
      <c r="F20" s="19" t="n">
        <v>5946.2</v>
      </c>
      <c r="G20" s="19" t="n">
        <v>8267.799999999999</v>
      </c>
      <c r="H20" s="88" t="n">
        <v>2745.1</v>
      </c>
      <c r="I20" s="20">
        <f>('Sales Forecast'!I13*Assumptions!$C$12+'Sales Forecast'!H13*Assumptions!$D$12+'Sales Forecast'!G13*Assumptions!$E$12+'Sales Forecast'!F13*Assumptions!$F$12+'Sales Forecast'!E13*Assumptions!$G$12+'Sales Forecast'!D13*Assumptions!$H$12+'Sales Forecast'!I13*Assumptions!$C$13+'Sales Forecast'!H13*Assumptions!$D$13+'Sales Forecast'!G13*Assumptions!$E$13+'Sales Forecast'!F13*Assumptions!$F$13+'Sales Forecast'!E13*Assumptions!$G$13+'Sales Forecast'!D13*Assumptions!$H$13+2304.5)*Assumptions!$C$18</f>
        <v/>
      </c>
      <c r="J20" s="20">
        <f>('Sales Forecast'!J13*Assumptions!$C$12+'Sales Forecast'!I13*Assumptions!$D$12+'Sales Forecast'!H13*Assumptions!$E$12+'Sales Forecast'!G13*Assumptions!$F$12+'Sales Forecast'!F13*Assumptions!$G$12+'Sales Forecast'!E13*Assumptions!$H$12+'Sales Forecast'!D13*Assumptions!$I$12+'Sales Forecast'!J13*Assumptions!$C$13+'Sales Forecast'!I13*Assumptions!$D$13+'Sales Forecast'!H13*Assumptions!$E$13+'Sales Forecast'!G13*Assumptions!$F$13+'Sales Forecast'!F13*Assumptions!$G$13+'Sales Forecast'!E13*Assumptions!$H$13+'Sales Forecast'!D13*Assumptions!$I$13+2304.5)*Assumptions!$C$18</f>
        <v/>
      </c>
      <c r="K20" s="20">
        <f>('Sales Forecast'!K13*Assumptions!$C$12+'Sales Forecast'!J13*Assumptions!$D$12+'Sales Forecast'!I13*Assumptions!$E$12+'Sales Forecast'!H13*Assumptions!$F$12+'Sales Forecast'!G13*Assumptions!$G$12+'Sales Forecast'!F13*Assumptions!$H$12+'Sales Forecast'!E13*Assumptions!$I$12+'Sales Forecast'!K13*Assumptions!$C$13+'Sales Forecast'!J13*Assumptions!$D$13+'Sales Forecast'!I13*Assumptions!$E$13+'Sales Forecast'!H13*Assumptions!$F$13+'Sales Forecast'!G13*Assumptions!$G$13+'Sales Forecast'!F13*Assumptions!$H$13+'Sales Forecast'!E13*Assumptions!$I$13+2304.5)*Assumptions!$C$18</f>
        <v/>
      </c>
      <c r="L20" s="20">
        <f>('Sales Forecast'!L13*Assumptions!$C$12+'Sales Forecast'!K13*Assumptions!$D$12+'Sales Forecast'!J13*Assumptions!$E$12+'Sales Forecast'!I13*Assumptions!$F$12+'Sales Forecast'!H13*Assumptions!$G$12+'Sales Forecast'!G13*Assumptions!$H$12+'Sales Forecast'!F13*Assumptions!$I$12+'Sales Forecast'!L13*Assumptions!$C$13+'Sales Forecast'!K13*Assumptions!$D$13+'Sales Forecast'!J13*Assumptions!$E$13+'Sales Forecast'!I13*Assumptions!$F$13+'Sales Forecast'!H13*Assumptions!$G$13+'Sales Forecast'!G13*Assumptions!$H$13+'Sales Forecast'!F13*Assumptions!$I$13+2304.5)*Assumptions!$C$18</f>
        <v/>
      </c>
      <c r="M20" s="20">
        <f>('Sales Forecast'!M13*Assumptions!$C$12+'Sales Forecast'!L13*Assumptions!$D$12+'Sales Forecast'!K13*Assumptions!$E$12+'Sales Forecast'!J13*Assumptions!$F$12+'Sales Forecast'!I13*Assumptions!$G$12+'Sales Forecast'!H13*Assumptions!$H$12+'Sales Forecast'!G13*Assumptions!$I$12+'Sales Forecast'!M13*Assumptions!$C$13+'Sales Forecast'!L13*Assumptions!$D$13+'Sales Forecast'!K13*Assumptions!$E$13+'Sales Forecast'!J13*Assumptions!$F$13+'Sales Forecast'!I13*Assumptions!$G$13+'Sales Forecast'!H13*Assumptions!$H$13+'Sales Forecast'!G13*Assumptions!$I$13+2304.5)*Assumptions!$C$18</f>
        <v/>
      </c>
      <c r="N20" s="20">
        <f>('Sales Forecast'!N13*Assumptions!$C$12+'Sales Forecast'!M13*Assumptions!$D$12+'Sales Forecast'!L13*Assumptions!$E$12+'Sales Forecast'!K13*Assumptions!$F$12+'Sales Forecast'!J13*Assumptions!$G$12+'Sales Forecast'!I13*Assumptions!$H$12+'Sales Forecast'!H13*Assumptions!$I$12+'Sales Forecast'!N13*Assumptions!$C$13+'Sales Forecast'!M13*Assumptions!$D$13+'Sales Forecast'!L13*Assumptions!$E$13+'Sales Forecast'!K13*Assumptions!$F$13+'Sales Forecast'!J13*Assumptions!$G$13+'Sales Forecast'!I13*Assumptions!$H$13+'Sales Forecast'!H13*Assumptions!$I$13+2304.5)*Assumptions!$C$18</f>
        <v/>
      </c>
      <c r="O20" s="20">
        <f>('Sales Forecast'!O13*Assumptions!$C$12+'Sales Forecast'!N13*Assumptions!$D$12+'Sales Forecast'!M13*Assumptions!$E$12+'Sales Forecast'!L13*Assumptions!$F$12+'Sales Forecast'!K13*Assumptions!$G$12+'Sales Forecast'!J13*Assumptions!$H$12+'Sales Forecast'!I13*Assumptions!$I$12+'Sales Forecast'!O13*Assumptions!$C$13+'Sales Forecast'!N13*Assumptions!$D$13+'Sales Forecast'!M13*Assumptions!$E$13+'Sales Forecast'!L13*Assumptions!$F$13+'Sales Forecast'!K13*Assumptions!$G$13+'Sales Forecast'!J13*Assumptions!$H$13+'Sales Forecast'!I13*Assumptions!$I$13+2304.5)*Assumptions!$C$18</f>
        <v/>
      </c>
      <c r="P20" s="20">
        <f>('Sales Forecast'!P13*Assumptions!$C$12+'Sales Forecast'!O13*Assumptions!$D$12+'Sales Forecast'!N13*Assumptions!$E$12+'Sales Forecast'!M13*Assumptions!$F$12+'Sales Forecast'!L13*Assumptions!$G$12+'Sales Forecast'!K13*Assumptions!$H$12+'Sales Forecast'!J13*Assumptions!$I$12+'Sales Forecast'!P13*Assumptions!$C$13+'Sales Forecast'!O13*Assumptions!$D$13+'Sales Forecast'!N13*Assumptions!$E$13+'Sales Forecast'!M13*Assumptions!$F$13+'Sales Forecast'!L13*Assumptions!$G$13+'Sales Forecast'!K13*Assumptions!$H$13+'Sales Forecast'!J13*Assumptions!$I$13+2304.5)*Assumptions!$C$18</f>
        <v/>
      </c>
      <c r="Q20" s="20">
        <f>('Sales Forecast'!Q13*Assumptions!$C$12+'Sales Forecast'!P13*Assumptions!$D$12+'Sales Forecast'!O13*Assumptions!$E$12+'Sales Forecast'!N13*Assumptions!$F$12+'Sales Forecast'!M13*Assumptions!$G$12+'Sales Forecast'!L13*Assumptions!$H$12+'Sales Forecast'!K13*Assumptions!$I$12+'Sales Forecast'!Q13*Assumptions!$C$13+'Sales Forecast'!P13*Assumptions!$D$13+'Sales Forecast'!O13*Assumptions!$E$13+'Sales Forecast'!N13*Assumptions!$F$13+'Sales Forecast'!M13*Assumptions!$G$13+'Sales Forecast'!L13*Assumptions!$H$13+'Sales Forecast'!K13*Assumptions!$I$13+2304.5)*Assumptions!$C$18</f>
        <v/>
      </c>
      <c r="R20" s="20">
        <f>('Sales Forecast'!R13*Assumptions!$C$12+'Sales Forecast'!Q13*Assumptions!$D$12+'Sales Forecast'!P13*Assumptions!$E$12+'Sales Forecast'!O13*Assumptions!$F$12+'Sales Forecast'!N13*Assumptions!$G$12+'Sales Forecast'!M13*Assumptions!$H$12+'Sales Forecast'!L13*Assumptions!$I$12+'Sales Forecast'!R13*Assumptions!$C$13+'Sales Forecast'!Q13*Assumptions!$D$13+'Sales Forecast'!P13*Assumptions!$E$13+'Sales Forecast'!O13*Assumptions!$F$13+'Sales Forecast'!N13*Assumptions!$G$13+'Sales Forecast'!M13*Assumptions!$H$13+'Sales Forecast'!L13*Assumptions!$I$13+2304.5)*Assumptions!$C$18</f>
        <v/>
      </c>
      <c r="S20" s="20">
        <f>('Sales Forecast'!S13*Assumptions!$C$12+'Sales Forecast'!R13*Assumptions!$D$12+'Sales Forecast'!Q13*Assumptions!$E$12+'Sales Forecast'!P13*Assumptions!$F$12+'Sales Forecast'!O13*Assumptions!$G$12+'Sales Forecast'!N13*Assumptions!$H$12+'Sales Forecast'!M13*Assumptions!$I$12+'Sales Forecast'!S13*Assumptions!$C$13+'Sales Forecast'!R13*Assumptions!$D$13+'Sales Forecast'!Q13*Assumptions!$E$13+'Sales Forecast'!P13*Assumptions!$F$13+'Sales Forecast'!O13*Assumptions!$G$13+'Sales Forecast'!N13*Assumptions!$H$13+'Sales Forecast'!M13*Assumptions!$I$13+2304.5)*Assumptions!$C$18</f>
        <v/>
      </c>
      <c r="T20" s="20">
        <f>('Sales Forecast'!T13*Assumptions!$C$12+'Sales Forecast'!S13*Assumptions!$D$12+'Sales Forecast'!R13*Assumptions!$E$12+'Sales Forecast'!Q13*Assumptions!$F$12+'Sales Forecast'!P13*Assumptions!$G$12+'Sales Forecast'!O13*Assumptions!$H$12+'Sales Forecast'!N13*Assumptions!$I$12+'Sales Forecast'!T13*Assumptions!$C$13+'Sales Forecast'!S13*Assumptions!$D$13+'Sales Forecast'!R13*Assumptions!$E$13+'Sales Forecast'!Q13*Assumptions!$F$13+'Sales Forecast'!P13*Assumptions!$G$13+'Sales Forecast'!O13*Assumptions!$H$13+'Sales Forecast'!N13*Assumptions!$I$13+2304.5)*Assumptions!$C$18</f>
        <v/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Forecast'!O13*Assumptions!$I$12+'Sales Forecast'!U13*Assumptions!$C$13+'Sales Forecast'!T13*Assumptions!$D$13+'Sales Forecast'!S13*Assumptions!$E$13+'Sales Forecast'!R13*Assumptions!$F$13+'Sales Forecast'!Q13*Assumptions!$G$13+'Sales Forecast'!P13*Assumptions!$H$13+'Sales Forecast'!O13*Assumptions!$I$13+2304.5)*Assumptions!$C$18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102835.24</v>
      </c>
      <c r="E21" s="35" t="n">
        <v>92374.50999999999</v>
      </c>
      <c r="F21" s="35" t="n">
        <v>91580.41</v>
      </c>
      <c r="G21" s="35" t="n">
        <v>82946.01999999999</v>
      </c>
      <c r="H21" s="89" t="n">
        <v>83239.41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1345.5</v>
      </c>
      <c r="E23" s="19" t="n">
        <v>930.75</v>
      </c>
      <c r="F23" s="19" t="n">
        <v>1108</v>
      </c>
      <c r="G23" s="19" t="n">
        <v>854.5</v>
      </c>
      <c r="H23" s="88" t="n">
        <v>392.25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2286.16</v>
      </c>
      <c r="E24" s="19" t="n">
        <v>2260.33</v>
      </c>
      <c r="F24" s="19" t="n">
        <v>1936.85</v>
      </c>
      <c r="G24" s="19" t="n">
        <v>2834.85</v>
      </c>
      <c r="H24" s="88" t="n">
        <v>1420.6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3631.66</v>
      </c>
      <c r="E25" s="35" t="n">
        <v>3191.08</v>
      </c>
      <c r="F25" s="35" t="n">
        <v>3044.85</v>
      </c>
      <c r="G25" s="35" t="n">
        <v>3689.35</v>
      </c>
      <c r="H25" s="89" t="n">
        <v>1812.85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99203.57999999999</v>
      </c>
      <c r="E26" s="35" t="n">
        <v>89183.42999999999</v>
      </c>
      <c r="F26" s="35" t="n">
        <v>88535.56</v>
      </c>
      <c r="G26" s="35" t="n">
        <v>79256.66999999998</v>
      </c>
      <c r="H26" s="89" t="n">
        <v>81426.56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1639.4</v>
      </c>
      <c r="E28" s="19" t="n">
        <v>4517.12</v>
      </c>
      <c r="F28" s="19" t="n">
        <v>2795.44</v>
      </c>
      <c r="G28" s="19" t="n">
        <v>755.11</v>
      </c>
      <c r="H28" s="88" t="n">
        <v>747.4299999999999</v>
      </c>
      <c r="I28" s="20" t="n">
        <v>1048.49</v>
      </c>
      <c r="J28" s="20" t="n">
        <v>1048.49</v>
      </c>
      <c r="K28" s="20" t="n">
        <v>1048.49</v>
      </c>
      <c r="L28" s="20" t="n">
        <v>1048.49</v>
      </c>
      <c r="M28" s="20" t="n">
        <v>1048.49</v>
      </c>
      <c r="N28" s="20" t="n">
        <v>1048.49</v>
      </c>
      <c r="O28" s="20" t="n">
        <v>1048.49</v>
      </c>
      <c r="P28" s="20" t="n">
        <v>1048.49</v>
      </c>
      <c r="Q28" s="20" t="n">
        <v>1048.49</v>
      </c>
      <c r="R28" s="20" t="n">
        <v>1048.49</v>
      </c>
      <c r="S28" s="20" t="n">
        <v>1048.49</v>
      </c>
      <c r="T28" s="20" t="n">
        <v>1048.49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1639.4</v>
      </c>
      <c r="E33" s="35" t="n">
        <v>4517.12</v>
      </c>
      <c r="F33" s="35" t="n">
        <v>2795.44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40079.49</v>
      </c>
      <c r="E34" s="19" t="n">
        <v>43738.2</v>
      </c>
      <c r="F34" s="19" t="n">
        <v>45162.72</v>
      </c>
      <c r="G34" s="19" t="n">
        <v>43699.92</v>
      </c>
      <c r="H34" s="88" t="n">
        <v>43492.2</v>
      </c>
      <c r="I34" s="20" t="n">
        <v>30546.72</v>
      </c>
      <c r="J34" s="20" t="n">
        <v>21214.48</v>
      </c>
      <c r="K34" s="20" t="n">
        <v>37354.2</v>
      </c>
      <c r="L34" s="20" t="n">
        <v>33940.26</v>
      </c>
      <c r="M34" s="20" t="n">
        <v>33091.87</v>
      </c>
      <c r="N34" s="20" t="n">
        <v>32243.49</v>
      </c>
      <c r="O34" s="20" t="n">
        <v>33945.7</v>
      </c>
      <c r="P34" s="20" t="n">
        <v>32864.89</v>
      </c>
      <c r="Q34" s="20" t="n">
        <v>32888.13</v>
      </c>
      <c r="R34" s="20" t="n">
        <v>32825.1</v>
      </c>
      <c r="S34" s="20" t="n">
        <v>32801.29</v>
      </c>
      <c r="T34" s="20" t="n">
        <v>32853.18</v>
      </c>
      <c r="U34" s="20" t="n">
        <v>32805.5</v>
      </c>
      <c r="V34" s="20" t="n">
        <v>32795.7</v>
      </c>
      <c r="W34" s="20" t="n">
        <v>32839.26</v>
      </c>
      <c r="X34" s="20" t="n">
        <v>32814.22</v>
      </c>
      <c r="Y34" s="20" t="n">
        <v>32806.93</v>
      </c>
      <c r="Z34" s="20" t="n">
        <v>32796.9</v>
      </c>
      <c r="AA34" s="20" t="n">
        <v>32823.55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</row>
    <row r="35">
      <c r="B35" s="33" t="inlineStr">
        <is>
          <t xml:space="preserve">  602004 Payroll Taxes</t>
        </is>
      </c>
      <c r="D35" s="19" t="n">
        <v>7091.16</v>
      </c>
      <c r="E35" s="19" t="n">
        <v>4650.63</v>
      </c>
      <c r="F35" s="19" t="n">
        <v>4519</v>
      </c>
      <c r="G35" s="19" t="n">
        <v>4005.5</v>
      </c>
      <c r="H35" s="88" t="n">
        <v>3789.88</v>
      </c>
      <c r="I35" s="20" t="n">
        <v>3585.06</v>
      </c>
      <c r="J35" s="20" t="n">
        <v>2489.8</v>
      </c>
      <c r="K35" s="20" t="n">
        <v>4384</v>
      </c>
      <c r="L35" s="20" t="n">
        <v>3983.33</v>
      </c>
      <c r="M35" s="20" t="n">
        <v>3883.76</v>
      </c>
      <c r="N35" s="20" t="n">
        <v>3784.19</v>
      </c>
      <c r="O35" s="20" t="n">
        <v>3983.97</v>
      </c>
      <c r="P35" s="20" t="n">
        <v>3857.12</v>
      </c>
      <c r="Q35" s="20" t="n">
        <v>3859.85</v>
      </c>
      <c r="R35" s="20" t="n">
        <v>3852.45</v>
      </c>
      <c r="S35" s="20" t="n">
        <v>3849.66</v>
      </c>
      <c r="T35" s="20" t="n">
        <v>3855.75</v>
      </c>
      <c r="U35" s="20" t="n">
        <v>3850.15</v>
      </c>
      <c r="V35" s="20" t="n">
        <v>3849</v>
      </c>
      <c r="W35" s="20" t="n">
        <v>3854.12</v>
      </c>
      <c r="X35" s="20" t="n">
        <v>3851.18</v>
      </c>
      <c r="Y35" s="20" t="n">
        <v>3850.32</v>
      </c>
      <c r="Z35" s="20" t="n">
        <v>3849.14</v>
      </c>
      <c r="AA35" s="20" t="n">
        <v>3852.27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</row>
    <row r="36">
      <c r="B36" s="33" t="inlineStr">
        <is>
          <t xml:space="preserve">  602005 Employee Benefits</t>
        </is>
      </c>
      <c r="D36" s="19" t="n">
        <v>307.52</v>
      </c>
      <c r="E36" s="19" t="n">
        <v>638.95</v>
      </c>
      <c r="F36" s="19" t="n">
        <v>695.03</v>
      </c>
      <c r="G36" s="19" t="n">
        <v>342.42</v>
      </c>
      <c r="H36" s="88" t="n">
        <v>317.09</v>
      </c>
      <c r="I36" s="20" t="n">
        <v>350.95</v>
      </c>
      <c r="J36" s="20" t="n">
        <v>243.73</v>
      </c>
      <c r="K36" s="20" t="n">
        <v>429.16</v>
      </c>
      <c r="L36" s="20" t="n">
        <v>389.94</v>
      </c>
      <c r="M36" s="20" t="n">
        <v>380.19</v>
      </c>
      <c r="N36" s="20" t="n">
        <v>370.44</v>
      </c>
      <c r="O36" s="20" t="n">
        <v>390</v>
      </c>
      <c r="P36" s="20" t="n">
        <v>377.58</v>
      </c>
      <c r="Q36" s="20" t="n">
        <v>377.85</v>
      </c>
      <c r="R36" s="20" t="n">
        <v>377.13</v>
      </c>
      <c r="S36" s="20" t="n">
        <v>376.85</v>
      </c>
      <c r="T36" s="20" t="n">
        <v>377.45</v>
      </c>
      <c r="U36" s="20" t="n">
        <v>376.9</v>
      </c>
      <c r="V36" s="20" t="n">
        <v>376.79</v>
      </c>
      <c r="W36" s="20" t="n">
        <v>377.29</v>
      </c>
      <c r="X36" s="20" t="n">
        <v>377</v>
      </c>
      <c r="Y36" s="20" t="n">
        <v>376.92</v>
      </c>
      <c r="Z36" s="20" t="n">
        <v>376.8</v>
      </c>
      <c r="AA36" s="20" t="n">
        <v>377.11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</row>
    <row r="37">
      <c r="B37" s="33" t="inlineStr">
        <is>
          <t xml:space="preserve">  602010 Payroll Processing Fees</t>
        </is>
      </c>
      <c r="D37" s="19" t="n">
        <v>1511.17</v>
      </c>
      <c r="E37" s="19" t="n">
        <v>2150.77</v>
      </c>
      <c r="F37" s="19" t="n">
        <v>2902.85</v>
      </c>
      <c r="G37" s="19" t="n">
        <v>2044.7</v>
      </c>
      <c r="H37" s="88" t="n">
        <v>1927.6</v>
      </c>
      <c r="I37" s="20" t="n">
        <v>1523</v>
      </c>
      <c r="J37" s="20" t="n">
        <v>1057.71</v>
      </c>
      <c r="K37" s="20" t="n">
        <v>1862.4</v>
      </c>
      <c r="L37" s="20" t="n">
        <v>1692.19</v>
      </c>
      <c r="M37" s="20" t="n">
        <v>1649.89</v>
      </c>
      <c r="N37" s="20" t="n">
        <v>1607.59</v>
      </c>
      <c r="O37" s="20" t="n">
        <v>1692.46</v>
      </c>
      <c r="P37" s="20" t="n">
        <v>1638.58</v>
      </c>
      <c r="Q37" s="20" t="n">
        <v>1639.74</v>
      </c>
      <c r="R37" s="20" t="n">
        <v>1636.59</v>
      </c>
      <c r="S37" s="20" t="n">
        <v>1635.41</v>
      </c>
      <c r="T37" s="20" t="n">
        <v>1637.99</v>
      </c>
      <c r="U37" s="20" t="n">
        <v>1635.62</v>
      </c>
      <c r="V37" s="20" t="n">
        <v>1635.13</v>
      </c>
      <c r="W37" s="20" t="n">
        <v>1637.3</v>
      </c>
      <c r="X37" s="20" t="n">
        <v>1636.05</v>
      </c>
      <c r="Y37" s="20" t="n">
        <v>1635.69</v>
      </c>
      <c r="Z37" s="20" t="n">
        <v>1635.19</v>
      </c>
      <c r="AA37" s="20" t="n">
        <v>1636.52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</row>
    <row r="38">
      <c r="B38" s="32" t="inlineStr">
        <is>
          <t>Total Payroll</t>
        </is>
      </c>
      <c r="C38" s="34" t="n"/>
      <c r="D38" s="35" t="n">
        <v>48989.33999999999</v>
      </c>
      <c r="E38" s="35" t="n">
        <v>51178.54999999999</v>
      </c>
      <c r="F38" s="35" t="n">
        <v>53279.6</v>
      </c>
      <c r="G38" s="35" t="n">
        <v>50092.53999999999</v>
      </c>
      <c r="H38" s="89" t="n">
        <v>49526.76999999999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840.4400000000001</v>
      </c>
      <c r="E39" s="19" t="n">
        <v>1314.43</v>
      </c>
      <c r="F39" s="19" t="n">
        <v>858.0700000000001</v>
      </c>
      <c r="G39" s="19" t="n">
        <v>885.25</v>
      </c>
      <c r="H39" s="88" t="n">
        <v>882.25</v>
      </c>
      <c r="I39" s="20" t="n">
        <v>903.22</v>
      </c>
      <c r="J39" s="20" t="n">
        <v>903.22</v>
      </c>
      <c r="K39" s="20" t="n">
        <v>903.22</v>
      </c>
      <c r="L39" s="20" t="n">
        <v>903.22</v>
      </c>
      <c r="M39" s="20" t="n">
        <v>903.22</v>
      </c>
      <c r="N39" s="20" t="n">
        <v>903.22</v>
      </c>
      <c r="O39" s="20" t="n">
        <v>903.22</v>
      </c>
      <c r="P39" s="20" t="n">
        <v>903.22</v>
      </c>
      <c r="Q39" s="20" t="n">
        <v>903.22</v>
      </c>
      <c r="R39" s="20" t="n">
        <v>903.22</v>
      </c>
      <c r="S39" s="20" t="n">
        <v>903.22</v>
      </c>
      <c r="T39" s="20" t="n">
        <v>903.22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</row>
    <row r="40">
      <c r="B40" s="33" t="inlineStr">
        <is>
          <t xml:space="preserve">  608000 Insurance</t>
        </is>
      </c>
      <c r="D40" s="19" t="n">
        <v>249.6</v>
      </c>
      <c r="E40" s="19" t="n">
        <v>55.29</v>
      </c>
      <c r="F40" s="19" t="n">
        <v>134.82</v>
      </c>
      <c r="G40" s="19" t="n">
        <v>134.82</v>
      </c>
      <c r="H40" s="88" t="n">
        <v>188.63</v>
      </c>
      <c r="I40" s="20" t="n">
        <v>133.12</v>
      </c>
      <c r="J40" s="20" t="n">
        <v>133.12</v>
      </c>
      <c r="K40" s="20" t="n">
        <v>133.12</v>
      </c>
      <c r="L40" s="20" t="n">
        <v>133.12</v>
      </c>
      <c r="M40" s="20" t="n">
        <v>133.12</v>
      </c>
      <c r="N40" s="20" t="n">
        <v>133.12</v>
      </c>
      <c r="O40" s="20" t="n">
        <v>133.12</v>
      </c>
      <c r="P40" s="20" t="n">
        <v>133.12</v>
      </c>
      <c r="Q40" s="20" t="n">
        <v>133.12</v>
      </c>
      <c r="R40" s="20" t="n">
        <v>133.12</v>
      </c>
      <c r="S40" s="20" t="n">
        <v>133.12</v>
      </c>
      <c r="T40" s="20" t="n">
        <v>133.12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</row>
    <row r="41">
      <c r="B41" s="33" t="inlineStr">
        <is>
          <t xml:space="preserve">  610000 Office Supplies</t>
        </is>
      </c>
      <c r="D41" s="19" t="n">
        <v>2054.69</v>
      </c>
      <c r="E41" s="19" t="n">
        <v>2537.61</v>
      </c>
      <c r="F41" s="19" t="n">
        <v>3733.51</v>
      </c>
      <c r="G41" s="19" t="n">
        <v>773.8099999999999</v>
      </c>
      <c r="H41" s="88" t="n">
        <v>0</v>
      </c>
      <c r="I41" s="20" t="n">
        <v>2108.39</v>
      </c>
      <c r="J41" s="20" t="n">
        <v>2108.39</v>
      </c>
      <c r="K41" s="20" t="n">
        <v>2108.39</v>
      </c>
      <c r="L41" s="20" t="n">
        <v>2108.39</v>
      </c>
      <c r="M41" s="20" t="n">
        <v>2108.39</v>
      </c>
      <c r="N41" s="20" t="n">
        <v>2108.39</v>
      </c>
      <c r="O41" s="20" t="n">
        <v>2108.39</v>
      </c>
      <c r="P41" s="20" t="n">
        <v>2108.39</v>
      </c>
      <c r="Q41" s="20" t="n">
        <v>2108.39</v>
      </c>
      <c r="R41" s="20" t="n">
        <v>2108.39</v>
      </c>
      <c r="S41" s="20" t="n">
        <v>2108.39</v>
      </c>
      <c r="T41" s="20" t="n">
        <v>2108.39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1116.82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956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62.12</v>
      </c>
      <c r="E48" s="19" t="n">
        <v>82.98999999999999</v>
      </c>
      <c r="F48" s="19" t="n">
        <v>180.48</v>
      </c>
      <c r="G48" s="19" t="n">
        <v>0</v>
      </c>
      <c r="H48" s="88" t="n">
        <v>0</v>
      </c>
      <c r="I48" s="20" t="n">
        <v>271.33</v>
      </c>
      <c r="J48" s="20" t="n">
        <v>271.33</v>
      </c>
      <c r="K48" s="20" t="n">
        <v>271.33</v>
      </c>
      <c r="L48" s="20" t="n">
        <v>271.33</v>
      </c>
      <c r="M48" s="20" t="n">
        <v>271.33</v>
      </c>
      <c r="N48" s="20" t="n">
        <v>271.33</v>
      </c>
      <c r="O48" s="20" t="n">
        <v>271.33</v>
      </c>
      <c r="P48" s="20" t="n">
        <v>271.33</v>
      </c>
      <c r="Q48" s="20" t="n">
        <v>271.33</v>
      </c>
      <c r="R48" s="20" t="n">
        <v>271.33</v>
      </c>
      <c r="S48" s="20" t="n">
        <v>271.33</v>
      </c>
      <c r="T48" s="20" t="n">
        <v>271.33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</row>
    <row r="49">
      <c r="B49" s="33" t="inlineStr">
        <is>
          <t xml:space="preserve">  606000 Meals</t>
        </is>
      </c>
      <c r="D49" s="19" t="n">
        <v>2072.37</v>
      </c>
      <c r="E49" s="19" t="n">
        <v>36.65</v>
      </c>
      <c r="F49" s="19" t="n">
        <v>86.81</v>
      </c>
      <c r="G49" s="19" t="n">
        <v>39.9</v>
      </c>
      <c r="H49" s="88" t="n">
        <v>43.35</v>
      </c>
      <c r="I49" s="20" t="n">
        <v>1863.16</v>
      </c>
      <c r="J49" s="20" t="n">
        <v>1863.16</v>
      </c>
      <c r="K49" s="20" t="n">
        <v>1863.16</v>
      </c>
      <c r="L49" s="20" t="n">
        <v>1863.16</v>
      </c>
      <c r="M49" s="20" t="n">
        <v>1863.16</v>
      </c>
      <c r="N49" s="20" t="n">
        <v>1863.16</v>
      </c>
      <c r="O49" s="20" t="n">
        <v>1863.16</v>
      </c>
      <c r="P49" s="20" t="n">
        <v>1863.16</v>
      </c>
      <c r="Q49" s="20" t="n">
        <v>1863.16</v>
      </c>
      <c r="R49" s="20" t="n">
        <v>1863.16</v>
      </c>
      <c r="S49" s="20" t="n">
        <v>1863.16</v>
      </c>
      <c r="T49" s="20" t="n">
        <v>1863.16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456.97</v>
      </c>
      <c r="E51" s="19" t="n">
        <v>289.67</v>
      </c>
      <c r="F51" s="19" t="n">
        <v>347.97</v>
      </c>
      <c r="G51" s="19" t="n">
        <v>424.13</v>
      </c>
      <c r="H51" s="88" t="n">
        <v>834.26</v>
      </c>
      <c r="I51" s="20" t="n">
        <v>400.82</v>
      </c>
      <c r="J51" s="20" t="n">
        <v>400.82</v>
      </c>
      <c r="K51" s="20" t="n">
        <v>400.82</v>
      </c>
      <c r="L51" s="20" t="n">
        <v>400.82</v>
      </c>
      <c r="M51" s="20" t="n">
        <v>400.82</v>
      </c>
      <c r="N51" s="20" t="n">
        <v>400.82</v>
      </c>
      <c r="O51" s="20" t="n">
        <v>400.82</v>
      </c>
      <c r="P51" s="20" t="n">
        <v>400.82</v>
      </c>
      <c r="Q51" s="20" t="n">
        <v>400.82</v>
      </c>
      <c r="R51" s="20" t="n">
        <v>400.82</v>
      </c>
      <c r="S51" s="20" t="n">
        <v>400.82</v>
      </c>
      <c r="T51" s="20" t="n">
        <v>400.82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116.7</v>
      </c>
      <c r="E53" s="19" t="n">
        <v>133.22</v>
      </c>
      <c r="F53" s="19" t="n">
        <v>112.22</v>
      </c>
      <c r="G53" s="19" t="n">
        <v>113.22</v>
      </c>
      <c r="H53" s="88" t="n">
        <v>113.18</v>
      </c>
      <c r="I53" s="20" t="n">
        <v>125.46</v>
      </c>
      <c r="J53" s="20" t="n">
        <v>125.46</v>
      </c>
      <c r="K53" s="20" t="n">
        <v>125.46</v>
      </c>
      <c r="L53" s="20" t="n">
        <v>125.46</v>
      </c>
      <c r="M53" s="20" t="n">
        <v>125.46</v>
      </c>
      <c r="N53" s="20" t="n">
        <v>125.46</v>
      </c>
      <c r="O53" s="20" t="n">
        <v>125.46</v>
      </c>
      <c r="P53" s="20" t="n">
        <v>125.46</v>
      </c>
      <c r="Q53" s="20" t="n">
        <v>125.46</v>
      </c>
      <c r="R53" s="20" t="n">
        <v>125.46</v>
      </c>
      <c r="S53" s="20" t="n">
        <v>125.46</v>
      </c>
      <c r="T53" s="20" t="n">
        <v>125.46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</row>
    <row r="54">
      <c r="B54" s="33" t="inlineStr">
        <is>
          <t xml:space="preserve">  616004 Water &amp; sewer</t>
        </is>
      </c>
      <c r="D54" s="19" t="n">
        <v>226.59</v>
      </c>
      <c r="E54" s="19" t="n">
        <v>203.4</v>
      </c>
      <c r="F54" s="19" t="n">
        <v>73.29000000000001</v>
      </c>
      <c r="G54" s="19" t="n">
        <v>227.72</v>
      </c>
      <c r="H54" s="88" t="n">
        <v>211.89</v>
      </c>
      <c r="I54" s="20" t="n">
        <v>192.92</v>
      </c>
      <c r="J54" s="20" t="n">
        <v>192.92</v>
      </c>
      <c r="K54" s="20" t="n">
        <v>192.92</v>
      </c>
      <c r="L54" s="20" t="n">
        <v>192.92</v>
      </c>
      <c r="M54" s="20" t="n">
        <v>192.92</v>
      </c>
      <c r="N54" s="20" t="n">
        <v>192.92</v>
      </c>
      <c r="O54" s="20" t="n">
        <v>192.92</v>
      </c>
      <c r="P54" s="20" t="n">
        <v>192.92</v>
      </c>
      <c r="Q54" s="20" t="n">
        <v>192.92</v>
      </c>
      <c r="R54" s="20" t="n">
        <v>192.92</v>
      </c>
      <c r="S54" s="20" t="n">
        <v>192.92</v>
      </c>
      <c r="T54" s="20" t="n">
        <v>192.92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103.05</v>
      </c>
      <c r="F55" s="19" t="n">
        <v>102.05</v>
      </c>
      <c r="G55" s="19" t="n">
        <v>102.05</v>
      </c>
      <c r="H55" s="88" t="n">
        <v>102.05</v>
      </c>
      <c r="I55" s="20" t="n">
        <v>81.06</v>
      </c>
      <c r="J55" s="20" t="n">
        <v>81.06</v>
      </c>
      <c r="K55" s="20" t="n">
        <v>81.06</v>
      </c>
      <c r="L55" s="20" t="n">
        <v>81.06</v>
      </c>
      <c r="M55" s="20" t="n">
        <v>81.06</v>
      </c>
      <c r="N55" s="20" t="n">
        <v>81.06</v>
      </c>
      <c r="O55" s="20" t="n">
        <v>81.06</v>
      </c>
      <c r="P55" s="20" t="n">
        <v>81.06</v>
      </c>
      <c r="Q55" s="20" t="n">
        <v>81.06</v>
      </c>
      <c r="R55" s="20" t="n">
        <v>81.06</v>
      </c>
      <c r="S55" s="20" t="n">
        <v>81.06</v>
      </c>
      <c r="T55" s="20" t="n">
        <v>81.06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</row>
    <row r="56">
      <c r="B56" s="32" t="inlineStr">
        <is>
          <t>Total Utilities</t>
        </is>
      </c>
      <c r="C56" s="34" t="n"/>
      <c r="D56" s="35" t="n">
        <v>800.2600000000001</v>
      </c>
      <c r="E56" s="35" t="n">
        <v>729.3399999999999</v>
      </c>
      <c r="F56" s="35" t="n">
        <v>635.53</v>
      </c>
      <c r="G56" s="35" t="n">
        <v>867.12</v>
      </c>
      <c r="H56" s="89" t="n">
        <v>1261.38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88" t="n">
        <v>9241.09</v>
      </c>
      <c r="I57" s="20" t="n">
        <v>9214.639999999999</v>
      </c>
      <c r="J57" s="20" t="n">
        <v>9214.639999999999</v>
      </c>
      <c r="K57" s="20" t="n">
        <v>9214.639999999999</v>
      </c>
      <c r="L57" s="20" t="n">
        <v>9214.639999999999</v>
      </c>
      <c r="M57" s="20" t="n">
        <v>9214.639999999999</v>
      </c>
      <c r="N57" s="20" t="n">
        <v>9214.639999999999</v>
      </c>
      <c r="O57" s="20" t="n">
        <v>9214.639999999999</v>
      </c>
      <c r="P57" s="20" t="n">
        <v>9214.639999999999</v>
      </c>
      <c r="Q57" s="20" t="n">
        <v>9214.639999999999</v>
      </c>
      <c r="R57" s="20" t="n">
        <v>9214.639999999999</v>
      </c>
      <c r="S57" s="20" t="n">
        <v>9214.639999999999</v>
      </c>
      <c r="T57" s="20" t="n">
        <v>9214.639999999999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</row>
    <row r="58">
      <c r="B58" s="33" t="inlineStr">
        <is>
          <t xml:space="preserve">  702000 Security</t>
        </is>
      </c>
      <c r="D58" s="19" t="n">
        <v>245</v>
      </c>
      <c r="E58" s="19" t="n">
        <v>0</v>
      </c>
      <c r="F58" s="19" t="n">
        <v>0</v>
      </c>
      <c r="G58" s="19" t="n">
        <v>150</v>
      </c>
      <c r="H58" s="88" t="n">
        <v>0</v>
      </c>
      <c r="I58" s="20" t="n">
        <v>98.47</v>
      </c>
      <c r="J58" s="20" t="n">
        <v>98.47</v>
      </c>
      <c r="K58" s="20" t="n">
        <v>98.47</v>
      </c>
      <c r="L58" s="20" t="n">
        <v>98.47</v>
      </c>
      <c r="M58" s="20" t="n">
        <v>98.47</v>
      </c>
      <c r="N58" s="20" t="n">
        <v>98.47</v>
      </c>
      <c r="O58" s="20" t="n">
        <v>98.47</v>
      </c>
      <c r="P58" s="20" t="n">
        <v>98.47</v>
      </c>
      <c r="Q58" s="20" t="n">
        <v>98.47</v>
      </c>
      <c r="R58" s="20" t="n">
        <v>98.47</v>
      </c>
      <c r="S58" s="20" t="n">
        <v>98.47</v>
      </c>
      <c r="T58" s="20" t="n">
        <v>98.47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</row>
    <row r="59">
      <c r="B59" s="33" t="inlineStr">
        <is>
          <t xml:space="preserve">  703000 Cleaning</t>
        </is>
      </c>
      <c r="D59" s="19" t="n">
        <v>129.44</v>
      </c>
      <c r="E59" s="19" t="n">
        <v>99.91</v>
      </c>
      <c r="F59" s="19" t="n">
        <v>596.9299999999999</v>
      </c>
      <c r="G59" s="19" t="n">
        <v>386.89</v>
      </c>
      <c r="H59" s="88" t="n">
        <v>334.63</v>
      </c>
      <c r="I59" s="20" t="n">
        <v>302.42</v>
      </c>
      <c r="J59" s="20" t="n">
        <v>302.42</v>
      </c>
      <c r="K59" s="20" t="n">
        <v>302.42</v>
      </c>
      <c r="L59" s="20" t="n">
        <v>302.42</v>
      </c>
      <c r="M59" s="20" t="n">
        <v>302.42</v>
      </c>
      <c r="N59" s="20" t="n">
        <v>302.42</v>
      </c>
      <c r="O59" s="20" t="n">
        <v>302.42</v>
      </c>
      <c r="P59" s="20" t="n">
        <v>302.42</v>
      </c>
      <c r="Q59" s="20" t="n">
        <v>302.42</v>
      </c>
      <c r="R59" s="20" t="n">
        <v>302.42</v>
      </c>
      <c r="S59" s="20" t="n">
        <v>302.42</v>
      </c>
      <c r="T59" s="20" t="n">
        <v>302.42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9615.530000000001</v>
      </c>
      <c r="E61" s="35" t="n">
        <v>9341</v>
      </c>
      <c r="F61" s="35" t="n">
        <v>9990.07</v>
      </c>
      <c r="G61" s="35" t="n">
        <v>9855.08</v>
      </c>
      <c r="H61" s="89" t="n">
        <v>9575.719999999999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68093.75</v>
      </c>
      <c r="E62" s="35" t="n">
        <v>71864.79999999999</v>
      </c>
      <c r="F62" s="35" t="n">
        <v>73070.99000000001</v>
      </c>
      <c r="G62" s="35" t="n">
        <v>64340.29</v>
      </c>
      <c r="H62" s="89" t="n">
        <v>65105.61999999999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31109.82999999999</v>
      </c>
      <c r="E63" s="35" t="n">
        <v>17318.63</v>
      </c>
      <c r="F63" s="35" t="n">
        <v>15464.57000000001</v>
      </c>
      <c r="G63" s="35" t="n">
        <v>14916.37999999998</v>
      </c>
      <c r="H63" s="89" t="n">
        <v>16320.94000000001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2812.47</v>
      </c>
      <c r="E65" s="19" t="n">
        <v>2812.47</v>
      </c>
      <c r="F65" s="19" t="n">
        <v>2812.47</v>
      </c>
      <c r="G65" s="19" t="n">
        <v>2812.47</v>
      </c>
      <c r="H65" s="88" t="n">
        <v>2812.47</v>
      </c>
      <c r="I65" s="20">
        <f>I69*1.102403</f>
        <v/>
      </c>
      <c r="J65" s="20">
        <f>J69*1.102403</f>
        <v/>
      </c>
      <c r="K65" s="20">
        <f>K69*1.102403</f>
        <v/>
      </c>
      <c r="L65" s="20">
        <f>L69*1.102403</f>
        <v/>
      </c>
      <c r="M65" s="20">
        <f>M69*1.102403</f>
        <v/>
      </c>
      <c r="N65" s="20">
        <f>N69*1.102403</f>
        <v/>
      </c>
      <c r="O65" s="20">
        <f>O69*1.102403</f>
        <v/>
      </c>
      <c r="P65" s="20">
        <f>P69*1.102403</f>
        <v/>
      </c>
      <c r="Q65" s="20">
        <f>Q69*1.102403</f>
        <v/>
      </c>
      <c r="R65" s="20">
        <f>R69*1.102403</f>
        <v/>
      </c>
      <c r="S65" s="20">
        <f>S69*1.102403</f>
        <v/>
      </c>
      <c r="T65" s="20">
        <f>T69*1.102403</f>
        <v/>
      </c>
      <c r="U65" s="20">
        <f>U69*1.102403</f>
        <v/>
      </c>
      <c r="V65" s="20">
        <f>V69*1.102403</f>
        <v/>
      </c>
      <c r="W65" s="20">
        <f>W69*1.102403</f>
        <v/>
      </c>
      <c r="X65" s="20">
        <f>X69*1.102403</f>
        <v/>
      </c>
      <c r="Y65" s="20">
        <f>Y69*1.102403</f>
        <v/>
      </c>
      <c r="Z65" s="20">
        <f>Z69*1.102403</f>
        <v/>
      </c>
      <c r="AA65" s="20">
        <f>AA69*1.102403</f>
        <v/>
      </c>
      <c r="AB65" s="20">
        <f>AB69*1.102403</f>
        <v/>
      </c>
      <c r="AC65" s="20">
        <f>AC69*1.102403</f>
        <v/>
      </c>
      <c r="AD65" s="20">
        <f>AD69*1.102403</f>
        <v/>
      </c>
      <c r="AE65" s="20">
        <f>AE69*1.102403</f>
        <v/>
      </c>
      <c r="AF65" s="20">
        <f>AF69*1.102403</f>
        <v/>
      </c>
      <c r="AG65" s="20">
        <f>AG69*1.102403</f>
        <v/>
      </c>
      <c r="AH65" s="20">
        <f>AH69*1.102403</f>
        <v/>
      </c>
      <c r="AI65" s="20">
        <f>AI69*1.102403</f>
        <v/>
      </c>
      <c r="AJ65" s="20">
        <f>AJ69*1.102403</f>
        <v/>
      </c>
      <c r="AK65" s="20">
        <f>AK69*1.102403</f>
        <v/>
      </c>
      <c r="AL65" s="20">
        <f>AL69*1.102403</f>
        <v/>
      </c>
      <c r="AM65" s="20">
        <f>AM69*1.102403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579.9299999999999</v>
      </c>
      <c r="F67" s="19" t="n">
        <v>0</v>
      </c>
      <c r="G67" s="19" t="n">
        <v>0</v>
      </c>
      <c r="H67" s="88" t="n">
        <v>0</v>
      </c>
      <c r="I67" s="20">
        <f>I69*0.056829</f>
        <v/>
      </c>
      <c r="J67" s="20">
        <f>J69*0.056829</f>
        <v/>
      </c>
      <c r="K67" s="20">
        <f>K69*0.056829</f>
        <v/>
      </c>
      <c r="L67" s="20">
        <f>L69*0.056829</f>
        <v/>
      </c>
      <c r="M67" s="20">
        <f>M69*0.056829</f>
        <v/>
      </c>
      <c r="N67" s="20">
        <f>N69*0.056829</f>
        <v/>
      </c>
      <c r="O67" s="20">
        <f>O69*0.056829</f>
        <v/>
      </c>
      <c r="P67" s="20">
        <f>P69*0.056829</f>
        <v/>
      </c>
      <c r="Q67" s="20">
        <f>Q69*0.056829</f>
        <v/>
      </c>
      <c r="R67" s="20">
        <f>R69*0.056829</f>
        <v/>
      </c>
      <c r="S67" s="20">
        <f>S69*0.056829</f>
        <v/>
      </c>
      <c r="T67" s="20">
        <f>T69*0.056829</f>
        <v/>
      </c>
      <c r="U67" s="20">
        <f>U69*0.056829</f>
        <v/>
      </c>
      <c r="V67" s="20">
        <f>V69*0.056829</f>
        <v/>
      </c>
      <c r="W67" s="20">
        <f>W69*0.056829</f>
        <v/>
      </c>
      <c r="X67" s="20">
        <f>X69*0.056829</f>
        <v/>
      </c>
      <c r="Y67" s="20">
        <f>Y69*0.056829</f>
        <v/>
      </c>
      <c r="Z67" s="20">
        <f>Z69*0.056829</f>
        <v/>
      </c>
      <c r="AA67" s="20">
        <f>AA69*0.056829</f>
        <v/>
      </c>
      <c r="AB67" s="20">
        <f>AB69*0.056829</f>
        <v/>
      </c>
      <c r="AC67" s="20">
        <f>AC69*0.056829</f>
        <v/>
      </c>
      <c r="AD67" s="20">
        <f>AD69*0.056829</f>
        <v/>
      </c>
      <c r="AE67" s="20">
        <f>AE69*0.056829</f>
        <v/>
      </c>
      <c r="AF67" s="20">
        <f>AF69*0.056829</f>
        <v/>
      </c>
      <c r="AG67" s="20">
        <f>AG69*0.056829</f>
        <v/>
      </c>
      <c r="AH67" s="20">
        <f>AH69*0.056829</f>
        <v/>
      </c>
      <c r="AI67" s="20">
        <f>AI69*0.056829</f>
        <v/>
      </c>
      <c r="AJ67" s="20">
        <f>AJ69*0.056829</f>
        <v/>
      </c>
      <c r="AK67" s="20">
        <f>AK69*0.056829</f>
        <v/>
      </c>
      <c r="AL67" s="20">
        <f>AL69*0.056829</f>
        <v/>
      </c>
      <c r="AM67" s="20">
        <f>AM69*0.056829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2812.47</v>
      </c>
      <c r="E69" s="35" t="n">
        <v>3392.4</v>
      </c>
      <c r="F69" s="35" t="n">
        <v>2812.47</v>
      </c>
      <c r="G69" s="35" t="n">
        <v>-1187.53</v>
      </c>
      <c r="H69" s="89" t="n">
        <v>2812.47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28297.35999999998</v>
      </c>
      <c r="E70" s="35" t="n">
        <v>13926.23</v>
      </c>
      <c r="F70" s="35" t="n">
        <v>12652.10000000001</v>
      </c>
      <c r="G70" s="35" t="n">
        <v>16103.90999999998</v>
      </c>
      <c r="H70" s="89" t="n">
        <v>13508.47000000001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Santa Barbara (SB)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12397.68</v>
      </c>
      <c r="E7" s="19" t="n">
        <v>14799.82</v>
      </c>
      <c r="F7" s="19" t="n">
        <v>13891.53</v>
      </c>
      <c r="G7" s="19" t="n">
        <v>10796.05</v>
      </c>
      <c r="H7" s="88" t="n">
        <v>9265.469999999999</v>
      </c>
      <c r="I7" s="20">
        <f>I13*0.463805</f>
        <v/>
      </c>
      <c r="J7" s="20">
        <f>J13*0.463805</f>
        <v/>
      </c>
      <c r="K7" s="20">
        <f>K13*0.463805</f>
        <v/>
      </c>
      <c r="L7" s="20">
        <f>L13*0.463805</f>
        <v/>
      </c>
      <c r="M7" s="20">
        <f>M13*0.463805</f>
        <v/>
      </c>
      <c r="N7" s="20">
        <f>N13*0.463805</f>
        <v/>
      </c>
      <c r="O7" s="20">
        <f>O13*0.463805</f>
        <v/>
      </c>
      <c r="P7" s="20">
        <f>P13*0.463805</f>
        <v/>
      </c>
      <c r="Q7" s="20">
        <f>Q13*0.463805</f>
        <v/>
      </c>
      <c r="R7" s="20">
        <f>R13*0.463805</f>
        <v/>
      </c>
      <c r="S7" s="20">
        <f>S13*0.463805</f>
        <v/>
      </c>
      <c r="T7" s="20">
        <f>T13*0.463805</f>
        <v/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</row>
    <row r="8">
      <c r="B8" s="33" t="inlineStr">
        <is>
          <t xml:space="preserve">  401002 Private Pilates</t>
        </is>
      </c>
      <c r="D8" s="19" t="n">
        <v>3578</v>
      </c>
      <c r="E8" s="19" t="n">
        <v>1647</v>
      </c>
      <c r="F8" s="19" t="n">
        <v>825</v>
      </c>
      <c r="G8" s="19" t="n">
        <v>1201.67</v>
      </c>
      <c r="H8" s="88" t="n">
        <v>376.67</v>
      </c>
      <c r="I8" s="20">
        <f>I13*0.064823</f>
        <v/>
      </c>
      <c r="J8" s="20">
        <f>J13*0.064823</f>
        <v/>
      </c>
      <c r="K8" s="20">
        <f>K13*0.064823</f>
        <v/>
      </c>
      <c r="L8" s="20">
        <f>L13*0.064823</f>
        <v/>
      </c>
      <c r="M8" s="20">
        <f>M13*0.064823</f>
        <v/>
      </c>
      <c r="N8" s="20">
        <f>N13*0.064823</f>
        <v/>
      </c>
      <c r="O8" s="20">
        <f>O13*0.064823</f>
        <v/>
      </c>
      <c r="P8" s="20">
        <f>P13*0.064823</f>
        <v/>
      </c>
      <c r="Q8" s="20">
        <f>Q13*0.064823</f>
        <v/>
      </c>
      <c r="R8" s="20">
        <f>R13*0.064823</f>
        <v/>
      </c>
      <c r="S8" s="20">
        <f>S13*0.064823</f>
        <v/>
      </c>
      <c r="T8" s="20">
        <f>T13*0.064823</f>
        <v/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</row>
    <row r="9">
      <c r="B9" s="33" t="inlineStr">
        <is>
          <t xml:space="preserve">  401003 Class Pass</t>
        </is>
      </c>
      <c r="D9" s="19" t="n">
        <v>8318.93</v>
      </c>
      <c r="E9" s="19" t="n">
        <v>8309.99</v>
      </c>
      <c r="F9" s="19" t="n">
        <v>9510.129999999999</v>
      </c>
      <c r="G9" s="19" t="n">
        <v>9064</v>
      </c>
      <c r="H9" s="88" t="n">
        <v>8485.719999999999</v>
      </c>
      <c r="I9" s="20">
        <f>I13*0.314683</f>
        <v/>
      </c>
      <c r="J9" s="20">
        <f>J13*0.314683</f>
        <v/>
      </c>
      <c r="K9" s="20">
        <f>K13*0.314683</f>
        <v/>
      </c>
      <c r="L9" s="20">
        <f>L13*0.314683</f>
        <v/>
      </c>
      <c r="M9" s="20">
        <f>M13*0.314683</f>
        <v/>
      </c>
      <c r="N9" s="20">
        <f>N13*0.314683</f>
        <v/>
      </c>
      <c r="O9" s="20">
        <f>O13*0.314683</f>
        <v/>
      </c>
      <c r="P9" s="20">
        <f>P13*0.314683</f>
        <v/>
      </c>
      <c r="Q9" s="20">
        <f>Q13*0.314683</f>
        <v/>
      </c>
      <c r="R9" s="20">
        <f>R13*0.314683</f>
        <v/>
      </c>
      <c r="S9" s="20">
        <f>S13*0.314683</f>
        <v/>
      </c>
      <c r="T9" s="20">
        <f>T13*0.314683</f>
        <v/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10056.08</v>
      </c>
      <c r="F10" s="19" t="n">
        <v>7182.92</v>
      </c>
      <c r="G10" s="19" t="n">
        <v>0</v>
      </c>
      <c r="H10" s="88" t="n">
        <v>0</v>
      </c>
      <c r="I10" s="20">
        <f>I13*0.154101</f>
        <v/>
      </c>
      <c r="J10" s="20">
        <f>J13*0.154101</f>
        <v/>
      </c>
      <c r="K10" s="20">
        <f>K13*0.154101</f>
        <v/>
      </c>
      <c r="L10" s="20">
        <f>L13*0.154101</f>
        <v/>
      </c>
      <c r="M10" s="20">
        <f>M13*0.154101</f>
        <v/>
      </c>
      <c r="N10" s="20">
        <f>N13*0.154101</f>
        <v/>
      </c>
      <c r="O10" s="20">
        <f>O13*0.154101</f>
        <v/>
      </c>
      <c r="P10" s="20">
        <f>P13*0.154101</f>
        <v/>
      </c>
      <c r="Q10" s="20">
        <f>Q13*0.154101</f>
        <v/>
      </c>
      <c r="R10" s="20">
        <f>R13*0.154101</f>
        <v/>
      </c>
      <c r="S10" s="20">
        <f>S13*0.154101</f>
        <v/>
      </c>
      <c r="T10" s="20">
        <f>T13*0.154101</f>
        <v/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0</v>
      </c>
      <c r="H11" s="88" t="n">
        <v>0</v>
      </c>
      <c r="I11" s="20">
        <f>I13*0.000125</f>
        <v/>
      </c>
      <c r="J11" s="20">
        <f>J13*0.000125</f>
        <v/>
      </c>
      <c r="K11" s="20">
        <f>K13*0.000125</f>
        <v/>
      </c>
      <c r="L11" s="20">
        <f>L13*0.000125</f>
        <v/>
      </c>
      <c r="M11" s="20">
        <f>M13*0.000125</f>
        <v/>
      </c>
      <c r="N11" s="20">
        <f>N13*0.000125</f>
        <v/>
      </c>
      <c r="O11" s="20">
        <f>O13*0.000125</f>
        <v/>
      </c>
      <c r="P11" s="20">
        <f>P13*0.000125</f>
        <v/>
      </c>
      <c r="Q11" s="20">
        <f>Q13*0.000125</f>
        <v/>
      </c>
      <c r="R11" s="20">
        <f>R13*0.000125</f>
        <v/>
      </c>
      <c r="S11" s="20">
        <f>S13*0.000125</f>
        <v/>
      </c>
      <c r="T11" s="20">
        <f>T13*0.000125</f>
        <v/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52.02</v>
      </c>
      <c r="G12" s="19" t="n">
        <v>223.38</v>
      </c>
      <c r="H12" s="88" t="n">
        <v>183.6</v>
      </c>
      <c r="I12" s="20">
        <f>I13*0.002462</f>
        <v/>
      </c>
      <c r="J12" s="20">
        <f>J13*0.002462</f>
        <v/>
      </c>
      <c r="K12" s="20">
        <f>K13*0.002462</f>
        <v/>
      </c>
      <c r="L12" s="20">
        <f>L13*0.002462</f>
        <v/>
      </c>
      <c r="M12" s="20">
        <f>M13*0.002462</f>
        <v/>
      </c>
      <c r="N12" s="20">
        <f>N13*0.002462</f>
        <v/>
      </c>
      <c r="O12" s="20">
        <f>O13*0.002462</f>
        <v/>
      </c>
      <c r="P12" s="20">
        <f>P13*0.002462</f>
        <v/>
      </c>
      <c r="Q12" s="20">
        <f>Q13*0.002462</f>
        <v/>
      </c>
      <c r="R12" s="20">
        <f>R13*0.002462</f>
        <v/>
      </c>
      <c r="S12" s="20">
        <f>S13*0.002462</f>
        <v/>
      </c>
      <c r="T12" s="20">
        <f>T13*0.002462</f>
        <v/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</row>
    <row r="13">
      <c r="B13" s="32" t="inlineStr">
        <is>
          <t>Total Sessions</t>
        </is>
      </c>
      <c r="C13" s="34" t="n"/>
      <c r="D13" s="35" t="n">
        <v>24308.61</v>
      </c>
      <c r="E13" s="35" t="n">
        <v>34812.89</v>
      </c>
      <c r="F13" s="35" t="n">
        <v>31461.6</v>
      </c>
      <c r="G13" s="35" t="n">
        <v>21285.1</v>
      </c>
      <c r="H13" s="89" t="n">
        <v>18461.46</v>
      </c>
      <c r="I13" s="17">
        <f>'Sales Forecast'!I14*Assumptions!$C$12+'Sales Forecast'!H14*Assumptions!$D$12+'Sales Forecast'!G14*Assumptions!$E$12+'Sales Forecast'!F14*Assumptions!$F$12+'Sales Forecast'!E14*Assumptions!$G$12+'Sales Forecast'!D14*Assumptions!$H$12+'Sales Forecast'!I110*Assumptions!$I$12</f>
        <v/>
      </c>
      <c r="J13" s="17">
        <f>'Sales Forecast'!J14*Assumptions!$C$12+'Sales Forecast'!I14*Assumptions!$D$12+'Sales Forecast'!H14*Assumptions!$E$12+'Sales Forecast'!G14*Assumptions!$F$12+'Sales Forecast'!F14*Assumptions!$G$12+'Sales Forecast'!E14*Assumptions!$H$12+'Sales Forecast'!D14*Assumptions!$I$12</f>
        <v/>
      </c>
      <c r="K13" s="17">
        <f>'Sales Forecast'!K14*Assumptions!$C$12+'Sales Forecast'!J14*Assumptions!$D$12+'Sales Forecast'!I14*Assumptions!$E$12+'Sales Forecast'!H14*Assumptions!$F$12+'Sales Forecast'!G14*Assumptions!$G$12+'Sales Forecast'!F14*Assumptions!$H$12+'Sales Forecast'!E14*Assumptions!$I$12</f>
        <v/>
      </c>
      <c r="L13" s="17">
        <f>'Sales Forecast'!L14*Assumptions!$C$12+'Sales Forecast'!K14*Assumptions!$D$12+'Sales Forecast'!J14*Assumptions!$E$12+'Sales Forecast'!I14*Assumptions!$F$12+'Sales Forecast'!H14*Assumptions!$G$12+'Sales Forecast'!G14*Assumptions!$H$12+'Sales Forecast'!F14*Assumptions!$I$12</f>
        <v/>
      </c>
      <c r="M13" s="17">
        <f>'Sales Forecast'!M14*Assumptions!$C$12+'Sales Forecast'!L14*Assumptions!$D$12+'Sales Forecast'!K14*Assumptions!$E$12+'Sales Forecast'!J14*Assumptions!$F$12+'Sales Forecast'!I14*Assumptions!$G$12+'Sales Forecast'!H14*Assumptions!$H$12+'Sales Forecast'!G14*Assumptions!$I$12</f>
        <v/>
      </c>
      <c r="N13" s="17">
        <f>'Sales Forecast'!N14*Assumptions!$C$12+'Sales Forecast'!M14*Assumptions!$D$12+'Sales Forecast'!L14*Assumptions!$E$12+'Sales Forecast'!K14*Assumptions!$F$12+'Sales Forecast'!J14*Assumptions!$G$12+'Sales Forecast'!I14*Assumptions!$H$12+'Sales Forecast'!H14*Assumptions!$I$12</f>
        <v/>
      </c>
      <c r="O13" s="17">
        <f>'Sales Forecast'!O14*Assumptions!$C$12+'Sales Forecast'!N14*Assumptions!$D$12+'Sales Forecast'!M14*Assumptions!$E$12+'Sales Forecast'!L14*Assumptions!$F$12+'Sales Forecast'!K14*Assumptions!$G$12+'Sales Forecast'!J14*Assumptions!$H$12+'Sales Forecast'!I14*Assumptions!$I$12</f>
        <v/>
      </c>
      <c r="P13" s="17">
        <f>'Sales Forecast'!P14*Assumptions!$C$12+'Sales Forecast'!O14*Assumptions!$D$12+'Sales Forecast'!N14*Assumptions!$E$12+'Sales Forecast'!M14*Assumptions!$F$12+'Sales Forecast'!L14*Assumptions!$G$12+'Sales Forecast'!K14*Assumptions!$H$12+'Sales Forecast'!J14*Assumptions!$I$12</f>
        <v/>
      </c>
      <c r="Q13" s="17">
        <f>'Sales Forecast'!Q14*Assumptions!$C$12+'Sales Forecast'!P14*Assumptions!$D$12+'Sales Forecast'!O14*Assumptions!$E$12+'Sales Forecast'!N14*Assumptions!$F$12+'Sales Forecast'!M14*Assumptions!$G$12+'Sales Forecast'!L14*Assumptions!$H$12+'Sales Forecast'!K14*Assumptions!$I$12</f>
        <v/>
      </c>
      <c r="R13" s="17">
        <f>'Sales Forecast'!R14*Assumptions!$C$12+'Sales Forecast'!Q14*Assumptions!$D$12+'Sales Forecast'!P14*Assumptions!$E$12+'Sales Forecast'!O14*Assumptions!$F$12+'Sales Forecast'!N14*Assumptions!$G$12+'Sales Forecast'!M14*Assumptions!$H$12+'Sales Forecast'!L14*Assumptions!$I$12</f>
        <v/>
      </c>
      <c r="S13" s="17">
        <f>'Sales Forecast'!S14*Assumptions!$C$12+'Sales Forecast'!R14*Assumptions!$D$12+'Sales Forecast'!Q14*Assumptions!$E$12+'Sales Forecast'!P14*Assumptions!$F$12+'Sales Forecast'!O14*Assumptions!$G$12+'Sales Forecast'!N14*Assumptions!$H$12+'Sales Forecast'!M14*Assumptions!$I$12</f>
        <v/>
      </c>
      <c r="T13" s="17">
        <f>'Sales Forecast'!T14*Assumptions!$C$12+'Sales Forecast'!S14*Assumptions!$D$12+'Sales Forecast'!R14*Assumptions!$E$12+'Sales Forecast'!Q14*Assumptions!$F$12+'Sales Forecast'!P14*Assumptions!$G$12+'Sales Forecast'!O14*Assumptions!$H$12+'Sales Forecast'!N14*Assumptions!$I$12</f>
        <v/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Forecast'!O14*Assumptions!$I$12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</row>
    <row r="14">
      <c r="B14" s="33" t="inlineStr">
        <is>
          <t xml:space="preserve">  403001 Machine Breakage</t>
        </is>
      </c>
      <c r="D14" s="19" t="n">
        <v>1073.27</v>
      </c>
      <c r="E14" s="19" t="n">
        <v>1665.05</v>
      </c>
      <c r="F14" s="19" t="n">
        <v>2299.28</v>
      </c>
      <c r="G14" s="19" t="n">
        <v>2422.7</v>
      </c>
      <c r="H14" s="88" t="n">
        <v>3549.18</v>
      </c>
      <c r="I14" s="20">
        <f>I17*0.961342</f>
        <v/>
      </c>
      <c r="J14" s="20">
        <f>J17*0.961342</f>
        <v/>
      </c>
      <c r="K14" s="20">
        <f>K17*0.961342</f>
        <v/>
      </c>
      <c r="L14" s="20">
        <f>L17*0.961342</f>
        <v/>
      </c>
      <c r="M14" s="20">
        <f>M17*0.961342</f>
        <v/>
      </c>
      <c r="N14" s="20">
        <f>N17*0.961342</f>
        <v/>
      </c>
      <c r="O14" s="20">
        <f>O17*0.961342</f>
        <v/>
      </c>
      <c r="P14" s="20">
        <f>P17*0.961342</f>
        <v/>
      </c>
      <c r="Q14" s="20">
        <f>Q17*0.961342</f>
        <v/>
      </c>
      <c r="R14" s="20">
        <f>R17*0.961342</f>
        <v/>
      </c>
      <c r="S14" s="20">
        <f>S17*0.961342</f>
        <v/>
      </c>
      <c r="T14" s="20">
        <f>T17*0.961342</f>
        <v/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</row>
    <row r="15">
      <c r="B15" s="33" t="inlineStr">
        <is>
          <t xml:space="preserve">  403003 Private Pilates Breakage</t>
        </is>
      </c>
      <c r="D15" s="19" t="n">
        <v>150</v>
      </c>
      <c r="E15" s="19" t="n">
        <v>75</v>
      </c>
      <c r="F15" s="19" t="n">
        <v>75</v>
      </c>
      <c r="G15" s="19" t="n">
        <v>0</v>
      </c>
      <c r="H15" s="88" t="n">
        <v>0</v>
      </c>
      <c r="I15" s="20">
        <f>I17*0.038658</f>
        <v/>
      </c>
      <c r="J15" s="20">
        <f>J17*0.038658</f>
        <v/>
      </c>
      <c r="K15" s="20">
        <f>K17*0.038658</f>
        <v/>
      </c>
      <c r="L15" s="20">
        <f>L17*0.038658</f>
        <v/>
      </c>
      <c r="M15" s="20">
        <f>M17*0.038658</f>
        <v/>
      </c>
      <c r="N15" s="20">
        <f>N17*0.038658</f>
        <v/>
      </c>
      <c r="O15" s="20">
        <f>O17*0.038658</f>
        <v/>
      </c>
      <c r="P15" s="20">
        <f>P17*0.038658</f>
        <v/>
      </c>
      <c r="Q15" s="20">
        <f>Q17*0.038658</f>
        <v/>
      </c>
      <c r="R15" s="20">
        <f>R17*0.038658</f>
        <v/>
      </c>
      <c r="S15" s="20">
        <f>S17*0.038658</f>
        <v/>
      </c>
      <c r="T15" s="20">
        <f>T17*0.038658</f>
        <v/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1223.27</v>
      </c>
      <c r="E17" s="35" t="n">
        <v>1740.05</v>
      </c>
      <c r="F17" s="35" t="n">
        <v>2374.28</v>
      </c>
      <c r="G17" s="35" t="n">
        <v>2422.7</v>
      </c>
      <c r="H17" s="89" t="n">
        <v>3549.18</v>
      </c>
      <c r="I17" s="17">
        <f>'Sales Forecast'!I14*Assumptions!$C$13+'Sales Forecast'!H14*Assumptions!$D$13+'Sales Forecast'!G14*Assumptions!$E$13+'Sales Forecast'!F14*Assumptions!$F$13+'Sales Forecast'!E14*Assumptions!$G$13+'Sales Forecast'!D14*Assumptions!$H$13+'Sales Forecast'!I110*Assumptions!$I$13</f>
        <v/>
      </c>
      <c r="J17" s="17">
        <f>'Sales Forecast'!J14*Assumptions!$C$13+'Sales Forecast'!I14*Assumptions!$D$13+'Sales Forecast'!H14*Assumptions!$E$13+'Sales Forecast'!G14*Assumptions!$F$13+'Sales Forecast'!F14*Assumptions!$G$13+'Sales Forecast'!E14*Assumptions!$H$13+'Sales Forecast'!D14*Assumptions!$I$13</f>
        <v/>
      </c>
      <c r="K17" s="17">
        <f>'Sales Forecast'!K14*Assumptions!$C$13+'Sales Forecast'!J14*Assumptions!$D$13+'Sales Forecast'!I14*Assumptions!$E$13+'Sales Forecast'!H14*Assumptions!$F$13+'Sales Forecast'!G14*Assumptions!$G$13+'Sales Forecast'!F14*Assumptions!$H$13+'Sales Forecast'!E14*Assumptions!$I$13</f>
        <v/>
      </c>
      <c r="L17" s="17">
        <f>'Sales Forecast'!L14*Assumptions!$C$13+'Sales Forecast'!K14*Assumptions!$D$13+'Sales Forecast'!J14*Assumptions!$E$13+'Sales Forecast'!I14*Assumptions!$F$13+'Sales Forecast'!H14*Assumptions!$G$13+'Sales Forecast'!G14*Assumptions!$H$13+'Sales Forecast'!F14*Assumptions!$I$13</f>
        <v/>
      </c>
      <c r="M17" s="17">
        <f>'Sales Forecast'!M14*Assumptions!$C$13+'Sales Forecast'!L14*Assumptions!$D$13+'Sales Forecast'!K14*Assumptions!$E$13+'Sales Forecast'!J14*Assumptions!$F$13+'Sales Forecast'!I14*Assumptions!$G$13+'Sales Forecast'!H14*Assumptions!$H$13+'Sales Forecast'!G14*Assumptions!$I$13</f>
        <v/>
      </c>
      <c r="N17" s="17">
        <f>'Sales Forecast'!N14*Assumptions!$C$13+'Sales Forecast'!M14*Assumptions!$D$13+'Sales Forecast'!L14*Assumptions!$E$13+'Sales Forecast'!K14*Assumptions!$F$13+'Sales Forecast'!J14*Assumptions!$G$13+'Sales Forecast'!I14*Assumptions!$H$13+'Sales Forecast'!H14*Assumptions!$I$13</f>
        <v/>
      </c>
      <c r="O17" s="17">
        <f>'Sales Forecast'!O14*Assumptions!$C$13+'Sales Forecast'!N14*Assumptions!$D$13+'Sales Forecast'!M14*Assumptions!$E$13+'Sales Forecast'!L14*Assumptions!$F$13+'Sales Forecast'!K14*Assumptions!$G$13+'Sales Forecast'!J14*Assumptions!$H$13+'Sales Forecast'!I14*Assumptions!$I$13</f>
        <v/>
      </c>
      <c r="P17" s="17">
        <f>'Sales Forecast'!P14*Assumptions!$C$13+'Sales Forecast'!O14*Assumptions!$D$13+'Sales Forecast'!N14*Assumptions!$E$13+'Sales Forecast'!M14*Assumptions!$F$13+'Sales Forecast'!L14*Assumptions!$G$13+'Sales Forecast'!K14*Assumptions!$H$13+'Sales Forecast'!J14*Assumptions!$I$13</f>
        <v/>
      </c>
      <c r="Q17" s="17">
        <f>'Sales Forecast'!Q14*Assumptions!$C$13+'Sales Forecast'!P14*Assumptions!$D$13+'Sales Forecast'!O14*Assumptions!$E$13+'Sales Forecast'!N14*Assumptions!$F$13+'Sales Forecast'!M14*Assumptions!$G$13+'Sales Forecast'!L14*Assumptions!$H$13+'Sales Forecast'!K14*Assumptions!$I$13</f>
        <v/>
      </c>
      <c r="R17" s="17">
        <f>'Sales Forecast'!R14*Assumptions!$C$13+'Sales Forecast'!Q14*Assumptions!$D$13+'Sales Forecast'!P14*Assumptions!$E$13+'Sales Forecast'!O14*Assumptions!$F$13+'Sales Forecast'!N14*Assumptions!$G$13+'Sales Forecast'!M14*Assumptions!$H$13+'Sales Forecast'!L14*Assumptions!$I$13</f>
        <v/>
      </c>
      <c r="S17" s="17">
        <f>'Sales Forecast'!S14*Assumptions!$C$13+'Sales Forecast'!R14*Assumptions!$D$13+'Sales Forecast'!Q14*Assumptions!$E$13+'Sales Forecast'!P14*Assumptions!$F$13+'Sales Forecast'!O14*Assumptions!$G$13+'Sales Forecast'!N14*Assumptions!$H$13+'Sales Forecast'!M14*Assumptions!$I$13</f>
        <v/>
      </c>
      <c r="T17" s="17">
        <f>'Sales Forecast'!T14*Assumptions!$C$13+'Sales Forecast'!S14*Assumptions!$D$13+'Sales Forecast'!R14*Assumptions!$E$13+'Sales Forecast'!Q14*Assumptions!$F$13+'Sales Forecast'!P14*Assumptions!$G$13+'Sales Forecast'!O14*Assumptions!$H$13+'Sales Forecast'!N14*Assumptions!$I$13</f>
        <v/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Forecast'!O14*Assumptions!$I$13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</row>
    <row r="18">
      <c r="B18" s="33" t="inlineStr">
        <is>
          <t xml:space="preserve">  404000 Retail Sales</t>
        </is>
      </c>
      <c r="D18" s="19" t="n">
        <v>1456</v>
      </c>
      <c r="E18" s="19" t="n">
        <v>1250</v>
      </c>
      <c r="F18" s="19" t="n">
        <v>1720</v>
      </c>
      <c r="G18" s="19" t="n">
        <v>1360</v>
      </c>
      <c r="H18" s="88" t="n">
        <v>584</v>
      </c>
      <c r="I18" s="20">
        <f>1446.5</f>
        <v/>
      </c>
      <c r="J18" s="20">
        <f>1446.5</f>
        <v/>
      </c>
      <c r="K18" s="20">
        <f>1446.5</f>
        <v/>
      </c>
      <c r="L18" s="20">
        <f>1446.5</f>
        <v/>
      </c>
      <c r="M18" s="20">
        <f>1446.5</f>
        <v/>
      </c>
      <c r="N18" s="20">
        <f>1446.5</f>
        <v/>
      </c>
      <c r="O18" s="20">
        <f>1446.5</f>
        <v/>
      </c>
      <c r="P18" s="20">
        <f>1446.5</f>
        <v/>
      </c>
      <c r="Q18" s="20">
        <f>1446.5</f>
        <v/>
      </c>
      <c r="R18" s="20">
        <f>1446.5</f>
        <v/>
      </c>
      <c r="S18" s="20">
        <f>1446.5</f>
        <v/>
      </c>
      <c r="T18" s="20">
        <f>1446.5</f>
        <v/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</row>
    <row r="19">
      <c r="B19" s="33" t="inlineStr">
        <is>
          <t xml:space="preserve">  406000 Refunds</t>
        </is>
      </c>
      <c r="D19" s="19" t="n">
        <v>1469</v>
      </c>
      <c r="E19" s="19" t="n">
        <v>245</v>
      </c>
      <c r="F19" s="19" t="n">
        <v>48</v>
      </c>
      <c r="G19" s="19" t="n">
        <v>138</v>
      </c>
      <c r="H19" s="88" t="n">
        <v>380</v>
      </c>
      <c r="I19" s="20">
        <f>('Sales Forecast'!I14*Assumptions!$C$12+'Sales Forecast'!H14*Assumptions!$D$12+'Sales Forecast'!G14*Assumptions!$E$12+'Sales Forecast'!F14*Assumptions!$F$12+'Sales Forecast'!E14*Assumptions!$G$12+'Sales Forecast'!D14*Assumptions!$H$12+'Sales Forecast'!I14*Assumptions!$C$13+'Sales Forecast'!H14*Assumptions!$D$13+'Sales Forecast'!G14*Assumptions!$E$13+'Sales Forecast'!F14*Assumptions!$F$13+'Sales Forecast'!E14*Assumptions!$G$13+'Sales Forecast'!D14*Assumptions!$H$13+1446.5)*Assumptions!$C$17</f>
        <v/>
      </c>
      <c r="J19" s="20">
        <f>('Sales Forecast'!J14*Assumptions!$C$12+'Sales Forecast'!I14*Assumptions!$D$12+'Sales Forecast'!H14*Assumptions!$E$12+'Sales Forecast'!G14*Assumptions!$F$12+'Sales Forecast'!F14*Assumptions!$G$12+'Sales Forecast'!E14*Assumptions!$H$12+'Sales Forecast'!D14*Assumptions!$I$12+'Sales Forecast'!J14*Assumptions!$C$13+'Sales Forecast'!I14*Assumptions!$D$13+'Sales Forecast'!H14*Assumptions!$E$13+'Sales Forecast'!G14*Assumptions!$F$13+'Sales Forecast'!F14*Assumptions!$G$13+'Sales Forecast'!E14*Assumptions!$H$13+'Sales Forecast'!D14*Assumptions!$I$13+1446.5)*Assumptions!$C$17</f>
        <v/>
      </c>
      <c r="K19" s="20">
        <f>('Sales Forecast'!K14*Assumptions!$C$12+'Sales Forecast'!J14*Assumptions!$D$12+'Sales Forecast'!I14*Assumptions!$E$12+'Sales Forecast'!H14*Assumptions!$F$12+'Sales Forecast'!G14*Assumptions!$G$12+'Sales Forecast'!F14*Assumptions!$H$12+'Sales Forecast'!E14*Assumptions!$I$12+'Sales Forecast'!K14*Assumptions!$C$13+'Sales Forecast'!J14*Assumptions!$D$13+'Sales Forecast'!I14*Assumptions!$E$13+'Sales Forecast'!H14*Assumptions!$F$13+'Sales Forecast'!G14*Assumptions!$G$13+'Sales Forecast'!F14*Assumptions!$H$13+'Sales Forecast'!E14*Assumptions!$I$13+1446.5)*Assumptions!$C$17</f>
        <v/>
      </c>
      <c r="L19" s="20">
        <f>('Sales Forecast'!L14*Assumptions!$C$12+'Sales Forecast'!K14*Assumptions!$D$12+'Sales Forecast'!J14*Assumptions!$E$12+'Sales Forecast'!I14*Assumptions!$F$12+'Sales Forecast'!H14*Assumptions!$G$12+'Sales Forecast'!G14*Assumptions!$H$12+'Sales Forecast'!F14*Assumptions!$I$12+'Sales Forecast'!L14*Assumptions!$C$13+'Sales Forecast'!K14*Assumptions!$D$13+'Sales Forecast'!J14*Assumptions!$E$13+'Sales Forecast'!I14*Assumptions!$F$13+'Sales Forecast'!H14*Assumptions!$G$13+'Sales Forecast'!G14*Assumptions!$H$13+'Sales Forecast'!F14*Assumptions!$I$13+1446.5)*Assumptions!$C$17</f>
        <v/>
      </c>
      <c r="M19" s="20">
        <f>('Sales Forecast'!M14*Assumptions!$C$12+'Sales Forecast'!L14*Assumptions!$D$12+'Sales Forecast'!K14*Assumptions!$E$12+'Sales Forecast'!J14*Assumptions!$F$12+'Sales Forecast'!I14*Assumptions!$G$12+'Sales Forecast'!H14*Assumptions!$H$12+'Sales Forecast'!G14*Assumptions!$I$12+'Sales Forecast'!M14*Assumptions!$C$13+'Sales Forecast'!L14*Assumptions!$D$13+'Sales Forecast'!K14*Assumptions!$E$13+'Sales Forecast'!J14*Assumptions!$F$13+'Sales Forecast'!I14*Assumptions!$G$13+'Sales Forecast'!H14*Assumptions!$H$13+'Sales Forecast'!G14*Assumptions!$I$13+1446.5)*Assumptions!$C$17</f>
        <v/>
      </c>
      <c r="N19" s="20">
        <f>('Sales Forecast'!N14*Assumptions!$C$12+'Sales Forecast'!M14*Assumptions!$D$12+'Sales Forecast'!L14*Assumptions!$E$12+'Sales Forecast'!K14*Assumptions!$F$12+'Sales Forecast'!J14*Assumptions!$G$12+'Sales Forecast'!I14*Assumptions!$H$12+'Sales Forecast'!H14*Assumptions!$I$12+'Sales Forecast'!N14*Assumptions!$C$13+'Sales Forecast'!M14*Assumptions!$D$13+'Sales Forecast'!L14*Assumptions!$E$13+'Sales Forecast'!K14*Assumptions!$F$13+'Sales Forecast'!J14*Assumptions!$G$13+'Sales Forecast'!I14*Assumptions!$H$13+'Sales Forecast'!H14*Assumptions!$I$13+1446.5)*Assumptions!$C$17</f>
        <v/>
      </c>
      <c r="O19" s="20">
        <f>('Sales Forecast'!O14*Assumptions!$C$12+'Sales Forecast'!N14*Assumptions!$D$12+'Sales Forecast'!M14*Assumptions!$E$12+'Sales Forecast'!L14*Assumptions!$F$12+'Sales Forecast'!K14*Assumptions!$G$12+'Sales Forecast'!J14*Assumptions!$H$12+'Sales Forecast'!I14*Assumptions!$I$12+'Sales Forecast'!O14*Assumptions!$C$13+'Sales Forecast'!N14*Assumptions!$D$13+'Sales Forecast'!M14*Assumptions!$E$13+'Sales Forecast'!L14*Assumptions!$F$13+'Sales Forecast'!K14*Assumptions!$G$13+'Sales Forecast'!J14*Assumptions!$H$13+'Sales Forecast'!I14*Assumptions!$I$13+1446.5)*Assumptions!$C$17</f>
        <v/>
      </c>
      <c r="P19" s="20">
        <f>('Sales Forecast'!P14*Assumptions!$C$12+'Sales Forecast'!O14*Assumptions!$D$12+'Sales Forecast'!N14*Assumptions!$E$12+'Sales Forecast'!M14*Assumptions!$F$12+'Sales Forecast'!L14*Assumptions!$G$12+'Sales Forecast'!K14*Assumptions!$H$12+'Sales Forecast'!J14*Assumptions!$I$12+'Sales Forecast'!P14*Assumptions!$C$13+'Sales Forecast'!O14*Assumptions!$D$13+'Sales Forecast'!N14*Assumptions!$E$13+'Sales Forecast'!M14*Assumptions!$F$13+'Sales Forecast'!L14*Assumptions!$G$13+'Sales Forecast'!K14*Assumptions!$H$13+'Sales Forecast'!J14*Assumptions!$I$13+1446.5)*Assumptions!$C$17</f>
        <v/>
      </c>
      <c r="Q19" s="20">
        <f>('Sales Forecast'!Q14*Assumptions!$C$12+'Sales Forecast'!P14*Assumptions!$D$12+'Sales Forecast'!O14*Assumptions!$E$12+'Sales Forecast'!N14*Assumptions!$F$12+'Sales Forecast'!M14*Assumptions!$G$12+'Sales Forecast'!L14*Assumptions!$H$12+'Sales Forecast'!K14*Assumptions!$I$12+'Sales Forecast'!Q14*Assumptions!$C$13+'Sales Forecast'!P14*Assumptions!$D$13+'Sales Forecast'!O14*Assumptions!$E$13+'Sales Forecast'!N14*Assumptions!$F$13+'Sales Forecast'!M14*Assumptions!$G$13+'Sales Forecast'!L14*Assumptions!$H$13+'Sales Forecast'!K14*Assumptions!$I$13+1446.5)*Assumptions!$C$17</f>
        <v/>
      </c>
      <c r="R19" s="20">
        <f>('Sales Forecast'!R14*Assumptions!$C$12+'Sales Forecast'!Q14*Assumptions!$D$12+'Sales Forecast'!P14*Assumptions!$E$12+'Sales Forecast'!O14*Assumptions!$F$12+'Sales Forecast'!N14*Assumptions!$G$12+'Sales Forecast'!M14*Assumptions!$H$12+'Sales Forecast'!L14*Assumptions!$I$12+'Sales Forecast'!R14*Assumptions!$C$13+'Sales Forecast'!Q14*Assumptions!$D$13+'Sales Forecast'!P14*Assumptions!$E$13+'Sales Forecast'!O14*Assumptions!$F$13+'Sales Forecast'!N14*Assumptions!$G$13+'Sales Forecast'!M14*Assumptions!$H$13+'Sales Forecast'!L14*Assumptions!$I$13+1446.5)*Assumptions!$C$17</f>
        <v/>
      </c>
      <c r="S19" s="20">
        <f>('Sales Forecast'!S14*Assumptions!$C$12+'Sales Forecast'!R14*Assumptions!$D$12+'Sales Forecast'!Q14*Assumptions!$E$12+'Sales Forecast'!P14*Assumptions!$F$12+'Sales Forecast'!O14*Assumptions!$G$12+'Sales Forecast'!N14*Assumptions!$H$12+'Sales Forecast'!M14*Assumptions!$I$12+'Sales Forecast'!S14*Assumptions!$C$13+'Sales Forecast'!R14*Assumptions!$D$13+'Sales Forecast'!Q14*Assumptions!$E$13+'Sales Forecast'!P14*Assumptions!$F$13+'Sales Forecast'!O14*Assumptions!$G$13+'Sales Forecast'!N14*Assumptions!$H$13+'Sales Forecast'!M14*Assumptions!$I$13+1446.5)*Assumptions!$C$17</f>
        <v/>
      </c>
      <c r="T19" s="20">
        <f>('Sales Forecast'!T14*Assumptions!$C$12+'Sales Forecast'!S14*Assumptions!$D$12+'Sales Forecast'!R14*Assumptions!$E$12+'Sales Forecast'!Q14*Assumptions!$F$12+'Sales Forecast'!P14*Assumptions!$G$12+'Sales Forecast'!O14*Assumptions!$H$12+'Sales Forecast'!N14*Assumptions!$I$12+'Sales Forecast'!T14*Assumptions!$C$13+'Sales Forecast'!S14*Assumptions!$D$13+'Sales Forecast'!R14*Assumptions!$E$13+'Sales Forecast'!Q14*Assumptions!$F$13+'Sales Forecast'!P14*Assumptions!$G$13+'Sales Forecast'!O14*Assumptions!$H$13+'Sales Forecast'!N14*Assumptions!$I$13+1446.5)*Assumptions!$C$17</f>
        <v/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Forecast'!O14*Assumptions!$I$12+'Sales Forecast'!U14*Assumptions!$C$13+'Sales Forecast'!T14*Assumptions!$D$13+'Sales Forecast'!S14*Assumptions!$E$13+'Sales Forecast'!R14*Assumptions!$F$13+'Sales Forecast'!Q14*Assumptions!$G$13+'Sales Forecast'!P14*Assumptions!$H$13+'Sales Forecast'!O14*Assumptions!$I$13+1446.5)*Assumptions!$C$17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</row>
    <row r="20">
      <c r="B20" s="33" t="inlineStr">
        <is>
          <t xml:space="preserve">  407000 Discounts</t>
        </is>
      </c>
      <c r="D20" s="19" t="n">
        <v>6462.55</v>
      </c>
      <c r="E20" s="19" t="n">
        <v>8101.95</v>
      </c>
      <c r="F20" s="19" t="n">
        <v>6100.2</v>
      </c>
      <c r="G20" s="19" t="n">
        <v>2115.4</v>
      </c>
      <c r="H20" s="88" t="n">
        <v>1832.8</v>
      </c>
      <c r="I20" s="20">
        <f>('Sales Forecast'!I14*Assumptions!$C$12+'Sales Forecast'!H14*Assumptions!$D$12+'Sales Forecast'!G14*Assumptions!$E$12+'Sales Forecast'!F14*Assumptions!$F$12+'Sales Forecast'!E14*Assumptions!$G$12+'Sales Forecast'!D14*Assumptions!$H$12+'Sales Forecast'!I14*Assumptions!$C$13+'Sales Forecast'!H14*Assumptions!$D$13+'Sales Forecast'!G14*Assumptions!$E$13+'Sales Forecast'!F14*Assumptions!$F$13+'Sales Forecast'!E14*Assumptions!$G$13+'Sales Forecast'!D14*Assumptions!$H$13+1446.5)*Assumptions!$C$18</f>
        <v/>
      </c>
      <c r="J20" s="20">
        <f>('Sales Forecast'!J14*Assumptions!$C$12+'Sales Forecast'!I14*Assumptions!$D$12+'Sales Forecast'!H14*Assumptions!$E$12+'Sales Forecast'!G14*Assumptions!$F$12+'Sales Forecast'!F14*Assumptions!$G$12+'Sales Forecast'!E14*Assumptions!$H$12+'Sales Forecast'!D14*Assumptions!$I$12+'Sales Forecast'!J14*Assumptions!$C$13+'Sales Forecast'!I14*Assumptions!$D$13+'Sales Forecast'!H14*Assumptions!$E$13+'Sales Forecast'!G14*Assumptions!$F$13+'Sales Forecast'!F14*Assumptions!$G$13+'Sales Forecast'!E14*Assumptions!$H$13+'Sales Forecast'!D14*Assumptions!$I$13+1446.5)*Assumptions!$C$18</f>
        <v/>
      </c>
      <c r="K20" s="20">
        <f>('Sales Forecast'!K14*Assumptions!$C$12+'Sales Forecast'!J14*Assumptions!$D$12+'Sales Forecast'!I14*Assumptions!$E$12+'Sales Forecast'!H14*Assumptions!$F$12+'Sales Forecast'!G14*Assumptions!$G$12+'Sales Forecast'!F14*Assumptions!$H$12+'Sales Forecast'!E14*Assumptions!$I$12+'Sales Forecast'!K14*Assumptions!$C$13+'Sales Forecast'!J14*Assumptions!$D$13+'Sales Forecast'!I14*Assumptions!$E$13+'Sales Forecast'!H14*Assumptions!$F$13+'Sales Forecast'!G14*Assumptions!$G$13+'Sales Forecast'!F14*Assumptions!$H$13+'Sales Forecast'!E14*Assumptions!$I$13+1446.5)*Assumptions!$C$18</f>
        <v/>
      </c>
      <c r="L20" s="20">
        <f>('Sales Forecast'!L14*Assumptions!$C$12+'Sales Forecast'!K14*Assumptions!$D$12+'Sales Forecast'!J14*Assumptions!$E$12+'Sales Forecast'!I14*Assumptions!$F$12+'Sales Forecast'!H14*Assumptions!$G$12+'Sales Forecast'!G14*Assumptions!$H$12+'Sales Forecast'!F14*Assumptions!$I$12+'Sales Forecast'!L14*Assumptions!$C$13+'Sales Forecast'!K14*Assumptions!$D$13+'Sales Forecast'!J14*Assumptions!$E$13+'Sales Forecast'!I14*Assumptions!$F$13+'Sales Forecast'!H14*Assumptions!$G$13+'Sales Forecast'!G14*Assumptions!$H$13+'Sales Forecast'!F14*Assumptions!$I$13+1446.5)*Assumptions!$C$18</f>
        <v/>
      </c>
      <c r="M20" s="20">
        <f>('Sales Forecast'!M14*Assumptions!$C$12+'Sales Forecast'!L14*Assumptions!$D$12+'Sales Forecast'!K14*Assumptions!$E$12+'Sales Forecast'!J14*Assumptions!$F$12+'Sales Forecast'!I14*Assumptions!$G$12+'Sales Forecast'!H14*Assumptions!$H$12+'Sales Forecast'!G14*Assumptions!$I$12+'Sales Forecast'!M14*Assumptions!$C$13+'Sales Forecast'!L14*Assumptions!$D$13+'Sales Forecast'!K14*Assumptions!$E$13+'Sales Forecast'!J14*Assumptions!$F$13+'Sales Forecast'!I14*Assumptions!$G$13+'Sales Forecast'!H14*Assumptions!$H$13+'Sales Forecast'!G14*Assumptions!$I$13+1446.5)*Assumptions!$C$18</f>
        <v/>
      </c>
      <c r="N20" s="20">
        <f>('Sales Forecast'!N14*Assumptions!$C$12+'Sales Forecast'!M14*Assumptions!$D$12+'Sales Forecast'!L14*Assumptions!$E$12+'Sales Forecast'!K14*Assumptions!$F$12+'Sales Forecast'!J14*Assumptions!$G$12+'Sales Forecast'!I14*Assumptions!$H$12+'Sales Forecast'!H14*Assumptions!$I$12+'Sales Forecast'!N14*Assumptions!$C$13+'Sales Forecast'!M14*Assumptions!$D$13+'Sales Forecast'!L14*Assumptions!$E$13+'Sales Forecast'!K14*Assumptions!$F$13+'Sales Forecast'!J14*Assumptions!$G$13+'Sales Forecast'!I14*Assumptions!$H$13+'Sales Forecast'!H14*Assumptions!$I$13+1446.5)*Assumptions!$C$18</f>
        <v/>
      </c>
      <c r="O20" s="20">
        <f>('Sales Forecast'!O14*Assumptions!$C$12+'Sales Forecast'!N14*Assumptions!$D$12+'Sales Forecast'!M14*Assumptions!$E$12+'Sales Forecast'!L14*Assumptions!$F$12+'Sales Forecast'!K14*Assumptions!$G$12+'Sales Forecast'!J14*Assumptions!$H$12+'Sales Forecast'!I14*Assumptions!$I$12+'Sales Forecast'!O14*Assumptions!$C$13+'Sales Forecast'!N14*Assumptions!$D$13+'Sales Forecast'!M14*Assumptions!$E$13+'Sales Forecast'!L14*Assumptions!$F$13+'Sales Forecast'!K14*Assumptions!$G$13+'Sales Forecast'!J14*Assumptions!$H$13+'Sales Forecast'!I14*Assumptions!$I$13+1446.5)*Assumptions!$C$18</f>
        <v/>
      </c>
      <c r="P20" s="20">
        <f>('Sales Forecast'!P14*Assumptions!$C$12+'Sales Forecast'!O14*Assumptions!$D$12+'Sales Forecast'!N14*Assumptions!$E$12+'Sales Forecast'!M14*Assumptions!$F$12+'Sales Forecast'!L14*Assumptions!$G$12+'Sales Forecast'!K14*Assumptions!$H$12+'Sales Forecast'!J14*Assumptions!$I$12+'Sales Forecast'!P14*Assumptions!$C$13+'Sales Forecast'!O14*Assumptions!$D$13+'Sales Forecast'!N14*Assumptions!$E$13+'Sales Forecast'!M14*Assumptions!$F$13+'Sales Forecast'!L14*Assumptions!$G$13+'Sales Forecast'!K14*Assumptions!$H$13+'Sales Forecast'!J14*Assumptions!$I$13+1446.5)*Assumptions!$C$18</f>
        <v/>
      </c>
      <c r="Q20" s="20">
        <f>('Sales Forecast'!Q14*Assumptions!$C$12+'Sales Forecast'!P14*Assumptions!$D$12+'Sales Forecast'!O14*Assumptions!$E$12+'Sales Forecast'!N14*Assumptions!$F$12+'Sales Forecast'!M14*Assumptions!$G$12+'Sales Forecast'!L14*Assumptions!$H$12+'Sales Forecast'!K14*Assumptions!$I$12+'Sales Forecast'!Q14*Assumptions!$C$13+'Sales Forecast'!P14*Assumptions!$D$13+'Sales Forecast'!O14*Assumptions!$E$13+'Sales Forecast'!N14*Assumptions!$F$13+'Sales Forecast'!M14*Assumptions!$G$13+'Sales Forecast'!L14*Assumptions!$H$13+'Sales Forecast'!K14*Assumptions!$I$13+1446.5)*Assumptions!$C$18</f>
        <v/>
      </c>
      <c r="R20" s="20">
        <f>('Sales Forecast'!R14*Assumptions!$C$12+'Sales Forecast'!Q14*Assumptions!$D$12+'Sales Forecast'!P14*Assumptions!$E$12+'Sales Forecast'!O14*Assumptions!$F$12+'Sales Forecast'!N14*Assumptions!$G$12+'Sales Forecast'!M14*Assumptions!$H$12+'Sales Forecast'!L14*Assumptions!$I$12+'Sales Forecast'!R14*Assumptions!$C$13+'Sales Forecast'!Q14*Assumptions!$D$13+'Sales Forecast'!P14*Assumptions!$E$13+'Sales Forecast'!O14*Assumptions!$F$13+'Sales Forecast'!N14*Assumptions!$G$13+'Sales Forecast'!M14*Assumptions!$H$13+'Sales Forecast'!L14*Assumptions!$I$13+1446.5)*Assumptions!$C$18</f>
        <v/>
      </c>
      <c r="S20" s="20">
        <f>('Sales Forecast'!S14*Assumptions!$C$12+'Sales Forecast'!R14*Assumptions!$D$12+'Sales Forecast'!Q14*Assumptions!$E$12+'Sales Forecast'!P14*Assumptions!$F$12+'Sales Forecast'!O14*Assumptions!$G$12+'Sales Forecast'!N14*Assumptions!$H$12+'Sales Forecast'!M14*Assumptions!$I$12+'Sales Forecast'!S14*Assumptions!$C$13+'Sales Forecast'!R14*Assumptions!$D$13+'Sales Forecast'!Q14*Assumptions!$E$13+'Sales Forecast'!P14*Assumptions!$F$13+'Sales Forecast'!O14*Assumptions!$G$13+'Sales Forecast'!N14*Assumptions!$H$13+'Sales Forecast'!M14*Assumptions!$I$13+1446.5)*Assumptions!$C$18</f>
        <v/>
      </c>
      <c r="T20" s="20">
        <f>('Sales Forecast'!T14*Assumptions!$C$12+'Sales Forecast'!S14*Assumptions!$D$12+'Sales Forecast'!R14*Assumptions!$E$12+'Sales Forecast'!Q14*Assumptions!$F$12+'Sales Forecast'!P14*Assumptions!$G$12+'Sales Forecast'!O14*Assumptions!$H$12+'Sales Forecast'!N14*Assumptions!$I$12+'Sales Forecast'!T14*Assumptions!$C$13+'Sales Forecast'!S14*Assumptions!$D$13+'Sales Forecast'!R14*Assumptions!$E$13+'Sales Forecast'!Q14*Assumptions!$F$13+'Sales Forecast'!P14*Assumptions!$G$13+'Sales Forecast'!O14*Assumptions!$H$13+'Sales Forecast'!N14*Assumptions!$I$13+1446.5)*Assumptions!$C$18</f>
        <v/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Forecast'!O14*Assumptions!$I$12+'Sales Forecast'!U14*Assumptions!$C$13+'Sales Forecast'!T14*Assumptions!$D$13+'Sales Forecast'!S14*Assumptions!$E$13+'Sales Forecast'!R14*Assumptions!$F$13+'Sales Forecast'!Q14*Assumptions!$G$13+'Sales Forecast'!P14*Assumptions!$H$13+'Sales Forecast'!O14*Assumptions!$I$13+1446.5)*Assumptions!$C$18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19056.33</v>
      </c>
      <c r="E21" s="35" t="n">
        <v>29455.99</v>
      </c>
      <c r="F21" s="35" t="n">
        <v>29407.68</v>
      </c>
      <c r="G21" s="35" t="n">
        <v>22814.4</v>
      </c>
      <c r="H21" s="89" t="n">
        <v>20381.84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721</v>
      </c>
      <c r="E23" s="19" t="n">
        <v>618.5</v>
      </c>
      <c r="F23" s="19" t="n">
        <v>804.6</v>
      </c>
      <c r="G23" s="19" t="n">
        <v>534</v>
      </c>
      <c r="H23" s="88" t="n">
        <v>231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974.92</v>
      </c>
      <c r="E24" s="19" t="n">
        <v>918.61</v>
      </c>
      <c r="F24" s="19" t="n">
        <v>835.42</v>
      </c>
      <c r="G24" s="19" t="n">
        <v>624.9</v>
      </c>
      <c r="H24" s="88" t="n">
        <v>642.11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1695.92</v>
      </c>
      <c r="E25" s="35" t="n">
        <v>1537.11</v>
      </c>
      <c r="F25" s="35" t="n">
        <v>1640.02</v>
      </c>
      <c r="G25" s="35" t="n">
        <v>1158.9</v>
      </c>
      <c r="H25" s="89" t="n">
        <v>873.11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17360.41</v>
      </c>
      <c r="E26" s="35" t="n">
        <v>27918.88</v>
      </c>
      <c r="F26" s="35" t="n">
        <v>27767.66</v>
      </c>
      <c r="G26" s="35" t="n">
        <v>21655.5</v>
      </c>
      <c r="H26" s="89" t="n">
        <v>19508.73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1365.2</v>
      </c>
      <c r="E28" s="19" t="n">
        <v>3887.88</v>
      </c>
      <c r="F28" s="19" t="n">
        <v>2654.39</v>
      </c>
      <c r="G28" s="19" t="n">
        <v>755.11</v>
      </c>
      <c r="H28" s="88" t="n">
        <v>747.45</v>
      </c>
      <c r="I28" s="20" t="n">
        <v>690.58</v>
      </c>
      <c r="J28" s="20" t="n">
        <v>690.58</v>
      </c>
      <c r="K28" s="20" t="n">
        <v>690.58</v>
      </c>
      <c r="L28" s="20" t="n">
        <v>690.58</v>
      </c>
      <c r="M28" s="20" t="n">
        <v>690.58</v>
      </c>
      <c r="N28" s="20" t="n">
        <v>690.58</v>
      </c>
      <c r="O28" s="20" t="n">
        <v>690.58</v>
      </c>
      <c r="P28" s="20" t="n">
        <v>690.58</v>
      </c>
      <c r="Q28" s="20" t="n">
        <v>690.58</v>
      </c>
      <c r="R28" s="20" t="n">
        <v>690.58</v>
      </c>
      <c r="S28" s="20" t="n">
        <v>690.58</v>
      </c>
      <c r="T28" s="20" t="n">
        <v>690.58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</row>
    <row r="29">
      <c r="B29" s="33" t="inlineStr">
        <is>
          <t xml:space="preserve">  601005 Content Creation</t>
        </is>
      </c>
      <c r="D29" s="19" t="n">
        <v>750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59.79</v>
      </c>
      <c r="J29" s="20" t="n">
        <v>59.79</v>
      </c>
      <c r="K29" s="20" t="n">
        <v>59.79</v>
      </c>
      <c r="L29" s="20" t="n">
        <v>59.79</v>
      </c>
      <c r="M29" s="20" t="n">
        <v>59.79</v>
      </c>
      <c r="N29" s="20" t="n">
        <v>59.79</v>
      </c>
      <c r="O29" s="20" t="n">
        <v>59.79</v>
      </c>
      <c r="P29" s="20" t="n">
        <v>59.79</v>
      </c>
      <c r="Q29" s="20" t="n">
        <v>59.79</v>
      </c>
      <c r="R29" s="20" t="n">
        <v>59.79</v>
      </c>
      <c r="S29" s="20" t="n">
        <v>59.79</v>
      </c>
      <c r="T29" s="20" t="n">
        <v>59.79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300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23.92</v>
      </c>
      <c r="J31" s="20" t="n">
        <v>23.92</v>
      </c>
      <c r="K31" s="20" t="n">
        <v>23.92</v>
      </c>
      <c r="L31" s="20" t="n">
        <v>23.92</v>
      </c>
      <c r="M31" s="20" t="n">
        <v>23.92</v>
      </c>
      <c r="N31" s="20" t="n">
        <v>23.92</v>
      </c>
      <c r="O31" s="20" t="n">
        <v>23.92</v>
      </c>
      <c r="P31" s="20" t="n">
        <v>23.92</v>
      </c>
      <c r="Q31" s="20" t="n">
        <v>23.92</v>
      </c>
      <c r="R31" s="20" t="n">
        <v>23.92</v>
      </c>
      <c r="S31" s="20" t="n">
        <v>23.92</v>
      </c>
      <c r="T31" s="20" t="n">
        <v>23.92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2415.2</v>
      </c>
      <c r="E33" s="35" t="n">
        <v>3887.88</v>
      </c>
      <c r="F33" s="35" t="n">
        <v>2654.39</v>
      </c>
      <c r="G33" s="35" t="n">
        <v>755.11</v>
      </c>
      <c r="H33" s="89" t="n">
        <v>747.45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32789.54</v>
      </c>
      <c r="E34" s="19" t="n">
        <v>30558.34</v>
      </c>
      <c r="F34" s="19" t="n">
        <v>30964.98</v>
      </c>
      <c r="G34" s="19" t="n">
        <v>24974.97</v>
      </c>
      <c r="H34" s="88" t="n">
        <v>23394.28</v>
      </c>
      <c r="I34" s="20" t="n">
        <v>26939.12</v>
      </c>
      <c r="J34" s="20" t="n">
        <v>26938.33</v>
      </c>
      <c r="K34" s="20" t="n">
        <v>28655.44</v>
      </c>
      <c r="L34" s="20" t="n">
        <v>31567.44</v>
      </c>
      <c r="M34" s="20" t="n">
        <v>31573.01</v>
      </c>
      <c r="N34" s="20" t="n">
        <v>31574.24</v>
      </c>
      <c r="O34" s="20" t="n">
        <v>31574.31</v>
      </c>
      <c r="P34" s="20" t="n">
        <v>31600.24</v>
      </c>
      <c r="Q34" s="20" t="n">
        <v>31631.98</v>
      </c>
      <c r="R34" s="20" t="n">
        <v>31600.93</v>
      </c>
      <c r="S34" s="20" t="n">
        <v>31592.49</v>
      </c>
      <c r="T34" s="20" t="n">
        <v>31619.27</v>
      </c>
      <c r="U34" s="20" t="n">
        <v>31596.97</v>
      </c>
      <c r="V34" s="20" t="n">
        <v>31633.34</v>
      </c>
      <c r="W34" s="20" t="n">
        <v>31657.54</v>
      </c>
      <c r="X34" s="20" t="n">
        <v>31721.92</v>
      </c>
      <c r="Y34" s="20" t="n">
        <v>31701.09</v>
      </c>
      <c r="Z34" s="20" t="n">
        <v>31684.72</v>
      </c>
      <c r="AA34" s="20" t="n">
        <v>31678.11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</row>
    <row r="35">
      <c r="B35" s="33" t="inlineStr">
        <is>
          <t xml:space="preserve">  602004 Payroll Taxes</t>
        </is>
      </c>
      <c r="D35" s="19" t="n">
        <v>3958.59</v>
      </c>
      <c r="E35" s="19" t="n">
        <v>2967.23</v>
      </c>
      <c r="F35" s="19" t="n">
        <v>2860.22</v>
      </c>
      <c r="G35" s="19" t="n">
        <v>2350.35</v>
      </c>
      <c r="H35" s="88" t="n">
        <v>2119.74</v>
      </c>
      <c r="I35" s="20" t="n">
        <v>2740.8</v>
      </c>
      <c r="J35" s="20" t="n">
        <v>2740.72</v>
      </c>
      <c r="K35" s="20" t="n">
        <v>2915.42</v>
      </c>
      <c r="L35" s="20" t="n">
        <v>3211.68</v>
      </c>
      <c r="M35" s="20" t="n">
        <v>3212.25</v>
      </c>
      <c r="N35" s="20" t="n">
        <v>3212.38</v>
      </c>
      <c r="O35" s="20" t="n">
        <v>3212.38</v>
      </c>
      <c r="P35" s="20" t="n">
        <v>3215.02</v>
      </c>
      <c r="Q35" s="20" t="n">
        <v>3218.25</v>
      </c>
      <c r="R35" s="20" t="n">
        <v>3215.09</v>
      </c>
      <c r="S35" s="20" t="n">
        <v>3214.23</v>
      </c>
      <c r="T35" s="20" t="n">
        <v>3216.96</v>
      </c>
      <c r="U35" s="20" t="n">
        <v>3214.69</v>
      </c>
      <c r="V35" s="20" t="n">
        <v>3218.39</v>
      </c>
      <c r="W35" s="20" t="n">
        <v>3220.85</v>
      </c>
      <c r="X35" s="20" t="n">
        <v>3227.4</v>
      </c>
      <c r="Y35" s="20" t="n">
        <v>3225.28</v>
      </c>
      <c r="Z35" s="20" t="n">
        <v>3223.62</v>
      </c>
      <c r="AA35" s="20" t="n">
        <v>3222.94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</row>
    <row r="36">
      <c r="B36" s="33" t="inlineStr">
        <is>
          <t xml:space="preserve">  602005 Employee Benefits</t>
        </is>
      </c>
      <c r="D36" s="19" t="n">
        <v>523.51</v>
      </c>
      <c r="E36" s="19" t="n">
        <v>649.0599999999999</v>
      </c>
      <c r="F36" s="19" t="n">
        <v>907.4</v>
      </c>
      <c r="G36" s="19" t="n">
        <v>516.79</v>
      </c>
      <c r="H36" s="88" t="n">
        <v>504.56</v>
      </c>
      <c r="I36" s="20" t="n">
        <v>586.4299999999999</v>
      </c>
      <c r="J36" s="20" t="n">
        <v>586.42</v>
      </c>
      <c r="K36" s="20" t="n">
        <v>623.8</v>
      </c>
      <c r="L36" s="20" t="n">
        <v>687.1900000000001</v>
      </c>
      <c r="M36" s="20" t="n">
        <v>687.3099999999999</v>
      </c>
      <c r="N36" s="20" t="n">
        <v>687.34</v>
      </c>
      <c r="O36" s="20" t="n">
        <v>687.34</v>
      </c>
      <c r="P36" s="20" t="n">
        <v>687.9</v>
      </c>
      <c r="Q36" s="20" t="n">
        <v>688.59</v>
      </c>
      <c r="R36" s="20" t="n">
        <v>687.92</v>
      </c>
      <c r="S36" s="20" t="n">
        <v>687.73</v>
      </c>
      <c r="T36" s="20" t="n">
        <v>688.3200000000001</v>
      </c>
      <c r="U36" s="20" t="n">
        <v>687.83</v>
      </c>
      <c r="V36" s="20" t="n">
        <v>688.62</v>
      </c>
      <c r="W36" s="20" t="n">
        <v>689.15</v>
      </c>
      <c r="X36" s="20" t="n">
        <v>690.55</v>
      </c>
      <c r="Y36" s="20" t="n">
        <v>690.1</v>
      </c>
      <c r="Z36" s="20" t="n">
        <v>689.74</v>
      </c>
      <c r="AA36" s="20" t="n">
        <v>689.6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</row>
    <row r="37">
      <c r="B37" s="33" t="inlineStr">
        <is>
          <t xml:space="preserve">  602010 Payroll Processing Fees</t>
        </is>
      </c>
      <c r="D37" s="19" t="n">
        <v>1034.66</v>
      </c>
      <c r="E37" s="19" t="n">
        <v>1463.27</v>
      </c>
      <c r="F37" s="19" t="n">
        <v>2103.33</v>
      </c>
      <c r="G37" s="19" t="n">
        <v>1159.5</v>
      </c>
      <c r="H37" s="88" t="n">
        <v>1083.97</v>
      </c>
      <c r="I37" s="20" t="n">
        <v>1300.97</v>
      </c>
      <c r="J37" s="20" t="n">
        <v>1300.93</v>
      </c>
      <c r="K37" s="20" t="n">
        <v>1383.86</v>
      </c>
      <c r="L37" s="20" t="n">
        <v>1524.48</v>
      </c>
      <c r="M37" s="20" t="n">
        <v>1524.75</v>
      </c>
      <c r="N37" s="20" t="n">
        <v>1524.81</v>
      </c>
      <c r="O37" s="20" t="n">
        <v>1524.82</v>
      </c>
      <c r="P37" s="20" t="n">
        <v>1526.07</v>
      </c>
      <c r="Q37" s="20" t="n">
        <v>1527.6</v>
      </c>
      <c r="R37" s="20" t="n">
        <v>1526.1</v>
      </c>
      <c r="S37" s="20" t="n">
        <v>1525.69</v>
      </c>
      <c r="T37" s="20" t="n">
        <v>1526.99</v>
      </c>
      <c r="U37" s="20" t="n">
        <v>1525.91</v>
      </c>
      <c r="V37" s="20" t="n">
        <v>1527.67</v>
      </c>
      <c r="W37" s="20" t="n">
        <v>1528.84</v>
      </c>
      <c r="X37" s="20" t="n">
        <v>1531.94</v>
      </c>
      <c r="Y37" s="20" t="n">
        <v>1530.94</v>
      </c>
      <c r="Z37" s="20" t="n">
        <v>1530.15</v>
      </c>
      <c r="AA37" s="20" t="n">
        <v>1529.83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</row>
    <row r="38">
      <c r="B38" s="32" t="inlineStr">
        <is>
          <t>Total Payroll</t>
        </is>
      </c>
      <c r="C38" s="34" t="n"/>
      <c r="D38" s="35" t="n">
        <v>38306.30000000001</v>
      </c>
      <c r="E38" s="35" t="n">
        <v>35637.89999999999</v>
      </c>
      <c r="F38" s="35" t="n">
        <v>36835.93</v>
      </c>
      <c r="G38" s="35" t="n">
        <v>29001.61</v>
      </c>
      <c r="H38" s="89" t="n">
        <v>27102.55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1141.69</v>
      </c>
      <c r="E39" s="19" t="n">
        <v>1211.45</v>
      </c>
      <c r="F39" s="19" t="n">
        <v>723.09</v>
      </c>
      <c r="G39" s="19" t="n">
        <v>828.26</v>
      </c>
      <c r="H39" s="88" t="n">
        <v>778.27</v>
      </c>
      <c r="I39" s="20" t="n">
        <v>890.17</v>
      </c>
      <c r="J39" s="20" t="n">
        <v>890.17</v>
      </c>
      <c r="K39" s="20" t="n">
        <v>890.17</v>
      </c>
      <c r="L39" s="20" t="n">
        <v>890.17</v>
      </c>
      <c r="M39" s="20" t="n">
        <v>890.17</v>
      </c>
      <c r="N39" s="20" t="n">
        <v>890.17</v>
      </c>
      <c r="O39" s="20" t="n">
        <v>890.17</v>
      </c>
      <c r="P39" s="20" t="n">
        <v>890.17</v>
      </c>
      <c r="Q39" s="20" t="n">
        <v>890.17</v>
      </c>
      <c r="R39" s="20" t="n">
        <v>890.17</v>
      </c>
      <c r="S39" s="20" t="n">
        <v>890.17</v>
      </c>
      <c r="T39" s="20" t="n">
        <v>890.17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</row>
    <row r="40">
      <c r="B40" s="33" t="inlineStr">
        <is>
          <t xml:space="preserve">  608000 Insurance</t>
        </is>
      </c>
      <c r="D40" s="19" t="n">
        <v>134.02</v>
      </c>
      <c r="E40" s="19" t="n">
        <v>134.02</v>
      </c>
      <c r="F40" s="19" t="n">
        <v>326.81</v>
      </c>
      <c r="G40" s="19" t="n">
        <v>326.81</v>
      </c>
      <c r="H40" s="88" t="n">
        <v>314.19</v>
      </c>
      <c r="I40" s="20" t="n">
        <v>210.13</v>
      </c>
      <c r="J40" s="20" t="n">
        <v>210.13</v>
      </c>
      <c r="K40" s="20" t="n">
        <v>210.13</v>
      </c>
      <c r="L40" s="20" t="n">
        <v>210.13</v>
      </c>
      <c r="M40" s="20" t="n">
        <v>210.13</v>
      </c>
      <c r="N40" s="20" t="n">
        <v>210.13</v>
      </c>
      <c r="O40" s="20" t="n">
        <v>210.13</v>
      </c>
      <c r="P40" s="20" t="n">
        <v>210.13</v>
      </c>
      <c r="Q40" s="20" t="n">
        <v>210.13</v>
      </c>
      <c r="R40" s="20" t="n">
        <v>210.13</v>
      </c>
      <c r="S40" s="20" t="n">
        <v>210.13</v>
      </c>
      <c r="T40" s="20" t="n">
        <v>210.13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</row>
    <row r="41">
      <c r="B41" s="33" t="inlineStr">
        <is>
          <t xml:space="preserve">  610000 Office Supplies</t>
        </is>
      </c>
      <c r="D41" s="19" t="n">
        <v>161.87</v>
      </c>
      <c r="E41" s="19" t="n">
        <v>333.41</v>
      </c>
      <c r="F41" s="19" t="n">
        <v>764.42</v>
      </c>
      <c r="G41" s="19" t="n">
        <v>291.4</v>
      </c>
      <c r="H41" s="88" t="n">
        <v>0</v>
      </c>
      <c r="I41" s="20" t="n">
        <v>353.63</v>
      </c>
      <c r="J41" s="20" t="n">
        <v>353.63</v>
      </c>
      <c r="K41" s="20" t="n">
        <v>353.63</v>
      </c>
      <c r="L41" s="20" t="n">
        <v>353.63</v>
      </c>
      <c r="M41" s="20" t="n">
        <v>353.63</v>
      </c>
      <c r="N41" s="20" t="n">
        <v>353.63</v>
      </c>
      <c r="O41" s="20" t="n">
        <v>353.63</v>
      </c>
      <c r="P41" s="20" t="n">
        <v>353.63</v>
      </c>
      <c r="Q41" s="20" t="n">
        <v>353.63</v>
      </c>
      <c r="R41" s="20" t="n">
        <v>353.63</v>
      </c>
      <c r="S41" s="20" t="n">
        <v>353.63</v>
      </c>
      <c r="T41" s="20" t="n">
        <v>353.63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880</v>
      </c>
      <c r="G44" s="19" t="n">
        <v>2430</v>
      </c>
      <c r="H44" s="88" t="n">
        <v>1116.82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1396</v>
      </c>
      <c r="G47" s="35" t="n">
        <v>2946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2017.14</v>
      </c>
      <c r="E48" s="19" t="n">
        <v>1196.68</v>
      </c>
      <c r="F48" s="19" t="n">
        <v>1471.1</v>
      </c>
      <c r="G48" s="19" t="n">
        <v>0</v>
      </c>
      <c r="H48" s="88" t="n">
        <v>0</v>
      </c>
      <c r="I48" s="20" t="n">
        <v>341.01</v>
      </c>
      <c r="J48" s="20" t="n">
        <v>752.95</v>
      </c>
      <c r="K48" s="20" t="n">
        <v>341.01</v>
      </c>
      <c r="L48" s="20" t="n">
        <v>752.95</v>
      </c>
      <c r="M48" s="20" t="n">
        <v>341.01</v>
      </c>
      <c r="N48" s="20" t="n">
        <v>752.95</v>
      </c>
      <c r="O48" s="20" t="n">
        <v>341.01</v>
      </c>
      <c r="P48" s="20" t="n">
        <v>752.95</v>
      </c>
      <c r="Q48" s="20" t="n">
        <v>341.01</v>
      </c>
      <c r="R48" s="20" t="n">
        <v>752.95</v>
      </c>
      <c r="S48" s="20" t="n">
        <v>341.01</v>
      </c>
      <c r="T48" s="20" t="n">
        <v>752.95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</row>
    <row r="49">
      <c r="B49" s="33" t="inlineStr">
        <is>
          <t xml:space="preserve">  606000 Meals</t>
        </is>
      </c>
      <c r="D49" s="19" t="n">
        <v>413.91</v>
      </c>
      <c r="E49" s="19" t="n">
        <v>274.07</v>
      </c>
      <c r="F49" s="19" t="n">
        <v>241.42</v>
      </c>
      <c r="G49" s="19" t="n">
        <v>72.06999999999999</v>
      </c>
      <c r="H49" s="88" t="n">
        <v>54.57</v>
      </c>
      <c r="I49" s="20" t="n">
        <v>72.90000000000001</v>
      </c>
      <c r="J49" s="20" t="n">
        <v>160.96</v>
      </c>
      <c r="K49" s="20" t="n">
        <v>72.90000000000001</v>
      </c>
      <c r="L49" s="20" t="n">
        <v>160.96</v>
      </c>
      <c r="M49" s="20" t="n">
        <v>72.90000000000001</v>
      </c>
      <c r="N49" s="20" t="n">
        <v>160.96</v>
      </c>
      <c r="O49" s="20" t="n">
        <v>72.90000000000001</v>
      </c>
      <c r="P49" s="20" t="n">
        <v>160.96</v>
      </c>
      <c r="Q49" s="20" t="n">
        <v>72.90000000000001</v>
      </c>
      <c r="R49" s="20" t="n">
        <v>160.96</v>
      </c>
      <c r="S49" s="20" t="n">
        <v>72.90000000000001</v>
      </c>
      <c r="T49" s="20" t="n">
        <v>160.96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571.5</v>
      </c>
      <c r="E51" s="19" t="n">
        <v>654.92</v>
      </c>
      <c r="F51" s="19" t="n">
        <v>580.04</v>
      </c>
      <c r="G51" s="19" t="n">
        <v>783.83</v>
      </c>
      <c r="H51" s="88" t="n">
        <v>558.67</v>
      </c>
      <c r="I51" s="20" t="n">
        <v>599.25</v>
      </c>
      <c r="J51" s="20" t="n">
        <v>599.25</v>
      </c>
      <c r="K51" s="20" t="n">
        <v>599.25</v>
      </c>
      <c r="L51" s="20" t="n">
        <v>599.25</v>
      </c>
      <c r="M51" s="20" t="n">
        <v>599.25</v>
      </c>
      <c r="N51" s="20" t="n">
        <v>599.25</v>
      </c>
      <c r="O51" s="20" t="n">
        <v>599.25</v>
      </c>
      <c r="P51" s="20" t="n">
        <v>599.25</v>
      </c>
      <c r="Q51" s="20" t="n">
        <v>599.25</v>
      </c>
      <c r="R51" s="20" t="n">
        <v>599.25</v>
      </c>
      <c r="S51" s="20" t="n">
        <v>599.25</v>
      </c>
      <c r="T51" s="20" t="n">
        <v>599.25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220.03</v>
      </c>
      <c r="E53" s="19" t="n">
        <v>203.7</v>
      </c>
      <c r="F53" s="19" t="n">
        <v>203.13</v>
      </c>
      <c r="G53" s="19" t="n">
        <v>204.3</v>
      </c>
      <c r="H53" s="88" t="n">
        <v>197.8</v>
      </c>
      <c r="I53" s="20" t="n">
        <v>192.28</v>
      </c>
      <c r="J53" s="20" t="n">
        <v>192.28</v>
      </c>
      <c r="K53" s="20" t="n">
        <v>192.28</v>
      </c>
      <c r="L53" s="20" t="n">
        <v>192.28</v>
      </c>
      <c r="M53" s="20" t="n">
        <v>192.28</v>
      </c>
      <c r="N53" s="20" t="n">
        <v>192.28</v>
      </c>
      <c r="O53" s="20" t="n">
        <v>192.28</v>
      </c>
      <c r="P53" s="20" t="n">
        <v>192.28</v>
      </c>
      <c r="Q53" s="20" t="n">
        <v>192.28</v>
      </c>
      <c r="R53" s="20" t="n">
        <v>192.28</v>
      </c>
      <c r="S53" s="20" t="n">
        <v>192.28</v>
      </c>
      <c r="T53" s="20" t="n">
        <v>192.28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791.53</v>
      </c>
      <c r="E56" s="35" t="n">
        <v>858.6199999999999</v>
      </c>
      <c r="F56" s="35" t="n">
        <v>783.17</v>
      </c>
      <c r="G56" s="35" t="n">
        <v>988.13</v>
      </c>
      <c r="H56" s="89" t="n">
        <v>756.47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9580.110000000001</v>
      </c>
      <c r="E57" s="19" t="n">
        <v>9580.110000000001</v>
      </c>
      <c r="F57" s="19" t="n">
        <v>9580.110000000001</v>
      </c>
      <c r="G57" s="19" t="n">
        <v>9580.110000000001</v>
      </c>
      <c r="H57" s="88" t="n">
        <v>9580.110000000001</v>
      </c>
      <c r="I57" s="20" t="n">
        <v>9419.309999999999</v>
      </c>
      <c r="J57" s="20" t="n">
        <v>9419.309999999999</v>
      </c>
      <c r="K57" s="20" t="n">
        <v>9419.309999999999</v>
      </c>
      <c r="L57" s="20" t="n">
        <v>9419.309999999999</v>
      </c>
      <c r="M57" s="20" t="n">
        <v>9419.309999999999</v>
      </c>
      <c r="N57" s="20" t="n">
        <v>9419.309999999999</v>
      </c>
      <c r="O57" s="20" t="n">
        <v>9419.309999999999</v>
      </c>
      <c r="P57" s="20" t="n">
        <v>9419.309999999999</v>
      </c>
      <c r="Q57" s="20" t="n">
        <v>9419.309999999999</v>
      </c>
      <c r="R57" s="20" t="n">
        <v>9419.309999999999</v>
      </c>
      <c r="S57" s="20" t="n">
        <v>9419.309999999999</v>
      </c>
      <c r="T57" s="20" t="n">
        <v>9419.309999999999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199.91</v>
      </c>
      <c r="F59" s="19" t="n">
        <v>94.98999999999999</v>
      </c>
      <c r="G59" s="19" t="n">
        <v>228.3</v>
      </c>
      <c r="H59" s="88" t="n">
        <v>230.86</v>
      </c>
      <c r="I59" s="20" t="n">
        <v>128.6</v>
      </c>
      <c r="J59" s="20" t="n">
        <v>128.6</v>
      </c>
      <c r="K59" s="20" t="n">
        <v>128.6</v>
      </c>
      <c r="L59" s="20" t="n">
        <v>128.6</v>
      </c>
      <c r="M59" s="20" t="n">
        <v>128.6</v>
      </c>
      <c r="N59" s="20" t="n">
        <v>128.6</v>
      </c>
      <c r="O59" s="20" t="n">
        <v>128.6</v>
      </c>
      <c r="P59" s="20" t="n">
        <v>128.6</v>
      </c>
      <c r="Q59" s="20" t="n">
        <v>128.6</v>
      </c>
      <c r="R59" s="20" t="n">
        <v>128.6</v>
      </c>
      <c r="S59" s="20" t="n">
        <v>128.6</v>
      </c>
      <c r="T59" s="20" t="n">
        <v>128.6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</row>
    <row r="60">
      <c r="B60" s="33" t="inlineStr">
        <is>
          <t xml:space="preserve">  705000 Property Maintenance</t>
        </is>
      </c>
      <c r="D60" s="19" t="n">
        <v>779.6</v>
      </c>
      <c r="E60" s="19" t="n">
        <v>841</v>
      </c>
      <c r="F60" s="19" t="n">
        <v>841</v>
      </c>
      <c r="G60" s="19" t="n">
        <v>841</v>
      </c>
      <c r="H60" s="88" t="n">
        <v>841</v>
      </c>
      <c r="I60" s="20" t="n">
        <v>811.79</v>
      </c>
      <c r="J60" s="20" t="n">
        <v>811.79</v>
      </c>
      <c r="K60" s="20" t="n">
        <v>811.79</v>
      </c>
      <c r="L60" s="20" t="n">
        <v>811.79</v>
      </c>
      <c r="M60" s="20" t="n">
        <v>811.79</v>
      </c>
      <c r="N60" s="20" t="n">
        <v>811.79</v>
      </c>
      <c r="O60" s="20" t="n">
        <v>811.79</v>
      </c>
      <c r="P60" s="20" t="n">
        <v>811.79</v>
      </c>
      <c r="Q60" s="20" t="n">
        <v>811.79</v>
      </c>
      <c r="R60" s="20" t="n">
        <v>811.79</v>
      </c>
      <c r="S60" s="20" t="n">
        <v>811.79</v>
      </c>
      <c r="T60" s="20" t="n">
        <v>811.79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</row>
    <row r="61">
      <c r="B61" s="32" t="inlineStr">
        <is>
          <t>Total Property Costs</t>
        </is>
      </c>
      <c r="C61" s="34" t="n"/>
      <c r="D61" s="35" t="n">
        <v>10359.71</v>
      </c>
      <c r="E61" s="35" t="n">
        <v>11810.4</v>
      </c>
      <c r="F61" s="35" t="n">
        <v>10516.1</v>
      </c>
      <c r="G61" s="35" t="n">
        <v>10649.41</v>
      </c>
      <c r="H61" s="89" t="n">
        <v>10651.97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56257.37000000001</v>
      </c>
      <c r="E62" s="35" t="n">
        <v>56162.24999999999</v>
      </c>
      <c r="F62" s="35" t="n">
        <v>55712.42999999999</v>
      </c>
      <c r="G62" s="35" t="n">
        <v>46188.79999999999</v>
      </c>
      <c r="H62" s="89" t="n">
        <v>42838.74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-38896.96000000001</v>
      </c>
      <c r="E63" s="35" t="n">
        <v>-28243.36999999999</v>
      </c>
      <c r="F63" s="35" t="n">
        <v>-27944.76999999998</v>
      </c>
      <c r="G63" s="35" t="n">
        <v>-24533.29999999999</v>
      </c>
      <c r="H63" s="89" t="n">
        <v>-23330.01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2506.58</v>
      </c>
      <c r="E65" s="19" t="n">
        <v>2483.89</v>
      </c>
      <c r="F65" s="19" t="n">
        <v>2483.89</v>
      </c>
      <c r="G65" s="19" t="n">
        <v>2483.89</v>
      </c>
      <c r="H65" s="88" t="n">
        <v>2483.89</v>
      </c>
      <c r="I65" s="20">
        <f>I69*0.98922</f>
        <v/>
      </c>
      <c r="J65" s="20">
        <f>J69*0.98922</f>
        <v/>
      </c>
      <c r="K65" s="20">
        <f>K69*0.98922</f>
        <v/>
      </c>
      <c r="L65" s="20">
        <f>L69*0.98922</f>
        <v/>
      </c>
      <c r="M65" s="20">
        <f>M69*0.98922</f>
        <v/>
      </c>
      <c r="N65" s="20">
        <f>N69*0.98922</f>
        <v/>
      </c>
      <c r="O65" s="20">
        <f>O69*0.98922</f>
        <v/>
      </c>
      <c r="P65" s="20">
        <f>P69*0.98922</f>
        <v/>
      </c>
      <c r="Q65" s="20">
        <f>Q69*0.98922</f>
        <v/>
      </c>
      <c r="R65" s="20">
        <f>R69*0.98922</f>
        <v/>
      </c>
      <c r="S65" s="20">
        <f>S69*0.98922</f>
        <v/>
      </c>
      <c r="T65" s="20">
        <f>T69*0.98922</f>
        <v/>
      </c>
      <c r="U65" s="20">
        <f>U69*0.98922</f>
        <v/>
      </c>
      <c r="V65" s="20">
        <f>V69*0.98922</f>
        <v/>
      </c>
      <c r="W65" s="20">
        <f>W69*0.98922</f>
        <v/>
      </c>
      <c r="X65" s="20">
        <f>X69*0.98922</f>
        <v/>
      </c>
      <c r="Y65" s="20">
        <f>Y69*0.98922</f>
        <v/>
      </c>
      <c r="Z65" s="20">
        <f>Z69*0.98922</f>
        <v/>
      </c>
      <c r="AA65" s="20">
        <f>AA69*0.98922</f>
        <v/>
      </c>
      <c r="AB65" s="20">
        <f>AB69*0.98922</f>
        <v/>
      </c>
      <c r="AC65" s="20">
        <f>AC69*0.98922</f>
        <v/>
      </c>
      <c r="AD65" s="20">
        <f>AD69*0.98922</f>
        <v/>
      </c>
      <c r="AE65" s="20">
        <f>AE69*0.98922</f>
        <v/>
      </c>
      <c r="AF65" s="20">
        <f>AF69*0.98922</f>
        <v/>
      </c>
      <c r="AG65" s="20">
        <f>AG69*0.98922</f>
        <v/>
      </c>
      <c r="AH65" s="20">
        <f>AH69*0.98922</f>
        <v/>
      </c>
      <c r="AI65" s="20">
        <f>AI69*0.98922</f>
        <v/>
      </c>
      <c r="AJ65" s="20">
        <f>AJ69*0.98922</f>
        <v/>
      </c>
      <c r="AK65" s="20">
        <f>AK69*0.98922</f>
        <v/>
      </c>
      <c r="AL65" s="20">
        <f>AL69*0.98922</f>
        <v/>
      </c>
      <c r="AM65" s="20">
        <f>AM69*0.98922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108.52</v>
      </c>
      <c r="F67" s="19" t="n">
        <v>0</v>
      </c>
      <c r="G67" s="19" t="n">
        <v>0</v>
      </c>
      <c r="H67" s="88" t="n">
        <v>0</v>
      </c>
      <c r="I67" s="20">
        <f>I69*0.01078</f>
        <v/>
      </c>
      <c r="J67" s="20">
        <f>J69*0.01078</f>
        <v/>
      </c>
      <c r="K67" s="20">
        <f>K69*0.01078</f>
        <v/>
      </c>
      <c r="L67" s="20">
        <f>L69*0.01078</f>
        <v/>
      </c>
      <c r="M67" s="20">
        <f>M69*0.01078</f>
        <v/>
      </c>
      <c r="N67" s="20">
        <f>N69*0.01078</f>
        <v/>
      </c>
      <c r="O67" s="20">
        <f>O69*0.01078</f>
        <v/>
      </c>
      <c r="P67" s="20">
        <f>P69*0.01078</f>
        <v/>
      </c>
      <c r="Q67" s="20">
        <f>Q69*0.01078</f>
        <v/>
      </c>
      <c r="R67" s="20">
        <f>R69*0.01078</f>
        <v/>
      </c>
      <c r="S67" s="20">
        <f>S69*0.01078</f>
        <v/>
      </c>
      <c r="T67" s="20">
        <f>T69*0.01078</f>
        <v/>
      </c>
      <c r="U67" s="20">
        <f>U69*0.01078</f>
        <v/>
      </c>
      <c r="V67" s="20">
        <f>V69*0.01078</f>
        <v/>
      </c>
      <c r="W67" s="20">
        <f>W69*0.01078</f>
        <v/>
      </c>
      <c r="X67" s="20">
        <f>X69*0.01078</f>
        <v/>
      </c>
      <c r="Y67" s="20">
        <f>Y69*0.01078</f>
        <v/>
      </c>
      <c r="Z67" s="20">
        <f>Z69*0.01078</f>
        <v/>
      </c>
      <c r="AA67" s="20">
        <f>AA69*0.01078</f>
        <v/>
      </c>
      <c r="AB67" s="20">
        <f>AB69*0.01078</f>
        <v/>
      </c>
      <c r="AC67" s="20">
        <f>AC69*0.01078</f>
        <v/>
      </c>
      <c r="AD67" s="20">
        <f>AD69*0.01078</f>
        <v/>
      </c>
      <c r="AE67" s="20">
        <f>AE69*0.01078</f>
        <v/>
      </c>
      <c r="AF67" s="20">
        <f>AF69*0.01078</f>
        <v/>
      </c>
      <c r="AG67" s="20">
        <f>AG69*0.01078</f>
        <v/>
      </c>
      <c r="AH67" s="20">
        <f>AH69*0.01078</f>
        <v/>
      </c>
      <c r="AI67" s="20">
        <f>AI69*0.01078</f>
        <v/>
      </c>
      <c r="AJ67" s="20">
        <f>AJ69*0.01078</f>
        <v/>
      </c>
      <c r="AK67" s="20">
        <f>AK69*0.01078</f>
        <v/>
      </c>
      <c r="AL67" s="20">
        <f>AL69*0.01078</f>
        <v/>
      </c>
      <c r="AM67" s="20">
        <f>AM69*0.01078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2506.58</v>
      </c>
      <c r="E69" s="35" t="n">
        <v>2592.41</v>
      </c>
      <c r="F69" s="35" t="n">
        <v>2483.89</v>
      </c>
      <c r="G69" s="35" t="n">
        <v>2483.89</v>
      </c>
      <c r="H69" s="89" t="n">
        <v>2483.89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-41403.54000000001</v>
      </c>
      <c r="E70" s="35" t="n">
        <v>-30835.77999999999</v>
      </c>
      <c r="F70" s="35" t="n">
        <v>-30428.65999999998</v>
      </c>
      <c r="G70" s="35" t="n">
        <v>-27017.18999999999</v>
      </c>
      <c r="H70" s="89" t="n">
        <v>-25813.9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Santa Monica (SM)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110763.53</v>
      </c>
      <c r="E7" s="19" t="n">
        <v>101389.12</v>
      </c>
      <c r="F7" s="19" t="n">
        <v>102967.05</v>
      </c>
      <c r="G7" s="19" t="n">
        <v>94757.23</v>
      </c>
      <c r="H7" s="88" t="n">
        <v>97024.39999999999</v>
      </c>
      <c r="I7" s="20">
        <f>I13*0.58474</f>
        <v/>
      </c>
      <c r="J7" s="20">
        <f>J13*0.58474</f>
        <v/>
      </c>
      <c r="K7" s="20">
        <f>K13*0.58474</f>
        <v/>
      </c>
      <c r="L7" s="20">
        <f>L13*0.58474</f>
        <v/>
      </c>
      <c r="M7" s="20">
        <f>M13*0.58474</f>
        <v/>
      </c>
      <c r="N7" s="20">
        <f>N13*0.58474</f>
        <v/>
      </c>
      <c r="O7" s="20">
        <f>O13*0.58474</f>
        <v/>
      </c>
      <c r="P7" s="20">
        <f>P13*0.58474</f>
        <v/>
      </c>
      <c r="Q7" s="20">
        <f>Q13*0.58474</f>
        <v/>
      </c>
      <c r="R7" s="20">
        <f>R13*0.58474</f>
        <v/>
      </c>
      <c r="S7" s="20">
        <f>S13*0.58474</f>
        <v/>
      </c>
      <c r="T7" s="20">
        <f>T13*0.58474</f>
        <v/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</row>
    <row r="8">
      <c r="B8" s="33" t="inlineStr">
        <is>
          <t xml:space="preserve">  401002 Private Pilates</t>
        </is>
      </c>
      <c r="D8" s="19" t="n">
        <v>33853.22</v>
      </c>
      <c r="E8" s="19" t="n">
        <v>32824.02</v>
      </c>
      <c r="F8" s="19" t="n">
        <v>32939.68</v>
      </c>
      <c r="G8" s="19" t="n">
        <v>30216.54</v>
      </c>
      <c r="H8" s="88" t="n">
        <v>27684.47</v>
      </c>
      <c r="I8" s="20">
        <f>I13*0.185224</f>
        <v/>
      </c>
      <c r="J8" s="20">
        <f>J13*0.185224</f>
        <v/>
      </c>
      <c r="K8" s="20">
        <f>K13*0.185224</f>
        <v/>
      </c>
      <c r="L8" s="20">
        <f>L13*0.185224</f>
        <v/>
      </c>
      <c r="M8" s="20">
        <f>M13*0.185224</f>
        <v/>
      </c>
      <c r="N8" s="20">
        <f>N13*0.185224</f>
        <v/>
      </c>
      <c r="O8" s="20">
        <f>O13*0.185224</f>
        <v/>
      </c>
      <c r="P8" s="20">
        <f>P13*0.185224</f>
        <v/>
      </c>
      <c r="Q8" s="20">
        <f>Q13*0.185224</f>
        <v/>
      </c>
      <c r="R8" s="20">
        <f>R13*0.185224</f>
        <v/>
      </c>
      <c r="S8" s="20">
        <f>S13*0.185224</f>
        <v/>
      </c>
      <c r="T8" s="20">
        <f>T13*0.185224</f>
        <v/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</row>
    <row r="9">
      <c r="B9" s="33" t="inlineStr">
        <is>
          <t xml:space="preserve">  401003 Class Pass</t>
        </is>
      </c>
      <c r="D9" s="19" t="n">
        <v>26543.57</v>
      </c>
      <c r="E9" s="19" t="n">
        <v>23920.55</v>
      </c>
      <c r="F9" s="19" t="n">
        <v>25751.08</v>
      </c>
      <c r="G9" s="19" t="n">
        <v>25382</v>
      </c>
      <c r="H9" s="88" t="n">
        <v>24038.21</v>
      </c>
      <c r="I9" s="20">
        <f>I13*0.144941</f>
        <v/>
      </c>
      <c r="J9" s="20">
        <f>J13*0.144941</f>
        <v/>
      </c>
      <c r="K9" s="20">
        <f>K13*0.144941</f>
        <v/>
      </c>
      <c r="L9" s="20">
        <f>L13*0.144941</f>
        <v/>
      </c>
      <c r="M9" s="20">
        <f>M13*0.144941</f>
        <v/>
      </c>
      <c r="N9" s="20">
        <f>N13*0.144941</f>
        <v/>
      </c>
      <c r="O9" s="20">
        <f>O13*0.144941</f>
        <v/>
      </c>
      <c r="P9" s="20">
        <f>P13*0.144941</f>
        <v/>
      </c>
      <c r="Q9" s="20">
        <f>Q13*0.144941</f>
        <v/>
      </c>
      <c r="R9" s="20">
        <f>R13*0.144941</f>
        <v/>
      </c>
      <c r="S9" s="20">
        <f>S13*0.144941</f>
        <v/>
      </c>
      <c r="T9" s="20">
        <f>T13*0.144941</f>
        <v/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</row>
    <row r="10">
      <c r="B10" s="33" t="inlineStr">
        <is>
          <t xml:space="preserve">  401004 Mighty Teacher Training</t>
        </is>
      </c>
      <c r="D10" s="19" t="n">
        <v>30303.19</v>
      </c>
      <c r="E10" s="19" t="n">
        <v>17093.48</v>
      </c>
      <c r="F10" s="19" t="n">
        <v>4976.77</v>
      </c>
      <c r="G10" s="19" t="n">
        <v>0</v>
      </c>
      <c r="H10" s="88" t="n">
        <v>0</v>
      </c>
      <c r="I10" s="20">
        <f>I13*0.074717</f>
        <v/>
      </c>
      <c r="J10" s="20">
        <f>J13*0.074717</f>
        <v/>
      </c>
      <c r="K10" s="20">
        <f>K13*0.074717</f>
        <v/>
      </c>
      <c r="L10" s="20">
        <f>L13*0.074717</f>
        <v/>
      </c>
      <c r="M10" s="20">
        <f>M13*0.074717</f>
        <v/>
      </c>
      <c r="N10" s="20">
        <f>N13*0.074717</f>
        <v/>
      </c>
      <c r="O10" s="20">
        <f>O13*0.074717</f>
        <v/>
      </c>
      <c r="P10" s="20">
        <f>P13*0.074717</f>
        <v/>
      </c>
      <c r="Q10" s="20">
        <f>Q13*0.074717</f>
        <v/>
      </c>
      <c r="R10" s="20">
        <f>R13*0.074717</f>
        <v/>
      </c>
      <c r="S10" s="20">
        <f>S13*0.074717</f>
        <v/>
      </c>
      <c r="T10" s="20">
        <f>T13*0.074717</f>
        <v/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</row>
    <row r="11">
      <c r="B11" s="33" t="inlineStr">
        <is>
          <t xml:space="preserve">  401005 Livestream Classes</t>
        </is>
      </c>
      <c r="D11" s="19" t="n">
        <v>833.21</v>
      </c>
      <c r="E11" s="19" t="n">
        <v>818.58</v>
      </c>
      <c r="F11" s="19" t="n">
        <v>978.54</v>
      </c>
      <c r="G11" s="19" t="n">
        <v>846.73</v>
      </c>
      <c r="H11" s="88" t="n">
        <v>774.38</v>
      </c>
      <c r="I11" s="20">
        <f>I13*0.00496</f>
        <v/>
      </c>
      <c r="J11" s="20">
        <f>J13*0.00496</f>
        <v/>
      </c>
      <c r="K11" s="20">
        <f>K13*0.00496</f>
        <v/>
      </c>
      <c r="L11" s="20">
        <f>L13*0.00496</f>
        <v/>
      </c>
      <c r="M11" s="20">
        <f>M13*0.00496</f>
        <v/>
      </c>
      <c r="N11" s="20">
        <f>N13*0.00496</f>
        <v/>
      </c>
      <c r="O11" s="20">
        <f>O13*0.00496</f>
        <v/>
      </c>
      <c r="P11" s="20">
        <f>P13*0.00496</f>
        <v/>
      </c>
      <c r="Q11" s="20">
        <f>Q13*0.00496</f>
        <v/>
      </c>
      <c r="R11" s="20">
        <f>R13*0.00496</f>
        <v/>
      </c>
      <c r="S11" s="20">
        <f>S13*0.00496</f>
        <v/>
      </c>
      <c r="T11" s="20">
        <f>T13*0.00496</f>
        <v/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</row>
    <row r="12">
      <c r="B12" s="33" t="inlineStr">
        <is>
          <t xml:space="preserve">  401006 Wellhub</t>
        </is>
      </c>
      <c r="D12" s="19" t="n">
        <v>1162.86</v>
      </c>
      <c r="E12" s="19" t="n">
        <v>751.14</v>
      </c>
      <c r="F12" s="19" t="n">
        <v>973.7</v>
      </c>
      <c r="G12" s="19" t="n">
        <v>909.6900000000001</v>
      </c>
      <c r="H12" s="88" t="n">
        <v>678.78</v>
      </c>
      <c r="I12" s="20">
        <f>I13*0.005417</f>
        <v/>
      </c>
      <c r="J12" s="20">
        <f>J13*0.005417</f>
        <v/>
      </c>
      <c r="K12" s="20">
        <f>K13*0.005417</f>
        <v/>
      </c>
      <c r="L12" s="20">
        <f>L13*0.005417</f>
        <v/>
      </c>
      <c r="M12" s="20">
        <f>M13*0.005417</f>
        <v/>
      </c>
      <c r="N12" s="20">
        <f>N13*0.005417</f>
        <v/>
      </c>
      <c r="O12" s="20">
        <f>O13*0.005417</f>
        <v/>
      </c>
      <c r="P12" s="20">
        <f>P13*0.005417</f>
        <v/>
      </c>
      <c r="Q12" s="20">
        <f>Q13*0.005417</f>
        <v/>
      </c>
      <c r="R12" s="20">
        <f>R13*0.005417</f>
        <v/>
      </c>
      <c r="S12" s="20">
        <f>S13*0.005417</f>
        <v/>
      </c>
      <c r="T12" s="20">
        <f>T13*0.005417</f>
        <v/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</row>
    <row r="13">
      <c r="B13" s="32" t="inlineStr">
        <is>
          <t>Total Sessions</t>
        </is>
      </c>
      <c r="C13" s="34" t="n"/>
      <c r="D13" s="35" t="n">
        <v>203459.58</v>
      </c>
      <c r="E13" s="35" t="n">
        <v>176796.89</v>
      </c>
      <c r="F13" s="35" t="n">
        <v>168586.82</v>
      </c>
      <c r="G13" s="35" t="n">
        <v>152112.19</v>
      </c>
      <c r="H13" s="89" t="n">
        <v>150200.24</v>
      </c>
      <c r="I13" s="17">
        <f>'Sales Forecast'!I15*Assumptions!$C$12+'Sales Forecast'!H15*Assumptions!$D$12+'Sales Forecast'!G15*Assumptions!$E$12+'Sales Forecast'!F15*Assumptions!$F$12+'Sales Forecast'!E15*Assumptions!$G$12+'Sales Forecast'!D15*Assumptions!$H$12+'Sales Forecast'!I111*Assumptions!$I$12</f>
        <v/>
      </c>
      <c r="J13" s="17">
        <f>'Sales Forecast'!J15*Assumptions!$C$12+'Sales Forecast'!I15*Assumptions!$D$12+'Sales Forecast'!H15*Assumptions!$E$12+'Sales Forecast'!G15*Assumptions!$F$12+'Sales Forecast'!F15*Assumptions!$G$12+'Sales Forecast'!E15*Assumptions!$H$12+'Sales Forecast'!D15*Assumptions!$I$12</f>
        <v/>
      </c>
      <c r="K13" s="17">
        <f>'Sales Forecast'!K15*Assumptions!$C$12+'Sales Forecast'!J15*Assumptions!$D$12+'Sales Forecast'!I15*Assumptions!$E$12+'Sales Forecast'!H15*Assumptions!$F$12+'Sales Forecast'!G15*Assumptions!$G$12+'Sales Forecast'!F15*Assumptions!$H$12+'Sales Forecast'!E15*Assumptions!$I$12</f>
        <v/>
      </c>
      <c r="L13" s="17">
        <f>'Sales Forecast'!L15*Assumptions!$C$12+'Sales Forecast'!K15*Assumptions!$D$12+'Sales Forecast'!J15*Assumptions!$E$12+'Sales Forecast'!I15*Assumptions!$F$12+'Sales Forecast'!H15*Assumptions!$G$12+'Sales Forecast'!G15*Assumptions!$H$12+'Sales Forecast'!F15*Assumptions!$I$12</f>
        <v/>
      </c>
      <c r="M13" s="17">
        <f>'Sales Forecast'!M15*Assumptions!$C$12+'Sales Forecast'!L15*Assumptions!$D$12+'Sales Forecast'!K15*Assumptions!$E$12+'Sales Forecast'!J15*Assumptions!$F$12+'Sales Forecast'!I15*Assumptions!$G$12+'Sales Forecast'!H15*Assumptions!$H$12+'Sales Forecast'!G15*Assumptions!$I$12</f>
        <v/>
      </c>
      <c r="N13" s="17">
        <f>'Sales Forecast'!N15*Assumptions!$C$12+'Sales Forecast'!M15*Assumptions!$D$12+'Sales Forecast'!L15*Assumptions!$E$12+'Sales Forecast'!K15*Assumptions!$F$12+'Sales Forecast'!J15*Assumptions!$G$12+'Sales Forecast'!I15*Assumptions!$H$12+'Sales Forecast'!H15*Assumptions!$I$12</f>
        <v/>
      </c>
      <c r="O13" s="17">
        <f>'Sales Forecast'!O15*Assumptions!$C$12+'Sales Forecast'!N15*Assumptions!$D$12+'Sales Forecast'!M15*Assumptions!$E$12+'Sales Forecast'!L15*Assumptions!$F$12+'Sales Forecast'!K15*Assumptions!$G$12+'Sales Forecast'!J15*Assumptions!$H$12+'Sales Forecast'!I15*Assumptions!$I$12</f>
        <v/>
      </c>
      <c r="P13" s="17">
        <f>'Sales Forecast'!P15*Assumptions!$C$12+'Sales Forecast'!O15*Assumptions!$D$12+'Sales Forecast'!N15*Assumptions!$E$12+'Sales Forecast'!M15*Assumptions!$F$12+'Sales Forecast'!L15*Assumptions!$G$12+'Sales Forecast'!K15*Assumptions!$H$12+'Sales Forecast'!J15*Assumptions!$I$12</f>
        <v/>
      </c>
      <c r="Q13" s="17">
        <f>'Sales Forecast'!Q15*Assumptions!$C$12+'Sales Forecast'!P15*Assumptions!$D$12+'Sales Forecast'!O15*Assumptions!$E$12+'Sales Forecast'!N15*Assumptions!$F$12+'Sales Forecast'!M15*Assumptions!$G$12+'Sales Forecast'!L15*Assumptions!$H$12+'Sales Forecast'!K15*Assumptions!$I$12</f>
        <v/>
      </c>
      <c r="R13" s="17">
        <f>'Sales Forecast'!R15*Assumptions!$C$12+'Sales Forecast'!Q15*Assumptions!$D$12+'Sales Forecast'!P15*Assumptions!$E$12+'Sales Forecast'!O15*Assumptions!$F$12+'Sales Forecast'!N15*Assumptions!$G$12+'Sales Forecast'!M15*Assumptions!$H$12+'Sales Forecast'!L15*Assumptions!$I$12</f>
        <v/>
      </c>
      <c r="S13" s="17">
        <f>'Sales Forecast'!S15*Assumptions!$C$12+'Sales Forecast'!R15*Assumptions!$D$12+'Sales Forecast'!Q15*Assumptions!$E$12+'Sales Forecast'!P15*Assumptions!$F$12+'Sales Forecast'!O15*Assumptions!$G$12+'Sales Forecast'!N15*Assumptions!$H$12+'Sales Forecast'!M15*Assumptions!$I$12</f>
        <v/>
      </c>
      <c r="T13" s="17">
        <f>'Sales Forecast'!T15*Assumptions!$C$12+'Sales Forecast'!S15*Assumptions!$D$12+'Sales Forecast'!R15*Assumptions!$E$12+'Sales Forecast'!Q15*Assumptions!$F$12+'Sales Forecast'!P15*Assumptions!$G$12+'Sales Forecast'!O15*Assumptions!$H$12+'Sales Forecast'!N15*Assumptions!$I$12</f>
        <v/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Forecast'!O15*Assumptions!$I$12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</row>
    <row r="14">
      <c r="B14" s="33" t="inlineStr">
        <is>
          <t xml:space="preserve">  403001 Machine Breakage</t>
        </is>
      </c>
      <c r="D14" s="19" t="n">
        <v>32041.71</v>
      </c>
      <c r="E14" s="19" t="n">
        <v>22049.86</v>
      </c>
      <c r="F14" s="19" t="n">
        <v>22243.53</v>
      </c>
      <c r="G14" s="19" t="n">
        <v>19277.44</v>
      </c>
      <c r="H14" s="88" t="n">
        <v>24956.27</v>
      </c>
      <c r="I14" s="20">
        <f>I17*0.920731</f>
        <v/>
      </c>
      <c r="J14" s="20">
        <f>J17*0.920731</f>
        <v/>
      </c>
      <c r="K14" s="20">
        <f>K17*0.920731</f>
        <v/>
      </c>
      <c r="L14" s="20">
        <f>L17*0.920731</f>
        <v/>
      </c>
      <c r="M14" s="20">
        <f>M17*0.920731</f>
        <v/>
      </c>
      <c r="N14" s="20">
        <f>N17*0.920731</f>
        <v/>
      </c>
      <c r="O14" s="20">
        <f>O17*0.920731</f>
        <v/>
      </c>
      <c r="P14" s="20">
        <f>P17*0.920731</f>
        <v/>
      </c>
      <c r="Q14" s="20">
        <f>Q17*0.920731</f>
        <v/>
      </c>
      <c r="R14" s="20">
        <f>R17*0.920731</f>
        <v/>
      </c>
      <c r="S14" s="20">
        <f>S17*0.920731</f>
        <v/>
      </c>
      <c r="T14" s="20">
        <f>T17*0.920731</f>
        <v/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</row>
    <row r="15">
      <c r="B15" s="33" t="inlineStr">
        <is>
          <t xml:space="preserve">  403003 Private Pilates Breakage</t>
        </is>
      </c>
      <c r="D15" s="19" t="n">
        <v>2587.5</v>
      </c>
      <c r="E15" s="19" t="n">
        <v>1981.25</v>
      </c>
      <c r="F15" s="19" t="n">
        <v>1590.62</v>
      </c>
      <c r="G15" s="19" t="n">
        <v>2072.21</v>
      </c>
      <c r="H15" s="88" t="n">
        <v>1639.56</v>
      </c>
      <c r="I15" s="20">
        <f>I17*0.079269</f>
        <v/>
      </c>
      <c r="J15" s="20">
        <f>J17*0.079269</f>
        <v/>
      </c>
      <c r="K15" s="20">
        <f>K17*0.079269</f>
        <v/>
      </c>
      <c r="L15" s="20">
        <f>L17*0.079269</f>
        <v/>
      </c>
      <c r="M15" s="20">
        <f>M17*0.079269</f>
        <v/>
      </c>
      <c r="N15" s="20">
        <f>N17*0.079269</f>
        <v/>
      </c>
      <c r="O15" s="20">
        <f>O17*0.079269</f>
        <v/>
      </c>
      <c r="P15" s="20">
        <f>P17*0.079269</f>
        <v/>
      </c>
      <c r="Q15" s="20">
        <f>Q17*0.079269</f>
        <v/>
      </c>
      <c r="R15" s="20">
        <f>R17*0.079269</f>
        <v/>
      </c>
      <c r="S15" s="20">
        <f>S17*0.079269</f>
        <v/>
      </c>
      <c r="T15" s="20">
        <f>T17*0.079269</f>
        <v/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34629.21</v>
      </c>
      <c r="E17" s="35" t="n">
        <v>24031.11</v>
      </c>
      <c r="F17" s="35" t="n">
        <v>23834.15</v>
      </c>
      <c r="G17" s="35" t="n">
        <v>21349.65</v>
      </c>
      <c r="H17" s="89" t="n">
        <v>26595.83</v>
      </c>
      <c r="I17" s="17">
        <f>'Sales Forecast'!I15*Assumptions!$C$13+'Sales Forecast'!H15*Assumptions!$D$13+'Sales Forecast'!G15*Assumptions!$E$13+'Sales Forecast'!F15*Assumptions!$F$13+'Sales Forecast'!E15*Assumptions!$G$13+'Sales Forecast'!D15*Assumptions!$H$13+'Sales Forecast'!I111*Assumptions!$I$13</f>
        <v/>
      </c>
      <c r="J17" s="17">
        <f>'Sales Forecast'!J15*Assumptions!$C$13+'Sales Forecast'!I15*Assumptions!$D$13+'Sales Forecast'!H15*Assumptions!$E$13+'Sales Forecast'!G15*Assumptions!$F$13+'Sales Forecast'!F15*Assumptions!$G$13+'Sales Forecast'!E15*Assumptions!$H$13+'Sales Forecast'!D15*Assumptions!$I$13</f>
        <v/>
      </c>
      <c r="K17" s="17">
        <f>'Sales Forecast'!K15*Assumptions!$C$13+'Sales Forecast'!J15*Assumptions!$D$13+'Sales Forecast'!I15*Assumptions!$E$13+'Sales Forecast'!H15*Assumptions!$F$13+'Sales Forecast'!G15*Assumptions!$G$13+'Sales Forecast'!F15*Assumptions!$H$13+'Sales Forecast'!E15*Assumptions!$I$13</f>
        <v/>
      </c>
      <c r="L17" s="17">
        <f>'Sales Forecast'!L15*Assumptions!$C$13+'Sales Forecast'!K15*Assumptions!$D$13+'Sales Forecast'!J15*Assumptions!$E$13+'Sales Forecast'!I15*Assumptions!$F$13+'Sales Forecast'!H15*Assumptions!$G$13+'Sales Forecast'!G15*Assumptions!$H$13+'Sales Forecast'!F15*Assumptions!$I$13</f>
        <v/>
      </c>
      <c r="M17" s="17">
        <f>'Sales Forecast'!M15*Assumptions!$C$13+'Sales Forecast'!L15*Assumptions!$D$13+'Sales Forecast'!K15*Assumptions!$E$13+'Sales Forecast'!J15*Assumptions!$F$13+'Sales Forecast'!I15*Assumptions!$G$13+'Sales Forecast'!H15*Assumptions!$H$13+'Sales Forecast'!G15*Assumptions!$I$13</f>
        <v/>
      </c>
      <c r="N17" s="17">
        <f>'Sales Forecast'!N15*Assumptions!$C$13+'Sales Forecast'!M15*Assumptions!$D$13+'Sales Forecast'!L15*Assumptions!$E$13+'Sales Forecast'!K15*Assumptions!$F$13+'Sales Forecast'!J15*Assumptions!$G$13+'Sales Forecast'!I15*Assumptions!$H$13+'Sales Forecast'!H15*Assumptions!$I$13</f>
        <v/>
      </c>
      <c r="O17" s="17">
        <f>'Sales Forecast'!O15*Assumptions!$C$13+'Sales Forecast'!N15*Assumptions!$D$13+'Sales Forecast'!M15*Assumptions!$E$13+'Sales Forecast'!L15*Assumptions!$F$13+'Sales Forecast'!K15*Assumptions!$G$13+'Sales Forecast'!J15*Assumptions!$H$13+'Sales Forecast'!I15*Assumptions!$I$13</f>
        <v/>
      </c>
      <c r="P17" s="17">
        <f>'Sales Forecast'!P15*Assumptions!$C$13+'Sales Forecast'!O15*Assumptions!$D$13+'Sales Forecast'!N15*Assumptions!$E$13+'Sales Forecast'!M15*Assumptions!$F$13+'Sales Forecast'!L15*Assumptions!$G$13+'Sales Forecast'!K15*Assumptions!$H$13+'Sales Forecast'!J15*Assumptions!$I$13</f>
        <v/>
      </c>
      <c r="Q17" s="17">
        <f>'Sales Forecast'!Q15*Assumptions!$C$13+'Sales Forecast'!P15*Assumptions!$D$13+'Sales Forecast'!O15*Assumptions!$E$13+'Sales Forecast'!N15*Assumptions!$F$13+'Sales Forecast'!M15*Assumptions!$G$13+'Sales Forecast'!L15*Assumptions!$H$13+'Sales Forecast'!K15*Assumptions!$I$13</f>
        <v/>
      </c>
      <c r="R17" s="17">
        <f>'Sales Forecast'!R15*Assumptions!$C$13+'Sales Forecast'!Q15*Assumptions!$D$13+'Sales Forecast'!P15*Assumptions!$E$13+'Sales Forecast'!O15*Assumptions!$F$13+'Sales Forecast'!N15*Assumptions!$G$13+'Sales Forecast'!M15*Assumptions!$H$13+'Sales Forecast'!L15*Assumptions!$I$13</f>
        <v/>
      </c>
      <c r="S17" s="17">
        <f>'Sales Forecast'!S15*Assumptions!$C$13+'Sales Forecast'!R15*Assumptions!$D$13+'Sales Forecast'!Q15*Assumptions!$E$13+'Sales Forecast'!P15*Assumptions!$F$13+'Sales Forecast'!O15*Assumptions!$G$13+'Sales Forecast'!N15*Assumptions!$H$13+'Sales Forecast'!M15*Assumptions!$I$13</f>
        <v/>
      </c>
      <c r="T17" s="17">
        <f>'Sales Forecast'!T15*Assumptions!$C$13+'Sales Forecast'!S15*Assumptions!$D$13+'Sales Forecast'!R15*Assumptions!$E$13+'Sales Forecast'!Q15*Assumptions!$F$13+'Sales Forecast'!P15*Assumptions!$G$13+'Sales Forecast'!O15*Assumptions!$H$13+'Sales Forecast'!N15*Assumptions!$I$13</f>
        <v/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Forecast'!O15*Assumptions!$I$13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</row>
    <row r="18">
      <c r="B18" s="33" t="inlineStr">
        <is>
          <t xml:space="preserve">  404000 Retail Sales</t>
        </is>
      </c>
      <c r="D18" s="19" t="n">
        <v>2930</v>
      </c>
      <c r="E18" s="19" t="n">
        <v>3266</v>
      </c>
      <c r="F18" s="19" t="n">
        <v>2548</v>
      </c>
      <c r="G18" s="19" t="n">
        <v>3173</v>
      </c>
      <c r="H18" s="88" t="n">
        <v>1345</v>
      </c>
      <c r="I18" s="20">
        <f>2979.25</f>
        <v/>
      </c>
      <c r="J18" s="20">
        <f>2979.25</f>
        <v/>
      </c>
      <c r="K18" s="20">
        <f>2979.25</f>
        <v/>
      </c>
      <c r="L18" s="20">
        <f>2979.25</f>
        <v/>
      </c>
      <c r="M18" s="20">
        <f>2979.25</f>
        <v/>
      </c>
      <c r="N18" s="20">
        <f>2979.25</f>
        <v/>
      </c>
      <c r="O18" s="20">
        <f>2979.25</f>
        <v/>
      </c>
      <c r="P18" s="20">
        <f>2979.25</f>
        <v/>
      </c>
      <c r="Q18" s="20">
        <f>2979.25</f>
        <v/>
      </c>
      <c r="R18" s="20">
        <f>2979.25</f>
        <v/>
      </c>
      <c r="S18" s="20">
        <f>2979.25</f>
        <v/>
      </c>
      <c r="T18" s="20">
        <f>2979.25</f>
        <v/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</row>
    <row r="19">
      <c r="B19" s="33" t="inlineStr">
        <is>
          <t xml:space="preserve">  406000 Refunds</t>
        </is>
      </c>
      <c r="D19" s="19" t="n">
        <v>2447.09</v>
      </c>
      <c r="E19" s="19" t="n">
        <v>4513.2</v>
      </c>
      <c r="F19" s="19" t="n">
        <v>4364.6</v>
      </c>
      <c r="G19" s="19" t="n">
        <v>1510.11</v>
      </c>
      <c r="H19" s="88" t="n">
        <v>2179.2</v>
      </c>
      <c r="I19" s="20">
        <f>('Sales Forecast'!I15*Assumptions!$C$12+'Sales Forecast'!H15*Assumptions!$D$12+'Sales Forecast'!G15*Assumptions!$E$12+'Sales Forecast'!F15*Assumptions!$F$12+'Sales Forecast'!E15*Assumptions!$G$12+'Sales Forecast'!D15*Assumptions!$H$12+'Sales Forecast'!I15*Assumptions!$C$13+'Sales Forecast'!H15*Assumptions!$D$13+'Sales Forecast'!G15*Assumptions!$E$13+'Sales Forecast'!F15*Assumptions!$F$13+'Sales Forecast'!E15*Assumptions!$G$13+'Sales Forecast'!D15*Assumptions!$H$13+2979.25)*Assumptions!$C$17</f>
        <v/>
      </c>
      <c r="J19" s="20">
        <f>('Sales Forecast'!J15*Assumptions!$C$12+'Sales Forecast'!I15*Assumptions!$D$12+'Sales Forecast'!H15*Assumptions!$E$12+'Sales Forecast'!G15*Assumptions!$F$12+'Sales Forecast'!F15*Assumptions!$G$12+'Sales Forecast'!E15*Assumptions!$H$12+'Sales Forecast'!D15*Assumptions!$I$12+'Sales Forecast'!J15*Assumptions!$C$13+'Sales Forecast'!I15*Assumptions!$D$13+'Sales Forecast'!H15*Assumptions!$E$13+'Sales Forecast'!G15*Assumptions!$F$13+'Sales Forecast'!F15*Assumptions!$G$13+'Sales Forecast'!E15*Assumptions!$H$13+'Sales Forecast'!D15*Assumptions!$I$13+2979.25)*Assumptions!$C$17</f>
        <v/>
      </c>
      <c r="K19" s="20">
        <f>('Sales Forecast'!K15*Assumptions!$C$12+'Sales Forecast'!J15*Assumptions!$D$12+'Sales Forecast'!I15*Assumptions!$E$12+'Sales Forecast'!H15*Assumptions!$F$12+'Sales Forecast'!G15*Assumptions!$G$12+'Sales Forecast'!F15*Assumptions!$H$12+'Sales Forecast'!E15*Assumptions!$I$12+'Sales Forecast'!K15*Assumptions!$C$13+'Sales Forecast'!J15*Assumptions!$D$13+'Sales Forecast'!I15*Assumptions!$E$13+'Sales Forecast'!H15*Assumptions!$F$13+'Sales Forecast'!G15*Assumptions!$G$13+'Sales Forecast'!F15*Assumptions!$H$13+'Sales Forecast'!E15*Assumptions!$I$13+2979.25)*Assumptions!$C$17</f>
        <v/>
      </c>
      <c r="L19" s="20">
        <f>('Sales Forecast'!L15*Assumptions!$C$12+'Sales Forecast'!K15*Assumptions!$D$12+'Sales Forecast'!J15*Assumptions!$E$12+'Sales Forecast'!I15*Assumptions!$F$12+'Sales Forecast'!H15*Assumptions!$G$12+'Sales Forecast'!G15*Assumptions!$H$12+'Sales Forecast'!F15*Assumptions!$I$12+'Sales Forecast'!L15*Assumptions!$C$13+'Sales Forecast'!K15*Assumptions!$D$13+'Sales Forecast'!J15*Assumptions!$E$13+'Sales Forecast'!I15*Assumptions!$F$13+'Sales Forecast'!H15*Assumptions!$G$13+'Sales Forecast'!G15*Assumptions!$H$13+'Sales Forecast'!F15*Assumptions!$I$13+2979.25)*Assumptions!$C$17</f>
        <v/>
      </c>
      <c r="M19" s="20">
        <f>('Sales Forecast'!M15*Assumptions!$C$12+'Sales Forecast'!L15*Assumptions!$D$12+'Sales Forecast'!K15*Assumptions!$E$12+'Sales Forecast'!J15*Assumptions!$F$12+'Sales Forecast'!I15*Assumptions!$G$12+'Sales Forecast'!H15*Assumptions!$H$12+'Sales Forecast'!G15*Assumptions!$I$12+'Sales Forecast'!M15*Assumptions!$C$13+'Sales Forecast'!L15*Assumptions!$D$13+'Sales Forecast'!K15*Assumptions!$E$13+'Sales Forecast'!J15*Assumptions!$F$13+'Sales Forecast'!I15*Assumptions!$G$13+'Sales Forecast'!H15*Assumptions!$H$13+'Sales Forecast'!G15*Assumptions!$I$13+2979.25)*Assumptions!$C$17</f>
        <v/>
      </c>
      <c r="N19" s="20">
        <f>('Sales Forecast'!N15*Assumptions!$C$12+'Sales Forecast'!M15*Assumptions!$D$12+'Sales Forecast'!L15*Assumptions!$E$12+'Sales Forecast'!K15*Assumptions!$F$12+'Sales Forecast'!J15*Assumptions!$G$12+'Sales Forecast'!I15*Assumptions!$H$12+'Sales Forecast'!H15*Assumptions!$I$12+'Sales Forecast'!N15*Assumptions!$C$13+'Sales Forecast'!M15*Assumptions!$D$13+'Sales Forecast'!L15*Assumptions!$E$13+'Sales Forecast'!K15*Assumptions!$F$13+'Sales Forecast'!J15*Assumptions!$G$13+'Sales Forecast'!I15*Assumptions!$H$13+'Sales Forecast'!H15*Assumptions!$I$13+2979.25)*Assumptions!$C$17</f>
        <v/>
      </c>
      <c r="O19" s="20">
        <f>('Sales Forecast'!O15*Assumptions!$C$12+'Sales Forecast'!N15*Assumptions!$D$12+'Sales Forecast'!M15*Assumptions!$E$12+'Sales Forecast'!L15*Assumptions!$F$12+'Sales Forecast'!K15*Assumptions!$G$12+'Sales Forecast'!J15*Assumptions!$H$12+'Sales Forecast'!I15*Assumptions!$I$12+'Sales Forecast'!O15*Assumptions!$C$13+'Sales Forecast'!N15*Assumptions!$D$13+'Sales Forecast'!M15*Assumptions!$E$13+'Sales Forecast'!L15*Assumptions!$F$13+'Sales Forecast'!K15*Assumptions!$G$13+'Sales Forecast'!J15*Assumptions!$H$13+'Sales Forecast'!I15*Assumptions!$I$13+2979.25)*Assumptions!$C$17</f>
        <v/>
      </c>
      <c r="P19" s="20">
        <f>('Sales Forecast'!P15*Assumptions!$C$12+'Sales Forecast'!O15*Assumptions!$D$12+'Sales Forecast'!N15*Assumptions!$E$12+'Sales Forecast'!M15*Assumptions!$F$12+'Sales Forecast'!L15*Assumptions!$G$12+'Sales Forecast'!K15*Assumptions!$H$12+'Sales Forecast'!J15*Assumptions!$I$12+'Sales Forecast'!P15*Assumptions!$C$13+'Sales Forecast'!O15*Assumptions!$D$13+'Sales Forecast'!N15*Assumptions!$E$13+'Sales Forecast'!M15*Assumptions!$F$13+'Sales Forecast'!L15*Assumptions!$G$13+'Sales Forecast'!K15*Assumptions!$H$13+'Sales Forecast'!J15*Assumptions!$I$13+2979.25)*Assumptions!$C$17</f>
        <v/>
      </c>
      <c r="Q19" s="20">
        <f>('Sales Forecast'!Q15*Assumptions!$C$12+'Sales Forecast'!P15*Assumptions!$D$12+'Sales Forecast'!O15*Assumptions!$E$12+'Sales Forecast'!N15*Assumptions!$F$12+'Sales Forecast'!M15*Assumptions!$G$12+'Sales Forecast'!L15*Assumptions!$H$12+'Sales Forecast'!K15*Assumptions!$I$12+'Sales Forecast'!Q15*Assumptions!$C$13+'Sales Forecast'!P15*Assumptions!$D$13+'Sales Forecast'!O15*Assumptions!$E$13+'Sales Forecast'!N15*Assumptions!$F$13+'Sales Forecast'!M15*Assumptions!$G$13+'Sales Forecast'!L15*Assumptions!$H$13+'Sales Forecast'!K15*Assumptions!$I$13+2979.25)*Assumptions!$C$17</f>
        <v/>
      </c>
      <c r="R19" s="20">
        <f>('Sales Forecast'!R15*Assumptions!$C$12+'Sales Forecast'!Q15*Assumptions!$D$12+'Sales Forecast'!P15*Assumptions!$E$12+'Sales Forecast'!O15*Assumptions!$F$12+'Sales Forecast'!N15*Assumptions!$G$12+'Sales Forecast'!M15*Assumptions!$H$12+'Sales Forecast'!L15*Assumptions!$I$12+'Sales Forecast'!R15*Assumptions!$C$13+'Sales Forecast'!Q15*Assumptions!$D$13+'Sales Forecast'!P15*Assumptions!$E$13+'Sales Forecast'!O15*Assumptions!$F$13+'Sales Forecast'!N15*Assumptions!$G$13+'Sales Forecast'!M15*Assumptions!$H$13+'Sales Forecast'!L15*Assumptions!$I$13+2979.25)*Assumptions!$C$17</f>
        <v/>
      </c>
      <c r="S19" s="20">
        <f>('Sales Forecast'!S15*Assumptions!$C$12+'Sales Forecast'!R15*Assumptions!$D$12+'Sales Forecast'!Q15*Assumptions!$E$12+'Sales Forecast'!P15*Assumptions!$F$12+'Sales Forecast'!O15*Assumptions!$G$12+'Sales Forecast'!N15*Assumptions!$H$12+'Sales Forecast'!M15*Assumptions!$I$12+'Sales Forecast'!S15*Assumptions!$C$13+'Sales Forecast'!R15*Assumptions!$D$13+'Sales Forecast'!Q15*Assumptions!$E$13+'Sales Forecast'!P15*Assumptions!$F$13+'Sales Forecast'!O15*Assumptions!$G$13+'Sales Forecast'!N15*Assumptions!$H$13+'Sales Forecast'!M15*Assumptions!$I$13+2979.25)*Assumptions!$C$17</f>
        <v/>
      </c>
      <c r="T19" s="20">
        <f>('Sales Forecast'!T15*Assumptions!$C$12+'Sales Forecast'!S15*Assumptions!$D$12+'Sales Forecast'!R15*Assumptions!$E$12+'Sales Forecast'!Q15*Assumptions!$F$12+'Sales Forecast'!P15*Assumptions!$G$12+'Sales Forecast'!O15*Assumptions!$H$12+'Sales Forecast'!N15*Assumptions!$I$12+'Sales Forecast'!T15*Assumptions!$C$13+'Sales Forecast'!S15*Assumptions!$D$13+'Sales Forecast'!R15*Assumptions!$E$13+'Sales Forecast'!Q15*Assumptions!$F$13+'Sales Forecast'!P15*Assumptions!$G$13+'Sales Forecast'!O15*Assumptions!$H$13+'Sales Forecast'!N15*Assumptions!$I$13+2979.25)*Assumptions!$C$17</f>
        <v/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Forecast'!O15*Assumptions!$I$12+'Sales Forecast'!U15*Assumptions!$C$13+'Sales Forecast'!T15*Assumptions!$D$13+'Sales Forecast'!S15*Assumptions!$E$13+'Sales Forecast'!R15*Assumptions!$F$13+'Sales Forecast'!Q15*Assumptions!$G$13+'Sales Forecast'!P15*Assumptions!$H$13+'Sales Forecast'!O15*Assumptions!$I$13+2979.25)*Assumptions!$C$17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9180.58</v>
      </c>
      <c r="E20" s="19" t="n">
        <v>11390.15</v>
      </c>
      <c r="F20" s="19" t="n">
        <v>14178</v>
      </c>
      <c r="G20" s="19" t="n">
        <v>4459.9</v>
      </c>
      <c r="H20" s="88" t="n">
        <v>9276.35</v>
      </c>
      <c r="I20" s="20">
        <f>('Sales Forecast'!I15*Assumptions!$C$12+'Sales Forecast'!H15*Assumptions!$D$12+'Sales Forecast'!G15*Assumptions!$E$12+'Sales Forecast'!F15*Assumptions!$F$12+'Sales Forecast'!E15*Assumptions!$G$12+'Sales Forecast'!D15*Assumptions!$H$12+'Sales Forecast'!I15*Assumptions!$C$13+'Sales Forecast'!H15*Assumptions!$D$13+'Sales Forecast'!G15*Assumptions!$E$13+'Sales Forecast'!F15*Assumptions!$F$13+'Sales Forecast'!E15*Assumptions!$G$13+'Sales Forecast'!D15*Assumptions!$H$13+2979.25)*Assumptions!$C$18</f>
        <v/>
      </c>
      <c r="J20" s="20">
        <f>('Sales Forecast'!J15*Assumptions!$C$12+'Sales Forecast'!I15*Assumptions!$D$12+'Sales Forecast'!H15*Assumptions!$E$12+'Sales Forecast'!G15*Assumptions!$F$12+'Sales Forecast'!F15*Assumptions!$G$12+'Sales Forecast'!E15*Assumptions!$H$12+'Sales Forecast'!D15*Assumptions!$I$12+'Sales Forecast'!J15*Assumptions!$C$13+'Sales Forecast'!I15*Assumptions!$D$13+'Sales Forecast'!H15*Assumptions!$E$13+'Sales Forecast'!G15*Assumptions!$F$13+'Sales Forecast'!F15*Assumptions!$G$13+'Sales Forecast'!E15*Assumptions!$H$13+'Sales Forecast'!D15*Assumptions!$I$13+2979.25)*Assumptions!$C$18</f>
        <v/>
      </c>
      <c r="K20" s="20">
        <f>('Sales Forecast'!K15*Assumptions!$C$12+'Sales Forecast'!J15*Assumptions!$D$12+'Sales Forecast'!I15*Assumptions!$E$12+'Sales Forecast'!H15*Assumptions!$F$12+'Sales Forecast'!G15*Assumptions!$G$12+'Sales Forecast'!F15*Assumptions!$H$12+'Sales Forecast'!E15*Assumptions!$I$12+'Sales Forecast'!K15*Assumptions!$C$13+'Sales Forecast'!J15*Assumptions!$D$13+'Sales Forecast'!I15*Assumptions!$E$13+'Sales Forecast'!H15*Assumptions!$F$13+'Sales Forecast'!G15*Assumptions!$G$13+'Sales Forecast'!F15*Assumptions!$H$13+'Sales Forecast'!E15*Assumptions!$I$13+2979.25)*Assumptions!$C$18</f>
        <v/>
      </c>
      <c r="L20" s="20">
        <f>('Sales Forecast'!L15*Assumptions!$C$12+'Sales Forecast'!K15*Assumptions!$D$12+'Sales Forecast'!J15*Assumptions!$E$12+'Sales Forecast'!I15*Assumptions!$F$12+'Sales Forecast'!H15*Assumptions!$G$12+'Sales Forecast'!G15*Assumptions!$H$12+'Sales Forecast'!F15*Assumptions!$I$12+'Sales Forecast'!L15*Assumptions!$C$13+'Sales Forecast'!K15*Assumptions!$D$13+'Sales Forecast'!J15*Assumptions!$E$13+'Sales Forecast'!I15*Assumptions!$F$13+'Sales Forecast'!H15*Assumptions!$G$13+'Sales Forecast'!G15*Assumptions!$H$13+'Sales Forecast'!F15*Assumptions!$I$13+2979.25)*Assumptions!$C$18</f>
        <v/>
      </c>
      <c r="M20" s="20">
        <f>('Sales Forecast'!M15*Assumptions!$C$12+'Sales Forecast'!L15*Assumptions!$D$12+'Sales Forecast'!K15*Assumptions!$E$12+'Sales Forecast'!J15*Assumptions!$F$12+'Sales Forecast'!I15*Assumptions!$G$12+'Sales Forecast'!H15*Assumptions!$H$12+'Sales Forecast'!G15*Assumptions!$I$12+'Sales Forecast'!M15*Assumptions!$C$13+'Sales Forecast'!L15*Assumptions!$D$13+'Sales Forecast'!K15*Assumptions!$E$13+'Sales Forecast'!J15*Assumptions!$F$13+'Sales Forecast'!I15*Assumptions!$G$13+'Sales Forecast'!H15*Assumptions!$H$13+'Sales Forecast'!G15*Assumptions!$I$13+2979.25)*Assumptions!$C$18</f>
        <v/>
      </c>
      <c r="N20" s="20">
        <f>('Sales Forecast'!N15*Assumptions!$C$12+'Sales Forecast'!M15*Assumptions!$D$12+'Sales Forecast'!L15*Assumptions!$E$12+'Sales Forecast'!K15*Assumptions!$F$12+'Sales Forecast'!J15*Assumptions!$G$12+'Sales Forecast'!I15*Assumptions!$H$12+'Sales Forecast'!H15*Assumptions!$I$12+'Sales Forecast'!N15*Assumptions!$C$13+'Sales Forecast'!M15*Assumptions!$D$13+'Sales Forecast'!L15*Assumptions!$E$13+'Sales Forecast'!K15*Assumptions!$F$13+'Sales Forecast'!J15*Assumptions!$G$13+'Sales Forecast'!I15*Assumptions!$H$13+'Sales Forecast'!H15*Assumptions!$I$13+2979.25)*Assumptions!$C$18</f>
        <v/>
      </c>
      <c r="O20" s="20">
        <f>('Sales Forecast'!O15*Assumptions!$C$12+'Sales Forecast'!N15*Assumptions!$D$12+'Sales Forecast'!M15*Assumptions!$E$12+'Sales Forecast'!L15*Assumptions!$F$12+'Sales Forecast'!K15*Assumptions!$G$12+'Sales Forecast'!J15*Assumptions!$H$12+'Sales Forecast'!I15*Assumptions!$I$12+'Sales Forecast'!O15*Assumptions!$C$13+'Sales Forecast'!N15*Assumptions!$D$13+'Sales Forecast'!M15*Assumptions!$E$13+'Sales Forecast'!L15*Assumptions!$F$13+'Sales Forecast'!K15*Assumptions!$G$13+'Sales Forecast'!J15*Assumptions!$H$13+'Sales Forecast'!I15*Assumptions!$I$13+2979.25)*Assumptions!$C$18</f>
        <v/>
      </c>
      <c r="P20" s="20">
        <f>('Sales Forecast'!P15*Assumptions!$C$12+'Sales Forecast'!O15*Assumptions!$D$12+'Sales Forecast'!N15*Assumptions!$E$12+'Sales Forecast'!M15*Assumptions!$F$12+'Sales Forecast'!L15*Assumptions!$G$12+'Sales Forecast'!K15*Assumptions!$H$12+'Sales Forecast'!J15*Assumptions!$I$12+'Sales Forecast'!P15*Assumptions!$C$13+'Sales Forecast'!O15*Assumptions!$D$13+'Sales Forecast'!N15*Assumptions!$E$13+'Sales Forecast'!M15*Assumptions!$F$13+'Sales Forecast'!L15*Assumptions!$G$13+'Sales Forecast'!K15*Assumptions!$H$13+'Sales Forecast'!J15*Assumptions!$I$13+2979.25)*Assumptions!$C$18</f>
        <v/>
      </c>
      <c r="Q20" s="20">
        <f>('Sales Forecast'!Q15*Assumptions!$C$12+'Sales Forecast'!P15*Assumptions!$D$12+'Sales Forecast'!O15*Assumptions!$E$12+'Sales Forecast'!N15*Assumptions!$F$12+'Sales Forecast'!M15*Assumptions!$G$12+'Sales Forecast'!L15*Assumptions!$H$12+'Sales Forecast'!K15*Assumptions!$I$12+'Sales Forecast'!Q15*Assumptions!$C$13+'Sales Forecast'!P15*Assumptions!$D$13+'Sales Forecast'!O15*Assumptions!$E$13+'Sales Forecast'!N15*Assumptions!$F$13+'Sales Forecast'!M15*Assumptions!$G$13+'Sales Forecast'!L15*Assumptions!$H$13+'Sales Forecast'!K15*Assumptions!$I$13+2979.25)*Assumptions!$C$18</f>
        <v/>
      </c>
      <c r="R20" s="20">
        <f>('Sales Forecast'!R15*Assumptions!$C$12+'Sales Forecast'!Q15*Assumptions!$D$12+'Sales Forecast'!P15*Assumptions!$E$12+'Sales Forecast'!O15*Assumptions!$F$12+'Sales Forecast'!N15*Assumptions!$G$12+'Sales Forecast'!M15*Assumptions!$H$12+'Sales Forecast'!L15*Assumptions!$I$12+'Sales Forecast'!R15*Assumptions!$C$13+'Sales Forecast'!Q15*Assumptions!$D$13+'Sales Forecast'!P15*Assumptions!$E$13+'Sales Forecast'!O15*Assumptions!$F$13+'Sales Forecast'!N15*Assumptions!$G$13+'Sales Forecast'!M15*Assumptions!$H$13+'Sales Forecast'!L15*Assumptions!$I$13+2979.25)*Assumptions!$C$18</f>
        <v/>
      </c>
      <c r="S20" s="20">
        <f>('Sales Forecast'!S15*Assumptions!$C$12+'Sales Forecast'!R15*Assumptions!$D$12+'Sales Forecast'!Q15*Assumptions!$E$12+'Sales Forecast'!P15*Assumptions!$F$12+'Sales Forecast'!O15*Assumptions!$G$12+'Sales Forecast'!N15*Assumptions!$H$12+'Sales Forecast'!M15*Assumptions!$I$12+'Sales Forecast'!S15*Assumptions!$C$13+'Sales Forecast'!R15*Assumptions!$D$13+'Sales Forecast'!Q15*Assumptions!$E$13+'Sales Forecast'!P15*Assumptions!$F$13+'Sales Forecast'!O15*Assumptions!$G$13+'Sales Forecast'!N15*Assumptions!$H$13+'Sales Forecast'!M15*Assumptions!$I$13+2979.25)*Assumptions!$C$18</f>
        <v/>
      </c>
      <c r="T20" s="20">
        <f>('Sales Forecast'!T15*Assumptions!$C$12+'Sales Forecast'!S15*Assumptions!$D$12+'Sales Forecast'!R15*Assumptions!$E$12+'Sales Forecast'!Q15*Assumptions!$F$12+'Sales Forecast'!P15*Assumptions!$G$12+'Sales Forecast'!O15*Assumptions!$H$12+'Sales Forecast'!N15*Assumptions!$I$12+'Sales Forecast'!T15*Assumptions!$C$13+'Sales Forecast'!S15*Assumptions!$D$13+'Sales Forecast'!R15*Assumptions!$E$13+'Sales Forecast'!Q15*Assumptions!$F$13+'Sales Forecast'!P15*Assumptions!$G$13+'Sales Forecast'!O15*Assumptions!$H$13+'Sales Forecast'!N15*Assumptions!$I$13+2979.25)*Assumptions!$C$18</f>
        <v/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Forecast'!O15*Assumptions!$I$12+'Sales Forecast'!U15*Assumptions!$C$13+'Sales Forecast'!T15*Assumptions!$D$13+'Sales Forecast'!S15*Assumptions!$E$13+'Sales Forecast'!R15*Assumptions!$F$13+'Sales Forecast'!Q15*Assumptions!$G$13+'Sales Forecast'!P15*Assumptions!$H$13+'Sales Forecast'!O15*Assumptions!$I$13+2979.25)*Assumptions!$C$18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229391.12</v>
      </c>
      <c r="E21" s="35" t="n">
        <v>188190.65</v>
      </c>
      <c r="F21" s="35" t="n">
        <v>176426.37</v>
      </c>
      <c r="G21" s="35" t="n">
        <v>170664.83</v>
      </c>
      <c r="H21" s="89" t="n">
        <v>166685.52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1384.3</v>
      </c>
      <c r="E23" s="19" t="n">
        <v>1602.9</v>
      </c>
      <c r="F23" s="19" t="n">
        <v>968.6</v>
      </c>
      <c r="G23" s="19" t="n">
        <v>1520.5</v>
      </c>
      <c r="H23" s="88" t="n">
        <v>350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6173.53</v>
      </c>
      <c r="E24" s="19" t="n">
        <v>5025.11</v>
      </c>
      <c r="F24" s="19" t="n">
        <v>7209.84</v>
      </c>
      <c r="G24" s="19" t="n">
        <v>5237.55</v>
      </c>
      <c r="H24" s="88" t="n">
        <v>6154.63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7557.83</v>
      </c>
      <c r="E25" s="35" t="n">
        <v>6628.01</v>
      </c>
      <c r="F25" s="35" t="n">
        <v>8178.44</v>
      </c>
      <c r="G25" s="35" t="n">
        <v>6758.05</v>
      </c>
      <c r="H25" s="89" t="n">
        <v>6504.63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221833.29</v>
      </c>
      <c r="E26" s="35" t="n">
        <v>181562.64</v>
      </c>
      <c r="F26" s="35" t="n">
        <v>168247.93</v>
      </c>
      <c r="G26" s="35" t="n">
        <v>163906.78</v>
      </c>
      <c r="H26" s="89" t="n">
        <v>160180.89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590.91</v>
      </c>
      <c r="E28" s="19" t="n">
        <v>0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590.91</v>
      </c>
      <c r="E33" s="35" t="n">
        <v>0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92642.72</v>
      </c>
      <c r="E34" s="19" t="n">
        <v>81606.42</v>
      </c>
      <c r="F34" s="19" t="n">
        <v>77065.11</v>
      </c>
      <c r="G34" s="19" t="n">
        <v>76022.50999999999</v>
      </c>
      <c r="H34" s="88" t="n">
        <v>79273.85000000001</v>
      </c>
      <c r="I34" s="20" t="n">
        <v>87661.57000000001</v>
      </c>
      <c r="J34" s="20" t="n">
        <v>87484.32000000001</v>
      </c>
      <c r="K34" s="20" t="n">
        <v>87486.48</v>
      </c>
      <c r="L34" s="20" t="n">
        <v>86947.74000000001</v>
      </c>
      <c r="M34" s="20" t="n">
        <v>88263.81</v>
      </c>
      <c r="N34" s="20" t="n">
        <v>90978.81</v>
      </c>
      <c r="O34" s="20" t="n">
        <v>88559.11</v>
      </c>
      <c r="P34" s="20" t="n">
        <v>87257.24000000001</v>
      </c>
      <c r="Q34" s="20" t="n">
        <v>85624.52</v>
      </c>
      <c r="R34" s="20" t="n">
        <v>86554.45</v>
      </c>
      <c r="S34" s="20" t="n">
        <v>89164.97</v>
      </c>
      <c r="T34" s="20" t="n">
        <v>89031.83</v>
      </c>
      <c r="U34" s="20" t="n">
        <v>88568.58</v>
      </c>
      <c r="V34" s="20" t="n">
        <v>88382.46000000001</v>
      </c>
      <c r="W34" s="20" t="n">
        <v>88384.74000000001</v>
      </c>
      <c r="X34" s="20" t="n">
        <v>87819.05</v>
      </c>
      <c r="Y34" s="20" t="n">
        <v>89200.92999999999</v>
      </c>
      <c r="Z34" s="20" t="n">
        <v>93199.31</v>
      </c>
      <c r="AA34" s="20" t="n">
        <v>89511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</row>
    <row r="35">
      <c r="B35" s="33" t="inlineStr">
        <is>
          <t xml:space="preserve">  602004 Payroll Taxes</t>
        </is>
      </c>
      <c r="D35" s="19" t="n">
        <v>15304.67</v>
      </c>
      <c r="E35" s="19" t="n">
        <v>7998.06</v>
      </c>
      <c r="F35" s="19" t="n">
        <v>7142.5</v>
      </c>
      <c r="G35" s="19" t="n">
        <v>6736.08</v>
      </c>
      <c r="H35" s="88" t="n">
        <v>6944.01</v>
      </c>
      <c r="I35" s="20" t="n">
        <v>9957.24</v>
      </c>
      <c r="J35" s="20" t="n">
        <v>9937.110000000001</v>
      </c>
      <c r="K35" s="20" t="n">
        <v>9937.360000000001</v>
      </c>
      <c r="L35" s="20" t="n">
        <v>9876.16</v>
      </c>
      <c r="M35" s="20" t="n">
        <v>10025.65</v>
      </c>
      <c r="N35" s="20" t="n">
        <v>10334.04</v>
      </c>
      <c r="O35" s="20" t="n">
        <v>10059.19</v>
      </c>
      <c r="P35" s="20" t="n">
        <v>9911.32</v>
      </c>
      <c r="Q35" s="20" t="n">
        <v>9725.860000000001</v>
      </c>
      <c r="R35" s="20" t="n">
        <v>9831.49</v>
      </c>
      <c r="S35" s="20" t="n">
        <v>10128.01</v>
      </c>
      <c r="T35" s="20" t="n">
        <v>10112.89</v>
      </c>
      <c r="U35" s="20" t="n">
        <v>10060.27</v>
      </c>
      <c r="V35" s="20" t="n">
        <v>10039.13</v>
      </c>
      <c r="W35" s="20" t="n">
        <v>10039.39</v>
      </c>
      <c r="X35" s="20" t="n">
        <v>9975.129999999999</v>
      </c>
      <c r="Y35" s="20" t="n">
        <v>10132.1</v>
      </c>
      <c r="Z35" s="20" t="n">
        <v>10586.26</v>
      </c>
      <c r="AA35" s="20" t="n">
        <v>10167.32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</row>
    <row r="36">
      <c r="B36" s="33" t="inlineStr">
        <is>
          <t xml:space="preserve">  602005 Employee Benefits</t>
        </is>
      </c>
      <c r="D36" s="19" t="n">
        <v>736.6</v>
      </c>
      <c r="E36" s="19" t="n">
        <v>1399.13</v>
      </c>
      <c r="F36" s="19" t="n">
        <v>1047.5</v>
      </c>
      <c r="G36" s="19" t="n">
        <v>784.88</v>
      </c>
      <c r="H36" s="88" t="n">
        <v>764.45</v>
      </c>
      <c r="I36" s="20" t="n">
        <v>1062.67</v>
      </c>
      <c r="J36" s="20" t="n">
        <v>1060.52</v>
      </c>
      <c r="K36" s="20" t="n">
        <v>1060.55</v>
      </c>
      <c r="L36" s="20" t="n">
        <v>1054.02</v>
      </c>
      <c r="M36" s="20" t="n">
        <v>1069.97</v>
      </c>
      <c r="N36" s="20" t="n">
        <v>1102.88</v>
      </c>
      <c r="O36" s="20" t="n">
        <v>1073.55</v>
      </c>
      <c r="P36" s="20" t="n">
        <v>1057.77</v>
      </c>
      <c r="Q36" s="20" t="n">
        <v>1037.98</v>
      </c>
      <c r="R36" s="20" t="n">
        <v>1049.25</v>
      </c>
      <c r="S36" s="20" t="n">
        <v>1080.89</v>
      </c>
      <c r="T36" s="20" t="n">
        <v>1079.28</v>
      </c>
      <c r="U36" s="20" t="n">
        <v>1073.66</v>
      </c>
      <c r="V36" s="20" t="n">
        <v>1071.41</v>
      </c>
      <c r="W36" s="20" t="n">
        <v>1071.44</v>
      </c>
      <c r="X36" s="20" t="n">
        <v>1064.58</v>
      </c>
      <c r="Y36" s="20" t="n">
        <v>1081.33</v>
      </c>
      <c r="Z36" s="20" t="n">
        <v>1129.8</v>
      </c>
      <c r="AA36" s="20" t="n">
        <v>1085.09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</row>
    <row r="37">
      <c r="B37" s="33" t="inlineStr">
        <is>
          <t xml:space="preserve">  602010 Payroll Processing Fees</t>
        </is>
      </c>
      <c r="D37" s="19" t="n">
        <v>4166.79</v>
      </c>
      <c r="E37" s="19" t="n">
        <v>4167.5</v>
      </c>
      <c r="F37" s="19" t="n">
        <v>5043.78</v>
      </c>
      <c r="G37" s="19" t="n">
        <v>3547.15</v>
      </c>
      <c r="H37" s="88" t="n">
        <v>3529.36</v>
      </c>
      <c r="I37" s="20" t="n">
        <v>4532.61</v>
      </c>
      <c r="J37" s="20" t="n">
        <v>4523.45</v>
      </c>
      <c r="K37" s="20" t="n">
        <v>4523.56</v>
      </c>
      <c r="L37" s="20" t="n">
        <v>4495.71</v>
      </c>
      <c r="M37" s="20" t="n">
        <v>4563.75</v>
      </c>
      <c r="N37" s="20" t="n">
        <v>4704.14</v>
      </c>
      <c r="O37" s="20" t="n">
        <v>4579.02</v>
      </c>
      <c r="P37" s="20" t="n">
        <v>4511.71</v>
      </c>
      <c r="Q37" s="20" t="n">
        <v>4427.29</v>
      </c>
      <c r="R37" s="20" t="n">
        <v>4475.37</v>
      </c>
      <c r="S37" s="20" t="n">
        <v>4610.35</v>
      </c>
      <c r="T37" s="20" t="n">
        <v>4603.46</v>
      </c>
      <c r="U37" s="20" t="n">
        <v>4579.51</v>
      </c>
      <c r="V37" s="20" t="n">
        <v>4569.89</v>
      </c>
      <c r="W37" s="20" t="n">
        <v>4570.01</v>
      </c>
      <c r="X37" s="20" t="n">
        <v>4540.76</v>
      </c>
      <c r="Y37" s="20" t="n">
        <v>4612.21</v>
      </c>
      <c r="Z37" s="20" t="n">
        <v>4818.95</v>
      </c>
      <c r="AA37" s="20" t="n">
        <v>4628.24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</row>
    <row r="38">
      <c r="B38" s="32" t="inlineStr">
        <is>
          <t>Total Payroll</t>
        </is>
      </c>
      <c r="C38" s="34" t="n"/>
      <c r="D38" s="35" t="n">
        <v>112850.78</v>
      </c>
      <c r="E38" s="35" t="n">
        <v>95171.11</v>
      </c>
      <c r="F38" s="35" t="n">
        <v>90298.89</v>
      </c>
      <c r="G38" s="35" t="n">
        <v>87090.62</v>
      </c>
      <c r="H38" s="89" t="n">
        <v>90511.67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756.08</v>
      </c>
      <c r="E39" s="19" t="n">
        <v>1214.43</v>
      </c>
      <c r="F39" s="19" t="n">
        <v>757.08</v>
      </c>
      <c r="G39" s="19" t="n">
        <v>869.26</v>
      </c>
      <c r="H39" s="88" t="n">
        <v>780.26</v>
      </c>
      <c r="I39" s="20" t="n">
        <v>787.1900000000001</v>
      </c>
      <c r="J39" s="20" t="n">
        <v>787.1900000000001</v>
      </c>
      <c r="K39" s="20" t="n">
        <v>787.1900000000001</v>
      </c>
      <c r="L39" s="20" t="n">
        <v>787.1900000000001</v>
      </c>
      <c r="M39" s="20" t="n">
        <v>787.1900000000001</v>
      </c>
      <c r="N39" s="20" t="n">
        <v>787.1900000000001</v>
      </c>
      <c r="O39" s="20" t="n">
        <v>787.1900000000001</v>
      </c>
      <c r="P39" s="20" t="n">
        <v>787.1900000000001</v>
      </c>
      <c r="Q39" s="20" t="n">
        <v>787.1900000000001</v>
      </c>
      <c r="R39" s="20" t="n">
        <v>787.1900000000001</v>
      </c>
      <c r="S39" s="20" t="n">
        <v>787.1900000000001</v>
      </c>
      <c r="T39" s="20" t="n">
        <v>787.1900000000001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</row>
    <row r="40">
      <c r="B40" s="33" t="inlineStr">
        <is>
          <t xml:space="preserve">  608000 Insurance</t>
        </is>
      </c>
      <c r="D40" s="19" t="n">
        <v>131.96</v>
      </c>
      <c r="E40" s="19" t="n">
        <v>131.96</v>
      </c>
      <c r="F40" s="19" t="n">
        <v>321.78</v>
      </c>
      <c r="G40" s="19" t="n">
        <v>321.78</v>
      </c>
      <c r="H40" s="88" t="n">
        <v>310.89</v>
      </c>
      <c r="I40" s="20" t="n">
        <v>198.61</v>
      </c>
      <c r="J40" s="20" t="n">
        <v>198.61</v>
      </c>
      <c r="K40" s="20" t="n">
        <v>198.61</v>
      </c>
      <c r="L40" s="20" t="n">
        <v>198.61</v>
      </c>
      <c r="M40" s="20" t="n">
        <v>198.61</v>
      </c>
      <c r="N40" s="20" t="n">
        <v>198.61</v>
      </c>
      <c r="O40" s="20" t="n">
        <v>198.61</v>
      </c>
      <c r="P40" s="20" t="n">
        <v>198.61</v>
      </c>
      <c r="Q40" s="20" t="n">
        <v>198.61</v>
      </c>
      <c r="R40" s="20" t="n">
        <v>198.61</v>
      </c>
      <c r="S40" s="20" t="n">
        <v>198.61</v>
      </c>
      <c r="T40" s="20" t="n">
        <v>198.61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</row>
    <row r="41">
      <c r="B41" s="33" t="inlineStr">
        <is>
          <t xml:space="preserve">  610000 Office Supplies</t>
        </is>
      </c>
      <c r="D41" s="19" t="n">
        <v>629.09</v>
      </c>
      <c r="E41" s="19" t="n">
        <v>252.86</v>
      </c>
      <c r="F41" s="19" t="n">
        <v>1207.64</v>
      </c>
      <c r="G41" s="19" t="n">
        <v>338.23</v>
      </c>
      <c r="H41" s="88" t="n">
        <v>0</v>
      </c>
      <c r="I41" s="20" t="n">
        <v>531.34</v>
      </c>
      <c r="J41" s="20" t="n">
        <v>531.34</v>
      </c>
      <c r="K41" s="20" t="n">
        <v>531.34</v>
      </c>
      <c r="L41" s="20" t="n">
        <v>531.34</v>
      </c>
      <c r="M41" s="20" t="n">
        <v>531.34</v>
      </c>
      <c r="N41" s="20" t="n">
        <v>531.34</v>
      </c>
      <c r="O41" s="20" t="n">
        <v>531.34</v>
      </c>
      <c r="P41" s="20" t="n">
        <v>531.34</v>
      </c>
      <c r="Q41" s="20" t="n">
        <v>531.34</v>
      </c>
      <c r="R41" s="20" t="n">
        <v>531.34</v>
      </c>
      <c r="S41" s="20" t="n">
        <v>531.34</v>
      </c>
      <c r="T41" s="20" t="n">
        <v>531.34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3.65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4.97</v>
      </c>
      <c r="F49" s="19" t="n">
        <v>9.960000000000001</v>
      </c>
      <c r="G49" s="19" t="n">
        <v>538.15</v>
      </c>
      <c r="H49" s="88" t="n">
        <v>214.1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477.46</v>
      </c>
      <c r="E51" s="19" t="n">
        <v>604.29</v>
      </c>
      <c r="F51" s="19" t="n">
        <v>600.67</v>
      </c>
      <c r="G51" s="19" t="n">
        <v>680.12</v>
      </c>
      <c r="H51" s="88" t="n">
        <v>527.4299999999999</v>
      </c>
      <c r="I51" s="20" t="n">
        <v>592.6799999999999</v>
      </c>
      <c r="J51" s="20" t="n">
        <v>592.6799999999999</v>
      </c>
      <c r="K51" s="20" t="n">
        <v>592.6799999999999</v>
      </c>
      <c r="L51" s="20" t="n">
        <v>592.6799999999999</v>
      </c>
      <c r="M51" s="20" t="n">
        <v>592.6799999999999</v>
      </c>
      <c r="N51" s="20" t="n">
        <v>592.6799999999999</v>
      </c>
      <c r="O51" s="20" t="n">
        <v>592.6799999999999</v>
      </c>
      <c r="P51" s="20" t="n">
        <v>592.6799999999999</v>
      </c>
      <c r="Q51" s="20" t="n">
        <v>592.6799999999999</v>
      </c>
      <c r="R51" s="20" t="n">
        <v>592.6799999999999</v>
      </c>
      <c r="S51" s="20" t="n">
        <v>592.6799999999999</v>
      </c>
      <c r="T51" s="20" t="n">
        <v>592.6799999999999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</row>
    <row r="52">
      <c r="B52" s="33" t="inlineStr">
        <is>
          <t xml:space="preserve">  616002 Internet &amp; TV</t>
        </is>
      </c>
      <c r="D52" s="19" t="n">
        <v>141.25</v>
      </c>
      <c r="E52" s="19" t="n">
        <v>145.25</v>
      </c>
      <c r="F52" s="19" t="n">
        <v>145.25</v>
      </c>
      <c r="G52" s="19" t="n">
        <v>145.25</v>
      </c>
      <c r="H52" s="88" t="n">
        <v>0</v>
      </c>
      <c r="I52" s="20" t="n">
        <v>144.75</v>
      </c>
      <c r="J52" s="20" t="n">
        <v>144.75</v>
      </c>
      <c r="K52" s="20" t="n">
        <v>144.75</v>
      </c>
      <c r="L52" s="20" t="n">
        <v>144.75</v>
      </c>
      <c r="M52" s="20" t="n">
        <v>144.75</v>
      </c>
      <c r="N52" s="20" t="n">
        <v>144.75</v>
      </c>
      <c r="O52" s="20" t="n">
        <v>144.75</v>
      </c>
      <c r="P52" s="20" t="n">
        <v>144.75</v>
      </c>
      <c r="Q52" s="20" t="n">
        <v>144.75</v>
      </c>
      <c r="R52" s="20" t="n">
        <v>144.75</v>
      </c>
      <c r="S52" s="20" t="n">
        <v>144.75</v>
      </c>
      <c r="T52" s="20" t="n">
        <v>144.75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</row>
    <row r="53">
      <c r="B53" s="33" t="inlineStr">
        <is>
          <t xml:space="preserve">  616003 Phone service</t>
        </is>
      </c>
      <c r="D53" s="19" t="n">
        <v>137.66</v>
      </c>
      <c r="E53" s="19" t="n">
        <v>137.66</v>
      </c>
      <c r="F53" s="19" t="n">
        <v>138.22</v>
      </c>
      <c r="G53" s="19" t="n">
        <v>139.16</v>
      </c>
      <c r="H53" s="88" t="n">
        <v>139.16</v>
      </c>
      <c r="I53" s="20" t="n">
        <v>138.65</v>
      </c>
      <c r="J53" s="20" t="n">
        <v>138.65</v>
      </c>
      <c r="K53" s="20" t="n">
        <v>138.65</v>
      </c>
      <c r="L53" s="20" t="n">
        <v>138.65</v>
      </c>
      <c r="M53" s="20" t="n">
        <v>138.65</v>
      </c>
      <c r="N53" s="20" t="n">
        <v>138.65</v>
      </c>
      <c r="O53" s="20" t="n">
        <v>138.65</v>
      </c>
      <c r="P53" s="20" t="n">
        <v>138.65</v>
      </c>
      <c r="Q53" s="20" t="n">
        <v>138.65</v>
      </c>
      <c r="R53" s="20" t="n">
        <v>138.65</v>
      </c>
      <c r="S53" s="20" t="n">
        <v>138.65</v>
      </c>
      <c r="T53" s="20" t="n">
        <v>138.65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</row>
    <row r="54">
      <c r="B54" s="33" t="inlineStr">
        <is>
          <t xml:space="preserve">  616004 Water &amp; sewer</t>
        </is>
      </c>
      <c r="D54" s="19" t="n">
        <v>458.86</v>
      </c>
      <c r="E54" s="19" t="n">
        <v>434.17</v>
      </c>
      <c r="F54" s="19" t="n">
        <v>0</v>
      </c>
      <c r="G54" s="19" t="n">
        <v>458.86</v>
      </c>
      <c r="H54" s="88" t="n">
        <v>200</v>
      </c>
      <c r="I54" s="20" t="n">
        <v>339.14</v>
      </c>
      <c r="J54" s="20" t="n">
        <v>339.14</v>
      </c>
      <c r="K54" s="20" t="n">
        <v>339.14</v>
      </c>
      <c r="L54" s="20" t="n">
        <v>339.14</v>
      </c>
      <c r="M54" s="20" t="n">
        <v>339.14</v>
      </c>
      <c r="N54" s="20" t="n">
        <v>339.14</v>
      </c>
      <c r="O54" s="20" t="n">
        <v>339.14</v>
      </c>
      <c r="P54" s="20" t="n">
        <v>339.14</v>
      </c>
      <c r="Q54" s="20" t="n">
        <v>339.14</v>
      </c>
      <c r="R54" s="20" t="n">
        <v>339.14</v>
      </c>
      <c r="S54" s="20" t="n">
        <v>339.14</v>
      </c>
      <c r="T54" s="20" t="n">
        <v>339.14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1215.23</v>
      </c>
      <c r="E56" s="35" t="n">
        <v>1321.37</v>
      </c>
      <c r="F56" s="35" t="n">
        <v>884.14</v>
      </c>
      <c r="G56" s="35" t="n">
        <v>1423.39</v>
      </c>
      <c r="H56" s="89" t="n">
        <v>1011.84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88" t="n">
        <v>15582.52</v>
      </c>
      <c r="I57" s="20" t="n">
        <v>16127.52</v>
      </c>
      <c r="J57" s="20" t="n">
        <v>16127.52</v>
      </c>
      <c r="K57" s="20" t="n">
        <v>16127.52</v>
      </c>
      <c r="L57" s="20" t="n">
        <v>16127.52</v>
      </c>
      <c r="M57" s="20" t="n">
        <v>16127.52</v>
      </c>
      <c r="N57" s="20" t="n">
        <v>16127.52</v>
      </c>
      <c r="O57" s="20" t="n">
        <v>16127.52</v>
      </c>
      <c r="P57" s="20" t="n">
        <v>16127.52</v>
      </c>
      <c r="Q57" s="20" t="n">
        <v>16127.52</v>
      </c>
      <c r="R57" s="20" t="n">
        <v>16127.52</v>
      </c>
      <c r="S57" s="20" t="n">
        <v>16127.52</v>
      </c>
      <c r="T57" s="20" t="n">
        <v>16127.52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1702.39</v>
      </c>
      <c r="E59" s="19" t="n">
        <v>409.9</v>
      </c>
      <c r="F59" s="19" t="n">
        <v>1181.98</v>
      </c>
      <c r="G59" s="19" t="n">
        <v>970.38</v>
      </c>
      <c r="H59" s="88" t="n">
        <v>1620.47</v>
      </c>
      <c r="I59" s="20" t="n">
        <v>1103.45</v>
      </c>
      <c r="J59" s="20" t="n">
        <v>1103.45</v>
      </c>
      <c r="K59" s="20" t="n">
        <v>1103.45</v>
      </c>
      <c r="L59" s="20" t="n">
        <v>1103.45</v>
      </c>
      <c r="M59" s="20" t="n">
        <v>1103.45</v>
      </c>
      <c r="N59" s="20" t="n">
        <v>1103.45</v>
      </c>
      <c r="O59" s="20" t="n">
        <v>1103.45</v>
      </c>
      <c r="P59" s="20" t="n">
        <v>1103.45</v>
      </c>
      <c r="Q59" s="20" t="n">
        <v>1103.45</v>
      </c>
      <c r="R59" s="20" t="n">
        <v>1103.45</v>
      </c>
      <c r="S59" s="20" t="n">
        <v>1103.45</v>
      </c>
      <c r="T59" s="20" t="n">
        <v>1103.45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</row>
    <row r="60">
      <c r="B60" s="33" t="inlineStr">
        <is>
          <t xml:space="preserve">  705000 Property Maintenance</t>
        </is>
      </c>
      <c r="D60" s="19" t="n">
        <v>7378.21</v>
      </c>
      <c r="E60" s="19" t="n">
        <v>7323.54</v>
      </c>
      <c r="F60" s="19" t="n">
        <v>7971.04</v>
      </c>
      <c r="G60" s="19" t="n">
        <v>7323.54</v>
      </c>
      <c r="H60" s="88" t="n">
        <v>8225.23</v>
      </c>
      <c r="I60" s="20" t="n">
        <v>7761.37</v>
      </c>
      <c r="J60" s="20" t="n">
        <v>7761.37</v>
      </c>
      <c r="K60" s="20" t="n">
        <v>7761.37</v>
      </c>
      <c r="L60" s="20" t="n">
        <v>7761.37</v>
      </c>
      <c r="M60" s="20" t="n">
        <v>7761.37</v>
      </c>
      <c r="N60" s="20" t="n">
        <v>7761.37</v>
      </c>
      <c r="O60" s="20" t="n">
        <v>7761.37</v>
      </c>
      <c r="P60" s="20" t="n">
        <v>7761.37</v>
      </c>
      <c r="Q60" s="20" t="n">
        <v>7761.37</v>
      </c>
      <c r="R60" s="20" t="n">
        <v>7761.37</v>
      </c>
      <c r="S60" s="20" t="n">
        <v>7761.37</v>
      </c>
      <c r="T60" s="20" t="n">
        <v>7761.37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</row>
    <row r="61">
      <c r="B61" s="32" t="inlineStr">
        <is>
          <t>Total Property Costs</t>
        </is>
      </c>
      <c r="C61" s="34" t="n"/>
      <c r="D61" s="35" t="n">
        <v>24992.34</v>
      </c>
      <c r="E61" s="35" t="n">
        <v>23315.96</v>
      </c>
      <c r="F61" s="35" t="n">
        <v>24735.54</v>
      </c>
      <c r="G61" s="35" t="n">
        <v>23876.44</v>
      </c>
      <c r="H61" s="89" t="n">
        <v>25428.22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141682.39</v>
      </c>
      <c r="E62" s="35" t="n">
        <v>122274.48</v>
      </c>
      <c r="F62" s="35" t="n">
        <v>118752.56</v>
      </c>
      <c r="G62" s="35" t="n">
        <v>114973.87</v>
      </c>
      <c r="H62" s="89" t="n">
        <v>121561.51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80150.89999999999</v>
      </c>
      <c r="E63" s="35" t="n">
        <v>59288.15999999997</v>
      </c>
      <c r="F63" s="35" t="n">
        <v>49495.37</v>
      </c>
      <c r="G63" s="35" t="n">
        <v>48932.91000000005</v>
      </c>
      <c r="H63" s="89" t="n">
        <v>38619.37999999998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2293.28</v>
      </c>
      <c r="E65" s="19" t="n">
        <v>2293.28</v>
      </c>
      <c r="F65" s="19" t="n">
        <v>2293.28</v>
      </c>
      <c r="G65" s="19" t="n">
        <v>2310.25</v>
      </c>
      <c r="H65" s="88" t="n">
        <v>2293.28</v>
      </c>
      <c r="I65" s="20">
        <f>I69*0.355901</f>
        <v/>
      </c>
      <c r="J65" s="20">
        <f>J69*0.355901</f>
        <v/>
      </c>
      <c r="K65" s="20">
        <f>K69*0.355901</f>
        <v/>
      </c>
      <c r="L65" s="20">
        <f>L69*0.355901</f>
        <v/>
      </c>
      <c r="M65" s="20">
        <f>M69*0.355901</f>
        <v/>
      </c>
      <c r="N65" s="20">
        <f>N69*0.355901</f>
        <v/>
      </c>
      <c r="O65" s="20">
        <f>O69*0.355901</f>
        <v/>
      </c>
      <c r="P65" s="20">
        <f>P69*0.355901</f>
        <v/>
      </c>
      <c r="Q65" s="20">
        <f>Q69*0.355901</f>
        <v/>
      </c>
      <c r="R65" s="20">
        <f>R69*0.355901</f>
        <v/>
      </c>
      <c r="S65" s="20">
        <f>S69*0.355901</f>
        <v/>
      </c>
      <c r="T65" s="20">
        <f>T69*0.355901</f>
        <v/>
      </c>
      <c r="U65" s="20">
        <f>U69*0.355901</f>
        <v/>
      </c>
      <c r="V65" s="20">
        <f>V69*0.355901</f>
        <v/>
      </c>
      <c r="W65" s="20">
        <f>W69*0.355901</f>
        <v/>
      </c>
      <c r="X65" s="20">
        <f>X69*0.355901</f>
        <v/>
      </c>
      <c r="Y65" s="20">
        <f>Y69*0.355901</f>
        <v/>
      </c>
      <c r="Z65" s="20">
        <f>Z69*0.355901</f>
        <v/>
      </c>
      <c r="AA65" s="20">
        <f>AA69*0.355901</f>
        <v/>
      </c>
      <c r="AB65" s="20">
        <f>AB69*0.355901</f>
        <v/>
      </c>
      <c r="AC65" s="20">
        <f>AC69*0.355901</f>
        <v/>
      </c>
      <c r="AD65" s="20">
        <f>AD69*0.355901</f>
        <v/>
      </c>
      <c r="AE65" s="20">
        <f>AE69*0.355901</f>
        <v/>
      </c>
      <c r="AF65" s="20">
        <f>AF69*0.355901</f>
        <v/>
      </c>
      <c r="AG65" s="20">
        <f>AG69*0.355901</f>
        <v/>
      </c>
      <c r="AH65" s="20">
        <f>AH69*0.355901</f>
        <v/>
      </c>
      <c r="AI65" s="20">
        <f>AI69*0.355901</f>
        <v/>
      </c>
      <c r="AJ65" s="20">
        <f>AJ69*0.355901</f>
        <v/>
      </c>
      <c r="AK65" s="20">
        <f>AK69*0.355901</f>
        <v/>
      </c>
      <c r="AL65" s="20">
        <f>AL69*0.355901</f>
        <v/>
      </c>
      <c r="AM65" s="20">
        <f>AM69*0.355901</f>
        <v/>
      </c>
    </row>
    <row r="66">
      <c r="B66" s="33" t="inlineStr">
        <is>
          <t xml:space="preserve">  901000 Interest Expense</t>
        </is>
      </c>
      <c r="D66" s="19" t="n">
        <v>3890</v>
      </c>
      <c r="E66" s="19" t="n">
        <v>3890</v>
      </c>
      <c r="F66" s="19" t="n">
        <v>3890</v>
      </c>
      <c r="G66" s="19" t="n">
        <v>3890</v>
      </c>
      <c r="H66" s="88" t="n">
        <v>0</v>
      </c>
      <c r="I66" s="20">
        <f>I69*0.602586</f>
        <v/>
      </c>
      <c r="J66" s="20">
        <f>J69*0.602586</f>
        <v/>
      </c>
      <c r="K66" s="20">
        <f>K69*0.602586</f>
        <v/>
      </c>
      <c r="L66" s="20">
        <f>L69*0.602586</f>
        <v/>
      </c>
      <c r="M66" s="20">
        <f>M69*0.602586</f>
        <v/>
      </c>
      <c r="N66" s="20">
        <f>N69*0.602586</f>
        <v/>
      </c>
      <c r="O66" s="20">
        <f>O69*0.602586</f>
        <v/>
      </c>
      <c r="P66" s="20">
        <f>P69*0.602586</f>
        <v/>
      </c>
      <c r="Q66" s="20">
        <f>Q69*0.602586</f>
        <v/>
      </c>
      <c r="R66" s="20">
        <f>R69*0.602586</f>
        <v/>
      </c>
      <c r="S66" s="20">
        <f>S69*0.602586</f>
        <v/>
      </c>
      <c r="T66" s="20">
        <f>T69*0.602586</f>
        <v/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1071.96</v>
      </c>
      <c r="F67" s="19" t="n">
        <v>0</v>
      </c>
      <c r="G67" s="19" t="n">
        <v>0</v>
      </c>
      <c r="H67" s="88" t="n">
        <v>0</v>
      </c>
      <c r="I67" s="20">
        <f>I69*0.041513</f>
        <v/>
      </c>
      <c r="J67" s="20">
        <f>J69*0.041513</f>
        <v/>
      </c>
      <c r="K67" s="20">
        <f>K69*0.041513</f>
        <v/>
      </c>
      <c r="L67" s="20">
        <f>L69*0.041513</f>
        <v/>
      </c>
      <c r="M67" s="20">
        <f>M69*0.041513</f>
        <v/>
      </c>
      <c r="N67" s="20">
        <f>N69*0.041513</f>
        <v/>
      </c>
      <c r="O67" s="20">
        <f>O69*0.041513</f>
        <v/>
      </c>
      <c r="P67" s="20">
        <f>P69*0.041513</f>
        <v/>
      </c>
      <c r="Q67" s="20">
        <f>Q69*0.041513</f>
        <v/>
      </c>
      <c r="R67" s="20">
        <f>R69*0.041513</f>
        <v/>
      </c>
      <c r="S67" s="20">
        <f>S69*0.041513</f>
        <v/>
      </c>
      <c r="T67" s="20">
        <f>T69*0.041513</f>
        <v/>
      </c>
      <c r="U67" s="20">
        <f>U69*0.041513</f>
        <v/>
      </c>
      <c r="V67" s="20">
        <f>V69*0.041513</f>
        <v/>
      </c>
      <c r="W67" s="20">
        <f>W69*0.041513</f>
        <v/>
      </c>
      <c r="X67" s="20">
        <f>X69*0.041513</f>
        <v/>
      </c>
      <c r="Y67" s="20">
        <f>Y69*0.041513</f>
        <v/>
      </c>
      <c r="Z67" s="20">
        <f>Z69*0.041513</f>
        <v/>
      </c>
      <c r="AA67" s="20">
        <f>AA69*0.041513</f>
        <v/>
      </c>
      <c r="AB67" s="20">
        <f>AB69*0.041513</f>
        <v/>
      </c>
      <c r="AC67" s="20">
        <f>AC69*0.041513</f>
        <v/>
      </c>
      <c r="AD67" s="20">
        <f>AD69*0.041513</f>
        <v/>
      </c>
      <c r="AE67" s="20">
        <f>AE69*0.041513</f>
        <v/>
      </c>
      <c r="AF67" s="20">
        <f>AF69*0.041513</f>
        <v/>
      </c>
      <c r="AG67" s="20">
        <f>AG69*0.041513</f>
        <v/>
      </c>
      <c r="AH67" s="20">
        <f>AH69*0.041513</f>
        <v/>
      </c>
      <c r="AI67" s="20">
        <f>AI69*0.041513</f>
        <v/>
      </c>
      <c r="AJ67" s="20">
        <f>AJ69*0.041513</f>
        <v/>
      </c>
      <c r="AK67" s="20">
        <f>AK69*0.041513</f>
        <v/>
      </c>
      <c r="AL67" s="20">
        <f>AL69*0.041513</f>
        <v/>
      </c>
      <c r="AM67" s="20">
        <f>AM69*0.041513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6183.280000000001</v>
      </c>
      <c r="E69" s="35" t="n">
        <v>7255.240000000001</v>
      </c>
      <c r="F69" s="35" t="n">
        <v>6183.280000000001</v>
      </c>
      <c r="G69" s="35" t="n">
        <v>6200.25</v>
      </c>
      <c r="H69" s="89" t="n">
        <v>4238.280000000001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73967.62</v>
      </c>
      <c r="E70" s="35" t="n">
        <v>52032.91999999998</v>
      </c>
      <c r="F70" s="35" t="n">
        <v>43312.09</v>
      </c>
      <c r="G70" s="35" t="n">
        <v>42732.66000000005</v>
      </c>
      <c r="H70" s="89" t="n">
        <v>34381.09999999998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West Portal (WP)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88" t="n">
        <v>0</v>
      </c>
      <c r="I7" s="20">
        <f>I13*0.166667</f>
        <v/>
      </c>
      <c r="J7" s="20">
        <f>J13*0.166667</f>
        <v/>
      </c>
      <c r="K7" s="20">
        <f>K13*0.166667</f>
        <v/>
      </c>
      <c r="L7" s="20">
        <f>L13*0.166667</f>
        <v/>
      </c>
      <c r="M7" s="20">
        <f>M13*0.166667</f>
        <v/>
      </c>
      <c r="N7" s="20">
        <f>N13*0.166667</f>
        <v/>
      </c>
      <c r="O7" s="20">
        <f>O13*0.166667</f>
        <v/>
      </c>
      <c r="P7" s="20">
        <f>P13*0.166667</f>
        <v/>
      </c>
      <c r="Q7" s="20">
        <f>Q13*0.166667</f>
        <v/>
      </c>
      <c r="R7" s="20">
        <f>R13*0.166667</f>
        <v/>
      </c>
      <c r="S7" s="20">
        <f>S13*0.166667</f>
        <v/>
      </c>
      <c r="T7" s="20">
        <f>T13*0.166667</f>
        <v/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88" t="n">
        <v>0</v>
      </c>
      <c r="I8" s="20">
        <f>I13*0.166667</f>
        <v/>
      </c>
      <c r="J8" s="20">
        <f>J13*0.166667</f>
        <v/>
      </c>
      <c r="K8" s="20">
        <f>K13*0.166667</f>
        <v/>
      </c>
      <c r="L8" s="20">
        <f>L13*0.166667</f>
        <v/>
      </c>
      <c r="M8" s="20">
        <f>M13*0.166667</f>
        <v/>
      </c>
      <c r="N8" s="20">
        <f>N13*0.166667</f>
        <v/>
      </c>
      <c r="O8" s="20">
        <f>O13*0.166667</f>
        <v/>
      </c>
      <c r="P8" s="20">
        <f>P13*0.166667</f>
        <v/>
      </c>
      <c r="Q8" s="20">
        <f>Q13*0.166667</f>
        <v/>
      </c>
      <c r="R8" s="20">
        <f>R13*0.166667</f>
        <v/>
      </c>
      <c r="S8" s="20">
        <f>S13*0.166667</f>
        <v/>
      </c>
      <c r="T8" s="20">
        <f>T13*0.166667</f>
        <v/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88" t="n">
        <v>0</v>
      </c>
      <c r="I9" s="20">
        <f>I13*0.166667</f>
        <v/>
      </c>
      <c r="J9" s="20">
        <f>J13*0.166667</f>
        <v/>
      </c>
      <c r="K9" s="20">
        <f>K13*0.166667</f>
        <v/>
      </c>
      <c r="L9" s="20">
        <f>L13*0.166667</f>
        <v/>
      </c>
      <c r="M9" s="20">
        <f>M13*0.166667</f>
        <v/>
      </c>
      <c r="N9" s="20">
        <f>N13*0.166667</f>
        <v/>
      </c>
      <c r="O9" s="20">
        <f>O13*0.166667</f>
        <v/>
      </c>
      <c r="P9" s="20">
        <f>P13*0.166667</f>
        <v/>
      </c>
      <c r="Q9" s="20">
        <f>Q13*0.166667</f>
        <v/>
      </c>
      <c r="R9" s="20">
        <f>R13*0.166667</f>
        <v/>
      </c>
      <c r="S9" s="20">
        <f>S13*0.166667</f>
        <v/>
      </c>
      <c r="T9" s="20">
        <f>T13*0.166667</f>
        <v/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0</v>
      </c>
      <c r="I10" s="20">
        <f>I13*0.166667</f>
        <v/>
      </c>
      <c r="J10" s="20">
        <f>J13*0.166667</f>
        <v/>
      </c>
      <c r="K10" s="20">
        <f>K13*0.166667</f>
        <v/>
      </c>
      <c r="L10" s="20">
        <f>L13*0.166667</f>
        <v/>
      </c>
      <c r="M10" s="20">
        <f>M13*0.166667</f>
        <v/>
      </c>
      <c r="N10" s="20">
        <f>N13*0.166667</f>
        <v/>
      </c>
      <c r="O10" s="20">
        <f>O13*0.166667</f>
        <v/>
      </c>
      <c r="P10" s="20">
        <f>P13*0.166667</f>
        <v/>
      </c>
      <c r="Q10" s="20">
        <f>Q13*0.166667</f>
        <v/>
      </c>
      <c r="R10" s="20">
        <f>R13*0.166667</f>
        <v/>
      </c>
      <c r="S10" s="20">
        <f>S13*0.166667</f>
        <v/>
      </c>
      <c r="T10" s="20">
        <f>T13*0.166667</f>
        <v/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88" t="n">
        <v>0</v>
      </c>
      <c r="I11" s="20">
        <f>I13*0.166667</f>
        <v/>
      </c>
      <c r="J11" s="20">
        <f>J13*0.166667</f>
        <v/>
      </c>
      <c r="K11" s="20">
        <f>K13*0.166667</f>
        <v/>
      </c>
      <c r="L11" s="20">
        <f>L13*0.166667</f>
        <v/>
      </c>
      <c r="M11" s="20">
        <f>M13*0.166667</f>
        <v/>
      </c>
      <c r="N11" s="20">
        <f>N13*0.166667</f>
        <v/>
      </c>
      <c r="O11" s="20">
        <f>O13*0.166667</f>
        <v/>
      </c>
      <c r="P11" s="20">
        <f>P13*0.166667</f>
        <v/>
      </c>
      <c r="Q11" s="20">
        <f>Q13*0.166667</f>
        <v/>
      </c>
      <c r="R11" s="20">
        <f>R13*0.166667</f>
        <v/>
      </c>
      <c r="S11" s="20">
        <f>S13*0.166667</f>
        <v/>
      </c>
      <c r="T11" s="20">
        <f>T13*0.166667</f>
        <v/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88" t="n">
        <v>0</v>
      </c>
      <c r="I12" s="20">
        <f>I13*0.166667</f>
        <v/>
      </c>
      <c r="J12" s="20">
        <f>J13*0.166667</f>
        <v/>
      </c>
      <c r="K12" s="20">
        <f>K13*0.166667</f>
        <v/>
      </c>
      <c r="L12" s="20">
        <f>L13*0.166667</f>
        <v/>
      </c>
      <c r="M12" s="20">
        <f>M13*0.166667</f>
        <v/>
      </c>
      <c r="N12" s="20">
        <f>N13*0.166667</f>
        <v/>
      </c>
      <c r="O12" s="20">
        <f>O13*0.166667</f>
        <v/>
      </c>
      <c r="P12" s="20">
        <f>P13*0.166667</f>
        <v/>
      </c>
      <c r="Q12" s="20">
        <f>Q13*0.166667</f>
        <v/>
      </c>
      <c r="R12" s="20">
        <f>R13*0.166667</f>
        <v/>
      </c>
      <c r="S12" s="20">
        <f>S13*0.166667</f>
        <v/>
      </c>
      <c r="T12" s="20">
        <f>T13*0.166667</f>
        <v/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89" t="n">
        <v>0</v>
      </c>
      <c r="I13" s="17">
        <f>'Sales Forecast'!I16*Assumptions!$C$12+'Sales Forecast'!H16*Assumptions!$D$12+'Sales Forecast'!G16*Assumptions!$E$12+'Sales Forecast'!F16*Assumptions!$F$12+'Sales Forecast'!E16*Assumptions!$G$12+'Sales Forecast'!D16*Assumptions!$H$12+'Sales Forecast'!I112*Assumptions!$I$12</f>
        <v/>
      </c>
      <c r="J13" s="17">
        <f>'Sales Forecast'!J16*Assumptions!$C$12+'Sales Forecast'!I16*Assumptions!$D$12+'Sales Forecast'!H16*Assumptions!$E$12+'Sales Forecast'!G16*Assumptions!$F$12+'Sales Forecast'!F16*Assumptions!$G$12+'Sales Forecast'!E16*Assumptions!$H$12+'Sales Forecast'!D16*Assumptions!$I$12</f>
        <v/>
      </c>
      <c r="K13" s="17">
        <f>'Sales Forecast'!K16*Assumptions!$C$12+'Sales Forecast'!J16*Assumptions!$D$12+'Sales Forecast'!I16*Assumptions!$E$12+'Sales Forecast'!H16*Assumptions!$F$12+'Sales Forecast'!G16*Assumptions!$G$12+'Sales Forecast'!F16*Assumptions!$H$12+'Sales Forecast'!E16*Assumptions!$I$12</f>
        <v/>
      </c>
      <c r="L13" s="17">
        <f>'Sales Forecast'!L16*Assumptions!$C$12+'Sales Forecast'!K16*Assumptions!$D$12+'Sales Forecast'!J16*Assumptions!$E$12+'Sales Forecast'!I16*Assumptions!$F$12+'Sales Forecast'!H16*Assumptions!$G$12+'Sales Forecast'!G16*Assumptions!$H$12+'Sales Forecast'!F16*Assumptions!$I$12</f>
        <v/>
      </c>
      <c r="M13" s="17">
        <f>'Sales Forecast'!M16*Assumptions!$C$12+'Sales Forecast'!L16*Assumptions!$D$12+'Sales Forecast'!K16*Assumptions!$E$12+'Sales Forecast'!J16*Assumptions!$F$12+'Sales Forecast'!I16*Assumptions!$G$12+'Sales Forecast'!H16*Assumptions!$H$12+'Sales Forecast'!G16*Assumptions!$I$12</f>
        <v/>
      </c>
      <c r="N13" s="17">
        <f>'Sales Forecast'!N16*Assumptions!$C$12+'Sales Forecast'!M16*Assumptions!$D$12+'Sales Forecast'!L16*Assumptions!$E$12+'Sales Forecast'!K16*Assumptions!$F$12+'Sales Forecast'!J16*Assumptions!$G$12+'Sales Forecast'!I16*Assumptions!$H$12+'Sales Forecast'!H16*Assumptions!$I$12</f>
        <v/>
      </c>
      <c r="O13" s="17">
        <f>'Sales Forecast'!O16*Assumptions!$C$12+'Sales Forecast'!N16*Assumptions!$D$12+'Sales Forecast'!M16*Assumptions!$E$12+'Sales Forecast'!L16*Assumptions!$F$12+'Sales Forecast'!K16*Assumptions!$G$12+'Sales Forecast'!J16*Assumptions!$H$12+'Sales Forecast'!I16*Assumptions!$I$12</f>
        <v/>
      </c>
      <c r="P13" s="17">
        <f>'Sales Forecast'!P16*Assumptions!$C$12+'Sales Forecast'!O16*Assumptions!$D$12+'Sales Forecast'!N16*Assumptions!$E$12+'Sales Forecast'!M16*Assumptions!$F$12+'Sales Forecast'!L16*Assumptions!$G$12+'Sales Forecast'!K16*Assumptions!$H$12+'Sales Forecast'!J16*Assumptions!$I$12</f>
        <v/>
      </c>
      <c r="Q13" s="17">
        <f>'Sales Forecast'!Q16*Assumptions!$C$12+'Sales Forecast'!P16*Assumptions!$D$12+'Sales Forecast'!O16*Assumptions!$E$12+'Sales Forecast'!N16*Assumptions!$F$12+'Sales Forecast'!M16*Assumptions!$G$12+'Sales Forecast'!L16*Assumptions!$H$12+'Sales Forecast'!K16*Assumptions!$I$12</f>
        <v/>
      </c>
      <c r="R13" s="17">
        <f>'Sales Forecast'!R16*Assumptions!$C$12+'Sales Forecast'!Q16*Assumptions!$D$12+'Sales Forecast'!P16*Assumptions!$E$12+'Sales Forecast'!O16*Assumptions!$F$12+'Sales Forecast'!N16*Assumptions!$G$12+'Sales Forecast'!M16*Assumptions!$H$12+'Sales Forecast'!L16*Assumptions!$I$12</f>
        <v/>
      </c>
      <c r="S13" s="17">
        <f>'Sales Forecast'!S16*Assumptions!$C$12+'Sales Forecast'!R16*Assumptions!$D$12+'Sales Forecast'!Q16*Assumptions!$E$12+'Sales Forecast'!P16*Assumptions!$F$12+'Sales Forecast'!O16*Assumptions!$G$12+'Sales Forecast'!N16*Assumptions!$H$12+'Sales Forecast'!M16*Assumptions!$I$12</f>
        <v/>
      </c>
      <c r="T13" s="17">
        <f>'Sales Forecast'!T16*Assumptions!$C$12+'Sales Forecast'!S16*Assumptions!$D$12+'Sales Forecast'!R16*Assumptions!$E$12+'Sales Forecast'!Q16*Assumptions!$F$12+'Sales Forecast'!P16*Assumptions!$G$12+'Sales Forecast'!O16*Assumptions!$H$12+'Sales Forecast'!N16*Assumptions!$I$12</f>
        <v/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Forecast'!O16*Assumptions!$I$12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88" t="n">
        <v>0</v>
      </c>
      <c r="I14" s="20">
        <f>I17*0.333333</f>
        <v/>
      </c>
      <c r="J14" s="20">
        <f>J17*0.333333</f>
        <v/>
      </c>
      <c r="K14" s="20">
        <f>K17*0.333333</f>
        <v/>
      </c>
      <c r="L14" s="20">
        <f>L17*0.333333</f>
        <v/>
      </c>
      <c r="M14" s="20">
        <f>M17*0.333333</f>
        <v/>
      </c>
      <c r="N14" s="20">
        <f>N17*0.333333</f>
        <v/>
      </c>
      <c r="O14" s="20">
        <f>O17*0.333333</f>
        <v/>
      </c>
      <c r="P14" s="20">
        <f>P17*0.333333</f>
        <v/>
      </c>
      <c r="Q14" s="20">
        <f>Q17*0.333333</f>
        <v/>
      </c>
      <c r="R14" s="20">
        <f>R17*0.333333</f>
        <v/>
      </c>
      <c r="S14" s="20">
        <f>S17*0.333333</f>
        <v/>
      </c>
      <c r="T14" s="20">
        <f>T17*0.333333</f>
        <v/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88" t="n">
        <v>0</v>
      </c>
      <c r="I15" s="20">
        <f>I17*0.333333</f>
        <v/>
      </c>
      <c r="J15" s="20">
        <f>J17*0.333333</f>
        <v/>
      </c>
      <c r="K15" s="20">
        <f>K17*0.333333</f>
        <v/>
      </c>
      <c r="L15" s="20">
        <f>L17*0.333333</f>
        <v/>
      </c>
      <c r="M15" s="20">
        <f>M17*0.333333</f>
        <v/>
      </c>
      <c r="N15" s="20">
        <f>N17*0.333333</f>
        <v/>
      </c>
      <c r="O15" s="20">
        <f>O17*0.333333</f>
        <v/>
      </c>
      <c r="P15" s="20">
        <f>P17*0.333333</f>
        <v/>
      </c>
      <c r="Q15" s="20">
        <f>Q17*0.333333</f>
        <v/>
      </c>
      <c r="R15" s="20">
        <f>R17*0.333333</f>
        <v/>
      </c>
      <c r="S15" s="20">
        <f>S17*0.333333</f>
        <v/>
      </c>
      <c r="T15" s="20">
        <f>T17*0.333333</f>
        <v/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>
        <f>I17*0.333333</f>
        <v/>
      </c>
      <c r="J16" s="20">
        <f>J17*0.333333</f>
        <v/>
      </c>
      <c r="K16" s="20">
        <f>K17*0.333333</f>
        <v/>
      </c>
      <c r="L16" s="20">
        <f>L17*0.333333</f>
        <v/>
      </c>
      <c r="M16" s="20">
        <f>M17*0.333333</f>
        <v/>
      </c>
      <c r="N16" s="20">
        <f>N17*0.333333</f>
        <v/>
      </c>
      <c r="O16" s="20">
        <f>O17*0.333333</f>
        <v/>
      </c>
      <c r="P16" s="20">
        <f>P17*0.333333</f>
        <v/>
      </c>
      <c r="Q16" s="20">
        <f>Q17*0.333333</f>
        <v/>
      </c>
      <c r="R16" s="20">
        <f>R17*0.333333</f>
        <v/>
      </c>
      <c r="S16" s="20">
        <f>S17*0.333333</f>
        <v/>
      </c>
      <c r="T16" s="20">
        <f>T17*0.333333</f>
        <v/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89" t="n">
        <v>0</v>
      </c>
      <c r="I17" s="17">
        <f>'Sales Forecast'!I16*Assumptions!$C$13+'Sales Forecast'!H16*Assumptions!$D$13+'Sales Forecast'!G16*Assumptions!$E$13+'Sales Forecast'!F16*Assumptions!$F$13+'Sales Forecast'!E16*Assumptions!$G$13+'Sales Forecast'!D16*Assumptions!$H$13+'Sales Forecast'!I112*Assumptions!$I$13</f>
        <v/>
      </c>
      <c r="J17" s="17">
        <f>'Sales Forecast'!J16*Assumptions!$C$13+'Sales Forecast'!I16*Assumptions!$D$13+'Sales Forecast'!H16*Assumptions!$E$13+'Sales Forecast'!G16*Assumptions!$F$13+'Sales Forecast'!F16*Assumptions!$G$13+'Sales Forecast'!E16*Assumptions!$H$13+'Sales Forecast'!D16*Assumptions!$I$13</f>
        <v/>
      </c>
      <c r="K17" s="17">
        <f>'Sales Forecast'!K16*Assumptions!$C$13+'Sales Forecast'!J16*Assumptions!$D$13+'Sales Forecast'!I16*Assumptions!$E$13+'Sales Forecast'!H16*Assumptions!$F$13+'Sales Forecast'!G16*Assumptions!$G$13+'Sales Forecast'!F16*Assumptions!$H$13+'Sales Forecast'!E16*Assumptions!$I$13</f>
        <v/>
      </c>
      <c r="L17" s="17">
        <f>'Sales Forecast'!L16*Assumptions!$C$13+'Sales Forecast'!K16*Assumptions!$D$13+'Sales Forecast'!J16*Assumptions!$E$13+'Sales Forecast'!I16*Assumptions!$F$13+'Sales Forecast'!H16*Assumptions!$G$13+'Sales Forecast'!G16*Assumptions!$H$13+'Sales Forecast'!F16*Assumptions!$I$13</f>
        <v/>
      </c>
      <c r="M17" s="17">
        <f>'Sales Forecast'!M16*Assumptions!$C$13+'Sales Forecast'!L16*Assumptions!$D$13+'Sales Forecast'!K16*Assumptions!$E$13+'Sales Forecast'!J16*Assumptions!$F$13+'Sales Forecast'!I16*Assumptions!$G$13+'Sales Forecast'!H16*Assumptions!$H$13+'Sales Forecast'!G16*Assumptions!$I$13</f>
        <v/>
      </c>
      <c r="N17" s="17">
        <f>'Sales Forecast'!N16*Assumptions!$C$13+'Sales Forecast'!M16*Assumptions!$D$13+'Sales Forecast'!L16*Assumptions!$E$13+'Sales Forecast'!K16*Assumptions!$F$13+'Sales Forecast'!J16*Assumptions!$G$13+'Sales Forecast'!I16*Assumptions!$H$13+'Sales Forecast'!H16*Assumptions!$I$13</f>
        <v/>
      </c>
      <c r="O17" s="17">
        <f>'Sales Forecast'!O16*Assumptions!$C$13+'Sales Forecast'!N16*Assumptions!$D$13+'Sales Forecast'!M16*Assumptions!$E$13+'Sales Forecast'!L16*Assumptions!$F$13+'Sales Forecast'!K16*Assumptions!$G$13+'Sales Forecast'!J16*Assumptions!$H$13+'Sales Forecast'!I16*Assumptions!$I$13</f>
        <v/>
      </c>
      <c r="P17" s="17">
        <f>'Sales Forecast'!P16*Assumptions!$C$13+'Sales Forecast'!O16*Assumptions!$D$13+'Sales Forecast'!N16*Assumptions!$E$13+'Sales Forecast'!M16*Assumptions!$F$13+'Sales Forecast'!L16*Assumptions!$G$13+'Sales Forecast'!K16*Assumptions!$H$13+'Sales Forecast'!J16*Assumptions!$I$13</f>
        <v/>
      </c>
      <c r="Q17" s="17">
        <f>'Sales Forecast'!Q16*Assumptions!$C$13+'Sales Forecast'!P16*Assumptions!$D$13+'Sales Forecast'!O16*Assumptions!$E$13+'Sales Forecast'!N16*Assumptions!$F$13+'Sales Forecast'!M16*Assumptions!$G$13+'Sales Forecast'!L16*Assumptions!$H$13+'Sales Forecast'!K16*Assumptions!$I$13</f>
        <v/>
      </c>
      <c r="R17" s="17">
        <f>'Sales Forecast'!R16*Assumptions!$C$13+'Sales Forecast'!Q16*Assumptions!$D$13+'Sales Forecast'!P16*Assumptions!$E$13+'Sales Forecast'!O16*Assumptions!$F$13+'Sales Forecast'!N16*Assumptions!$G$13+'Sales Forecast'!M16*Assumptions!$H$13+'Sales Forecast'!L16*Assumptions!$I$13</f>
        <v/>
      </c>
      <c r="S17" s="17">
        <f>'Sales Forecast'!S16*Assumptions!$C$13+'Sales Forecast'!R16*Assumptions!$D$13+'Sales Forecast'!Q16*Assumptions!$E$13+'Sales Forecast'!P16*Assumptions!$F$13+'Sales Forecast'!O16*Assumptions!$G$13+'Sales Forecast'!N16*Assumptions!$H$13+'Sales Forecast'!M16*Assumptions!$I$13</f>
        <v/>
      </c>
      <c r="T17" s="17">
        <f>'Sales Forecast'!T16*Assumptions!$C$13+'Sales Forecast'!S16*Assumptions!$D$13+'Sales Forecast'!R16*Assumptions!$E$13+'Sales Forecast'!Q16*Assumptions!$F$13+'Sales Forecast'!P16*Assumptions!$G$13+'Sales Forecast'!O16*Assumptions!$H$13+'Sales Forecast'!N16*Assumptions!$I$13</f>
        <v/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Forecast'!O16*Assumptions!$I$13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88" t="n">
        <v>0</v>
      </c>
      <c r="I18" s="20">
        <f>0</f>
        <v/>
      </c>
      <c r="J18" s="20">
        <f>0</f>
        <v/>
      </c>
      <c r="K18" s="20">
        <f>0</f>
        <v/>
      </c>
      <c r="L18" s="20">
        <f>0</f>
        <v/>
      </c>
      <c r="M18" s="20">
        <f>0</f>
        <v/>
      </c>
      <c r="N18" s="20">
        <f>0</f>
        <v/>
      </c>
      <c r="O18" s="20">
        <f>0</f>
        <v/>
      </c>
      <c r="P18" s="20">
        <f>0</f>
        <v/>
      </c>
      <c r="Q18" s="20">
        <f>0</f>
        <v/>
      </c>
      <c r="R18" s="20">
        <f>0</f>
        <v/>
      </c>
      <c r="S18" s="20">
        <f>0</f>
        <v/>
      </c>
      <c r="T18" s="20">
        <f>0</f>
        <v/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88" t="n">
        <v>0</v>
      </c>
      <c r="I19" s="20">
        <f>('Sales Forecast'!I16*Assumptions!$C$12+'Sales Forecast'!H16*Assumptions!$D$12+'Sales Forecast'!G16*Assumptions!$E$12+'Sales Forecast'!F16*Assumptions!$F$12+'Sales Forecast'!E16*Assumptions!$G$12+'Sales Forecast'!D16*Assumptions!$H$12+'Sales Forecast'!I16*Assumptions!$C$13+'Sales Forecast'!H16*Assumptions!$D$13+'Sales Forecast'!G16*Assumptions!$E$13+'Sales Forecast'!F16*Assumptions!$F$13+'Sales Forecast'!E16*Assumptions!$G$13+'Sales Forecast'!D16*Assumptions!$H$13+0)*Assumptions!$C$17</f>
        <v/>
      </c>
      <c r="J19" s="20">
        <f>('Sales Forecast'!J16*Assumptions!$C$12+'Sales Forecast'!I16*Assumptions!$D$12+'Sales Forecast'!H16*Assumptions!$E$12+'Sales Forecast'!G16*Assumptions!$F$12+'Sales Forecast'!F16*Assumptions!$G$12+'Sales Forecast'!E16*Assumptions!$H$12+'Sales Forecast'!D16*Assumptions!$I$12+'Sales Forecast'!J16*Assumptions!$C$13+'Sales Forecast'!I16*Assumptions!$D$13+'Sales Forecast'!H16*Assumptions!$E$13+'Sales Forecast'!G16*Assumptions!$F$13+'Sales Forecast'!F16*Assumptions!$G$13+'Sales Forecast'!E16*Assumptions!$H$13+'Sales Forecast'!D16*Assumptions!$I$13+0)*Assumptions!$C$17</f>
        <v/>
      </c>
      <c r="K19" s="20">
        <f>('Sales Forecast'!K16*Assumptions!$C$12+'Sales Forecast'!J16*Assumptions!$D$12+'Sales Forecast'!I16*Assumptions!$E$12+'Sales Forecast'!H16*Assumptions!$F$12+'Sales Forecast'!G16*Assumptions!$G$12+'Sales Forecast'!F16*Assumptions!$H$12+'Sales Forecast'!E16*Assumptions!$I$12+'Sales Forecast'!K16*Assumptions!$C$13+'Sales Forecast'!J16*Assumptions!$D$13+'Sales Forecast'!I16*Assumptions!$E$13+'Sales Forecast'!H16*Assumptions!$F$13+'Sales Forecast'!G16*Assumptions!$G$13+'Sales Forecast'!F16*Assumptions!$H$13+'Sales Forecast'!E16*Assumptions!$I$13+0)*Assumptions!$C$17</f>
        <v/>
      </c>
      <c r="L19" s="20">
        <f>('Sales Forecast'!L16*Assumptions!$C$12+'Sales Forecast'!K16*Assumptions!$D$12+'Sales Forecast'!J16*Assumptions!$E$12+'Sales Forecast'!I16*Assumptions!$F$12+'Sales Forecast'!H16*Assumptions!$G$12+'Sales Forecast'!G16*Assumptions!$H$12+'Sales Forecast'!F16*Assumptions!$I$12+'Sales Forecast'!L16*Assumptions!$C$13+'Sales Forecast'!K16*Assumptions!$D$13+'Sales Forecast'!J16*Assumptions!$E$13+'Sales Forecast'!I16*Assumptions!$F$13+'Sales Forecast'!H16*Assumptions!$G$13+'Sales Forecast'!G16*Assumptions!$H$13+'Sales Forecast'!F16*Assumptions!$I$13+0)*Assumptions!$C$17</f>
        <v/>
      </c>
      <c r="M19" s="20">
        <f>('Sales Forecast'!M16*Assumptions!$C$12+'Sales Forecast'!L16*Assumptions!$D$12+'Sales Forecast'!K16*Assumptions!$E$12+'Sales Forecast'!J16*Assumptions!$F$12+'Sales Forecast'!I16*Assumptions!$G$12+'Sales Forecast'!H16*Assumptions!$H$12+'Sales Forecast'!G16*Assumptions!$I$12+'Sales Forecast'!M16*Assumptions!$C$13+'Sales Forecast'!L16*Assumptions!$D$13+'Sales Forecast'!K16*Assumptions!$E$13+'Sales Forecast'!J16*Assumptions!$F$13+'Sales Forecast'!I16*Assumptions!$G$13+'Sales Forecast'!H16*Assumptions!$H$13+'Sales Forecast'!G16*Assumptions!$I$13+0)*Assumptions!$C$17</f>
        <v/>
      </c>
      <c r="N19" s="20">
        <f>('Sales Forecast'!N16*Assumptions!$C$12+'Sales Forecast'!M16*Assumptions!$D$12+'Sales Forecast'!L16*Assumptions!$E$12+'Sales Forecast'!K16*Assumptions!$F$12+'Sales Forecast'!J16*Assumptions!$G$12+'Sales Forecast'!I16*Assumptions!$H$12+'Sales Forecast'!H16*Assumptions!$I$12+'Sales Forecast'!N16*Assumptions!$C$13+'Sales Forecast'!M16*Assumptions!$D$13+'Sales Forecast'!L16*Assumptions!$E$13+'Sales Forecast'!K16*Assumptions!$F$13+'Sales Forecast'!J16*Assumptions!$G$13+'Sales Forecast'!I16*Assumptions!$H$13+'Sales Forecast'!H16*Assumptions!$I$13+0)*Assumptions!$C$17</f>
        <v/>
      </c>
      <c r="O19" s="20">
        <f>('Sales Forecast'!O16*Assumptions!$C$12+'Sales Forecast'!N16*Assumptions!$D$12+'Sales Forecast'!M16*Assumptions!$E$12+'Sales Forecast'!L16*Assumptions!$F$12+'Sales Forecast'!K16*Assumptions!$G$12+'Sales Forecast'!J16*Assumptions!$H$12+'Sales Forecast'!I16*Assumptions!$I$12+'Sales Forecast'!O16*Assumptions!$C$13+'Sales Forecast'!N16*Assumptions!$D$13+'Sales Forecast'!M16*Assumptions!$E$13+'Sales Forecast'!L16*Assumptions!$F$13+'Sales Forecast'!K16*Assumptions!$G$13+'Sales Forecast'!J16*Assumptions!$H$13+'Sales Forecast'!I16*Assumptions!$I$13+0)*Assumptions!$C$17</f>
        <v/>
      </c>
      <c r="P19" s="20">
        <f>('Sales Forecast'!P16*Assumptions!$C$12+'Sales Forecast'!O16*Assumptions!$D$12+'Sales Forecast'!N16*Assumptions!$E$12+'Sales Forecast'!M16*Assumptions!$F$12+'Sales Forecast'!L16*Assumptions!$G$12+'Sales Forecast'!K16*Assumptions!$H$12+'Sales Forecast'!J16*Assumptions!$I$12+'Sales Forecast'!P16*Assumptions!$C$13+'Sales Forecast'!O16*Assumptions!$D$13+'Sales Forecast'!N16*Assumptions!$E$13+'Sales Forecast'!M16*Assumptions!$F$13+'Sales Forecast'!L16*Assumptions!$G$13+'Sales Forecast'!K16*Assumptions!$H$13+'Sales Forecast'!J16*Assumptions!$I$13+0)*Assumptions!$C$17</f>
        <v/>
      </c>
      <c r="Q19" s="20">
        <f>('Sales Forecast'!Q16*Assumptions!$C$12+'Sales Forecast'!P16*Assumptions!$D$12+'Sales Forecast'!O16*Assumptions!$E$12+'Sales Forecast'!N16*Assumptions!$F$12+'Sales Forecast'!M16*Assumptions!$G$12+'Sales Forecast'!L16*Assumptions!$H$12+'Sales Forecast'!K16*Assumptions!$I$12+'Sales Forecast'!Q16*Assumptions!$C$13+'Sales Forecast'!P16*Assumptions!$D$13+'Sales Forecast'!O16*Assumptions!$E$13+'Sales Forecast'!N16*Assumptions!$F$13+'Sales Forecast'!M16*Assumptions!$G$13+'Sales Forecast'!L16*Assumptions!$H$13+'Sales Forecast'!K16*Assumptions!$I$13+0)*Assumptions!$C$17</f>
        <v/>
      </c>
      <c r="R19" s="20">
        <f>('Sales Forecast'!R16*Assumptions!$C$12+'Sales Forecast'!Q16*Assumptions!$D$12+'Sales Forecast'!P16*Assumptions!$E$12+'Sales Forecast'!O16*Assumptions!$F$12+'Sales Forecast'!N16*Assumptions!$G$12+'Sales Forecast'!M16*Assumptions!$H$12+'Sales Forecast'!L16*Assumptions!$I$12+'Sales Forecast'!R16*Assumptions!$C$13+'Sales Forecast'!Q16*Assumptions!$D$13+'Sales Forecast'!P16*Assumptions!$E$13+'Sales Forecast'!O16*Assumptions!$F$13+'Sales Forecast'!N16*Assumptions!$G$13+'Sales Forecast'!M16*Assumptions!$H$13+'Sales Forecast'!L16*Assumptions!$I$13+0)*Assumptions!$C$17</f>
        <v/>
      </c>
      <c r="S19" s="20">
        <f>('Sales Forecast'!S16*Assumptions!$C$12+'Sales Forecast'!R16*Assumptions!$D$12+'Sales Forecast'!Q16*Assumptions!$E$12+'Sales Forecast'!P16*Assumptions!$F$12+'Sales Forecast'!O16*Assumptions!$G$12+'Sales Forecast'!N16*Assumptions!$H$12+'Sales Forecast'!M16*Assumptions!$I$12+'Sales Forecast'!S16*Assumptions!$C$13+'Sales Forecast'!R16*Assumptions!$D$13+'Sales Forecast'!Q16*Assumptions!$E$13+'Sales Forecast'!P16*Assumptions!$F$13+'Sales Forecast'!O16*Assumptions!$G$13+'Sales Forecast'!N16*Assumptions!$H$13+'Sales Forecast'!M16*Assumptions!$I$13+0)*Assumptions!$C$17</f>
        <v/>
      </c>
      <c r="T19" s="20">
        <f>('Sales Forecast'!T16*Assumptions!$C$12+'Sales Forecast'!S16*Assumptions!$D$12+'Sales Forecast'!R16*Assumptions!$E$12+'Sales Forecast'!Q16*Assumptions!$F$12+'Sales Forecast'!P16*Assumptions!$G$12+'Sales Forecast'!O16*Assumptions!$H$12+'Sales Forecast'!N16*Assumptions!$I$12+'Sales Forecast'!T16*Assumptions!$C$13+'Sales Forecast'!S16*Assumptions!$D$13+'Sales Forecast'!R16*Assumptions!$E$13+'Sales Forecast'!Q16*Assumptions!$F$13+'Sales Forecast'!P16*Assumptions!$G$13+'Sales Forecast'!O16*Assumptions!$H$13+'Sales Forecast'!N16*Assumptions!$I$13+0)*Assumptions!$C$17</f>
        <v/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Forecast'!O16*Assumptions!$I$12+'Sales Forecast'!U16*Assumptions!$C$13+'Sales Forecast'!T16*Assumptions!$D$13+'Sales Forecast'!S16*Assumptions!$E$13+'Sales Forecast'!R16*Assumptions!$F$13+'Sales Forecast'!Q16*Assumptions!$G$13+'Sales Forecast'!P16*Assumptions!$H$13+'Sales Forecast'!O16*Assumptions!$I$13+0)*Assumptions!$C$17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88" t="n">
        <v>0</v>
      </c>
      <c r="I20" s="20">
        <f>('Sales Forecast'!I16*Assumptions!$C$12+'Sales Forecast'!H16*Assumptions!$D$12+'Sales Forecast'!G16*Assumptions!$E$12+'Sales Forecast'!F16*Assumptions!$F$12+'Sales Forecast'!E16*Assumptions!$G$12+'Sales Forecast'!D16*Assumptions!$H$12+'Sales Forecast'!I16*Assumptions!$C$13+'Sales Forecast'!H16*Assumptions!$D$13+'Sales Forecast'!G16*Assumptions!$E$13+'Sales Forecast'!F16*Assumptions!$F$13+'Sales Forecast'!E16*Assumptions!$G$13+'Sales Forecast'!D16*Assumptions!$H$13+0)*Assumptions!$C$18</f>
        <v/>
      </c>
      <c r="J20" s="20">
        <f>('Sales Forecast'!J16*Assumptions!$C$12+'Sales Forecast'!I16*Assumptions!$D$12+'Sales Forecast'!H16*Assumptions!$E$12+'Sales Forecast'!G16*Assumptions!$F$12+'Sales Forecast'!F16*Assumptions!$G$12+'Sales Forecast'!E16*Assumptions!$H$12+'Sales Forecast'!D16*Assumptions!$I$12+'Sales Forecast'!J16*Assumptions!$C$13+'Sales Forecast'!I16*Assumptions!$D$13+'Sales Forecast'!H16*Assumptions!$E$13+'Sales Forecast'!G16*Assumptions!$F$13+'Sales Forecast'!F16*Assumptions!$G$13+'Sales Forecast'!E16*Assumptions!$H$13+'Sales Forecast'!D16*Assumptions!$I$13+0)*Assumptions!$C$18</f>
        <v/>
      </c>
      <c r="K20" s="20">
        <f>('Sales Forecast'!K16*Assumptions!$C$12+'Sales Forecast'!J16*Assumptions!$D$12+'Sales Forecast'!I16*Assumptions!$E$12+'Sales Forecast'!H16*Assumptions!$F$12+'Sales Forecast'!G16*Assumptions!$G$12+'Sales Forecast'!F16*Assumptions!$H$12+'Sales Forecast'!E16*Assumptions!$I$12+'Sales Forecast'!K16*Assumptions!$C$13+'Sales Forecast'!J16*Assumptions!$D$13+'Sales Forecast'!I16*Assumptions!$E$13+'Sales Forecast'!H16*Assumptions!$F$13+'Sales Forecast'!G16*Assumptions!$G$13+'Sales Forecast'!F16*Assumptions!$H$13+'Sales Forecast'!E16*Assumptions!$I$13+0)*Assumptions!$C$18</f>
        <v/>
      </c>
      <c r="L20" s="20">
        <f>('Sales Forecast'!L16*Assumptions!$C$12+'Sales Forecast'!K16*Assumptions!$D$12+'Sales Forecast'!J16*Assumptions!$E$12+'Sales Forecast'!I16*Assumptions!$F$12+'Sales Forecast'!H16*Assumptions!$G$12+'Sales Forecast'!G16*Assumptions!$H$12+'Sales Forecast'!F16*Assumptions!$I$12+'Sales Forecast'!L16*Assumptions!$C$13+'Sales Forecast'!K16*Assumptions!$D$13+'Sales Forecast'!J16*Assumptions!$E$13+'Sales Forecast'!I16*Assumptions!$F$13+'Sales Forecast'!H16*Assumptions!$G$13+'Sales Forecast'!G16*Assumptions!$H$13+'Sales Forecast'!F16*Assumptions!$I$13+0)*Assumptions!$C$18</f>
        <v/>
      </c>
      <c r="M20" s="20">
        <f>('Sales Forecast'!M16*Assumptions!$C$12+'Sales Forecast'!L16*Assumptions!$D$12+'Sales Forecast'!K16*Assumptions!$E$12+'Sales Forecast'!J16*Assumptions!$F$12+'Sales Forecast'!I16*Assumptions!$G$12+'Sales Forecast'!H16*Assumptions!$H$12+'Sales Forecast'!G16*Assumptions!$I$12+'Sales Forecast'!M16*Assumptions!$C$13+'Sales Forecast'!L16*Assumptions!$D$13+'Sales Forecast'!K16*Assumptions!$E$13+'Sales Forecast'!J16*Assumptions!$F$13+'Sales Forecast'!I16*Assumptions!$G$13+'Sales Forecast'!H16*Assumptions!$H$13+'Sales Forecast'!G16*Assumptions!$I$13+0)*Assumptions!$C$18</f>
        <v/>
      </c>
      <c r="N20" s="20">
        <f>('Sales Forecast'!N16*Assumptions!$C$12+'Sales Forecast'!M16*Assumptions!$D$12+'Sales Forecast'!L16*Assumptions!$E$12+'Sales Forecast'!K16*Assumptions!$F$12+'Sales Forecast'!J16*Assumptions!$G$12+'Sales Forecast'!I16*Assumptions!$H$12+'Sales Forecast'!H16*Assumptions!$I$12+'Sales Forecast'!N16*Assumptions!$C$13+'Sales Forecast'!M16*Assumptions!$D$13+'Sales Forecast'!L16*Assumptions!$E$13+'Sales Forecast'!K16*Assumptions!$F$13+'Sales Forecast'!J16*Assumptions!$G$13+'Sales Forecast'!I16*Assumptions!$H$13+'Sales Forecast'!H16*Assumptions!$I$13+0)*Assumptions!$C$18</f>
        <v/>
      </c>
      <c r="O20" s="20">
        <f>('Sales Forecast'!O16*Assumptions!$C$12+'Sales Forecast'!N16*Assumptions!$D$12+'Sales Forecast'!M16*Assumptions!$E$12+'Sales Forecast'!L16*Assumptions!$F$12+'Sales Forecast'!K16*Assumptions!$G$12+'Sales Forecast'!J16*Assumptions!$H$12+'Sales Forecast'!I16*Assumptions!$I$12+'Sales Forecast'!O16*Assumptions!$C$13+'Sales Forecast'!N16*Assumptions!$D$13+'Sales Forecast'!M16*Assumptions!$E$13+'Sales Forecast'!L16*Assumptions!$F$13+'Sales Forecast'!K16*Assumptions!$G$13+'Sales Forecast'!J16*Assumptions!$H$13+'Sales Forecast'!I16*Assumptions!$I$13+0)*Assumptions!$C$18</f>
        <v/>
      </c>
      <c r="P20" s="20">
        <f>('Sales Forecast'!P16*Assumptions!$C$12+'Sales Forecast'!O16*Assumptions!$D$12+'Sales Forecast'!N16*Assumptions!$E$12+'Sales Forecast'!M16*Assumptions!$F$12+'Sales Forecast'!L16*Assumptions!$G$12+'Sales Forecast'!K16*Assumptions!$H$12+'Sales Forecast'!J16*Assumptions!$I$12+'Sales Forecast'!P16*Assumptions!$C$13+'Sales Forecast'!O16*Assumptions!$D$13+'Sales Forecast'!N16*Assumptions!$E$13+'Sales Forecast'!M16*Assumptions!$F$13+'Sales Forecast'!L16*Assumptions!$G$13+'Sales Forecast'!K16*Assumptions!$H$13+'Sales Forecast'!J16*Assumptions!$I$13+0)*Assumptions!$C$18</f>
        <v/>
      </c>
      <c r="Q20" s="20">
        <f>('Sales Forecast'!Q16*Assumptions!$C$12+'Sales Forecast'!P16*Assumptions!$D$12+'Sales Forecast'!O16*Assumptions!$E$12+'Sales Forecast'!N16*Assumptions!$F$12+'Sales Forecast'!M16*Assumptions!$G$12+'Sales Forecast'!L16*Assumptions!$H$12+'Sales Forecast'!K16*Assumptions!$I$12+'Sales Forecast'!Q16*Assumptions!$C$13+'Sales Forecast'!P16*Assumptions!$D$13+'Sales Forecast'!O16*Assumptions!$E$13+'Sales Forecast'!N16*Assumptions!$F$13+'Sales Forecast'!M16*Assumptions!$G$13+'Sales Forecast'!L16*Assumptions!$H$13+'Sales Forecast'!K16*Assumptions!$I$13+0)*Assumptions!$C$18</f>
        <v/>
      </c>
      <c r="R20" s="20">
        <f>('Sales Forecast'!R16*Assumptions!$C$12+'Sales Forecast'!Q16*Assumptions!$D$12+'Sales Forecast'!P16*Assumptions!$E$12+'Sales Forecast'!O16*Assumptions!$F$12+'Sales Forecast'!N16*Assumptions!$G$12+'Sales Forecast'!M16*Assumptions!$H$12+'Sales Forecast'!L16*Assumptions!$I$12+'Sales Forecast'!R16*Assumptions!$C$13+'Sales Forecast'!Q16*Assumptions!$D$13+'Sales Forecast'!P16*Assumptions!$E$13+'Sales Forecast'!O16*Assumptions!$F$13+'Sales Forecast'!N16*Assumptions!$G$13+'Sales Forecast'!M16*Assumptions!$H$13+'Sales Forecast'!L16*Assumptions!$I$13+0)*Assumptions!$C$18</f>
        <v/>
      </c>
      <c r="S20" s="20">
        <f>('Sales Forecast'!S16*Assumptions!$C$12+'Sales Forecast'!R16*Assumptions!$D$12+'Sales Forecast'!Q16*Assumptions!$E$12+'Sales Forecast'!P16*Assumptions!$F$12+'Sales Forecast'!O16*Assumptions!$G$12+'Sales Forecast'!N16*Assumptions!$H$12+'Sales Forecast'!M16*Assumptions!$I$12+'Sales Forecast'!S16*Assumptions!$C$13+'Sales Forecast'!R16*Assumptions!$D$13+'Sales Forecast'!Q16*Assumptions!$E$13+'Sales Forecast'!P16*Assumptions!$F$13+'Sales Forecast'!O16*Assumptions!$G$13+'Sales Forecast'!N16*Assumptions!$H$13+'Sales Forecast'!M16*Assumptions!$I$13+0)*Assumptions!$C$18</f>
        <v/>
      </c>
      <c r="T20" s="20">
        <f>('Sales Forecast'!T16*Assumptions!$C$12+'Sales Forecast'!S16*Assumptions!$D$12+'Sales Forecast'!R16*Assumptions!$E$12+'Sales Forecast'!Q16*Assumptions!$F$12+'Sales Forecast'!P16*Assumptions!$G$12+'Sales Forecast'!O16*Assumptions!$H$12+'Sales Forecast'!N16*Assumptions!$I$12+'Sales Forecast'!T16*Assumptions!$C$13+'Sales Forecast'!S16*Assumptions!$D$13+'Sales Forecast'!R16*Assumptions!$E$13+'Sales Forecast'!Q16*Assumptions!$F$13+'Sales Forecast'!P16*Assumptions!$G$13+'Sales Forecast'!O16*Assumptions!$H$13+'Sales Forecast'!N16*Assumptions!$I$13+0)*Assumptions!$C$18</f>
        <v/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Forecast'!O16*Assumptions!$I$12+'Sales Forecast'!U16*Assumptions!$C$13+'Sales Forecast'!T16*Assumptions!$D$13+'Sales Forecast'!S16*Assumptions!$E$13+'Sales Forecast'!R16*Assumptions!$F$13+'Sales Forecast'!Q16*Assumptions!$G$13+'Sales Forecast'!P16*Assumptions!$H$13+'Sales Forecast'!O16*Assumptions!$I$13+0)*Assumptions!$C$18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89" t="n">
        <v>0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88" t="n">
        <v>0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119.95</v>
      </c>
      <c r="E24" s="19" t="n">
        <v>159.7</v>
      </c>
      <c r="F24" s="19" t="n">
        <v>49.02</v>
      </c>
      <c r="G24" s="19" t="n">
        <v>34.81</v>
      </c>
      <c r="H24" s="88" t="n">
        <v>3.12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119.95</v>
      </c>
      <c r="E25" s="35" t="n">
        <v>159.7</v>
      </c>
      <c r="F25" s="35" t="n">
        <v>49.02</v>
      </c>
      <c r="G25" s="35" t="n">
        <v>34.81</v>
      </c>
      <c r="H25" s="89" t="n">
        <v>3.12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-119.95</v>
      </c>
      <c r="E26" s="35" t="n">
        <v>-159.7</v>
      </c>
      <c r="F26" s="35" t="n">
        <v>-49.02</v>
      </c>
      <c r="G26" s="35" t="n">
        <v>-34.81</v>
      </c>
      <c r="H26" s="89" t="n">
        <v>-3.12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1415.6</v>
      </c>
      <c r="E28" s="19" t="n">
        <v>147.64</v>
      </c>
      <c r="F28" s="19" t="n">
        <v>0</v>
      </c>
      <c r="G28" s="19" t="n">
        <v>0</v>
      </c>
      <c r="H28" s="88" t="n">
        <v>0</v>
      </c>
      <c r="I28" s="20" t="n">
        <v>1415.6</v>
      </c>
      <c r="J28" s="20" t="n">
        <v>1415.6</v>
      </c>
      <c r="K28" s="20" t="n">
        <v>1415.6</v>
      </c>
      <c r="L28" s="20" t="n">
        <v>1415.6</v>
      </c>
      <c r="M28" s="20" t="n">
        <v>1415.6</v>
      </c>
      <c r="N28" s="20" t="n">
        <v>1415.6</v>
      </c>
      <c r="O28" s="20" t="n">
        <v>1415.6</v>
      </c>
      <c r="P28" s="20" t="n">
        <v>1415.6</v>
      </c>
      <c r="Q28" s="20" t="n">
        <v>1415.6</v>
      </c>
      <c r="R28" s="20" t="n">
        <v>1415.6</v>
      </c>
      <c r="S28" s="20" t="n">
        <v>1415.6</v>
      </c>
      <c r="T28" s="20" t="n">
        <v>1415.6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1415.6</v>
      </c>
      <c r="E33" s="35" t="n">
        <v>147.64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879.61</v>
      </c>
      <c r="E34" s="19" t="n">
        <v>2038</v>
      </c>
      <c r="F34" s="19" t="n">
        <v>3170.79</v>
      </c>
      <c r="G34" s="19" t="n">
        <v>3766.64</v>
      </c>
      <c r="H34" s="88" t="n">
        <v>3065.74</v>
      </c>
      <c r="I34" s="20" t="n">
        <v>17728.81</v>
      </c>
      <c r="J34" s="20" t="n">
        <v>19287.85</v>
      </c>
      <c r="K34" s="20" t="n">
        <v>20262.47</v>
      </c>
      <c r="L34" s="20" t="n">
        <v>22820.93</v>
      </c>
      <c r="M34" s="20" t="n">
        <v>26059.36</v>
      </c>
      <c r="N34" s="20" t="n">
        <v>29600.47</v>
      </c>
      <c r="O34" s="20" t="n">
        <v>30926.77</v>
      </c>
      <c r="P34" s="20" t="n">
        <v>33737.28</v>
      </c>
      <c r="Q34" s="20" t="n">
        <v>33991.43</v>
      </c>
      <c r="R34" s="20" t="n">
        <v>33569.65</v>
      </c>
      <c r="S34" s="20" t="n">
        <v>43951.69</v>
      </c>
      <c r="T34" s="20" t="n">
        <v>36280.88</v>
      </c>
      <c r="U34" s="20" t="n">
        <v>31765.31</v>
      </c>
      <c r="V34" s="20" t="n">
        <v>28685.94</v>
      </c>
      <c r="W34" s="20" t="n">
        <v>35944.24</v>
      </c>
      <c r="X34" s="20" t="n">
        <v>30549.51</v>
      </c>
      <c r="Y34" s="20" t="n">
        <v>31671.95</v>
      </c>
      <c r="Z34" s="20" t="n">
        <v>31337.25</v>
      </c>
      <c r="AA34" s="20" t="n">
        <v>31337.86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</row>
    <row r="35">
      <c r="B35" s="33" t="inlineStr">
        <is>
          <t xml:space="preserve">  602004 Payroll Taxes</t>
        </is>
      </c>
      <c r="D35" s="19" t="n">
        <v>113.91</v>
      </c>
      <c r="E35" s="19" t="n">
        <v>263.93</v>
      </c>
      <c r="F35" s="19" t="n">
        <v>410.61</v>
      </c>
      <c r="G35" s="19" t="n">
        <v>487.76</v>
      </c>
      <c r="H35" s="88" t="n">
        <v>346.29</v>
      </c>
      <c r="I35" s="20" t="n">
        <v>2295.85</v>
      </c>
      <c r="J35" s="20" t="n">
        <v>2497.74</v>
      </c>
      <c r="K35" s="20" t="n">
        <v>2623.95</v>
      </c>
      <c r="L35" s="20" t="n">
        <v>2955.27</v>
      </c>
      <c r="M35" s="20" t="n">
        <v>3374.64</v>
      </c>
      <c r="N35" s="20" t="n">
        <v>3833.21</v>
      </c>
      <c r="O35" s="20" t="n">
        <v>4004.96</v>
      </c>
      <c r="P35" s="20" t="n">
        <v>4368.92</v>
      </c>
      <c r="Q35" s="20" t="n">
        <v>4401.83</v>
      </c>
      <c r="R35" s="20" t="n">
        <v>4347.21</v>
      </c>
      <c r="S35" s="20" t="n">
        <v>5691.67</v>
      </c>
      <c r="T35" s="20" t="n">
        <v>4698.31</v>
      </c>
      <c r="U35" s="20" t="n">
        <v>4113.55</v>
      </c>
      <c r="V35" s="20" t="n">
        <v>3714.78</v>
      </c>
      <c r="W35" s="20" t="n">
        <v>4654.71</v>
      </c>
      <c r="X35" s="20" t="n">
        <v>3956.11</v>
      </c>
      <c r="Y35" s="20" t="n">
        <v>4101.46</v>
      </c>
      <c r="Z35" s="20" t="n">
        <v>4058.12</v>
      </c>
      <c r="AA35" s="20" t="n">
        <v>4058.2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88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</row>
    <row r="37">
      <c r="B37" s="33" t="inlineStr">
        <is>
          <t xml:space="preserve">  602010 Payroll Processing Fees</t>
        </is>
      </c>
      <c r="D37" s="19" t="n">
        <v>26.42</v>
      </c>
      <c r="E37" s="19" t="n">
        <v>80.65000000000001</v>
      </c>
      <c r="F37" s="19" t="n">
        <v>182.48</v>
      </c>
      <c r="G37" s="19" t="n">
        <v>175.22</v>
      </c>
      <c r="H37" s="88" t="n">
        <v>143.12</v>
      </c>
      <c r="I37" s="20" t="n">
        <v>836.1</v>
      </c>
      <c r="J37" s="20" t="n">
        <v>909.63</v>
      </c>
      <c r="K37" s="20" t="n">
        <v>955.59</v>
      </c>
      <c r="L37" s="20" t="n">
        <v>1076.25</v>
      </c>
      <c r="M37" s="20" t="n">
        <v>1228.98</v>
      </c>
      <c r="N37" s="20" t="n">
        <v>1395.98</v>
      </c>
      <c r="O37" s="20" t="n">
        <v>1458.53</v>
      </c>
      <c r="P37" s="20" t="n">
        <v>1591.07</v>
      </c>
      <c r="Q37" s="20" t="n">
        <v>1603.06</v>
      </c>
      <c r="R37" s="20" t="n">
        <v>1583.17</v>
      </c>
      <c r="S37" s="20" t="n">
        <v>2072.79</v>
      </c>
      <c r="T37" s="20" t="n">
        <v>1711.03</v>
      </c>
      <c r="U37" s="20" t="n">
        <v>1498.07</v>
      </c>
      <c r="V37" s="20" t="n">
        <v>1352.85</v>
      </c>
      <c r="W37" s="20" t="n">
        <v>1695.15</v>
      </c>
      <c r="X37" s="20" t="n">
        <v>1440.73</v>
      </c>
      <c r="Y37" s="20" t="n">
        <v>1493.67</v>
      </c>
      <c r="Z37" s="20" t="n">
        <v>1477.88</v>
      </c>
      <c r="AA37" s="20" t="n">
        <v>1477.91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</row>
    <row r="38">
      <c r="B38" s="32" t="inlineStr">
        <is>
          <t>Total Payroll</t>
        </is>
      </c>
      <c r="C38" s="34" t="n"/>
      <c r="D38" s="35" t="n">
        <v>1019.94</v>
      </c>
      <c r="E38" s="35" t="n">
        <v>2382.58</v>
      </c>
      <c r="F38" s="35" t="n">
        <v>3763.88</v>
      </c>
      <c r="G38" s="35" t="n">
        <v>4429.62</v>
      </c>
      <c r="H38" s="89" t="n">
        <v>3555.15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614</v>
      </c>
      <c r="E39" s="19" t="n">
        <v>1072.35</v>
      </c>
      <c r="F39" s="19" t="n">
        <v>614</v>
      </c>
      <c r="G39" s="19" t="n">
        <v>639.1799999999999</v>
      </c>
      <c r="H39" s="88" t="n">
        <v>639.1799999999999</v>
      </c>
      <c r="I39" s="20" t="n">
        <v>634.52</v>
      </c>
      <c r="J39" s="20" t="n">
        <v>634.52</v>
      </c>
      <c r="K39" s="20" t="n">
        <v>634.52</v>
      </c>
      <c r="L39" s="20" t="n">
        <v>634.52</v>
      </c>
      <c r="M39" s="20" t="n">
        <v>634.52</v>
      </c>
      <c r="N39" s="20" t="n">
        <v>634.52</v>
      </c>
      <c r="O39" s="20" t="n">
        <v>634.52</v>
      </c>
      <c r="P39" s="20" t="n">
        <v>634.52</v>
      </c>
      <c r="Q39" s="20" t="n">
        <v>634.52</v>
      </c>
      <c r="R39" s="20" t="n">
        <v>634.52</v>
      </c>
      <c r="S39" s="20" t="n">
        <v>634.52</v>
      </c>
      <c r="T39" s="20" t="n">
        <v>634.52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</row>
    <row r="40">
      <c r="B40" s="33" t="inlineStr">
        <is>
          <t xml:space="preserve">  608000 Insurance</t>
        </is>
      </c>
      <c r="D40" s="19" t="n">
        <v>565.83</v>
      </c>
      <c r="E40" s="19" t="n">
        <v>565.83</v>
      </c>
      <c r="F40" s="19" t="n">
        <v>874.4400000000001</v>
      </c>
      <c r="G40" s="19" t="n">
        <v>778.03</v>
      </c>
      <c r="H40" s="88" t="n">
        <v>697.47</v>
      </c>
      <c r="I40" s="20" t="n">
        <v>600.98</v>
      </c>
      <c r="J40" s="20" t="n">
        <v>600.98</v>
      </c>
      <c r="K40" s="20" t="n">
        <v>600.98</v>
      </c>
      <c r="L40" s="20" t="n">
        <v>600.98</v>
      </c>
      <c r="M40" s="20" t="n">
        <v>600.98</v>
      </c>
      <c r="N40" s="20" t="n">
        <v>600.98</v>
      </c>
      <c r="O40" s="20" t="n">
        <v>600.98</v>
      </c>
      <c r="P40" s="20" t="n">
        <v>600.98</v>
      </c>
      <c r="Q40" s="20" t="n">
        <v>600.98</v>
      </c>
      <c r="R40" s="20" t="n">
        <v>600.98</v>
      </c>
      <c r="S40" s="20" t="n">
        <v>600.98</v>
      </c>
      <c r="T40" s="20" t="n">
        <v>600.98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</row>
    <row r="41">
      <c r="B41" s="33" t="inlineStr">
        <is>
          <t xml:space="preserve">  610000 Office Supplies</t>
        </is>
      </c>
      <c r="D41" s="19" t="n">
        <v>70.98999999999999</v>
      </c>
      <c r="E41" s="19" t="n">
        <v>0</v>
      </c>
      <c r="F41" s="19" t="n">
        <v>0</v>
      </c>
      <c r="G41" s="19" t="n">
        <v>0</v>
      </c>
      <c r="H41" s="88" t="n">
        <v>0</v>
      </c>
      <c r="I41" s="20" t="n">
        <v>15.32</v>
      </c>
      <c r="J41" s="20" t="n">
        <v>15.32</v>
      </c>
      <c r="K41" s="20" t="n">
        <v>15.32</v>
      </c>
      <c r="L41" s="20" t="n">
        <v>15.32</v>
      </c>
      <c r="M41" s="20" t="n">
        <v>15.32</v>
      </c>
      <c r="N41" s="20" t="n">
        <v>15.32</v>
      </c>
      <c r="O41" s="20" t="n">
        <v>15.32</v>
      </c>
      <c r="P41" s="20" t="n">
        <v>15.32</v>
      </c>
      <c r="Q41" s="20" t="n">
        <v>15.32</v>
      </c>
      <c r="R41" s="20" t="n">
        <v>15.32</v>
      </c>
      <c r="S41" s="20" t="n">
        <v>15.32</v>
      </c>
      <c r="T41" s="20" t="n">
        <v>15.32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1814.98</v>
      </c>
      <c r="E43" s="19" t="n">
        <v>2215.54</v>
      </c>
      <c r="F43" s="19" t="n">
        <v>0</v>
      </c>
      <c r="G43" s="19" t="n">
        <v>123</v>
      </c>
      <c r="H43" s="88" t="n">
        <v>0</v>
      </c>
      <c r="I43" s="20" t="n">
        <v>5881.66</v>
      </c>
      <c r="J43" s="20" t="n">
        <v>5881.66</v>
      </c>
      <c r="K43" s="20" t="n">
        <v>5881.66</v>
      </c>
      <c r="L43" s="20" t="n">
        <v>5881.66</v>
      </c>
      <c r="M43" s="20" t="n">
        <v>5881.66</v>
      </c>
      <c r="N43" s="20" t="n">
        <v>5881.66</v>
      </c>
      <c r="O43" s="20" t="n">
        <v>5881.66</v>
      </c>
      <c r="P43" s="20" t="n">
        <v>5881.66</v>
      </c>
      <c r="Q43" s="20" t="n">
        <v>5881.66</v>
      </c>
      <c r="R43" s="20" t="n">
        <v>5881.66</v>
      </c>
      <c r="S43" s="20" t="n">
        <v>5881.66</v>
      </c>
      <c r="T43" s="20" t="n">
        <v>5881.66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1760</v>
      </c>
      <c r="G44" s="19" t="n">
        <v>2430</v>
      </c>
      <c r="H44" s="88" t="n">
        <v>1116.82</v>
      </c>
      <c r="I44" s="20" t="n">
        <v>5933.32</v>
      </c>
      <c r="J44" s="20" t="n">
        <v>5933.32</v>
      </c>
      <c r="K44" s="20" t="n">
        <v>5933.32</v>
      </c>
      <c r="L44" s="20" t="n">
        <v>5933.32</v>
      </c>
      <c r="M44" s="20" t="n">
        <v>5933.32</v>
      </c>
      <c r="N44" s="20" t="n">
        <v>5933.32</v>
      </c>
      <c r="O44" s="20" t="n">
        <v>5933.32</v>
      </c>
      <c r="P44" s="20" t="n">
        <v>5933.32</v>
      </c>
      <c r="Q44" s="20" t="n">
        <v>5933.32</v>
      </c>
      <c r="R44" s="20" t="n">
        <v>5933.32</v>
      </c>
      <c r="S44" s="20" t="n">
        <v>5933.32</v>
      </c>
      <c r="T44" s="20" t="n">
        <v>5933.32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88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B47" s="32" t="inlineStr">
        <is>
          <t>Total Professional Fees</t>
        </is>
      </c>
      <c r="C47" s="34" t="n"/>
      <c r="D47" s="35" t="n">
        <v>1814.98</v>
      </c>
      <c r="E47" s="35" t="n">
        <v>2215.54</v>
      </c>
      <c r="F47" s="35" t="n">
        <v>1760</v>
      </c>
      <c r="G47" s="35" t="n">
        <v>2553</v>
      </c>
      <c r="H47" s="89" t="n">
        <v>1116.82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88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80.84999999999999</v>
      </c>
      <c r="E53" s="19" t="n">
        <v>87.12</v>
      </c>
      <c r="F53" s="19" t="n">
        <v>86.36</v>
      </c>
      <c r="G53" s="19" t="n">
        <v>87.54000000000001</v>
      </c>
      <c r="H53" s="88" t="n">
        <v>81.03</v>
      </c>
      <c r="I53" s="20" t="n">
        <v>311.37</v>
      </c>
      <c r="J53" s="20" t="n">
        <v>311.37</v>
      </c>
      <c r="K53" s="20" t="n">
        <v>311.37</v>
      </c>
      <c r="L53" s="20" t="n">
        <v>311.37</v>
      </c>
      <c r="M53" s="20" t="n">
        <v>311.37</v>
      </c>
      <c r="N53" s="20" t="n">
        <v>311.37</v>
      </c>
      <c r="O53" s="20" t="n">
        <v>311.37</v>
      </c>
      <c r="P53" s="20" t="n">
        <v>311.37</v>
      </c>
      <c r="Q53" s="20" t="n">
        <v>311.37</v>
      </c>
      <c r="R53" s="20" t="n">
        <v>311.37</v>
      </c>
      <c r="S53" s="20" t="n">
        <v>311.37</v>
      </c>
      <c r="T53" s="20" t="n">
        <v>311.37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</row>
    <row r="54">
      <c r="B54" s="33" t="inlineStr">
        <is>
          <t xml:space="preserve">  616004 Water &amp; sewer</t>
        </is>
      </c>
      <c r="D54" s="19" t="n">
        <v>34.88</v>
      </c>
      <c r="E54" s="19" t="n">
        <v>34.88</v>
      </c>
      <c r="F54" s="19" t="n">
        <v>34.88</v>
      </c>
      <c r="G54" s="19" t="n">
        <v>0</v>
      </c>
      <c r="H54" s="88" t="n">
        <v>117.32</v>
      </c>
      <c r="I54" s="20" t="n">
        <v>95.31</v>
      </c>
      <c r="J54" s="20" t="n">
        <v>95.31</v>
      </c>
      <c r="K54" s="20" t="n">
        <v>95.31</v>
      </c>
      <c r="L54" s="20" t="n">
        <v>95.31</v>
      </c>
      <c r="M54" s="20" t="n">
        <v>95.31</v>
      </c>
      <c r="N54" s="20" t="n">
        <v>95.31</v>
      </c>
      <c r="O54" s="20" t="n">
        <v>95.31</v>
      </c>
      <c r="P54" s="20" t="n">
        <v>95.31</v>
      </c>
      <c r="Q54" s="20" t="n">
        <v>95.31</v>
      </c>
      <c r="R54" s="20" t="n">
        <v>95.31</v>
      </c>
      <c r="S54" s="20" t="n">
        <v>95.31</v>
      </c>
      <c r="T54" s="20" t="n">
        <v>95.31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115.73</v>
      </c>
      <c r="E56" s="35" t="n">
        <v>122</v>
      </c>
      <c r="F56" s="35" t="n">
        <v>121.24</v>
      </c>
      <c r="G56" s="35" t="n">
        <v>87.54000000000001</v>
      </c>
      <c r="H56" s="89" t="n">
        <v>198.35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10605.32</v>
      </c>
      <c r="E57" s="19" t="n">
        <v>10605.32</v>
      </c>
      <c r="F57" s="19" t="n">
        <v>7176.75</v>
      </c>
      <c r="G57" s="19" t="n">
        <v>10605.32</v>
      </c>
      <c r="H57" s="88" t="n">
        <v>10605.32</v>
      </c>
      <c r="I57" s="20" t="n">
        <v>10605.32</v>
      </c>
      <c r="J57" s="20" t="n">
        <v>10605.32</v>
      </c>
      <c r="K57" s="20" t="n">
        <v>10605.32</v>
      </c>
      <c r="L57" s="20" t="n">
        <v>10605.32</v>
      </c>
      <c r="M57" s="20" t="n">
        <v>10605.32</v>
      </c>
      <c r="N57" s="20" t="n">
        <v>10605.32</v>
      </c>
      <c r="O57" s="20" t="n">
        <v>10605.32</v>
      </c>
      <c r="P57" s="20" t="n">
        <v>10605.32</v>
      </c>
      <c r="Q57" s="20" t="n">
        <v>10605.32</v>
      </c>
      <c r="R57" s="20" t="n">
        <v>10605.32</v>
      </c>
      <c r="S57" s="20" t="n">
        <v>10605.32</v>
      </c>
      <c r="T57" s="20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88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10605.32</v>
      </c>
      <c r="E61" s="35" t="n">
        <v>10605.32</v>
      </c>
      <c r="F61" s="35" t="n">
        <v>7176.75</v>
      </c>
      <c r="G61" s="35" t="n">
        <v>10605.32</v>
      </c>
      <c r="H61" s="89" t="n">
        <v>10605.32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16222.39</v>
      </c>
      <c r="E62" s="35" t="n">
        <v>17111.26</v>
      </c>
      <c r="F62" s="35" t="n">
        <v>14310.31</v>
      </c>
      <c r="G62" s="35" t="n">
        <v>19092.69</v>
      </c>
      <c r="H62" s="89" t="n">
        <v>16812.29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-16342.34</v>
      </c>
      <c r="E63" s="35" t="n">
        <v>-17270.96</v>
      </c>
      <c r="F63" s="35" t="n">
        <v>-14359.33</v>
      </c>
      <c r="G63" s="35" t="n">
        <v>-19127.5</v>
      </c>
      <c r="H63" s="89" t="n">
        <v>-16815.41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772.58</v>
      </c>
      <c r="E65" s="19" t="n">
        <v>826.9299999999999</v>
      </c>
      <c r="F65" s="19" t="n">
        <v>1038.11</v>
      </c>
      <c r="G65" s="19" t="n">
        <v>1038.11</v>
      </c>
      <c r="H65" s="88" t="n">
        <v>1038.11</v>
      </c>
      <c r="I65" s="20">
        <f>I69*1</f>
        <v/>
      </c>
      <c r="J65" s="20">
        <f>J69*1</f>
        <v/>
      </c>
      <c r="K65" s="20">
        <f>K69*1</f>
        <v/>
      </c>
      <c r="L65" s="20">
        <f>L69*1</f>
        <v/>
      </c>
      <c r="M65" s="20">
        <f>M69*1</f>
        <v/>
      </c>
      <c r="N65" s="20">
        <f>N69*1</f>
        <v/>
      </c>
      <c r="O65" s="20">
        <f>O69*1</f>
        <v/>
      </c>
      <c r="P65" s="20">
        <f>P69*1</f>
        <v/>
      </c>
      <c r="Q65" s="20">
        <f>Q69*1</f>
        <v/>
      </c>
      <c r="R65" s="20">
        <f>R69*1</f>
        <v/>
      </c>
      <c r="S65" s="20">
        <f>S69*1</f>
        <v/>
      </c>
      <c r="T65" s="20">
        <f>T69*1</f>
        <v/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88" t="n">
        <v>0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772.58</v>
      </c>
      <c r="E69" s="35" t="n">
        <v>826.9299999999999</v>
      </c>
      <c r="F69" s="35" t="n">
        <v>1038.11</v>
      </c>
      <c r="G69" s="35" t="n">
        <v>1038.11</v>
      </c>
      <c r="H69" s="89" t="n">
        <v>1038.11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-17114.92</v>
      </c>
      <c r="E70" s="35" t="n">
        <v>-18097.89</v>
      </c>
      <c r="F70" s="35" t="n">
        <v>-15397.44</v>
      </c>
      <c r="G70" s="35" t="n">
        <v>-20165.61</v>
      </c>
      <c r="H70" s="89" t="n">
        <v>-17853.52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Westwood (WW)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37940.63</v>
      </c>
      <c r="E7" s="19" t="n">
        <v>36174.8</v>
      </c>
      <c r="F7" s="19" t="n">
        <v>34226.42</v>
      </c>
      <c r="G7" s="19" t="n">
        <v>30242.29</v>
      </c>
      <c r="H7" s="88" t="n">
        <v>29638.85</v>
      </c>
      <c r="I7" s="20">
        <f>I13*0.56594</f>
        <v/>
      </c>
      <c r="J7" s="20">
        <f>J13*0.56594</f>
        <v/>
      </c>
      <c r="K7" s="20">
        <f>K13*0.56594</f>
        <v/>
      </c>
      <c r="L7" s="20">
        <f>L13*0.56594</f>
        <v/>
      </c>
      <c r="M7" s="20">
        <f>M13*0.56594</f>
        <v/>
      </c>
      <c r="N7" s="20">
        <f>N13*0.56594</f>
        <v/>
      </c>
      <c r="O7" s="20">
        <f>O13*0.56594</f>
        <v/>
      </c>
      <c r="P7" s="20">
        <f>P13*0.56594</f>
        <v/>
      </c>
      <c r="Q7" s="20">
        <f>Q13*0.56594</f>
        <v/>
      </c>
      <c r="R7" s="20">
        <f>R13*0.56594</f>
        <v/>
      </c>
      <c r="S7" s="20">
        <f>S13*0.56594</f>
        <v/>
      </c>
      <c r="T7" s="20">
        <f>T13*0.56594</f>
        <v/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</row>
    <row r="8">
      <c r="B8" s="33" t="inlineStr">
        <is>
          <t xml:space="preserve">  401002 Private Pilates</t>
        </is>
      </c>
      <c r="D8" s="19" t="n">
        <v>4066</v>
      </c>
      <c r="E8" s="19" t="n">
        <v>5239.25</v>
      </c>
      <c r="F8" s="19" t="n">
        <v>6355.25</v>
      </c>
      <c r="G8" s="19" t="n">
        <v>5943.5</v>
      </c>
      <c r="H8" s="88" t="n">
        <v>6046</v>
      </c>
      <c r="I8" s="20">
        <f>I13*0.088225</f>
        <v/>
      </c>
      <c r="J8" s="20">
        <f>J13*0.088225</f>
        <v/>
      </c>
      <c r="K8" s="20">
        <f>K13*0.088225</f>
        <v/>
      </c>
      <c r="L8" s="20">
        <f>L13*0.088225</f>
        <v/>
      </c>
      <c r="M8" s="20">
        <f>M13*0.088225</f>
        <v/>
      </c>
      <c r="N8" s="20">
        <f>N13*0.088225</f>
        <v/>
      </c>
      <c r="O8" s="20">
        <f>O13*0.088225</f>
        <v/>
      </c>
      <c r="P8" s="20">
        <f>P13*0.088225</f>
        <v/>
      </c>
      <c r="Q8" s="20">
        <f>Q13*0.088225</f>
        <v/>
      </c>
      <c r="R8" s="20">
        <f>R13*0.088225</f>
        <v/>
      </c>
      <c r="S8" s="20">
        <f>S13*0.088225</f>
        <v/>
      </c>
      <c r="T8" s="20">
        <f>T13*0.088225</f>
        <v/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</row>
    <row r="9">
      <c r="B9" s="33" t="inlineStr">
        <is>
          <t xml:space="preserve">  401003 Class Pass</t>
        </is>
      </c>
      <c r="D9" s="19" t="n">
        <v>20991.71</v>
      </c>
      <c r="E9" s="19" t="n">
        <v>16098.88</v>
      </c>
      <c r="F9" s="19" t="n">
        <v>15697.36</v>
      </c>
      <c r="G9" s="19" t="n">
        <v>14902</v>
      </c>
      <c r="H9" s="88" t="n">
        <v>12802.12</v>
      </c>
      <c r="I9" s="20">
        <f>I13*0.276427</f>
        <v/>
      </c>
      <c r="J9" s="20">
        <f>J13*0.276427</f>
        <v/>
      </c>
      <c r="K9" s="20">
        <f>K13*0.276427</f>
        <v/>
      </c>
      <c r="L9" s="20">
        <f>L13*0.276427</f>
        <v/>
      </c>
      <c r="M9" s="20">
        <f>M13*0.276427</f>
        <v/>
      </c>
      <c r="N9" s="20">
        <f>N13*0.276427</f>
        <v/>
      </c>
      <c r="O9" s="20">
        <f>O13*0.276427</f>
        <v/>
      </c>
      <c r="P9" s="20">
        <f>P13*0.276427</f>
        <v/>
      </c>
      <c r="Q9" s="20">
        <f>Q13*0.276427</f>
        <v/>
      </c>
      <c r="R9" s="20">
        <f>R13*0.276427</f>
        <v/>
      </c>
      <c r="S9" s="20">
        <f>S13*0.276427</f>
        <v/>
      </c>
      <c r="T9" s="20">
        <f>T13*0.276427</f>
        <v/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</row>
    <row r="10">
      <c r="B10" s="33" t="inlineStr">
        <is>
          <t xml:space="preserve">  401004 Mighty Teacher Training</t>
        </is>
      </c>
      <c r="D10" s="19" t="n">
        <v>4819</v>
      </c>
      <c r="E10" s="19" t="n">
        <v>10543.63</v>
      </c>
      <c r="F10" s="19" t="n">
        <v>1235.63</v>
      </c>
      <c r="G10" s="19" t="n">
        <v>0</v>
      </c>
      <c r="H10" s="88" t="n">
        <v>22654.3</v>
      </c>
      <c r="I10" s="20">
        <f>I13*0.067783</f>
        <v/>
      </c>
      <c r="J10" s="20">
        <f>J13*0.067783</f>
        <v/>
      </c>
      <c r="K10" s="20">
        <f>K13*0.067783</f>
        <v/>
      </c>
      <c r="L10" s="20">
        <f>L13*0.067783</f>
        <v/>
      </c>
      <c r="M10" s="20">
        <f>M13*0.067783</f>
        <v/>
      </c>
      <c r="N10" s="20">
        <f>N13*0.067783</f>
        <v/>
      </c>
      <c r="O10" s="20">
        <f>O13*0.067783</f>
        <v/>
      </c>
      <c r="P10" s="20">
        <f>P13*0.067783</f>
        <v/>
      </c>
      <c r="Q10" s="20">
        <f>Q13*0.067783</f>
        <v/>
      </c>
      <c r="R10" s="20">
        <f>R13*0.067783</f>
        <v/>
      </c>
      <c r="S10" s="20">
        <f>S13*0.067783</f>
        <v/>
      </c>
      <c r="T10" s="20">
        <f>T13*0.067783</f>
        <v/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</row>
    <row r="11">
      <c r="B11" s="33" t="inlineStr">
        <is>
          <t xml:space="preserve">  401005 Livestream Classes</t>
        </is>
      </c>
      <c r="D11" s="19" t="n">
        <v>12.06</v>
      </c>
      <c r="E11" s="19" t="n">
        <v>21.27</v>
      </c>
      <c r="F11" s="19" t="n">
        <v>15.46</v>
      </c>
      <c r="G11" s="19" t="n">
        <v>15.45</v>
      </c>
      <c r="H11" s="88" t="n">
        <v>15.97</v>
      </c>
      <c r="I11" s="20">
        <f>I13*0.000262</f>
        <v/>
      </c>
      <c r="J11" s="20">
        <f>J13*0.000262</f>
        <v/>
      </c>
      <c r="K11" s="20">
        <f>K13*0.000262</f>
        <v/>
      </c>
      <c r="L11" s="20">
        <f>L13*0.000262</f>
        <v/>
      </c>
      <c r="M11" s="20">
        <f>M13*0.000262</f>
        <v/>
      </c>
      <c r="N11" s="20">
        <f>N13*0.000262</f>
        <v/>
      </c>
      <c r="O11" s="20">
        <f>O13*0.000262</f>
        <v/>
      </c>
      <c r="P11" s="20">
        <f>P13*0.000262</f>
        <v/>
      </c>
      <c r="Q11" s="20">
        <f>Q13*0.000262</f>
        <v/>
      </c>
      <c r="R11" s="20">
        <f>R13*0.000262</f>
        <v/>
      </c>
      <c r="S11" s="20">
        <f>S13*0.000262</f>
        <v/>
      </c>
      <c r="T11" s="20">
        <f>T13*0.000262</f>
        <v/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</row>
    <row r="12">
      <c r="B12" s="33" t="inlineStr">
        <is>
          <t xml:space="preserve">  401006 Wellhub</t>
        </is>
      </c>
      <c r="D12" s="19" t="n">
        <v>123.47</v>
      </c>
      <c r="E12" s="19" t="n">
        <v>131.35</v>
      </c>
      <c r="F12" s="19" t="n">
        <v>52.54</v>
      </c>
      <c r="G12" s="19" t="n">
        <v>26.27</v>
      </c>
      <c r="H12" s="88" t="n">
        <v>105.08</v>
      </c>
      <c r="I12" s="20">
        <f>I13*0.001362</f>
        <v/>
      </c>
      <c r="J12" s="20">
        <f>J13*0.001362</f>
        <v/>
      </c>
      <c r="K12" s="20">
        <f>K13*0.001362</f>
        <v/>
      </c>
      <c r="L12" s="20">
        <f>L13*0.001362</f>
        <v/>
      </c>
      <c r="M12" s="20">
        <f>M13*0.001362</f>
        <v/>
      </c>
      <c r="N12" s="20">
        <f>N13*0.001362</f>
        <v/>
      </c>
      <c r="O12" s="20">
        <f>O13*0.001362</f>
        <v/>
      </c>
      <c r="P12" s="20">
        <f>P13*0.001362</f>
        <v/>
      </c>
      <c r="Q12" s="20">
        <f>Q13*0.001362</f>
        <v/>
      </c>
      <c r="R12" s="20">
        <f>R13*0.001362</f>
        <v/>
      </c>
      <c r="S12" s="20">
        <f>S13*0.001362</f>
        <v/>
      </c>
      <c r="T12" s="20">
        <f>T13*0.001362</f>
        <v/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</row>
    <row r="13">
      <c r="B13" s="32" t="inlineStr">
        <is>
          <t>Total Sessions</t>
        </is>
      </c>
      <c r="C13" s="34" t="n"/>
      <c r="D13" s="35" t="n">
        <v>67952.87</v>
      </c>
      <c r="E13" s="35" t="n">
        <v>68209.18000000001</v>
      </c>
      <c r="F13" s="35" t="n">
        <v>57582.66</v>
      </c>
      <c r="G13" s="35" t="n">
        <v>51129.51</v>
      </c>
      <c r="H13" s="89" t="n">
        <v>71262.32000000001</v>
      </c>
      <c r="I13" s="17">
        <f>'Sales Forecast'!I17*Assumptions!$C$12+'Sales Forecast'!H17*Assumptions!$D$12+'Sales Forecast'!G17*Assumptions!$E$12+'Sales Forecast'!F17*Assumptions!$F$12+'Sales Forecast'!E17*Assumptions!$G$12+'Sales Forecast'!D17*Assumptions!$H$12+'Sales Forecast'!I113*Assumptions!$I$12</f>
        <v/>
      </c>
      <c r="J13" s="17">
        <f>'Sales Forecast'!J17*Assumptions!$C$12+'Sales Forecast'!I17*Assumptions!$D$12+'Sales Forecast'!H17*Assumptions!$E$12+'Sales Forecast'!G17*Assumptions!$F$12+'Sales Forecast'!F17*Assumptions!$G$12+'Sales Forecast'!E17*Assumptions!$H$12+'Sales Forecast'!D17*Assumptions!$I$12</f>
        <v/>
      </c>
      <c r="K13" s="17">
        <f>'Sales Forecast'!K17*Assumptions!$C$12+'Sales Forecast'!J17*Assumptions!$D$12+'Sales Forecast'!I17*Assumptions!$E$12+'Sales Forecast'!H17*Assumptions!$F$12+'Sales Forecast'!G17*Assumptions!$G$12+'Sales Forecast'!F17*Assumptions!$H$12+'Sales Forecast'!E17*Assumptions!$I$12</f>
        <v/>
      </c>
      <c r="L13" s="17">
        <f>'Sales Forecast'!L17*Assumptions!$C$12+'Sales Forecast'!K17*Assumptions!$D$12+'Sales Forecast'!J17*Assumptions!$E$12+'Sales Forecast'!I17*Assumptions!$F$12+'Sales Forecast'!H17*Assumptions!$G$12+'Sales Forecast'!G17*Assumptions!$H$12+'Sales Forecast'!F17*Assumptions!$I$12</f>
        <v/>
      </c>
      <c r="M13" s="17">
        <f>'Sales Forecast'!M17*Assumptions!$C$12+'Sales Forecast'!L17*Assumptions!$D$12+'Sales Forecast'!K17*Assumptions!$E$12+'Sales Forecast'!J17*Assumptions!$F$12+'Sales Forecast'!I17*Assumptions!$G$12+'Sales Forecast'!H17*Assumptions!$H$12+'Sales Forecast'!G17*Assumptions!$I$12</f>
        <v/>
      </c>
      <c r="N13" s="17">
        <f>'Sales Forecast'!N17*Assumptions!$C$12+'Sales Forecast'!M17*Assumptions!$D$12+'Sales Forecast'!L17*Assumptions!$E$12+'Sales Forecast'!K17*Assumptions!$F$12+'Sales Forecast'!J17*Assumptions!$G$12+'Sales Forecast'!I17*Assumptions!$H$12+'Sales Forecast'!H17*Assumptions!$I$12</f>
        <v/>
      </c>
      <c r="O13" s="17">
        <f>'Sales Forecast'!O17*Assumptions!$C$12+'Sales Forecast'!N17*Assumptions!$D$12+'Sales Forecast'!M17*Assumptions!$E$12+'Sales Forecast'!L17*Assumptions!$F$12+'Sales Forecast'!K17*Assumptions!$G$12+'Sales Forecast'!J17*Assumptions!$H$12+'Sales Forecast'!I17*Assumptions!$I$12</f>
        <v/>
      </c>
      <c r="P13" s="17">
        <f>'Sales Forecast'!P17*Assumptions!$C$12+'Sales Forecast'!O17*Assumptions!$D$12+'Sales Forecast'!N17*Assumptions!$E$12+'Sales Forecast'!M17*Assumptions!$F$12+'Sales Forecast'!L17*Assumptions!$G$12+'Sales Forecast'!K17*Assumptions!$H$12+'Sales Forecast'!J17*Assumptions!$I$12</f>
        <v/>
      </c>
      <c r="Q13" s="17">
        <f>'Sales Forecast'!Q17*Assumptions!$C$12+'Sales Forecast'!P17*Assumptions!$D$12+'Sales Forecast'!O17*Assumptions!$E$12+'Sales Forecast'!N17*Assumptions!$F$12+'Sales Forecast'!M17*Assumptions!$G$12+'Sales Forecast'!L17*Assumptions!$H$12+'Sales Forecast'!K17*Assumptions!$I$12</f>
        <v/>
      </c>
      <c r="R13" s="17">
        <f>'Sales Forecast'!R17*Assumptions!$C$12+'Sales Forecast'!Q17*Assumptions!$D$12+'Sales Forecast'!P17*Assumptions!$E$12+'Sales Forecast'!O17*Assumptions!$F$12+'Sales Forecast'!N17*Assumptions!$G$12+'Sales Forecast'!M17*Assumptions!$H$12+'Sales Forecast'!L17*Assumptions!$I$12</f>
        <v/>
      </c>
      <c r="S13" s="17">
        <f>'Sales Forecast'!S17*Assumptions!$C$12+'Sales Forecast'!R17*Assumptions!$D$12+'Sales Forecast'!Q17*Assumptions!$E$12+'Sales Forecast'!P17*Assumptions!$F$12+'Sales Forecast'!O17*Assumptions!$G$12+'Sales Forecast'!N17*Assumptions!$H$12+'Sales Forecast'!M17*Assumptions!$I$12</f>
        <v/>
      </c>
      <c r="T13" s="17">
        <f>'Sales Forecast'!T17*Assumptions!$C$12+'Sales Forecast'!S17*Assumptions!$D$12+'Sales Forecast'!R17*Assumptions!$E$12+'Sales Forecast'!Q17*Assumptions!$F$12+'Sales Forecast'!P17*Assumptions!$G$12+'Sales Forecast'!O17*Assumptions!$H$12+'Sales Forecast'!N17*Assumptions!$I$12</f>
        <v/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Forecast'!O17*Assumptions!$I$12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</row>
    <row r="14">
      <c r="B14" s="33" t="inlineStr">
        <is>
          <t xml:space="preserve">  403001 Machine Breakage</t>
        </is>
      </c>
      <c r="D14" s="19" t="n">
        <v>13157.19</v>
      </c>
      <c r="E14" s="19" t="n">
        <v>12037.93</v>
      </c>
      <c r="F14" s="19" t="n">
        <v>10513.08</v>
      </c>
      <c r="G14" s="19" t="n">
        <v>11003.92</v>
      </c>
      <c r="H14" s="88" t="n">
        <v>8279.93</v>
      </c>
      <c r="I14" s="20">
        <f>I17*0.878488</f>
        <v/>
      </c>
      <c r="J14" s="20">
        <f>J17*0.878488</f>
        <v/>
      </c>
      <c r="K14" s="20">
        <f>K17*0.878488</f>
        <v/>
      </c>
      <c r="L14" s="20">
        <f>L17*0.878488</f>
        <v/>
      </c>
      <c r="M14" s="20">
        <f>M17*0.878488</f>
        <v/>
      </c>
      <c r="N14" s="20">
        <f>N17*0.878488</f>
        <v/>
      </c>
      <c r="O14" s="20">
        <f>O17*0.878488</f>
        <v/>
      </c>
      <c r="P14" s="20">
        <f>P17*0.878488</f>
        <v/>
      </c>
      <c r="Q14" s="20">
        <f>Q17*0.878488</f>
        <v/>
      </c>
      <c r="R14" s="20">
        <f>R17*0.878488</f>
        <v/>
      </c>
      <c r="S14" s="20">
        <f>S17*0.878488</f>
        <v/>
      </c>
      <c r="T14" s="20">
        <f>T17*0.878488</f>
        <v/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1155</v>
      </c>
      <c r="F15" s="19" t="n">
        <v>744</v>
      </c>
      <c r="G15" s="19" t="n">
        <v>225</v>
      </c>
      <c r="H15" s="88" t="n">
        <v>300</v>
      </c>
      <c r="I15" s="20">
        <f>I17*0.048408</f>
        <v/>
      </c>
      <c r="J15" s="20">
        <f>J17*0.048408</f>
        <v/>
      </c>
      <c r="K15" s="20">
        <f>K17*0.048408</f>
        <v/>
      </c>
      <c r="L15" s="20">
        <f>L17*0.048408</f>
        <v/>
      </c>
      <c r="M15" s="20">
        <f>M17*0.048408</f>
        <v/>
      </c>
      <c r="N15" s="20">
        <f>N17*0.048408</f>
        <v/>
      </c>
      <c r="O15" s="20">
        <f>O17*0.048408</f>
        <v/>
      </c>
      <c r="P15" s="20">
        <f>P17*0.048408</f>
        <v/>
      </c>
      <c r="Q15" s="20">
        <f>Q17*0.048408</f>
        <v/>
      </c>
      <c r="R15" s="20">
        <f>R17*0.048408</f>
        <v/>
      </c>
      <c r="S15" s="20">
        <f>S17*0.048408</f>
        <v/>
      </c>
      <c r="T15" s="20">
        <f>T17*0.048408</f>
        <v/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</row>
    <row r="16">
      <c r="B16" s="33" t="inlineStr">
        <is>
          <t xml:space="preserve">  403004 Other Breakage</t>
        </is>
      </c>
      <c r="D16" s="19" t="n">
        <v>960</v>
      </c>
      <c r="E16" s="19" t="n">
        <v>640</v>
      </c>
      <c r="F16" s="19" t="n">
        <v>687.2</v>
      </c>
      <c r="G16" s="19" t="n">
        <v>1600</v>
      </c>
      <c r="H16" s="88" t="n">
        <v>960</v>
      </c>
      <c r="I16" s="20">
        <f>I17*0.073104</f>
        <v/>
      </c>
      <c r="J16" s="20">
        <f>J17*0.073104</f>
        <v/>
      </c>
      <c r="K16" s="20">
        <f>K17*0.073104</f>
        <v/>
      </c>
      <c r="L16" s="20">
        <f>L17*0.073104</f>
        <v/>
      </c>
      <c r="M16" s="20">
        <f>M17*0.073104</f>
        <v/>
      </c>
      <c r="N16" s="20">
        <f>N17*0.073104</f>
        <v/>
      </c>
      <c r="O16" s="20">
        <f>O17*0.073104</f>
        <v/>
      </c>
      <c r="P16" s="20">
        <f>P17*0.073104</f>
        <v/>
      </c>
      <c r="Q16" s="20">
        <f>Q17*0.073104</f>
        <v/>
      </c>
      <c r="R16" s="20">
        <f>R17*0.073104</f>
        <v/>
      </c>
      <c r="S16" s="20">
        <f>S17*0.073104</f>
        <v/>
      </c>
      <c r="T16" s="20">
        <f>T17*0.073104</f>
        <v/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</row>
    <row r="17">
      <c r="B17" s="32" t="inlineStr">
        <is>
          <t>Total Breakage Revenue</t>
        </is>
      </c>
      <c r="C17" s="34" t="n"/>
      <c r="D17" s="35" t="n">
        <v>14567.19</v>
      </c>
      <c r="E17" s="35" t="n">
        <v>13832.93</v>
      </c>
      <c r="F17" s="35" t="n">
        <v>11944.28</v>
      </c>
      <c r="G17" s="35" t="n">
        <v>12828.92</v>
      </c>
      <c r="H17" s="89" t="n">
        <v>9539.93</v>
      </c>
      <c r="I17" s="17">
        <f>'Sales Forecast'!I17*Assumptions!$C$13+'Sales Forecast'!H17*Assumptions!$D$13+'Sales Forecast'!G17*Assumptions!$E$13+'Sales Forecast'!F17*Assumptions!$F$13+'Sales Forecast'!E17*Assumptions!$G$13+'Sales Forecast'!D17*Assumptions!$H$13+'Sales Forecast'!I113*Assumptions!$I$13</f>
        <v/>
      </c>
      <c r="J17" s="17">
        <f>'Sales Forecast'!J17*Assumptions!$C$13+'Sales Forecast'!I17*Assumptions!$D$13+'Sales Forecast'!H17*Assumptions!$E$13+'Sales Forecast'!G17*Assumptions!$F$13+'Sales Forecast'!F17*Assumptions!$G$13+'Sales Forecast'!E17*Assumptions!$H$13+'Sales Forecast'!D17*Assumptions!$I$13</f>
        <v/>
      </c>
      <c r="K17" s="17">
        <f>'Sales Forecast'!K17*Assumptions!$C$13+'Sales Forecast'!J17*Assumptions!$D$13+'Sales Forecast'!I17*Assumptions!$E$13+'Sales Forecast'!H17*Assumptions!$F$13+'Sales Forecast'!G17*Assumptions!$G$13+'Sales Forecast'!F17*Assumptions!$H$13+'Sales Forecast'!E17*Assumptions!$I$13</f>
        <v/>
      </c>
      <c r="L17" s="17">
        <f>'Sales Forecast'!L17*Assumptions!$C$13+'Sales Forecast'!K17*Assumptions!$D$13+'Sales Forecast'!J17*Assumptions!$E$13+'Sales Forecast'!I17*Assumptions!$F$13+'Sales Forecast'!H17*Assumptions!$G$13+'Sales Forecast'!G17*Assumptions!$H$13+'Sales Forecast'!F17*Assumptions!$I$13</f>
        <v/>
      </c>
      <c r="M17" s="17">
        <f>'Sales Forecast'!M17*Assumptions!$C$13+'Sales Forecast'!L17*Assumptions!$D$13+'Sales Forecast'!K17*Assumptions!$E$13+'Sales Forecast'!J17*Assumptions!$F$13+'Sales Forecast'!I17*Assumptions!$G$13+'Sales Forecast'!H17*Assumptions!$H$13+'Sales Forecast'!G17*Assumptions!$I$13</f>
        <v/>
      </c>
      <c r="N17" s="17">
        <f>'Sales Forecast'!N17*Assumptions!$C$13+'Sales Forecast'!M17*Assumptions!$D$13+'Sales Forecast'!L17*Assumptions!$E$13+'Sales Forecast'!K17*Assumptions!$F$13+'Sales Forecast'!J17*Assumptions!$G$13+'Sales Forecast'!I17*Assumptions!$H$13+'Sales Forecast'!H17*Assumptions!$I$13</f>
        <v/>
      </c>
      <c r="O17" s="17">
        <f>'Sales Forecast'!O17*Assumptions!$C$13+'Sales Forecast'!N17*Assumptions!$D$13+'Sales Forecast'!M17*Assumptions!$E$13+'Sales Forecast'!L17*Assumptions!$F$13+'Sales Forecast'!K17*Assumptions!$G$13+'Sales Forecast'!J17*Assumptions!$H$13+'Sales Forecast'!I17*Assumptions!$I$13</f>
        <v/>
      </c>
      <c r="P17" s="17">
        <f>'Sales Forecast'!P17*Assumptions!$C$13+'Sales Forecast'!O17*Assumptions!$D$13+'Sales Forecast'!N17*Assumptions!$E$13+'Sales Forecast'!M17*Assumptions!$F$13+'Sales Forecast'!L17*Assumptions!$G$13+'Sales Forecast'!K17*Assumptions!$H$13+'Sales Forecast'!J17*Assumptions!$I$13</f>
        <v/>
      </c>
      <c r="Q17" s="17">
        <f>'Sales Forecast'!Q17*Assumptions!$C$13+'Sales Forecast'!P17*Assumptions!$D$13+'Sales Forecast'!O17*Assumptions!$E$13+'Sales Forecast'!N17*Assumptions!$F$13+'Sales Forecast'!M17*Assumptions!$G$13+'Sales Forecast'!L17*Assumptions!$H$13+'Sales Forecast'!K17*Assumptions!$I$13</f>
        <v/>
      </c>
      <c r="R17" s="17">
        <f>'Sales Forecast'!R17*Assumptions!$C$13+'Sales Forecast'!Q17*Assumptions!$D$13+'Sales Forecast'!P17*Assumptions!$E$13+'Sales Forecast'!O17*Assumptions!$F$13+'Sales Forecast'!N17*Assumptions!$G$13+'Sales Forecast'!M17*Assumptions!$H$13+'Sales Forecast'!L17*Assumptions!$I$13</f>
        <v/>
      </c>
      <c r="S17" s="17">
        <f>'Sales Forecast'!S17*Assumptions!$C$13+'Sales Forecast'!R17*Assumptions!$D$13+'Sales Forecast'!Q17*Assumptions!$E$13+'Sales Forecast'!P17*Assumptions!$F$13+'Sales Forecast'!O17*Assumptions!$G$13+'Sales Forecast'!N17*Assumptions!$H$13+'Sales Forecast'!M17*Assumptions!$I$13</f>
        <v/>
      </c>
      <c r="T17" s="17">
        <f>'Sales Forecast'!T17*Assumptions!$C$13+'Sales Forecast'!S17*Assumptions!$D$13+'Sales Forecast'!R17*Assumptions!$E$13+'Sales Forecast'!Q17*Assumptions!$F$13+'Sales Forecast'!P17*Assumptions!$G$13+'Sales Forecast'!O17*Assumptions!$H$13+'Sales Forecast'!N17*Assumptions!$I$13</f>
        <v/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Forecast'!O17*Assumptions!$I$13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</row>
    <row r="18">
      <c r="B18" s="33" t="inlineStr">
        <is>
          <t xml:space="preserve">  404000 Retail Sales</t>
        </is>
      </c>
      <c r="D18" s="19" t="n">
        <v>2763</v>
      </c>
      <c r="E18" s="19" t="n">
        <v>2407</v>
      </c>
      <c r="F18" s="19" t="n">
        <v>1522</v>
      </c>
      <c r="G18" s="19" t="n">
        <v>1074</v>
      </c>
      <c r="H18" s="88" t="n">
        <v>1255</v>
      </c>
      <c r="I18" s="20">
        <f>1941.5</f>
        <v/>
      </c>
      <c r="J18" s="20">
        <f>1941.5</f>
        <v/>
      </c>
      <c r="K18" s="20">
        <f>1941.5</f>
        <v/>
      </c>
      <c r="L18" s="20">
        <f>1941.5</f>
        <v/>
      </c>
      <c r="M18" s="20">
        <f>1941.5</f>
        <v/>
      </c>
      <c r="N18" s="20">
        <f>1941.5</f>
        <v/>
      </c>
      <c r="O18" s="20">
        <f>1941.5</f>
        <v/>
      </c>
      <c r="P18" s="20">
        <f>1941.5</f>
        <v/>
      </c>
      <c r="Q18" s="20">
        <f>1941.5</f>
        <v/>
      </c>
      <c r="R18" s="20">
        <f>1941.5</f>
        <v/>
      </c>
      <c r="S18" s="20">
        <f>1941.5</f>
        <v/>
      </c>
      <c r="T18" s="20">
        <f>1941.5</f>
        <v/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</row>
    <row r="19">
      <c r="B19" s="33" t="inlineStr">
        <is>
          <t xml:space="preserve">  406000 Refunds</t>
        </is>
      </c>
      <c r="D19" s="19" t="n">
        <v>4628.5</v>
      </c>
      <c r="E19" s="19" t="n">
        <v>694.5</v>
      </c>
      <c r="F19" s="19" t="n">
        <v>2634.25</v>
      </c>
      <c r="G19" s="19" t="n">
        <v>160</v>
      </c>
      <c r="H19" s="88" t="n">
        <v>969</v>
      </c>
      <c r="I19" s="20">
        <f>('Sales Forecast'!I17*Assumptions!$C$12+'Sales Forecast'!H17*Assumptions!$D$12+'Sales Forecast'!G17*Assumptions!$E$12+'Sales Forecast'!F17*Assumptions!$F$12+'Sales Forecast'!E17*Assumptions!$G$12+'Sales Forecast'!D17*Assumptions!$H$12+'Sales Forecast'!I17*Assumptions!$C$13+'Sales Forecast'!H17*Assumptions!$D$13+'Sales Forecast'!G17*Assumptions!$E$13+'Sales Forecast'!F17*Assumptions!$F$13+'Sales Forecast'!E17*Assumptions!$G$13+'Sales Forecast'!D17*Assumptions!$H$13+1941.5)*Assumptions!$C$17</f>
        <v/>
      </c>
      <c r="J19" s="20">
        <f>('Sales Forecast'!J17*Assumptions!$C$12+'Sales Forecast'!I17*Assumptions!$D$12+'Sales Forecast'!H17*Assumptions!$E$12+'Sales Forecast'!G17*Assumptions!$F$12+'Sales Forecast'!F17*Assumptions!$G$12+'Sales Forecast'!E17*Assumptions!$H$12+'Sales Forecast'!D17*Assumptions!$I$12+'Sales Forecast'!J17*Assumptions!$C$13+'Sales Forecast'!I17*Assumptions!$D$13+'Sales Forecast'!H17*Assumptions!$E$13+'Sales Forecast'!G17*Assumptions!$F$13+'Sales Forecast'!F17*Assumptions!$G$13+'Sales Forecast'!E17*Assumptions!$H$13+'Sales Forecast'!D17*Assumptions!$I$13+1941.5)*Assumptions!$C$17</f>
        <v/>
      </c>
      <c r="K19" s="20">
        <f>('Sales Forecast'!K17*Assumptions!$C$12+'Sales Forecast'!J17*Assumptions!$D$12+'Sales Forecast'!I17*Assumptions!$E$12+'Sales Forecast'!H17*Assumptions!$F$12+'Sales Forecast'!G17*Assumptions!$G$12+'Sales Forecast'!F17*Assumptions!$H$12+'Sales Forecast'!E17*Assumptions!$I$12+'Sales Forecast'!K17*Assumptions!$C$13+'Sales Forecast'!J17*Assumptions!$D$13+'Sales Forecast'!I17*Assumptions!$E$13+'Sales Forecast'!H17*Assumptions!$F$13+'Sales Forecast'!G17*Assumptions!$G$13+'Sales Forecast'!F17*Assumptions!$H$13+'Sales Forecast'!E17*Assumptions!$I$13+1941.5)*Assumptions!$C$17</f>
        <v/>
      </c>
      <c r="L19" s="20">
        <f>('Sales Forecast'!L17*Assumptions!$C$12+'Sales Forecast'!K17*Assumptions!$D$12+'Sales Forecast'!J17*Assumptions!$E$12+'Sales Forecast'!I17*Assumptions!$F$12+'Sales Forecast'!H17*Assumptions!$G$12+'Sales Forecast'!G17*Assumptions!$H$12+'Sales Forecast'!F17*Assumptions!$I$12+'Sales Forecast'!L17*Assumptions!$C$13+'Sales Forecast'!K17*Assumptions!$D$13+'Sales Forecast'!J17*Assumptions!$E$13+'Sales Forecast'!I17*Assumptions!$F$13+'Sales Forecast'!H17*Assumptions!$G$13+'Sales Forecast'!G17*Assumptions!$H$13+'Sales Forecast'!F17*Assumptions!$I$13+1941.5)*Assumptions!$C$17</f>
        <v/>
      </c>
      <c r="M19" s="20">
        <f>('Sales Forecast'!M17*Assumptions!$C$12+'Sales Forecast'!L17*Assumptions!$D$12+'Sales Forecast'!K17*Assumptions!$E$12+'Sales Forecast'!J17*Assumptions!$F$12+'Sales Forecast'!I17*Assumptions!$G$12+'Sales Forecast'!H17*Assumptions!$H$12+'Sales Forecast'!G17*Assumptions!$I$12+'Sales Forecast'!M17*Assumptions!$C$13+'Sales Forecast'!L17*Assumptions!$D$13+'Sales Forecast'!K17*Assumptions!$E$13+'Sales Forecast'!J17*Assumptions!$F$13+'Sales Forecast'!I17*Assumptions!$G$13+'Sales Forecast'!H17*Assumptions!$H$13+'Sales Forecast'!G17*Assumptions!$I$13+1941.5)*Assumptions!$C$17</f>
        <v/>
      </c>
      <c r="N19" s="20">
        <f>('Sales Forecast'!N17*Assumptions!$C$12+'Sales Forecast'!M17*Assumptions!$D$12+'Sales Forecast'!L17*Assumptions!$E$12+'Sales Forecast'!K17*Assumptions!$F$12+'Sales Forecast'!J17*Assumptions!$G$12+'Sales Forecast'!I17*Assumptions!$H$12+'Sales Forecast'!H17*Assumptions!$I$12+'Sales Forecast'!N17*Assumptions!$C$13+'Sales Forecast'!M17*Assumptions!$D$13+'Sales Forecast'!L17*Assumptions!$E$13+'Sales Forecast'!K17*Assumptions!$F$13+'Sales Forecast'!J17*Assumptions!$G$13+'Sales Forecast'!I17*Assumptions!$H$13+'Sales Forecast'!H17*Assumptions!$I$13+1941.5)*Assumptions!$C$17</f>
        <v/>
      </c>
      <c r="O19" s="20">
        <f>('Sales Forecast'!O17*Assumptions!$C$12+'Sales Forecast'!N17*Assumptions!$D$12+'Sales Forecast'!M17*Assumptions!$E$12+'Sales Forecast'!L17*Assumptions!$F$12+'Sales Forecast'!K17*Assumptions!$G$12+'Sales Forecast'!J17*Assumptions!$H$12+'Sales Forecast'!I17*Assumptions!$I$12+'Sales Forecast'!O17*Assumptions!$C$13+'Sales Forecast'!N17*Assumptions!$D$13+'Sales Forecast'!M17*Assumptions!$E$13+'Sales Forecast'!L17*Assumptions!$F$13+'Sales Forecast'!K17*Assumptions!$G$13+'Sales Forecast'!J17*Assumptions!$H$13+'Sales Forecast'!I17*Assumptions!$I$13+1941.5)*Assumptions!$C$17</f>
        <v/>
      </c>
      <c r="P19" s="20">
        <f>('Sales Forecast'!P17*Assumptions!$C$12+'Sales Forecast'!O17*Assumptions!$D$12+'Sales Forecast'!N17*Assumptions!$E$12+'Sales Forecast'!M17*Assumptions!$F$12+'Sales Forecast'!L17*Assumptions!$G$12+'Sales Forecast'!K17*Assumptions!$H$12+'Sales Forecast'!J17*Assumptions!$I$12+'Sales Forecast'!P17*Assumptions!$C$13+'Sales Forecast'!O17*Assumptions!$D$13+'Sales Forecast'!N17*Assumptions!$E$13+'Sales Forecast'!M17*Assumptions!$F$13+'Sales Forecast'!L17*Assumptions!$G$13+'Sales Forecast'!K17*Assumptions!$H$13+'Sales Forecast'!J17*Assumptions!$I$13+1941.5)*Assumptions!$C$17</f>
        <v/>
      </c>
      <c r="Q19" s="20">
        <f>('Sales Forecast'!Q17*Assumptions!$C$12+'Sales Forecast'!P17*Assumptions!$D$12+'Sales Forecast'!O17*Assumptions!$E$12+'Sales Forecast'!N17*Assumptions!$F$12+'Sales Forecast'!M17*Assumptions!$G$12+'Sales Forecast'!L17*Assumptions!$H$12+'Sales Forecast'!K17*Assumptions!$I$12+'Sales Forecast'!Q17*Assumptions!$C$13+'Sales Forecast'!P17*Assumptions!$D$13+'Sales Forecast'!O17*Assumptions!$E$13+'Sales Forecast'!N17*Assumptions!$F$13+'Sales Forecast'!M17*Assumptions!$G$13+'Sales Forecast'!L17*Assumptions!$H$13+'Sales Forecast'!K17*Assumptions!$I$13+1941.5)*Assumptions!$C$17</f>
        <v/>
      </c>
      <c r="R19" s="20">
        <f>('Sales Forecast'!R17*Assumptions!$C$12+'Sales Forecast'!Q17*Assumptions!$D$12+'Sales Forecast'!P17*Assumptions!$E$12+'Sales Forecast'!O17*Assumptions!$F$12+'Sales Forecast'!N17*Assumptions!$G$12+'Sales Forecast'!M17*Assumptions!$H$12+'Sales Forecast'!L17*Assumptions!$I$12+'Sales Forecast'!R17*Assumptions!$C$13+'Sales Forecast'!Q17*Assumptions!$D$13+'Sales Forecast'!P17*Assumptions!$E$13+'Sales Forecast'!O17*Assumptions!$F$13+'Sales Forecast'!N17*Assumptions!$G$13+'Sales Forecast'!M17*Assumptions!$H$13+'Sales Forecast'!L17*Assumptions!$I$13+1941.5)*Assumptions!$C$17</f>
        <v/>
      </c>
      <c r="S19" s="20">
        <f>('Sales Forecast'!S17*Assumptions!$C$12+'Sales Forecast'!R17*Assumptions!$D$12+'Sales Forecast'!Q17*Assumptions!$E$12+'Sales Forecast'!P17*Assumptions!$F$12+'Sales Forecast'!O17*Assumptions!$G$12+'Sales Forecast'!N17*Assumptions!$H$12+'Sales Forecast'!M17*Assumptions!$I$12+'Sales Forecast'!S17*Assumptions!$C$13+'Sales Forecast'!R17*Assumptions!$D$13+'Sales Forecast'!Q17*Assumptions!$E$13+'Sales Forecast'!P17*Assumptions!$F$13+'Sales Forecast'!O17*Assumptions!$G$13+'Sales Forecast'!N17*Assumptions!$H$13+'Sales Forecast'!M17*Assumptions!$I$13+1941.5)*Assumptions!$C$17</f>
        <v/>
      </c>
      <c r="T19" s="20">
        <f>('Sales Forecast'!T17*Assumptions!$C$12+'Sales Forecast'!S17*Assumptions!$D$12+'Sales Forecast'!R17*Assumptions!$E$12+'Sales Forecast'!Q17*Assumptions!$F$12+'Sales Forecast'!P17*Assumptions!$G$12+'Sales Forecast'!O17*Assumptions!$H$12+'Sales Forecast'!N17*Assumptions!$I$12+'Sales Forecast'!T17*Assumptions!$C$13+'Sales Forecast'!S17*Assumptions!$D$13+'Sales Forecast'!R17*Assumptions!$E$13+'Sales Forecast'!Q17*Assumptions!$F$13+'Sales Forecast'!P17*Assumptions!$G$13+'Sales Forecast'!O17*Assumptions!$H$13+'Sales Forecast'!N17*Assumptions!$I$13+1941.5)*Assumptions!$C$17</f>
        <v/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Forecast'!O17*Assumptions!$I$12+'Sales Forecast'!U17*Assumptions!$C$13+'Sales Forecast'!T17*Assumptions!$D$13+'Sales Forecast'!S17*Assumptions!$E$13+'Sales Forecast'!R17*Assumptions!$F$13+'Sales Forecast'!Q17*Assumptions!$G$13+'Sales Forecast'!P17*Assumptions!$H$13+'Sales Forecast'!O17*Assumptions!$I$13+1941.5)*Assumptions!$C$17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</row>
    <row r="20">
      <c r="B20" s="33" t="inlineStr">
        <is>
          <t xml:space="preserve">  407000 Discounts</t>
        </is>
      </c>
      <c r="D20" s="19" t="n">
        <v>2292.4</v>
      </c>
      <c r="E20" s="19" t="n">
        <v>4554.8</v>
      </c>
      <c r="F20" s="19" t="n">
        <v>4726.3</v>
      </c>
      <c r="G20" s="19" t="n">
        <v>3387.4</v>
      </c>
      <c r="H20" s="88" t="n">
        <v>2775.4</v>
      </c>
      <c r="I20" s="20">
        <f>('Sales Forecast'!I17*Assumptions!$C$12+'Sales Forecast'!H17*Assumptions!$D$12+'Sales Forecast'!G17*Assumptions!$E$12+'Sales Forecast'!F17*Assumptions!$F$12+'Sales Forecast'!E17*Assumptions!$G$12+'Sales Forecast'!D17*Assumptions!$H$12+'Sales Forecast'!I17*Assumptions!$C$13+'Sales Forecast'!H17*Assumptions!$D$13+'Sales Forecast'!G17*Assumptions!$E$13+'Sales Forecast'!F17*Assumptions!$F$13+'Sales Forecast'!E17*Assumptions!$G$13+'Sales Forecast'!D17*Assumptions!$H$13+1941.5)*Assumptions!$C$18</f>
        <v/>
      </c>
      <c r="J20" s="20">
        <f>('Sales Forecast'!J17*Assumptions!$C$12+'Sales Forecast'!I17*Assumptions!$D$12+'Sales Forecast'!H17*Assumptions!$E$12+'Sales Forecast'!G17*Assumptions!$F$12+'Sales Forecast'!F17*Assumptions!$G$12+'Sales Forecast'!E17*Assumptions!$H$12+'Sales Forecast'!D17*Assumptions!$I$12+'Sales Forecast'!J17*Assumptions!$C$13+'Sales Forecast'!I17*Assumptions!$D$13+'Sales Forecast'!H17*Assumptions!$E$13+'Sales Forecast'!G17*Assumptions!$F$13+'Sales Forecast'!F17*Assumptions!$G$13+'Sales Forecast'!E17*Assumptions!$H$13+'Sales Forecast'!D17*Assumptions!$I$13+1941.5)*Assumptions!$C$18</f>
        <v/>
      </c>
      <c r="K20" s="20">
        <f>('Sales Forecast'!K17*Assumptions!$C$12+'Sales Forecast'!J17*Assumptions!$D$12+'Sales Forecast'!I17*Assumptions!$E$12+'Sales Forecast'!H17*Assumptions!$F$12+'Sales Forecast'!G17*Assumptions!$G$12+'Sales Forecast'!F17*Assumptions!$H$12+'Sales Forecast'!E17*Assumptions!$I$12+'Sales Forecast'!K17*Assumptions!$C$13+'Sales Forecast'!J17*Assumptions!$D$13+'Sales Forecast'!I17*Assumptions!$E$13+'Sales Forecast'!H17*Assumptions!$F$13+'Sales Forecast'!G17*Assumptions!$G$13+'Sales Forecast'!F17*Assumptions!$H$13+'Sales Forecast'!E17*Assumptions!$I$13+1941.5)*Assumptions!$C$18</f>
        <v/>
      </c>
      <c r="L20" s="20">
        <f>('Sales Forecast'!L17*Assumptions!$C$12+'Sales Forecast'!K17*Assumptions!$D$12+'Sales Forecast'!J17*Assumptions!$E$12+'Sales Forecast'!I17*Assumptions!$F$12+'Sales Forecast'!H17*Assumptions!$G$12+'Sales Forecast'!G17*Assumptions!$H$12+'Sales Forecast'!F17*Assumptions!$I$12+'Sales Forecast'!L17*Assumptions!$C$13+'Sales Forecast'!K17*Assumptions!$D$13+'Sales Forecast'!J17*Assumptions!$E$13+'Sales Forecast'!I17*Assumptions!$F$13+'Sales Forecast'!H17*Assumptions!$G$13+'Sales Forecast'!G17*Assumptions!$H$13+'Sales Forecast'!F17*Assumptions!$I$13+1941.5)*Assumptions!$C$18</f>
        <v/>
      </c>
      <c r="M20" s="20">
        <f>('Sales Forecast'!M17*Assumptions!$C$12+'Sales Forecast'!L17*Assumptions!$D$12+'Sales Forecast'!K17*Assumptions!$E$12+'Sales Forecast'!J17*Assumptions!$F$12+'Sales Forecast'!I17*Assumptions!$G$12+'Sales Forecast'!H17*Assumptions!$H$12+'Sales Forecast'!G17*Assumptions!$I$12+'Sales Forecast'!M17*Assumptions!$C$13+'Sales Forecast'!L17*Assumptions!$D$13+'Sales Forecast'!K17*Assumptions!$E$13+'Sales Forecast'!J17*Assumptions!$F$13+'Sales Forecast'!I17*Assumptions!$G$13+'Sales Forecast'!H17*Assumptions!$H$13+'Sales Forecast'!G17*Assumptions!$I$13+1941.5)*Assumptions!$C$18</f>
        <v/>
      </c>
      <c r="N20" s="20">
        <f>('Sales Forecast'!N17*Assumptions!$C$12+'Sales Forecast'!M17*Assumptions!$D$12+'Sales Forecast'!L17*Assumptions!$E$12+'Sales Forecast'!K17*Assumptions!$F$12+'Sales Forecast'!J17*Assumptions!$G$12+'Sales Forecast'!I17*Assumptions!$H$12+'Sales Forecast'!H17*Assumptions!$I$12+'Sales Forecast'!N17*Assumptions!$C$13+'Sales Forecast'!M17*Assumptions!$D$13+'Sales Forecast'!L17*Assumptions!$E$13+'Sales Forecast'!K17*Assumptions!$F$13+'Sales Forecast'!J17*Assumptions!$G$13+'Sales Forecast'!I17*Assumptions!$H$13+'Sales Forecast'!H17*Assumptions!$I$13+1941.5)*Assumptions!$C$18</f>
        <v/>
      </c>
      <c r="O20" s="20">
        <f>('Sales Forecast'!O17*Assumptions!$C$12+'Sales Forecast'!N17*Assumptions!$D$12+'Sales Forecast'!M17*Assumptions!$E$12+'Sales Forecast'!L17*Assumptions!$F$12+'Sales Forecast'!K17*Assumptions!$G$12+'Sales Forecast'!J17*Assumptions!$H$12+'Sales Forecast'!I17*Assumptions!$I$12+'Sales Forecast'!O17*Assumptions!$C$13+'Sales Forecast'!N17*Assumptions!$D$13+'Sales Forecast'!M17*Assumptions!$E$13+'Sales Forecast'!L17*Assumptions!$F$13+'Sales Forecast'!K17*Assumptions!$G$13+'Sales Forecast'!J17*Assumptions!$H$13+'Sales Forecast'!I17*Assumptions!$I$13+1941.5)*Assumptions!$C$18</f>
        <v/>
      </c>
      <c r="P20" s="20">
        <f>('Sales Forecast'!P17*Assumptions!$C$12+'Sales Forecast'!O17*Assumptions!$D$12+'Sales Forecast'!N17*Assumptions!$E$12+'Sales Forecast'!M17*Assumptions!$F$12+'Sales Forecast'!L17*Assumptions!$G$12+'Sales Forecast'!K17*Assumptions!$H$12+'Sales Forecast'!J17*Assumptions!$I$12+'Sales Forecast'!P17*Assumptions!$C$13+'Sales Forecast'!O17*Assumptions!$D$13+'Sales Forecast'!N17*Assumptions!$E$13+'Sales Forecast'!M17*Assumptions!$F$13+'Sales Forecast'!L17*Assumptions!$G$13+'Sales Forecast'!K17*Assumptions!$H$13+'Sales Forecast'!J17*Assumptions!$I$13+1941.5)*Assumptions!$C$18</f>
        <v/>
      </c>
      <c r="Q20" s="20">
        <f>('Sales Forecast'!Q17*Assumptions!$C$12+'Sales Forecast'!P17*Assumptions!$D$12+'Sales Forecast'!O17*Assumptions!$E$12+'Sales Forecast'!N17*Assumptions!$F$12+'Sales Forecast'!M17*Assumptions!$G$12+'Sales Forecast'!L17*Assumptions!$H$12+'Sales Forecast'!K17*Assumptions!$I$12+'Sales Forecast'!Q17*Assumptions!$C$13+'Sales Forecast'!P17*Assumptions!$D$13+'Sales Forecast'!O17*Assumptions!$E$13+'Sales Forecast'!N17*Assumptions!$F$13+'Sales Forecast'!M17*Assumptions!$G$13+'Sales Forecast'!L17*Assumptions!$H$13+'Sales Forecast'!K17*Assumptions!$I$13+1941.5)*Assumptions!$C$18</f>
        <v/>
      </c>
      <c r="R20" s="20">
        <f>('Sales Forecast'!R17*Assumptions!$C$12+'Sales Forecast'!Q17*Assumptions!$D$12+'Sales Forecast'!P17*Assumptions!$E$12+'Sales Forecast'!O17*Assumptions!$F$12+'Sales Forecast'!N17*Assumptions!$G$12+'Sales Forecast'!M17*Assumptions!$H$12+'Sales Forecast'!L17*Assumptions!$I$12+'Sales Forecast'!R17*Assumptions!$C$13+'Sales Forecast'!Q17*Assumptions!$D$13+'Sales Forecast'!P17*Assumptions!$E$13+'Sales Forecast'!O17*Assumptions!$F$13+'Sales Forecast'!N17*Assumptions!$G$13+'Sales Forecast'!M17*Assumptions!$H$13+'Sales Forecast'!L17*Assumptions!$I$13+1941.5)*Assumptions!$C$18</f>
        <v/>
      </c>
      <c r="S20" s="20">
        <f>('Sales Forecast'!S17*Assumptions!$C$12+'Sales Forecast'!R17*Assumptions!$D$12+'Sales Forecast'!Q17*Assumptions!$E$12+'Sales Forecast'!P17*Assumptions!$F$12+'Sales Forecast'!O17*Assumptions!$G$12+'Sales Forecast'!N17*Assumptions!$H$12+'Sales Forecast'!M17*Assumptions!$I$12+'Sales Forecast'!S17*Assumptions!$C$13+'Sales Forecast'!R17*Assumptions!$D$13+'Sales Forecast'!Q17*Assumptions!$E$13+'Sales Forecast'!P17*Assumptions!$F$13+'Sales Forecast'!O17*Assumptions!$G$13+'Sales Forecast'!N17*Assumptions!$H$13+'Sales Forecast'!M17*Assumptions!$I$13+1941.5)*Assumptions!$C$18</f>
        <v/>
      </c>
      <c r="T20" s="20">
        <f>('Sales Forecast'!T17*Assumptions!$C$12+'Sales Forecast'!S17*Assumptions!$D$12+'Sales Forecast'!R17*Assumptions!$E$12+'Sales Forecast'!Q17*Assumptions!$F$12+'Sales Forecast'!P17*Assumptions!$G$12+'Sales Forecast'!O17*Assumptions!$H$12+'Sales Forecast'!N17*Assumptions!$I$12+'Sales Forecast'!T17*Assumptions!$C$13+'Sales Forecast'!S17*Assumptions!$D$13+'Sales Forecast'!R17*Assumptions!$E$13+'Sales Forecast'!Q17*Assumptions!$F$13+'Sales Forecast'!P17*Assumptions!$G$13+'Sales Forecast'!O17*Assumptions!$H$13+'Sales Forecast'!N17*Assumptions!$I$13+1941.5)*Assumptions!$C$18</f>
        <v/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Forecast'!O17*Assumptions!$I$12+'Sales Forecast'!U17*Assumptions!$C$13+'Sales Forecast'!T17*Assumptions!$D$13+'Sales Forecast'!S17*Assumptions!$E$13+'Sales Forecast'!R17*Assumptions!$F$13+'Sales Forecast'!Q17*Assumptions!$G$13+'Sales Forecast'!P17*Assumptions!$H$13+'Sales Forecast'!O17*Assumptions!$I$13+1941.5)*Assumptions!$C$18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78362.16</v>
      </c>
      <c r="E21" s="35" t="n">
        <v>79199.81000000001</v>
      </c>
      <c r="F21" s="35" t="n">
        <v>63688.39</v>
      </c>
      <c r="G21" s="35" t="n">
        <v>61485.03</v>
      </c>
      <c r="H21" s="89" t="n">
        <v>78312.85000000001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1291.5</v>
      </c>
      <c r="E23" s="19" t="n">
        <v>1155</v>
      </c>
      <c r="F23" s="19" t="n">
        <v>743.5</v>
      </c>
      <c r="G23" s="19" t="n">
        <v>538.5</v>
      </c>
      <c r="H23" s="88" t="n">
        <v>627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1953.48</v>
      </c>
      <c r="E24" s="19" t="n">
        <v>1708.35</v>
      </c>
      <c r="F24" s="19" t="n">
        <v>1947.17</v>
      </c>
      <c r="G24" s="19" t="n">
        <v>1189.07</v>
      </c>
      <c r="H24" s="88" t="n">
        <v>1424.49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3244.98</v>
      </c>
      <c r="E25" s="35" t="n">
        <v>2863.35</v>
      </c>
      <c r="F25" s="35" t="n">
        <v>2690.67</v>
      </c>
      <c r="G25" s="35" t="n">
        <v>1727.57</v>
      </c>
      <c r="H25" s="89" t="n">
        <v>2051.49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75117.18000000001</v>
      </c>
      <c r="E26" s="35" t="n">
        <v>76336.46000000001</v>
      </c>
      <c r="F26" s="35" t="n">
        <v>60997.72</v>
      </c>
      <c r="G26" s="35" t="n">
        <v>59757.46</v>
      </c>
      <c r="H26" s="89" t="n">
        <v>76261.36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1824.66</v>
      </c>
      <c r="E28" s="19" t="n">
        <v>4578.22</v>
      </c>
      <c r="F28" s="19" t="n">
        <v>2803.96</v>
      </c>
      <c r="G28" s="19" t="n">
        <v>755.11</v>
      </c>
      <c r="H28" s="88" t="n">
        <v>747.4299999999999</v>
      </c>
      <c r="I28" s="20" t="n">
        <v>2500</v>
      </c>
      <c r="J28" s="20" t="n">
        <v>2500</v>
      </c>
      <c r="K28" s="20" t="n">
        <v>2500</v>
      </c>
      <c r="L28" s="20" t="n">
        <v>2500</v>
      </c>
      <c r="M28" s="20" t="n">
        <v>2500</v>
      </c>
      <c r="N28" s="20" t="n">
        <v>2500</v>
      </c>
      <c r="O28" s="20" t="n">
        <v>2500</v>
      </c>
      <c r="P28" s="20" t="n">
        <v>2500</v>
      </c>
      <c r="Q28" s="20" t="n">
        <v>2500</v>
      </c>
      <c r="R28" s="20" t="n">
        <v>2500</v>
      </c>
      <c r="S28" s="20" t="n">
        <v>2500</v>
      </c>
      <c r="T28" s="20" t="n">
        <v>2500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1824.66</v>
      </c>
      <c r="E33" s="35" t="n">
        <v>4578.22</v>
      </c>
      <c r="F33" s="35" t="n">
        <v>2803.96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36361.46</v>
      </c>
      <c r="E34" s="19" t="n">
        <v>34881.33</v>
      </c>
      <c r="F34" s="19" t="n">
        <v>35148.06</v>
      </c>
      <c r="G34" s="19" t="n">
        <v>32450.36</v>
      </c>
      <c r="H34" s="88" t="n">
        <v>31192.12</v>
      </c>
      <c r="I34" s="20" t="n">
        <v>30250.04</v>
      </c>
      <c r="J34" s="20" t="n">
        <v>31074.46</v>
      </c>
      <c r="K34" s="20" t="n">
        <v>34625.92</v>
      </c>
      <c r="L34" s="20" t="n">
        <v>34372.17</v>
      </c>
      <c r="M34" s="20" t="n">
        <v>38494.3</v>
      </c>
      <c r="N34" s="20" t="n">
        <v>34625.92</v>
      </c>
      <c r="O34" s="20" t="n">
        <v>32977.07</v>
      </c>
      <c r="P34" s="20" t="n">
        <v>31626.63</v>
      </c>
      <c r="Q34" s="20" t="n">
        <v>31626.63</v>
      </c>
      <c r="R34" s="20" t="n">
        <v>31626.63</v>
      </c>
      <c r="S34" s="20" t="n">
        <v>31626.63</v>
      </c>
      <c r="T34" s="20" t="n">
        <v>31626.63</v>
      </c>
      <c r="U34" s="20" t="n">
        <v>31626.63</v>
      </c>
      <c r="V34" s="20" t="n">
        <v>31626.63</v>
      </c>
      <c r="W34" s="20" t="n">
        <v>31626.63</v>
      </c>
      <c r="X34" s="20" t="n">
        <v>31626.63</v>
      </c>
      <c r="Y34" s="20" t="n">
        <v>31626.63</v>
      </c>
      <c r="Z34" s="20" t="n">
        <v>31626.63</v>
      </c>
      <c r="AA34" s="20" t="n">
        <v>31626.63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</row>
    <row r="35">
      <c r="B35" s="33" t="inlineStr">
        <is>
          <t xml:space="preserve">  602004 Payroll Taxes</t>
        </is>
      </c>
      <c r="D35" s="19" t="n">
        <v>7649.27</v>
      </c>
      <c r="E35" s="19" t="n">
        <v>3941.7</v>
      </c>
      <c r="F35" s="19" t="n">
        <v>3566.17</v>
      </c>
      <c r="G35" s="19" t="n">
        <v>3153.97</v>
      </c>
      <c r="H35" s="88" t="n">
        <v>2914.77</v>
      </c>
      <c r="I35" s="20" t="n">
        <v>3989.53</v>
      </c>
      <c r="J35" s="20" t="n">
        <v>4098.26</v>
      </c>
      <c r="K35" s="20" t="n">
        <v>4566.65</v>
      </c>
      <c r="L35" s="20" t="n">
        <v>4533.18</v>
      </c>
      <c r="M35" s="20" t="n">
        <v>5076.83</v>
      </c>
      <c r="N35" s="20" t="n">
        <v>4566.65</v>
      </c>
      <c r="O35" s="20" t="n">
        <v>4349.19</v>
      </c>
      <c r="P35" s="20" t="n">
        <v>4171.09</v>
      </c>
      <c r="Q35" s="20" t="n">
        <v>4171.09</v>
      </c>
      <c r="R35" s="20" t="n">
        <v>4171.09</v>
      </c>
      <c r="S35" s="20" t="n">
        <v>4171.09</v>
      </c>
      <c r="T35" s="20" t="n">
        <v>4171.09</v>
      </c>
      <c r="U35" s="20" t="n">
        <v>4171.09</v>
      </c>
      <c r="V35" s="20" t="n">
        <v>4171.09</v>
      </c>
      <c r="W35" s="20" t="n">
        <v>4171.09</v>
      </c>
      <c r="X35" s="20" t="n">
        <v>4171.09</v>
      </c>
      <c r="Y35" s="20" t="n">
        <v>4171.09</v>
      </c>
      <c r="Z35" s="20" t="n">
        <v>4171.09</v>
      </c>
      <c r="AA35" s="20" t="n">
        <v>4171.09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</row>
    <row r="36">
      <c r="B36" s="33" t="inlineStr">
        <is>
          <t xml:space="preserve">  602005 Employee Benefits</t>
        </is>
      </c>
      <c r="D36" s="19" t="n">
        <v>458.86</v>
      </c>
      <c r="E36" s="19" t="n">
        <v>549.23</v>
      </c>
      <c r="F36" s="19" t="n">
        <v>682.76</v>
      </c>
      <c r="G36" s="19" t="n">
        <v>429.23</v>
      </c>
      <c r="H36" s="88" t="n">
        <v>1372.71</v>
      </c>
      <c r="I36" s="20" t="n">
        <v>461.91</v>
      </c>
      <c r="J36" s="20" t="n">
        <v>474.5</v>
      </c>
      <c r="K36" s="20" t="n">
        <v>528.73</v>
      </c>
      <c r="L36" s="20" t="n">
        <v>524.86</v>
      </c>
      <c r="M36" s="20" t="n">
        <v>587.8</v>
      </c>
      <c r="N36" s="20" t="n">
        <v>528.73</v>
      </c>
      <c r="O36" s="20" t="n">
        <v>503.55</v>
      </c>
      <c r="P36" s="20" t="n">
        <v>482.93</v>
      </c>
      <c r="Q36" s="20" t="n">
        <v>482.93</v>
      </c>
      <c r="R36" s="20" t="n">
        <v>482.93</v>
      </c>
      <c r="S36" s="20" t="n">
        <v>482.93</v>
      </c>
      <c r="T36" s="20" t="n">
        <v>482.93</v>
      </c>
      <c r="U36" s="20" t="n">
        <v>482.93</v>
      </c>
      <c r="V36" s="20" t="n">
        <v>482.93</v>
      </c>
      <c r="W36" s="20" t="n">
        <v>482.93</v>
      </c>
      <c r="X36" s="20" t="n">
        <v>482.93</v>
      </c>
      <c r="Y36" s="20" t="n">
        <v>482.93</v>
      </c>
      <c r="Z36" s="20" t="n">
        <v>482.93</v>
      </c>
      <c r="AA36" s="20" t="n">
        <v>482.93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</row>
    <row r="37">
      <c r="B37" s="33" t="inlineStr">
        <is>
          <t xml:space="preserve">  602010 Payroll Processing Fees</t>
        </is>
      </c>
      <c r="D37" s="19" t="n">
        <v>3625.62</v>
      </c>
      <c r="E37" s="19" t="n">
        <v>1699.97</v>
      </c>
      <c r="F37" s="19" t="n">
        <v>2295.93</v>
      </c>
      <c r="G37" s="19" t="n">
        <v>1515.49</v>
      </c>
      <c r="H37" s="88" t="n">
        <v>1402.71</v>
      </c>
      <c r="I37" s="20" t="n">
        <v>1990.73</v>
      </c>
      <c r="J37" s="20" t="n">
        <v>2044.98</v>
      </c>
      <c r="K37" s="20" t="n">
        <v>2278.7</v>
      </c>
      <c r="L37" s="20" t="n">
        <v>2262</v>
      </c>
      <c r="M37" s="20" t="n">
        <v>2533.27</v>
      </c>
      <c r="N37" s="20" t="n">
        <v>2278.7</v>
      </c>
      <c r="O37" s="20" t="n">
        <v>2170.19</v>
      </c>
      <c r="P37" s="20" t="n">
        <v>2081.32</v>
      </c>
      <c r="Q37" s="20" t="n">
        <v>2081.32</v>
      </c>
      <c r="R37" s="20" t="n">
        <v>2081.32</v>
      </c>
      <c r="S37" s="20" t="n">
        <v>2081.32</v>
      </c>
      <c r="T37" s="20" t="n">
        <v>2081.32</v>
      </c>
      <c r="U37" s="20" t="n">
        <v>2081.32</v>
      </c>
      <c r="V37" s="20" t="n">
        <v>2081.32</v>
      </c>
      <c r="W37" s="20" t="n">
        <v>2081.32</v>
      </c>
      <c r="X37" s="20" t="n">
        <v>2081.32</v>
      </c>
      <c r="Y37" s="20" t="n">
        <v>2081.32</v>
      </c>
      <c r="Z37" s="20" t="n">
        <v>2081.32</v>
      </c>
      <c r="AA37" s="20" t="n">
        <v>2081.32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</row>
    <row r="38">
      <c r="B38" s="32" t="inlineStr">
        <is>
          <t>Total Payroll</t>
        </is>
      </c>
      <c r="C38" s="34" t="n"/>
      <c r="D38" s="35" t="n">
        <v>48095.21</v>
      </c>
      <c r="E38" s="35" t="n">
        <v>41072.23</v>
      </c>
      <c r="F38" s="35" t="n">
        <v>41692.92</v>
      </c>
      <c r="G38" s="35" t="n">
        <v>48549.05</v>
      </c>
      <c r="H38" s="89" t="n">
        <v>36882.31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777.6</v>
      </c>
      <c r="E39" s="19" t="n">
        <v>5303.49</v>
      </c>
      <c r="F39" s="19" t="n">
        <v>723.1</v>
      </c>
      <c r="G39" s="19" t="n">
        <v>748.28</v>
      </c>
      <c r="H39" s="88" t="n">
        <v>779.28</v>
      </c>
      <c r="I39" s="20" t="n">
        <v>1426.46</v>
      </c>
      <c r="J39" s="20" t="n">
        <v>1426.46</v>
      </c>
      <c r="K39" s="20" t="n">
        <v>1426.46</v>
      </c>
      <c r="L39" s="20" t="n">
        <v>1426.46</v>
      </c>
      <c r="M39" s="20" t="n">
        <v>1426.46</v>
      </c>
      <c r="N39" s="20" t="n">
        <v>1426.46</v>
      </c>
      <c r="O39" s="20" t="n">
        <v>1426.46</v>
      </c>
      <c r="P39" s="20" t="n">
        <v>1426.46</v>
      </c>
      <c r="Q39" s="20" t="n">
        <v>1426.46</v>
      </c>
      <c r="R39" s="20" t="n">
        <v>1426.46</v>
      </c>
      <c r="S39" s="20" t="n">
        <v>1426.46</v>
      </c>
      <c r="T39" s="20" t="n">
        <v>1426.46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</row>
    <row r="40">
      <c r="B40" s="33" t="inlineStr">
        <is>
          <t xml:space="preserve">  608000 Insurance</t>
        </is>
      </c>
      <c r="D40" s="19" t="n">
        <v>1583.83</v>
      </c>
      <c r="E40" s="19" t="n">
        <v>1583.83</v>
      </c>
      <c r="F40" s="19" t="n">
        <v>1813.75</v>
      </c>
      <c r="G40" s="19" t="n">
        <v>1813.75</v>
      </c>
      <c r="H40" s="88" t="n">
        <v>1779.35</v>
      </c>
      <c r="I40" s="20" t="n">
        <v>1283.42</v>
      </c>
      <c r="J40" s="20" t="n">
        <v>1283.42</v>
      </c>
      <c r="K40" s="20" t="n">
        <v>1283.42</v>
      </c>
      <c r="L40" s="20" t="n">
        <v>1283.42</v>
      </c>
      <c r="M40" s="20" t="n">
        <v>1283.42</v>
      </c>
      <c r="N40" s="20" t="n">
        <v>1283.42</v>
      </c>
      <c r="O40" s="20" t="n">
        <v>1283.42</v>
      </c>
      <c r="P40" s="20" t="n">
        <v>1283.42</v>
      </c>
      <c r="Q40" s="20" t="n">
        <v>1283.42</v>
      </c>
      <c r="R40" s="20" t="n">
        <v>1283.42</v>
      </c>
      <c r="S40" s="20" t="n">
        <v>1283.42</v>
      </c>
      <c r="T40" s="20" t="n">
        <v>1283.42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</row>
    <row r="41">
      <c r="B41" s="33" t="inlineStr">
        <is>
          <t xml:space="preserve">  610000 Office Supplies</t>
        </is>
      </c>
      <c r="D41" s="19" t="n">
        <v>777.45</v>
      </c>
      <c r="E41" s="19" t="n">
        <v>21.3</v>
      </c>
      <c r="F41" s="19" t="n">
        <v>627.75</v>
      </c>
      <c r="G41" s="19" t="n">
        <v>793.25</v>
      </c>
      <c r="H41" s="88" t="n">
        <v>0</v>
      </c>
      <c r="I41" s="20" t="n">
        <v>419.25</v>
      </c>
      <c r="J41" s="20" t="n">
        <v>419.25</v>
      </c>
      <c r="K41" s="20" t="n">
        <v>419.25</v>
      </c>
      <c r="L41" s="20" t="n">
        <v>419.25</v>
      </c>
      <c r="M41" s="20" t="n">
        <v>419.25</v>
      </c>
      <c r="N41" s="20" t="n">
        <v>419.25</v>
      </c>
      <c r="O41" s="20" t="n">
        <v>419.25</v>
      </c>
      <c r="P41" s="20" t="n">
        <v>419.25</v>
      </c>
      <c r="Q41" s="20" t="n">
        <v>419.25</v>
      </c>
      <c r="R41" s="20" t="n">
        <v>419.25</v>
      </c>
      <c r="S41" s="20" t="n">
        <v>419.25</v>
      </c>
      <c r="T41" s="20" t="n">
        <v>419.25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</v>
      </c>
      <c r="F44" s="19" t="n">
        <v>440</v>
      </c>
      <c r="G44" s="19" t="n">
        <v>0</v>
      </c>
      <c r="H44" s="88" t="n">
        <v>1116.8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</v>
      </c>
      <c r="F47" s="35" t="n">
        <v>956</v>
      </c>
      <c r="G47" s="35" t="n">
        <v>516</v>
      </c>
      <c r="H47" s="89" t="n">
        <v>1632.8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81.41</v>
      </c>
      <c r="E48" s="19" t="n">
        <v>76.58</v>
      </c>
      <c r="F48" s="19" t="n">
        <v>78.47</v>
      </c>
      <c r="G48" s="19" t="n">
        <v>18.13</v>
      </c>
      <c r="H48" s="88" t="n">
        <v>0</v>
      </c>
      <c r="I48" s="20" t="n">
        <v>69.5</v>
      </c>
      <c r="J48" s="20" t="n">
        <v>69.5</v>
      </c>
      <c r="K48" s="20" t="n">
        <v>69.5</v>
      </c>
      <c r="L48" s="20" t="n">
        <v>69.5</v>
      </c>
      <c r="M48" s="20" t="n">
        <v>69.5</v>
      </c>
      <c r="N48" s="20" t="n">
        <v>69.5</v>
      </c>
      <c r="O48" s="20" t="n">
        <v>69.5</v>
      </c>
      <c r="P48" s="20" t="n">
        <v>69.5</v>
      </c>
      <c r="Q48" s="20" t="n">
        <v>69.5</v>
      </c>
      <c r="R48" s="20" t="n">
        <v>69.5</v>
      </c>
      <c r="S48" s="20" t="n">
        <v>69.5</v>
      </c>
      <c r="T48" s="20" t="n">
        <v>69.5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</row>
    <row r="49">
      <c r="B49" s="33" t="inlineStr">
        <is>
          <t xml:space="preserve">  606000 Meals</t>
        </is>
      </c>
      <c r="D49" s="19" t="n">
        <v>48.55</v>
      </c>
      <c r="E49" s="19" t="n">
        <v>0</v>
      </c>
      <c r="F49" s="19" t="n">
        <v>28.15</v>
      </c>
      <c r="G49" s="19" t="n">
        <v>144.77</v>
      </c>
      <c r="H49" s="88" t="n">
        <v>22.44</v>
      </c>
      <c r="I49" s="20" t="n">
        <v>60.46</v>
      </c>
      <c r="J49" s="20" t="n">
        <v>60.46</v>
      </c>
      <c r="K49" s="20" t="n">
        <v>60.46</v>
      </c>
      <c r="L49" s="20" t="n">
        <v>60.46</v>
      </c>
      <c r="M49" s="20" t="n">
        <v>60.46</v>
      </c>
      <c r="N49" s="20" t="n">
        <v>60.46</v>
      </c>
      <c r="O49" s="20" t="n">
        <v>60.46</v>
      </c>
      <c r="P49" s="20" t="n">
        <v>60.46</v>
      </c>
      <c r="Q49" s="20" t="n">
        <v>60.46</v>
      </c>
      <c r="R49" s="20" t="n">
        <v>60.46</v>
      </c>
      <c r="S49" s="20" t="n">
        <v>60.46</v>
      </c>
      <c r="T49" s="20" t="n">
        <v>60.46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141.25</v>
      </c>
      <c r="E52" s="19" t="n">
        <v>141.25</v>
      </c>
      <c r="F52" s="19" t="n">
        <v>145.25</v>
      </c>
      <c r="G52" s="19" t="n">
        <v>145.25</v>
      </c>
      <c r="H52" s="88" t="n">
        <v>0</v>
      </c>
      <c r="I52" s="20" t="n">
        <v>105.02</v>
      </c>
      <c r="J52" s="20" t="n">
        <v>105.02</v>
      </c>
      <c r="K52" s="20" t="n">
        <v>105.02</v>
      </c>
      <c r="L52" s="20" t="n">
        <v>105.02</v>
      </c>
      <c r="M52" s="20" t="n">
        <v>105.02</v>
      </c>
      <c r="N52" s="20" t="n">
        <v>105.02</v>
      </c>
      <c r="O52" s="20" t="n">
        <v>105.02</v>
      </c>
      <c r="P52" s="20" t="n">
        <v>105.02</v>
      </c>
      <c r="Q52" s="20" t="n">
        <v>105.02</v>
      </c>
      <c r="R52" s="20" t="n">
        <v>105.02</v>
      </c>
      <c r="S52" s="20" t="n">
        <v>105.02</v>
      </c>
      <c r="T52" s="20" t="n">
        <v>105.02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</row>
    <row r="53">
      <c r="B53" s="33" t="inlineStr">
        <is>
          <t xml:space="preserve">  616003 Phone service</t>
        </is>
      </c>
      <c r="D53" s="19" t="n">
        <v>87.68000000000001</v>
      </c>
      <c r="E53" s="19" t="n">
        <v>87.11</v>
      </c>
      <c r="F53" s="19" t="n">
        <v>86.36</v>
      </c>
      <c r="G53" s="19" t="n">
        <v>87.54000000000001</v>
      </c>
      <c r="H53" s="88" t="n">
        <v>81.03</v>
      </c>
      <c r="I53" s="20" t="n">
        <v>63.91</v>
      </c>
      <c r="J53" s="20" t="n">
        <v>63.91</v>
      </c>
      <c r="K53" s="20" t="n">
        <v>63.91</v>
      </c>
      <c r="L53" s="20" t="n">
        <v>63.91</v>
      </c>
      <c r="M53" s="20" t="n">
        <v>63.91</v>
      </c>
      <c r="N53" s="20" t="n">
        <v>63.91</v>
      </c>
      <c r="O53" s="20" t="n">
        <v>63.91</v>
      </c>
      <c r="P53" s="20" t="n">
        <v>63.91</v>
      </c>
      <c r="Q53" s="20" t="n">
        <v>63.91</v>
      </c>
      <c r="R53" s="20" t="n">
        <v>63.91</v>
      </c>
      <c r="S53" s="20" t="n">
        <v>63.91</v>
      </c>
      <c r="T53" s="20" t="n">
        <v>63.91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228.93</v>
      </c>
      <c r="E56" s="35" t="n">
        <v>228.36</v>
      </c>
      <c r="F56" s="35" t="n">
        <v>231.61</v>
      </c>
      <c r="G56" s="35" t="n">
        <v>232.79</v>
      </c>
      <c r="H56" s="89" t="n">
        <v>226.28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88" t="n">
        <v>19577.86</v>
      </c>
      <c r="I57" s="20" t="n">
        <v>19523.9</v>
      </c>
      <c r="J57" s="20" t="n">
        <v>19523.9</v>
      </c>
      <c r="K57" s="20" t="n">
        <v>19523.9</v>
      </c>
      <c r="L57" s="20" t="n">
        <v>19523.9</v>
      </c>
      <c r="M57" s="20" t="n">
        <v>19523.9</v>
      </c>
      <c r="N57" s="20" t="n">
        <v>19523.9</v>
      </c>
      <c r="O57" s="20" t="n">
        <v>19523.9</v>
      </c>
      <c r="P57" s="20" t="n">
        <v>19523.9</v>
      </c>
      <c r="Q57" s="20" t="n">
        <v>19523.9</v>
      </c>
      <c r="R57" s="20" t="n">
        <v>19523.9</v>
      </c>
      <c r="S57" s="20" t="n">
        <v>19523.9</v>
      </c>
      <c r="T57" s="20" t="n">
        <v>19523.9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162.91</v>
      </c>
      <c r="E59" s="19" t="n">
        <v>0</v>
      </c>
      <c r="F59" s="19" t="n">
        <v>573.27</v>
      </c>
      <c r="G59" s="19" t="n">
        <v>161.21</v>
      </c>
      <c r="H59" s="88" t="n">
        <v>201.75</v>
      </c>
      <c r="I59" s="20" t="n">
        <v>223.73</v>
      </c>
      <c r="J59" s="20" t="n">
        <v>223.73</v>
      </c>
      <c r="K59" s="20" t="n">
        <v>223.73</v>
      </c>
      <c r="L59" s="20" t="n">
        <v>223.73</v>
      </c>
      <c r="M59" s="20" t="n">
        <v>223.73</v>
      </c>
      <c r="N59" s="20" t="n">
        <v>223.73</v>
      </c>
      <c r="O59" s="20" t="n">
        <v>223.73</v>
      </c>
      <c r="P59" s="20" t="n">
        <v>223.73</v>
      </c>
      <c r="Q59" s="20" t="n">
        <v>223.73</v>
      </c>
      <c r="R59" s="20" t="n">
        <v>223.73</v>
      </c>
      <c r="S59" s="20" t="n">
        <v>223.73</v>
      </c>
      <c r="T59" s="20" t="n">
        <v>223.73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</row>
    <row r="60">
      <c r="B60" s="33" t="inlineStr">
        <is>
          <t xml:space="preserve">  705000 Property Maintenance</t>
        </is>
      </c>
      <c r="D60" s="19" t="n">
        <v>2488</v>
      </c>
      <c r="E60" s="19" t="n">
        <v>2488</v>
      </c>
      <c r="F60" s="19" t="n">
        <v>2488</v>
      </c>
      <c r="G60" s="19" t="n">
        <v>2488</v>
      </c>
      <c r="H60" s="88" t="n">
        <v>2488</v>
      </c>
      <c r="I60" s="20" t="n">
        <v>2481.14</v>
      </c>
      <c r="J60" s="20" t="n">
        <v>2481.14</v>
      </c>
      <c r="K60" s="20" t="n">
        <v>2481.14</v>
      </c>
      <c r="L60" s="20" t="n">
        <v>2481.14</v>
      </c>
      <c r="M60" s="20" t="n">
        <v>2481.14</v>
      </c>
      <c r="N60" s="20" t="n">
        <v>2481.14</v>
      </c>
      <c r="O60" s="20" t="n">
        <v>2481.14</v>
      </c>
      <c r="P60" s="20" t="n">
        <v>2481.14</v>
      </c>
      <c r="Q60" s="20" t="n">
        <v>2481.14</v>
      </c>
      <c r="R60" s="20" t="n">
        <v>2481.14</v>
      </c>
      <c r="S60" s="20" t="n">
        <v>2481.14</v>
      </c>
      <c r="T60" s="20" t="n">
        <v>2481.14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</row>
    <row r="61">
      <c r="B61" s="32" t="inlineStr">
        <is>
          <t>Total Property Costs</t>
        </is>
      </c>
      <c r="C61" s="34" t="n"/>
      <c r="D61" s="35" t="n">
        <v>22228.77</v>
      </c>
      <c r="E61" s="35" t="n">
        <v>22095.47</v>
      </c>
      <c r="F61" s="35" t="n">
        <v>22639.13</v>
      </c>
      <c r="G61" s="35" t="n">
        <v>22238.02</v>
      </c>
      <c r="H61" s="89" t="n">
        <v>22267.61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78163.23000000001</v>
      </c>
      <c r="E62" s="35" t="n">
        <v>75750.32000000001</v>
      </c>
      <c r="F62" s="35" t="n">
        <v>71612.56</v>
      </c>
      <c r="G62" s="35" t="n">
        <v>75826.87</v>
      </c>
      <c r="H62" s="89" t="n">
        <v>66022.22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-3046.050000000003</v>
      </c>
      <c r="E63" s="35" t="n">
        <v>586.1399999999994</v>
      </c>
      <c r="F63" s="35" t="n">
        <v>-10614.84</v>
      </c>
      <c r="G63" s="35" t="n">
        <v>-16069.41</v>
      </c>
      <c r="H63" s="89" t="n">
        <v>10239.14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1780.99</v>
      </c>
      <c r="E65" s="19" t="n">
        <v>1780.99</v>
      </c>
      <c r="F65" s="19" t="n">
        <v>1780.99</v>
      </c>
      <c r="G65" s="19" t="n">
        <v>1780.99</v>
      </c>
      <c r="H65" s="88" t="n">
        <v>1780.99</v>
      </c>
      <c r="I65" s="20">
        <f>I69*0.319296</f>
        <v/>
      </c>
      <c r="J65" s="20">
        <f>J69*0.319296</f>
        <v/>
      </c>
      <c r="K65" s="20">
        <f>K69*0.319296</f>
        <v/>
      </c>
      <c r="L65" s="20">
        <f>L69*0.319296</f>
        <v/>
      </c>
      <c r="M65" s="20">
        <f>M69*0.319296</f>
        <v/>
      </c>
      <c r="N65" s="20">
        <f>N69*0.319296</f>
        <v/>
      </c>
      <c r="O65" s="20">
        <f>O69*0.319296</f>
        <v/>
      </c>
      <c r="P65" s="20">
        <f>P69*0.319296</f>
        <v/>
      </c>
      <c r="Q65" s="20">
        <f>Q69*0.319296</f>
        <v/>
      </c>
      <c r="R65" s="20">
        <f>R69*0.319296</f>
        <v/>
      </c>
      <c r="S65" s="20">
        <f>S69*0.319296</f>
        <v/>
      </c>
      <c r="T65" s="20">
        <f>T69*0.319296</f>
        <v/>
      </c>
      <c r="U65" s="20">
        <f>U69*0.319296</f>
        <v/>
      </c>
      <c r="V65" s="20">
        <f>V69*0.319296</f>
        <v/>
      </c>
      <c r="W65" s="20">
        <f>W69*0.319296</f>
        <v/>
      </c>
      <c r="X65" s="20">
        <f>X69*0.319296</f>
        <v/>
      </c>
      <c r="Y65" s="20">
        <f>Y69*0.319296</f>
        <v/>
      </c>
      <c r="Z65" s="20">
        <f>Z69*0.319296</f>
        <v/>
      </c>
      <c r="AA65" s="20">
        <f>AA69*0.319296</f>
        <v/>
      </c>
      <c r="AB65" s="20">
        <f>AB69*0.319296</f>
        <v/>
      </c>
      <c r="AC65" s="20">
        <f>AC69*0.319296</f>
        <v/>
      </c>
      <c r="AD65" s="20">
        <f>AD69*0.319296</f>
        <v/>
      </c>
      <c r="AE65" s="20">
        <f>AE69*0.319296</f>
        <v/>
      </c>
      <c r="AF65" s="20">
        <f>AF69*0.319296</f>
        <v/>
      </c>
      <c r="AG65" s="20">
        <f>AG69*0.319296</f>
        <v/>
      </c>
      <c r="AH65" s="20">
        <f>AH69*0.319296</f>
        <v/>
      </c>
      <c r="AI65" s="20">
        <f>AI69*0.319296</f>
        <v/>
      </c>
      <c r="AJ65" s="20">
        <f>AJ69*0.319296</f>
        <v/>
      </c>
      <c r="AK65" s="20">
        <f>AK69*0.319296</f>
        <v/>
      </c>
      <c r="AL65" s="20">
        <f>AL69*0.319296</f>
        <v/>
      </c>
      <c r="AM65" s="20">
        <f>AM69*0.319296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495.5</v>
      </c>
      <c r="F67" s="19" t="n">
        <v>0</v>
      </c>
      <c r="G67" s="19" t="n">
        <v>0</v>
      </c>
      <c r="H67" s="88" t="n">
        <v>0</v>
      </c>
      <c r="I67" s="20">
        <f>I69*0.022208</f>
        <v/>
      </c>
      <c r="J67" s="20">
        <f>J69*0.022208</f>
        <v/>
      </c>
      <c r="K67" s="20">
        <f>K69*0.022208</f>
        <v/>
      </c>
      <c r="L67" s="20">
        <f>L69*0.022208</f>
        <v/>
      </c>
      <c r="M67" s="20">
        <f>M69*0.022208</f>
        <v/>
      </c>
      <c r="N67" s="20">
        <f>N69*0.022208</f>
        <v/>
      </c>
      <c r="O67" s="20">
        <f>O69*0.022208</f>
        <v/>
      </c>
      <c r="P67" s="20">
        <f>P69*0.022208</f>
        <v/>
      </c>
      <c r="Q67" s="20">
        <f>Q69*0.022208</f>
        <v/>
      </c>
      <c r="R67" s="20">
        <f>R69*0.022208</f>
        <v/>
      </c>
      <c r="S67" s="20">
        <f>S69*0.022208</f>
        <v/>
      </c>
      <c r="T67" s="20">
        <f>T69*0.022208</f>
        <v/>
      </c>
      <c r="U67" s="20">
        <f>U69*0.022208</f>
        <v/>
      </c>
      <c r="V67" s="20">
        <f>V69*0.022208</f>
        <v/>
      </c>
      <c r="W67" s="20">
        <f>W69*0.022208</f>
        <v/>
      </c>
      <c r="X67" s="20">
        <f>X69*0.022208</f>
        <v/>
      </c>
      <c r="Y67" s="20">
        <f>Y69*0.022208</f>
        <v/>
      </c>
      <c r="Z67" s="20">
        <f>Z69*0.022208</f>
        <v/>
      </c>
      <c r="AA67" s="20">
        <f>AA69*0.022208</f>
        <v/>
      </c>
      <c r="AB67" s="20">
        <f>AB69*0.022208</f>
        <v/>
      </c>
      <c r="AC67" s="20">
        <f>AC69*0.022208</f>
        <v/>
      </c>
      <c r="AD67" s="20">
        <f>AD69*0.022208</f>
        <v/>
      </c>
      <c r="AE67" s="20">
        <f>AE69*0.022208</f>
        <v/>
      </c>
      <c r="AF67" s="20">
        <f>AF69*0.022208</f>
        <v/>
      </c>
      <c r="AG67" s="20">
        <f>AG69*0.022208</f>
        <v/>
      </c>
      <c r="AH67" s="20">
        <f>AH69*0.022208</f>
        <v/>
      </c>
      <c r="AI67" s="20">
        <f>AI69*0.022208</f>
        <v/>
      </c>
      <c r="AJ67" s="20">
        <f>AJ69*0.022208</f>
        <v/>
      </c>
      <c r="AK67" s="20">
        <f>AK69*0.022208</f>
        <v/>
      </c>
      <c r="AL67" s="20">
        <f>AL69*0.022208</f>
        <v/>
      </c>
      <c r="AM67" s="20">
        <f>AM69*0.022208</f>
        <v/>
      </c>
    </row>
    <row r="68">
      <c r="B68" s="33" t="inlineStr">
        <is>
          <t xml:space="preserve">  903000 Property taxes</t>
        </is>
      </c>
      <c r="D68" s="19" t="n">
        <v>3673</v>
      </c>
      <c r="E68" s="19" t="n">
        <v>3673</v>
      </c>
      <c r="F68" s="19" t="n">
        <v>3673</v>
      </c>
      <c r="G68" s="19" t="n">
        <v>3673</v>
      </c>
      <c r="H68" s="88" t="n">
        <v>3673</v>
      </c>
      <c r="I68" s="20">
        <f>I69*0.658496</f>
        <v/>
      </c>
      <c r="J68" s="20">
        <f>J69*0.658496</f>
        <v/>
      </c>
      <c r="K68" s="20">
        <f>K69*0.658496</f>
        <v/>
      </c>
      <c r="L68" s="20">
        <f>L69*0.658496</f>
        <v/>
      </c>
      <c r="M68" s="20">
        <f>M69*0.658496</f>
        <v/>
      </c>
      <c r="N68" s="20">
        <f>N69*0.658496</f>
        <v/>
      </c>
      <c r="O68" s="20">
        <f>O69*0.658496</f>
        <v/>
      </c>
      <c r="P68" s="20">
        <f>P69*0.658496</f>
        <v/>
      </c>
      <c r="Q68" s="20">
        <f>Q69*0.658496</f>
        <v/>
      </c>
      <c r="R68" s="20">
        <f>R69*0.658496</f>
        <v/>
      </c>
      <c r="S68" s="20">
        <f>S69*0.658496</f>
        <v/>
      </c>
      <c r="T68" s="20">
        <f>T69*0.658496</f>
        <v/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</row>
    <row r="69">
      <c r="B69" s="32" t="inlineStr">
        <is>
          <t>Total Other Expenses</t>
        </is>
      </c>
      <c r="C69" s="34" t="n"/>
      <c r="D69" s="35" t="n">
        <v>5453.99</v>
      </c>
      <c r="E69" s="35" t="n">
        <v>5949.49</v>
      </c>
      <c r="F69" s="35" t="n">
        <v>5453.99</v>
      </c>
      <c r="G69" s="35" t="n">
        <v>5453.99</v>
      </c>
      <c r="H69" s="89" t="n">
        <v>5453.99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-8500.040000000003</v>
      </c>
      <c r="E70" s="35" t="n">
        <v>-5363.35</v>
      </c>
      <c r="F70" s="35" t="n">
        <v>-16068.83</v>
      </c>
      <c r="G70" s="35" t="n">
        <v>-21523.4</v>
      </c>
      <c r="H70" s="89" t="n">
        <v>4785.15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M42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4" customWidth="1" style="86" min="2" max="2"/>
    <col width="10" customWidth="1" style="86" min="3" max="3"/>
    <col width="12" customWidth="1" style="86" min="4" max="39"/>
  </cols>
  <sheetData>
    <row r="2" ht="21" customHeight="1" s="86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" customHeight="1" s="86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</row>
    <row r="5">
      <c r="B5" s="46" t="inlineStr">
        <is>
          <t>Line Item</t>
        </is>
      </c>
      <c r="D5" s="47" t="inlineStr">
        <is>
          <t>Jan 2026 (A)</t>
        </is>
      </c>
      <c r="E5" s="47" t="inlineStr">
        <is>
          <t>Feb 2026 (A)</t>
        </is>
      </c>
      <c r="F5" s="47" t="inlineStr">
        <is>
          <t>Mar 2026 (A)</t>
        </is>
      </c>
      <c r="G5" s="47" t="inlineStr">
        <is>
          <t>Apr 2026 (A)</t>
        </is>
      </c>
      <c r="H5" s="48" t="inlineStr">
        <is>
          <t>May 2026</t>
        </is>
      </c>
      <c r="I5" s="48" t="inlineStr">
        <is>
          <t>Jun 2026</t>
        </is>
      </c>
      <c r="J5" s="48" t="inlineStr">
        <is>
          <t>Jul 2026</t>
        </is>
      </c>
      <c r="K5" s="48" t="inlineStr">
        <is>
          <t>Aug 2026</t>
        </is>
      </c>
      <c r="L5" s="48" t="inlineStr">
        <is>
          <t>Sep 2026</t>
        </is>
      </c>
      <c r="M5" s="48" t="inlineStr">
        <is>
          <t>Oct 2026</t>
        </is>
      </c>
      <c r="N5" s="48" t="inlineStr">
        <is>
          <t>Nov 2026</t>
        </is>
      </c>
      <c r="O5" s="48" t="inlineStr">
        <is>
          <t>Dec 2026</t>
        </is>
      </c>
      <c r="P5" s="48" t="inlineStr">
        <is>
          <t>Jan 2027</t>
        </is>
      </c>
      <c r="Q5" s="48" t="inlineStr">
        <is>
          <t>Feb 2027</t>
        </is>
      </c>
      <c r="R5" s="48" t="inlineStr">
        <is>
          <t>Mar 2027</t>
        </is>
      </c>
      <c r="S5" s="48" t="inlineStr">
        <is>
          <t>Apr 2027</t>
        </is>
      </c>
      <c r="T5" s="48" t="inlineStr">
        <is>
          <t>May 2027</t>
        </is>
      </c>
      <c r="U5" s="48" t="inlineStr">
        <is>
          <t>Jun 2027</t>
        </is>
      </c>
      <c r="V5" s="48" t="inlineStr">
        <is>
          <t>Jul 2027</t>
        </is>
      </c>
      <c r="W5" s="48" t="inlineStr">
        <is>
          <t>Aug 2027</t>
        </is>
      </c>
      <c r="X5" s="48" t="inlineStr">
        <is>
          <t>Sep 2027</t>
        </is>
      </c>
      <c r="Y5" s="48" t="inlineStr">
        <is>
          <t>Oct 2027</t>
        </is>
      </c>
      <c r="Z5" s="48" t="inlineStr">
        <is>
          <t>Nov 2027</t>
        </is>
      </c>
      <c r="AA5" s="48" t="inlineStr">
        <is>
          <t>Dec 2027</t>
        </is>
      </c>
      <c r="AB5" s="48" t="inlineStr">
        <is>
          <t>Jan 2028</t>
        </is>
      </c>
      <c r="AC5" s="48" t="inlineStr">
        <is>
          <t>Feb 2028</t>
        </is>
      </c>
      <c r="AD5" s="48" t="inlineStr">
        <is>
          <t>Mar 2028</t>
        </is>
      </c>
      <c r="AE5" s="48" t="inlineStr">
        <is>
          <t>Apr 2028</t>
        </is>
      </c>
      <c r="AF5" s="48" t="inlineStr">
        <is>
          <t>May 2028</t>
        </is>
      </c>
      <c r="AG5" s="48" t="inlineStr">
        <is>
          <t>Jun 2028</t>
        </is>
      </c>
      <c r="AH5" s="48" t="inlineStr">
        <is>
          <t>Jul 2028</t>
        </is>
      </c>
      <c r="AI5" s="48" t="inlineStr">
        <is>
          <t>Aug 2028</t>
        </is>
      </c>
      <c r="AJ5" s="48" t="inlineStr">
        <is>
          <t>Sep 2028</t>
        </is>
      </c>
      <c r="AK5" s="48" t="inlineStr">
        <is>
          <t>Oct 2028</t>
        </is>
      </c>
      <c r="AL5" s="48" t="inlineStr">
        <is>
          <t>Nov 2028</t>
        </is>
      </c>
      <c r="AM5" s="48" t="inlineStr">
        <is>
          <t>Dec 2028</t>
        </is>
      </c>
    </row>
    <row r="6" ht="16" customHeight="1" s="86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</row>
    <row r="7">
      <c r="B7" s="49" t="inlineStr">
        <is>
          <t xml:space="preserve">  601001 Paid Ads</t>
        </is>
      </c>
      <c r="D7" s="40" t="n">
        <v>6769.14</v>
      </c>
      <c r="E7" s="40" t="n">
        <v>0</v>
      </c>
      <c r="F7" s="40" t="n">
        <v>0</v>
      </c>
      <c r="G7" s="40" t="n">
        <v>0</v>
      </c>
      <c r="H7" s="91" t="n">
        <v>0</v>
      </c>
      <c r="I7" s="41" t="n">
        <v>1437.9</v>
      </c>
      <c r="J7" s="41" t="n">
        <v>1437.9</v>
      </c>
      <c r="K7" s="41" t="n">
        <v>1437.9</v>
      </c>
      <c r="L7" s="41" t="n">
        <v>1437.9</v>
      </c>
      <c r="M7" s="41" t="n">
        <v>1437.9</v>
      </c>
      <c r="N7" s="41" t="n">
        <v>1437.9</v>
      </c>
      <c r="O7" s="41" t="n">
        <v>1437.9</v>
      </c>
      <c r="P7" s="41" t="n">
        <v>1509.8</v>
      </c>
      <c r="Q7" s="41" t="n">
        <v>1509.8</v>
      </c>
      <c r="R7" s="41" t="n">
        <v>1509.8</v>
      </c>
      <c r="S7" s="41" t="n">
        <v>1509.8</v>
      </c>
      <c r="T7" s="41" t="n">
        <v>1509.8</v>
      </c>
      <c r="U7" s="41" t="n">
        <v>1509.8</v>
      </c>
      <c r="V7" s="41" t="n">
        <v>1509.8</v>
      </c>
      <c r="W7" s="41" t="n">
        <v>1509.8</v>
      </c>
      <c r="X7" s="41" t="n">
        <v>1509.8</v>
      </c>
      <c r="Y7" s="41" t="n">
        <v>1509.8</v>
      </c>
      <c r="Z7" s="41" t="n">
        <v>1509.8</v>
      </c>
      <c r="AA7" s="41" t="n">
        <v>1509.8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</row>
    <row r="8">
      <c r="B8" s="49" t="inlineStr">
        <is>
          <t xml:space="preserve">  601005 Content Creation</t>
        </is>
      </c>
      <c r="D8" s="40" t="n">
        <v>0</v>
      </c>
      <c r="E8" s="40" t="n">
        <v>0</v>
      </c>
      <c r="F8" s="40" t="n">
        <v>0</v>
      </c>
      <c r="G8" s="40" t="n">
        <v>0</v>
      </c>
      <c r="H8" s="9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  <c r="N8" s="41" t="n">
        <v>0</v>
      </c>
      <c r="O8" s="41" t="n">
        <v>0</v>
      </c>
      <c r="P8" s="41" t="n">
        <v>0</v>
      </c>
      <c r="Q8" s="41" t="n">
        <v>0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0</v>
      </c>
      <c r="G9" s="40" t="n">
        <v>0</v>
      </c>
      <c r="H9" s="9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1" t="n">
        <v>0</v>
      </c>
      <c r="O9" s="41" t="n">
        <v>0</v>
      </c>
      <c r="P9" s="41" t="n">
        <v>0</v>
      </c>
      <c r="Q9" s="41" t="n">
        <v>0</v>
      </c>
      <c r="R9" s="41" t="n">
        <v>0</v>
      </c>
      <c r="S9" s="41" t="n">
        <v>0</v>
      </c>
      <c r="T9" s="41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</row>
    <row r="10">
      <c r="B10" s="49" t="inlineStr">
        <is>
          <t xml:space="preserve">  601007 Contractors/Agencies</t>
        </is>
      </c>
      <c r="D10" s="40" t="n">
        <v>0</v>
      </c>
      <c r="E10" s="40" t="n">
        <v>0</v>
      </c>
      <c r="F10" s="40" t="n">
        <v>0</v>
      </c>
      <c r="G10" s="40" t="n">
        <v>0</v>
      </c>
      <c r="H10" s="91" t="n">
        <v>0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</v>
      </c>
      <c r="N10" s="41" t="n">
        <v>0</v>
      </c>
      <c r="O10" s="41" t="n">
        <v>0</v>
      </c>
      <c r="P10" s="41" t="n">
        <v>0</v>
      </c>
      <c r="Q10" s="41" t="n">
        <v>0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</row>
    <row r="11">
      <c r="B11" s="49" t="inlineStr">
        <is>
          <t xml:space="preserve">  601010 Website Development</t>
        </is>
      </c>
      <c r="D11" s="40" t="n">
        <v>2500</v>
      </c>
      <c r="E11" s="40" t="n">
        <v>2500</v>
      </c>
      <c r="F11" s="40" t="n">
        <v>0</v>
      </c>
      <c r="G11" s="40" t="n">
        <v>0</v>
      </c>
      <c r="H11" s="91" t="n">
        <v>0</v>
      </c>
      <c r="I11" s="41" t="n">
        <v>1062.1</v>
      </c>
      <c r="J11" s="41" t="n">
        <v>1062.1</v>
      </c>
      <c r="K11" s="41" t="n">
        <v>1062.1</v>
      </c>
      <c r="L11" s="41" t="n">
        <v>1062.1</v>
      </c>
      <c r="M11" s="41" t="n">
        <v>1062.1</v>
      </c>
      <c r="N11" s="41" t="n">
        <v>1062.1</v>
      </c>
      <c r="O11" s="41" t="n">
        <v>1062.1</v>
      </c>
      <c r="P11" s="41" t="n">
        <v>1115.2</v>
      </c>
      <c r="Q11" s="41" t="n">
        <v>1115.2</v>
      </c>
      <c r="R11" s="41" t="n">
        <v>1115.2</v>
      </c>
      <c r="S11" s="41" t="n">
        <v>1115.2</v>
      </c>
      <c r="T11" s="41" t="n">
        <v>1115.2</v>
      </c>
      <c r="U11" s="41" t="n">
        <v>1115.2</v>
      </c>
      <c r="V11" s="41" t="n">
        <v>1115.2</v>
      </c>
      <c r="W11" s="41" t="n">
        <v>1115.2</v>
      </c>
      <c r="X11" s="41" t="n">
        <v>1115.2</v>
      </c>
      <c r="Y11" s="41" t="n">
        <v>1115.2</v>
      </c>
      <c r="Z11" s="41" t="n">
        <v>1115.2</v>
      </c>
      <c r="AA11" s="41" t="n">
        <v>1115.2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</row>
    <row r="12">
      <c r="B12" s="50" t="inlineStr">
        <is>
          <t>Total Marketing</t>
        </is>
      </c>
      <c r="C12" s="51" t="n"/>
      <c r="D12" s="52" t="n">
        <v>9269.139999999999</v>
      </c>
      <c r="E12" s="52" t="n">
        <v>2500</v>
      </c>
      <c r="F12" s="52" t="n">
        <v>860</v>
      </c>
      <c r="G12" s="52" t="n">
        <v>0</v>
      </c>
      <c r="H12" s="92" t="n">
        <v>0</v>
      </c>
      <c r="I12" s="53">
        <f>I7+I8+I9+I10+I11</f>
        <v/>
      </c>
      <c r="J12" s="53">
        <f>J7+J8+J9+J10+J11</f>
        <v/>
      </c>
      <c r="K12" s="53">
        <f>K7+K8+K9+K10+K11</f>
        <v/>
      </c>
      <c r="L12" s="53">
        <f>L7+L8+L9+L10+L11</f>
        <v/>
      </c>
      <c r="M12" s="53">
        <f>M7+M8+M9+M10+M11</f>
        <v/>
      </c>
      <c r="N12" s="53">
        <f>N7+N8+N9+N10+N11</f>
        <v/>
      </c>
      <c r="O12" s="53">
        <f>O7+O8+O9+O10+O11</f>
        <v/>
      </c>
      <c r="P12" s="53">
        <f>P7+P8+P9+P10+P11</f>
        <v/>
      </c>
      <c r="Q12" s="53">
        <f>Q7+Q8+Q9+Q10+Q11</f>
        <v/>
      </c>
      <c r="R12" s="53">
        <f>R7+R8+R9+R10+R11</f>
        <v/>
      </c>
      <c r="S12" s="53">
        <f>S7+S8+S9+S10+S11</f>
        <v/>
      </c>
      <c r="T12" s="53">
        <f>T7+T8+T9+T10+T11</f>
        <v/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</row>
    <row r="13">
      <c r="B13" s="49" t="inlineStr">
        <is>
          <t xml:space="preserve">  602001 Wages</t>
        </is>
      </c>
      <c r="D13" s="40" t="n">
        <v>104383.39</v>
      </c>
      <c r="E13" s="40" t="n">
        <v>100043.77</v>
      </c>
      <c r="F13" s="40" t="n">
        <v>118026.97</v>
      </c>
      <c r="G13" s="40" t="n">
        <v>95811.32000000001</v>
      </c>
      <c r="H13" s="91" t="n">
        <v>116092.27</v>
      </c>
      <c r="I13" s="41" t="n">
        <v>107196.71</v>
      </c>
      <c r="J13" s="41" t="n">
        <v>107196.71</v>
      </c>
      <c r="K13" s="41" t="n">
        <v>107196.71</v>
      </c>
      <c r="L13" s="41" t="n">
        <v>107196.71</v>
      </c>
      <c r="M13" s="41" t="n">
        <v>107196.71</v>
      </c>
      <c r="N13" s="41" t="n">
        <v>107196.71</v>
      </c>
      <c r="O13" s="41" t="n">
        <v>107196.71</v>
      </c>
      <c r="P13" s="41" t="n">
        <v>112556.54</v>
      </c>
      <c r="Q13" s="41" t="n">
        <v>112556.54</v>
      </c>
      <c r="R13" s="41" t="n">
        <v>112556.54</v>
      </c>
      <c r="S13" s="41" t="n">
        <v>112556.54</v>
      </c>
      <c r="T13" s="41" t="n">
        <v>112556.54</v>
      </c>
      <c r="U13" s="41" t="n">
        <v>112556.54</v>
      </c>
      <c r="V13" s="41" t="n">
        <v>112556.54</v>
      </c>
      <c r="W13" s="41" t="n">
        <v>112556.54</v>
      </c>
      <c r="X13" s="41" t="n">
        <v>112556.54</v>
      </c>
      <c r="Y13" s="41" t="n">
        <v>112556.54</v>
      </c>
      <c r="Z13" s="41" t="n">
        <v>112556.54</v>
      </c>
      <c r="AA13" s="41" t="n">
        <v>112556.54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</row>
    <row r="14">
      <c r="B14" s="49" t="inlineStr">
        <is>
          <t xml:space="preserve">  602004 Payroll Taxes</t>
        </is>
      </c>
      <c r="D14" s="40" t="n">
        <v>10904.51</v>
      </c>
      <c r="E14" s="40" t="n">
        <v>7827.04</v>
      </c>
      <c r="F14" s="40" t="n">
        <v>9030.51</v>
      </c>
      <c r="G14" s="40" t="n">
        <v>7329.78</v>
      </c>
      <c r="H14" s="91" t="n">
        <v>8881.43</v>
      </c>
      <c r="I14" s="41" t="n">
        <v>8993.639999999999</v>
      </c>
      <c r="J14" s="41" t="n">
        <v>8993.639999999999</v>
      </c>
      <c r="K14" s="41" t="n">
        <v>8993.639999999999</v>
      </c>
      <c r="L14" s="41" t="n">
        <v>8993.639999999999</v>
      </c>
      <c r="M14" s="41" t="n">
        <v>8993.639999999999</v>
      </c>
      <c r="N14" s="41" t="n">
        <v>8993.639999999999</v>
      </c>
      <c r="O14" s="41" t="n">
        <v>8993.639999999999</v>
      </c>
      <c r="P14" s="41" t="n">
        <v>9443.32</v>
      </c>
      <c r="Q14" s="41" t="n">
        <v>9443.32</v>
      </c>
      <c r="R14" s="41" t="n">
        <v>9443.32</v>
      </c>
      <c r="S14" s="41" t="n">
        <v>9443.32</v>
      </c>
      <c r="T14" s="41" t="n">
        <v>9443.32</v>
      </c>
      <c r="U14" s="41" t="n">
        <v>9443.32</v>
      </c>
      <c r="V14" s="41" t="n">
        <v>9443.32</v>
      </c>
      <c r="W14" s="41" t="n">
        <v>9443.32</v>
      </c>
      <c r="X14" s="41" t="n">
        <v>9443.32</v>
      </c>
      <c r="Y14" s="41" t="n">
        <v>9443.32</v>
      </c>
      <c r="Z14" s="41" t="n">
        <v>9443.32</v>
      </c>
      <c r="AA14" s="41" t="n">
        <v>9443.32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</row>
    <row r="15">
      <c r="B15" s="49" t="inlineStr">
        <is>
          <t xml:space="preserve">  602005 Employee Benefits</t>
        </is>
      </c>
      <c r="D15" s="40" t="n">
        <v>3395.21</v>
      </c>
      <c r="E15" s="40" t="n">
        <v>3008.85</v>
      </c>
      <c r="F15" s="40" t="n">
        <v>1739.96</v>
      </c>
      <c r="G15" s="40" t="n">
        <v>2002.04</v>
      </c>
      <c r="H15" s="91" t="n">
        <v>2065.32</v>
      </c>
      <c r="I15" s="41" t="n">
        <v>2600.32</v>
      </c>
      <c r="J15" s="41" t="n">
        <v>2600.32</v>
      </c>
      <c r="K15" s="41" t="n">
        <v>2600.32</v>
      </c>
      <c r="L15" s="41" t="n">
        <v>2600.32</v>
      </c>
      <c r="M15" s="41" t="n">
        <v>2600.32</v>
      </c>
      <c r="N15" s="41" t="n">
        <v>2600.32</v>
      </c>
      <c r="O15" s="41" t="n">
        <v>2600.32</v>
      </c>
      <c r="P15" s="41" t="n">
        <v>2730.34</v>
      </c>
      <c r="Q15" s="41" t="n">
        <v>2730.34</v>
      </c>
      <c r="R15" s="41" t="n">
        <v>2730.34</v>
      </c>
      <c r="S15" s="41" t="n">
        <v>2730.34</v>
      </c>
      <c r="T15" s="41" t="n">
        <v>2730.34</v>
      </c>
      <c r="U15" s="41" t="n">
        <v>2730.34</v>
      </c>
      <c r="V15" s="41" t="n">
        <v>2730.34</v>
      </c>
      <c r="W15" s="41" t="n">
        <v>2730.34</v>
      </c>
      <c r="X15" s="41" t="n">
        <v>2730.34</v>
      </c>
      <c r="Y15" s="41" t="n">
        <v>2730.34</v>
      </c>
      <c r="Z15" s="41" t="n">
        <v>2730.34</v>
      </c>
      <c r="AA15" s="41" t="n">
        <v>2730.34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</row>
    <row r="16">
      <c r="B16" s="49" t="inlineStr">
        <is>
          <t xml:space="preserve">  602010 Payroll Processing Fees</t>
        </is>
      </c>
      <c r="D16" s="40" t="n">
        <v>7151.5</v>
      </c>
      <c r="E16" s="40" t="n">
        <v>7603.55</v>
      </c>
      <c r="F16" s="40" t="n">
        <v>10486.27</v>
      </c>
      <c r="G16" s="40" t="n">
        <v>7346.8</v>
      </c>
      <c r="H16" s="91" t="n">
        <v>7396.81</v>
      </c>
      <c r="I16" s="41" t="n">
        <v>8351.969999999999</v>
      </c>
      <c r="J16" s="41" t="n">
        <v>8351.969999999999</v>
      </c>
      <c r="K16" s="41" t="n">
        <v>8351.969999999999</v>
      </c>
      <c r="L16" s="41" t="n">
        <v>8351.969999999999</v>
      </c>
      <c r="M16" s="41" t="n">
        <v>8351.969999999999</v>
      </c>
      <c r="N16" s="41" t="n">
        <v>8351.969999999999</v>
      </c>
      <c r="O16" s="41" t="n">
        <v>8351.969999999999</v>
      </c>
      <c r="P16" s="41" t="n">
        <v>8769.57</v>
      </c>
      <c r="Q16" s="41" t="n">
        <v>8769.57</v>
      </c>
      <c r="R16" s="41" t="n">
        <v>8769.57</v>
      </c>
      <c r="S16" s="41" t="n">
        <v>8769.57</v>
      </c>
      <c r="T16" s="41" t="n">
        <v>8769.57</v>
      </c>
      <c r="U16" s="41" t="n">
        <v>8769.57</v>
      </c>
      <c r="V16" s="41" t="n">
        <v>8769.57</v>
      </c>
      <c r="W16" s="41" t="n">
        <v>8769.57</v>
      </c>
      <c r="X16" s="41" t="n">
        <v>8769.57</v>
      </c>
      <c r="Y16" s="41" t="n">
        <v>8769.57</v>
      </c>
      <c r="Z16" s="41" t="n">
        <v>8769.57</v>
      </c>
      <c r="AA16" s="41" t="n">
        <v>8769.57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</row>
    <row r="17">
      <c r="B17" s="50" t="inlineStr">
        <is>
          <t>Total Payroll</t>
        </is>
      </c>
      <c r="C17" s="51" t="n"/>
      <c r="D17" s="52" t="n">
        <v>125834.61</v>
      </c>
      <c r="E17" s="52" t="n">
        <v>118483.21</v>
      </c>
      <c r="F17" s="52" t="n">
        <v>139283.71</v>
      </c>
      <c r="G17" s="52" t="n">
        <v>112489.94</v>
      </c>
      <c r="H17" s="92" t="n">
        <v>134435.83</v>
      </c>
      <c r="I17" s="53">
        <f>I13+I14+I15+I16</f>
        <v/>
      </c>
      <c r="J17" s="53">
        <f>J13+J14+J15+J16</f>
        <v/>
      </c>
      <c r="K17" s="53">
        <f>K13+K14+K15+K16</f>
        <v/>
      </c>
      <c r="L17" s="53">
        <f>L13+L14+L15+L16</f>
        <v/>
      </c>
      <c r="M17" s="53">
        <f>M13+M14+M15+M16</f>
        <v/>
      </c>
      <c r="N17" s="53">
        <f>N13+N14+N15+N16</f>
        <v/>
      </c>
      <c r="O17" s="53">
        <f>O13+O14+O15+O16</f>
        <v/>
      </c>
      <c r="P17" s="53">
        <f>P13+P14+P15+P16</f>
        <v/>
      </c>
      <c r="Q17" s="53">
        <f>Q13+Q14+Q15+Q16</f>
        <v/>
      </c>
      <c r="R17" s="53">
        <f>R13+R14+R15+R16</f>
        <v/>
      </c>
      <c r="S17" s="53">
        <f>S13+S14+S15+S16</f>
        <v/>
      </c>
      <c r="T17" s="53">
        <f>T13+T14+T15+T16</f>
        <v/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</row>
    <row r="18">
      <c r="B18" s="49" t="inlineStr">
        <is>
          <t xml:space="preserve">  603000 Software &amp; Web Services</t>
        </is>
      </c>
      <c r="D18" s="40" t="n">
        <v>1377.91</v>
      </c>
      <c r="E18" s="40" t="n">
        <v>894.23</v>
      </c>
      <c r="F18" s="40" t="n">
        <v>776.21</v>
      </c>
      <c r="G18" s="40" t="n">
        <v>1225.46</v>
      </c>
      <c r="H18" s="91" t="n">
        <v>1684.6</v>
      </c>
      <c r="I18" s="41" t="n">
        <v>849.78</v>
      </c>
      <c r="J18" s="41" t="n">
        <v>849.78</v>
      </c>
      <c r="K18" s="41" t="n">
        <v>849.78</v>
      </c>
      <c r="L18" s="41" t="n">
        <v>849.78</v>
      </c>
      <c r="M18" s="41" t="n">
        <v>849.78</v>
      </c>
      <c r="N18" s="41" t="n">
        <v>849.78</v>
      </c>
      <c r="O18" s="41" t="n">
        <v>849.78</v>
      </c>
      <c r="P18" s="41" t="n">
        <v>892.27</v>
      </c>
      <c r="Q18" s="41" t="n">
        <v>892.27</v>
      </c>
      <c r="R18" s="41" t="n">
        <v>892.27</v>
      </c>
      <c r="S18" s="41" t="n">
        <v>892.27</v>
      </c>
      <c r="T18" s="41" t="n">
        <v>892.27</v>
      </c>
      <c r="U18" s="41" t="n">
        <v>892.27</v>
      </c>
      <c r="V18" s="41" t="n">
        <v>892.27</v>
      </c>
      <c r="W18" s="41" t="n">
        <v>892.27</v>
      </c>
      <c r="X18" s="41" t="n">
        <v>892.27</v>
      </c>
      <c r="Y18" s="41" t="n">
        <v>892.27</v>
      </c>
      <c r="Z18" s="41" t="n">
        <v>892.27</v>
      </c>
      <c r="AA18" s="41" t="n">
        <v>892.27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91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</row>
    <row r="20">
      <c r="B20" s="49" t="inlineStr">
        <is>
          <t xml:space="preserve">  610000 Office Supplies</t>
        </is>
      </c>
      <c r="D20" s="40" t="n">
        <v>1012.63</v>
      </c>
      <c r="E20" s="40" t="n">
        <v>2592.88</v>
      </c>
      <c r="F20" s="40" t="n">
        <v>1393.88</v>
      </c>
      <c r="G20" s="40" t="n">
        <v>356.27</v>
      </c>
      <c r="H20" s="91" t="n">
        <v>0</v>
      </c>
      <c r="I20" s="41" t="n">
        <v>1064.89</v>
      </c>
      <c r="J20" s="41" t="n">
        <v>1064.89</v>
      </c>
      <c r="K20" s="41" t="n">
        <v>1064.89</v>
      </c>
      <c r="L20" s="41" t="n">
        <v>1064.89</v>
      </c>
      <c r="M20" s="41" t="n">
        <v>1064.89</v>
      </c>
      <c r="N20" s="41" t="n">
        <v>1064.89</v>
      </c>
      <c r="O20" s="41" t="n">
        <v>1064.89</v>
      </c>
      <c r="P20" s="41" t="n">
        <v>1118.14</v>
      </c>
      <c r="Q20" s="41" t="n">
        <v>1118.14</v>
      </c>
      <c r="R20" s="41" t="n">
        <v>1118.14</v>
      </c>
      <c r="S20" s="41" t="n">
        <v>1118.14</v>
      </c>
      <c r="T20" s="41" t="n">
        <v>1118.14</v>
      </c>
      <c r="U20" s="41" t="n">
        <v>1118.14</v>
      </c>
      <c r="V20" s="41" t="n">
        <v>1118.14</v>
      </c>
      <c r="W20" s="41" t="n">
        <v>1118.14</v>
      </c>
      <c r="X20" s="41" t="n">
        <v>1118.14</v>
      </c>
      <c r="Y20" s="41" t="n">
        <v>1118.14</v>
      </c>
      <c r="Z20" s="41" t="n">
        <v>1118.14</v>
      </c>
      <c r="AA20" s="41" t="n">
        <v>1118.14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</row>
    <row r="21">
      <c r="B21" s="49" t="inlineStr">
        <is>
          <t xml:space="preserve">  613000 Bank Fees</t>
        </is>
      </c>
      <c r="D21" s="40" t="n">
        <v>627.26</v>
      </c>
      <c r="E21" s="40" t="n">
        <v>642.7</v>
      </c>
      <c r="F21" s="40" t="n">
        <v>313.17</v>
      </c>
      <c r="G21" s="40" t="n">
        <v>321.83</v>
      </c>
      <c r="H21" s="91" t="n">
        <v>0</v>
      </c>
      <c r="I21" s="41" t="n">
        <v>378.77</v>
      </c>
      <c r="J21" s="41" t="n">
        <v>378.77</v>
      </c>
      <c r="K21" s="41" t="n">
        <v>378.77</v>
      </c>
      <c r="L21" s="41" t="n">
        <v>378.77</v>
      </c>
      <c r="M21" s="41" t="n">
        <v>378.77</v>
      </c>
      <c r="N21" s="41" t="n">
        <v>378.77</v>
      </c>
      <c r="O21" s="41" t="n">
        <v>378.77</v>
      </c>
      <c r="P21" s="41" t="n">
        <v>397.71</v>
      </c>
      <c r="Q21" s="41" t="n">
        <v>397.71</v>
      </c>
      <c r="R21" s="41" t="n">
        <v>397.71</v>
      </c>
      <c r="S21" s="41" t="n">
        <v>397.71</v>
      </c>
      <c r="T21" s="41" t="n">
        <v>397.71</v>
      </c>
      <c r="U21" s="41" t="n">
        <v>397.71</v>
      </c>
      <c r="V21" s="41" t="n">
        <v>397.71</v>
      </c>
      <c r="W21" s="41" t="n">
        <v>397.71</v>
      </c>
      <c r="X21" s="41" t="n">
        <v>397.71</v>
      </c>
      <c r="Y21" s="41" t="n">
        <v>397.71</v>
      </c>
      <c r="Z21" s="41" t="n">
        <v>397.71</v>
      </c>
      <c r="AA21" s="41" t="n">
        <v>397.71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</row>
    <row r="22">
      <c r="B22" s="50" t="inlineStr">
        <is>
          <t>Total Software &amp; Admin</t>
        </is>
      </c>
      <c r="C22" s="51" t="n"/>
      <c r="D22" s="52">
        <f>D18+D19+D20+D21</f>
        <v/>
      </c>
      <c r="E22" s="52">
        <f>E18+E19+E20+E21</f>
        <v/>
      </c>
      <c r="F22" s="52">
        <f>F18+F19+F20+F21</f>
        <v/>
      </c>
      <c r="G22" s="52">
        <f>G18+G19+G20+G21</f>
        <v/>
      </c>
      <c r="H22" s="53">
        <f>H18+H19+H20+H21</f>
        <v/>
      </c>
      <c r="I22" s="53">
        <f>I18+I19+I20+I21</f>
        <v/>
      </c>
      <c r="J22" s="53">
        <f>J18+J19+J20+J21</f>
        <v/>
      </c>
      <c r="K22" s="53">
        <f>K18+K19+K20+K21</f>
        <v/>
      </c>
      <c r="L22" s="53">
        <f>L18+L19+L20+L21</f>
        <v/>
      </c>
      <c r="M22" s="53">
        <f>M18+M19+M20+M21</f>
        <v/>
      </c>
      <c r="N22" s="53">
        <f>N18+N19+N20+N21</f>
        <v/>
      </c>
      <c r="O22" s="53">
        <f>O18+O19+O20+O21</f>
        <v/>
      </c>
      <c r="P22" s="53">
        <f>P18+P19+P20+P21</f>
        <v/>
      </c>
      <c r="Q22" s="53">
        <f>Q18+Q19+Q20+Q21</f>
        <v/>
      </c>
      <c r="R22" s="53">
        <f>R18+R19+R20+R21</f>
        <v/>
      </c>
      <c r="S22" s="53">
        <f>S18+S19+S20+S21</f>
        <v/>
      </c>
      <c r="T22" s="53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</row>
    <row r="23">
      <c r="B23" s="49" t="inlineStr">
        <is>
          <t xml:space="preserve">  604100 Legal Fees</t>
        </is>
      </c>
      <c r="D23" s="40" t="n">
        <v>1142.5</v>
      </c>
      <c r="E23" s="40" t="n">
        <v>0</v>
      </c>
      <c r="F23" s="40" t="n">
        <v>3995.5</v>
      </c>
      <c r="G23" s="40" t="n">
        <v>0</v>
      </c>
      <c r="H23" s="91" t="n">
        <v>0</v>
      </c>
      <c r="I23" s="41" t="n">
        <v>1205.96</v>
      </c>
      <c r="J23" s="41" t="n">
        <v>1205.96</v>
      </c>
      <c r="K23" s="41" t="n">
        <v>1205.96</v>
      </c>
      <c r="L23" s="41" t="n">
        <v>1205.96</v>
      </c>
      <c r="M23" s="41" t="n">
        <v>1205.96</v>
      </c>
      <c r="N23" s="41" t="n">
        <v>1205.96</v>
      </c>
      <c r="O23" s="41" t="n">
        <v>1205.96</v>
      </c>
      <c r="P23" s="41" t="n">
        <v>1429.14</v>
      </c>
      <c r="Q23" s="41" t="n">
        <v>1429.14</v>
      </c>
      <c r="R23" s="41" t="n">
        <v>1429.14</v>
      </c>
      <c r="S23" s="41" t="n">
        <v>1429.14</v>
      </c>
      <c r="T23" s="41" t="n">
        <v>1429.14</v>
      </c>
      <c r="U23" s="41" t="n">
        <v>1429.14</v>
      </c>
      <c r="V23" s="41" t="n">
        <v>1429.14</v>
      </c>
      <c r="W23" s="41" t="n">
        <v>1429.14</v>
      </c>
      <c r="X23" s="41" t="n">
        <v>1429.14</v>
      </c>
      <c r="Y23" s="41" t="n">
        <v>1429.14</v>
      </c>
      <c r="Z23" s="41" t="n">
        <v>1429.14</v>
      </c>
      <c r="AA23" s="41" t="n">
        <v>1429.14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</row>
    <row r="24">
      <c r="B24" s="49" t="inlineStr">
        <is>
          <t xml:space="preserve">  604200 Accounting</t>
        </is>
      </c>
      <c r="D24" s="40" t="n">
        <v>26943.5</v>
      </c>
      <c r="E24" s="40" t="n">
        <v>11648.28</v>
      </c>
      <c r="F24" s="40" t="n">
        <v>7356</v>
      </c>
      <c r="G24" s="40" t="n">
        <v>11836</v>
      </c>
      <c r="H24" s="91" t="n">
        <v>12311</v>
      </c>
      <c r="I24" s="41" t="n">
        <v>13562.61</v>
      </c>
      <c r="J24" s="41" t="n">
        <v>13562.61</v>
      </c>
      <c r="K24" s="41" t="n">
        <v>13562.61</v>
      </c>
      <c r="L24" s="41" t="n">
        <v>13562.61</v>
      </c>
      <c r="M24" s="41" t="n">
        <v>13562.61</v>
      </c>
      <c r="N24" s="41" t="n">
        <v>13562.61</v>
      </c>
      <c r="O24" s="41" t="n">
        <v>13562.61</v>
      </c>
      <c r="P24" s="41" t="n">
        <v>16072.61</v>
      </c>
      <c r="Q24" s="41" t="n">
        <v>16072.61</v>
      </c>
      <c r="R24" s="41" t="n">
        <v>16072.61</v>
      </c>
      <c r="S24" s="41" t="n">
        <v>16072.61</v>
      </c>
      <c r="T24" s="41" t="n">
        <v>16072.61</v>
      </c>
      <c r="U24" s="41" t="n">
        <v>16072.61</v>
      </c>
      <c r="V24" s="41" t="n">
        <v>16072.61</v>
      </c>
      <c r="W24" s="41" t="n">
        <v>16072.61</v>
      </c>
      <c r="X24" s="41" t="n">
        <v>16072.61</v>
      </c>
      <c r="Y24" s="41" t="n">
        <v>16072.61</v>
      </c>
      <c r="Z24" s="41" t="n">
        <v>16072.61</v>
      </c>
      <c r="AA24" s="41" t="n">
        <v>16072.61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</row>
    <row r="25">
      <c r="B25" s="49" t="inlineStr">
        <is>
          <t xml:space="preserve">  604300 Recruiting</t>
        </is>
      </c>
      <c r="D25" s="40" t="n">
        <v>2409.4</v>
      </c>
      <c r="E25" s="40" t="n">
        <v>270.88</v>
      </c>
      <c r="F25" s="40" t="n">
        <v>223.34</v>
      </c>
      <c r="G25" s="40" t="n">
        <v>0</v>
      </c>
      <c r="H25" s="91" t="n">
        <v>0</v>
      </c>
      <c r="I25" s="41" t="n">
        <v>681.52</v>
      </c>
      <c r="J25" s="41" t="n">
        <v>681.52</v>
      </c>
      <c r="K25" s="41" t="n">
        <v>681.52</v>
      </c>
      <c r="L25" s="41" t="n">
        <v>681.52</v>
      </c>
      <c r="M25" s="41" t="n">
        <v>681.52</v>
      </c>
      <c r="N25" s="41" t="n">
        <v>681.52</v>
      </c>
      <c r="O25" s="41" t="n">
        <v>681.52</v>
      </c>
      <c r="P25" s="41" t="n">
        <v>807.64</v>
      </c>
      <c r="Q25" s="41" t="n">
        <v>807.64</v>
      </c>
      <c r="R25" s="41" t="n">
        <v>807.64</v>
      </c>
      <c r="S25" s="41" t="n">
        <v>807.64</v>
      </c>
      <c r="T25" s="41" t="n">
        <v>807.64</v>
      </c>
      <c r="U25" s="41" t="n">
        <v>807.64</v>
      </c>
      <c r="V25" s="41" t="n">
        <v>807.64</v>
      </c>
      <c r="W25" s="41" t="n">
        <v>807.64</v>
      </c>
      <c r="X25" s="41" t="n">
        <v>807.64</v>
      </c>
      <c r="Y25" s="41" t="n">
        <v>807.64</v>
      </c>
      <c r="Z25" s="41" t="n">
        <v>807.64</v>
      </c>
      <c r="AA25" s="41" t="n">
        <v>807.64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</row>
    <row r="26">
      <c r="B26" s="49" t="inlineStr">
        <is>
          <t xml:space="preserve">  604400 Other Professional Fees</t>
        </is>
      </c>
      <c r="D26" s="40" t="n">
        <v>4746.41</v>
      </c>
      <c r="E26" s="40" t="n">
        <v>0</v>
      </c>
      <c r="F26" s="40" t="n">
        <v>25</v>
      </c>
      <c r="G26" s="40" t="n">
        <v>0</v>
      </c>
      <c r="H26" s="91" t="n">
        <v>0</v>
      </c>
      <c r="I26" s="41" t="n">
        <v>1119.91</v>
      </c>
      <c r="J26" s="41" t="n">
        <v>1119.91</v>
      </c>
      <c r="K26" s="41" t="n">
        <v>1119.91</v>
      </c>
      <c r="L26" s="41" t="n">
        <v>1119.91</v>
      </c>
      <c r="M26" s="41" t="n">
        <v>1119.91</v>
      </c>
      <c r="N26" s="41" t="n">
        <v>1119.91</v>
      </c>
      <c r="O26" s="41" t="n">
        <v>1119.91</v>
      </c>
      <c r="P26" s="41" t="n">
        <v>1327.17</v>
      </c>
      <c r="Q26" s="41" t="n">
        <v>1327.17</v>
      </c>
      <c r="R26" s="41" t="n">
        <v>1327.17</v>
      </c>
      <c r="S26" s="41" t="n">
        <v>1327.17</v>
      </c>
      <c r="T26" s="41" t="n">
        <v>1327.17</v>
      </c>
      <c r="U26" s="41" t="n">
        <v>1327.17</v>
      </c>
      <c r="V26" s="41" t="n">
        <v>1327.17</v>
      </c>
      <c r="W26" s="41" t="n">
        <v>1327.17</v>
      </c>
      <c r="X26" s="41" t="n">
        <v>1327.17</v>
      </c>
      <c r="Y26" s="41" t="n">
        <v>1327.17</v>
      </c>
      <c r="Z26" s="41" t="n">
        <v>1327.17</v>
      </c>
      <c r="AA26" s="41" t="n">
        <v>1327.17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</row>
    <row r="27">
      <c r="B27" s="50" t="inlineStr">
        <is>
          <t>Total Professional Fees</t>
        </is>
      </c>
      <c r="C27" s="51" t="n"/>
      <c r="D27" s="52" t="n">
        <v>35241.81</v>
      </c>
      <c r="E27" s="52" t="n">
        <v>11919.16</v>
      </c>
      <c r="F27" s="52" t="n">
        <v>11599.84</v>
      </c>
      <c r="G27" s="52" t="n">
        <v>11836</v>
      </c>
      <c r="H27" s="92" t="n">
        <v>12311</v>
      </c>
      <c r="I27" s="53">
        <f>I23+I24+I25+I26</f>
        <v/>
      </c>
      <c r="J27" s="53">
        <f>J23+J24+J25+J26</f>
        <v/>
      </c>
      <c r="K27" s="53">
        <f>K23+K24+K25+K26</f>
        <v/>
      </c>
      <c r="L27" s="53">
        <f>L23+L24+L25+L26</f>
        <v/>
      </c>
      <c r="M27" s="53">
        <f>M23+M24+M25+M26</f>
        <v/>
      </c>
      <c r="N27" s="53">
        <f>N23+N24+N25+N26</f>
        <v/>
      </c>
      <c r="O27" s="53">
        <f>O23+O24+O25+O26</f>
        <v/>
      </c>
      <c r="P27" s="53">
        <f>P23+P24+P25+P26</f>
        <v/>
      </c>
      <c r="Q27" s="53">
        <f>Q23+Q24+Q25+Q26</f>
        <v/>
      </c>
      <c r="R27" s="53">
        <f>R23+R24+R25+R26</f>
        <v/>
      </c>
      <c r="S27" s="53">
        <f>S23+S24+S25+S26</f>
        <v/>
      </c>
      <c r="T27" s="53">
        <f>T23+T24+T25+T26</f>
        <v/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</row>
    <row r="28">
      <c r="B28" s="49" t="inlineStr">
        <is>
          <t xml:space="preserve">  605000 Travel</t>
        </is>
      </c>
      <c r="D28" s="40" t="n">
        <v>796.5700000000001</v>
      </c>
      <c r="E28" s="40" t="n">
        <v>283.06</v>
      </c>
      <c r="F28" s="40" t="n">
        <v>2275.29</v>
      </c>
      <c r="G28" s="40" t="n">
        <v>1381.14</v>
      </c>
      <c r="H28" s="91" t="n">
        <v>0</v>
      </c>
      <c r="I28" s="41" t="n">
        <v>1376.87</v>
      </c>
      <c r="J28" s="41" t="n">
        <v>1376.87</v>
      </c>
      <c r="K28" s="41" t="n">
        <v>1376.87</v>
      </c>
      <c r="L28" s="41" t="n">
        <v>1376.87</v>
      </c>
      <c r="M28" s="41" t="n">
        <v>1376.87</v>
      </c>
      <c r="N28" s="41" t="n">
        <v>1376.87</v>
      </c>
      <c r="O28" s="41" t="n">
        <v>1376.87</v>
      </c>
      <c r="P28" s="41" t="n">
        <v>1431.94</v>
      </c>
      <c r="Q28" s="41" t="n">
        <v>1431.94</v>
      </c>
      <c r="R28" s="41" t="n">
        <v>1431.94</v>
      </c>
      <c r="S28" s="41" t="n">
        <v>1431.94</v>
      </c>
      <c r="T28" s="41" t="n">
        <v>1431.94</v>
      </c>
      <c r="U28" s="41" t="n">
        <v>1431.94</v>
      </c>
      <c r="V28" s="41" t="n">
        <v>1431.94</v>
      </c>
      <c r="W28" s="41" t="n">
        <v>1431.94</v>
      </c>
      <c r="X28" s="41" t="n">
        <v>1431.94</v>
      </c>
      <c r="Y28" s="41" t="n">
        <v>1431.94</v>
      </c>
      <c r="Z28" s="41" t="n">
        <v>1431.94</v>
      </c>
      <c r="AA28" s="41" t="n">
        <v>1431.94</v>
      </c>
      <c r="AB28" s="41" t="n">
        <v>1489.22</v>
      </c>
      <c r="AC28" s="41" t="n">
        <v>1489.22</v>
      </c>
      <c r="AD28" s="41" t="n">
        <v>1489.22</v>
      </c>
      <c r="AE28" s="41" t="n">
        <v>1489.22</v>
      </c>
      <c r="AF28" s="41" t="n">
        <v>1489.22</v>
      </c>
      <c r="AG28" s="41" t="n">
        <v>1489.22</v>
      </c>
      <c r="AH28" s="41" t="n">
        <v>1489.22</v>
      </c>
      <c r="AI28" s="41" t="n">
        <v>1489.22</v>
      </c>
      <c r="AJ28" s="41" t="n">
        <v>1489.22</v>
      </c>
      <c r="AK28" s="41" t="n">
        <v>1489.22</v>
      </c>
      <c r="AL28" s="41" t="n">
        <v>1489.22</v>
      </c>
      <c r="AM28" s="41" t="n">
        <v>1489.22</v>
      </c>
    </row>
    <row r="29">
      <c r="B29" s="49" t="inlineStr">
        <is>
          <t xml:space="preserve">  606000 Meals</t>
        </is>
      </c>
      <c r="D29" s="40" t="n">
        <v>37.11</v>
      </c>
      <c r="E29" s="40" t="n">
        <v>0</v>
      </c>
      <c r="F29" s="40" t="n">
        <v>224.62</v>
      </c>
      <c r="G29" s="40" t="n">
        <v>115.35</v>
      </c>
      <c r="H29" s="91" t="n">
        <v>85.94</v>
      </c>
      <c r="I29" s="41" t="n">
        <v>109.62</v>
      </c>
      <c r="J29" s="41" t="n">
        <v>109.62</v>
      </c>
      <c r="K29" s="41" t="n">
        <v>109.62</v>
      </c>
      <c r="L29" s="41" t="n">
        <v>109.62</v>
      </c>
      <c r="M29" s="41" t="n">
        <v>109.62</v>
      </c>
      <c r="N29" s="41" t="n">
        <v>109.62</v>
      </c>
      <c r="O29" s="41" t="n">
        <v>109.62</v>
      </c>
      <c r="P29" s="41" t="n">
        <v>114.01</v>
      </c>
      <c r="Q29" s="41" t="n">
        <v>114.01</v>
      </c>
      <c r="R29" s="41" t="n">
        <v>114.01</v>
      </c>
      <c r="S29" s="41" t="n">
        <v>114.01</v>
      </c>
      <c r="T29" s="41" t="n">
        <v>114.01</v>
      </c>
      <c r="U29" s="41" t="n">
        <v>114.01</v>
      </c>
      <c r="V29" s="41" t="n">
        <v>114.01</v>
      </c>
      <c r="W29" s="41" t="n">
        <v>114.01</v>
      </c>
      <c r="X29" s="41" t="n">
        <v>114.01</v>
      </c>
      <c r="Y29" s="41" t="n">
        <v>114.01</v>
      </c>
      <c r="Z29" s="41" t="n">
        <v>114.01</v>
      </c>
      <c r="AA29" s="41" t="n">
        <v>114.01</v>
      </c>
      <c r="AB29" s="41" t="n">
        <v>118.57</v>
      </c>
      <c r="AC29" s="41" t="n">
        <v>118.57</v>
      </c>
      <c r="AD29" s="41" t="n">
        <v>118.57</v>
      </c>
      <c r="AE29" s="41" t="n">
        <v>118.57</v>
      </c>
      <c r="AF29" s="41" t="n">
        <v>118.57</v>
      </c>
      <c r="AG29" s="41" t="n">
        <v>118.57</v>
      </c>
      <c r="AH29" s="41" t="n">
        <v>118.57</v>
      </c>
      <c r="AI29" s="41" t="n">
        <v>118.57</v>
      </c>
      <c r="AJ29" s="41" t="n">
        <v>118.57</v>
      </c>
      <c r="AK29" s="41" t="n">
        <v>118.57</v>
      </c>
      <c r="AL29" s="41" t="n">
        <v>118.57</v>
      </c>
      <c r="AM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3">
        <f>H28+H29</f>
        <v/>
      </c>
      <c r="I30" s="53">
        <f>I28+I29</f>
        <v/>
      </c>
      <c r="J30" s="53">
        <f>J28+J29</f>
        <v/>
      </c>
      <c r="K30" s="53">
        <f>K28+K29</f>
        <v/>
      </c>
      <c r="L30" s="53">
        <f>L28+L29</f>
        <v/>
      </c>
      <c r="M30" s="53">
        <f>M28+M29</f>
        <v/>
      </c>
      <c r="N30" s="53">
        <f>N28+N29</f>
        <v/>
      </c>
      <c r="O30" s="53">
        <f>O28+O29</f>
        <v/>
      </c>
      <c r="P30" s="53">
        <f>P28+P29</f>
        <v/>
      </c>
      <c r="Q30" s="53">
        <f>Q28+Q29</f>
        <v/>
      </c>
      <c r="R30" s="53">
        <f>R28+R29</f>
        <v/>
      </c>
      <c r="S30" s="53">
        <f>S28+S29</f>
        <v/>
      </c>
      <c r="T30" s="53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</row>
    <row r="31">
      <c r="B31" s="49" t="inlineStr">
        <is>
          <t xml:space="preserve">  701000 Rent / Virtual Office</t>
        </is>
      </c>
      <c r="D31" s="40" t="n">
        <v>0</v>
      </c>
      <c r="E31" s="40" t="n">
        <v>0</v>
      </c>
      <c r="F31" s="40" t="n">
        <v>0</v>
      </c>
      <c r="G31" s="40" t="n">
        <v>0</v>
      </c>
      <c r="H31" s="91" t="n">
        <v>0</v>
      </c>
      <c r="I31" s="41" t="n">
        <v>0</v>
      </c>
      <c r="J31" s="41" t="n">
        <v>0</v>
      </c>
      <c r="K31" s="41" t="n">
        <v>0</v>
      </c>
      <c r="L31" s="41" t="n">
        <v>0</v>
      </c>
      <c r="M31" s="41" t="n">
        <v>0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0</v>
      </c>
      <c r="T31" s="41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</row>
    <row r="32">
      <c r="B32" s="50" t="inlineStr">
        <is>
          <t>Total Property Costs</t>
        </is>
      </c>
      <c r="C32" s="51" t="n"/>
      <c r="D32" s="52" t="n">
        <v>0</v>
      </c>
      <c r="E32" s="52" t="n">
        <v>0</v>
      </c>
      <c r="F32" s="52" t="n">
        <v>0</v>
      </c>
      <c r="G32" s="52" t="n">
        <v>639.3299999999999</v>
      </c>
      <c r="H32" s="92" t="n">
        <v>26.02</v>
      </c>
      <c r="I32" s="53">
        <f>I31</f>
        <v/>
      </c>
      <c r="J32" s="53">
        <f>J31</f>
        <v/>
      </c>
      <c r="K32" s="53">
        <f>K31</f>
        <v/>
      </c>
      <c r="L32" s="53">
        <f>L31</f>
        <v/>
      </c>
      <c r="M32" s="53">
        <f>M31</f>
        <v/>
      </c>
      <c r="N32" s="53">
        <f>N31</f>
        <v/>
      </c>
      <c r="O32" s="53">
        <f>O31</f>
        <v/>
      </c>
      <c r="P32" s="53">
        <f>P31</f>
        <v/>
      </c>
      <c r="Q32" s="53">
        <f>Q31</f>
        <v/>
      </c>
      <c r="R32" s="53">
        <f>R31</f>
        <v/>
      </c>
      <c r="S32" s="53">
        <f>S31</f>
        <v/>
      </c>
      <c r="T32" s="53">
        <f>T31</f>
        <v/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</row>
    <row r="33">
      <c r="B33" s="49" t="inlineStr">
        <is>
          <t xml:space="preserve">  902000 Taxes (Franchise/State)</t>
        </is>
      </c>
      <c r="D33" s="40" t="n">
        <v>0</v>
      </c>
      <c r="E33" s="40" t="n">
        <v>0</v>
      </c>
      <c r="F33" s="40" t="n">
        <v>0</v>
      </c>
      <c r="G33" s="40" t="n">
        <v>0</v>
      </c>
      <c r="H33" s="91" t="n">
        <v>0</v>
      </c>
      <c r="I33" s="41" t="n">
        <v>5387.33</v>
      </c>
      <c r="J33" s="41" t="n">
        <v>5387.33</v>
      </c>
      <c r="K33" s="41" t="n">
        <v>5387.33</v>
      </c>
      <c r="L33" s="41" t="n">
        <v>5387.33</v>
      </c>
      <c r="M33" s="41" t="n">
        <v>5387.33</v>
      </c>
      <c r="N33" s="41" t="n">
        <v>5387.33</v>
      </c>
      <c r="O33" s="41" t="n">
        <v>5387.33</v>
      </c>
      <c r="P33" s="41" t="n">
        <v>5602.82</v>
      </c>
      <c r="Q33" s="41" t="n">
        <v>5602.82</v>
      </c>
      <c r="R33" s="41" t="n">
        <v>5602.82</v>
      </c>
      <c r="S33" s="41" t="n">
        <v>5602.82</v>
      </c>
      <c r="T33" s="41" t="n">
        <v>5602.82</v>
      </c>
      <c r="U33" s="41" t="n">
        <v>5602.82</v>
      </c>
      <c r="V33" s="41" t="n">
        <v>5602.82</v>
      </c>
      <c r="W33" s="41" t="n">
        <v>5602.82</v>
      </c>
      <c r="X33" s="41" t="n">
        <v>5602.82</v>
      </c>
      <c r="Y33" s="41" t="n">
        <v>5602.82</v>
      </c>
      <c r="Z33" s="41" t="n">
        <v>5602.82</v>
      </c>
      <c r="AA33" s="41" t="n">
        <v>5602.82</v>
      </c>
      <c r="AB33" s="41" t="n">
        <v>5826.93</v>
      </c>
      <c r="AC33" s="41" t="n">
        <v>5826.93</v>
      </c>
      <c r="AD33" s="41" t="n">
        <v>5826.93</v>
      </c>
      <c r="AE33" s="41" t="n">
        <v>5826.93</v>
      </c>
      <c r="AF33" s="41" t="n">
        <v>5826.93</v>
      </c>
      <c r="AG33" s="41" t="n">
        <v>5826.93</v>
      </c>
      <c r="AH33" s="41" t="n">
        <v>5826.93</v>
      </c>
      <c r="AI33" s="41" t="n">
        <v>5826.93</v>
      </c>
      <c r="AJ33" s="41" t="n">
        <v>5826.93</v>
      </c>
      <c r="AK33" s="41" t="n">
        <v>5826.93</v>
      </c>
      <c r="AL33" s="41" t="n">
        <v>5826.93</v>
      </c>
      <c r="AM33" s="41" t="n">
        <v>5826.93</v>
      </c>
    </row>
    <row r="34">
      <c r="B34" s="50" t="inlineStr">
        <is>
          <t>Total Taxes</t>
        </is>
      </c>
      <c r="C34" s="51" t="n"/>
      <c r="D34" s="52">
        <f>D33</f>
        <v/>
      </c>
      <c r="E34" s="52">
        <f>E33</f>
        <v/>
      </c>
      <c r="F34" s="52">
        <f>F33</f>
        <v/>
      </c>
      <c r="G34" s="52">
        <f>G33</f>
        <v/>
      </c>
      <c r="H34" s="53">
        <f>H33</f>
        <v/>
      </c>
      <c r="I34" s="53">
        <f>I33</f>
        <v/>
      </c>
      <c r="J34" s="53">
        <f>J33</f>
        <v/>
      </c>
      <c r="K34" s="53">
        <f>K33</f>
        <v/>
      </c>
      <c r="L34" s="53">
        <f>L33</f>
        <v/>
      </c>
      <c r="M34" s="53">
        <f>M33</f>
        <v/>
      </c>
      <c r="N34" s="53">
        <f>N33</f>
        <v/>
      </c>
      <c r="O34" s="53">
        <f>O33</f>
        <v/>
      </c>
      <c r="P34" s="53">
        <f>P33</f>
        <v/>
      </c>
      <c r="Q34" s="53">
        <f>Q33</f>
        <v/>
      </c>
      <c r="R34" s="53">
        <f>R33</f>
        <v/>
      </c>
      <c r="S34" s="53">
        <f>S33</f>
        <v/>
      </c>
      <c r="T34" s="53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</row>
    <row r="35">
      <c r="B35" s="50" t="inlineStr">
        <is>
          <t>TOTAL OPERATING EXPENSES</t>
        </is>
      </c>
      <c r="C35" s="51" t="n"/>
      <c r="D35" s="52" t="n">
        <v>174197.04</v>
      </c>
      <c r="E35" s="52" t="n">
        <v>143590.21</v>
      </c>
      <c r="F35" s="52" t="n">
        <v>158758.31</v>
      </c>
      <c r="G35" s="52" t="n">
        <v>128370.27</v>
      </c>
      <c r="H35" s="92" t="n">
        <v>149174.89</v>
      </c>
      <c r="I35" s="53">
        <f>I12+I17+I22+I27+I30+I32+I34</f>
        <v/>
      </c>
      <c r="J35" s="53">
        <f>J12+J17+J22+J27+J30+J32+J34</f>
        <v/>
      </c>
      <c r="K35" s="53">
        <f>K12+K17+K22+K27+K30+K32+K34</f>
        <v/>
      </c>
      <c r="L35" s="53">
        <f>L12+L17+L22+L27+L30+L32+L34</f>
        <v/>
      </c>
      <c r="M35" s="53">
        <f>M12+M17+M22+M27+M30+M32+M34</f>
        <v/>
      </c>
      <c r="N35" s="53">
        <f>N12+N17+N22+N27+N30+N32+N34</f>
        <v/>
      </c>
      <c r="O35" s="53">
        <f>O12+O17+O22+O27+O30+O32+O34</f>
        <v/>
      </c>
      <c r="P35" s="53">
        <f>P12+P17+P22+P27+P30+P32+P34</f>
        <v/>
      </c>
      <c r="Q35" s="53">
        <f>Q12+Q17+Q22+Q27+Q30+Q32+Q34</f>
        <v/>
      </c>
      <c r="R35" s="53">
        <f>R12+R17+R22+R27+R30+R32+R34</f>
        <v/>
      </c>
      <c r="S35" s="53">
        <f>S12+S17+S22+S27+S30+S32+S34</f>
        <v/>
      </c>
      <c r="T35" s="53">
        <f>T12+T17+T22+T27+T30+T32+T34</f>
        <v/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</row>
    <row r="36">
      <c r="B36" s="50" t="inlineStr">
        <is>
          <t>NET OPERATING INCOME (EBITDA)</t>
        </is>
      </c>
      <c r="C36" s="51" t="n"/>
      <c r="D36" s="52" t="n">
        <v>-174197.04</v>
      </c>
      <c r="E36" s="52" t="n">
        <v>-143590.21</v>
      </c>
      <c r="F36" s="52" t="n">
        <v>-158758.31</v>
      </c>
      <c r="G36" s="52" t="n">
        <v>-128370.27</v>
      </c>
      <c r="H36" s="92" t="n">
        <v>-149174.89</v>
      </c>
      <c r="I36" s="53">
        <f>-I35</f>
        <v/>
      </c>
      <c r="J36" s="53">
        <f>-J35</f>
        <v/>
      </c>
      <c r="K36" s="53">
        <f>-K35</f>
        <v/>
      </c>
      <c r="L36" s="53">
        <f>-L35</f>
        <v/>
      </c>
      <c r="M36" s="53">
        <f>-M35</f>
        <v/>
      </c>
      <c r="N36" s="53">
        <f>-N35</f>
        <v/>
      </c>
      <c r="O36" s="53">
        <f>-O35</f>
        <v/>
      </c>
      <c r="P36" s="53">
        <f>-P35</f>
        <v/>
      </c>
      <c r="Q36" s="53">
        <f>-Q35</f>
        <v/>
      </c>
      <c r="R36" s="53">
        <f>-R35</f>
        <v/>
      </c>
      <c r="S36" s="53">
        <f>-S35</f>
        <v/>
      </c>
      <c r="T36" s="53">
        <f>-T35</f>
        <v/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</row>
    <row r="37" ht="16" customHeight="1" s="86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</row>
    <row r="38">
      <c r="B38" s="49" t="inlineStr">
        <is>
          <t xml:space="preserve">  810000 Depreciation</t>
        </is>
      </c>
      <c r="D38" s="40" t="n">
        <v>0</v>
      </c>
      <c r="E38" s="40" t="n">
        <v>0</v>
      </c>
      <c r="F38" s="40" t="n">
        <v>0</v>
      </c>
      <c r="G38" s="40" t="n">
        <v>0</v>
      </c>
      <c r="H38" s="91" t="n">
        <v>0</v>
      </c>
      <c r="I38" s="41" t="n">
        <v>0</v>
      </c>
      <c r="J38" s="41" t="n">
        <v>0</v>
      </c>
      <c r="K38" s="41" t="n">
        <v>0</v>
      </c>
      <c r="L38" s="41" t="n">
        <v>0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0</v>
      </c>
      <c r="T38" s="41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</row>
    <row r="39">
      <c r="B39" s="49" t="inlineStr">
        <is>
          <t xml:space="preserve">  901000 Interest Expense</t>
        </is>
      </c>
      <c r="D39" s="40" t="n">
        <v>19562.5</v>
      </c>
      <c r="E39" s="40" t="n">
        <v>19562.5</v>
      </c>
      <c r="F39" s="40" t="n">
        <v>19562.5</v>
      </c>
      <c r="G39" s="40" t="n">
        <v>19562.5</v>
      </c>
      <c r="H39" s="91" t="n">
        <v>0</v>
      </c>
      <c r="I39" s="41" t="n">
        <v>0</v>
      </c>
      <c r="J39" s="41" t="n">
        <v>0</v>
      </c>
      <c r="K39" s="41" t="n">
        <v>0</v>
      </c>
      <c r="L39" s="41" t="n">
        <v>0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0</v>
      </c>
      <c r="T39" s="41" t="n">
        <v>0</v>
      </c>
      <c r="U39" s="41" t="n">
        <v>0</v>
      </c>
      <c r="V39" s="41" t="n">
        <v>0</v>
      </c>
      <c r="W39" s="41" t="n">
        <v>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  <c r="AC39" s="41" t="n">
        <v>0</v>
      </c>
      <c r="AD39" s="41" t="n">
        <v>0</v>
      </c>
      <c r="AE39" s="41" t="n">
        <v>0</v>
      </c>
      <c r="AF39" s="41" t="n">
        <v>0</v>
      </c>
      <c r="AG39" s="41" t="n">
        <v>0</v>
      </c>
      <c r="AH39" s="41" t="n">
        <v>0</v>
      </c>
      <c r="AI39" s="41" t="n">
        <v>0</v>
      </c>
      <c r="AJ39" s="41" t="n">
        <v>0</v>
      </c>
      <c r="AK39" s="41" t="n">
        <v>0</v>
      </c>
      <c r="AL39" s="41" t="n">
        <v>0</v>
      </c>
      <c r="AM39" s="41" t="n">
        <v>0</v>
      </c>
    </row>
    <row r="40">
      <c r="B40" s="49" t="inlineStr">
        <is>
          <t xml:space="preserve">  900000 Other Income/(Expense)</t>
        </is>
      </c>
      <c r="D40" s="40" t="n">
        <v>-22.9</v>
      </c>
      <c r="E40" s="40" t="n">
        <v>0</v>
      </c>
      <c r="F40" s="40" t="n">
        <v>0</v>
      </c>
      <c r="G40" s="40" t="n">
        <v>0</v>
      </c>
      <c r="H40" s="9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0</v>
      </c>
      <c r="T40" s="41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</row>
    <row r="41">
      <c r="B41" s="50" t="inlineStr">
        <is>
          <t>Total Other Expenses</t>
        </is>
      </c>
      <c r="C41" s="51" t="n"/>
      <c r="D41" s="52" t="n">
        <v>19539.6</v>
      </c>
      <c r="E41" s="52" t="n">
        <v>19562.5</v>
      </c>
      <c r="F41" s="52" t="n">
        <v>19562.5</v>
      </c>
      <c r="G41" s="52" t="n">
        <v>19562.5</v>
      </c>
      <c r="H41" s="92" t="n">
        <v>25362.5</v>
      </c>
      <c r="I41" s="53">
        <f>I38+I39+I40</f>
        <v/>
      </c>
      <c r="J41" s="53">
        <f>J38+J39+J40</f>
        <v/>
      </c>
      <c r="K41" s="53">
        <f>K38+K39+K40</f>
        <v/>
      </c>
      <c r="L41" s="53">
        <f>L38+L39+L40</f>
        <v/>
      </c>
      <c r="M41" s="53">
        <f>M38+M39+M40</f>
        <v/>
      </c>
      <c r="N41" s="53">
        <f>N38+N39+N40</f>
        <v/>
      </c>
      <c r="O41" s="53">
        <f>O38+O39+O40</f>
        <v/>
      </c>
      <c r="P41" s="53">
        <f>P38+P39+P40</f>
        <v/>
      </c>
      <c r="Q41" s="53">
        <f>Q38+Q39+Q40</f>
        <v/>
      </c>
      <c r="R41" s="53">
        <f>R38+R39+R40</f>
        <v/>
      </c>
      <c r="S41" s="53">
        <f>S38+S39+S40</f>
        <v/>
      </c>
      <c r="T41" s="53">
        <f>T38+T39+T40</f>
        <v/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</row>
    <row r="42">
      <c r="B42" s="50" t="inlineStr">
        <is>
          <t>NET INCOME</t>
        </is>
      </c>
      <c r="C42" s="51" t="n"/>
      <c r="D42" s="52" t="n">
        <v>-193736.64</v>
      </c>
      <c r="E42" s="52" t="n">
        <v>-163152.71</v>
      </c>
      <c r="F42" s="52" t="n">
        <v>-178320.81</v>
      </c>
      <c r="G42" s="52" t="n">
        <v>-147932.77</v>
      </c>
      <c r="H42" s="92" t="n">
        <v>-174537.39</v>
      </c>
      <c r="I42" s="53">
        <f>I36-I41</f>
        <v/>
      </c>
      <c r="J42" s="53">
        <f>J36-J41</f>
        <v/>
      </c>
      <c r="K42" s="53">
        <f>K36-K41</f>
        <v/>
      </c>
      <c r="L42" s="53">
        <f>L36-L41</f>
        <v/>
      </c>
      <c r="M42" s="53">
        <f>M36-M41</f>
        <v/>
      </c>
      <c r="N42" s="53">
        <f>N36-N41</f>
        <v/>
      </c>
      <c r="O42" s="53">
        <f>O36-O41</f>
        <v/>
      </c>
      <c r="P42" s="53">
        <f>P36-P41</f>
        <v/>
      </c>
      <c r="Q42" s="53">
        <f>Q36-Q41</f>
        <v/>
      </c>
      <c r="R42" s="53">
        <f>R36-R41</f>
        <v/>
      </c>
      <c r="S42" s="53">
        <f>S36-S41</f>
        <v/>
      </c>
      <c r="T42" s="53">
        <f>T36-T41</f>
        <v/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4" customWidth="1" style="86" min="3" max="3"/>
    <col width="16" customWidth="1" style="86" min="4" max="4"/>
    <col width="14" customWidth="1" style="86" min="5" max="7"/>
  </cols>
  <sheetData>
    <row r="2" ht="21" customHeight="1" s="86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" customHeight="1" s="86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4" t="inlineStr">
        <is>
          <t>West Portal Build-Out</t>
        </is>
      </c>
      <c r="C6" s="74" t="inlineStr">
        <is>
          <t>WP</t>
        </is>
      </c>
      <c r="D6" s="74" t="inlineStr">
        <is>
          <t>WP</t>
        </is>
      </c>
      <c r="E6" s="75" t="n">
        <v>400000</v>
      </c>
      <c r="F6" s="74" t="inlineStr">
        <is>
          <t>2026-07</t>
        </is>
      </c>
      <c r="G6" s="76" t="n">
        <v>2</v>
      </c>
    </row>
    <row r="7">
      <c r="B7" s="74" t="inlineStr">
        <is>
          <t>Santa Monica Redo</t>
        </is>
      </c>
      <c r="C7" s="74" t="inlineStr">
        <is>
          <t>SM</t>
        </is>
      </c>
      <c r="D7" s="74" t="inlineStr">
        <is>
          <t>SM</t>
        </is>
      </c>
      <c r="E7" s="75" t="n">
        <v>35000</v>
      </c>
      <c r="F7" s="74" t="inlineStr">
        <is>
          <t>2026-07</t>
        </is>
      </c>
      <c r="G7" s="76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50" customWidth="1" style="86" min="2" max="2"/>
    <col width="14" customWidth="1" style="86" min="3" max="10"/>
  </cols>
  <sheetData>
    <row r="2" ht="21" customHeight="1" s="86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" customHeight="1" s="86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" customHeight="1" s="86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" customHeight="1" s="86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2026-08-04T13:42:46Z</dcterms:modified>
  <cp:lastModifiedBy>Chandler Clemons</cp:lastModifiedBy>
</cp:coreProperties>
</file>