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4125" windowWidth="24240" windowHeight="13020" tabRatio="600" firstSheet="0" activeTab="1" autoFilterDateGrouping="1"/>
  </bookViews>
  <sheets>
    <sheet xmlns:r="http://schemas.openxmlformats.org/officeDocument/2006/relationships" name="Company Prepared Model&gt;&gt;&gt;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Cover" sheetId="3" state="visible" r:id="rId3"/>
    <sheet xmlns:r="http://schemas.openxmlformats.org/officeDocument/2006/relationships" name="Read M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ales Forecast" sheetId="7" state="visible" r:id="rId7"/>
    <sheet xmlns:r="http://schemas.openxmlformats.org/officeDocument/2006/relationships" name="Cash, Debt &amp; Equity" sheetId="8" state="visible" r:id="rId8"/>
    <sheet xmlns:r="http://schemas.openxmlformats.org/officeDocument/2006/relationships" name="Cash Flow Forecast" sheetId="9" state="visible" r:id="rId9"/>
    <sheet xmlns:r="http://schemas.openxmlformats.org/officeDocument/2006/relationships" name="P&amp;L" sheetId="10" state="visible" r:id="rId10"/>
    <sheet xmlns:r="http://schemas.openxmlformats.org/officeDocument/2006/relationships" name="All Studios Summary" sheetId="11" state="visible" r:id="rId11"/>
    <sheet xmlns:r="http://schemas.openxmlformats.org/officeDocument/2006/relationships" name="BK P&amp;L" sheetId="12" state="visible" r:id="rId12"/>
    <sheet xmlns:r="http://schemas.openxmlformats.org/officeDocument/2006/relationships" name="CC P&amp;L" sheetId="13" state="visible" r:id="rId13"/>
    <sheet xmlns:r="http://schemas.openxmlformats.org/officeDocument/2006/relationships" name="DN P&amp;L" sheetId="14" state="visible" r:id="rId14"/>
    <sheet xmlns:r="http://schemas.openxmlformats.org/officeDocument/2006/relationships" name="LF P&amp;L" sheetId="15" state="visible" r:id="rId15"/>
    <sheet xmlns:r="http://schemas.openxmlformats.org/officeDocument/2006/relationships" name="MR P&amp;L" sheetId="16" state="visible" r:id="rId16"/>
    <sheet xmlns:r="http://schemas.openxmlformats.org/officeDocument/2006/relationships" name="OP P&amp;L" sheetId="17" state="visible" r:id="rId17"/>
    <sheet xmlns:r="http://schemas.openxmlformats.org/officeDocument/2006/relationships" name="PH P&amp;L" sheetId="18" state="visible" r:id="rId18"/>
    <sheet xmlns:r="http://schemas.openxmlformats.org/officeDocument/2006/relationships" name="RH P&amp;L" sheetId="19" state="visible" r:id="rId19"/>
    <sheet xmlns:r="http://schemas.openxmlformats.org/officeDocument/2006/relationships" name="SB P&amp;L" sheetId="20" state="visible" r:id="rId20"/>
    <sheet xmlns:r="http://schemas.openxmlformats.org/officeDocument/2006/relationships" name="SM P&amp;L" sheetId="21" state="visible" r:id="rId21"/>
    <sheet xmlns:r="http://schemas.openxmlformats.org/officeDocument/2006/relationships" name="WP P&amp;L" sheetId="22" state="visible" r:id="rId22"/>
    <sheet xmlns:r="http://schemas.openxmlformats.org/officeDocument/2006/relationships" name="WW P&amp;L" sheetId="23" state="visible" r:id="rId23"/>
    <sheet xmlns:r="http://schemas.openxmlformats.org/officeDocument/2006/relationships" name="HO P&amp;L" sheetId="24" state="visible" r:id="rId24"/>
    <sheet xmlns:r="http://schemas.openxmlformats.org/officeDocument/2006/relationships" name="CapEx" sheetId="25" state="visible" r:id="rId25"/>
    <sheet xmlns:r="http://schemas.openxmlformats.org/officeDocument/2006/relationships" name="QBO Actuals" sheetId="26" state="hidden" r:id="rId26"/>
  </sheets>
  <definedNames/>
  <calcPr calcId="191029" calcMode="autoNoTable" fullCalcOnLoad="1" iterate="1"/>
</workbook>
</file>

<file path=xl/styles.xml><?xml version="1.0" encoding="utf-8"?>
<styleSheet xmlns="http://schemas.openxmlformats.org/spreadsheetml/2006/main">
  <numFmts count="9">
    <numFmt numFmtId="164" formatCode="#,##0;[Red]\(#,##0\);&quot;-&quot;"/>
    <numFmt numFmtId="165" formatCode="0.0%"/>
    <numFmt numFmtId="166" formatCode="#,##0.00\ _€"/>
    <numFmt numFmtId="167" formatCode="_(&quot;$&quot;* #,##0_);_(&quot;$&quot;* \(#,##0\);_(&quot;$&quot;* &quot;-&quot;??_);_(@_)"/>
    <numFmt numFmtId="168" formatCode="0.0\x"/>
    <numFmt numFmtId="169" formatCode="&quot;$&quot;#,##0_);\(&quot;$&quot;#,##0\)"/>
    <numFmt numFmtId="170" formatCode="&quot;$&quot;#,##0_);[Red]\(&quot;$&quot;#,##0\)"/>
    <numFmt numFmtId="171" formatCode="General\P"/>
    <numFmt numFmtId="172" formatCode="General\A"/>
  </numFmts>
  <fonts count="50">
    <font>
      <name val="Calibri"/>
      <family val="2"/>
      <color theme="1"/>
      <sz val="11"/>
      <scheme val="minor"/>
    </font>
    <font>
      <name val="Calibri"/>
      <family val="2"/>
      <b val="1"/>
      <color rgb="FF1B2A4A"/>
      <sz val="24"/>
    </font>
    <font>
      <name val="Calibri"/>
      <family val="2"/>
      <color rgb="FF1B2A4A"/>
      <sz val="18"/>
    </font>
    <font>
      <name val="Calibri"/>
      <family val="2"/>
      <i val="1"/>
      <color rgb="FF666666"/>
      <sz val="10"/>
    </font>
    <font>
      <name val="Calibri"/>
      <family val="2"/>
      <b val="1"/>
      <color rgb="FF1B2A4A"/>
      <sz val="11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b val="1"/>
      <color rgb="FFFFFFFF"/>
      <sz val="12"/>
    </font>
    <font>
      <name val="Calibri"/>
      <family val="2"/>
      <color rgb="FF0000CC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i val="1"/>
      <color rgb="FF999999"/>
      <sz val="11"/>
    </font>
    <font>
      <name val="Calibri"/>
      <family val="2"/>
      <color rgb="FF999999"/>
      <sz val="11"/>
    </font>
    <font>
      <name val="Calibri"/>
      <family val="2"/>
      <sz val="10"/>
    </font>
    <font>
      <name val="Calibri"/>
      <family val="2"/>
      <b val="1"/>
      <color rgb="FF1B2A4A"/>
      <sz val="16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FFFFFF"/>
      <sz val="12"/>
    </font>
    <font>
      <name val="Calibri"/>
      <family val="2"/>
      <b val="1"/>
      <sz val="10"/>
    </font>
    <font>
      <name val="Arial"/>
      <family val="2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indexed="8"/>
      <sz val="11"/>
    </font>
    <font>
      <name val="Calibri"/>
      <family val="2"/>
      <color rgb="FF0000FF"/>
      <sz val="11"/>
    </font>
    <font>
      <name val="Calibri"/>
      <family val="2"/>
      <b val="1"/>
      <color indexed="8"/>
      <sz val="11"/>
    </font>
    <font>
      <name val="Calibri"/>
      <family val="2"/>
      <b val="1"/>
      <color rgb="FF00B050"/>
      <sz val="11"/>
    </font>
    <font>
      <name val="Calibri"/>
      <family val="2"/>
      <b val="1"/>
      <color theme="1"/>
      <sz val="11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00B050"/>
      <sz val="10"/>
    </font>
    <font>
      <name val="Calibri"/>
      <family val="2"/>
      <b val="1"/>
      <color rgb="FFCC9900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B050"/>
      <sz val="10"/>
    </font>
    <font>
      <b val="1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2D5016"/>
        <bgColor rgb="FF2D5016"/>
      </patternFill>
    </fill>
    <fill>
      <patternFill patternType="solid">
        <fgColor rgb="FFD5EAD0"/>
        <bgColor rgb="FFD5EAD0"/>
      </patternFill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2D5016"/>
        <bgColor rgb="FF2D5016"/>
      </patternFill>
    </fill>
    <fill>
      <patternFill patternType="solid">
        <fgColor rgb="FFE8F4E8"/>
        <bgColor rgb="FFE8F4E8"/>
      </patternFill>
    </fill>
    <fill>
      <patternFill patternType="solid">
        <fgColor rgb="FFD6E4F0"/>
        <bgColor rgb="FFD6E4F0"/>
      </patternFill>
    </fill>
    <fill>
      <patternFill patternType="solid">
        <fgColor rgb="FF1B2A4A"/>
        <bgColor rgb="FF1B2A4A"/>
      </patternFill>
    </fill>
    <fill>
      <patternFill patternType="solid">
        <fgColor rgb="FFE8F4E8"/>
        <bgColor rgb="FFE8F4E8"/>
      </patternFill>
    </fill>
    <fill>
      <patternFill patternType="solid">
        <fgColor rgb="FFE8F4E8"/>
        <bgColor rgb="FFE8F4E8"/>
      </patternFill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rgb="FFD5EAD0"/>
        <bgColor rgb="FFD5EAD0"/>
      </patternFill>
    </fill>
    <fill>
      <patternFill patternType="solid">
        <fgColor rgb="FFE8F4E8"/>
        <bgColor rgb="FFE8F4E8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9900"/>
        <bgColor rgb="FF1B2A4A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9" borderId="1" pivotButton="0" quotePrefix="0" xfId="0"/>
    <xf numFmtId="164" fontId="5" fillId="5" borderId="1" pivotButton="0" quotePrefix="0" xfId="0"/>
    <xf numFmtId="0" fontId="6" fillId="0" borderId="0" applyAlignment="1" pivotButton="0" quotePrefix="0" xfId="0">
      <alignment horizontal="left" vertical="center"/>
    </xf>
    <xf numFmtId="164" fontId="6" fillId="3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164" fontId="5" fillId="5" borderId="0" pivotButton="0" quotePrefix="0" xfId="0"/>
    <xf numFmtId="164" fontId="0" fillId="0" borderId="0" pivotButton="0" quotePrefix="0" xfId="0"/>
    <xf numFmtId="49" fontId="9" fillId="2" borderId="1" pivotButton="0" quotePrefix="0" xfId="0"/>
    <xf numFmtId="3" fontId="9" fillId="2" borderId="1" pivotButton="0" quotePrefix="0" xfId="0"/>
    <xf numFmtId="0" fontId="5" fillId="5" borderId="0" applyAlignment="1" pivotButton="0" quotePrefix="0" xfId="0">
      <alignment horizontal="center" vertical="center"/>
    </xf>
    <xf numFmtId="165" fontId="9" fillId="2" borderId="1" pivotButton="0" quotePrefix="0" xfId="0"/>
    <xf numFmtId="165" fontId="5" fillId="5" borderId="1" pivotButton="0" quotePrefix="0" xfId="0"/>
    <xf numFmtId="10" fontId="9" fillId="2" borderId="1" pivotButton="0" quotePrefix="0" xfId="0"/>
    <xf numFmtId="164" fontId="9" fillId="2" borderId="1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164" fontId="5" fillId="3" borderId="1" pivotButton="0" quotePrefix="0" xfId="0"/>
    <xf numFmtId="164" fontId="5" fillId="7" borderId="1" pivotButton="0" quotePrefix="0" xfId="0"/>
    <xf numFmtId="164" fontId="5" fillId="0" borderId="1" pivotButton="0" quotePrefix="0" xfId="0"/>
    <xf numFmtId="0" fontId="0" fillId="2" borderId="1" pivotButton="0" quotePrefix="0" xfId="0"/>
    <xf numFmtId="0" fontId="17" fillId="0" borderId="0" pivotButton="0" quotePrefix="0" xfId="0"/>
    <xf numFmtId="164" fontId="17" fillId="13" borderId="2" pivotButton="0" quotePrefix="0" xfId="0"/>
    <xf numFmtId="164" fontId="17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15" fillId="14" borderId="0" applyAlignment="1" pivotButton="0" quotePrefix="0" xfId="0">
      <alignment horizontal="left" vertical="center"/>
    </xf>
    <xf numFmtId="0" fontId="0" fillId="14" borderId="0" pivotButton="0" quotePrefix="0" xfId="0"/>
    <xf numFmtId="164" fontId="15" fillId="13" borderId="2" pivotButton="0" quotePrefix="0" xfId="0"/>
    <xf numFmtId="164" fontId="15" fillId="14" borderId="2" pivotButton="0" quotePrefix="0" xfId="0"/>
    <xf numFmtId="0" fontId="18" fillId="0" borderId="0" pivotButton="0" quotePrefix="0" xfId="0"/>
    <xf numFmtId="164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24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164" fontId="20" fillId="0" borderId="3" pivotButton="0" quotePrefix="0" xfId="0"/>
    <xf numFmtId="164" fontId="6" fillId="16" borderId="4" pivotButton="0" quotePrefix="0" xfId="0"/>
    <xf numFmtId="164" fontId="25" fillId="16" borderId="4" pivotButton="0" quotePrefix="0" xfId="0"/>
    <xf numFmtId="0" fontId="27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8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164" fontId="0" fillId="17" borderId="0" pivotButton="0" quotePrefix="0" xfId="0"/>
    <xf numFmtId="164" fontId="28" fillId="19" borderId="0" pivotButton="0" quotePrefix="0" xfId="0"/>
    <xf numFmtId="164" fontId="28" fillId="20" borderId="0" pivotButton="0" quotePrefix="0" xfId="0"/>
    <xf numFmtId="0" fontId="26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64" fontId="6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5" fillId="5" borderId="5" pivotButton="0" quotePrefix="0" xfId="0"/>
    <xf numFmtId="164" fontId="5" fillId="5" borderId="6" pivotButton="0" quotePrefix="0" xfId="0"/>
    <xf numFmtId="165" fontId="5" fillId="0" borderId="7" pivotButton="0" quotePrefix="0" xfId="0"/>
    <xf numFmtId="165" fontId="5" fillId="0" borderId="8" pivotButton="0" quotePrefix="0" xfId="0"/>
    <xf numFmtId="3" fontId="19" fillId="0" borderId="0" pivotButton="0" quotePrefix="0" xfId="0"/>
    <xf numFmtId="164" fontId="6" fillId="21" borderId="9" pivotButton="0" quotePrefix="0" xfId="0"/>
    <xf numFmtId="164" fontId="5" fillId="21" borderId="9" pivotButton="0" quotePrefix="0" xfId="0"/>
    <xf numFmtId="17" fontId="11" fillId="6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166" fontId="29" fillId="0" borderId="0" applyAlignment="1" pivotButton="0" quotePrefix="0" xfId="0">
      <alignment horizontal="right" wrapText="1"/>
    </xf>
    <xf numFmtId="167" fontId="0" fillId="22" borderId="0" pivotButton="0" quotePrefix="0" xfId="0"/>
    <xf numFmtId="164" fontId="17" fillId="22" borderId="2" pivotButton="0" quotePrefix="0" xfId="0"/>
    <xf numFmtId="0" fontId="31" fillId="23" borderId="10" pivotButton="0" quotePrefix="0" xfId="0"/>
    <xf numFmtId="0" fontId="32" fillId="0" borderId="0" pivotButton="0" quotePrefix="0" xfId="0"/>
    <xf numFmtId="0" fontId="33" fillId="0" borderId="11" pivotButton="0" quotePrefix="0" xfId="0"/>
    <xf numFmtId="0" fontId="34" fillId="0" borderId="11" pivotButton="0" quotePrefix="0" xfId="0"/>
    <xf numFmtId="0" fontId="33" fillId="0" borderId="0" pivotButton="0" quotePrefix="0" xfId="0"/>
    <xf numFmtId="0" fontId="34" fillId="0" borderId="0" pivotButton="0" quotePrefix="0" xfId="0"/>
    <xf numFmtId="168" fontId="35" fillId="0" borderId="0" pivotButton="0" quotePrefix="0" xfId="0"/>
    <xf numFmtId="0" fontId="36" fillId="0" borderId="0" pivotButton="0" quotePrefix="0" xfId="0"/>
    <xf numFmtId="0" fontId="38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0" fontId="30" fillId="0" borderId="0" pivotButton="0" quotePrefix="0" xfId="0"/>
    <xf numFmtId="169" fontId="30" fillId="0" borderId="0" pivotButton="0" quotePrefix="0" xfId="0"/>
    <xf numFmtId="0" fontId="40" fillId="0" borderId="0" pivotButton="0" quotePrefix="0" xfId="0"/>
    <xf numFmtId="170" fontId="0" fillId="0" borderId="0" pivotButton="0" quotePrefix="0" xfId="0"/>
    <xf numFmtId="169" fontId="0" fillId="0" borderId="11" pivotButton="0" quotePrefix="0" xfId="0"/>
    <xf numFmtId="0" fontId="30" fillId="0" borderId="0" applyAlignment="1" pivotButton="0" quotePrefix="0" xfId="0">
      <alignment horizontal="left" indent="1"/>
    </xf>
    <xf numFmtId="171" fontId="11" fillId="6" borderId="0" applyAlignment="1" pivotButton="0" quotePrefix="0" xfId="0">
      <alignment horizontal="center" vertical="center"/>
    </xf>
    <xf numFmtId="172" fontId="11" fillId="8" borderId="0" applyAlignment="1" pivotButton="0" quotePrefix="0" xfId="0">
      <alignment horizontal="center" vertical="center"/>
    </xf>
    <xf numFmtId="169" fontId="41" fillId="0" borderId="0" pivotButton="0" quotePrefix="0" xfId="0"/>
    <xf numFmtId="170" fontId="41" fillId="0" borderId="11" pivotButton="0" quotePrefix="0" xfId="0"/>
    <xf numFmtId="170" fontId="43" fillId="0" borderId="11" pivotButton="0" quotePrefix="0" xfId="0"/>
    <xf numFmtId="169" fontId="43" fillId="0" borderId="0" pivotButton="0" quotePrefix="0" xfId="0"/>
    <xf numFmtId="0" fontId="0" fillId="0" borderId="0" applyAlignment="1" pivotButton="0" quotePrefix="0" xfId="0">
      <alignment horizontal="center"/>
    </xf>
    <xf numFmtId="0" fontId="0" fillId="24" borderId="0" pivotButton="0" quotePrefix="0" xfId="0"/>
    <xf numFmtId="0" fontId="0" fillId="23" borderId="0" pivotButton="0" quotePrefix="0" xfId="0"/>
    <xf numFmtId="170" fontId="0" fillId="23" borderId="0" pivotButton="0" quotePrefix="0" xfId="0"/>
    <xf numFmtId="164" fontId="44" fillId="2" borderId="1" pivotButton="0" quotePrefix="0" xfId="0"/>
    <xf numFmtId="164" fontId="6" fillId="3" borderId="9" pivotButton="0" quotePrefix="0" xfId="0"/>
    <xf numFmtId="164" fontId="9" fillId="2" borderId="9" pivotButton="0" quotePrefix="0" xfId="0"/>
    <xf numFmtId="0" fontId="45" fillId="0" borderId="0" applyAlignment="1" pivotButton="0" quotePrefix="0" xfId="0">
      <alignment horizontal="left" vertical="center"/>
    </xf>
    <xf numFmtId="0" fontId="8" fillId="25" borderId="0" applyAlignment="1" pivotButton="0" quotePrefix="0" xfId="0">
      <alignment horizontal="left" vertical="center"/>
    </xf>
    <xf numFmtId="0" fontId="0" fillId="25" borderId="0" pivotButton="0" quotePrefix="0" xfId="0"/>
    <xf numFmtId="169" fontId="39" fillId="0" borderId="0" pivotButton="0" quotePrefix="0" xfId="0"/>
    <xf numFmtId="170" fontId="30" fillId="0" borderId="0" pivotButton="0" quotePrefix="0" xfId="0"/>
    <xf numFmtId="170" fontId="42" fillId="0" borderId="0" pivotButton="0" quotePrefix="0" xfId="0"/>
    <xf numFmtId="9" fontId="39" fillId="0" borderId="0" pivotButton="0" quotePrefix="0" xfId="0"/>
    <xf numFmtId="164" fontId="6" fillId="2" borderId="9" pivotButton="0" quotePrefix="0" xfId="0"/>
    <xf numFmtId="37" fontId="37" fillId="0" borderId="11" pivotButton="0" quotePrefix="0" xfId="0"/>
    <xf numFmtId="9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30" fillId="0" borderId="0" pivotButton="0" quotePrefix="0" xfId="0"/>
    <xf numFmtId="168" fontId="0" fillId="0" borderId="0" pivotButton="0" quotePrefix="0" xfId="0"/>
    <xf numFmtId="0" fontId="30" fillId="0" borderId="0" applyAlignment="1" pivotButton="0" quotePrefix="0" xfId="0">
      <alignment horizontal="center"/>
    </xf>
    <xf numFmtId="171" fontId="3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70" fontId="46" fillId="0" borderId="0" pivotButton="0" quotePrefix="0" xfId="0"/>
    <xf numFmtId="168" fontId="0" fillId="0" borderId="0" applyAlignment="1" pivotButton="0" quotePrefix="0" xfId="0">
      <alignment horizontal="right"/>
    </xf>
    <xf numFmtId="164" fontId="6" fillId="2" borderId="1" pivotButton="0" quotePrefix="0" xfId="0"/>
    <xf numFmtId="164" fontId="47" fillId="2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  <xf numFmtId="169" fontId="38" fillId="0" borderId="0" pivotButton="0" quotePrefix="0" xfId="0"/>
    <xf numFmtId="169" fontId="0" fillId="0" borderId="0" pivotButton="0" quotePrefix="0" xfId="0"/>
    <xf numFmtId="169" fontId="39" fillId="0" borderId="0" pivotButton="0" quotePrefix="0" xfId="0"/>
    <xf numFmtId="169" fontId="43" fillId="0" borderId="0" pivotButton="0" quotePrefix="0" xfId="0"/>
    <xf numFmtId="169" fontId="41" fillId="0" borderId="0" pivotButton="0" quotePrefix="0" xfId="0"/>
    <xf numFmtId="170" fontId="43" fillId="0" borderId="11" pivotButton="0" quotePrefix="0" xfId="0"/>
    <xf numFmtId="169" fontId="30" fillId="0" borderId="0" pivotButton="0" quotePrefix="0" xfId="0"/>
    <xf numFmtId="169" fontId="0" fillId="0" borderId="11" pivotButton="0" quotePrefix="0" xfId="0"/>
    <xf numFmtId="171" fontId="30" fillId="0" borderId="0" applyAlignment="1" pivotButton="0" quotePrefix="0" xfId="0">
      <alignment horizontal="center"/>
    </xf>
    <xf numFmtId="0" fontId="48" fillId="0" borderId="0" pivotButton="0" quotePrefix="0" xfId="0"/>
    <xf numFmtId="0" fontId="49" fillId="0" borderId="0" pivotButton="0" quotePrefix="0" xfId="0"/>
    <xf numFmtId="0" fontId="0" fillId="0" borderId="0" applyAlignment="1" pivotButton="0" quotePrefix="0" xfId="0">
      <alignment vertical="top" wrapText="1"/>
    </xf>
    <xf numFmtId="172" fontId="11" fillId="8" borderId="0" applyAlignment="1" pivotButton="0" quotePrefix="0" xfId="0">
      <alignment horizontal="center" vertical="center"/>
    </xf>
    <xf numFmtId="171" fontId="11" fillId="6" borderId="0" applyAlignment="1" pivotButton="0" quotePrefix="0" xfId="0">
      <alignment horizontal="center" vertical="center"/>
    </xf>
    <xf numFmtId="170" fontId="0" fillId="23" borderId="0" pivotButton="0" quotePrefix="0" xfId="0"/>
    <xf numFmtId="170" fontId="42" fillId="0" borderId="0" pivotButton="0" quotePrefix="0" xfId="0"/>
    <xf numFmtId="170" fontId="0" fillId="0" borderId="0" pivotButton="0" quotePrefix="0" xfId="0"/>
    <xf numFmtId="170" fontId="41" fillId="0" borderId="11" pivotButton="0" quotePrefix="0" xfId="0"/>
    <xf numFmtId="170" fontId="30" fillId="0" borderId="0" pivotButton="0" quotePrefix="0" xfId="0"/>
    <xf numFmtId="170" fontId="4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CC9900"/>
    <outlinePr summaryBelow="1" summaryRight="1"/>
    <pageSetUpPr/>
  </sheetPr>
  <dimension ref="B2:G29"/>
  <sheetViews>
    <sheetView showGridLines="0" tabSelected="1" zoomScale="80" zoomScaleNormal="80" workbookViewId="0">
      <selection activeCell="A1" sqref="A1"/>
    </sheetView>
  </sheetViews>
  <sheetFormatPr baseColWidth="8" defaultRowHeight="14.25"/>
  <cols>
    <col width="62.33203125" customWidth="1" style="142" min="2" max="2"/>
    <col width="18.19921875" customWidth="1" style="142" min="3" max="7"/>
  </cols>
  <sheetData>
    <row r="1" ht="14.65" customHeight="1" s="142" thickBot="1"/>
    <row r="2" ht="14.65" customHeight="1" s="142" thickBot="1">
      <c r="B2" s="91" t="inlineStr">
        <is>
          <t>NOTE: Model assumes transaction closes on Sept 1, 2026</t>
        </is>
      </c>
    </row>
    <row r="3">
      <c r="B3" s="92" t="n"/>
    </row>
    <row r="4">
      <c r="B4" s="93" t="inlineStr">
        <is>
          <t>Entry Valuation</t>
        </is>
      </c>
      <c r="C4" s="94" t="n"/>
    </row>
    <row r="5" ht="2.55" customHeight="1" s="142">
      <c r="B5" s="95" t="n"/>
      <c r="C5" s="96" t="n"/>
    </row>
    <row r="6">
      <c r="B6" s="96" t="inlineStr">
        <is>
          <t>EBITDA Multiple</t>
        </is>
      </c>
      <c r="C6" s="97" t="n">
        <v>5.5</v>
      </c>
    </row>
    <row r="7">
      <c r="B7" s="98" t="inlineStr">
        <is>
          <t>LTM May 2026 Studio Level EBITDA</t>
        </is>
      </c>
      <c r="C7" s="129">
        <f>SUM(Summary!BF23:BF34)</f>
        <v/>
      </c>
    </row>
    <row r="8">
      <c r="B8" s="99" t="inlineStr">
        <is>
          <t>Pre Money TEV</t>
        </is>
      </c>
      <c r="C8" s="143">
        <f>C7*C6</f>
        <v/>
      </c>
    </row>
    <row r="9">
      <c r="C9" s="144" t="n"/>
    </row>
    <row r="10">
      <c r="B10" s="93" t="inlineStr">
        <is>
          <t>Sources and Uses</t>
        </is>
      </c>
      <c r="C10" s="94" t="n"/>
    </row>
    <row r="11">
      <c r="B11" s="104" t="inlineStr">
        <is>
          <t>Uses</t>
        </is>
      </c>
    </row>
    <row r="12">
      <c r="B12" t="inlineStr">
        <is>
          <t>Pre Money TEV</t>
        </is>
      </c>
      <c r="C12" s="144">
        <f>C8</f>
        <v/>
      </c>
    </row>
    <row r="13">
      <c r="B13" t="inlineStr">
        <is>
          <t>Existing Debt Paydown (at August 2026)</t>
        </is>
      </c>
      <c r="C13" s="145">
        <f>'Cash, Debt &amp; Equity'!W26</f>
        <v/>
      </c>
    </row>
    <row r="14">
      <c r="B14" t="inlineStr">
        <is>
          <t>Cash on balance sheet for working capital, studio buildouts, etc.</t>
        </is>
      </c>
      <c r="C14" s="146">
        <f>C17-SUM(C12,C16,C15,C13)</f>
        <v/>
      </c>
    </row>
    <row r="15">
      <c r="B15" t="inlineStr">
        <is>
          <t>Legal Fees</t>
        </is>
      </c>
      <c r="C15" s="147" t="n">
        <v>50000</v>
      </c>
    </row>
    <row r="16">
      <c r="B16" t="inlineStr">
        <is>
          <t>Financing Fees (2% of raise)</t>
        </is>
      </c>
      <c r="C16" s="148">
        <f>D16*C20</f>
        <v/>
      </c>
      <c r="D16" s="130" t="n">
        <v>0.02</v>
      </c>
      <c r="E16" s="131" t="inlineStr">
        <is>
          <t>&lt;&lt;&lt; Fee</t>
        </is>
      </c>
    </row>
    <row r="17">
      <c r="B17" s="107" t="inlineStr">
        <is>
          <t>Total Uses</t>
        </is>
      </c>
      <c r="C17" s="149">
        <f>C22</f>
        <v/>
      </c>
      <c r="D17" s="114" t="n"/>
      <c r="E17" s="131" t="n"/>
    </row>
    <row r="18">
      <c r="D18" s="114" t="n"/>
      <c r="E18" s="131" t="n"/>
    </row>
    <row r="19">
      <c r="B19" s="104" t="inlineStr">
        <is>
          <t>Sources</t>
        </is>
      </c>
      <c r="D19" s="114" t="n"/>
      <c r="E19" s="131" t="n"/>
    </row>
    <row r="20">
      <c r="B20" t="inlineStr">
        <is>
          <t>New Debt (leasehold, certain amount covers losses)</t>
        </is>
      </c>
      <c r="C20" s="147" t="n">
        <v>1500000</v>
      </c>
      <c r="D20" s="130" t="n">
        <v>0.1</v>
      </c>
      <c r="E20" s="131" t="inlineStr">
        <is>
          <t>&lt;&lt;&lt; Cash Interest, paid monthly</t>
        </is>
      </c>
    </row>
    <row r="21">
      <c r="B21" t="inlineStr">
        <is>
          <t>Management Rollover</t>
        </is>
      </c>
      <c r="C21" s="150">
        <f>C12</f>
        <v/>
      </c>
    </row>
    <row r="22">
      <c r="B22" s="107" t="inlineStr">
        <is>
          <t>Total Uses</t>
        </is>
      </c>
      <c r="C22" s="149">
        <f>SUM(C20:C21)</f>
        <v/>
      </c>
    </row>
    <row r="24">
      <c r="B24" s="93" t="inlineStr">
        <is>
          <t>Debt Service Coverage Metrics</t>
        </is>
      </c>
      <c r="C24" s="94" t="n"/>
      <c r="D24" s="94" t="n"/>
      <c r="E24" s="94" t="n"/>
      <c r="F24" s="94" t="n"/>
    </row>
    <row r="25">
      <c r="C25" s="134" t="inlineStr">
        <is>
          <t>LTM May 2026</t>
        </is>
      </c>
      <c r="D25" s="151" t="n">
        <v>2026</v>
      </c>
      <c r="E25" s="151">
        <f>D25+1</f>
        <v/>
      </c>
      <c r="F25" s="151">
        <f>E25+1</f>
        <v/>
      </c>
      <c r="G25" s="114" t="n"/>
    </row>
    <row r="26">
      <c r="B26">
        <f>'Cash Flow Forecast'!B55</f>
        <v/>
      </c>
      <c r="C26" s="136">
        <f>'Cash Flow Forecast'!BF55</f>
        <v/>
      </c>
      <c r="D26" s="136">
        <f>'Cash Flow Forecast'!BB55</f>
        <v/>
      </c>
      <c r="E26" s="136">
        <f>'Cash Flow Forecast'!BC55</f>
        <v/>
      </c>
      <c r="F26" s="136">
        <f>'Cash Flow Forecast'!BD55</f>
        <v/>
      </c>
      <c r="G26" s="114" t="n"/>
    </row>
    <row r="27">
      <c r="B27">
        <f>'Cash Flow Forecast'!B56</f>
        <v/>
      </c>
      <c r="C27" s="136">
        <f>'Cash Flow Forecast'!BF56</f>
        <v/>
      </c>
      <c r="D27" s="136">
        <f>'Cash Flow Forecast'!BB56</f>
        <v/>
      </c>
      <c r="E27" s="136">
        <f>'Cash Flow Forecast'!BC56</f>
        <v/>
      </c>
      <c r="F27" s="136">
        <f>'Cash Flow Forecast'!BD56</f>
        <v/>
      </c>
      <c r="G27" s="114" t="n"/>
    </row>
    <row r="28">
      <c r="B28">
        <f>'Cash Flow Forecast'!B57</f>
        <v/>
      </c>
      <c r="C28" s="136">
        <f>'Cash Flow Forecast'!BF57</f>
        <v/>
      </c>
      <c r="D28" s="136">
        <f>'Cash Flow Forecast'!BB57</f>
        <v/>
      </c>
      <c r="E28" s="136">
        <f>'Cash Flow Forecast'!BC57</f>
        <v/>
      </c>
      <c r="F28" s="136">
        <f>'Cash Flow Forecast'!BD57</f>
        <v/>
      </c>
      <c r="G28" s="114" t="n"/>
    </row>
    <row r="29">
      <c r="B29">
        <f>'Cash Flow Forecast'!B58</f>
        <v/>
      </c>
      <c r="C29" s="136">
        <f>'Cash Flow Forecast'!BF58</f>
        <v/>
      </c>
      <c r="D29" s="136">
        <f>IFERROR('Cash Flow Forecast'!BB58,"NA")</f>
        <v/>
      </c>
      <c r="E29" s="136">
        <f>'Cash Flow Forecast'!BC58</f>
        <v/>
      </c>
      <c r="F29" s="136">
        <f>'Cash Flow Forecast'!BD58</f>
        <v/>
      </c>
      <c r="G29" s="1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B2:C25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90" customWidth="1" style="142" min="2" max="2"/>
    <col width="70" customWidth="1" style="142" min="3" max="3"/>
  </cols>
  <sheetData>
    <row r="2" ht="31.05" customHeight="1" s="142">
      <c r="B2" s="1" t="inlineStr">
        <is>
          <t>Mighty Pilates</t>
        </is>
      </c>
    </row>
    <row r="3" ht="24" customHeight="1" s="142">
      <c r="B3" s="2" t="inlineStr">
        <is>
          <t>Financial Model</t>
        </is>
      </c>
    </row>
    <row r="5">
      <c r="B5" s="3" t="inlineStr">
        <is>
          <t>Last refreshed: June 23, 2026</t>
        </is>
      </c>
    </row>
    <row r="7">
      <c r="B7" s="4" t="inlineStr">
        <is>
          <t>Tab Guide</t>
        </is>
      </c>
    </row>
    <row r="9">
      <c r="B9" s="5" t="inlineStr">
        <is>
          <t>Summary &amp; Controls</t>
        </is>
      </c>
      <c r="C9" s="6" t="inlineStr">
        <is>
          <t>Top-level KPIs, studio sales &amp; EBITDA tables, charts</t>
        </is>
      </c>
    </row>
    <row r="10">
      <c r="B10" s="5" t="inlineStr">
        <is>
          <t>Assumptions</t>
        </is>
      </c>
      <c r="C10" s="6" t="inlineStr">
        <is>
          <t>All model inputs: OpEx, sales forecast, rev rec curves, loan terms</t>
        </is>
      </c>
    </row>
    <row r="11">
      <c r="B11" s="5" t="inlineStr">
        <is>
          <t>Cash Flow Forecast</t>
        </is>
      </c>
      <c r="C11" s="6" t="inlineStr">
        <is>
          <t>Monthly cash flow from operations + investing + financing</t>
        </is>
      </c>
    </row>
    <row r="12">
      <c r="B12" s="5" t="inlineStr">
        <is>
          <t>P&amp;L Summary</t>
        </is>
      </c>
      <c r="C12" s="6" t="inlineStr">
        <is>
          <t>Consolidated monthly P&amp;L (Revenue → EBITDA)</t>
        </is>
      </c>
    </row>
    <row r="13">
      <c r="B13" s="5" t="inlineStr">
        <is>
          <t>P&amp;L Detail</t>
        </is>
      </c>
      <c r="C13" s="6" t="inlineStr">
        <is>
          <t>Account-level P&amp;L matching accountant chart of accounts</t>
        </is>
      </c>
    </row>
    <row r="14">
      <c r="B14" s="5" t="inlineStr">
        <is>
          <t>All Studios Summary</t>
        </is>
      </c>
      <c r="C14" s="6" t="inlineStr">
        <is>
          <t>Side-by-side studio comparison</t>
        </is>
      </c>
    </row>
    <row r="15">
      <c r="B15" s="5" t="inlineStr">
        <is>
          <t>[Studio] FCST (×12)</t>
        </is>
      </c>
      <c r="C15" s="6" t="inlineStr">
        <is>
          <t>Per-studio P&amp;L forecast (BK, CC, DN, LF, MR, OP, PH, RH, SB, SM, WP, WW)</t>
        </is>
      </c>
    </row>
    <row r="16">
      <c r="B16" s="5" t="inlineStr">
        <is>
          <t>Cash, Debt &amp; Equity</t>
        </is>
      </c>
      <c r="C16" s="6" t="inlineStr">
        <is>
          <t>Balance sheet, loan amortization schedules, equity tracking</t>
        </is>
      </c>
    </row>
    <row r="17">
      <c r="B17" s="5" t="inlineStr">
        <is>
          <t>Sales Forecast</t>
        </is>
      </c>
      <c r="C17" s="6" t="inlineStr">
        <is>
          <t>Studio × month editable sales grid</t>
        </is>
      </c>
    </row>
    <row r="18">
      <c r="B18" s="5" t="inlineStr">
        <is>
          <t>CapEx</t>
        </is>
      </c>
      <c r="C18" s="6" t="inlineStr">
        <is>
          <t>Capital expenditure project schedule</t>
        </is>
      </c>
    </row>
    <row r="19">
      <c r="B19" s="5" t="inlineStr">
        <is>
          <t>QBO Actuals</t>
        </is>
      </c>
      <c r="C19" s="6" t="inlineStr">
        <is>
          <t>Historical accountant-booked P&amp;L, BS, SCF (read-only)</t>
        </is>
      </c>
    </row>
    <row r="22">
      <c r="B22" s="4" t="inlineStr">
        <is>
          <t>Conventions</t>
        </is>
      </c>
    </row>
    <row r="24">
      <c r="B24" s="7" t="inlineStr">
        <is>
          <t>Yellow cells = inputs (edit these)</t>
        </is>
      </c>
    </row>
    <row r="25">
      <c r="B25" s="8" t="inlineStr">
        <is>
          <t>Light green cells = actuals (closed months, do not edit)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C50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13" customWidth="1" style="142" min="1" max="1"/>
    <col width="30" customWidth="1" style="142" min="2" max="2"/>
    <col width="100" customWidth="1" style="142" min="3" max="3"/>
  </cols>
  <sheetData>
    <row r="2" ht="21" customHeight="1" s="142">
      <c r="B2" s="56" t="inlineStr">
        <is>
          <t>Read Me — Model Architecture</t>
        </is>
      </c>
    </row>
    <row r="3">
      <c r="B3" s="57" t="inlineStr">
        <is>
          <t>Last refreshed: June 23, 2026</t>
        </is>
      </c>
    </row>
    <row r="5" ht="16.05" customHeight="1" s="142">
      <c r="B5" s="58" t="inlineStr">
        <is>
          <t>Tab Roles</t>
        </is>
      </c>
      <c r="C5" s="59" t="n"/>
    </row>
    <row r="6" ht="15" customHeight="1" s="142">
      <c r="B6" s="60" t="inlineStr">
        <is>
          <t>Summary &amp; Controls</t>
        </is>
      </c>
      <c r="C6" s="61" t="inlineStr">
        <is>
          <t>Top-level dashboard. Sales + EBITDA by studio. Total EBITDA references P&amp;L NOI directly.</t>
        </is>
      </c>
    </row>
    <row r="7" ht="30" customHeight="1" s="142">
      <c r="B7" s="60" t="inlineStr">
        <is>
          <t>Assumptions</t>
        </is>
      </c>
      <c r="C7" s="61" t="inlineStr">
        <is>
          <t>Editable global parameters: rev rec curves, refund/discount/COGS rates, escalations, loan terms.</t>
        </is>
      </c>
    </row>
    <row r="8" ht="30" customHeight="1" s="142">
      <c r="B8" s="60" t="inlineStr">
        <is>
          <t>Sales Forecast</t>
        </is>
      </c>
      <c r="C8" s="61" t="inlineStr">
        <is>
          <t>Per-studio × month sales grid. EDITABLE for forecast months (yellow). Drives revenue formulas. Hidden rows 101-113 hold 2025 history for lag formulas — do not delete.</t>
        </is>
      </c>
    </row>
    <row r="9" ht="15" customHeight="1" s="142">
      <c r="B9" s="60" t="inlineStr">
        <is>
          <t>Cash, Debt &amp; Equity</t>
        </is>
      </c>
      <c r="C9" s="61" t="inlineStr">
        <is>
          <t>Loan amortization schedule + debt service forecast.</t>
        </is>
      </c>
    </row>
    <row r="10" ht="15" customHeight="1" s="142">
      <c r="B10" s="60" t="inlineStr">
        <is>
          <t>Cash Flow Forecast</t>
        </is>
      </c>
      <c r="C10" s="61" t="inlineStr">
        <is>
          <t>Monthly CF with operating/investing/financing.</t>
        </is>
      </c>
    </row>
    <row r="11" ht="30" customHeight="1" s="142">
      <c r="B11" s="60" t="inlineStr">
        <is>
          <t>P&amp;L (Consolidated)</t>
        </is>
      </c>
      <c r="C11" s="61" t="inlineStr">
        <is>
          <t>Consolidated monthly P&amp;L. Revenue/COGS use direct lag formulas (with 2025 history). OpEx rows = SUM(per-studio) + HO + HO Other.</t>
        </is>
      </c>
    </row>
    <row r="12" ht="15" customHeight="1" s="142">
      <c r="B12" s="60" t="inlineStr">
        <is>
          <t>All Studios Summary</t>
        </is>
      </c>
      <c r="C12" s="61" t="inlineStr">
        <is>
          <t>Side-by-side studio comparison.</t>
        </is>
      </c>
    </row>
    <row r="13" ht="45" customHeight="1" s="142">
      <c r="B13" s="60" t="inlineStr">
        <is>
          <t>[Code] P&amp;L (×12)</t>
        </is>
      </c>
      <c r="C13" s="61" t="inlineStr">
        <is>
          <t>Per-studio P&amp;L: BK, CC, DN, LF, MR, OP, PH, RH, SB, SM, WP, WW. OpEx leaves are HARDCODED values (editable) summing to per-studio override. Revenue formulas use per-studio lag (2026+ from Sales Forecast, 2025 from hidden helper rows 102-113).</t>
        </is>
      </c>
    </row>
    <row r="14" ht="30" customHeight="1" s="142">
      <c r="B14" s="60" t="inlineStr">
        <is>
          <t>HO P&amp;L</t>
        </is>
      </c>
      <c r="C14" s="61" t="inlineStr">
        <is>
          <t>Head Office overhead (no revenue). Same leaf-summing structure. NOI is negative (= -Total OpEx).</t>
        </is>
      </c>
    </row>
    <row r="15" ht="15" customHeight="1" s="142">
      <c r="B15" s="60" t="inlineStr">
        <is>
          <t>CapEx</t>
        </is>
      </c>
      <c r="C15" s="61" t="inlineStr">
        <is>
          <t>Project schedule (empty — add projects to populate Investing rows on CF).</t>
        </is>
      </c>
    </row>
    <row r="16" ht="15" customHeight="1" s="142">
      <c r="B16" s="60" t="inlineStr">
        <is>
          <t>QBO Actuals</t>
        </is>
      </c>
      <c r="C16" s="61" t="inlineStr">
        <is>
          <t>Raw accountant-booked P&amp;L/BS/SCF data. Read-only reference.</t>
        </is>
      </c>
    </row>
    <row r="18" ht="16.05" customHeight="1" s="142">
      <c r="B18" s="58" t="inlineStr">
        <is>
          <t>Cell Conventions</t>
        </is>
      </c>
      <c r="C18" s="59" t="n"/>
    </row>
    <row r="19" ht="15" customHeight="1" s="142">
      <c r="B19" s="60" t="inlineStr">
        <is>
          <t>Yellow fill (FFFF99)</t>
        </is>
      </c>
      <c r="C19" s="61" t="inlineStr">
        <is>
          <t>EDITABLE input cell. Cat can change these.</t>
        </is>
      </c>
    </row>
    <row r="20" ht="15" customHeight="1" s="142">
      <c r="B20" s="60" t="inlineStr">
        <is>
          <t>Light green fill</t>
        </is>
      </c>
      <c r="C20" s="61" t="inlineStr">
        <is>
          <t>Hardcoded actual from QBO/accountant. Do not edit (would diverge from source data).</t>
        </is>
      </c>
    </row>
    <row r="21" ht="15" customHeight="1" s="142">
      <c r="B21" s="60" t="inlineStr">
        <is>
          <t>White/no fill</t>
        </is>
      </c>
      <c r="C21" s="61" t="inlineStr">
        <is>
          <t>Formula cell. Computed from other cells.</t>
        </is>
      </c>
    </row>
    <row r="22" ht="15" customHeight="1" s="142">
      <c r="B22" s="60" t="inlineStr">
        <is>
          <t>Light blue fill</t>
        </is>
      </c>
      <c r="C22" s="61" t="inlineStr">
        <is>
          <t>Subtotal or total row.</t>
        </is>
      </c>
    </row>
    <row r="23" ht="15" customHeight="1" s="142">
      <c r="B23" s="60" t="inlineStr">
        <is>
          <t>Bold green fill</t>
        </is>
      </c>
      <c r="C23" s="61" t="inlineStr">
        <is>
          <t>Key KPI (EBITDA, ending cash).</t>
        </is>
      </c>
    </row>
    <row r="25" ht="16.05" customHeight="1" s="142">
      <c r="B25" s="58" t="inlineStr">
        <is>
          <t>Value Flow</t>
        </is>
      </c>
      <c r="C25" s="59" t="n"/>
    </row>
    <row r="26" ht="45" customHeight="1" s="142">
      <c r="B26" s="60" t="inlineStr">
        <is>
          <t>Sales edit</t>
        </is>
      </c>
      <c r="C26" s="61" t="inlineStr">
        <is>
          <t>Edit Sales Forecast cell → flows to: Studio P&amp;L Sessions/Breakage (via lag formula) → Studio NOI → Summary &amp; Controls studio row → Sales Forecast TOTAL row → Consolidated P&amp;L revenue → Consolidated NOI → Summary &amp; Controls Total EBITDA.</t>
        </is>
      </c>
    </row>
    <row r="27" ht="60" customHeight="1" s="142">
      <c r="B27" s="60" t="inlineStr">
        <is>
          <t>OpEx leaf edit</t>
        </is>
      </c>
      <c r="C27" s="61" t="inlineStr">
        <is>
          <t>Edit per-studio OpEx leaf (e.g., BK Paid Ads) → Studio Marketing subtotal (=SUM leaves) → Studio Total OpEx → Studio NOI → Summary &amp; Controls studio row → Consolidated P&amp;L Marketing (=SUM studios + HO) → Consolidated Total OpEx → Consolidated NOI → Summary &amp; Controls Total EBITDA. Full propagation works.</t>
        </is>
      </c>
    </row>
    <row r="28" ht="30" customHeight="1" s="142">
      <c r="B28" s="60" t="inlineStr">
        <is>
          <t>Assumption edit</t>
        </is>
      </c>
      <c r="C28" s="61" t="inlineStr">
        <is>
          <t>Edit rate on Assumptions tab (refund %, discount %, escalation, etc.) → flows through all formulas referencing that cell.</t>
        </is>
      </c>
    </row>
    <row r="30" ht="16.05" customHeight="1" s="142">
      <c r="B30" s="58" t="inlineStr">
        <is>
          <t>Hidden Helpers — DO NOT DELETE</t>
        </is>
      </c>
      <c r="C30" s="59" t="n"/>
    </row>
    <row r="31" ht="45" customHeight="1" s="142">
      <c r="B31" s="60" t="inlineStr">
        <is>
          <t>Sales Forecast rows 100-113</t>
        </is>
      </c>
      <c r="C31" s="61" t="inlineStr">
        <is>
          <t>Hidden helper rows holding 2025 monthly sales (consolidated row 101 and per-studio rows 102-113). Required for 7-month lag formulas on Session/Breakage Revenue forecasts for May 2026 and Jun 2026.</t>
        </is>
      </c>
    </row>
    <row r="32" ht="15" customHeight="1" s="142">
      <c r="B32" s="60" t="inlineStr">
        <is>
          <t>Sales Forecast row ~50+</t>
        </is>
      </c>
      <c r="C32" s="61" t="inlineStr">
        <is>
          <t>Helper for chart data references on Summary &amp; Controls. Removing breaks charts.</t>
        </is>
      </c>
    </row>
    <row r="34" ht="16.05" customHeight="1" s="142">
      <c r="B34" s="58" t="inlineStr">
        <is>
          <t>Monthly Update Procedure (when QBO closes new month)</t>
        </is>
      </c>
      <c r="C34" s="59" t="n"/>
    </row>
    <row r="35" ht="30" customHeight="1" s="142">
      <c r="B35" s="60" t="inlineStr">
        <is>
          <t>Step 1</t>
        </is>
      </c>
      <c r="C35" s="61" t="inlineStr">
        <is>
          <t>Upload new QBO export to Streamlit dashboard. Streamlit's committed_actuals.json gets updated.</t>
        </is>
      </c>
    </row>
    <row r="36" ht="30" customHeight="1" s="142">
      <c r="B36" s="60" t="inlineStr">
        <is>
          <t>Step 2</t>
        </is>
      </c>
      <c r="C36" s="61" t="inlineStr">
        <is>
          <t>Run refresh_from_streamlit.py (in /Users/chandlerclemons/financial-modeling/models/mighty/).</t>
        </is>
      </c>
    </row>
    <row r="37" ht="45" customHeight="1" s="142">
      <c r="B37" s="60" t="inlineStr">
        <is>
          <t>Step 3</t>
        </is>
      </c>
      <c r="C37" s="61" t="inlineStr">
        <is>
          <t>Refresh script will: (a) extend actuals columns by 1 month, (b) shift forecast forward, (c) refresh trailing-3-month avg lines (Taxes Paid, Property Taxes, Retail, Depreciation), (d) update 2025 helper row values if Streamlit data changed historicals.</t>
        </is>
      </c>
    </row>
    <row r="38" ht="30" customHeight="1" s="142">
      <c r="B38" s="60" t="inlineStr">
        <is>
          <t>Step 4</t>
        </is>
      </c>
      <c r="C38" s="61" t="inlineStr">
        <is>
          <t>Open the Excel and spot-check the new actuals column vs Streamlit. Save &amp; share with stakeholders.</t>
        </is>
      </c>
    </row>
    <row r="40" ht="16.05" customHeight="1" s="142">
      <c r="B40" s="58" t="inlineStr">
        <is>
          <t>Streamlit Source Repo</t>
        </is>
      </c>
      <c r="C40" s="59" t="n"/>
    </row>
    <row r="41" ht="15" customHeight="1" s="142">
      <c r="B41" s="60" t="inlineStr">
        <is>
          <t>GitHub</t>
        </is>
      </c>
      <c r="C41" s="61" t="inlineStr">
        <is>
          <t>github.com/c-clemons/mighty-pilates (private)</t>
        </is>
      </c>
    </row>
    <row r="42" ht="15" customHeight="1" s="142">
      <c r="B42" s="60" t="inlineStr">
        <is>
          <t>Live app</t>
        </is>
      </c>
      <c r="C42" s="61" t="inlineStr">
        <is>
          <t>mighty-pilates-financial-model.streamlit.app</t>
        </is>
      </c>
    </row>
    <row r="43" ht="15" customHeight="1" s="142">
      <c r="B43" s="60" t="inlineStr">
        <is>
          <t>Local files</t>
        </is>
      </c>
      <c r="C43" s="61" t="inlineStr">
        <is>
          <t>/Users/chandlerclemons/mighty-pilates/dashboard/data/</t>
        </is>
      </c>
    </row>
    <row r="45">
      <c r="B45" s="152" t="inlineStr">
        <is>
          <t>Cash Sales vs Accrual Revenue</t>
        </is>
      </c>
    </row>
    <row r="46">
      <c r="B46" s="153" t="inlineStr">
        <is>
          <t>Sales Forecast / Summary</t>
        </is>
      </c>
      <c r="C46" s="154" t="inlineStr">
        <is>
          <t>These tabs show CASH SALES: Total Sales captured at the MindBody point-of-sale when a member buys a class pack, membership, or workshop.</t>
        </is>
      </c>
    </row>
    <row r="47">
      <c r="B47" s="153" t="inlineStr">
        <is>
          <t>Studio P&amp;L / All Studios</t>
        </is>
      </c>
      <c r="C47" s="154" t="inlineStr">
        <is>
          <t>These tabs show ACCRUAL P&amp;L REVENUE: Sessions recognized over the package usage window + Breakage when unused packages expire − Refunds − Discounts.</t>
        </is>
      </c>
    </row>
    <row r="48">
      <c r="B48" s="153" t="inlineStr">
        <is>
          <t>Worked example</t>
        </is>
      </c>
      <c r="C48" s="154" t="inlineStr">
        <is>
          <t>Berkeley Dec 2028: Cash Sales $164K, Accrual Revenue $140K. The $24K gap = packages sold in Dec 2028 that will be USED (or breakage'd) in later months.</t>
        </is>
      </c>
    </row>
    <row r="49">
      <c r="B49" s="153" t="inlineStr">
        <is>
          <t>Reconciliation horizon</t>
        </is>
      </c>
      <c r="C49" s="154" t="inlineStr">
        <is>
          <t>These metrics diverge in any individual month by design. They reconcile only over the full lifecycle of a cohort of packages (typically 6-12 months from purchase).</t>
        </is>
      </c>
    </row>
    <row r="50">
      <c r="B50" s="153" t="inlineStr">
        <is>
          <t>Both are correct</t>
        </is>
      </c>
      <c r="C50" s="154" t="inlineStr">
        <is>
          <t>Cash Sales is the operating KPI (what closed at the counter). Accrual Revenue is the GAAP P&amp;L line (what's earned). Neither is wrong.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B2A4A"/>
    <outlinePr summaryBelow="1" summaryRight="1"/>
    <pageSetUpPr/>
  </sheetPr>
  <dimension ref="B2:BH126"/>
  <sheetViews>
    <sheetView showGridLines="0" view="pageBreakPreview" topLeftCell="B2" zoomScale="80" zoomScaleNormal="70" zoomScaleSheetLayoutView="80" workbookViewId="0">
      <pane xSplit="4" ySplit="7" topLeftCell="F9" activePane="bottomRight" state="frozen"/>
      <selection activeCell="B2" sqref="B2"/>
      <selection pane="topRight" activeCell="F2" sqref="F2"/>
      <selection pane="bottomLeft" activeCell="B9" sqref="B9"/>
      <selection pane="bottomRight" activeCell="F9" sqref="F9"/>
    </sheetView>
  </sheetViews>
  <sheetFormatPr baseColWidth="8" defaultColWidth="8.796875" defaultRowHeight="14.25"/>
  <cols>
    <col hidden="1" width="2" customWidth="1" style="142" min="1" max="1"/>
    <col width="24" customWidth="1" style="142" min="2" max="2"/>
    <col width="22" customWidth="1" style="142" min="3" max="3"/>
    <col width="11" customWidth="1" style="142" min="4" max="39"/>
    <col width="10.19921875" bestFit="1" customWidth="1" style="142" min="53" max="56"/>
    <col width="9.6640625" bestFit="1" customWidth="1" style="142" min="57" max="57"/>
    <col width="11.796875" bestFit="1" customWidth="1" style="142" min="58" max="58"/>
  </cols>
  <sheetData>
    <row r="2" ht="21" customHeight="1" s="142">
      <c r="B2" s="9" t="inlineStr">
        <is>
          <t>Summary &amp; Controls</t>
        </is>
      </c>
    </row>
    <row r="3">
      <c r="B3" s="3" t="inlineStr">
        <is>
          <t>Top-level dashboard. Studio sales, EBITDA, YoY summary, charts.</t>
        </is>
      </c>
    </row>
    <row r="4" ht="16.05" customHeight="1" s="142">
      <c r="B4" s="10" t="inlineStr">
        <is>
          <t>Monthly Total Session Sales by Studio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Metric</t>
        </is>
      </c>
      <c r="C5" s="12" t="inlineStr">
        <is>
          <t>Studio</t>
        </is>
      </c>
      <c r="D5" s="13" t="inlineStr">
        <is>
          <t>Jan 2025 (A)</t>
        </is>
      </c>
      <c r="E5" s="13" t="inlineStr">
        <is>
          <t>Feb 2025 (A)</t>
        </is>
      </c>
      <c r="F5" s="13" t="inlineStr">
        <is>
          <t>Mar 2025 (A)</t>
        </is>
      </c>
      <c r="G5" s="13" t="inlineStr">
        <is>
          <t>Apr 2025 (A)</t>
        </is>
      </c>
      <c r="H5" s="13" t="inlineStr">
        <is>
          <t>May 2025 (A)</t>
        </is>
      </c>
      <c r="I5" s="13" t="inlineStr">
        <is>
          <t>Jun 2025 (A)</t>
        </is>
      </c>
      <c r="J5" s="13" t="inlineStr">
        <is>
          <t>Jul 2025 (A)</t>
        </is>
      </c>
      <c r="K5" s="13" t="inlineStr">
        <is>
          <t>Aug 2025 (A)</t>
        </is>
      </c>
      <c r="L5" s="13" t="inlineStr">
        <is>
          <t>Sep 2025 (A)</t>
        </is>
      </c>
      <c r="M5" s="13" t="inlineStr">
        <is>
          <t>Oct 2025 (A)</t>
        </is>
      </c>
      <c r="N5" s="13" t="inlineStr">
        <is>
          <t>Nov 2025 (A)</t>
        </is>
      </c>
      <c r="O5" s="13" t="inlineStr">
        <is>
          <t>Dec 2025 (A)</t>
        </is>
      </c>
      <c r="P5" s="13" t="inlineStr">
        <is>
          <t>Jan 2026 (A)</t>
        </is>
      </c>
      <c r="Q5" s="13" t="inlineStr">
        <is>
          <t>Feb 2026 (A)</t>
        </is>
      </c>
      <c r="R5" s="13" t="inlineStr">
        <is>
          <t>Mar 2026 (A)</t>
        </is>
      </c>
      <c r="S5" s="13" t="inlineStr">
        <is>
          <t>Apr 2026 (A)</t>
        </is>
      </c>
      <c r="T5" s="13" t="inlineStr">
        <is>
          <t>May 2026 (A)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>
      <c r="B6" s="15" t="inlineStr">
        <is>
          <t>Total Sales</t>
        </is>
      </c>
      <c r="D6" s="16">
        <f>SUM(D7:D19)</f>
        <v/>
      </c>
      <c r="E6" s="16">
        <f>SUM(E7:E19)</f>
        <v/>
      </c>
      <c r="F6" s="16">
        <f>SUM(F7:F19)</f>
        <v/>
      </c>
      <c r="G6" s="16">
        <f>SUM(G7:G19)</f>
        <v/>
      </c>
      <c r="H6" s="16">
        <f>SUM(H7:H19)</f>
        <v/>
      </c>
      <c r="I6" s="16">
        <f>SUM(I7:I19)</f>
        <v/>
      </c>
      <c r="J6" s="16">
        <f>SUM(J7:J19)</f>
        <v/>
      </c>
      <c r="K6" s="16">
        <f>SUM(K7:K19)</f>
        <v/>
      </c>
      <c r="L6" s="16">
        <f>SUM(L7:L19)</f>
        <v/>
      </c>
      <c r="M6" s="16">
        <f>SUM(M7:M19)</f>
        <v/>
      </c>
      <c r="N6" s="16">
        <f>SUM(N7:N19)</f>
        <v/>
      </c>
      <c r="O6" s="16">
        <f>SUM(O7:O19)</f>
        <v/>
      </c>
      <c r="P6" s="16">
        <f>SUM(P7:P19)</f>
        <v/>
      </c>
      <c r="Q6" s="16">
        <f>SUM(Q7:Q19)</f>
        <v/>
      </c>
      <c r="R6" s="16">
        <f>SUM(R7:R19)</f>
        <v/>
      </c>
      <c r="S6" s="16">
        <f>SUM(S7:S19)</f>
        <v/>
      </c>
      <c r="T6" s="16">
        <f>SUM(T7:T19)</f>
        <v/>
      </c>
      <c r="U6" s="17">
        <f>SUM(U7:U19)</f>
        <v/>
      </c>
      <c r="V6" s="17">
        <f>SUM(V7:V19)</f>
        <v/>
      </c>
      <c r="W6" s="17">
        <f>SUM(W7:W19)</f>
        <v/>
      </c>
      <c r="X6" s="17">
        <f>SUM(X7:X19)</f>
        <v/>
      </c>
      <c r="Y6" s="17">
        <f>SUM(Y7:Y19)</f>
        <v/>
      </c>
      <c r="Z6" s="17">
        <f>SUM(Z7:Z19)</f>
        <v/>
      </c>
      <c r="AA6" s="17">
        <f>SUM(AA7:AA19)</f>
        <v/>
      </c>
      <c r="AB6" s="17">
        <f>SUM(AB7:AB19)</f>
        <v/>
      </c>
      <c r="AC6" s="17">
        <f>SUM(AC7:AC19)</f>
        <v/>
      </c>
      <c r="AD6" s="17">
        <f>SUM(AD7:AD19)</f>
        <v/>
      </c>
      <c r="AE6" s="17">
        <f>SUM(AE7:AE19)</f>
        <v/>
      </c>
      <c r="AF6" s="17">
        <f>SUM(AF7:AF19)</f>
        <v/>
      </c>
      <c r="AG6" s="17">
        <f>SUM(AG7:AG19)</f>
        <v/>
      </c>
      <c r="AH6" s="17">
        <f>SUM(AH7:AH19)</f>
        <v/>
      </c>
      <c r="AI6" s="17">
        <f>SUM(AI7:AI19)</f>
        <v/>
      </c>
      <c r="AJ6" s="17">
        <f>SUM(AJ7:AJ19)</f>
        <v/>
      </c>
      <c r="AK6" s="17">
        <f>SUM(AK7:AK19)</f>
        <v/>
      </c>
      <c r="AL6" s="17">
        <f>SUM(AL7:AL19)</f>
        <v/>
      </c>
      <c r="AM6" s="17">
        <f>SUM(AM7:AM19)</f>
        <v/>
      </c>
      <c r="AN6" s="17">
        <f>SUM(AN7:AN19)</f>
        <v/>
      </c>
      <c r="AO6" s="17">
        <f>SUM(AO7:AO19)</f>
        <v/>
      </c>
      <c r="AP6" s="17">
        <f>SUM(AP7:AP19)</f>
        <v/>
      </c>
      <c r="AQ6" s="17">
        <f>SUM(AQ7:AQ19)</f>
        <v/>
      </c>
      <c r="AR6" s="17">
        <f>SUM(AR7:AR19)</f>
        <v/>
      </c>
      <c r="AS6" s="17">
        <f>SUM(AS7:AS19)</f>
        <v/>
      </c>
      <c r="AT6" s="17">
        <f>SUM(AT7:AT19)</f>
        <v/>
      </c>
      <c r="AU6" s="17">
        <f>SUM(AU7:AU19)</f>
        <v/>
      </c>
      <c r="AV6" s="17">
        <f>SUM(AV7:AV19)</f>
        <v/>
      </c>
      <c r="AW6" s="17">
        <f>SUM(AW7:AW19)</f>
        <v/>
      </c>
      <c r="AX6" s="17">
        <f>SUM(AX7:AX19)</f>
        <v/>
      </c>
      <c r="AY6" s="17">
        <f>SUM(AY7:AY19)</f>
        <v/>
      </c>
      <c r="BA6" s="17">
        <f>SUM(D6:O6)</f>
        <v/>
      </c>
      <c r="BB6" s="17">
        <f>SUM(P6:AA6)</f>
        <v/>
      </c>
      <c r="BC6" s="17">
        <f>SUM(AB6:AM6)</f>
        <v/>
      </c>
      <c r="BD6" s="17">
        <f>SUM(AN6:AY6)</f>
        <v/>
      </c>
      <c r="BF6" s="17">
        <f>SUM(I6:T6)</f>
        <v/>
      </c>
      <c r="BH6" s="24">
        <f>SUM(BA6:BD6)-SUM(D6:AY6)</f>
        <v/>
      </c>
    </row>
    <row r="7">
      <c r="C7" s="18" t="inlineStr">
        <is>
          <t>Berkeley</t>
        </is>
      </c>
      <c r="D7" s="19">
        <f>'Sales Forecast'!D6</f>
        <v/>
      </c>
      <c r="E7" s="19">
        <f>'Sales Forecast'!E6</f>
        <v/>
      </c>
      <c r="F7" s="19">
        <f>'Sales Forecast'!F6</f>
        <v/>
      </c>
      <c r="G7" s="19">
        <f>'Sales Forecast'!G6</f>
        <v/>
      </c>
      <c r="H7" s="19">
        <f>'Sales Forecast'!H6</f>
        <v/>
      </c>
      <c r="I7" s="19">
        <f>'Sales Forecast'!I6</f>
        <v/>
      </c>
      <c r="J7" s="19">
        <f>'Sales Forecast'!J6</f>
        <v/>
      </c>
      <c r="K7" s="19">
        <f>'Sales Forecast'!K6</f>
        <v/>
      </c>
      <c r="L7" s="19">
        <f>'Sales Forecast'!L6</f>
        <v/>
      </c>
      <c r="M7" s="19">
        <f>'Sales Forecast'!M6</f>
        <v/>
      </c>
      <c r="N7" s="19">
        <f>'Sales Forecast'!N6</f>
        <v/>
      </c>
      <c r="O7" s="19">
        <f>'Sales Forecast'!O6</f>
        <v/>
      </c>
      <c r="P7" s="19">
        <f>'Sales Forecast'!P6</f>
        <v/>
      </c>
      <c r="Q7" s="19">
        <f>'Sales Forecast'!Q6</f>
        <v/>
      </c>
      <c r="R7" s="19">
        <f>'Sales Forecast'!R6</f>
        <v/>
      </c>
      <c r="S7" s="19">
        <f>'Sales Forecast'!S6</f>
        <v/>
      </c>
      <c r="T7" s="19">
        <f>'Sales Forecast'!T6</f>
        <v/>
      </c>
      <c r="U7" s="20">
        <f>'Sales Forecast'!U6</f>
        <v/>
      </c>
      <c r="V7" s="20">
        <f>'Sales Forecast'!V6</f>
        <v/>
      </c>
      <c r="W7" s="20">
        <f>'Sales Forecast'!W6</f>
        <v/>
      </c>
      <c r="X7" s="20">
        <f>'Sales Forecast'!X6</f>
        <v/>
      </c>
      <c r="Y7" s="20">
        <f>'Sales Forecast'!Y6</f>
        <v/>
      </c>
      <c r="Z7" s="20">
        <f>'Sales Forecast'!Z6</f>
        <v/>
      </c>
      <c r="AA7" s="20">
        <f>'Sales Forecast'!AA6</f>
        <v/>
      </c>
      <c r="AB7" s="20">
        <f>'Sales Forecast'!AB6</f>
        <v/>
      </c>
      <c r="AC7" s="20">
        <f>'Sales Forecast'!AC6</f>
        <v/>
      </c>
      <c r="AD7" s="20">
        <f>'Sales Forecast'!AD6</f>
        <v/>
      </c>
      <c r="AE7" s="20">
        <f>'Sales Forecast'!AE6</f>
        <v/>
      </c>
      <c r="AF7" s="20">
        <f>'Sales Forecast'!AF6</f>
        <v/>
      </c>
      <c r="AG7" s="20">
        <f>'Sales Forecast'!AG6</f>
        <v/>
      </c>
      <c r="AH7" s="20">
        <f>'Sales Forecast'!AH6</f>
        <v/>
      </c>
      <c r="AI7" s="20">
        <f>'Sales Forecast'!AI6</f>
        <v/>
      </c>
      <c r="AJ7" s="20">
        <f>'Sales Forecast'!AJ6</f>
        <v/>
      </c>
      <c r="AK7" s="20">
        <f>'Sales Forecast'!AK6</f>
        <v/>
      </c>
      <c r="AL7" s="20">
        <f>'Sales Forecast'!AL6</f>
        <v/>
      </c>
      <c r="AM7" s="20">
        <f>'Sales Forecast'!AM6</f>
        <v/>
      </c>
      <c r="AN7" s="20">
        <f>'Sales Forecast'!AN6</f>
        <v/>
      </c>
      <c r="AO7" s="20">
        <f>'Sales Forecast'!AO6</f>
        <v/>
      </c>
      <c r="AP7" s="20">
        <f>'Sales Forecast'!AP6</f>
        <v/>
      </c>
      <c r="AQ7" s="20">
        <f>'Sales Forecast'!AQ6</f>
        <v/>
      </c>
      <c r="AR7" s="20">
        <f>'Sales Forecast'!AR6</f>
        <v/>
      </c>
      <c r="AS7" s="20">
        <f>'Sales Forecast'!AS6</f>
        <v/>
      </c>
      <c r="AT7" s="20">
        <f>'Sales Forecast'!AT6</f>
        <v/>
      </c>
      <c r="AU7" s="20">
        <f>'Sales Forecast'!AU6</f>
        <v/>
      </c>
      <c r="AV7" s="20">
        <f>'Sales Forecast'!AV6</f>
        <v/>
      </c>
      <c r="AW7" s="20">
        <f>'Sales Forecast'!AW6</f>
        <v/>
      </c>
      <c r="AX7" s="20">
        <f>'Sales Forecast'!AX6</f>
        <v/>
      </c>
      <c r="AY7" s="20">
        <f>'Sales Forecast'!AY6</f>
        <v/>
      </c>
      <c r="BA7" s="20">
        <f>SUM(D7:O7)</f>
        <v/>
      </c>
      <c r="BB7" s="20">
        <f>SUM(P7:AA7)</f>
        <v/>
      </c>
      <c r="BC7" s="20">
        <f>SUM(AB7:AM7)</f>
        <v/>
      </c>
      <c r="BD7" s="20">
        <f>SUM(AN7:AY7)</f>
        <v/>
      </c>
      <c r="BF7" s="20">
        <f>SUM(I7:T7)</f>
        <v/>
      </c>
      <c r="BH7" s="24">
        <f>SUM(BA7:BD7)-SUM(D7:AY7)</f>
        <v/>
      </c>
    </row>
    <row r="8">
      <c r="C8" s="18" t="inlineStr">
        <is>
          <t>Culver City</t>
        </is>
      </c>
      <c r="D8" s="19">
        <f>'Sales Forecast'!D7</f>
        <v/>
      </c>
      <c r="E8" s="19">
        <f>'Sales Forecast'!E7</f>
        <v/>
      </c>
      <c r="F8" s="19">
        <f>'Sales Forecast'!F7</f>
        <v/>
      </c>
      <c r="G8" s="19">
        <f>'Sales Forecast'!G7</f>
        <v/>
      </c>
      <c r="H8" s="19">
        <f>'Sales Forecast'!H7</f>
        <v/>
      </c>
      <c r="I8" s="19">
        <f>'Sales Forecast'!I7</f>
        <v/>
      </c>
      <c r="J8" s="19">
        <f>'Sales Forecast'!J7</f>
        <v/>
      </c>
      <c r="K8" s="19">
        <f>'Sales Forecast'!K7</f>
        <v/>
      </c>
      <c r="L8" s="19">
        <f>'Sales Forecast'!L7</f>
        <v/>
      </c>
      <c r="M8" s="19">
        <f>'Sales Forecast'!M7</f>
        <v/>
      </c>
      <c r="N8" s="19">
        <f>'Sales Forecast'!N7</f>
        <v/>
      </c>
      <c r="O8" s="19">
        <f>'Sales Forecast'!O7</f>
        <v/>
      </c>
      <c r="P8" s="19">
        <f>'Sales Forecast'!P7</f>
        <v/>
      </c>
      <c r="Q8" s="19">
        <f>'Sales Forecast'!Q7</f>
        <v/>
      </c>
      <c r="R8" s="19">
        <f>'Sales Forecast'!R7</f>
        <v/>
      </c>
      <c r="S8" s="19">
        <f>'Sales Forecast'!S7</f>
        <v/>
      </c>
      <c r="T8" s="19">
        <f>'Sales Forecast'!T7</f>
        <v/>
      </c>
      <c r="U8" s="20">
        <f>'Sales Forecast'!U7</f>
        <v/>
      </c>
      <c r="V8" s="20">
        <f>'Sales Forecast'!V7</f>
        <v/>
      </c>
      <c r="W8" s="20">
        <f>'Sales Forecast'!W7</f>
        <v/>
      </c>
      <c r="X8" s="20">
        <f>'Sales Forecast'!X7</f>
        <v/>
      </c>
      <c r="Y8" s="20">
        <f>'Sales Forecast'!Y7</f>
        <v/>
      </c>
      <c r="Z8" s="20">
        <f>'Sales Forecast'!Z7</f>
        <v/>
      </c>
      <c r="AA8" s="20">
        <f>'Sales Forecast'!AA7</f>
        <v/>
      </c>
      <c r="AB8" s="20">
        <f>'Sales Forecast'!AB7</f>
        <v/>
      </c>
      <c r="AC8" s="20">
        <f>'Sales Forecast'!AC7</f>
        <v/>
      </c>
      <c r="AD8" s="20">
        <f>'Sales Forecast'!AD7</f>
        <v/>
      </c>
      <c r="AE8" s="20">
        <f>'Sales Forecast'!AE7</f>
        <v/>
      </c>
      <c r="AF8" s="20">
        <f>'Sales Forecast'!AF7</f>
        <v/>
      </c>
      <c r="AG8" s="20">
        <f>'Sales Forecast'!AG7</f>
        <v/>
      </c>
      <c r="AH8" s="20">
        <f>'Sales Forecast'!AH7</f>
        <v/>
      </c>
      <c r="AI8" s="20">
        <f>'Sales Forecast'!AI7</f>
        <v/>
      </c>
      <c r="AJ8" s="20">
        <f>'Sales Forecast'!AJ7</f>
        <v/>
      </c>
      <c r="AK8" s="20">
        <f>'Sales Forecast'!AK7</f>
        <v/>
      </c>
      <c r="AL8" s="20">
        <f>'Sales Forecast'!AL7</f>
        <v/>
      </c>
      <c r="AM8" s="20">
        <f>'Sales Forecast'!AM7</f>
        <v/>
      </c>
      <c r="AN8" s="20">
        <f>'Sales Forecast'!AN7</f>
        <v/>
      </c>
      <c r="AO8" s="20">
        <f>'Sales Forecast'!AO7</f>
        <v/>
      </c>
      <c r="AP8" s="20">
        <f>'Sales Forecast'!AP7</f>
        <v/>
      </c>
      <c r="AQ8" s="20">
        <f>'Sales Forecast'!AQ7</f>
        <v/>
      </c>
      <c r="AR8" s="20">
        <f>'Sales Forecast'!AR7</f>
        <v/>
      </c>
      <c r="AS8" s="20">
        <f>'Sales Forecast'!AS7</f>
        <v/>
      </c>
      <c r="AT8" s="20">
        <f>'Sales Forecast'!AT7</f>
        <v/>
      </c>
      <c r="AU8" s="20">
        <f>'Sales Forecast'!AU7</f>
        <v/>
      </c>
      <c r="AV8" s="20">
        <f>'Sales Forecast'!AV7</f>
        <v/>
      </c>
      <c r="AW8" s="20">
        <f>'Sales Forecast'!AW7</f>
        <v/>
      </c>
      <c r="AX8" s="20">
        <f>'Sales Forecast'!AX7</f>
        <v/>
      </c>
      <c r="AY8" s="20">
        <f>'Sales Forecast'!AY7</f>
        <v/>
      </c>
      <c r="BA8" s="20">
        <f>SUM(D8:O8)</f>
        <v/>
      </c>
      <c r="BB8" s="20">
        <f>SUM(P8:AA8)</f>
        <v/>
      </c>
      <c r="BC8" s="20">
        <f>SUM(AB8:AM8)</f>
        <v/>
      </c>
      <c r="BD8" s="20">
        <f>SUM(AN8:AY8)</f>
        <v/>
      </c>
      <c r="BF8" s="20">
        <f>SUM(I8:T8)</f>
        <v/>
      </c>
      <c r="BH8" s="24">
        <f>SUM(BA8:BD8)-SUM(D8:AY8)</f>
        <v/>
      </c>
    </row>
    <row r="9">
      <c r="C9" s="18" t="inlineStr">
        <is>
          <t>Danville</t>
        </is>
      </c>
      <c r="D9" s="19">
        <f>'Sales Forecast'!D8</f>
        <v/>
      </c>
      <c r="E9" s="19">
        <f>'Sales Forecast'!E8</f>
        <v/>
      </c>
      <c r="F9" s="19">
        <f>'Sales Forecast'!F8</f>
        <v/>
      </c>
      <c r="G9" s="19">
        <f>'Sales Forecast'!G8</f>
        <v/>
      </c>
      <c r="H9" s="19">
        <f>'Sales Forecast'!H8</f>
        <v/>
      </c>
      <c r="I9" s="19">
        <f>'Sales Forecast'!I8</f>
        <v/>
      </c>
      <c r="J9" s="19">
        <f>'Sales Forecast'!J8</f>
        <v/>
      </c>
      <c r="K9" s="19">
        <f>'Sales Forecast'!K8</f>
        <v/>
      </c>
      <c r="L9" s="19">
        <f>'Sales Forecast'!L8</f>
        <v/>
      </c>
      <c r="M9" s="19">
        <f>'Sales Forecast'!M8</f>
        <v/>
      </c>
      <c r="N9" s="19">
        <f>'Sales Forecast'!N8</f>
        <v/>
      </c>
      <c r="O9" s="19">
        <f>'Sales Forecast'!O8</f>
        <v/>
      </c>
      <c r="P9" s="19">
        <f>'Sales Forecast'!P8</f>
        <v/>
      </c>
      <c r="Q9" s="19">
        <f>'Sales Forecast'!Q8</f>
        <v/>
      </c>
      <c r="R9" s="19">
        <f>'Sales Forecast'!R8</f>
        <v/>
      </c>
      <c r="S9" s="19">
        <f>'Sales Forecast'!S8</f>
        <v/>
      </c>
      <c r="T9" s="19">
        <f>'Sales Forecast'!T8</f>
        <v/>
      </c>
      <c r="U9" s="20">
        <f>'Sales Forecast'!U8</f>
        <v/>
      </c>
      <c r="V9" s="20">
        <f>'Sales Forecast'!V8</f>
        <v/>
      </c>
      <c r="W9" s="20">
        <f>'Sales Forecast'!W8</f>
        <v/>
      </c>
      <c r="X9" s="20">
        <f>'Sales Forecast'!X8</f>
        <v/>
      </c>
      <c r="Y9" s="20">
        <f>'Sales Forecast'!Y8</f>
        <v/>
      </c>
      <c r="Z9" s="20">
        <f>'Sales Forecast'!Z8</f>
        <v/>
      </c>
      <c r="AA9" s="20">
        <f>'Sales Forecast'!AA8</f>
        <v/>
      </c>
      <c r="AB9" s="20">
        <f>'Sales Forecast'!AB8</f>
        <v/>
      </c>
      <c r="AC9" s="20">
        <f>'Sales Forecast'!AC8</f>
        <v/>
      </c>
      <c r="AD9" s="20">
        <f>'Sales Forecast'!AD8</f>
        <v/>
      </c>
      <c r="AE9" s="20">
        <f>'Sales Forecast'!AE8</f>
        <v/>
      </c>
      <c r="AF9" s="20">
        <f>'Sales Forecast'!AF8</f>
        <v/>
      </c>
      <c r="AG9" s="20">
        <f>'Sales Forecast'!AG8</f>
        <v/>
      </c>
      <c r="AH9" s="20">
        <f>'Sales Forecast'!AH8</f>
        <v/>
      </c>
      <c r="AI9" s="20">
        <f>'Sales Forecast'!AI8</f>
        <v/>
      </c>
      <c r="AJ9" s="20">
        <f>'Sales Forecast'!AJ8</f>
        <v/>
      </c>
      <c r="AK9" s="20">
        <f>'Sales Forecast'!AK8</f>
        <v/>
      </c>
      <c r="AL9" s="20">
        <f>'Sales Forecast'!AL8</f>
        <v/>
      </c>
      <c r="AM9" s="20">
        <f>'Sales Forecast'!AM8</f>
        <v/>
      </c>
      <c r="AN9" s="20">
        <f>'Sales Forecast'!AN8</f>
        <v/>
      </c>
      <c r="AO9" s="20">
        <f>'Sales Forecast'!AO8</f>
        <v/>
      </c>
      <c r="AP9" s="20">
        <f>'Sales Forecast'!AP8</f>
        <v/>
      </c>
      <c r="AQ9" s="20">
        <f>'Sales Forecast'!AQ8</f>
        <v/>
      </c>
      <c r="AR9" s="20">
        <f>'Sales Forecast'!AR8</f>
        <v/>
      </c>
      <c r="AS9" s="20">
        <f>'Sales Forecast'!AS8</f>
        <v/>
      </c>
      <c r="AT9" s="20">
        <f>'Sales Forecast'!AT8</f>
        <v/>
      </c>
      <c r="AU9" s="20">
        <f>'Sales Forecast'!AU8</f>
        <v/>
      </c>
      <c r="AV9" s="20">
        <f>'Sales Forecast'!AV8</f>
        <v/>
      </c>
      <c r="AW9" s="20">
        <f>'Sales Forecast'!AW8</f>
        <v/>
      </c>
      <c r="AX9" s="20">
        <f>'Sales Forecast'!AX8</f>
        <v/>
      </c>
      <c r="AY9" s="20">
        <f>'Sales Forecast'!AY8</f>
        <v/>
      </c>
      <c r="BA9" s="20">
        <f>SUM(D9:O9)</f>
        <v/>
      </c>
      <c r="BB9" s="20">
        <f>SUM(P9:AA9)</f>
        <v/>
      </c>
      <c r="BC9" s="20">
        <f>SUM(AB9:AM9)</f>
        <v/>
      </c>
      <c r="BD9" s="20">
        <f>SUM(AN9:AY9)</f>
        <v/>
      </c>
      <c r="BF9" s="20">
        <f>SUM(I9:T9)</f>
        <v/>
      </c>
      <c r="BH9" s="24">
        <f>SUM(BA9:BD9)-SUM(D9:AY9)</f>
        <v/>
      </c>
    </row>
    <row r="10">
      <c r="C10" s="18" t="inlineStr">
        <is>
          <t>Lafayette</t>
        </is>
      </c>
      <c r="D10" s="19">
        <f>'Sales Forecast'!D9</f>
        <v/>
      </c>
      <c r="E10" s="19">
        <f>'Sales Forecast'!E9</f>
        <v/>
      </c>
      <c r="F10" s="19">
        <f>'Sales Forecast'!F9</f>
        <v/>
      </c>
      <c r="G10" s="19">
        <f>'Sales Forecast'!G9</f>
        <v/>
      </c>
      <c r="H10" s="19">
        <f>'Sales Forecast'!H9</f>
        <v/>
      </c>
      <c r="I10" s="19">
        <f>'Sales Forecast'!I9</f>
        <v/>
      </c>
      <c r="J10" s="19">
        <f>'Sales Forecast'!J9</f>
        <v/>
      </c>
      <c r="K10" s="19">
        <f>'Sales Forecast'!K9</f>
        <v/>
      </c>
      <c r="L10" s="19">
        <f>'Sales Forecast'!L9</f>
        <v/>
      </c>
      <c r="M10" s="19">
        <f>'Sales Forecast'!M9</f>
        <v/>
      </c>
      <c r="N10" s="19">
        <f>'Sales Forecast'!N9</f>
        <v/>
      </c>
      <c r="O10" s="19">
        <f>'Sales Forecast'!O9</f>
        <v/>
      </c>
      <c r="P10" s="19">
        <f>'Sales Forecast'!P9</f>
        <v/>
      </c>
      <c r="Q10" s="19">
        <f>'Sales Forecast'!Q9</f>
        <v/>
      </c>
      <c r="R10" s="19">
        <f>'Sales Forecast'!R9</f>
        <v/>
      </c>
      <c r="S10" s="19">
        <f>'Sales Forecast'!S9</f>
        <v/>
      </c>
      <c r="T10" s="19">
        <f>'Sales Forecast'!T9</f>
        <v/>
      </c>
      <c r="U10" s="20">
        <f>'Sales Forecast'!U9</f>
        <v/>
      </c>
      <c r="V10" s="20">
        <f>'Sales Forecast'!V9</f>
        <v/>
      </c>
      <c r="W10" s="20">
        <f>'Sales Forecast'!W9</f>
        <v/>
      </c>
      <c r="X10" s="20">
        <f>'Sales Forecast'!X9</f>
        <v/>
      </c>
      <c r="Y10" s="20">
        <f>'Sales Forecast'!Y9</f>
        <v/>
      </c>
      <c r="Z10" s="20">
        <f>'Sales Forecast'!Z9</f>
        <v/>
      </c>
      <c r="AA10" s="20">
        <f>'Sales Forecast'!AA9</f>
        <v/>
      </c>
      <c r="AB10" s="20">
        <f>'Sales Forecast'!AB9</f>
        <v/>
      </c>
      <c r="AC10" s="20">
        <f>'Sales Forecast'!AC9</f>
        <v/>
      </c>
      <c r="AD10" s="20">
        <f>'Sales Forecast'!AD9</f>
        <v/>
      </c>
      <c r="AE10" s="20">
        <f>'Sales Forecast'!AE9</f>
        <v/>
      </c>
      <c r="AF10" s="20">
        <f>'Sales Forecast'!AF9</f>
        <v/>
      </c>
      <c r="AG10" s="20">
        <f>'Sales Forecast'!AG9</f>
        <v/>
      </c>
      <c r="AH10" s="20">
        <f>'Sales Forecast'!AH9</f>
        <v/>
      </c>
      <c r="AI10" s="20">
        <f>'Sales Forecast'!AI9</f>
        <v/>
      </c>
      <c r="AJ10" s="20">
        <f>'Sales Forecast'!AJ9</f>
        <v/>
      </c>
      <c r="AK10" s="20">
        <f>'Sales Forecast'!AK9</f>
        <v/>
      </c>
      <c r="AL10" s="20">
        <f>'Sales Forecast'!AL9</f>
        <v/>
      </c>
      <c r="AM10" s="20">
        <f>'Sales Forecast'!AM9</f>
        <v/>
      </c>
      <c r="AN10" s="20">
        <f>'Sales Forecast'!AN9</f>
        <v/>
      </c>
      <c r="AO10" s="20">
        <f>'Sales Forecast'!AO9</f>
        <v/>
      </c>
      <c r="AP10" s="20">
        <f>'Sales Forecast'!AP9</f>
        <v/>
      </c>
      <c r="AQ10" s="20">
        <f>'Sales Forecast'!AQ9</f>
        <v/>
      </c>
      <c r="AR10" s="20">
        <f>'Sales Forecast'!AR9</f>
        <v/>
      </c>
      <c r="AS10" s="20">
        <f>'Sales Forecast'!AS9</f>
        <v/>
      </c>
      <c r="AT10" s="20">
        <f>'Sales Forecast'!AT9</f>
        <v/>
      </c>
      <c r="AU10" s="20">
        <f>'Sales Forecast'!AU9</f>
        <v/>
      </c>
      <c r="AV10" s="20">
        <f>'Sales Forecast'!AV9</f>
        <v/>
      </c>
      <c r="AW10" s="20">
        <f>'Sales Forecast'!AW9</f>
        <v/>
      </c>
      <c r="AX10" s="20">
        <f>'Sales Forecast'!AX9</f>
        <v/>
      </c>
      <c r="AY10" s="20">
        <f>'Sales Forecast'!AY9</f>
        <v/>
      </c>
      <c r="BA10" s="20">
        <f>SUM(D10:O10)</f>
        <v/>
      </c>
      <c r="BB10" s="20">
        <f>SUM(P10:AA10)</f>
        <v/>
      </c>
      <c r="BC10" s="20">
        <f>SUM(AB10:AM10)</f>
        <v/>
      </c>
      <c r="BD10" s="20">
        <f>SUM(AN10:AY10)</f>
        <v/>
      </c>
      <c r="BF10" s="20">
        <f>SUM(I10:T10)</f>
        <v/>
      </c>
      <c r="BH10" s="24">
        <f>SUM(BA10:BD10)-SUM(D10:AY10)</f>
        <v/>
      </c>
    </row>
    <row r="11">
      <c r="C11" s="18" t="inlineStr">
        <is>
          <t>Marin</t>
        </is>
      </c>
      <c r="D11" s="19">
        <f>'Sales Forecast'!D10</f>
        <v/>
      </c>
      <c r="E11" s="19">
        <f>'Sales Forecast'!E10</f>
        <v/>
      </c>
      <c r="F11" s="19">
        <f>'Sales Forecast'!F10</f>
        <v/>
      </c>
      <c r="G11" s="19">
        <f>'Sales Forecast'!G10</f>
        <v/>
      </c>
      <c r="H11" s="19">
        <f>'Sales Forecast'!H10</f>
        <v/>
      </c>
      <c r="I11" s="19">
        <f>'Sales Forecast'!I10</f>
        <v/>
      </c>
      <c r="J11" s="19">
        <f>'Sales Forecast'!J10</f>
        <v/>
      </c>
      <c r="K11" s="19">
        <f>'Sales Forecast'!K10</f>
        <v/>
      </c>
      <c r="L11" s="19">
        <f>'Sales Forecast'!L10</f>
        <v/>
      </c>
      <c r="M11" s="19">
        <f>'Sales Forecast'!M10</f>
        <v/>
      </c>
      <c r="N11" s="19">
        <f>'Sales Forecast'!N10</f>
        <v/>
      </c>
      <c r="O11" s="19">
        <f>'Sales Forecast'!O10</f>
        <v/>
      </c>
      <c r="P11" s="19">
        <f>'Sales Forecast'!P10</f>
        <v/>
      </c>
      <c r="Q11" s="19">
        <f>'Sales Forecast'!Q10</f>
        <v/>
      </c>
      <c r="R11" s="19">
        <f>'Sales Forecast'!R10</f>
        <v/>
      </c>
      <c r="S11" s="19">
        <f>'Sales Forecast'!S10</f>
        <v/>
      </c>
      <c r="T11" s="19">
        <f>'Sales Forecast'!T10</f>
        <v/>
      </c>
      <c r="U11" s="20">
        <f>'Sales Forecast'!U10</f>
        <v/>
      </c>
      <c r="V11" s="20">
        <f>'Sales Forecast'!V10</f>
        <v/>
      </c>
      <c r="W11" s="20">
        <f>'Sales Forecast'!W10</f>
        <v/>
      </c>
      <c r="X11" s="20">
        <f>'Sales Forecast'!X10</f>
        <v/>
      </c>
      <c r="Y11" s="20">
        <f>'Sales Forecast'!Y10</f>
        <v/>
      </c>
      <c r="Z11" s="20">
        <f>'Sales Forecast'!Z10</f>
        <v/>
      </c>
      <c r="AA11" s="20">
        <f>'Sales Forecast'!AA10</f>
        <v/>
      </c>
      <c r="AB11" s="20">
        <f>'Sales Forecast'!AB10</f>
        <v/>
      </c>
      <c r="AC11" s="20">
        <f>'Sales Forecast'!AC10</f>
        <v/>
      </c>
      <c r="AD11" s="20">
        <f>'Sales Forecast'!AD10</f>
        <v/>
      </c>
      <c r="AE11" s="20">
        <f>'Sales Forecast'!AE10</f>
        <v/>
      </c>
      <c r="AF11" s="20">
        <f>'Sales Forecast'!AF10</f>
        <v/>
      </c>
      <c r="AG11" s="20">
        <f>'Sales Forecast'!AG10</f>
        <v/>
      </c>
      <c r="AH11" s="20">
        <f>'Sales Forecast'!AH10</f>
        <v/>
      </c>
      <c r="AI11" s="20">
        <f>'Sales Forecast'!AI10</f>
        <v/>
      </c>
      <c r="AJ11" s="20">
        <f>'Sales Forecast'!AJ10</f>
        <v/>
      </c>
      <c r="AK11" s="20">
        <f>'Sales Forecast'!AK10</f>
        <v/>
      </c>
      <c r="AL11" s="20">
        <f>'Sales Forecast'!AL10</f>
        <v/>
      </c>
      <c r="AM11" s="20">
        <f>'Sales Forecast'!AM10</f>
        <v/>
      </c>
      <c r="AN11" s="20">
        <f>'Sales Forecast'!AN10</f>
        <v/>
      </c>
      <c r="AO11" s="20">
        <f>'Sales Forecast'!AO10</f>
        <v/>
      </c>
      <c r="AP11" s="20">
        <f>'Sales Forecast'!AP10</f>
        <v/>
      </c>
      <c r="AQ11" s="20">
        <f>'Sales Forecast'!AQ10</f>
        <v/>
      </c>
      <c r="AR11" s="20">
        <f>'Sales Forecast'!AR10</f>
        <v/>
      </c>
      <c r="AS11" s="20">
        <f>'Sales Forecast'!AS10</f>
        <v/>
      </c>
      <c r="AT11" s="20">
        <f>'Sales Forecast'!AT10</f>
        <v/>
      </c>
      <c r="AU11" s="20">
        <f>'Sales Forecast'!AU10</f>
        <v/>
      </c>
      <c r="AV11" s="20">
        <f>'Sales Forecast'!AV10</f>
        <v/>
      </c>
      <c r="AW11" s="20">
        <f>'Sales Forecast'!AW10</f>
        <v/>
      </c>
      <c r="AX11" s="20">
        <f>'Sales Forecast'!AX10</f>
        <v/>
      </c>
      <c r="AY11" s="20">
        <f>'Sales Forecast'!AY10</f>
        <v/>
      </c>
      <c r="BA11" s="20">
        <f>SUM(D11:O11)</f>
        <v/>
      </c>
      <c r="BB11" s="20">
        <f>SUM(P11:AA11)</f>
        <v/>
      </c>
      <c r="BC11" s="20">
        <f>SUM(AB11:AM11)</f>
        <v/>
      </c>
      <c r="BD11" s="20">
        <f>SUM(AN11:AY11)</f>
        <v/>
      </c>
      <c r="BF11" s="20">
        <f>SUM(I11:T11)</f>
        <v/>
      </c>
      <c r="BH11" s="24">
        <f>SUM(BA11:BD11)-SUM(D11:AY11)</f>
        <v/>
      </c>
    </row>
    <row r="12">
      <c r="C12" s="18" t="inlineStr">
        <is>
          <t>Ocean Park</t>
        </is>
      </c>
      <c r="D12" s="19">
        <f>'Sales Forecast'!D11</f>
        <v/>
      </c>
      <c r="E12" s="19">
        <f>'Sales Forecast'!E11</f>
        <v/>
      </c>
      <c r="F12" s="19">
        <f>'Sales Forecast'!F11</f>
        <v/>
      </c>
      <c r="G12" s="19">
        <f>'Sales Forecast'!G11</f>
        <v/>
      </c>
      <c r="H12" s="19">
        <f>'Sales Forecast'!H11</f>
        <v/>
      </c>
      <c r="I12" s="19">
        <f>'Sales Forecast'!I11</f>
        <v/>
      </c>
      <c r="J12" s="19">
        <f>'Sales Forecast'!J11</f>
        <v/>
      </c>
      <c r="K12" s="19">
        <f>'Sales Forecast'!K11</f>
        <v/>
      </c>
      <c r="L12" s="19">
        <f>'Sales Forecast'!L11</f>
        <v/>
      </c>
      <c r="M12" s="19">
        <f>'Sales Forecast'!M11</f>
        <v/>
      </c>
      <c r="N12" s="19">
        <f>'Sales Forecast'!N11</f>
        <v/>
      </c>
      <c r="O12" s="19">
        <f>'Sales Forecast'!O11</f>
        <v/>
      </c>
      <c r="P12" s="19">
        <f>'Sales Forecast'!P11</f>
        <v/>
      </c>
      <c r="Q12" s="19">
        <f>'Sales Forecast'!Q11</f>
        <v/>
      </c>
      <c r="R12" s="19">
        <f>'Sales Forecast'!R11</f>
        <v/>
      </c>
      <c r="S12" s="19">
        <f>'Sales Forecast'!S11</f>
        <v/>
      </c>
      <c r="T12" s="19">
        <f>'Sales Forecast'!T11</f>
        <v/>
      </c>
      <c r="U12" s="20">
        <f>'Sales Forecast'!U11</f>
        <v/>
      </c>
      <c r="V12" s="20">
        <f>'Sales Forecast'!V11</f>
        <v/>
      </c>
      <c r="W12" s="20">
        <f>'Sales Forecast'!W11</f>
        <v/>
      </c>
      <c r="X12" s="20">
        <f>'Sales Forecast'!X11</f>
        <v/>
      </c>
      <c r="Y12" s="20">
        <f>'Sales Forecast'!Y11</f>
        <v/>
      </c>
      <c r="Z12" s="20">
        <f>'Sales Forecast'!Z11</f>
        <v/>
      </c>
      <c r="AA12" s="20">
        <f>'Sales Forecast'!AA11</f>
        <v/>
      </c>
      <c r="AB12" s="20">
        <f>'Sales Forecast'!AB11</f>
        <v/>
      </c>
      <c r="AC12" s="20">
        <f>'Sales Forecast'!AC11</f>
        <v/>
      </c>
      <c r="AD12" s="20">
        <f>'Sales Forecast'!AD11</f>
        <v/>
      </c>
      <c r="AE12" s="20">
        <f>'Sales Forecast'!AE11</f>
        <v/>
      </c>
      <c r="AF12" s="20">
        <f>'Sales Forecast'!AF11</f>
        <v/>
      </c>
      <c r="AG12" s="20">
        <f>'Sales Forecast'!AG11</f>
        <v/>
      </c>
      <c r="AH12" s="20">
        <f>'Sales Forecast'!AH11</f>
        <v/>
      </c>
      <c r="AI12" s="20">
        <f>'Sales Forecast'!AI11</f>
        <v/>
      </c>
      <c r="AJ12" s="20">
        <f>'Sales Forecast'!AJ11</f>
        <v/>
      </c>
      <c r="AK12" s="20">
        <f>'Sales Forecast'!AK11</f>
        <v/>
      </c>
      <c r="AL12" s="20">
        <f>'Sales Forecast'!AL11</f>
        <v/>
      </c>
      <c r="AM12" s="20">
        <f>'Sales Forecast'!AM11</f>
        <v/>
      </c>
      <c r="AN12" s="20">
        <f>'Sales Forecast'!AN11</f>
        <v/>
      </c>
      <c r="AO12" s="20">
        <f>'Sales Forecast'!AO11</f>
        <v/>
      </c>
      <c r="AP12" s="20">
        <f>'Sales Forecast'!AP11</f>
        <v/>
      </c>
      <c r="AQ12" s="20">
        <f>'Sales Forecast'!AQ11</f>
        <v/>
      </c>
      <c r="AR12" s="20">
        <f>'Sales Forecast'!AR11</f>
        <v/>
      </c>
      <c r="AS12" s="20">
        <f>'Sales Forecast'!AS11</f>
        <v/>
      </c>
      <c r="AT12" s="20">
        <f>'Sales Forecast'!AT11</f>
        <v/>
      </c>
      <c r="AU12" s="20">
        <f>'Sales Forecast'!AU11</f>
        <v/>
      </c>
      <c r="AV12" s="20">
        <f>'Sales Forecast'!AV11</f>
        <v/>
      </c>
      <c r="AW12" s="20">
        <f>'Sales Forecast'!AW11</f>
        <v/>
      </c>
      <c r="AX12" s="20">
        <f>'Sales Forecast'!AX11</f>
        <v/>
      </c>
      <c r="AY12" s="20">
        <f>'Sales Forecast'!AY11</f>
        <v/>
      </c>
      <c r="BA12" s="20">
        <f>SUM(D12:O12)</f>
        <v/>
      </c>
      <c r="BB12" s="20">
        <f>SUM(P12:AA12)</f>
        <v/>
      </c>
      <c r="BC12" s="20">
        <f>SUM(AB12:AM12)</f>
        <v/>
      </c>
      <c r="BD12" s="20">
        <f>SUM(AN12:AY12)</f>
        <v/>
      </c>
      <c r="BF12" s="20">
        <f>SUM(I12:T12)</f>
        <v/>
      </c>
      <c r="BH12" s="24">
        <f>SUM(BA12:BD12)-SUM(D12:AY12)</f>
        <v/>
      </c>
    </row>
    <row r="13">
      <c r="C13" s="18" t="inlineStr">
        <is>
          <t>Presidio Heights</t>
        </is>
      </c>
      <c r="D13" s="19">
        <f>'Sales Forecast'!D12</f>
        <v/>
      </c>
      <c r="E13" s="19">
        <f>'Sales Forecast'!E12</f>
        <v/>
      </c>
      <c r="F13" s="19">
        <f>'Sales Forecast'!F12</f>
        <v/>
      </c>
      <c r="G13" s="19">
        <f>'Sales Forecast'!G12</f>
        <v/>
      </c>
      <c r="H13" s="19">
        <f>'Sales Forecast'!H12</f>
        <v/>
      </c>
      <c r="I13" s="19">
        <f>'Sales Forecast'!I12</f>
        <v/>
      </c>
      <c r="J13" s="19">
        <f>'Sales Forecast'!J12</f>
        <v/>
      </c>
      <c r="K13" s="19">
        <f>'Sales Forecast'!K12</f>
        <v/>
      </c>
      <c r="L13" s="19">
        <f>'Sales Forecast'!L12</f>
        <v/>
      </c>
      <c r="M13" s="19">
        <f>'Sales Forecast'!M12</f>
        <v/>
      </c>
      <c r="N13" s="19">
        <f>'Sales Forecast'!N12</f>
        <v/>
      </c>
      <c r="O13" s="19">
        <f>'Sales Forecast'!O12</f>
        <v/>
      </c>
      <c r="P13" s="19">
        <f>'Sales Forecast'!P12</f>
        <v/>
      </c>
      <c r="Q13" s="19">
        <f>'Sales Forecast'!Q12</f>
        <v/>
      </c>
      <c r="R13" s="19">
        <f>'Sales Forecast'!R12</f>
        <v/>
      </c>
      <c r="S13" s="19">
        <f>'Sales Forecast'!S12</f>
        <v/>
      </c>
      <c r="T13" s="19">
        <f>'Sales Forecast'!T12</f>
        <v/>
      </c>
      <c r="U13" s="20">
        <f>'Sales Forecast'!U12</f>
        <v/>
      </c>
      <c r="V13" s="20">
        <f>'Sales Forecast'!V12</f>
        <v/>
      </c>
      <c r="W13" s="20">
        <f>'Sales Forecast'!W12</f>
        <v/>
      </c>
      <c r="X13" s="20">
        <f>'Sales Forecast'!X12</f>
        <v/>
      </c>
      <c r="Y13" s="20">
        <f>'Sales Forecast'!Y12</f>
        <v/>
      </c>
      <c r="Z13" s="20">
        <f>'Sales Forecast'!Z12</f>
        <v/>
      </c>
      <c r="AA13" s="20">
        <f>'Sales Forecast'!AA12</f>
        <v/>
      </c>
      <c r="AB13" s="20">
        <f>'Sales Forecast'!AB12</f>
        <v/>
      </c>
      <c r="AC13" s="20">
        <f>'Sales Forecast'!AC12</f>
        <v/>
      </c>
      <c r="AD13" s="20">
        <f>'Sales Forecast'!AD12</f>
        <v/>
      </c>
      <c r="AE13" s="20">
        <f>'Sales Forecast'!AE12</f>
        <v/>
      </c>
      <c r="AF13" s="20">
        <f>'Sales Forecast'!AF12</f>
        <v/>
      </c>
      <c r="AG13" s="20">
        <f>'Sales Forecast'!AG12</f>
        <v/>
      </c>
      <c r="AH13" s="20">
        <f>'Sales Forecast'!AH12</f>
        <v/>
      </c>
      <c r="AI13" s="20">
        <f>'Sales Forecast'!AI12</f>
        <v/>
      </c>
      <c r="AJ13" s="20">
        <f>'Sales Forecast'!AJ12</f>
        <v/>
      </c>
      <c r="AK13" s="20">
        <f>'Sales Forecast'!AK12</f>
        <v/>
      </c>
      <c r="AL13" s="20">
        <f>'Sales Forecast'!AL12</f>
        <v/>
      </c>
      <c r="AM13" s="20">
        <f>'Sales Forecast'!AM12</f>
        <v/>
      </c>
      <c r="AN13" s="20">
        <f>'Sales Forecast'!AN12</f>
        <v/>
      </c>
      <c r="AO13" s="20">
        <f>'Sales Forecast'!AO12</f>
        <v/>
      </c>
      <c r="AP13" s="20">
        <f>'Sales Forecast'!AP12</f>
        <v/>
      </c>
      <c r="AQ13" s="20">
        <f>'Sales Forecast'!AQ12</f>
        <v/>
      </c>
      <c r="AR13" s="20">
        <f>'Sales Forecast'!AR12</f>
        <v/>
      </c>
      <c r="AS13" s="20">
        <f>'Sales Forecast'!AS12</f>
        <v/>
      </c>
      <c r="AT13" s="20">
        <f>'Sales Forecast'!AT12</f>
        <v/>
      </c>
      <c r="AU13" s="20">
        <f>'Sales Forecast'!AU12</f>
        <v/>
      </c>
      <c r="AV13" s="20">
        <f>'Sales Forecast'!AV12</f>
        <v/>
      </c>
      <c r="AW13" s="20">
        <f>'Sales Forecast'!AW12</f>
        <v/>
      </c>
      <c r="AX13" s="20">
        <f>'Sales Forecast'!AX12</f>
        <v/>
      </c>
      <c r="AY13" s="20">
        <f>'Sales Forecast'!AY12</f>
        <v/>
      </c>
      <c r="BA13" s="20">
        <f>SUM(D13:O13)</f>
        <v/>
      </c>
      <c r="BB13" s="20">
        <f>SUM(P13:AA13)</f>
        <v/>
      </c>
      <c r="BC13" s="20">
        <f>SUM(AB13:AM13)</f>
        <v/>
      </c>
      <c r="BD13" s="20">
        <f>SUM(AN13:AY13)</f>
        <v/>
      </c>
      <c r="BF13" s="20">
        <f>SUM(I13:T13)</f>
        <v/>
      </c>
      <c r="BH13" s="24">
        <f>SUM(BA13:BD13)-SUM(D13:AY13)</f>
        <v/>
      </c>
    </row>
    <row r="14">
      <c r="C14" s="18" t="inlineStr">
        <is>
          <t>Russian Hill</t>
        </is>
      </c>
      <c r="D14" s="19">
        <f>'Sales Forecast'!D13</f>
        <v/>
      </c>
      <c r="E14" s="19">
        <f>'Sales Forecast'!E13</f>
        <v/>
      </c>
      <c r="F14" s="19">
        <f>'Sales Forecast'!F13</f>
        <v/>
      </c>
      <c r="G14" s="19">
        <f>'Sales Forecast'!G13</f>
        <v/>
      </c>
      <c r="H14" s="19">
        <f>'Sales Forecast'!H13</f>
        <v/>
      </c>
      <c r="I14" s="19">
        <f>'Sales Forecast'!I13</f>
        <v/>
      </c>
      <c r="J14" s="19">
        <f>'Sales Forecast'!J13</f>
        <v/>
      </c>
      <c r="K14" s="19">
        <f>'Sales Forecast'!K13</f>
        <v/>
      </c>
      <c r="L14" s="19">
        <f>'Sales Forecast'!L13</f>
        <v/>
      </c>
      <c r="M14" s="19">
        <f>'Sales Forecast'!M13</f>
        <v/>
      </c>
      <c r="N14" s="19">
        <f>'Sales Forecast'!N13</f>
        <v/>
      </c>
      <c r="O14" s="19">
        <f>'Sales Forecast'!O13</f>
        <v/>
      </c>
      <c r="P14" s="19">
        <f>'Sales Forecast'!P13</f>
        <v/>
      </c>
      <c r="Q14" s="19">
        <f>'Sales Forecast'!Q13</f>
        <v/>
      </c>
      <c r="R14" s="19">
        <f>'Sales Forecast'!R13</f>
        <v/>
      </c>
      <c r="S14" s="19">
        <f>'Sales Forecast'!S13</f>
        <v/>
      </c>
      <c r="T14" s="19">
        <f>'Sales Forecast'!T13</f>
        <v/>
      </c>
      <c r="U14" s="20">
        <f>'Sales Forecast'!U13</f>
        <v/>
      </c>
      <c r="V14" s="20">
        <f>'Sales Forecast'!V13</f>
        <v/>
      </c>
      <c r="W14" s="20">
        <f>'Sales Forecast'!W13</f>
        <v/>
      </c>
      <c r="X14" s="20">
        <f>'Sales Forecast'!X13</f>
        <v/>
      </c>
      <c r="Y14" s="20">
        <f>'Sales Forecast'!Y13</f>
        <v/>
      </c>
      <c r="Z14" s="20">
        <f>'Sales Forecast'!Z13</f>
        <v/>
      </c>
      <c r="AA14" s="20">
        <f>'Sales Forecast'!AA13</f>
        <v/>
      </c>
      <c r="AB14" s="20">
        <f>'Sales Forecast'!AB13</f>
        <v/>
      </c>
      <c r="AC14" s="20">
        <f>'Sales Forecast'!AC13</f>
        <v/>
      </c>
      <c r="AD14" s="20">
        <f>'Sales Forecast'!AD13</f>
        <v/>
      </c>
      <c r="AE14" s="20">
        <f>'Sales Forecast'!AE13</f>
        <v/>
      </c>
      <c r="AF14" s="20">
        <f>'Sales Forecast'!AF13</f>
        <v/>
      </c>
      <c r="AG14" s="20">
        <f>'Sales Forecast'!AG13</f>
        <v/>
      </c>
      <c r="AH14" s="20">
        <f>'Sales Forecast'!AH13</f>
        <v/>
      </c>
      <c r="AI14" s="20">
        <f>'Sales Forecast'!AI13</f>
        <v/>
      </c>
      <c r="AJ14" s="20">
        <f>'Sales Forecast'!AJ13</f>
        <v/>
      </c>
      <c r="AK14" s="20">
        <f>'Sales Forecast'!AK13</f>
        <v/>
      </c>
      <c r="AL14" s="20">
        <f>'Sales Forecast'!AL13</f>
        <v/>
      </c>
      <c r="AM14" s="20">
        <f>'Sales Forecast'!AM13</f>
        <v/>
      </c>
      <c r="AN14" s="20">
        <f>'Sales Forecast'!AN13</f>
        <v/>
      </c>
      <c r="AO14" s="20">
        <f>'Sales Forecast'!AO13</f>
        <v/>
      </c>
      <c r="AP14" s="20">
        <f>'Sales Forecast'!AP13</f>
        <v/>
      </c>
      <c r="AQ14" s="20">
        <f>'Sales Forecast'!AQ13</f>
        <v/>
      </c>
      <c r="AR14" s="20">
        <f>'Sales Forecast'!AR13</f>
        <v/>
      </c>
      <c r="AS14" s="20">
        <f>'Sales Forecast'!AS13</f>
        <v/>
      </c>
      <c r="AT14" s="20">
        <f>'Sales Forecast'!AT13</f>
        <v/>
      </c>
      <c r="AU14" s="20">
        <f>'Sales Forecast'!AU13</f>
        <v/>
      </c>
      <c r="AV14" s="20">
        <f>'Sales Forecast'!AV13</f>
        <v/>
      </c>
      <c r="AW14" s="20">
        <f>'Sales Forecast'!AW13</f>
        <v/>
      </c>
      <c r="AX14" s="20">
        <f>'Sales Forecast'!AX13</f>
        <v/>
      </c>
      <c r="AY14" s="20">
        <f>'Sales Forecast'!AY13</f>
        <v/>
      </c>
      <c r="BA14" s="20">
        <f>SUM(D14:O14)</f>
        <v/>
      </c>
      <c r="BB14" s="20">
        <f>SUM(P14:AA14)</f>
        <v/>
      </c>
      <c r="BC14" s="20">
        <f>SUM(AB14:AM14)</f>
        <v/>
      </c>
      <c r="BD14" s="20">
        <f>SUM(AN14:AY14)</f>
        <v/>
      </c>
      <c r="BF14" s="20">
        <f>SUM(I14:T14)</f>
        <v/>
      </c>
      <c r="BH14" s="24">
        <f>SUM(BA14:BD14)-SUM(D14:AY14)</f>
        <v/>
      </c>
    </row>
    <row r="15">
      <c r="C15" s="18" t="inlineStr">
        <is>
          <t>Santa Barbara</t>
        </is>
      </c>
      <c r="D15" s="19">
        <f>'Sales Forecast'!D14</f>
        <v/>
      </c>
      <c r="E15" s="19">
        <f>'Sales Forecast'!E14</f>
        <v/>
      </c>
      <c r="F15" s="19">
        <f>'Sales Forecast'!F14</f>
        <v/>
      </c>
      <c r="G15" s="19">
        <f>'Sales Forecast'!G14</f>
        <v/>
      </c>
      <c r="H15" s="19">
        <f>'Sales Forecast'!H14</f>
        <v/>
      </c>
      <c r="I15" s="19">
        <f>'Sales Forecast'!I14</f>
        <v/>
      </c>
      <c r="J15" s="19">
        <f>'Sales Forecast'!J14</f>
        <v/>
      </c>
      <c r="K15" s="19">
        <f>'Sales Forecast'!K14</f>
        <v/>
      </c>
      <c r="L15" s="19">
        <f>'Sales Forecast'!L14</f>
        <v/>
      </c>
      <c r="M15" s="19">
        <f>'Sales Forecast'!M14</f>
        <v/>
      </c>
      <c r="N15" s="19">
        <f>'Sales Forecast'!N14</f>
        <v/>
      </c>
      <c r="O15" s="19">
        <f>'Sales Forecast'!O14</f>
        <v/>
      </c>
      <c r="P15" s="19">
        <f>'Sales Forecast'!P14</f>
        <v/>
      </c>
      <c r="Q15" s="19">
        <f>'Sales Forecast'!Q14</f>
        <v/>
      </c>
      <c r="R15" s="19">
        <f>'Sales Forecast'!R14</f>
        <v/>
      </c>
      <c r="S15" s="19">
        <f>'Sales Forecast'!S14</f>
        <v/>
      </c>
      <c r="T15" s="19">
        <f>'Sales Forecast'!T14</f>
        <v/>
      </c>
      <c r="U15" s="20">
        <f>'Sales Forecast'!U14</f>
        <v/>
      </c>
      <c r="V15" s="20">
        <f>'Sales Forecast'!V14</f>
        <v/>
      </c>
      <c r="W15" s="20">
        <f>'Sales Forecast'!W14</f>
        <v/>
      </c>
      <c r="X15" s="20">
        <f>'Sales Forecast'!X14</f>
        <v/>
      </c>
      <c r="Y15" s="20">
        <f>'Sales Forecast'!Y14</f>
        <v/>
      </c>
      <c r="Z15" s="20">
        <f>'Sales Forecast'!Z14</f>
        <v/>
      </c>
      <c r="AA15" s="20">
        <f>'Sales Forecast'!AA14</f>
        <v/>
      </c>
      <c r="AB15" s="20">
        <f>'Sales Forecast'!AB14</f>
        <v/>
      </c>
      <c r="AC15" s="20">
        <f>'Sales Forecast'!AC14</f>
        <v/>
      </c>
      <c r="AD15" s="20">
        <f>'Sales Forecast'!AD14</f>
        <v/>
      </c>
      <c r="AE15" s="20">
        <f>'Sales Forecast'!AE14</f>
        <v/>
      </c>
      <c r="AF15" s="20">
        <f>'Sales Forecast'!AF14</f>
        <v/>
      </c>
      <c r="AG15" s="20">
        <f>'Sales Forecast'!AG14</f>
        <v/>
      </c>
      <c r="AH15" s="20">
        <f>'Sales Forecast'!AH14</f>
        <v/>
      </c>
      <c r="AI15" s="20">
        <f>'Sales Forecast'!AI14</f>
        <v/>
      </c>
      <c r="AJ15" s="20">
        <f>'Sales Forecast'!AJ14</f>
        <v/>
      </c>
      <c r="AK15" s="20">
        <f>'Sales Forecast'!AK14</f>
        <v/>
      </c>
      <c r="AL15" s="20">
        <f>'Sales Forecast'!AL14</f>
        <v/>
      </c>
      <c r="AM15" s="20">
        <f>'Sales Forecast'!AM14</f>
        <v/>
      </c>
      <c r="AN15" s="20">
        <f>'Sales Forecast'!AN14</f>
        <v/>
      </c>
      <c r="AO15" s="20">
        <f>'Sales Forecast'!AO14</f>
        <v/>
      </c>
      <c r="AP15" s="20">
        <f>'Sales Forecast'!AP14</f>
        <v/>
      </c>
      <c r="AQ15" s="20">
        <f>'Sales Forecast'!AQ14</f>
        <v/>
      </c>
      <c r="AR15" s="20">
        <f>'Sales Forecast'!AR14</f>
        <v/>
      </c>
      <c r="AS15" s="20">
        <f>'Sales Forecast'!AS14</f>
        <v/>
      </c>
      <c r="AT15" s="20">
        <f>'Sales Forecast'!AT14</f>
        <v/>
      </c>
      <c r="AU15" s="20">
        <f>'Sales Forecast'!AU14</f>
        <v/>
      </c>
      <c r="AV15" s="20">
        <f>'Sales Forecast'!AV14</f>
        <v/>
      </c>
      <c r="AW15" s="20">
        <f>'Sales Forecast'!AW14</f>
        <v/>
      </c>
      <c r="AX15" s="20">
        <f>'Sales Forecast'!AX14</f>
        <v/>
      </c>
      <c r="AY15" s="20">
        <f>'Sales Forecast'!AY14</f>
        <v/>
      </c>
      <c r="BA15" s="20">
        <f>SUM(D15:O15)</f>
        <v/>
      </c>
      <c r="BB15" s="20">
        <f>SUM(P15:AA15)</f>
        <v/>
      </c>
      <c r="BC15" s="20">
        <f>SUM(AB15:AM15)</f>
        <v/>
      </c>
      <c r="BD15" s="20">
        <f>SUM(AN15:AY15)</f>
        <v/>
      </c>
      <c r="BF15" s="20">
        <f>SUM(I15:T15)</f>
        <v/>
      </c>
      <c r="BH15" s="24">
        <f>SUM(BA15:BD15)-SUM(D15:AY15)</f>
        <v/>
      </c>
    </row>
    <row r="16">
      <c r="C16" s="18" t="inlineStr">
        <is>
          <t>Santa Monica</t>
        </is>
      </c>
      <c r="D16" s="19">
        <f>'Sales Forecast'!D15</f>
        <v/>
      </c>
      <c r="E16" s="19">
        <f>'Sales Forecast'!E15</f>
        <v/>
      </c>
      <c r="F16" s="19">
        <f>'Sales Forecast'!F15</f>
        <v/>
      </c>
      <c r="G16" s="19">
        <f>'Sales Forecast'!G15</f>
        <v/>
      </c>
      <c r="H16" s="19">
        <f>'Sales Forecast'!H15</f>
        <v/>
      </c>
      <c r="I16" s="19">
        <f>'Sales Forecast'!I15</f>
        <v/>
      </c>
      <c r="J16" s="19">
        <f>'Sales Forecast'!J15</f>
        <v/>
      </c>
      <c r="K16" s="19">
        <f>'Sales Forecast'!K15</f>
        <v/>
      </c>
      <c r="L16" s="19">
        <f>'Sales Forecast'!L15</f>
        <v/>
      </c>
      <c r="M16" s="19">
        <f>'Sales Forecast'!M15</f>
        <v/>
      </c>
      <c r="N16" s="19">
        <f>'Sales Forecast'!N15</f>
        <v/>
      </c>
      <c r="O16" s="19">
        <f>'Sales Forecast'!O15</f>
        <v/>
      </c>
      <c r="P16" s="19">
        <f>'Sales Forecast'!P15</f>
        <v/>
      </c>
      <c r="Q16" s="19">
        <f>'Sales Forecast'!Q15</f>
        <v/>
      </c>
      <c r="R16" s="19">
        <f>'Sales Forecast'!R15</f>
        <v/>
      </c>
      <c r="S16" s="19">
        <f>'Sales Forecast'!S15</f>
        <v/>
      </c>
      <c r="T16" s="19">
        <f>'Sales Forecast'!T15</f>
        <v/>
      </c>
      <c r="U16" s="20">
        <f>'Sales Forecast'!U15</f>
        <v/>
      </c>
      <c r="V16" s="20">
        <f>'Sales Forecast'!V15</f>
        <v/>
      </c>
      <c r="W16" s="20">
        <f>'Sales Forecast'!W15</f>
        <v/>
      </c>
      <c r="X16" s="20">
        <f>'Sales Forecast'!X15</f>
        <v/>
      </c>
      <c r="Y16" s="20">
        <f>'Sales Forecast'!Y15</f>
        <v/>
      </c>
      <c r="Z16" s="20">
        <f>'Sales Forecast'!Z15</f>
        <v/>
      </c>
      <c r="AA16" s="20">
        <f>'Sales Forecast'!AA15</f>
        <v/>
      </c>
      <c r="AB16" s="20">
        <f>'Sales Forecast'!AB15</f>
        <v/>
      </c>
      <c r="AC16" s="20">
        <f>'Sales Forecast'!AC15</f>
        <v/>
      </c>
      <c r="AD16" s="20">
        <f>'Sales Forecast'!AD15</f>
        <v/>
      </c>
      <c r="AE16" s="20">
        <f>'Sales Forecast'!AE15</f>
        <v/>
      </c>
      <c r="AF16" s="20">
        <f>'Sales Forecast'!AF15</f>
        <v/>
      </c>
      <c r="AG16" s="20">
        <f>'Sales Forecast'!AG15</f>
        <v/>
      </c>
      <c r="AH16" s="20">
        <f>'Sales Forecast'!AH15</f>
        <v/>
      </c>
      <c r="AI16" s="20">
        <f>'Sales Forecast'!AI15</f>
        <v/>
      </c>
      <c r="AJ16" s="20">
        <f>'Sales Forecast'!AJ15</f>
        <v/>
      </c>
      <c r="AK16" s="20">
        <f>'Sales Forecast'!AK15</f>
        <v/>
      </c>
      <c r="AL16" s="20">
        <f>'Sales Forecast'!AL15</f>
        <v/>
      </c>
      <c r="AM16" s="20">
        <f>'Sales Forecast'!AM15</f>
        <v/>
      </c>
      <c r="AN16" s="20">
        <f>'Sales Forecast'!AN15</f>
        <v/>
      </c>
      <c r="AO16" s="20">
        <f>'Sales Forecast'!AO15</f>
        <v/>
      </c>
      <c r="AP16" s="20">
        <f>'Sales Forecast'!AP15</f>
        <v/>
      </c>
      <c r="AQ16" s="20">
        <f>'Sales Forecast'!AQ15</f>
        <v/>
      </c>
      <c r="AR16" s="20">
        <f>'Sales Forecast'!AR15</f>
        <v/>
      </c>
      <c r="AS16" s="20">
        <f>'Sales Forecast'!AS15</f>
        <v/>
      </c>
      <c r="AT16" s="20">
        <f>'Sales Forecast'!AT15</f>
        <v/>
      </c>
      <c r="AU16" s="20">
        <f>'Sales Forecast'!AU15</f>
        <v/>
      </c>
      <c r="AV16" s="20">
        <f>'Sales Forecast'!AV15</f>
        <v/>
      </c>
      <c r="AW16" s="20">
        <f>'Sales Forecast'!AW15</f>
        <v/>
      </c>
      <c r="AX16" s="20">
        <f>'Sales Forecast'!AX15</f>
        <v/>
      </c>
      <c r="AY16" s="20">
        <f>'Sales Forecast'!AY15</f>
        <v/>
      </c>
      <c r="BA16" s="20">
        <f>SUM(D16:O16)</f>
        <v/>
      </c>
      <c r="BB16" s="20">
        <f>SUM(P16:AA16)</f>
        <v/>
      </c>
      <c r="BC16" s="20">
        <f>SUM(AB16:AM16)</f>
        <v/>
      </c>
      <c r="BD16" s="20">
        <f>SUM(AN16:AY16)</f>
        <v/>
      </c>
      <c r="BF16" s="20">
        <f>SUM(I16:T16)</f>
        <v/>
      </c>
      <c r="BH16" s="24">
        <f>SUM(BA16:BD16)-SUM(D16:AY16)</f>
        <v/>
      </c>
    </row>
    <row r="17">
      <c r="C17" s="18" t="inlineStr">
        <is>
          <t>West Portal</t>
        </is>
      </c>
      <c r="D17" s="19">
        <f>'Sales Forecast'!D16</f>
        <v/>
      </c>
      <c r="E17" s="19">
        <f>'Sales Forecast'!E16</f>
        <v/>
      </c>
      <c r="F17" s="19">
        <f>'Sales Forecast'!F16</f>
        <v/>
      </c>
      <c r="G17" s="19">
        <f>'Sales Forecast'!G16</f>
        <v/>
      </c>
      <c r="H17" s="19">
        <f>'Sales Forecast'!H16</f>
        <v/>
      </c>
      <c r="I17" s="19">
        <f>'Sales Forecast'!I16</f>
        <v/>
      </c>
      <c r="J17" s="19">
        <f>'Sales Forecast'!J16</f>
        <v/>
      </c>
      <c r="K17" s="19">
        <f>'Sales Forecast'!K16</f>
        <v/>
      </c>
      <c r="L17" s="19">
        <f>'Sales Forecast'!L16</f>
        <v/>
      </c>
      <c r="M17" s="19">
        <f>'Sales Forecast'!M16</f>
        <v/>
      </c>
      <c r="N17" s="19">
        <f>'Sales Forecast'!N16</f>
        <v/>
      </c>
      <c r="O17" s="19">
        <f>'Sales Forecast'!O16</f>
        <v/>
      </c>
      <c r="P17" s="19">
        <f>'Sales Forecast'!P16</f>
        <v/>
      </c>
      <c r="Q17" s="19">
        <f>'Sales Forecast'!Q16</f>
        <v/>
      </c>
      <c r="R17" s="19">
        <f>'Sales Forecast'!R16</f>
        <v/>
      </c>
      <c r="S17" s="19">
        <f>'Sales Forecast'!S16</f>
        <v/>
      </c>
      <c r="T17" s="19">
        <f>'Sales Forecast'!T16</f>
        <v/>
      </c>
      <c r="U17" s="20">
        <f>'Sales Forecast'!U16</f>
        <v/>
      </c>
      <c r="V17" s="20">
        <f>'Sales Forecast'!V16</f>
        <v/>
      </c>
      <c r="W17" s="20">
        <f>'Sales Forecast'!W16</f>
        <v/>
      </c>
      <c r="X17" s="20">
        <f>'Sales Forecast'!X16</f>
        <v/>
      </c>
      <c r="Y17" s="20">
        <f>'Sales Forecast'!Y16</f>
        <v/>
      </c>
      <c r="Z17" s="20">
        <f>'Sales Forecast'!Z16</f>
        <v/>
      </c>
      <c r="AA17" s="20">
        <f>'Sales Forecast'!AA16</f>
        <v/>
      </c>
      <c r="AB17" s="20">
        <f>'Sales Forecast'!AB16</f>
        <v/>
      </c>
      <c r="AC17" s="20">
        <f>'Sales Forecast'!AC16</f>
        <v/>
      </c>
      <c r="AD17" s="20">
        <f>'Sales Forecast'!AD16</f>
        <v/>
      </c>
      <c r="AE17" s="20">
        <f>'Sales Forecast'!AE16</f>
        <v/>
      </c>
      <c r="AF17" s="20">
        <f>'Sales Forecast'!AF16</f>
        <v/>
      </c>
      <c r="AG17" s="20">
        <f>'Sales Forecast'!AG16</f>
        <v/>
      </c>
      <c r="AH17" s="20">
        <f>'Sales Forecast'!AH16</f>
        <v/>
      </c>
      <c r="AI17" s="20">
        <f>'Sales Forecast'!AI16</f>
        <v/>
      </c>
      <c r="AJ17" s="20">
        <f>'Sales Forecast'!AJ16</f>
        <v/>
      </c>
      <c r="AK17" s="20">
        <f>'Sales Forecast'!AK16</f>
        <v/>
      </c>
      <c r="AL17" s="20">
        <f>'Sales Forecast'!AL16</f>
        <v/>
      </c>
      <c r="AM17" s="20">
        <f>'Sales Forecast'!AM16</f>
        <v/>
      </c>
      <c r="AN17" s="20">
        <f>'Sales Forecast'!AN16</f>
        <v/>
      </c>
      <c r="AO17" s="20">
        <f>'Sales Forecast'!AO16</f>
        <v/>
      </c>
      <c r="AP17" s="20">
        <f>'Sales Forecast'!AP16</f>
        <v/>
      </c>
      <c r="AQ17" s="20">
        <f>'Sales Forecast'!AQ16</f>
        <v/>
      </c>
      <c r="AR17" s="20">
        <f>'Sales Forecast'!AR16</f>
        <v/>
      </c>
      <c r="AS17" s="20">
        <f>'Sales Forecast'!AS16</f>
        <v/>
      </c>
      <c r="AT17" s="20">
        <f>'Sales Forecast'!AT16</f>
        <v/>
      </c>
      <c r="AU17" s="20">
        <f>'Sales Forecast'!AU16</f>
        <v/>
      </c>
      <c r="AV17" s="20">
        <f>'Sales Forecast'!AV16</f>
        <v/>
      </c>
      <c r="AW17" s="20">
        <f>'Sales Forecast'!AW16</f>
        <v/>
      </c>
      <c r="AX17" s="20">
        <f>'Sales Forecast'!AX16</f>
        <v/>
      </c>
      <c r="AY17" s="20">
        <f>'Sales Forecast'!AY16</f>
        <v/>
      </c>
      <c r="BA17" s="20">
        <f>SUM(D17:O17)</f>
        <v/>
      </c>
      <c r="BB17" s="20">
        <f>SUM(P17:AA17)</f>
        <v/>
      </c>
      <c r="BC17" s="20">
        <f>SUM(AB17:AM17)</f>
        <v/>
      </c>
      <c r="BD17" s="20">
        <f>SUM(AN17:AY17)</f>
        <v/>
      </c>
      <c r="BF17" s="20">
        <f>SUM(I17:T17)</f>
        <v/>
      </c>
      <c r="BH17" s="24">
        <f>SUM(BA17:BD17)-SUM(D17:AY17)</f>
        <v/>
      </c>
    </row>
    <row r="18">
      <c r="C18" s="18" t="inlineStr">
        <is>
          <t>Westwood</t>
        </is>
      </c>
      <c r="D18" s="19">
        <f>'Sales Forecast'!D17</f>
        <v/>
      </c>
      <c r="E18" s="19">
        <f>'Sales Forecast'!E17</f>
        <v/>
      </c>
      <c r="F18" s="19">
        <f>'Sales Forecast'!F17</f>
        <v/>
      </c>
      <c r="G18" s="19">
        <f>'Sales Forecast'!G17</f>
        <v/>
      </c>
      <c r="H18" s="19">
        <f>'Sales Forecast'!H17</f>
        <v/>
      </c>
      <c r="I18" s="19">
        <f>'Sales Forecast'!I17</f>
        <v/>
      </c>
      <c r="J18" s="19">
        <f>'Sales Forecast'!J17</f>
        <v/>
      </c>
      <c r="K18" s="19">
        <f>'Sales Forecast'!K17</f>
        <v/>
      </c>
      <c r="L18" s="19">
        <f>'Sales Forecast'!L17</f>
        <v/>
      </c>
      <c r="M18" s="19">
        <f>'Sales Forecast'!M17</f>
        <v/>
      </c>
      <c r="N18" s="19">
        <f>'Sales Forecast'!N17</f>
        <v/>
      </c>
      <c r="O18" s="19">
        <f>'Sales Forecast'!O17</f>
        <v/>
      </c>
      <c r="P18" s="19">
        <f>'Sales Forecast'!P17</f>
        <v/>
      </c>
      <c r="Q18" s="19">
        <f>'Sales Forecast'!Q17</f>
        <v/>
      </c>
      <c r="R18" s="19">
        <f>'Sales Forecast'!R17</f>
        <v/>
      </c>
      <c r="S18" s="19">
        <f>'Sales Forecast'!S17</f>
        <v/>
      </c>
      <c r="T18" s="19">
        <f>'Sales Forecast'!T17</f>
        <v/>
      </c>
      <c r="U18" s="20">
        <f>'Sales Forecast'!U17</f>
        <v/>
      </c>
      <c r="V18" s="20">
        <f>'Sales Forecast'!V17</f>
        <v/>
      </c>
      <c r="W18" s="20">
        <f>'Sales Forecast'!W17</f>
        <v/>
      </c>
      <c r="X18" s="20">
        <f>'Sales Forecast'!X17</f>
        <v/>
      </c>
      <c r="Y18" s="20">
        <f>'Sales Forecast'!Y17</f>
        <v/>
      </c>
      <c r="Z18" s="20">
        <f>'Sales Forecast'!Z17</f>
        <v/>
      </c>
      <c r="AA18" s="20">
        <f>'Sales Forecast'!AA17</f>
        <v/>
      </c>
      <c r="AB18" s="20">
        <f>'Sales Forecast'!AB17</f>
        <v/>
      </c>
      <c r="AC18" s="20">
        <f>'Sales Forecast'!AC17</f>
        <v/>
      </c>
      <c r="AD18" s="20">
        <f>'Sales Forecast'!AD17</f>
        <v/>
      </c>
      <c r="AE18" s="20">
        <f>'Sales Forecast'!AE17</f>
        <v/>
      </c>
      <c r="AF18" s="20">
        <f>'Sales Forecast'!AF17</f>
        <v/>
      </c>
      <c r="AG18" s="20">
        <f>'Sales Forecast'!AG17</f>
        <v/>
      </c>
      <c r="AH18" s="20">
        <f>'Sales Forecast'!AH17</f>
        <v/>
      </c>
      <c r="AI18" s="20">
        <f>'Sales Forecast'!AI17</f>
        <v/>
      </c>
      <c r="AJ18" s="20">
        <f>'Sales Forecast'!AJ17</f>
        <v/>
      </c>
      <c r="AK18" s="20">
        <f>'Sales Forecast'!AK17</f>
        <v/>
      </c>
      <c r="AL18" s="20">
        <f>'Sales Forecast'!AL17</f>
        <v/>
      </c>
      <c r="AM18" s="20">
        <f>'Sales Forecast'!AM17</f>
        <v/>
      </c>
      <c r="AN18" s="20">
        <f>'Sales Forecast'!AN17</f>
        <v/>
      </c>
      <c r="AO18" s="20">
        <f>'Sales Forecast'!AO17</f>
        <v/>
      </c>
      <c r="AP18" s="20">
        <f>'Sales Forecast'!AP17</f>
        <v/>
      </c>
      <c r="AQ18" s="20">
        <f>'Sales Forecast'!AQ17</f>
        <v/>
      </c>
      <c r="AR18" s="20">
        <f>'Sales Forecast'!AR17</f>
        <v/>
      </c>
      <c r="AS18" s="20">
        <f>'Sales Forecast'!AS17</f>
        <v/>
      </c>
      <c r="AT18" s="20">
        <f>'Sales Forecast'!AT17</f>
        <v/>
      </c>
      <c r="AU18" s="20">
        <f>'Sales Forecast'!AU17</f>
        <v/>
      </c>
      <c r="AV18" s="20">
        <f>'Sales Forecast'!AV17</f>
        <v/>
      </c>
      <c r="AW18" s="20">
        <f>'Sales Forecast'!AW17</f>
        <v/>
      </c>
      <c r="AX18" s="20">
        <f>'Sales Forecast'!AX17</f>
        <v/>
      </c>
      <c r="AY18" s="20">
        <f>'Sales Forecast'!AY17</f>
        <v/>
      </c>
      <c r="BA18" s="20">
        <f>SUM(D18:O18)</f>
        <v/>
      </c>
      <c r="BB18" s="20">
        <f>SUM(P18:AA18)</f>
        <v/>
      </c>
      <c r="BC18" s="20">
        <f>SUM(AB18:AM18)</f>
        <v/>
      </c>
      <c r="BD18" s="20">
        <f>SUM(AN18:AY18)</f>
        <v/>
      </c>
      <c r="BF18" s="20">
        <f>SUM(I18:T18)</f>
        <v/>
      </c>
      <c r="BH18" s="24">
        <f>SUM(BA18:BD18)-SUM(D18:AY18)</f>
        <v/>
      </c>
    </row>
    <row r="19">
      <c r="C19" s="39" t="inlineStr">
        <is>
          <t>Head Office</t>
        </is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  <c r="BA19" s="41">
        <f>SUM(D19:O19)</f>
        <v/>
      </c>
      <c r="BB19" s="41">
        <f>SUM(P19:AA19)</f>
        <v/>
      </c>
      <c r="BC19" s="41">
        <f>SUM(AB19:AM19)</f>
        <v/>
      </c>
      <c r="BD19" s="41">
        <f>SUM(AN19:AY19)</f>
        <v/>
      </c>
      <c r="BF19" s="41">
        <f>SUM(I19:T19)</f>
        <v/>
      </c>
      <c r="BH19" s="24">
        <f>SUM(BA19:BD19)-SUM(D19:AY19)</f>
        <v/>
      </c>
    </row>
    <row r="20" ht="16.05" customHeight="1" s="142"/>
    <row r="21" ht="16.05" customHeight="1" s="142">
      <c r="B21" s="10" t="inlineStr">
        <is>
          <t>Monthly EBITDA by Studio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BA21" s="11" t="n"/>
      <c r="BB21" s="11" t="n"/>
      <c r="BC21" s="11" t="n"/>
      <c r="BD21" s="11" t="n"/>
      <c r="BF21" s="11" t="n"/>
    </row>
    <row r="22">
      <c r="B22" s="15" t="inlineStr">
        <is>
          <t>Total EBITDA</t>
        </is>
      </c>
      <c r="D22" s="16">
        <f>SUM(D23:D35)</f>
        <v/>
      </c>
      <c r="E22" s="16">
        <f>SUM(E23:E35)</f>
        <v/>
      </c>
      <c r="F22" s="16">
        <f>SUM(F23:F35)</f>
        <v/>
      </c>
      <c r="G22" s="16">
        <f>SUM(G23:G35)</f>
        <v/>
      </c>
      <c r="H22" s="16">
        <f>SUM(H23:H35)</f>
        <v/>
      </c>
      <c r="I22" s="16">
        <f>SUM(I23:I35)</f>
        <v/>
      </c>
      <c r="J22" s="16">
        <f>SUM(J23:J35)</f>
        <v/>
      </c>
      <c r="K22" s="16">
        <f>SUM(K23:K35)</f>
        <v/>
      </c>
      <c r="L22" s="16">
        <f>SUM(L23:L35)</f>
        <v/>
      </c>
      <c r="M22" s="16">
        <f>SUM(M23:M35)</f>
        <v/>
      </c>
      <c r="N22" s="16">
        <f>SUM(N23:N35)</f>
        <v/>
      </c>
      <c r="O22" s="16">
        <f>SUM(O23:O35)</f>
        <v/>
      </c>
      <c r="P22" s="16">
        <f>SUM(P23:P35)</f>
        <v/>
      </c>
      <c r="Q22" s="16">
        <f>SUM(Q23:Q35)</f>
        <v/>
      </c>
      <c r="R22" s="16">
        <f>SUM(R23:R35)</f>
        <v/>
      </c>
      <c r="S22" s="16">
        <f>SUM(S23:S35)</f>
        <v/>
      </c>
      <c r="T22" s="16">
        <f>SUM(T23:T35)</f>
        <v/>
      </c>
      <c r="U22" s="17">
        <f>SUM(U23:U35)</f>
        <v/>
      </c>
      <c r="V22" s="17">
        <f>SUM(V23:V35)</f>
        <v/>
      </c>
      <c r="W22" s="17">
        <f>SUM(W23:W35)</f>
        <v/>
      </c>
      <c r="X22" s="17">
        <f>SUM(X23:X35)</f>
        <v/>
      </c>
      <c r="Y22" s="17">
        <f>SUM(Y23:Y35)</f>
        <v/>
      </c>
      <c r="Z22" s="17">
        <f>SUM(Z23:Z35)</f>
        <v/>
      </c>
      <c r="AA22" s="17">
        <f>SUM(AA23:AA35)</f>
        <v/>
      </c>
      <c r="AB22" s="17">
        <f>SUM(AB23:AB35)</f>
        <v/>
      </c>
      <c r="AC22" s="17">
        <f>SUM(AC23:AC35)</f>
        <v/>
      </c>
      <c r="AD22" s="17">
        <f>SUM(AD23:AD35)</f>
        <v/>
      </c>
      <c r="AE22" s="17">
        <f>SUM(AE23:AE35)</f>
        <v/>
      </c>
      <c r="AF22" s="17">
        <f>SUM(AF23:AF35)</f>
        <v/>
      </c>
      <c r="AG22" s="17">
        <f>SUM(AG23:AG35)</f>
        <v/>
      </c>
      <c r="AH22" s="17">
        <f>SUM(AH23:AH35)</f>
        <v/>
      </c>
      <c r="AI22" s="17">
        <f>SUM(AI23:AI35)</f>
        <v/>
      </c>
      <c r="AJ22" s="17">
        <f>SUM(AJ23:AJ35)</f>
        <v/>
      </c>
      <c r="AK22" s="17">
        <f>SUM(AK23:AK35)</f>
        <v/>
      </c>
      <c r="AL22" s="17">
        <f>SUM(AL23:AL35)</f>
        <v/>
      </c>
      <c r="AM22" s="17">
        <f>SUM(AM23:AM35)</f>
        <v/>
      </c>
      <c r="AN22" s="17">
        <f>SUM(AN23:AN35)</f>
        <v/>
      </c>
      <c r="AO22" s="17">
        <f>SUM(AO23:AO35)</f>
        <v/>
      </c>
      <c r="AP22" s="17">
        <f>SUM(AP23:AP35)</f>
        <v/>
      </c>
      <c r="AQ22" s="17">
        <f>SUM(AQ23:AQ35)</f>
        <v/>
      </c>
      <c r="AR22" s="17">
        <f>SUM(AR23:AR35)</f>
        <v/>
      </c>
      <c r="AS22" s="17">
        <f>SUM(AS23:AS35)</f>
        <v/>
      </c>
      <c r="AT22" s="17">
        <f>SUM(AT23:AT35)</f>
        <v/>
      </c>
      <c r="AU22" s="17">
        <f>SUM(AU23:AU35)</f>
        <v/>
      </c>
      <c r="AV22" s="17">
        <f>SUM(AV23:AV35)</f>
        <v/>
      </c>
      <c r="AW22" s="17">
        <f>SUM(AW23:AW35)</f>
        <v/>
      </c>
      <c r="AX22" s="17">
        <f>SUM(AX23:AX35)</f>
        <v/>
      </c>
      <c r="AY22" s="17">
        <f>SUM(AY23:AY35)</f>
        <v/>
      </c>
      <c r="BA22" s="17">
        <f>SUM(D22:O22)</f>
        <v/>
      </c>
      <c r="BB22" s="17">
        <f>SUM(P22:AA22)</f>
        <v/>
      </c>
      <c r="BC22" s="17">
        <f>SUM(AB22:AM22)</f>
        <v/>
      </c>
      <c r="BD22" s="17">
        <f>SUM(AN22:AY22)</f>
        <v/>
      </c>
      <c r="BF22" s="17">
        <f>SUM(I22:T22)</f>
        <v/>
      </c>
      <c r="BH22" s="24">
        <f>SUM(BA22:BD22)-SUM(D22:AY22)</f>
        <v/>
      </c>
    </row>
    <row r="23">
      <c r="C23" s="18" t="inlineStr">
        <is>
          <t>Berkeley</t>
        </is>
      </c>
      <c r="D23" s="19">
        <f>'BK P&amp;L'!D63</f>
        <v/>
      </c>
      <c r="E23" s="19">
        <f>'BK P&amp;L'!E63</f>
        <v/>
      </c>
      <c r="F23" s="19">
        <f>'BK P&amp;L'!F63</f>
        <v/>
      </c>
      <c r="G23" s="19">
        <f>'BK P&amp;L'!G63</f>
        <v/>
      </c>
      <c r="H23" s="19">
        <f>'BK P&amp;L'!H63</f>
        <v/>
      </c>
      <c r="I23" s="19">
        <f>'BK P&amp;L'!I63</f>
        <v/>
      </c>
      <c r="J23" s="19">
        <f>'BK P&amp;L'!J63</f>
        <v/>
      </c>
      <c r="K23" s="19">
        <f>'BK P&amp;L'!K63</f>
        <v/>
      </c>
      <c r="L23" s="19">
        <f>'BK P&amp;L'!L63</f>
        <v/>
      </c>
      <c r="M23" s="19">
        <f>'BK P&amp;L'!M63</f>
        <v/>
      </c>
      <c r="N23" s="19">
        <f>'BK P&amp;L'!N63</f>
        <v/>
      </c>
      <c r="O23" s="19">
        <f>'BK P&amp;L'!O63</f>
        <v/>
      </c>
      <c r="P23" s="19">
        <f>'BK P&amp;L'!P63</f>
        <v/>
      </c>
      <c r="Q23" s="19">
        <f>'BK P&amp;L'!Q63</f>
        <v/>
      </c>
      <c r="R23" s="19">
        <f>'BK P&amp;L'!R63</f>
        <v/>
      </c>
      <c r="S23" s="19">
        <f>'BK P&amp;L'!S63</f>
        <v/>
      </c>
      <c r="T23" s="19">
        <f>'BK P&amp;L'!T63</f>
        <v/>
      </c>
      <c r="U23" s="20">
        <f>'BK P&amp;L'!U63</f>
        <v/>
      </c>
      <c r="V23" s="20">
        <f>'BK P&amp;L'!V63</f>
        <v/>
      </c>
      <c r="W23" s="20">
        <f>'BK P&amp;L'!W63</f>
        <v/>
      </c>
      <c r="X23" s="20">
        <f>'BK P&amp;L'!X63</f>
        <v/>
      </c>
      <c r="Y23" s="20">
        <f>'BK P&amp;L'!Y63</f>
        <v/>
      </c>
      <c r="Z23" s="20">
        <f>'BK P&amp;L'!Z63</f>
        <v/>
      </c>
      <c r="AA23" s="20">
        <f>'BK P&amp;L'!AA63</f>
        <v/>
      </c>
      <c r="AB23" s="20">
        <f>'BK P&amp;L'!AB63</f>
        <v/>
      </c>
      <c r="AC23" s="20">
        <f>'BK P&amp;L'!AC63</f>
        <v/>
      </c>
      <c r="AD23" s="20">
        <f>'BK P&amp;L'!AD63</f>
        <v/>
      </c>
      <c r="AE23" s="20">
        <f>'BK P&amp;L'!AE63</f>
        <v/>
      </c>
      <c r="AF23" s="20">
        <f>'BK P&amp;L'!AF63</f>
        <v/>
      </c>
      <c r="AG23" s="20">
        <f>'BK P&amp;L'!AG63</f>
        <v/>
      </c>
      <c r="AH23" s="20">
        <f>'BK P&amp;L'!AH63</f>
        <v/>
      </c>
      <c r="AI23" s="20">
        <f>'BK P&amp;L'!AI63</f>
        <v/>
      </c>
      <c r="AJ23" s="20">
        <f>'BK P&amp;L'!AJ63</f>
        <v/>
      </c>
      <c r="AK23" s="20">
        <f>'BK P&amp;L'!AK63</f>
        <v/>
      </c>
      <c r="AL23" s="20">
        <f>'BK P&amp;L'!AL63</f>
        <v/>
      </c>
      <c r="AM23" s="20">
        <f>'BK P&amp;L'!AM63</f>
        <v/>
      </c>
      <c r="AN23" s="20">
        <f>'BK P&amp;L'!AN63</f>
        <v/>
      </c>
      <c r="AO23" s="20">
        <f>'BK P&amp;L'!AO63</f>
        <v/>
      </c>
      <c r="AP23" s="20">
        <f>'BK P&amp;L'!AP63</f>
        <v/>
      </c>
      <c r="AQ23" s="20">
        <f>'BK P&amp;L'!AQ63</f>
        <v/>
      </c>
      <c r="AR23" s="20">
        <f>'BK P&amp;L'!AR63</f>
        <v/>
      </c>
      <c r="AS23" s="20">
        <f>'BK P&amp;L'!AS63</f>
        <v/>
      </c>
      <c r="AT23" s="20">
        <f>'BK P&amp;L'!AT63</f>
        <v/>
      </c>
      <c r="AU23" s="20">
        <f>'BK P&amp;L'!AU63</f>
        <v/>
      </c>
      <c r="AV23" s="20">
        <f>'BK P&amp;L'!AV63</f>
        <v/>
      </c>
      <c r="AW23" s="20">
        <f>'BK P&amp;L'!AW63</f>
        <v/>
      </c>
      <c r="AX23" s="20">
        <f>'BK P&amp;L'!AX63</f>
        <v/>
      </c>
      <c r="AY23" s="20">
        <f>'BK P&amp;L'!AY63</f>
        <v/>
      </c>
      <c r="BA23" s="20">
        <f>SUM(D23:O23)</f>
        <v/>
      </c>
      <c r="BB23" s="20">
        <f>SUM(P23:AA23)</f>
        <v/>
      </c>
      <c r="BC23" s="20">
        <f>SUM(AB23:AM23)</f>
        <v/>
      </c>
      <c r="BD23" s="20">
        <f>SUM(AN23:AY23)</f>
        <v/>
      </c>
      <c r="BF23" s="20">
        <f>SUM(I23:T23)</f>
        <v/>
      </c>
      <c r="BH23" s="24">
        <f>SUM(BA23:BD23)-SUM(D23:AY23)</f>
        <v/>
      </c>
    </row>
    <row r="24">
      <c r="C24" s="18" t="inlineStr">
        <is>
          <t>Culver City</t>
        </is>
      </c>
      <c r="D24" s="19">
        <f>'CC P&amp;L'!D63</f>
        <v/>
      </c>
      <c r="E24" s="19">
        <f>'CC P&amp;L'!E63</f>
        <v/>
      </c>
      <c r="F24" s="19">
        <f>'CC P&amp;L'!F63</f>
        <v/>
      </c>
      <c r="G24" s="19">
        <f>'CC P&amp;L'!G63</f>
        <v/>
      </c>
      <c r="H24" s="19">
        <f>'CC P&amp;L'!H63</f>
        <v/>
      </c>
      <c r="I24" s="19">
        <f>'CC P&amp;L'!I63</f>
        <v/>
      </c>
      <c r="J24" s="19">
        <f>'CC P&amp;L'!J63</f>
        <v/>
      </c>
      <c r="K24" s="19">
        <f>'CC P&amp;L'!K63</f>
        <v/>
      </c>
      <c r="L24" s="19">
        <f>'CC P&amp;L'!L63</f>
        <v/>
      </c>
      <c r="M24" s="19">
        <f>'CC P&amp;L'!M63</f>
        <v/>
      </c>
      <c r="N24" s="19">
        <f>'CC P&amp;L'!N63</f>
        <v/>
      </c>
      <c r="O24" s="19">
        <f>'CC P&amp;L'!O63</f>
        <v/>
      </c>
      <c r="P24" s="19">
        <f>'CC P&amp;L'!P63</f>
        <v/>
      </c>
      <c r="Q24" s="19">
        <f>'CC P&amp;L'!Q63</f>
        <v/>
      </c>
      <c r="R24" s="19">
        <f>'CC P&amp;L'!R63</f>
        <v/>
      </c>
      <c r="S24" s="19">
        <f>'CC P&amp;L'!S63</f>
        <v/>
      </c>
      <c r="T24" s="19">
        <f>'CC P&amp;L'!T63</f>
        <v/>
      </c>
      <c r="U24" s="20">
        <f>'CC P&amp;L'!U63</f>
        <v/>
      </c>
      <c r="V24" s="20">
        <f>'CC P&amp;L'!V63</f>
        <v/>
      </c>
      <c r="W24" s="20">
        <f>'CC P&amp;L'!W63</f>
        <v/>
      </c>
      <c r="X24" s="20">
        <f>'CC P&amp;L'!X63</f>
        <v/>
      </c>
      <c r="Y24" s="20">
        <f>'CC P&amp;L'!Y63</f>
        <v/>
      </c>
      <c r="Z24" s="20">
        <f>'CC P&amp;L'!Z63</f>
        <v/>
      </c>
      <c r="AA24" s="20">
        <f>'CC P&amp;L'!AA63</f>
        <v/>
      </c>
      <c r="AB24" s="20">
        <f>'CC P&amp;L'!AB63</f>
        <v/>
      </c>
      <c r="AC24" s="20">
        <f>'CC P&amp;L'!AC63</f>
        <v/>
      </c>
      <c r="AD24" s="20">
        <f>'CC P&amp;L'!AD63</f>
        <v/>
      </c>
      <c r="AE24" s="20">
        <f>'CC P&amp;L'!AE63</f>
        <v/>
      </c>
      <c r="AF24" s="20">
        <f>'CC P&amp;L'!AF63</f>
        <v/>
      </c>
      <c r="AG24" s="20">
        <f>'CC P&amp;L'!AG63</f>
        <v/>
      </c>
      <c r="AH24" s="20">
        <f>'CC P&amp;L'!AH63</f>
        <v/>
      </c>
      <c r="AI24" s="20">
        <f>'CC P&amp;L'!AI63</f>
        <v/>
      </c>
      <c r="AJ24" s="20">
        <f>'CC P&amp;L'!AJ63</f>
        <v/>
      </c>
      <c r="AK24" s="20">
        <f>'CC P&amp;L'!AK63</f>
        <v/>
      </c>
      <c r="AL24" s="20">
        <f>'CC P&amp;L'!AL63</f>
        <v/>
      </c>
      <c r="AM24" s="20">
        <f>'CC P&amp;L'!AM63</f>
        <v/>
      </c>
      <c r="AN24" s="20">
        <f>'CC P&amp;L'!AN63</f>
        <v/>
      </c>
      <c r="AO24" s="20">
        <f>'CC P&amp;L'!AO63</f>
        <v/>
      </c>
      <c r="AP24" s="20">
        <f>'CC P&amp;L'!AP63</f>
        <v/>
      </c>
      <c r="AQ24" s="20">
        <f>'CC P&amp;L'!AQ63</f>
        <v/>
      </c>
      <c r="AR24" s="20">
        <f>'CC P&amp;L'!AR63</f>
        <v/>
      </c>
      <c r="AS24" s="20">
        <f>'CC P&amp;L'!AS63</f>
        <v/>
      </c>
      <c r="AT24" s="20">
        <f>'CC P&amp;L'!AT63</f>
        <v/>
      </c>
      <c r="AU24" s="20">
        <f>'CC P&amp;L'!AU63</f>
        <v/>
      </c>
      <c r="AV24" s="20">
        <f>'CC P&amp;L'!AV63</f>
        <v/>
      </c>
      <c r="AW24" s="20">
        <f>'CC P&amp;L'!AW63</f>
        <v/>
      </c>
      <c r="AX24" s="20">
        <f>'CC P&amp;L'!AX63</f>
        <v/>
      </c>
      <c r="AY24" s="20">
        <f>'CC P&amp;L'!AY63</f>
        <v/>
      </c>
      <c r="BA24" s="20">
        <f>SUM(D24:O24)</f>
        <v/>
      </c>
      <c r="BB24" s="20">
        <f>SUM(P24:AA24)</f>
        <v/>
      </c>
      <c r="BC24" s="20">
        <f>SUM(AB24:AM24)</f>
        <v/>
      </c>
      <c r="BD24" s="20">
        <f>SUM(AN24:AY24)</f>
        <v/>
      </c>
      <c r="BF24" s="20">
        <f>SUM(I24:T24)</f>
        <v/>
      </c>
      <c r="BH24" s="24">
        <f>SUM(BA24:BD24)-SUM(D24:AY24)</f>
        <v/>
      </c>
    </row>
    <row r="25">
      <c r="C25" s="18" t="inlineStr">
        <is>
          <t>Danville</t>
        </is>
      </c>
      <c r="D25" s="19">
        <f>'DN P&amp;L'!D63</f>
        <v/>
      </c>
      <c r="E25" s="19">
        <f>'DN P&amp;L'!E63</f>
        <v/>
      </c>
      <c r="F25" s="19">
        <f>'DN P&amp;L'!F63</f>
        <v/>
      </c>
      <c r="G25" s="19">
        <f>'DN P&amp;L'!G63</f>
        <v/>
      </c>
      <c r="H25" s="19">
        <f>'DN P&amp;L'!H63</f>
        <v/>
      </c>
      <c r="I25" s="19">
        <f>'DN P&amp;L'!I63</f>
        <v/>
      </c>
      <c r="J25" s="19">
        <f>'DN P&amp;L'!J63</f>
        <v/>
      </c>
      <c r="K25" s="19">
        <f>'DN P&amp;L'!K63</f>
        <v/>
      </c>
      <c r="L25" s="19">
        <f>'DN P&amp;L'!L63</f>
        <v/>
      </c>
      <c r="M25" s="19">
        <f>'DN P&amp;L'!M63</f>
        <v/>
      </c>
      <c r="N25" s="19">
        <f>'DN P&amp;L'!N63</f>
        <v/>
      </c>
      <c r="O25" s="19">
        <f>'DN P&amp;L'!O63</f>
        <v/>
      </c>
      <c r="P25" s="19">
        <f>'DN P&amp;L'!P63</f>
        <v/>
      </c>
      <c r="Q25" s="19">
        <f>'DN P&amp;L'!Q63</f>
        <v/>
      </c>
      <c r="R25" s="19">
        <f>'DN P&amp;L'!R63</f>
        <v/>
      </c>
      <c r="S25" s="19">
        <f>'DN P&amp;L'!S63</f>
        <v/>
      </c>
      <c r="T25" s="19">
        <f>'DN P&amp;L'!T63</f>
        <v/>
      </c>
      <c r="U25" s="20">
        <f>'DN P&amp;L'!U63</f>
        <v/>
      </c>
      <c r="V25" s="20">
        <f>'DN P&amp;L'!V63</f>
        <v/>
      </c>
      <c r="W25" s="20">
        <f>'DN P&amp;L'!W63</f>
        <v/>
      </c>
      <c r="X25" s="20">
        <f>'DN P&amp;L'!X63</f>
        <v/>
      </c>
      <c r="Y25" s="20">
        <f>'DN P&amp;L'!Y63</f>
        <v/>
      </c>
      <c r="Z25" s="20">
        <f>'DN P&amp;L'!Z63</f>
        <v/>
      </c>
      <c r="AA25" s="20">
        <f>'DN P&amp;L'!AA63</f>
        <v/>
      </c>
      <c r="AB25" s="20">
        <f>'DN P&amp;L'!AB63</f>
        <v/>
      </c>
      <c r="AC25" s="20">
        <f>'DN P&amp;L'!AC63</f>
        <v/>
      </c>
      <c r="AD25" s="20">
        <f>'DN P&amp;L'!AD63</f>
        <v/>
      </c>
      <c r="AE25" s="20">
        <f>'DN P&amp;L'!AE63</f>
        <v/>
      </c>
      <c r="AF25" s="20">
        <f>'DN P&amp;L'!AF63</f>
        <v/>
      </c>
      <c r="AG25" s="20">
        <f>'DN P&amp;L'!AG63</f>
        <v/>
      </c>
      <c r="AH25" s="20">
        <f>'DN P&amp;L'!AH63</f>
        <v/>
      </c>
      <c r="AI25" s="20">
        <f>'DN P&amp;L'!AI63</f>
        <v/>
      </c>
      <c r="AJ25" s="20">
        <f>'DN P&amp;L'!AJ63</f>
        <v/>
      </c>
      <c r="AK25" s="20">
        <f>'DN P&amp;L'!AK63</f>
        <v/>
      </c>
      <c r="AL25" s="20">
        <f>'DN P&amp;L'!AL63</f>
        <v/>
      </c>
      <c r="AM25" s="20">
        <f>'DN P&amp;L'!AM63</f>
        <v/>
      </c>
      <c r="AN25" s="20">
        <f>'DN P&amp;L'!AN63</f>
        <v/>
      </c>
      <c r="AO25" s="20">
        <f>'DN P&amp;L'!AO63</f>
        <v/>
      </c>
      <c r="AP25" s="20">
        <f>'DN P&amp;L'!AP63</f>
        <v/>
      </c>
      <c r="AQ25" s="20">
        <f>'DN P&amp;L'!AQ63</f>
        <v/>
      </c>
      <c r="AR25" s="20">
        <f>'DN P&amp;L'!AR63</f>
        <v/>
      </c>
      <c r="AS25" s="20">
        <f>'DN P&amp;L'!AS63</f>
        <v/>
      </c>
      <c r="AT25" s="20">
        <f>'DN P&amp;L'!AT63</f>
        <v/>
      </c>
      <c r="AU25" s="20">
        <f>'DN P&amp;L'!AU63</f>
        <v/>
      </c>
      <c r="AV25" s="20">
        <f>'DN P&amp;L'!AV63</f>
        <v/>
      </c>
      <c r="AW25" s="20">
        <f>'DN P&amp;L'!AW63</f>
        <v/>
      </c>
      <c r="AX25" s="20">
        <f>'DN P&amp;L'!AX63</f>
        <v/>
      </c>
      <c r="AY25" s="20">
        <f>'DN P&amp;L'!AY63</f>
        <v/>
      </c>
      <c r="BA25" s="20">
        <f>SUM(D25:O25)</f>
        <v/>
      </c>
      <c r="BB25" s="20">
        <f>SUM(P25:AA25)</f>
        <v/>
      </c>
      <c r="BC25" s="20">
        <f>SUM(AB25:AM25)</f>
        <v/>
      </c>
      <c r="BD25" s="20">
        <f>SUM(AN25:AY25)</f>
        <v/>
      </c>
      <c r="BF25" s="20">
        <f>SUM(I25:T25)</f>
        <v/>
      </c>
      <c r="BH25" s="24">
        <f>SUM(BA25:BD25)-SUM(D25:AY25)</f>
        <v/>
      </c>
    </row>
    <row r="26">
      <c r="C26" s="18" t="inlineStr">
        <is>
          <t>Lafayette</t>
        </is>
      </c>
      <c r="D26" s="19">
        <f>'LF P&amp;L'!D63</f>
        <v/>
      </c>
      <c r="E26" s="19">
        <f>'LF P&amp;L'!E63</f>
        <v/>
      </c>
      <c r="F26" s="19">
        <f>'LF P&amp;L'!F63</f>
        <v/>
      </c>
      <c r="G26" s="19">
        <f>'LF P&amp;L'!G63</f>
        <v/>
      </c>
      <c r="H26" s="19">
        <f>'LF P&amp;L'!H63</f>
        <v/>
      </c>
      <c r="I26" s="19">
        <f>'LF P&amp;L'!I63</f>
        <v/>
      </c>
      <c r="J26" s="19">
        <f>'LF P&amp;L'!J63</f>
        <v/>
      </c>
      <c r="K26" s="19">
        <f>'LF P&amp;L'!K63</f>
        <v/>
      </c>
      <c r="L26" s="19">
        <f>'LF P&amp;L'!L63</f>
        <v/>
      </c>
      <c r="M26" s="19">
        <f>'LF P&amp;L'!M63</f>
        <v/>
      </c>
      <c r="N26" s="19">
        <f>'LF P&amp;L'!N63</f>
        <v/>
      </c>
      <c r="O26" s="19">
        <f>'LF P&amp;L'!O63</f>
        <v/>
      </c>
      <c r="P26" s="19">
        <f>'LF P&amp;L'!P63</f>
        <v/>
      </c>
      <c r="Q26" s="19">
        <f>'LF P&amp;L'!Q63</f>
        <v/>
      </c>
      <c r="R26" s="19">
        <f>'LF P&amp;L'!R63</f>
        <v/>
      </c>
      <c r="S26" s="19">
        <f>'LF P&amp;L'!S63</f>
        <v/>
      </c>
      <c r="T26" s="19">
        <f>'LF P&amp;L'!T63</f>
        <v/>
      </c>
      <c r="U26" s="20">
        <f>'LF P&amp;L'!U63</f>
        <v/>
      </c>
      <c r="V26" s="20">
        <f>'LF P&amp;L'!V63</f>
        <v/>
      </c>
      <c r="W26" s="20">
        <f>'LF P&amp;L'!W63</f>
        <v/>
      </c>
      <c r="X26" s="20">
        <f>'LF P&amp;L'!X63</f>
        <v/>
      </c>
      <c r="Y26" s="20">
        <f>'LF P&amp;L'!Y63</f>
        <v/>
      </c>
      <c r="Z26" s="20">
        <f>'LF P&amp;L'!Z63</f>
        <v/>
      </c>
      <c r="AA26" s="20">
        <f>'LF P&amp;L'!AA63</f>
        <v/>
      </c>
      <c r="AB26" s="20">
        <f>'LF P&amp;L'!AB63</f>
        <v/>
      </c>
      <c r="AC26" s="20">
        <f>'LF P&amp;L'!AC63</f>
        <v/>
      </c>
      <c r="AD26" s="20">
        <f>'LF P&amp;L'!AD63</f>
        <v/>
      </c>
      <c r="AE26" s="20">
        <f>'LF P&amp;L'!AE63</f>
        <v/>
      </c>
      <c r="AF26" s="20">
        <f>'LF P&amp;L'!AF63</f>
        <v/>
      </c>
      <c r="AG26" s="20">
        <f>'LF P&amp;L'!AG63</f>
        <v/>
      </c>
      <c r="AH26" s="20">
        <f>'LF P&amp;L'!AH63</f>
        <v/>
      </c>
      <c r="AI26" s="20">
        <f>'LF P&amp;L'!AI63</f>
        <v/>
      </c>
      <c r="AJ26" s="20">
        <f>'LF P&amp;L'!AJ63</f>
        <v/>
      </c>
      <c r="AK26" s="20">
        <f>'LF P&amp;L'!AK63</f>
        <v/>
      </c>
      <c r="AL26" s="20">
        <f>'LF P&amp;L'!AL63</f>
        <v/>
      </c>
      <c r="AM26" s="20">
        <f>'LF P&amp;L'!AM63</f>
        <v/>
      </c>
      <c r="AN26" s="20">
        <f>'LF P&amp;L'!AN63</f>
        <v/>
      </c>
      <c r="AO26" s="20">
        <f>'LF P&amp;L'!AO63</f>
        <v/>
      </c>
      <c r="AP26" s="20">
        <f>'LF P&amp;L'!AP63</f>
        <v/>
      </c>
      <c r="AQ26" s="20">
        <f>'LF P&amp;L'!AQ63</f>
        <v/>
      </c>
      <c r="AR26" s="20">
        <f>'LF P&amp;L'!AR63</f>
        <v/>
      </c>
      <c r="AS26" s="20">
        <f>'LF P&amp;L'!AS63</f>
        <v/>
      </c>
      <c r="AT26" s="20">
        <f>'LF P&amp;L'!AT63</f>
        <v/>
      </c>
      <c r="AU26" s="20">
        <f>'LF P&amp;L'!AU63</f>
        <v/>
      </c>
      <c r="AV26" s="20">
        <f>'LF P&amp;L'!AV63</f>
        <v/>
      </c>
      <c r="AW26" s="20">
        <f>'LF P&amp;L'!AW63</f>
        <v/>
      </c>
      <c r="AX26" s="20">
        <f>'LF P&amp;L'!AX63</f>
        <v/>
      </c>
      <c r="AY26" s="20">
        <f>'LF P&amp;L'!AY63</f>
        <v/>
      </c>
      <c r="BA26" s="20">
        <f>SUM(D26:O26)</f>
        <v/>
      </c>
      <c r="BB26" s="20">
        <f>SUM(P26:AA26)</f>
        <v/>
      </c>
      <c r="BC26" s="20">
        <f>SUM(AB26:AM26)</f>
        <v/>
      </c>
      <c r="BD26" s="20">
        <f>SUM(AN26:AY26)</f>
        <v/>
      </c>
      <c r="BF26" s="20">
        <f>SUM(I26:T26)</f>
        <v/>
      </c>
      <c r="BH26" s="24">
        <f>SUM(BA26:BD26)-SUM(D26:AY26)</f>
        <v/>
      </c>
    </row>
    <row r="27">
      <c r="C27" s="18" t="inlineStr">
        <is>
          <t>Marin</t>
        </is>
      </c>
      <c r="D27" s="19">
        <f>'MR P&amp;L'!D63</f>
        <v/>
      </c>
      <c r="E27" s="19">
        <f>'MR P&amp;L'!E63</f>
        <v/>
      </c>
      <c r="F27" s="19">
        <f>'MR P&amp;L'!F63</f>
        <v/>
      </c>
      <c r="G27" s="19">
        <f>'MR P&amp;L'!G63</f>
        <v/>
      </c>
      <c r="H27" s="19">
        <f>'MR P&amp;L'!H63</f>
        <v/>
      </c>
      <c r="I27" s="19">
        <f>'MR P&amp;L'!I63</f>
        <v/>
      </c>
      <c r="J27" s="19">
        <f>'MR P&amp;L'!J63</f>
        <v/>
      </c>
      <c r="K27" s="19">
        <f>'MR P&amp;L'!K63</f>
        <v/>
      </c>
      <c r="L27" s="19">
        <f>'MR P&amp;L'!L63</f>
        <v/>
      </c>
      <c r="M27" s="19">
        <f>'MR P&amp;L'!M63</f>
        <v/>
      </c>
      <c r="N27" s="19">
        <f>'MR P&amp;L'!N63</f>
        <v/>
      </c>
      <c r="O27" s="19">
        <f>'MR P&amp;L'!O63</f>
        <v/>
      </c>
      <c r="P27" s="19">
        <f>'MR P&amp;L'!P63</f>
        <v/>
      </c>
      <c r="Q27" s="19">
        <f>'MR P&amp;L'!Q63</f>
        <v/>
      </c>
      <c r="R27" s="19">
        <f>'MR P&amp;L'!R63</f>
        <v/>
      </c>
      <c r="S27" s="19">
        <f>'MR P&amp;L'!S63</f>
        <v/>
      </c>
      <c r="T27" s="19">
        <f>'MR P&amp;L'!T63</f>
        <v/>
      </c>
      <c r="U27" s="20">
        <f>'MR P&amp;L'!U63</f>
        <v/>
      </c>
      <c r="V27" s="20">
        <f>'MR P&amp;L'!V63</f>
        <v/>
      </c>
      <c r="W27" s="20">
        <f>'MR P&amp;L'!W63</f>
        <v/>
      </c>
      <c r="X27" s="20">
        <f>'MR P&amp;L'!X63</f>
        <v/>
      </c>
      <c r="Y27" s="20">
        <f>'MR P&amp;L'!Y63</f>
        <v/>
      </c>
      <c r="Z27" s="20">
        <f>'MR P&amp;L'!Z63</f>
        <v/>
      </c>
      <c r="AA27" s="20">
        <f>'MR P&amp;L'!AA63</f>
        <v/>
      </c>
      <c r="AB27" s="20">
        <f>'MR P&amp;L'!AB63</f>
        <v/>
      </c>
      <c r="AC27" s="20">
        <f>'MR P&amp;L'!AC63</f>
        <v/>
      </c>
      <c r="AD27" s="20">
        <f>'MR P&amp;L'!AD63</f>
        <v/>
      </c>
      <c r="AE27" s="20">
        <f>'MR P&amp;L'!AE63</f>
        <v/>
      </c>
      <c r="AF27" s="20">
        <f>'MR P&amp;L'!AF63</f>
        <v/>
      </c>
      <c r="AG27" s="20">
        <f>'MR P&amp;L'!AG63</f>
        <v/>
      </c>
      <c r="AH27" s="20">
        <f>'MR P&amp;L'!AH63</f>
        <v/>
      </c>
      <c r="AI27" s="20">
        <f>'MR P&amp;L'!AI63</f>
        <v/>
      </c>
      <c r="AJ27" s="20">
        <f>'MR P&amp;L'!AJ63</f>
        <v/>
      </c>
      <c r="AK27" s="20">
        <f>'MR P&amp;L'!AK63</f>
        <v/>
      </c>
      <c r="AL27" s="20">
        <f>'MR P&amp;L'!AL63</f>
        <v/>
      </c>
      <c r="AM27" s="20">
        <f>'MR P&amp;L'!AM63</f>
        <v/>
      </c>
      <c r="AN27" s="20">
        <f>'MR P&amp;L'!AN63</f>
        <v/>
      </c>
      <c r="AO27" s="20">
        <f>'MR P&amp;L'!AO63</f>
        <v/>
      </c>
      <c r="AP27" s="20">
        <f>'MR P&amp;L'!AP63</f>
        <v/>
      </c>
      <c r="AQ27" s="20">
        <f>'MR P&amp;L'!AQ63</f>
        <v/>
      </c>
      <c r="AR27" s="20">
        <f>'MR P&amp;L'!AR63</f>
        <v/>
      </c>
      <c r="AS27" s="20">
        <f>'MR P&amp;L'!AS63</f>
        <v/>
      </c>
      <c r="AT27" s="20">
        <f>'MR P&amp;L'!AT63</f>
        <v/>
      </c>
      <c r="AU27" s="20">
        <f>'MR P&amp;L'!AU63</f>
        <v/>
      </c>
      <c r="AV27" s="20">
        <f>'MR P&amp;L'!AV63</f>
        <v/>
      </c>
      <c r="AW27" s="20">
        <f>'MR P&amp;L'!AW63</f>
        <v/>
      </c>
      <c r="AX27" s="20">
        <f>'MR P&amp;L'!AX63</f>
        <v/>
      </c>
      <c r="AY27" s="20">
        <f>'MR P&amp;L'!AY63</f>
        <v/>
      </c>
      <c r="BA27" s="20">
        <f>SUM(D27:O27)</f>
        <v/>
      </c>
      <c r="BB27" s="20">
        <f>SUM(P27:AA27)</f>
        <v/>
      </c>
      <c r="BC27" s="20">
        <f>SUM(AB27:AM27)</f>
        <v/>
      </c>
      <c r="BD27" s="20">
        <f>SUM(AN27:AY27)</f>
        <v/>
      </c>
      <c r="BF27" s="20">
        <f>SUM(I27:T27)</f>
        <v/>
      </c>
      <c r="BH27" s="24">
        <f>SUM(BA27:BD27)-SUM(D27:AY27)</f>
        <v/>
      </c>
    </row>
    <row r="28">
      <c r="C28" s="18" t="inlineStr">
        <is>
          <t>Ocean Park</t>
        </is>
      </c>
      <c r="D28" s="19">
        <f>'OP P&amp;L'!D63</f>
        <v/>
      </c>
      <c r="E28" s="19">
        <f>'OP P&amp;L'!E63</f>
        <v/>
      </c>
      <c r="F28" s="19">
        <f>'OP P&amp;L'!F63</f>
        <v/>
      </c>
      <c r="G28" s="19">
        <f>'OP P&amp;L'!G63</f>
        <v/>
      </c>
      <c r="H28" s="19">
        <f>'OP P&amp;L'!H63</f>
        <v/>
      </c>
      <c r="I28" s="19">
        <f>'OP P&amp;L'!I63</f>
        <v/>
      </c>
      <c r="J28" s="19">
        <f>'OP P&amp;L'!J63</f>
        <v/>
      </c>
      <c r="K28" s="19">
        <f>'OP P&amp;L'!K63</f>
        <v/>
      </c>
      <c r="L28" s="19">
        <f>'OP P&amp;L'!L63</f>
        <v/>
      </c>
      <c r="M28" s="19">
        <f>'OP P&amp;L'!M63</f>
        <v/>
      </c>
      <c r="N28" s="19">
        <f>'OP P&amp;L'!N63</f>
        <v/>
      </c>
      <c r="O28" s="19">
        <f>'OP P&amp;L'!O63</f>
        <v/>
      </c>
      <c r="P28" s="19">
        <f>'OP P&amp;L'!P63</f>
        <v/>
      </c>
      <c r="Q28" s="19">
        <f>'OP P&amp;L'!Q63</f>
        <v/>
      </c>
      <c r="R28" s="19">
        <f>'OP P&amp;L'!R63</f>
        <v/>
      </c>
      <c r="S28" s="19">
        <f>'OP P&amp;L'!S63</f>
        <v/>
      </c>
      <c r="T28" s="19">
        <f>'OP P&amp;L'!T63</f>
        <v/>
      </c>
      <c r="U28" s="20">
        <f>'OP P&amp;L'!U63</f>
        <v/>
      </c>
      <c r="V28" s="20">
        <f>'OP P&amp;L'!V63</f>
        <v/>
      </c>
      <c r="W28" s="20">
        <f>'OP P&amp;L'!W63</f>
        <v/>
      </c>
      <c r="X28" s="20">
        <f>'OP P&amp;L'!X63</f>
        <v/>
      </c>
      <c r="Y28" s="20">
        <f>'OP P&amp;L'!Y63</f>
        <v/>
      </c>
      <c r="Z28" s="20">
        <f>'OP P&amp;L'!Z63</f>
        <v/>
      </c>
      <c r="AA28" s="20">
        <f>'OP P&amp;L'!AA63</f>
        <v/>
      </c>
      <c r="AB28" s="20">
        <f>'OP P&amp;L'!AB63</f>
        <v/>
      </c>
      <c r="AC28" s="20">
        <f>'OP P&amp;L'!AC63</f>
        <v/>
      </c>
      <c r="AD28" s="20">
        <f>'OP P&amp;L'!AD63</f>
        <v/>
      </c>
      <c r="AE28" s="20">
        <f>'OP P&amp;L'!AE63</f>
        <v/>
      </c>
      <c r="AF28" s="20">
        <f>'OP P&amp;L'!AF63</f>
        <v/>
      </c>
      <c r="AG28" s="20">
        <f>'OP P&amp;L'!AG63</f>
        <v/>
      </c>
      <c r="AH28" s="20">
        <f>'OP P&amp;L'!AH63</f>
        <v/>
      </c>
      <c r="AI28" s="20">
        <f>'OP P&amp;L'!AI63</f>
        <v/>
      </c>
      <c r="AJ28" s="20">
        <f>'OP P&amp;L'!AJ63</f>
        <v/>
      </c>
      <c r="AK28" s="20">
        <f>'OP P&amp;L'!AK63</f>
        <v/>
      </c>
      <c r="AL28" s="20">
        <f>'OP P&amp;L'!AL63</f>
        <v/>
      </c>
      <c r="AM28" s="20">
        <f>'OP P&amp;L'!AM63</f>
        <v/>
      </c>
      <c r="AN28" s="20">
        <f>'OP P&amp;L'!AN63</f>
        <v/>
      </c>
      <c r="AO28" s="20">
        <f>'OP P&amp;L'!AO63</f>
        <v/>
      </c>
      <c r="AP28" s="20">
        <f>'OP P&amp;L'!AP63</f>
        <v/>
      </c>
      <c r="AQ28" s="20">
        <f>'OP P&amp;L'!AQ63</f>
        <v/>
      </c>
      <c r="AR28" s="20">
        <f>'OP P&amp;L'!AR63</f>
        <v/>
      </c>
      <c r="AS28" s="20">
        <f>'OP P&amp;L'!AS63</f>
        <v/>
      </c>
      <c r="AT28" s="20">
        <f>'OP P&amp;L'!AT63</f>
        <v/>
      </c>
      <c r="AU28" s="20">
        <f>'OP P&amp;L'!AU63</f>
        <v/>
      </c>
      <c r="AV28" s="20">
        <f>'OP P&amp;L'!AV63</f>
        <v/>
      </c>
      <c r="AW28" s="20">
        <f>'OP P&amp;L'!AW63</f>
        <v/>
      </c>
      <c r="AX28" s="20">
        <f>'OP P&amp;L'!AX63</f>
        <v/>
      </c>
      <c r="AY28" s="20">
        <f>'OP P&amp;L'!AY63</f>
        <v/>
      </c>
      <c r="BA28" s="20">
        <f>SUM(D28:O28)</f>
        <v/>
      </c>
      <c r="BB28" s="20">
        <f>SUM(P28:AA28)</f>
        <v/>
      </c>
      <c r="BC28" s="20">
        <f>SUM(AB28:AM28)</f>
        <v/>
      </c>
      <c r="BD28" s="20">
        <f>SUM(AN28:AY28)</f>
        <v/>
      </c>
      <c r="BF28" s="20">
        <f>SUM(I28:T28)</f>
        <v/>
      </c>
      <c r="BH28" s="24">
        <f>SUM(BA28:BD28)-SUM(D28:AY28)</f>
        <v/>
      </c>
    </row>
    <row r="29">
      <c r="C29" s="18" t="inlineStr">
        <is>
          <t>Presidio Heights</t>
        </is>
      </c>
      <c r="D29" s="19">
        <f>'PH P&amp;L'!D63</f>
        <v/>
      </c>
      <c r="E29" s="19">
        <f>'PH P&amp;L'!E63</f>
        <v/>
      </c>
      <c r="F29" s="19">
        <f>'PH P&amp;L'!F63</f>
        <v/>
      </c>
      <c r="G29" s="19">
        <f>'PH P&amp;L'!G63</f>
        <v/>
      </c>
      <c r="H29" s="19">
        <f>'PH P&amp;L'!H63</f>
        <v/>
      </c>
      <c r="I29" s="19">
        <f>'PH P&amp;L'!I63</f>
        <v/>
      </c>
      <c r="J29" s="19">
        <f>'PH P&amp;L'!J63</f>
        <v/>
      </c>
      <c r="K29" s="19">
        <f>'PH P&amp;L'!K63</f>
        <v/>
      </c>
      <c r="L29" s="19">
        <f>'PH P&amp;L'!L63</f>
        <v/>
      </c>
      <c r="M29" s="19">
        <f>'PH P&amp;L'!M63</f>
        <v/>
      </c>
      <c r="N29" s="19">
        <f>'PH P&amp;L'!N63</f>
        <v/>
      </c>
      <c r="O29" s="19">
        <f>'PH P&amp;L'!O63</f>
        <v/>
      </c>
      <c r="P29" s="19">
        <f>'PH P&amp;L'!P63</f>
        <v/>
      </c>
      <c r="Q29" s="19">
        <f>'PH P&amp;L'!Q63</f>
        <v/>
      </c>
      <c r="R29" s="19">
        <f>'PH P&amp;L'!R63</f>
        <v/>
      </c>
      <c r="S29" s="19">
        <f>'PH P&amp;L'!S63</f>
        <v/>
      </c>
      <c r="T29" s="19">
        <f>'PH P&amp;L'!T63</f>
        <v/>
      </c>
      <c r="U29" s="20">
        <f>'PH P&amp;L'!U63</f>
        <v/>
      </c>
      <c r="V29" s="20">
        <f>'PH P&amp;L'!V63</f>
        <v/>
      </c>
      <c r="W29" s="20">
        <f>'PH P&amp;L'!W63</f>
        <v/>
      </c>
      <c r="X29" s="20">
        <f>'PH P&amp;L'!X63</f>
        <v/>
      </c>
      <c r="Y29" s="20">
        <f>'PH P&amp;L'!Y63</f>
        <v/>
      </c>
      <c r="Z29" s="20">
        <f>'PH P&amp;L'!Z63</f>
        <v/>
      </c>
      <c r="AA29" s="20">
        <f>'PH P&amp;L'!AA63</f>
        <v/>
      </c>
      <c r="AB29" s="20">
        <f>'PH P&amp;L'!AB63</f>
        <v/>
      </c>
      <c r="AC29" s="20">
        <f>'PH P&amp;L'!AC63</f>
        <v/>
      </c>
      <c r="AD29" s="20">
        <f>'PH P&amp;L'!AD63</f>
        <v/>
      </c>
      <c r="AE29" s="20">
        <f>'PH P&amp;L'!AE63</f>
        <v/>
      </c>
      <c r="AF29" s="20">
        <f>'PH P&amp;L'!AF63</f>
        <v/>
      </c>
      <c r="AG29" s="20">
        <f>'PH P&amp;L'!AG63</f>
        <v/>
      </c>
      <c r="AH29" s="20">
        <f>'PH P&amp;L'!AH63</f>
        <v/>
      </c>
      <c r="AI29" s="20">
        <f>'PH P&amp;L'!AI63</f>
        <v/>
      </c>
      <c r="AJ29" s="20">
        <f>'PH P&amp;L'!AJ63</f>
        <v/>
      </c>
      <c r="AK29" s="20">
        <f>'PH P&amp;L'!AK63</f>
        <v/>
      </c>
      <c r="AL29" s="20">
        <f>'PH P&amp;L'!AL63</f>
        <v/>
      </c>
      <c r="AM29" s="20">
        <f>'PH P&amp;L'!AM63</f>
        <v/>
      </c>
      <c r="AN29" s="20">
        <f>'PH P&amp;L'!AN63</f>
        <v/>
      </c>
      <c r="AO29" s="20">
        <f>'PH P&amp;L'!AO63</f>
        <v/>
      </c>
      <c r="AP29" s="20">
        <f>'PH P&amp;L'!AP63</f>
        <v/>
      </c>
      <c r="AQ29" s="20">
        <f>'PH P&amp;L'!AQ63</f>
        <v/>
      </c>
      <c r="AR29" s="20">
        <f>'PH P&amp;L'!AR63</f>
        <v/>
      </c>
      <c r="AS29" s="20">
        <f>'PH P&amp;L'!AS63</f>
        <v/>
      </c>
      <c r="AT29" s="20">
        <f>'PH P&amp;L'!AT63</f>
        <v/>
      </c>
      <c r="AU29" s="20">
        <f>'PH P&amp;L'!AU63</f>
        <v/>
      </c>
      <c r="AV29" s="20">
        <f>'PH P&amp;L'!AV63</f>
        <v/>
      </c>
      <c r="AW29" s="20">
        <f>'PH P&amp;L'!AW63</f>
        <v/>
      </c>
      <c r="AX29" s="20">
        <f>'PH P&amp;L'!AX63</f>
        <v/>
      </c>
      <c r="AY29" s="20">
        <f>'PH P&amp;L'!AY63</f>
        <v/>
      </c>
      <c r="BA29" s="20">
        <f>SUM(D29:O29)</f>
        <v/>
      </c>
      <c r="BB29" s="20">
        <f>SUM(P29:AA29)</f>
        <v/>
      </c>
      <c r="BC29" s="20">
        <f>SUM(AB29:AM29)</f>
        <v/>
      </c>
      <c r="BD29" s="20">
        <f>SUM(AN29:AY29)</f>
        <v/>
      </c>
      <c r="BF29" s="20">
        <f>SUM(I29:T29)</f>
        <v/>
      </c>
      <c r="BH29" s="24">
        <f>SUM(BA29:BD29)-SUM(D29:AY29)</f>
        <v/>
      </c>
    </row>
    <row r="30">
      <c r="C30" s="18" t="inlineStr">
        <is>
          <t>Russian Hill</t>
        </is>
      </c>
      <c r="D30" s="19">
        <f>'RH P&amp;L'!D63</f>
        <v/>
      </c>
      <c r="E30" s="19">
        <f>'RH P&amp;L'!E63</f>
        <v/>
      </c>
      <c r="F30" s="19">
        <f>'RH P&amp;L'!F63</f>
        <v/>
      </c>
      <c r="G30" s="19">
        <f>'RH P&amp;L'!G63</f>
        <v/>
      </c>
      <c r="H30" s="19">
        <f>'RH P&amp;L'!H63</f>
        <v/>
      </c>
      <c r="I30" s="19">
        <f>'RH P&amp;L'!I63</f>
        <v/>
      </c>
      <c r="J30" s="19">
        <f>'RH P&amp;L'!J63</f>
        <v/>
      </c>
      <c r="K30" s="19">
        <f>'RH P&amp;L'!K63</f>
        <v/>
      </c>
      <c r="L30" s="19">
        <f>'RH P&amp;L'!L63</f>
        <v/>
      </c>
      <c r="M30" s="19">
        <f>'RH P&amp;L'!M63</f>
        <v/>
      </c>
      <c r="N30" s="19">
        <f>'RH P&amp;L'!N63</f>
        <v/>
      </c>
      <c r="O30" s="19">
        <f>'RH P&amp;L'!O63</f>
        <v/>
      </c>
      <c r="P30" s="19">
        <f>'RH P&amp;L'!P63</f>
        <v/>
      </c>
      <c r="Q30" s="19">
        <f>'RH P&amp;L'!Q63</f>
        <v/>
      </c>
      <c r="R30" s="19">
        <f>'RH P&amp;L'!R63</f>
        <v/>
      </c>
      <c r="S30" s="19">
        <f>'RH P&amp;L'!S63</f>
        <v/>
      </c>
      <c r="T30" s="19">
        <f>'RH P&amp;L'!T63</f>
        <v/>
      </c>
      <c r="U30" s="20">
        <f>'RH P&amp;L'!U63</f>
        <v/>
      </c>
      <c r="V30" s="20">
        <f>'RH P&amp;L'!V63</f>
        <v/>
      </c>
      <c r="W30" s="20">
        <f>'RH P&amp;L'!W63</f>
        <v/>
      </c>
      <c r="X30" s="20">
        <f>'RH P&amp;L'!X63</f>
        <v/>
      </c>
      <c r="Y30" s="20">
        <f>'RH P&amp;L'!Y63</f>
        <v/>
      </c>
      <c r="Z30" s="20">
        <f>'RH P&amp;L'!Z63</f>
        <v/>
      </c>
      <c r="AA30" s="20">
        <f>'RH P&amp;L'!AA63</f>
        <v/>
      </c>
      <c r="AB30" s="20">
        <f>'RH P&amp;L'!AB63</f>
        <v/>
      </c>
      <c r="AC30" s="20">
        <f>'RH P&amp;L'!AC63</f>
        <v/>
      </c>
      <c r="AD30" s="20">
        <f>'RH P&amp;L'!AD63</f>
        <v/>
      </c>
      <c r="AE30" s="20">
        <f>'RH P&amp;L'!AE63</f>
        <v/>
      </c>
      <c r="AF30" s="20">
        <f>'RH P&amp;L'!AF63</f>
        <v/>
      </c>
      <c r="AG30" s="20">
        <f>'RH P&amp;L'!AG63</f>
        <v/>
      </c>
      <c r="AH30" s="20">
        <f>'RH P&amp;L'!AH63</f>
        <v/>
      </c>
      <c r="AI30" s="20">
        <f>'RH P&amp;L'!AI63</f>
        <v/>
      </c>
      <c r="AJ30" s="20">
        <f>'RH P&amp;L'!AJ63</f>
        <v/>
      </c>
      <c r="AK30" s="20">
        <f>'RH P&amp;L'!AK63</f>
        <v/>
      </c>
      <c r="AL30" s="20">
        <f>'RH P&amp;L'!AL63</f>
        <v/>
      </c>
      <c r="AM30" s="20">
        <f>'RH P&amp;L'!AM63</f>
        <v/>
      </c>
      <c r="AN30" s="20">
        <f>'RH P&amp;L'!AN63</f>
        <v/>
      </c>
      <c r="AO30" s="20">
        <f>'RH P&amp;L'!AO63</f>
        <v/>
      </c>
      <c r="AP30" s="20">
        <f>'RH P&amp;L'!AP63</f>
        <v/>
      </c>
      <c r="AQ30" s="20">
        <f>'RH P&amp;L'!AQ63</f>
        <v/>
      </c>
      <c r="AR30" s="20">
        <f>'RH P&amp;L'!AR63</f>
        <v/>
      </c>
      <c r="AS30" s="20">
        <f>'RH P&amp;L'!AS63</f>
        <v/>
      </c>
      <c r="AT30" s="20">
        <f>'RH P&amp;L'!AT63</f>
        <v/>
      </c>
      <c r="AU30" s="20">
        <f>'RH P&amp;L'!AU63</f>
        <v/>
      </c>
      <c r="AV30" s="20">
        <f>'RH P&amp;L'!AV63</f>
        <v/>
      </c>
      <c r="AW30" s="20">
        <f>'RH P&amp;L'!AW63</f>
        <v/>
      </c>
      <c r="AX30" s="20">
        <f>'RH P&amp;L'!AX63</f>
        <v/>
      </c>
      <c r="AY30" s="20">
        <f>'RH P&amp;L'!AY63</f>
        <v/>
      </c>
      <c r="BA30" s="20">
        <f>SUM(D30:O30)</f>
        <v/>
      </c>
      <c r="BB30" s="20">
        <f>SUM(P30:AA30)</f>
        <v/>
      </c>
      <c r="BC30" s="20">
        <f>SUM(AB30:AM30)</f>
        <v/>
      </c>
      <c r="BD30" s="20">
        <f>SUM(AN30:AY30)</f>
        <v/>
      </c>
      <c r="BF30" s="20">
        <f>SUM(I30:T30)</f>
        <v/>
      </c>
      <c r="BH30" s="24">
        <f>SUM(BA30:BD30)-SUM(D30:AY30)</f>
        <v/>
      </c>
    </row>
    <row r="31">
      <c r="C31" s="18" t="inlineStr">
        <is>
          <t>Santa Barbara</t>
        </is>
      </c>
      <c r="D31" s="19">
        <f>'SB P&amp;L'!D63</f>
        <v/>
      </c>
      <c r="E31" s="19">
        <f>'SB P&amp;L'!E63</f>
        <v/>
      </c>
      <c r="F31" s="19">
        <f>'SB P&amp;L'!F63</f>
        <v/>
      </c>
      <c r="G31" s="19">
        <f>'SB P&amp;L'!G63</f>
        <v/>
      </c>
      <c r="H31" s="19">
        <f>'SB P&amp;L'!H63</f>
        <v/>
      </c>
      <c r="I31" s="19">
        <f>'SB P&amp;L'!I63</f>
        <v/>
      </c>
      <c r="J31" s="19">
        <f>'SB P&amp;L'!J63</f>
        <v/>
      </c>
      <c r="K31" s="19">
        <f>'SB P&amp;L'!K63</f>
        <v/>
      </c>
      <c r="L31" s="19">
        <f>'SB P&amp;L'!L63</f>
        <v/>
      </c>
      <c r="M31" s="19">
        <f>'SB P&amp;L'!M63</f>
        <v/>
      </c>
      <c r="N31" s="19">
        <f>'SB P&amp;L'!N63</f>
        <v/>
      </c>
      <c r="O31" s="19">
        <f>'SB P&amp;L'!O63</f>
        <v/>
      </c>
      <c r="P31" s="19">
        <f>'SB P&amp;L'!P63</f>
        <v/>
      </c>
      <c r="Q31" s="19">
        <f>'SB P&amp;L'!Q63</f>
        <v/>
      </c>
      <c r="R31" s="19">
        <f>'SB P&amp;L'!R63</f>
        <v/>
      </c>
      <c r="S31" s="19">
        <f>'SB P&amp;L'!S63</f>
        <v/>
      </c>
      <c r="T31" s="19">
        <f>'SB P&amp;L'!T63</f>
        <v/>
      </c>
      <c r="U31" s="20">
        <f>'SB P&amp;L'!U63</f>
        <v/>
      </c>
      <c r="V31" s="20">
        <f>'SB P&amp;L'!V63</f>
        <v/>
      </c>
      <c r="W31" s="20">
        <f>'SB P&amp;L'!W63</f>
        <v/>
      </c>
      <c r="X31" s="20">
        <f>'SB P&amp;L'!X63</f>
        <v/>
      </c>
      <c r="Y31" s="20">
        <f>'SB P&amp;L'!Y63</f>
        <v/>
      </c>
      <c r="Z31" s="20">
        <f>'SB P&amp;L'!Z63</f>
        <v/>
      </c>
      <c r="AA31" s="20">
        <f>'SB P&amp;L'!AA63</f>
        <v/>
      </c>
      <c r="AB31" s="20">
        <f>'SB P&amp;L'!AB63</f>
        <v/>
      </c>
      <c r="AC31" s="20">
        <f>'SB P&amp;L'!AC63</f>
        <v/>
      </c>
      <c r="AD31" s="20">
        <f>'SB P&amp;L'!AD63</f>
        <v/>
      </c>
      <c r="AE31" s="20">
        <f>'SB P&amp;L'!AE63</f>
        <v/>
      </c>
      <c r="AF31" s="20">
        <f>'SB P&amp;L'!AF63</f>
        <v/>
      </c>
      <c r="AG31" s="20">
        <f>'SB P&amp;L'!AG63</f>
        <v/>
      </c>
      <c r="AH31" s="20">
        <f>'SB P&amp;L'!AH63</f>
        <v/>
      </c>
      <c r="AI31" s="20">
        <f>'SB P&amp;L'!AI63</f>
        <v/>
      </c>
      <c r="AJ31" s="20">
        <f>'SB P&amp;L'!AJ63</f>
        <v/>
      </c>
      <c r="AK31" s="20">
        <f>'SB P&amp;L'!AK63</f>
        <v/>
      </c>
      <c r="AL31" s="20">
        <f>'SB P&amp;L'!AL63</f>
        <v/>
      </c>
      <c r="AM31" s="20">
        <f>'SB P&amp;L'!AM63</f>
        <v/>
      </c>
      <c r="AN31" s="20">
        <f>'SB P&amp;L'!AN63</f>
        <v/>
      </c>
      <c r="AO31" s="20">
        <f>'SB P&amp;L'!AO63</f>
        <v/>
      </c>
      <c r="AP31" s="20">
        <f>'SB P&amp;L'!AP63</f>
        <v/>
      </c>
      <c r="AQ31" s="20">
        <f>'SB P&amp;L'!AQ63</f>
        <v/>
      </c>
      <c r="AR31" s="20">
        <f>'SB P&amp;L'!AR63</f>
        <v/>
      </c>
      <c r="AS31" s="20">
        <f>'SB P&amp;L'!AS63</f>
        <v/>
      </c>
      <c r="AT31" s="20">
        <f>'SB P&amp;L'!AT63</f>
        <v/>
      </c>
      <c r="AU31" s="20">
        <f>'SB P&amp;L'!AU63</f>
        <v/>
      </c>
      <c r="AV31" s="20">
        <f>'SB P&amp;L'!AV63</f>
        <v/>
      </c>
      <c r="AW31" s="20">
        <f>'SB P&amp;L'!AW63</f>
        <v/>
      </c>
      <c r="AX31" s="20">
        <f>'SB P&amp;L'!AX63</f>
        <v/>
      </c>
      <c r="AY31" s="20">
        <f>'SB P&amp;L'!AY63</f>
        <v/>
      </c>
      <c r="BA31" s="20">
        <f>SUM(D31:O31)</f>
        <v/>
      </c>
      <c r="BB31" s="20">
        <f>SUM(P31:AA31)</f>
        <v/>
      </c>
      <c r="BC31" s="20">
        <f>SUM(AB31:AM31)</f>
        <v/>
      </c>
      <c r="BD31" s="20">
        <f>SUM(AN31:AY31)</f>
        <v/>
      </c>
      <c r="BF31" s="20">
        <f>SUM(I31:T31)</f>
        <v/>
      </c>
      <c r="BH31" s="24">
        <f>SUM(BA31:BD31)-SUM(D31:AY31)</f>
        <v/>
      </c>
    </row>
    <row r="32">
      <c r="C32" s="18" t="inlineStr">
        <is>
          <t>Santa Monica</t>
        </is>
      </c>
      <c r="D32" s="19">
        <f>'SM P&amp;L'!D63</f>
        <v/>
      </c>
      <c r="E32" s="19">
        <f>'SM P&amp;L'!E63</f>
        <v/>
      </c>
      <c r="F32" s="19">
        <f>'SM P&amp;L'!F63</f>
        <v/>
      </c>
      <c r="G32" s="19">
        <f>'SM P&amp;L'!G63</f>
        <v/>
      </c>
      <c r="H32" s="19">
        <f>'SM P&amp;L'!H63</f>
        <v/>
      </c>
      <c r="I32" s="19">
        <f>'SM P&amp;L'!I63</f>
        <v/>
      </c>
      <c r="J32" s="19">
        <f>'SM P&amp;L'!J63</f>
        <v/>
      </c>
      <c r="K32" s="19">
        <f>'SM P&amp;L'!K63</f>
        <v/>
      </c>
      <c r="L32" s="19">
        <f>'SM P&amp;L'!L63</f>
        <v/>
      </c>
      <c r="M32" s="19">
        <f>'SM P&amp;L'!M63</f>
        <v/>
      </c>
      <c r="N32" s="19">
        <f>'SM P&amp;L'!N63</f>
        <v/>
      </c>
      <c r="O32" s="19">
        <f>'SM P&amp;L'!O63</f>
        <v/>
      </c>
      <c r="P32" s="19">
        <f>'SM P&amp;L'!P63</f>
        <v/>
      </c>
      <c r="Q32" s="19">
        <f>'SM P&amp;L'!Q63</f>
        <v/>
      </c>
      <c r="R32" s="19">
        <f>'SM P&amp;L'!R63</f>
        <v/>
      </c>
      <c r="S32" s="19">
        <f>'SM P&amp;L'!S63</f>
        <v/>
      </c>
      <c r="T32" s="19">
        <f>'SM P&amp;L'!T63</f>
        <v/>
      </c>
      <c r="U32" s="20">
        <f>'SM P&amp;L'!U63</f>
        <v/>
      </c>
      <c r="V32" s="20">
        <f>'SM P&amp;L'!V63</f>
        <v/>
      </c>
      <c r="W32" s="20">
        <f>'SM P&amp;L'!W63</f>
        <v/>
      </c>
      <c r="X32" s="20">
        <f>'SM P&amp;L'!X63</f>
        <v/>
      </c>
      <c r="Y32" s="20">
        <f>'SM P&amp;L'!Y63</f>
        <v/>
      </c>
      <c r="Z32" s="20">
        <f>'SM P&amp;L'!Z63</f>
        <v/>
      </c>
      <c r="AA32" s="20">
        <f>'SM P&amp;L'!AA63</f>
        <v/>
      </c>
      <c r="AB32" s="20">
        <f>'SM P&amp;L'!AB63</f>
        <v/>
      </c>
      <c r="AC32" s="20">
        <f>'SM P&amp;L'!AC63</f>
        <v/>
      </c>
      <c r="AD32" s="20">
        <f>'SM P&amp;L'!AD63</f>
        <v/>
      </c>
      <c r="AE32" s="20">
        <f>'SM P&amp;L'!AE63</f>
        <v/>
      </c>
      <c r="AF32" s="20">
        <f>'SM P&amp;L'!AF63</f>
        <v/>
      </c>
      <c r="AG32" s="20">
        <f>'SM P&amp;L'!AG63</f>
        <v/>
      </c>
      <c r="AH32" s="20">
        <f>'SM P&amp;L'!AH63</f>
        <v/>
      </c>
      <c r="AI32" s="20">
        <f>'SM P&amp;L'!AI63</f>
        <v/>
      </c>
      <c r="AJ32" s="20">
        <f>'SM P&amp;L'!AJ63</f>
        <v/>
      </c>
      <c r="AK32" s="20">
        <f>'SM P&amp;L'!AK63</f>
        <v/>
      </c>
      <c r="AL32" s="20">
        <f>'SM P&amp;L'!AL63</f>
        <v/>
      </c>
      <c r="AM32" s="20">
        <f>'SM P&amp;L'!AM63</f>
        <v/>
      </c>
      <c r="AN32" s="20">
        <f>'SM P&amp;L'!AN63</f>
        <v/>
      </c>
      <c r="AO32" s="20">
        <f>'SM P&amp;L'!AO63</f>
        <v/>
      </c>
      <c r="AP32" s="20">
        <f>'SM P&amp;L'!AP63</f>
        <v/>
      </c>
      <c r="AQ32" s="20">
        <f>'SM P&amp;L'!AQ63</f>
        <v/>
      </c>
      <c r="AR32" s="20">
        <f>'SM P&amp;L'!AR63</f>
        <v/>
      </c>
      <c r="AS32" s="20">
        <f>'SM P&amp;L'!AS63</f>
        <v/>
      </c>
      <c r="AT32" s="20">
        <f>'SM P&amp;L'!AT63</f>
        <v/>
      </c>
      <c r="AU32" s="20">
        <f>'SM P&amp;L'!AU63</f>
        <v/>
      </c>
      <c r="AV32" s="20">
        <f>'SM P&amp;L'!AV63</f>
        <v/>
      </c>
      <c r="AW32" s="20">
        <f>'SM P&amp;L'!AW63</f>
        <v/>
      </c>
      <c r="AX32" s="20">
        <f>'SM P&amp;L'!AX63</f>
        <v/>
      </c>
      <c r="AY32" s="20">
        <f>'SM P&amp;L'!AY63</f>
        <v/>
      </c>
      <c r="BA32" s="20">
        <f>SUM(D32:O32)</f>
        <v/>
      </c>
      <c r="BB32" s="20">
        <f>SUM(P32:AA32)</f>
        <v/>
      </c>
      <c r="BC32" s="20">
        <f>SUM(AB32:AM32)</f>
        <v/>
      </c>
      <c r="BD32" s="20">
        <f>SUM(AN32:AY32)</f>
        <v/>
      </c>
      <c r="BF32" s="20">
        <f>SUM(I32:T32)</f>
        <v/>
      </c>
      <c r="BH32" s="24">
        <f>SUM(BA32:BD32)-SUM(D32:AY32)</f>
        <v/>
      </c>
    </row>
    <row r="33">
      <c r="C33" s="18" t="inlineStr">
        <is>
          <t>West Portal</t>
        </is>
      </c>
      <c r="D33" s="19">
        <f>'WP P&amp;L'!D63</f>
        <v/>
      </c>
      <c r="E33" s="19">
        <f>'WP P&amp;L'!E63</f>
        <v/>
      </c>
      <c r="F33" s="19">
        <f>'WP P&amp;L'!F63</f>
        <v/>
      </c>
      <c r="G33" s="19">
        <f>'WP P&amp;L'!G63</f>
        <v/>
      </c>
      <c r="H33" s="19">
        <f>'WP P&amp;L'!H63</f>
        <v/>
      </c>
      <c r="I33" s="19">
        <f>'WP P&amp;L'!I63</f>
        <v/>
      </c>
      <c r="J33" s="19">
        <f>'WP P&amp;L'!J63</f>
        <v/>
      </c>
      <c r="K33" s="19">
        <f>'WP P&amp;L'!K63</f>
        <v/>
      </c>
      <c r="L33" s="19">
        <f>'WP P&amp;L'!L63</f>
        <v/>
      </c>
      <c r="M33" s="19">
        <f>'WP P&amp;L'!M63</f>
        <v/>
      </c>
      <c r="N33" s="19">
        <f>'WP P&amp;L'!N63</f>
        <v/>
      </c>
      <c r="O33" s="19">
        <f>'WP P&amp;L'!O63</f>
        <v/>
      </c>
      <c r="P33" s="19">
        <f>'WP P&amp;L'!P63</f>
        <v/>
      </c>
      <c r="Q33" s="19">
        <f>'WP P&amp;L'!Q63</f>
        <v/>
      </c>
      <c r="R33" s="19">
        <f>'WP P&amp;L'!R63</f>
        <v/>
      </c>
      <c r="S33" s="19">
        <f>'WP P&amp;L'!S63</f>
        <v/>
      </c>
      <c r="T33" s="19">
        <f>'WP P&amp;L'!T63</f>
        <v/>
      </c>
      <c r="U33" s="20">
        <f>'WP P&amp;L'!U63</f>
        <v/>
      </c>
      <c r="V33" s="20">
        <f>'WP P&amp;L'!V63</f>
        <v/>
      </c>
      <c r="W33" s="20">
        <f>'WP P&amp;L'!W63</f>
        <v/>
      </c>
      <c r="X33" s="20">
        <f>'WP P&amp;L'!X63</f>
        <v/>
      </c>
      <c r="Y33" s="20">
        <f>'WP P&amp;L'!Y63</f>
        <v/>
      </c>
      <c r="Z33" s="20">
        <f>'WP P&amp;L'!Z63</f>
        <v/>
      </c>
      <c r="AA33" s="20">
        <f>'WP P&amp;L'!AA63</f>
        <v/>
      </c>
      <c r="AB33" s="20">
        <f>'WP P&amp;L'!AB63</f>
        <v/>
      </c>
      <c r="AC33" s="20">
        <f>'WP P&amp;L'!AC63</f>
        <v/>
      </c>
      <c r="AD33" s="20">
        <f>'WP P&amp;L'!AD63</f>
        <v/>
      </c>
      <c r="AE33" s="20">
        <f>'WP P&amp;L'!AE63</f>
        <v/>
      </c>
      <c r="AF33" s="20">
        <f>'WP P&amp;L'!AF63</f>
        <v/>
      </c>
      <c r="AG33" s="20">
        <f>'WP P&amp;L'!AG63</f>
        <v/>
      </c>
      <c r="AH33" s="20">
        <f>'WP P&amp;L'!AH63</f>
        <v/>
      </c>
      <c r="AI33" s="20">
        <f>'WP P&amp;L'!AI63</f>
        <v/>
      </c>
      <c r="AJ33" s="20">
        <f>'WP P&amp;L'!AJ63</f>
        <v/>
      </c>
      <c r="AK33" s="20">
        <f>'WP P&amp;L'!AK63</f>
        <v/>
      </c>
      <c r="AL33" s="20">
        <f>'WP P&amp;L'!AL63</f>
        <v/>
      </c>
      <c r="AM33" s="20">
        <f>'WP P&amp;L'!AM63</f>
        <v/>
      </c>
      <c r="AN33" s="20">
        <f>'WP P&amp;L'!AN63</f>
        <v/>
      </c>
      <c r="AO33" s="20">
        <f>'WP P&amp;L'!AO63</f>
        <v/>
      </c>
      <c r="AP33" s="20">
        <f>'WP P&amp;L'!AP63</f>
        <v/>
      </c>
      <c r="AQ33" s="20">
        <f>'WP P&amp;L'!AQ63</f>
        <v/>
      </c>
      <c r="AR33" s="20">
        <f>'WP P&amp;L'!AR63</f>
        <v/>
      </c>
      <c r="AS33" s="20">
        <f>'WP P&amp;L'!AS63</f>
        <v/>
      </c>
      <c r="AT33" s="20">
        <f>'WP P&amp;L'!AT63</f>
        <v/>
      </c>
      <c r="AU33" s="20">
        <f>'WP P&amp;L'!AU63</f>
        <v/>
      </c>
      <c r="AV33" s="20">
        <f>'WP P&amp;L'!AV63</f>
        <v/>
      </c>
      <c r="AW33" s="20">
        <f>'WP P&amp;L'!AW63</f>
        <v/>
      </c>
      <c r="AX33" s="20">
        <f>'WP P&amp;L'!AX63</f>
        <v/>
      </c>
      <c r="AY33" s="20">
        <f>'WP P&amp;L'!AY63</f>
        <v/>
      </c>
      <c r="BA33" s="20">
        <f>SUM(D33:O33)</f>
        <v/>
      </c>
      <c r="BB33" s="20">
        <f>SUM(P33:AA33)</f>
        <v/>
      </c>
      <c r="BC33" s="20">
        <f>SUM(AB33:AM33)</f>
        <v/>
      </c>
      <c r="BD33" s="20">
        <f>SUM(AN33:AY33)</f>
        <v/>
      </c>
      <c r="BF33" s="20">
        <f>SUM(I33:T33)</f>
        <v/>
      </c>
      <c r="BH33" s="24">
        <f>SUM(BA33:BD33)-SUM(D33:AY33)</f>
        <v/>
      </c>
    </row>
    <row r="34">
      <c r="C34" s="18" t="inlineStr">
        <is>
          <t>Westwood</t>
        </is>
      </c>
      <c r="D34" s="19">
        <f>'WW P&amp;L'!D63</f>
        <v/>
      </c>
      <c r="E34" s="19">
        <f>'WW P&amp;L'!E63</f>
        <v/>
      </c>
      <c r="F34" s="19">
        <f>'WW P&amp;L'!F63</f>
        <v/>
      </c>
      <c r="G34" s="19">
        <f>'WW P&amp;L'!G63</f>
        <v/>
      </c>
      <c r="H34" s="19">
        <f>'WW P&amp;L'!H63</f>
        <v/>
      </c>
      <c r="I34" s="19">
        <f>'WW P&amp;L'!I63</f>
        <v/>
      </c>
      <c r="J34" s="19">
        <f>'WW P&amp;L'!J63</f>
        <v/>
      </c>
      <c r="K34" s="19">
        <f>'WW P&amp;L'!K63</f>
        <v/>
      </c>
      <c r="L34" s="19">
        <f>'WW P&amp;L'!L63</f>
        <v/>
      </c>
      <c r="M34" s="19">
        <f>'WW P&amp;L'!M63</f>
        <v/>
      </c>
      <c r="N34" s="19">
        <f>'WW P&amp;L'!N63</f>
        <v/>
      </c>
      <c r="O34" s="19">
        <f>'WW P&amp;L'!O63</f>
        <v/>
      </c>
      <c r="P34" s="19">
        <f>'WW P&amp;L'!P63</f>
        <v/>
      </c>
      <c r="Q34" s="19">
        <f>'WW P&amp;L'!Q63</f>
        <v/>
      </c>
      <c r="R34" s="19">
        <f>'WW P&amp;L'!R63</f>
        <v/>
      </c>
      <c r="S34" s="19">
        <f>'WW P&amp;L'!S63</f>
        <v/>
      </c>
      <c r="T34" s="19">
        <f>'WW P&amp;L'!T63</f>
        <v/>
      </c>
      <c r="U34" s="20">
        <f>'WW P&amp;L'!U63</f>
        <v/>
      </c>
      <c r="V34" s="20">
        <f>'WW P&amp;L'!V63</f>
        <v/>
      </c>
      <c r="W34" s="20">
        <f>'WW P&amp;L'!W63</f>
        <v/>
      </c>
      <c r="X34" s="20">
        <f>'WW P&amp;L'!X63</f>
        <v/>
      </c>
      <c r="Y34" s="20">
        <f>'WW P&amp;L'!Y63</f>
        <v/>
      </c>
      <c r="Z34" s="20">
        <f>'WW P&amp;L'!Z63</f>
        <v/>
      </c>
      <c r="AA34" s="20">
        <f>'WW P&amp;L'!AA63</f>
        <v/>
      </c>
      <c r="AB34" s="20">
        <f>'WW P&amp;L'!AB63</f>
        <v/>
      </c>
      <c r="AC34" s="20">
        <f>'WW P&amp;L'!AC63</f>
        <v/>
      </c>
      <c r="AD34" s="20">
        <f>'WW P&amp;L'!AD63</f>
        <v/>
      </c>
      <c r="AE34" s="20">
        <f>'WW P&amp;L'!AE63</f>
        <v/>
      </c>
      <c r="AF34" s="20">
        <f>'WW P&amp;L'!AF63</f>
        <v/>
      </c>
      <c r="AG34" s="20">
        <f>'WW P&amp;L'!AG63</f>
        <v/>
      </c>
      <c r="AH34" s="20">
        <f>'WW P&amp;L'!AH63</f>
        <v/>
      </c>
      <c r="AI34" s="20">
        <f>'WW P&amp;L'!AI63</f>
        <v/>
      </c>
      <c r="AJ34" s="20">
        <f>'WW P&amp;L'!AJ63</f>
        <v/>
      </c>
      <c r="AK34" s="20">
        <f>'WW P&amp;L'!AK63</f>
        <v/>
      </c>
      <c r="AL34" s="20">
        <f>'WW P&amp;L'!AL63</f>
        <v/>
      </c>
      <c r="AM34" s="20">
        <f>'WW P&amp;L'!AM63</f>
        <v/>
      </c>
      <c r="AN34" s="20">
        <f>'WW P&amp;L'!AN63</f>
        <v/>
      </c>
      <c r="AO34" s="20">
        <f>'WW P&amp;L'!AO63</f>
        <v/>
      </c>
      <c r="AP34" s="20">
        <f>'WW P&amp;L'!AP63</f>
        <v/>
      </c>
      <c r="AQ34" s="20">
        <f>'WW P&amp;L'!AQ63</f>
        <v/>
      </c>
      <c r="AR34" s="20">
        <f>'WW P&amp;L'!AR63</f>
        <v/>
      </c>
      <c r="AS34" s="20">
        <f>'WW P&amp;L'!AS63</f>
        <v/>
      </c>
      <c r="AT34" s="20">
        <f>'WW P&amp;L'!AT63</f>
        <v/>
      </c>
      <c r="AU34" s="20">
        <f>'WW P&amp;L'!AU63</f>
        <v/>
      </c>
      <c r="AV34" s="20">
        <f>'WW P&amp;L'!AV63</f>
        <v/>
      </c>
      <c r="AW34" s="20">
        <f>'WW P&amp;L'!AW63</f>
        <v/>
      </c>
      <c r="AX34" s="20">
        <f>'WW P&amp;L'!AX63</f>
        <v/>
      </c>
      <c r="AY34" s="20">
        <f>'WW P&amp;L'!AY63</f>
        <v/>
      </c>
      <c r="BA34" s="20">
        <f>SUM(D34:O34)</f>
        <v/>
      </c>
      <c r="BB34" s="20">
        <f>SUM(P34:AA34)</f>
        <v/>
      </c>
      <c r="BC34" s="20">
        <f>SUM(AB34:AM34)</f>
        <v/>
      </c>
      <c r="BD34" s="20">
        <f>SUM(AN34:AY34)</f>
        <v/>
      </c>
      <c r="BF34" s="20">
        <f>SUM(I34:T34)</f>
        <v/>
      </c>
      <c r="BH34" s="24">
        <f>SUM(BA34:BD34)-SUM(D34:AY34)</f>
        <v/>
      </c>
    </row>
    <row r="35" ht="16.05" customHeight="1" s="142">
      <c r="C35" s="39" t="inlineStr">
        <is>
          <t>Head Office</t>
        </is>
      </c>
      <c r="D35" s="40">
        <f>'HO P&amp;L'!D36</f>
        <v/>
      </c>
      <c r="E35" s="40">
        <f>'HO P&amp;L'!E36</f>
        <v/>
      </c>
      <c r="F35" s="40">
        <f>'HO P&amp;L'!F36</f>
        <v/>
      </c>
      <c r="G35" s="40">
        <f>'HO P&amp;L'!G36</f>
        <v/>
      </c>
      <c r="H35" s="40">
        <f>'HO P&amp;L'!H36</f>
        <v/>
      </c>
      <c r="I35" s="40">
        <f>'HO P&amp;L'!I36</f>
        <v/>
      </c>
      <c r="J35" s="40">
        <f>'HO P&amp;L'!J36</f>
        <v/>
      </c>
      <c r="K35" s="40">
        <f>'HO P&amp;L'!K36</f>
        <v/>
      </c>
      <c r="L35" s="40">
        <f>'HO P&amp;L'!L36</f>
        <v/>
      </c>
      <c r="M35" s="40">
        <f>'HO P&amp;L'!M36</f>
        <v/>
      </c>
      <c r="N35" s="40">
        <f>'HO P&amp;L'!N36</f>
        <v/>
      </c>
      <c r="O35" s="40">
        <f>'HO P&amp;L'!O36</f>
        <v/>
      </c>
      <c r="P35" s="40">
        <f>'HO P&amp;L'!P36</f>
        <v/>
      </c>
      <c r="Q35" s="40">
        <f>'HO P&amp;L'!Q36</f>
        <v/>
      </c>
      <c r="R35" s="40">
        <f>'HO P&amp;L'!R36</f>
        <v/>
      </c>
      <c r="S35" s="40">
        <f>'HO P&amp;L'!S36</f>
        <v/>
      </c>
      <c r="T35" s="40">
        <f>'HO P&amp;L'!T36</f>
        <v/>
      </c>
      <c r="U35" s="41">
        <f>'HO P&amp;L'!U36</f>
        <v/>
      </c>
      <c r="V35" s="41">
        <f>'HO P&amp;L'!V36</f>
        <v/>
      </c>
      <c r="W35" s="41">
        <f>'HO P&amp;L'!W36</f>
        <v/>
      </c>
      <c r="X35" s="41">
        <f>'HO P&amp;L'!X36</f>
        <v/>
      </c>
      <c r="Y35" s="41">
        <f>'HO P&amp;L'!Y36</f>
        <v/>
      </c>
      <c r="Z35" s="41">
        <f>'HO P&amp;L'!Z36</f>
        <v/>
      </c>
      <c r="AA35" s="41">
        <f>'HO P&amp;L'!AA36</f>
        <v/>
      </c>
      <c r="AB35" s="41">
        <f>'HO P&amp;L'!AB36</f>
        <v/>
      </c>
      <c r="AC35" s="41">
        <f>'HO P&amp;L'!AC36</f>
        <v/>
      </c>
      <c r="AD35" s="41">
        <f>'HO P&amp;L'!AD36</f>
        <v/>
      </c>
      <c r="AE35" s="41">
        <f>'HO P&amp;L'!AE36</f>
        <v/>
      </c>
      <c r="AF35" s="41">
        <f>'HO P&amp;L'!AF36</f>
        <v/>
      </c>
      <c r="AG35" s="41">
        <f>'HO P&amp;L'!AG36</f>
        <v/>
      </c>
      <c r="AH35" s="41">
        <f>'HO P&amp;L'!AH36</f>
        <v/>
      </c>
      <c r="AI35" s="41">
        <f>'HO P&amp;L'!AI36</f>
        <v/>
      </c>
      <c r="AJ35" s="41">
        <f>'HO P&amp;L'!AJ36</f>
        <v/>
      </c>
      <c r="AK35" s="41">
        <f>'HO P&amp;L'!AK36</f>
        <v/>
      </c>
      <c r="AL35" s="41">
        <f>'HO P&amp;L'!AL36</f>
        <v/>
      </c>
      <c r="AM35" s="41">
        <f>'HO P&amp;L'!AM36</f>
        <v/>
      </c>
      <c r="AN35" s="41">
        <f>'HO P&amp;L'!AN36</f>
        <v/>
      </c>
      <c r="AO35" s="41">
        <f>'HO P&amp;L'!AO36</f>
        <v/>
      </c>
      <c r="AP35" s="41">
        <f>'HO P&amp;L'!AP36</f>
        <v/>
      </c>
      <c r="AQ35" s="41">
        <f>'HO P&amp;L'!AQ36</f>
        <v/>
      </c>
      <c r="AR35" s="41">
        <f>'HO P&amp;L'!AR36</f>
        <v/>
      </c>
      <c r="AS35" s="41">
        <f>'HO P&amp;L'!AS36</f>
        <v/>
      </c>
      <c r="AT35" s="41">
        <f>'HO P&amp;L'!AT36</f>
        <v/>
      </c>
      <c r="AU35" s="41">
        <f>'HO P&amp;L'!AU36</f>
        <v/>
      </c>
      <c r="AV35" s="41">
        <f>'HO P&amp;L'!AV36</f>
        <v/>
      </c>
      <c r="AW35" s="41">
        <f>'HO P&amp;L'!AW36</f>
        <v/>
      </c>
      <c r="AX35" s="41">
        <f>'HO P&amp;L'!AX36</f>
        <v/>
      </c>
      <c r="AY35" s="41">
        <f>'HO P&amp;L'!AY36</f>
        <v/>
      </c>
      <c r="BA35" s="41">
        <f>SUM(D35:O35)</f>
        <v/>
      </c>
      <c r="BB35" s="41">
        <f>SUM(P35:AA35)</f>
        <v/>
      </c>
      <c r="BC35" s="41">
        <f>SUM(AB35:AM35)</f>
        <v/>
      </c>
      <c r="BD35" s="41">
        <f>SUM(AN35:AY35)</f>
        <v/>
      </c>
      <c r="BF35" s="41">
        <f>SUM(I35:T35)</f>
        <v/>
      </c>
      <c r="BH35" s="24">
        <f>SUM(BA35:BD35)-SUM(D35:AY35)</f>
        <v/>
      </c>
    </row>
    <row r="37">
      <c r="B37" t="inlineStr">
        <is>
          <t>Studio Level EBITDA</t>
        </is>
      </c>
      <c r="D37" s="132">
        <f>SUM(D23:D34)</f>
        <v/>
      </c>
      <c r="E37" s="132">
        <f>SUM(E23:E34)</f>
        <v/>
      </c>
      <c r="F37" s="132">
        <f>SUM(F23:F34)</f>
        <v/>
      </c>
      <c r="G37" s="132">
        <f>SUM(G23:G34)</f>
        <v/>
      </c>
      <c r="H37" s="132">
        <f>SUM(H23:H34)</f>
        <v/>
      </c>
      <c r="I37" s="132">
        <f>SUM(I23:I34)</f>
        <v/>
      </c>
      <c r="J37" s="132">
        <f>SUM(J23:J34)</f>
        <v/>
      </c>
      <c r="K37" s="132">
        <f>SUM(K23:K34)</f>
        <v/>
      </c>
      <c r="L37" s="132">
        <f>SUM(L23:L34)</f>
        <v/>
      </c>
      <c r="M37" s="132">
        <f>SUM(M23:M34)</f>
        <v/>
      </c>
      <c r="N37" s="132">
        <f>SUM(N23:N34)</f>
        <v/>
      </c>
      <c r="O37" s="132">
        <f>SUM(O23:O34)</f>
        <v/>
      </c>
      <c r="P37" s="132">
        <f>SUM(P23:P34)</f>
        <v/>
      </c>
      <c r="Q37" s="132">
        <f>SUM(Q23:Q34)</f>
        <v/>
      </c>
      <c r="R37" s="132">
        <f>SUM(R23:R34)</f>
        <v/>
      </c>
      <c r="S37" s="132">
        <f>SUM(S23:S34)</f>
        <v/>
      </c>
      <c r="T37" s="132">
        <f>SUM(T23:T34)</f>
        <v/>
      </c>
      <c r="U37" s="132">
        <f>SUM(U23:U34)</f>
        <v/>
      </c>
      <c r="V37" s="132">
        <f>SUM(V23:V34)</f>
        <v/>
      </c>
      <c r="W37" s="132">
        <f>SUM(W23:W34)</f>
        <v/>
      </c>
      <c r="X37" s="132">
        <f>SUM(X23:X34)</f>
        <v/>
      </c>
      <c r="Y37" s="132">
        <f>SUM(Y23:Y34)</f>
        <v/>
      </c>
      <c r="Z37" s="132">
        <f>SUM(Z23:Z34)</f>
        <v/>
      </c>
      <c r="AA37" s="132">
        <f>SUM(AA23:AA34)</f>
        <v/>
      </c>
      <c r="AB37" s="132">
        <f>SUM(AB23:AB34)</f>
        <v/>
      </c>
      <c r="AC37" s="132">
        <f>SUM(AC23:AC34)</f>
        <v/>
      </c>
      <c r="AD37" s="132">
        <f>SUM(AD23:AD34)</f>
        <v/>
      </c>
      <c r="AE37" s="132">
        <f>SUM(AE23:AE34)</f>
        <v/>
      </c>
      <c r="AF37" s="132">
        <f>SUM(AF23:AF34)</f>
        <v/>
      </c>
      <c r="AG37" s="132">
        <f>SUM(AG23:AG34)</f>
        <v/>
      </c>
      <c r="AH37" s="132">
        <f>SUM(AH23:AH34)</f>
        <v/>
      </c>
      <c r="AI37" s="132">
        <f>SUM(AI23:AI34)</f>
        <v/>
      </c>
      <c r="AJ37" s="132">
        <f>SUM(AJ23:AJ34)</f>
        <v/>
      </c>
      <c r="AK37" s="132">
        <f>SUM(AK23:AK34)</f>
        <v/>
      </c>
      <c r="AL37" s="132">
        <f>SUM(AL23:AL34)</f>
        <v/>
      </c>
      <c r="AM37" s="132">
        <f>SUM(AM23:AM34)</f>
        <v/>
      </c>
      <c r="AN37" s="132">
        <f>SUM(AN23:AN34)</f>
        <v/>
      </c>
      <c r="AO37" s="132">
        <f>SUM(AO23:AO34)</f>
        <v/>
      </c>
      <c r="AP37" s="132">
        <f>SUM(AP23:AP34)</f>
        <v/>
      </c>
      <c r="AQ37" s="132">
        <f>SUM(AQ23:AQ34)</f>
        <v/>
      </c>
      <c r="AR37" s="132">
        <f>SUM(AR23:AR34)</f>
        <v/>
      </c>
      <c r="AS37" s="132">
        <f>SUM(AS23:AS34)</f>
        <v/>
      </c>
      <c r="AT37" s="132">
        <f>SUM(AT23:AT34)</f>
        <v/>
      </c>
      <c r="AU37" s="132">
        <f>SUM(AU23:AU34)</f>
        <v/>
      </c>
      <c r="AV37" s="132">
        <f>SUM(AV23:AV34)</f>
        <v/>
      </c>
      <c r="AW37" s="132">
        <f>SUM(AW23:AW34)</f>
        <v/>
      </c>
      <c r="AX37" s="132">
        <f>SUM(AX23:AX34)</f>
        <v/>
      </c>
      <c r="AY37" s="132">
        <f>SUM(AY23:AY34)</f>
        <v/>
      </c>
      <c r="BA37" s="41">
        <f>SUM(D37:O37)</f>
        <v/>
      </c>
      <c r="BB37" s="41">
        <f>SUM(P37:AA37)</f>
        <v/>
      </c>
      <c r="BC37" s="41">
        <f>SUM(AB37:AM37)</f>
        <v/>
      </c>
      <c r="BD37" s="41">
        <f>SUM(AN37:AY37)</f>
        <v/>
      </c>
      <c r="BF37" s="41">
        <f>SUM(I37:T37)</f>
        <v/>
      </c>
    </row>
    <row r="38" ht="16.05" customHeight="1" s="142">
      <c r="B38" t="inlineStr">
        <is>
          <t>Total Add Backs</t>
        </is>
      </c>
      <c r="C38" s="39" t="n"/>
      <c r="D38" s="89" t="n">
        <v>28398.84</v>
      </c>
      <c r="E38" s="89" t="n">
        <v>52184.59</v>
      </c>
      <c r="F38" s="89" t="n">
        <v>34406.02</v>
      </c>
      <c r="G38" s="89" t="n">
        <v>20335.04</v>
      </c>
      <c r="H38" s="89" t="n">
        <v>25137.94</v>
      </c>
      <c r="I38" s="89" t="n">
        <v>86480.65999999999</v>
      </c>
      <c r="J38" s="89" t="n">
        <v>13252.8</v>
      </c>
      <c r="K38" s="89" t="n">
        <v>38505.24</v>
      </c>
      <c r="L38" s="89" t="n">
        <v>73265.17</v>
      </c>
      <c r="M38" s="89" t="n">
        <v>67217.41999999998</v>
      </c>
      <c r="N38" s="89" t="n">
        <v>91181.16</v>
      </c>
      <c r="O38" s="89" t="n">
        <v>46220.52</v>
      </c>
      <c r="P38" s="40">
        <f>'P&amp;L'!P38</f>
        <v/>
      </c>
      <c r="Q38" s="40">
        <f>'P&amp;L'!Q38</f>
        <v/>
      </c>
      <c r="R38" s="40">
        <f>'P&amp;L'!R38</f>
        <v/>
      </c>
      <c r="S38" s="40">
        <f>'P&amp;L'!S38</f>
        <v/>
      </c>
      <c r="T38" s="40" t="n">
        <v>16815.41</v>
      </c>
      <c r="U38" s="90" t="n">
        <v>25000</v>
      </c>
      <c r="V38" s="90" t="n">
        <v>25000</v>
      </c>
      <c r="W38" s="90" t="n">
        <v>25000</v>
      </c>
      <c r="X38" s="90" t="n">
        <v>70000</v>
      </c>
      <c r="Y38" s="90" t="n">
        <v>50000</v>
      </c>
      <c r="Z38" s="90" t="n">
        <v>20000</v>
      </c>
      <c r="AA38" s="90" t="n">
        <v>15000</v>
      </c>
      <c r="AB38" s="90" t="n">
        <v>15000</v>
      </c>
      <c r="AC38" s="90" t="n">
        <v>15000</v>
      </c>
      <c r="AD38" s="90" t="n">
        <v>15000</v>
      </c>
      <c r="AE38" s="90" t="n">
        <v>15000</v>
      </c>
      <c r="AF38" s="90" t="n">
        <v>15000</v>
      </c>
      <c r="AG38" s="90" t="n">
        <v>15000</v>
      </c>
      <c r="AH38" s="90" t="n">
        <v>15000</v>
      </c>
      <c r="AI38" s="90" t="n">
        <v>15000</v>
      </c>
      <c r="AJ38" s="90" t="n">
        <v>15000</v>
      </c>
      <c r="AK38" s="90" t="n">
        <v>15000</v>
      </c>
      <c r="AL38" s="90" t="n">
        <v>15000</v>
      </c>
      <c r="AM38" s="90" t="n">
        <v>15000</v>
      </c>
      <c r="AN38" s="90" t="n">
        <v>15000</v>
      </c>
      <c r="AO38" s="90" t="n">
        <v>15000</v>
      </c>
      <c r="AP38" s="90" t="n">
        <v>15000</v>
      </c>
      <c r="AQ38" s="90" t="n">
        <v>15000</v>
      </c>
      <c r="AR38" s="90" t="n">
        <v>15000</v>
      </c>
      <c r="AS38" s="90" t="n">
        <v>15000</v>
      </c>
      <c r="AT38" s="90" t="n">
        <v>15000</v>
      </c>
      <c r="AU38" s="90" t="n">
        <v>15000</v>
      </c>
      <c r="AV38" s="90" t="n">
        <v>15000</v>
      </c>
      <c r="AW38" s="90" t="n">
        <v>15000</v>
      </c>
      <c r="AX38" s="90" t="n">
        <v>15000</v>
      </c>
      <c r="AY38" s="90" t="n">
        <v>15000</v>
      </c>
      <c r="BA38" s="90">
        <f>SUM(D38:O38)</f>
        <v/>
      </c>
      <c r="BB38" s="90">
        <f>SUM(P38:AA38)</f>
        <v/>
      </c>
      <c r="BC38" s="90">
        <f>SUM(AB38:AM38)</f>
        <v/>
      </c>
      <c r="BD38" s="90">
        <f>SUM(AN38:AY38)</f>
        <v/>
      </c>
      <c r="BF38" s="90">
        <f>SUM(I38:T38)</f>
        <v/>
      </c>
      <c r="BH38" s="24">
        <f>SUM(BA38:BD38)-SUM(D38:AY38)</f>
        <v/>
      </c>
    </row>
    <row r="39">
      <c r="B39" s="15" t="inlineStr">
        <is>
          <t>Total Adj-EBITDA</t>
        </is>
      </c>
      <c r="D39" s="16">
        <f>D22+D38</f>
        <v/>
      </c>
      <c r="E39" s="16">
        <f>E22+E38</f>
        <v/>
      </c>
      <c r="F39" s="16">
        <f>F22+F38</f>
        <v/>
      </c>
      <c r="G39" s="16">
        <f>G22+G38</f>
        <v/>
      </c>
      <c r="H39" s="16">
        <f>H22+H38</f>
        <v/>
      </c>
      <c r="I39" s="16">
        <f>I22+I38</f>
        <v/>
      </c>
      <c r="J39" s="16">
        <f>J22+J38</f>
        <v/>
      </c>
      <c r="K39" s="16">
        <f>K22+K38</f>
        <v/>
      </c>
      <c r="L39" s="16">
        <f>L22+L38</f>
        <v/>
      </c>
      <c r="M39" s="16">
        <f>M22+M38</f>
        <v/>
      </c>
      <c r="N39" s="16">
        <f>N22+N38</f>
        <v/>
      </c>
      <c r="O39" s="16">
        <f>O22+O38</f>
        <v/>
      </c>
      <c r="P39" s="16">
        <f>P22+P38</f>
        <v/>
      </c>
      <c r="Q39" s="16">
        <f>'P&amp;L'!Q39</f>
        <v/>
      </c>
      <c r="R39" s="16">
        <f>'P&amp;L'!R39</f>
        <v/>
      </c>
      <c r="S39" s="16">
        <f>'P&amp;L'!S39</f>
        <v/>
      </c>
      <c r="T39" s="16">
        <f>'P&amp;L'!T39</f>
        <v/>
      </c>
      <c r="U39" s="16">
        <f>U22+U38</f>
        <v/>
      </c>
      <c r="V39" s="16">
        <f>V22+V38</f>
        <v/>
      </c>
      <c r="W39" s="16">
        <f>W22+W38</f>
        <v/>
      </c>
      <c r="X39" s="16">
        <f>X22+X38</f>
        <v/>
      </c>
      <c r="Y39" s="16">
        <f>Y22+Y38</f>
        <v/>
      </c>
      <c r="Z39" s="16">
        <f>Z22+Z38</f>
        <v/>
      </c>
      <c r="AA39" s="16">
        <f>AA22+AA38</f>
        <v/>
      </c>
      <c r="AB39" s="16">
        <f>AB22+AB38</f>
        <v/>
      </c>
      <c r="AC39" s="16">
        <f>AC22+AC38</f>
        <v/>
      </c>
      <c r="AD39" s="16">
        <f>AD22+AD38</f>
        <v/>
      </c>
      <c r="AE39" s="16">
        <f>AE22+AE38</f>
        <v/>
      </c>
      <c r="AF39" s="16">
        <f>AF22+AF38</f>
        <v/>
      </c>
      <c r="AG39" s="16">
        <f>AG22+AG38</f>
        <v/>
      </c>
      <c r="AH39" s="16">
        <f>AH22+AH38</f>
        <v/>
      </c>
      <c r="AI39" s="16">
        <f>AI22+AI38</f>
        <v/>
      </c>
      <c r="AJ39" s="16">
        <f>AJ22+AJ38</f>
        <v/>
      </c>
      <c r="AK39" s="16">
        <f>AK22+AK38</f>
        <v/>
      </c>
      <c r="AL39" s="16">
        <f>AL22+AL38</f>
        <v/>
      </c>
      <c r="AM39" s="16">
        <f>AM22+AM38</f>
        <v/>
      </c>
      <c r="AN39" s="16">
        <f>AN22+AN38</f>
        <v/>
      </c>
      <c r="AO39" s="16">
        <f>AO22+AO38</f>
        <v/>
      </c>
      <c r="AP39" s="16">
        <f>AP22+AP38</f>
        <v/>
      </c>
      <c r="AQ39" s="16">
        <f>AQ22+AQ38</f>
        <v/>
      </c>
      <c r="AR39" s="16">
        <f>AR22+AR38</f>
        <v/>
      </c>
      <c r="AS39" s="16">
        <f>AS22+AS38</f>
        <v/>
      </c>
      <c r="AT39" s="16">
        <f>AT22+AT38</f>
        <v/>
      </c>
      <c r="AU39" s="16">
        <f>AU22+AU38</f>
        <v/>
      </c>
      <c r="AV39" s="16">
        <f>AV22+AV38</f>
        <v/>
      </c>
      <c r="AW39" s="16">
        <f>AW22+AW38</f>
        <v/>
      </c>
      <c r="AX39" s="16">
        <f>AX22+AX38</f>
        <v/>
      </c>
      <c r="AY39" s="16">
        <f>AY22+AY38</f>
        <v/>
      </c>
      <c r="BA39" s="16">
        <f>SUM(D39:O39)</f>
        <v/>
      </c>
      <c r="BB39" s="16">
        <f>SUM(P39:AA39)</f>
        <v/>
      </c>
      <c r="BC39" s="16">
        <f>SUM(AB39:AM39)</f>
        <v/>
      </c>
      <c r="BD39" s="16">
        <f>SUM(AN39:AY39)</f>
        <v/>
      </c>
      <c r="BF39" s="16">
        <f>SUM(I39:T39)</f>
        <v/>
      </c>
      <c r="BH39" s="24">
        <f>SUM(BA39:BD39)-SUM(D39:AY39)</f>
        <v/>
      </c>
    </row>
    <row r="41" ht="16.05" customHeight="1" s="142">
      <c r="B41" s="10" t="inlineStr">
        <is>
          <t>Annual Summary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BA41" s="24" t="n"/>
      <c r="BB41" s="24" t="n"/>
      <c r="BC41" s="24" t="n"/>
      <c r="BD41" s="24" t="n"/>
      <c r="BF41" s="24" t="n"/>
    </row>
    <row r="42">
      <c r="B42" s="14" t="inlineStr">
        <is>
          <t>Metric</t>
        </is>
      </c>
      <c r="C42" s="14" t="inlineStr">
        <is>
          <t>Studio</t>
        </is>
      </c>
      <c r="D42" s="14" t="n">
        <v>2025</v>
      </c>
      <c r="E42" s="14" t="inlineStr">
        <is>
          <t>2026</t>
        </is>
      </c>
      <c r="F42" s="14" t="inlineStr">
        <is>
          <t>2027</t>
        </is>
      </c>
      <c r="G42" s="14" t="inlineStr">
        <is>
          <t>2028</t>
        </is>
      </c>
      <c r="H42" s="14" t="inlineStr">
        <is>
          <t>2026 YoY</t>
        </is>
      </c>
      <c r="I42" s="14" t="inlineStr">
        <is>
          <t>2027 YoY</t>
        </is>
      </c>
      <c r="J42" s="14" t="inlineStr">
        <is>
          <t>2028 YoY</t>
        </is>
      </c>
      <c r="AA42" s="24" t="n"/>
      <c r="AM42" s="24" t="n"/>
    </row>
    <row r="43">
      <c r="B43" s="15" t="inlineStr">
        <is>
          <t>Total Sales</t>
        </is>
      </c>
      <c r="D43" s="17">
        <f>SUM(D44:D56)</f>
        <v/>
      </c>
      <c r="E43" s="17">
        <f>SUM(E44:E56)</f>
        <v/>
      </c>
      <c r="F43" s="17">
        <f>SUM(F44:F56)</f>
        <v/>
      </c>
      <c r="G43" s="17">
        <f>SUM(G44:G56)</f>
        <v/>
      </c>
      <c r="H43" s="21">
        <f>IFERROR((E43-D43)/D43,0)</f>
        <v/>
      </c>
      <c r="I43" s="21">
        <f>IFERROR((F43-E43)/E43,0)</f>
        <v/>
      </c>
      <c r="J43" s="21">
        <f>IFERROR((G43-F43)/F43,0)</f>
        <v/>
      </c>
    </row>
    <row r="44">
      <c r="C44" s="18" t="inlineStr">
        <is>
          <t>Berkeley</t>
        </is>
      </c>
      <c r="D44" s="20">
        <f>SUM('Sales Forecast'!D6:O6)</f>
        <v/>
      </c>
      <c r="E44" s="20">
        <f>SUM('Sales Forecast'!P6:AA6)</f>
        <v/>
      </c>
      <c r="F44" s="20">
        <f>SUM('Sales Forecast'!AB6:AM6)</f>
        <v/>
      </c>
      <c r="G44" s="20">
        <f>SUM('Sales Forecast'!AN6:AY6)</f>
        <v/>
      </c>
      <c r="H44" s="22">
        <f>IFERROR((E42-D42)/D42,0)</f>
        <v/>
      </c>
      <c r="I44" s="22">
        <f>IFERROR((F42-E42)/E42,0)</f>
        <v/>
      </c>
      <c r="J44" s="22">
        <f>IFERROR((G42-F42)/F42,0)</f>
        <v/>
      </c>
    </row>
    <row r="45">
      <c r="C45" s="18" t="inlineStr">
        <is>
          <t>Culver City</t>
        </is>
      </c>
      <c r="D45" s="20">
        <f>SUM('Sales Forecast'!D7:O7)</f>
        <v/>
      </c>
      <c r="E45" s="20">
        <f>SUM('Sales Forecast'!P7:AA7)</f>
        <v/>
      </c>
      <c r="F45" s="20">
        <f>SUM('Sales Forecast'!AB7:AM7)</f>
        <v/>
      </c>
      <c r="G45" s="20">
        <f>SUM('Sales Forecast'!AN7:AY7)</f>
        <v/>
      </c>
      <c r="H45" s="22">
        <f>IFERROR((E43-D43)/D43,0)</f>
        <v/>
      </c>
      <c r="I45" s="22">
        <f>IFERROR((F43-E43)/E43,0)</f>
        <v/>
      </c>
      <c r="J45" s="22">
        <f>IFERROR((G43-F43)/F43,0)</f>
        <v/>
      </c>
    </row>
    <row r="46">
      <c r="C46" s="18" t="inlineStr">
        <is>
          <t>Danville</t>
        </is>
      </c>
      <c r="D46" s="20">
        <f>SUM('Sales Forecast'!D8:O8)</f>
        <v/>
      </c>
      <c r="E46" s="20">
        <f>SUM('Sales Forecast'!P8:AA8)</f>
        <v/>
      </c>
      <c r="F46" s="20">
        <f>SUM('Sales Forecast'!AB8:AM8)</f>
        <v/>
      </c>
      <c r="G46" s="20">
        <f>SUM('Sales Forecast'!AN8:AY8)</f>
        <v/>
      </c>
      <c r="H46" s="22">
        <f>IFERROR((E44-D44)/D44,0)</f>
        <v/>
      </c>
      <c r="I46" s="22">
        <f>IFERROR((F44-E44)/E44,0)</f>
        <v/>
      </c>
      <c r="J46" s="22">
        <f>IFERROR((G44-F44)/F44,0)</f>
        <v/>
      </c>
    </row>
    <row r="47">
      <c r="C47" s="18" t="inlineStr">
        <is>
          <t>Lafayette</t>
        </is>
      </c>
      <c r="D47" s="20">
        <f>SUM('Sales Forecast'!D9:O9)</f>
        <v/>
      </c>
      <c r="E47" s="20">
        <f>SUM('Sales Forecast'!P9:AA9)</f>
        <v/>
      </c>
      <c r="F47" s="20">
        <f>SUM('Sales Forecast'!AB9:AM9)</f>
        <v/>
      </c>
      <c r="G47" s="20">
        <f>SUM('Sales Forecast'!AN9:AY9)</f>
        <v/>
      </c>
      <c r="H47" s="22">
        <f>IFERROR((E45-D45)/D45,0)</f>
        <v/>
      </c>
      <c r="I47" s="22">
        <f>IFERROR((F45-E45)/E45,0)</f>
        <v/>
      </c>
      <c r="J47" s="22">
        <f>IFERROR((G45-F45)/F45,0)</f>
        <v/>
      </c>
    </row>
    <row r="48">
      <c r="C48" s="18" t="inlineStr">
        <is>
          <t>Marin</t>
        </is>
      </c>
      <c r="D48" s="20">
        <f>SUM('Sales Forecast'!D10:O10)</f>
        <v/>
      </c>
      <c r="E48" s="20">
        <f>SUM('Sales Forecast'!P10:AA10)</f>
        <v/>
      </c>
      <c r="F48" s="20">
        <f>SUM('Sales Forecast'!AB10:AM10)</f>
        <v/>
      </c>
      <c r="G48" s="20">
        <f>SUM('Sales Forecast'!AN10:AY10)</f>
        <v/>
      </c>
      <c r="H48" s="22">
        <f>IFERROR((E46-D46)/D46,0)</f>
        <v/>
      </c>
      <c r="I48" s="22">
        <f>IFERROR((F46-E46)/E46,0)</f>
        <v/>
      </c>
      <c r="J48" s="22">
        <f>IFERROR((G46-F46)/F46,0)</f>
        <v/>
      </c>
    </row>
    <row r="49">
      <c r="C49" s="18" t="inlineStr">
        <is>
          <t>Ocean Park</t>
        </is>
      </c>
      <c r="D49" s="20">
        <f>SUM('Sales Forecast'!D11:O11)</f>
        <v/>
      </c>
      <c r="E49" s="20">
        <f>SUM('Sales Forecast'!P11:AA11)</f>
        <v/>
      </c>
      <c r="F49" s="20">
        <f>SUM('Sales Forecast'!AB11:AM11)</f>
        <v/>
      </c>
      <c r="G49" s="20">
        <f>SUM('Sales Forecast'!AN11:AY11)</f>
        <v/>
      </c>
      <c r="H49" s="22">
        <f>IFERROR((E47-D47)/D47,0)</f>
        <v/>
      </c>
      <c r="I49" s="22">
        <f>IFERROR((F47-E47)/E47,0)</f>
        <v/>
      </c>
      <c r="J49" s="22">
        <f>IFERROR((G47-F47)/F47,0)</f>
        <v/>
      </c>
    </row>
    <row r="50">
      <c r="C50" s="18" t="inlineStr">
        <is>
          <t>Presidio Heights</t>
        </is>
      </c>
      <c r="D50" s="20">
        <f>SUM('Sales Forecast'!D12:O12)</f>
        <v/>
      </c>
      <c r="E50" s="20">
        <f>SUM('Sales Forecast'!P12:AA12)</f>
        <v/>
      </c>
      <c r="F50" s="20">
        <f>SUM('Sales Forecast'!AB12:AM12)</f>
        <v/>
      </c>
      <c r="G50" s="20">
        <f>SUM('Sales Forecast'!AN12:AY12)</f>
        <v/>
      </c>
      <c r="H50" s="22">
        <f>IFERROR((E48-D48)/D48,0)</f>
        <v/>
      </c>
      <c r="I50" s="22">
        <f>IFERROR((F48-E48)/E48,0)</f>
        <v/>
      </c>
      <c r="J50" s="22">
        <f>IFERROR((G48-F48)/F48,0)</f>
        <v/>
      </c>
    </row>
    <row r="51">
      <c r="C51" s="18" t="inlineStr">
        <is>
          <t>Russian Hill</t>
        </is>
      </c>
      <c r="D51" s="20">
        <f>SUM('Sales Forecast'!D13:O13)</f>
        <v/>
      </c>
      <c r="E51" s="20">
        <f>SUM('Sales Forecast'!P13:AA13)</f>
        <v/>
      </c>
      <c r="F51" s="20">
        <f>SUM('Sales Forecast'!AB13:AM13)</f>
        <v/>
      </c>
      <c r="G51" s="20">
        <f>SUM('Sales Forecast'!AN13:AY13)</f>
        <v/>
      </c>
      <c r="H51" s="22">
        <f>IFERROR((E49-D49)/D49,0)</f>
        <v/>
      </c>
      <c r="I51" s="22">
        <f>IFERROR((F49-E49)/E49,0)</f>
        <v/>
      </c>
      <c r="J51" s="22">
        <f>IFERROR((G49-F49)/F49,0)</f>
        <v/>
      </c>
    </row>
    <row r="52">
      <c r="C52" s="18" t="inlineStr">
        <is>
          <t>Santa Barbara</t>
        </is>
      </c>
      <c r="D52" s="20">
        <f>SUM('Sales Forecast'!D14:O14)</f>
        <v/>
      </c>
      <c r="E52" s="20">
        <f>SUM('Sales Forecast'!P14:AA14)</f>
        <v/>
      </c>
      <c r="F52" s="20">
        <f>SUM('Sales Forecast'!AB14:AM14)</f>
        <v/>
      </c>
      <c r="G52" s="20">
        <f>SUM('Sales Forecast'!AN14:AY14)</f>
        <v/>
      </c>
      <c r="H52" s="22">
        <f>IFERROR((E50-D50)/D50,0)</f>
        <v/>
      </c>
      <c r="I52" s="22">
        <f>IFERROR((F50-E50)/E50,0)</f>
        <v/>
      </c>
      <c r="J52" s="22">
        <f>IFERROR((G50-F50)/F50,0)</f>
        <v/>
      </c>
    </row>
    <row r="53">
      <c r="C53" s="18" t="inlineStr">
        <is>
          <t>Santa Monica</t>
        </is>
      </c>
      <c r="D53" s="20">
        <f>SUM('Sales Forecast'!D15:O15)</f>
        <v/>
      </c>
      <c r="E53" s="20">
        <f>SUM('Sales Forecast'!P15:AA15)</f>
        <v/>
      </c>
      <c r="F53" s="20">
        <f>SUM('Sales Forecast'!AB15:AM15)</f>
        <v/>
      </c>
      <c r="G53" s="20">
        <f>SUM('Sales Forecast'!AN15:AY15)</f>
        <v/>
      </c>
      <c r="H53" s="22">
        <f>IFERROR((E51-D51)/D51,0)</f>
        <v/>
      </c>
      <c r="I53" s="22">
        <f>IFERROR((F51-E51)/E51,0)</f>
        <v/>
      </c>
      <c r="J53" s="22">
        <f>IFERROR((G51-F51)/F51,0)</f>
        <v/>
      </c>
    </row>
    <row r="54">
      <c r="C54" s="18" t="inlineStr">
        <is>
          <t>West Portal</t>
        </is>
      </c>
      <c r="D54" s="20">
        <f>SUM('Sales Forecast'!D16:O16)</f>
        <v/>
      </c>
      <c r="E54" s="20">
        <f>SUM('Sales Forecast'!P16:AA16)</f>
        <v/>
      </c>
      <c r="F54" s="20">
        <f>SUM('Sales Forecast'!AB16:AM16)</f>
        <v/>
      </c>
      <c r="G54" s="20">
        <f>SUM('Sales Forecast'!AN16:AY16)</f>
        <v/>
      </c>
      <c r="H54" s="22">
        <f>IFERROR((E52-D52)/D52,0)</f>
        <v/>
      </c>
      <c r="I54" s="22">
        <f>IFERROR((F52-E52)/E52,0)</f>
        <v/>
      </c>
      <c r="J54" s="22">
        <f>IFERROR((G52-F52)/F52,0)</f>
        <v/>
      </c>
    </row>
    <row r="55">
      <c r="C55" s="18" t="inlineStr">
        <is>
          <t>Westwood</t>
        </is>
      </c>
      <c r="D55" s="20">
        <f>SUM('Sales Forecast'!D17:O17)</f>
        <v/>
      </c>
      <c r="E55" s="20">
        <f>SUM('Sales Forecast'!P17:AA17)</f>
        <v/>
      </c>
      <c r="F55" s="20">
        <f>SUM('Sales Forecast'!AB17:AM17)</f>
        <v/>
      </c>
      <c r="G55" s="20">
        <f>SUM('Sales Forecast'!AN17:AY17)</f>
        <v/>
      </c>
      <c r="H55" s="22">
        <f>IFERROR((E53-D53)/D53,0)</f>
        <v/>
      </c>
      <c r="I55" s="22">
        <f>IFERROR((F53-E53)/E53,0)</f>
        <v/>
      </c>
      <c r="J55" s="22">
        <f>IFERROR((G53-F53)/F53,0)</f>
        <v/>
      </c>
    </row>
    <row r="56">
      <c r="C56" s="18" t="inlineStr">
        <is>
          <t>Head Office</t>
        </is>
      </c>
      <c r="D56" s="20" t="n">
        <v>0</v>
      </c>
      <c r="E56" s="20" t="n">
        <v>0</v>
      </c>
      <c r="F56" s="20" t="n">
        <v>0</v>
      </c>
      <c r="G56" s="20" t="n">
        <v>0</v>
      </c>
      <c r="H56" s="22">
        <f>IFERROR((E56-D56)/D56,0)</f>
        <v/>
      </c>
      <c r="I56" s="22">
        <f>IFERROR((F56-E56)/E56,0)</f>
        <v/>
      </c>
      <c r="J56" s="22">
        <f>IFERROR((G56-F56)/F56,0)</f>
        <v/>
      </c>
    </row>
    <row r="58">
      <c r="B58" s="15" t="inlineStr">
        <is>
          <t>Total EBITDA</t>
        </is>
      </c>
      <c r="D58" s="23">
        <f>SUM(D59:D71)</f>
        <v/>
      </c>
      <c r="E58" s="23">
        <f>SUM(E59:E71)</f>
        <v/>
      </c>
      <c r="F58" s="23">
        <f>SUM(F59:F71)</f>
        <v/>
      </c>
      <c r="G58" s="23">
        <f>SUM(G59:G71)</f>
        <v/>
      </c>
      <c r="H58" s="21">
        <f>IFERROR((E58-D58)/D58,0)</f>
        <v/>
      </c>
      <c r="I58" s="21">
        <f>IFERROR((F58-E58)/E58,0)</f>
        <v/>
      </c>
      <c r="J58" s="21">
        <f>IFERROR((G58-F58)/F58,0)</f>
        <v/>
      </c>
    </row>
    <row r="59">
      <c r="C59" s="18" t="inlineStr">
        <is>
          <t>Berkeley</t>
        </is>
      </c>
      <c r="D59" s="20">
        <f>SUM(D23:O23)</f>
        <v/>
      </c>
      <c r="E59" s="20">
        <f>SUM(P23:AA23)</f>
        <v/>
      </c>
      <c r="F59" s="20">
        <f>SUM(AB23:AM23)</f>
        <v/>
      </c>
      <c r="G59" s="20">
        <f>SUM(AN23:AY23)</f>
        <v/>
      </c>
      <c r="H59" s="22">
        <f>IFERROR((E59-D59)/D59,0)</f>
        <v/>
      </c>
      <c r="I59" s="22">
        <f>IFERROR((F59-E59)/E59,0)</f>
        <v/>
      </c>
      <c r="J59" s="22">
        <f>IFERROR((G59-F59)/F59,0)</f>
        <v/>
      </c>
    </row>
    <row r="60">
      <c r="C60" s="18" t="inlineStr">
        <is>
          <t>Culver City</t>
        </is>
      </c>
      <c r="D60" s="20">
        <f>SUM(D24:O24)</f>
        <v/>
      </c>
      <c r="E60" s="20">
        <f>SUM(P24:AA24)</f>
        <v/>
      </c>
      <c r="F60" s="20">
        <f>SUM(AB24:AM24)</f>
        <v/>
      </c>
      <c r="G60" s="20">
        <f>SUM(AN24:AY24)</f>
        <v/>
      </c>
      <c r="H60" s="22">
        <f>IFERROR((E60-D60)/D60,0)</f>
        <v/>
      </c>
      <c r="I60" s="22">
        <f>IFERROR((F60-E60)/E60,0)</f>
        <v/>
      </c>
      <c r="J60" s="22">
        <f>IFERROR((G60-F60)/F60,0)</f>
        <v/>
      </c>
    </row>
    <row r="61">
      <c r="C61" s="18" t="inlineStr">
        <is>
          <t>Danville</t>
        </is>
      </c>
      <c r="D61" s="20">
        <f>SUM(D25:O25)</f>
        <v/>
      </c>
      <c r="E61" s="20">
        <f>SUM(P25:AA25)</f>
        <v/>
      </c>
      <c r="F61" s="20">
        <f>SUM(AB25:AM25)</f>
        <v/>
      </c>
      <c r="G61" s="20">
        <f>SUM(AN25:AY25)</f>
        <v/>
      </c>
      <c r="H61" s="22">
        <f>IFERROR((E61-D61)/D61,0)</f>
        <v/>
      </c>
      <c r="I61" s="22">
        <f>IFERROR((F61-E61)/E61,0)</f>
        <v/>
      </c>
      <c r="J61" s="22">
        <f>IFERROR((G61-F61)/F61,0)</f>
        <v/>
      </c>
    </row>
    <row r="62">
      <c r="C62" s="18" t="inlineStr">
        <is>
          <t>Lafayette</t>
        </is>
      </c>
      <c r="D62" s="20">
        <f>SUM(D26:O26)</f>
        <v/>
      </c>
      <c r="E62" s="20">
        <f>SUM(P26:AA26)</f>
        <v/>
      </c>
      <c r="F62" s="20">
        <f>SUM(AB26:AM26)</f>
        <v/>
      </c>
      <c r="G62" s="20">
        <f>SUM(AN26:AY26)</f>
        <v/>
      </c>
      <c r="H62" s="22">
        <f>IFERROR((E62-D62)/D62,0)</f>
        <v/>
      </c>
      <c r="I62" s="22">
        <f>IFERROR((F62-E62)/E62,0)</f>
        <v/>
      </c>
      <c r="J62" s="22">
        <f>IFERROR((G62-F62)/F62,0)</f>
        <v/>
      </c>
    </row>
    <row r="63">
      <c r="C63" s="18" t="inlineStr">
        <is>
          <t>Marin</t>
        </is>
      </c>
      <c r="D63" s="20">
        <f>SUM(D27:O27)</f>
        <v/>
      </c>
      <c r="E63" s="20">
        <f>SUM(P27:AA27)</f>
        <v/>
      </c>
      <c r="F63" s="20">
        <f>SUM(AB27:AM27)</f>
        <v/>
      </c>
      <c r="G63" s="20">
        <f>SUM(AN27:AY27)</f>
        <v/>
      </c>
      <c r="H63" s="22">
        <f>IFERROR((E63-D63)/D63,0)</f>
        <v/>
      </c>
      <c r="I63" s="22">
        <f>IFERROR((F63-E63)/E63,0)</f>
        <v/>
      </c>
      <c r="J63" s="22">
        <f>IFERROR((G63-F63)/F63,0)</f>
        <v/>
      </c>
    </row>
    <row r="64">
      <c r="C64" s="18" t="inlineStr">
        <is>
          <t>Ocean Park</t>
        </is>
      </c>
      <c r="D64" s="20">
        <f>SUM(D28:O28)</f>
        <v/>
      </c>
      <c r="E64" s="20">
        <f>SUM(P28:AA28)</f>
        <v/>
      </c>
      <c r="F64" s="20">
        <f>SUM(AB28:AM28)</f>
        <v/>
      </c>
      <c r="G64" s="20">
        <f>SUM(AN28:AY28)</f>
        <v/>
      </c>
      <c r="H64" s="22">
        <f>IFERROR((E64-D64)/D64,0)</f>
        <v/>
      </c>
      <c r="I64" s="22">
        <f>IFERROR((F64-E64)/E64,0)</f>
        <v/>
      </c>
      <c r="J64" s="22">
        <f>IFERROR((G64-F64)/F64,0)</f>
        <v/>
      </c>
    </row>
    <row r="65">
      <c r="C65" s="18" t="inlineStr">
        <is>
          <t>Presidio Heights</t>
        </is>
      </c>
      <c r="D65" s="20">
        <f>SUM(D29:O29)</f>
        <v/>
      </c>
      <c r="E65" s="20">
        <f>SUM(P29:AA29)</f>
        <v/>
      </c>
      <c r="F65" s="20">
        <f>SUM(AB29:AM29)</f>
        <v/>
      </c>
      <c r="G65" s="20">
        <f>SUM(AN29:AY29)</f>
        <v/>
      </c>
      <c r="H65" s="22">
        <f>IFERROR((E65-D65)/D65,0)</f>
        <v/>
      </c>
      <c r="I65" s="22">
        <f>IFERROR((F65-E65)/E65,0)</f>
        <v/>
      </c>
      <c r="J65" s="22">
        <f>IFERROR((G65-F65)/F65,0)</f>
        <v/>
      </c>
    </row>
    <row r="66">
      <c r="C66" s="18" t="inlineStr">
        <is>
          <t>Russian Hill</t>
        </is>
      </c>
      <c r="D66" s="20">
        <f>SUM(D30:O30)</f>
        <v/>
      </c>
      <c r="E66" s="20">
        <f>SUM(P30:AA30)</f>
        <v/>
      </c>
      <c r="F66" s="20">
        <f>SUM(AB30:AM30)</f>
        <v/>
      </c>
      <c r="G66" s="20">
        <f>SUM(AN30:AY30)</f>
        <v/>
      </c>
      <c r="H66" s="22">
        <f>IFERROR((E66-D66)/D66,0)</f>
        <v/>
      </c>
      <c r="I66" s="22">
        <f>IFERROR((F66-E66)/E66,0)</f>
        <v/>
      </c>
      <c r="J66" s="22">
        <f>IFERROR((G66-F66)/F66,0)</f>
        <v/>
      </c>
    </row>
    <row r="67">
      <c r="C67" s="18" t="inlineStr">
        <is>
          <t>Santa Barbara</t>
        </is>
      </c>
      <c r="D67" s="20">
        <f>SUM(D31:O31)</f>
        <v/>
      </c>
      <c r="E67" s="20">
        <f>SUM(P31:AA31)</f>
        <v/>
      </c>
      <c r="F67" s="20">
        <f>SUM(AB31:AM31)</f>
        <v/>
      </c>
      <c r="G67" s="20">
        <f>SUM(AN31:AY31)</f>
        <v/>
      </c>
      <c r="H67" s="22">
        <f>IFERROR((E67-D67)/D67,0)</f>
        <v/>
      </c>
      <c r="I67" s="22">
        <f>IFERROR((F67-E67)/E67,0)</f>
        <v/>
      </c>
      <c r="J67" s="22">
        <f>IFERROR((G67-F67)/F67,0)</f>
        <v/>
      </c>
    </row>
    <row r="68">
      <c r="C68" s="18" t="inlineStr">
        <is>
          <t>Santa Monica</t>
        </is>
      </c>
      <c r="D68" s="20">
        <f>SUM(D32:O32)</f>
        <v/>
      </c>
      <c r="E68" s="20">
        <f>SUM(P32:AA32)</f>
        <v/>
      </c>
      <c r="F68" s="20">
        <f>SUM(AB32:AM32)</f>
        <v/>
      </c>
      <c r="G68" s="20">
        <f>SUM(AN32:AY32)</f>
        <v/>
      </c>
      <c r="H68" s="22">
        <f>IFERROR((E68-D68)/D68,0)</f>
        <v/>
      </c>
      <c r="I68" s="22">
        <f>IFERROR((F68-E68)/E68,0)</f>
        <v/>
      </c>
      <c r="J68" s="22">
        <f>IFERROR((G68-F68)/F68,0)</f>
        <v/>
      </c>
    </row>
    <row r="69">
      <c r="C69" s="18" t="inlineStr">
        <is>
          <t>West Portal</t>
        </is>
      </c>
      <c r="D69" s="20">
        <f>SUM(D33:O33)</f>
        <v/>
      </c>
      <c r="E69" s="20">
        <f>SUM(P33:AA33)</f>
        <v/>
      </c>
      <c r="F69" s="20">
        <f>SUM(AB33:AM33)</f>
        <v/>
      </c>
      <c r="G69" s="20">
        <f>SUM(AN33:AY33)</f>
        <v/>
      </c>
      <c r="H69" s="22">
        <f>IFERROR((E69-D69)/D69,0)</f>
        <v/>
      </c>
      <c r="I69" s="22">
        <f>IFERROR((F69-E69)/E69,0)</f>
        <v/>
      </c>
      <c r="J69" s="22">
        <f>IFERROR((G69-F69)/F69,0)</f>
        <v/>
      </c>
    </row>
    <row r="70">
      <c r="C70" s="18" t="inlineStr">
        <is>
          <t>Westwood</t>
        </is>
      </c>
      <c r="D70" s="20">
        <f>SUM(D34:O34)</f>
        <v/>
      </c>
      <c r="E70" s="20">
        <f>SUM(P34:AA34)</f>
        <v/>
      </c>
      <c r="F70" s="20">
        <f>SUM(AB34:AM34)</f>
        <v/>
      </c>
      <c r="G70" s="20">
        <f>SUM(AN34:AY34)</f>
        <v/>
      </c>
      <c r="H70" s="22">
        <f>IFERROR((E70-D70)/D70,0)</f>
        <v/>
      </c>
      <c r="I70" s="22">
        <f>IFERROR((F70-E70)/E70,0)</f>
        <v/>
      </c>
      <c r="J70" s="22">
        <f>IFERROR((G70-F70)/F70,0)</f>
        <v/>
      </c>
    </row>
    <row r="71">
      <c r="C71" s="18" t="inlineStr">
        <is>
          <t>Head Office</t>
        </is>
      </c>
      <c r="D71" s="20">
        <f>SUM('HO P&amp;L'!D36:O36)</f>
        <v/>
      </c>
      <c r="E71" s="20">
        <f>SUM('HO P&amp;L'!P36:AA36)</f>
        <v/>
      </c>
      <c r="F71" s="20">
        <f>SUM('HO P&amp;L'!AB36:AM36)</f>
        <v/>
      </c>
      <c r="G71" s="20">
        <f>SUM('HO P&amp;L'!AN36:AY36)</f>
        <v/>
      </c>
      <c r="H71" s="22">
        <f>IFERROR((E71-D71)/D71,0)</f>
        <v/>
      </c>
      <c r="I71" s="22">
        <f>IFERROR((F71-E71)/E71,0)</f>
        <v/>
      </c>
      <c r="J71" s="22">
        <f>IFERROR((G71-F71)/F71,0)</f>
        <v/>
      </c>
    </row>
    <row r="72">
      <c r="C72" s="18" t="n"/>
      <c r="D72" s="76" t="n"/>
      <c r="E72" s="76" t="n"/>
      <c r="F72" s="76" t="n"/>
      <c r="G72" s="76" t="n"/>
      <c r="H72" s="77" t="n"/>
      <c r="I72" s="77" t="n"/>
      <c r="J72" s="77" t="n"/>
    </row>
    <row r="73">
      <c r="B73" s="15" t="inlineStr">
        <is>
          <t>Total Adj-EBITDA</t>
        </is>
      </c>
      <c r="D73" s="79">
        <f>SUM(D39:O39)</f>
        <v/>
      </c>
      <c r="E73" s="79">
        <f>SUM(P39:AA39)</f>
        <v/>
      </c>
      <c r="F73" s="80">
        <f>SUM(AB39:AM39)</f>
        <v/>
      </c>
      <c r="G73" s="80">
        <f>SUM(AN39:AY39)</f>
        <v/>
      </c>
      <c r="H73" s="81">
        <f>IFERROR((E73-D73)/D73,0)</f>
        <v/>
      </c>
      <c r="I73" s="81">
        <f>IFERROR((F73-E73)/E73,0)</f>
        <v/>
      </c>
      <c r="J73" s="82">
        <f>IFERROR((G73-F73)/F73,0)</f>
        <v/>
      </c>
    </row>
    <row r="74">
      <c r="B74" s="15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</row>
    <row r="76" ht="16.05" customHeight="1" s="142">
      <c r="B76" s="10" t="inlineStr">
        <is>
          <t>Pro Forma Cash Flow Model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BA76" s="24" t="n"/>
      <c r="BB76" s="24" t="n"/>
      <c r="BC76" s="24" t="n"/>
      <c r="BD76" s="24" t="n"/>
      <c r="BF76" s="24" t="n"/>
    </row>
    <row r="78">
      <c r="B78" s="102" t="inlineStr">
        <is>
          <t>EBITDA</t>
        </is>
      </c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5" t="n"/>
      <c r="V78" s="115" t="n"/>
      <c r="W78" s="115" t="n"/>
      <c r="X78" s="115" t="n"/>
      <c r="Y78" s="115" t="n"/>
      <c r="Z78" s="115" t="n"/>
      <c r="AA78" s="115" t="n"/>
      <c r="AB78" s="24">
        <f>AB39</f>
        <v/>
      </c>
      <c r="AC78" s="24">
        <f>AC39</f>
        <v/>
      </c>
      <c r="AD78" s="24">
        <f>AD39</f>
        <v/>
      </c>
      <c r="AE78" s="24">
        <f>AE39</f>
        <v/>
      </c>
      <c r="AF78" s="24">
        <f>AF39</f>
        <v/>
      </c>
      <c r="AG78" s="24">
        <f>AG39</f>
        <v/>
      </c>
      <c r="AH78" s="24">
        <f>AH39</f>
        <v/>
      </c>
      <c r="AI78" s="24">
        <f>AI39</f>
        <v/>
      </c>
      <c r="AJ78" s="24">
        <f>AJ39</f>
        <v/>
      </c>
      <c r="AK78" s="24">
        <f>AK39</f>
        <v/>
      </c>
      <c r="AL78" s="24">
        <f>AL39</f>
        <v/>
      </c>
      <c r="AM78" s="24">
        <f>AM39</f>
        <v/>
      </c>
      <c r="AN78" s="24">
        <f>AN39</f>
        <v/>
      </c>
      <c r="AO78" s="24">
        <f>AO39</f>
        <v/>
      </c>
      <c r="AP78" s="24">
        <f>AP39</f>
        <v/>
      </c>
      <c r="AQ78" s="24">
        <f>AQ39</f>
        <v/>
      </c>
      <c r="AR78" s="24">
        <f>AR39</f>
        <v/>
      </c>
      <c r="AS78" s="24">
        <f>AS39</f>
        <v/>
      </c>
      <c r="AT78" s="24">
        <f>AT39</f>
        <v/>
      </c>
      <c r="AU78" s="24">
        <f>AU39</f>
        <v/>
      </c>
      <c r="AV78" s="24">
        <f>AV39</f>
        <v/>
      </c>
      <c r="AW78" s="24">
        <f>AW39</f>
        <v/>
      </c>
      <c r="AX78" s="24">
        <f>AX39</f>
        <v/>
      </c>
      <c r="AY78" s="24">
        <f>AY39</f>
        <v/>
      </c>
    </row>
    <row r="79">
      <c r="B79" t="inlineStr">
        <is>
          <t>D&amp;A (-)</t>
        </is>
      </c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5" t="n"/>
      <c r="V79" s="115" t="n"/>
      <c r="W79" s="115" t="n"/>
      <c r="X79" s="115" t="n"/>
      <c r="Y79" s="115" t="n"/>
      <c r="Z79" s="115" t="n"/>
      <c r="AA79" s="115" t="n"/>
      <c r="AB79" s="157" t="n">
        <v>0</v>
      </c>
      <c r="AC79" s="116" t="n"/>
      <c r="AD79" s="116" t="n"/>
      <c r="AE79" s="116" t="n"/>
      <c r="AF79" s="116" t="n"/>
      <c r="AG79" s="116" t="n"/>
      <c r="AH79" s="116" t="n"/>
      <c r="AI79" s="116" t="n"/>
      <c r="AJ79" s="116" t="n"/>
      <c r="AK79" s="116" t="n"/>
      <c r="AL79" s="116" t="n"/>
      <c r="AM79" s="116" t="n"/>
      <c r="AN79" s="116" t="n"/>
      <c r="AO79" s="116" t="n"/>
      <c r="AP79" s="116" t="n"/>
      <c r="AQ79" s="116" t="n"/>
      <c r="AR79" s="116" t="n"/>
      <c r="AS79" s="116" t="n"/>
      <c r="AT79" s="116" t="n"/>
      <c r="AU79" s="116" t="n"/>
      <c r="AV79" s="116" t="n"/>
      <c r="AW79" s="116" t="n"/>
      <c r="AX79" s="116" t="n"/>
      <c r="AY79" s="116" t="n"/>
    </row>
    <row r="80">
      <c r="B80" t="inlineStr">
        <is>
          <t>Interest (-)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5" t="n"/>
      <c r="V80" s="115" t="n"/>
      <c r="W80" s="115" t="n"/>
      <c r="X80" s="115" t="n"/>
      <c r="Y80" s="115" t="n"/>
      <c r="Z80" s="115" t="n"/>
      <c r="AA80" s="115" t="n"/>
    </row>
    <row r="81">
      <c r="B81" t="inlineStr">
        <is>
          <t>EBIT</t>
        </is>
      </c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5" t="n"/>
      <c r="V81" s="115" t="n"/>
      <c r="W81" s="115" t="n"/>
      <c r="X81" s="115" t="n"/>
      <c r="Y81" s="115" t="n"/>
      <c r="Z81" s="115" t="n"/>
      <c r="AA81" s="115" t="n"/>
    </row>
    <row r="82"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5" t="n"/>
      <c r="V82" s="115" t="n"/>
      <c r="W82" s="115" t="n"/>
      <c r="X82" s="115" t="n"/>
      <c r="Y82" s="115" t="n"/>
      <c r="Z82" s="115" t="n"/>
      <c r="AA82" s="115" t="n"/>
    </row>
    <row r="83"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5" t="n"/>
      <c r="V83" s="115" t="n"/>
      <c r="W83" s="115" t="n"/>
      <c r="X83" s="115" t="n"/>
      <c r="Y83" s="115" t="n"/>
      <c r="Z83" s="115" t="n"/>
      <c r="AA83" s="115" t="n"/>
    </row>
    <row r="84"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5" t="n"/>
      <c r="V84" s="115" t="n"/>
      <c r="W84" s="115" t="n"/>
      <c r="X84" s="115" t="n"/>
      <c r="Y84" s="115" t="n"/>
      <c r="Z84" s="115" t="n"/>
      <c r="AA84" s="115" t="n"/>
    </row>
    <row r="85"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5" t="n"/>
      <c r="V85" s="115" t="n"/>
      <c r="W85" s="115" t="n"/>
      <c r="X85" s="115" t="n"/>
      <c r="Y85" s="115" t="n"/>
      <c r="Z85" s="115" t="n"/>
      <c r="AA85" s="115" t="n"/>
    </row>
    <row r="86"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5" t="n"/>
      <c r="V86" s="115" t="n"/>
      <c r="W86" s="115" t="n"/>
      <c r="X86" s="115" t="n"/>
      <c r="Y86" s="115" t="n"/>
      <c r="Z86" s="115" t="n"/>
      <c r="AA86" s="115" t="n"/>
    </row>
    <row r="87"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5" t="n"/>
      <c r="V87" s="115" t="n"/>
      <c r="W87" s="115" t="n"/>
      <c r="X87" s="115" t="n"/>
      <c r="Y87" s="115" t="n"/>
      <c r="Z87" s="115" t="n"/>
      <c r="AA87" s="115" t="n"/>
    </row>
    <row r="88"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5" t="n"/>
      <c r="V88" s="115" t="n"/>
      <c r="W88" s="115" t="n"/>
      <c r="X88" s="115" t="n"/>
      <c r="Y88" s="115" t="n"/>
      <c r="Z88" s="115" t="n"/>
      <c r="AA88" s="115" t="n"/>
    </row>
    <row r="89"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5" t="n"/>
      <c r="V89" s="115" t="n"/>
      <c r="W89" s="115" t="n"/>
      <c r="X89" s="115" t="n"/>
      <c r="Y89" s="115" t="n"/>
      <c r="Z89" s="115" t="n"/>
      <c r="AA89" s="115" t="n"/>
    </row>
    <row r="90"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5" t="n"/>
      <c r="V90" s="115" t="n"/>
      <c r="W90" s="115" t="n"/>
      <c r="X90" s="115" t="n"/>
      <c r="Y90" s="115" t="n"/>
      <c r="Z90" s="115" t="n"/>
      <c r="AA90" s="115" t="n"/>
    </row>
    <row r="91"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5" t="n"/>
      <c r="V91" s="115" t="n"/>
      <c r="W91" s="115" t="n"/>
      <c r="X91" s="115" t="n"/>
      <c r="Y91" s="115" t="n"/>
      <c r="Z91" s="115" t="n"/>
      <c r="AA91" s="115" t="n"/>
    </row>
    <row r="125"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  <c r="AS125" s="24" t="n"/>
      <c r="AT125" s="24" t="n"/>
      <c r="AU125" s="24" t="n"/>
      <c r="AV125" s="24" t="n"/>
      <c r="AW125" s="24" t="n"/>
      <c r="AX125" s="24" t="n"/>
      <c r="AY125" s="24" t="n"/>
      <c r="BA125" s="24" t="n"/>
    </row>
    <row r="126"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BA126" s="24" t="n"/>
    </row>
  </sheetData>
  <pageMargins left="0.75" right="0.75" top="1" bottom="1" header="0.5" footer="0.5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D966"/>
    <outlinePr summaryBelow="1" summaryRight="1"/>
    <pageSetUpPr/>
  </sheetPr>
  <dimension ref="B2:J51"/>
  <sheetViews>
    <sheetView showGridLines="0" topLeftCell="B1" workbookViewId="0">
      <selection activeCell="B1" sqref="B1"/>
    </sheetView>
  </sheetViews>
  <sheetFormatPr baseColWidth="8" defaultColWidth="8.796875" defaultRowHeight="14.25"/>
  <cols>
    <col hidden="1" width="2" customWidth="1" style="142" min="1" max="1"/>
    <col width="36" customWidth="1" style="142" min="2" max="2"/>
    <col width="14" customWidth="1" style="142" min="3" max="9"/>
    <col width="18" customWidth="1" style="142" min="10" max="10"/>
  </cols>
  <sheetData>
    <row r="2" ht="21" customHeight="1" s="142">
      <c r="B2" s="9" t="inlineStr">
        <is>
          <t>Assumptions</t>
        </is>
      </c>
    </row>
    <row r="3">
      <c r="B3" s="3" t="inlineStr">
        <is>
          <t>Yellow cells are editable inputs. All other tabs reference these values.</t>
        </is>
      </c>
    </row>
    <row r="5" ht="16.05" customHeight="1" s="142">
      <c r="B5" s="10" t="inlineStr">
        <is>
          <t>1. Model Control</t>
        </is>
      </c>
      <c r="C5" s="11" t="n"/>
      <c r="D5" s="11" t="n"/>
      <c r="E5" s="11" t="n"/>
      <c r="F5" s="11" t="n"/>
      <c r="G5" s="11" t="n"/>
      <c r="H5" s="11" t="n"/>
      <c r="I5" s="11" t="n"/>
    </row>
    <row r="6">
      <c r="B6" s="18" t="inlineStr">
        <is>
          <t>Last Actuals Month</t>
        </is>
      </c>
      <c r="C6" s="25" t="inlineStr">
        <is>
          <t>May 2026</t>
        </is>
      </c>
    </row>
    <row r="7">
      <c r="B7" s="18" t="inlineStr">
        <is>
          <t>Forecast Horizon (months)</t>
        </is>
      </c>
      <c r="C7" s="26" t="n">
        <v>32</v>
      </c>
    </row>
    <row r="8">
      <c r="B8" s="18" t="inlineStr">
        <is>
          <t>Forecast End Month</t>
        </is>
      </c>
      <c r="C8" s="25" t="inlineStr">
        <is>
          <t>Dec 2028</t>
        </is>
      </c>
    </row>
    <row r="10" ht="16.05" customHeight="1" s="142">
      <c r="B10" s="10" t="inlineStr">
        <is>
          <t>2. Revenue Recognition Curves</t>
        </is>
      </c>
      <c r="C10" s="11" t="n"/>
      <c r="D10" s="11" t="n"/>
      <c r="E10" s="11" t="n"/>
      <c r="F10" s="11" t="n"/>
      <c r="G10" s="11" t="n"/>
      <c r="H10" s="11" t="n"/>
      <c r="I10" s="11" t="n"/>
    </row>
    <row r="11">
      <c r="B11" s="15" t="inlineStr">
        <is>
          <t>Lag Month (0 = sale month)</t>
        </is>
      </c>
      <c r="C11" s="27" t="n">
        <v>0</v>
      </c>
      <c r="D11" s="27" t="n">
        <v>1</v>
      </c>
      <c r="E11" s="27" t="n">
        <v>2</v>
      </c>
      <c r="F11" s="27" t="n">
        <v>3</v>
      </c>
      <c r="G11" s="27" t="n">
        <v>4</v>
      </c>
      <c r="H11" s="27" t="n">
        <v>5</v>
      </c>
      <c r="I11" s="27" t="n">
        <v>6</v>
      </c>
      <c r="J11" s="27" t="inlineStr">
        <is>
          <t>Sum</t>
        </is>
      </c>
    </row>
    <row r="12">
      <c r="B12" s="18" t="inlineStr">
        <is>
          <t>Earned %</t>
        </is>
      </c>
      <c r="C12" s="28" t="n">
        <v>0.3868</v>
      </c>
      <c r="D12" s="28" t="n">
        <v>0.2997</v>
      </c>
      <c r="E12" s="28" t="n">
        <v>0.08550000000000001</v>
      </c>
      <c r="F12" s="28" t="n">
        <v>0.0482</v>
      </c>
      <c r="G12" s="28" t="n">
        <v>0.0261</v>
      </c>
      <c r="H12" s="28" t="n">
        <v>0.0193</v>
      </c>
      <c r="I12" s="28" t="n">
        <v>0.0144</v>
      </c>
      <c r="J12" s="29">
        <f>SUM(C12:I12)</f>
        <v/>
      </c>
    </row>
    <row r="13">
      <c r="B13" s="18" t="inlineStr">
        <is>
          <t>Breakage %</t>
        </is>
      </c>
      <c r="C13" s="28" t="n">
        <v>0.0017</v>
      </c>
      <c r="D13" s="28" t="n">
        <v>0.0602</v>
      </c>
      <c r="E13" s="28" t="n">
        <v>0.0053</v>
      </c>
      <c r="F13" s="28" t="n">
        <v>0.0003</v>
      </c>
      <c r="G13" s="28" t="n">
        <v>0.0001</v>
      </c>
      <c r="H13" s="28" t="n">
        <v>0.0008</v>
      </c>
      <c r="I13" s="28" t="n">
        <v>0.0516</v>
      </c>
      <c r="J13" s="29">
        <f>SUM(C13:I13)</f>
        <v/>
      </c>
    </row>
    <row r="14">
      <c r="B14" s="15" t="inlineStr">
        <is>
          <t>Total (Earned + Breakage)</t>
        </is>
      </c>
      <c r="C14" s="29">
        <f>C12+C13</f>
        <v/>
      </c>
      <c r="D14" s="29">
        <f>D12+D13</f>
        <v/>
      </c>
      <c r="E14" s="29">
        <f>E12+E13</f>
        <v/>
      </c>
      <c r="F14" s="29">
        <f>F12+F13</f>
        <v/>
      </c>
      <c r="G14" s="29">
        <f>G12+G13</f>
        <v/>
      </c>
      <c r="H14" s="29">
        <f>H12+H13</f>
        <v/>
      </c>
      <c r="I14" s="29">
        <f>I12+I13</f>
        <v/>
      </c>
      <c r="J14" s="29">
        <f>SUM(C14:I14)</f>
        <v/>
      </c>
    </row>
    <row r="16" ht="16.05" customHeight="1" s="142">
      <c r="B16" s="10" t="inlineStr">
        <is>
          <t>3. Rates (% of Gross Revenue)</t>
        </is>
      </c>
      <c r="C16" s="11" t="n"/>
      <c r="D16" s="11" t="n"/>
      <c r="E16" s="11" t="n"/>
      <c r="F16" s="11" t="n"/>
      <c r="G16" s="11" t="n"/>
      <c r="H16" s="11" t="n"/>
      <c r="I16" s="11" t="n"/>
    </row>
    <row r="17">
      <c r="B17" s="18" t="inlineStr">
        <is>
          <t>Refund Rate</t>
        </is>
      </c>
      <c r="C17" s="30" t="n">
        <v>-0.0158</v>
      </c>
      <c r="D17" s="141" t="inlineStr">
        <is>
          <t>Refunds as % of gross revenue. Negative reduces net revenue.</t>
        </is>
      </c>
    </row>
    <row r="18">
      <c r="B18" s="18" t="inlineStr">
        <is>
          <t>Discount Rate</t>
        </is>
      </c>
      <c r="C18" s="30" t="n">
        <v>-0.05309999999999999</v>
      </c>
      <c r="D18" s="141" t="inlineStr">
        <is>
          <t>Discounts as % of gross revenue. Negative reduces net revenue.</t>
        </is>
      </c>
    </row>
    <row r="19">
      <c r="B19" s="18" t="inlineStr">
        <is>
          <t>Merchant Fee %</t>
        </is>
      </c>
      <c r="C19" s="30" t="n">
        <v>0.0286</v>
      </c>
      <c r="D19" s="141" t="inlineStr">
        <is>
          <t>Payment processor fees as % of revenue.</t>
        </is>
      </c>
    </row>
    <row r="20">
      <c r="B20" s="18" t="inlineStr">
        <is>
          <t>COGS %</t>
        </is>
      </c>
      <c r="C20" s="30" t="n">
        <v>0.009599999999999999</v>
      </c>
      <c r="D20" s="141" t="inlineStr">
        <is>
          <t>Cost of goods sold as % of revenue (retail).</t>
        </is>
      </c>
    </row>
    <row r="22" ht="16.05" customHeight="1" s="142">
      <c r="B22" s="10" t="inlineStr">
        <is>
          <t>4. Annual Escalation Rates</t>
        </is>
      </c>
      <c r="C22" s="11" t="n"/>
      <c r="D22" s="11" t="n"/>
      <c r="E22" s="11" t="n"/>
      <c r="F22" s="11" t="n"/>
      <c r="G22" s="11" t="n"/>
      <c r="H22" s="11" t="n"/>
      <c r="I22" s="11" t="n"/>
    </row>
    <row r="23">
      <c r="B23" s="18" t="inlineStr">
        <is>
          <t>Rent / Property Escalation</t>
        </is>
      </c>
      <c r="C23" s="28" t="n">
        <v>0.03</v>
      </c>
      <c r="D23" s="141" t="inlineStr">
        <is>
          <t>3% annual rent step-up applied to forecast months</t>
        </is>
      </c>
    </row>
    <row r="24">
      <c r="B24" s="18" t="inlineStr">
        <is>
          <t>Other OpEx Escalation</t>
        </is>
      </c>
      <c r="C24" s="28" t="n">
        <v>0.04</v>
      </c>
      <c r="D24" s="141" t="inlineStr">
        <is>
          <t>4% annual escalation for all non-rent OpEx categories</t>
        </is>
      </c>
    </row>
    <row r="25">
      <c r="B25" s="18" t="inlineStr">
        <is>
          <t>Sales YoY Growth</t>
        </is>
      </c>
      <c r="C25" s="28" t="n">
        <v>0.05</v>
      </c>
      <c r="D25" s="141" t="inlineStr">
        <is>
          <t>5% YoY assumed for 2028 (applied to 2027 seasonal pattern)</t>
        </is>
      </c>
    </row>
    <row r="27" ht="16.05" customHeight="1" s="142">
      <c r="B27" s="10" t="inlineStr">
        <is>
          <t>5. Loan Terms (as of Apr 2026)</t>
        </is>
      </c>
      <c r="C27" s="11" t="n"/>
      <c r="D27" s="11" t="n"/>
      <c r="E27" s="11" t="n"/>
      <c r="F27" s="11" t="n"/>
      <c r="G27" s="11" t="n"/>
      <c r="H27" s="11" t="n"/>
      <c r="I27" s="11" t="n"/>
    </row>
    <row r="28">
      <c r="B28" s="14" t="inlineStr">
        <is>
          <t>Loan</t>
        </is>
      </c>
      <c r="C28" s="14" t="inlineStr">
        <is>
          <t>Original Amt</t>
        </is>
      </c>
      <c r="D28" s="14" t="inlineStr">
        <is>
          <t>Current Balance</t>
        </is>
      </c>
      <c r="E28" s="14" t="inlineStr">
        <is>
          <t>Rate (Annual)</t>
        </is>
      </c>
      <c r="F28" s="14" t="inlineStr">
        <is>
          <t>Avg Monthly Pmt</t>
        </is>
      </c>
      <c r="G28" s="14" t="inlineStr">
        <is>
          <t>Start Date</t>
        </is>
      </c>
      <c r="H28" s="14" t="inlineStr">
        <is>
          <t>Type</t>
        </is>
      </c>
    </row>
    <row r="29">
      <c r="B29" s="15" t="inlineStr">
        <is>
          <t>MindBody Loan - SM</t>
        </is>
      </c>
      <c r="C29" s="31" t="n">
        <v>193706.66</v>
      </c>
      <c r="D29" s="31" t="n">
        <v>99348.21000000001</v>
      </c>
      <c r="E29" s="30" t="n">
        <v>0</v>
      </c>
      <c r="F29" s="31" t="n">
        <v>18871.69</v>
      </c>
      <c r="G29" s="25" t="inlineStr">
        <is>
          <t>2025-09</t>
        </is>
      </c>
      <c r="H29" s="18" t="inlineStr">
        <is>
          <t>Amortizing</t>
        </is>
      </c>
    </row>
    <row r="30">
      <c r="B30" s="15" t="inlineStr">
        <is>
          <t>MindBody Loan - PH</t>
        </is>
      </c>
      <c r="C30" s="31" t="n">
        <v>130000</v>
      </c>
      <c r="D30" s="31" t="n">
        <v>46989.79</v>
      </c>
      <c r="E30" s="30" t="n">
        <v>0</v>
      </c>
      <c r="F30" s="31" t="n">
        <v>16602.04</v>
      </c>
      <c r="G30" s="25" t="inlineStr">
        <is>
          <t>2025-09</t>
        </is>
      </c>
      <c r="H30" s="18" t="inlineStr">
        <is>
          <t>Amortizing</t>
        </is>
      </c>
    </row>
    <row r="31">
      <c r="B31" s="15" t="inlineStr">
        <is>
          <t>MindBody Loan - LF</t>
        </is>
      </c>
      <c r="C31" s="31" t="n">
        <v>69249.28</v>
      </c>
      <c r="D31" s="31" t="n">
        <v>20599.85</v>
      </c>
      <c r="E31" s="30" t="n">
        <v>0</v>
      </c>
      <c r="F31" s="31" t="n">
        <v>12162.36</v>
      </c>
      <c r="G31" s="25" t="inlineStr">
        <is>
          <t>2025-10</t>
        </is>
      </c>
      <c r="H31" s="18" t="inlineStr">
        <is>
          <t>Amortizing</t>
        </is>
      </c>
    </row>
    <row r="32">
      <c r="B32" s="15" t="inlineStr">
        <is>
          <t>MindBody Loan - MR</t>
        </is>
      </c>
      <c r="C32" s="31" t="n">
        <v>67443.81</v>
      </c>
      <c r="D32" s="31" t="n">
        <v>14815.18</v>
      </c>
      <c r="E32" s="30" t="n">
        <v>0</v>
      </c>
      <c r="F32" s="31" t="n">
        <v>13157.16</v>
      </c>
      <c r="G32" s="25" t="inlineStr">
        <is>
          <t>2025-10</t>
        </is>
      </c>
      <c r="H32" s="18" t="inlineStr">
        <is>
          <t>Amortizing</t>
        </is>
      </c>
    </row>
    <row r="33">
      <c r="B33" s="15" t="inlineStr">
        <is>
          <t>Samson Loan</t>
        </is>
      </c>
      <c r="C33" s="31" t="n">
        <v>265414.78</v>
      </c>
      <c r="D33" s="31" t="n">
        <v>189034.12</v>
      </c>
      <c r="E33" s="30" t="n">
        <v>0</v>
      </c>
      <c r="F33" s="31" t="n">
        <v>25460.22</v>
      </c>
      <c r="G33" s="25" t="inlineStr">
        <is>
          <t>2025-11</t>
        </is>
      </c>
      <c r="H33" s="18" t="inlineStr">
        <is>
          <t>Amortizing</t>
        </is>
      </c>
    </row>
    <row r="34">
      <c r="B34" s="15" t="inlineStr">
        <is>
          <t>Specialty Capital Loan</t>
        </is>
      </c>
      <c r="C34" s="31" t="n">
        <v>217184.21</v>
      </c>
      <c r="D34" s="31" t="n">
        <v>165407.89</v>
      </c>
      <c r="E34" s="30" t="n">
        <v>0</v>
      </c>
      <c r="F34" s="31" t="n">
        <v>25888.16</v>
      </c>
      <c r="G34" s="25" t="inlineStr">
        <is>
          <t>2025-12</t>
        </is>
      </c>
      <c r="H34" s="18" t="inlineStr">
        <is>
          <t>Amortizing</t>
        </is>
      </c>
    </row>
    <row r="35">
      <c r="B35" s="15" t="inlineStr">
        <is>
          <t>Norbrook Inc Loan</t>
        </is>
      </c>
      <c r="C35" s="31" t="n">
        <v>162318</v>
      </c>
      <c r="D35" s="31" t="n">
        <v>162318</v>
      </c>
      <c r="E35" s="30" t="n">
        <v>0.08</v>
      </c>
      <c r="F35" s="31" t="n">
        <v>0</v>
      </c>
      <c r="G35" s="25" t="inlineStr">
        <is>
          <t>2025-10</t>
        </is>
      </c>
      <c r="H35" s="18" t="inlineStr">
        <is>
          <t>Interest-Only</t>
        </is>
      </c>
    </row>
    <row r="36">
      <c r="B36" s="15" t="inlineStr">
        <is>
          <t>TOTAL DEBT</t>
        </is>
      </c>
      <c r="D36" s="17">
        <f>SUM(D29:D35)</f>
        <v/>
      </c>
      <c r="F36" s="17">
        <f>SUM(F29:F35)</f>
        <v/>
      </c>
    </row>
    <row r="38" ht="16.05" customHeight="1" s="142">
      <c r="B38" s="10" t="inlineStr">
        <is>
          <t>6. Active Studios</t>
        </is>
      </c>
      <c r="C38" s="11" t="n"/>
      <c r="D38" s="11" t="n"/>
      <c r="E38" s="11" t="n"/>
      <c r="F38" s="11" t="n"/>
      <c r="G38" s="11" t="n"/>
      <c r="H38" s="11" t="n"/>
      <c r="I38" s="11" t="n"/>
    </row>
    <row r="39">
      <c r="B39" s="14" t="inlineStr">
        <is>
          <t>Code</t>
        </is>
      </c>
      <c r="C39" s="14" t="inlineStr">
        <is>
          <t>Name</t>
        </is>
      </c>
    </row>
    <row r="40">
      <c r="B40" s="15" t="inlineStr">
        <is>
          <t>BK</t>
        </is>
      </c>
      <c r="C40" s="18" t="inlineStr">
        <is>
          <t>Berkeley</t>
        </is>
      </c>
    </row>
    <row r="41">
      <c r="B41" s="15" t="inlineStr">
        <is>
          <t>CC</t>
        </is>
      </c>
      <c r="C41" s="18" t="inlineStr">
        <is>
          <t>Culver City</t>
        </is>
      </c>
    </row>
    <row r="42">
      <c r="B42" s="15" t="inlineStr">
        <is>
          <t>DN</t>
        </is>
      </c>
      <c r="C42" s="18" t="inlineStr">
        <is>
          <t>Danville</t>
        </is>
      </c>
    </row>
    <row r="43">
      <c r="B43" s="15" t="inlineStr">
        <is>
          <t>LF</t>
        </is>
      </c>
      <c r="C43" s="18" t="inlineStr">
        <is>
          <t>Lafayette</t>
        </is>
      </c>
    </row>
    <row r="44">
      <c r="B44" s="15" t="inlineStr">
        <is>
          <t>MR</t>
        </is>
      </c>
      <c r="C44" s="18" t="inlineStr">
        <is>
          <t>Marin</t>
        </is>
      </c>
    </row>
    <row r="45">
      <c r="B45" s="15" t="inlineStr">
        <is>
          <t>OP</t>
        </is>
      </c>
      <c r="C45" s="18" t="inlineStr">
        <is>
          <t>Ocean Park</t>
        </is>
      </c>
    </row>
    <row r="46">
      <c r="B46" s="15" t="inlineStr">
        <is>
          <t>PH</t>
        </is>
      </c>
      <c r="C46" s="18" t="inlineStr">
        <is>
          <t>Presidio Heights</t>
        </is>
      </c>
    </row>
    <row r="47">
      <c r="B47" s="15" t="inlineStr">
        <is>
          <t>RH</t>
        </is>
      </c>
      <c r="C47" s="18" t="inlineStr">
        <is>
          <t>Russian Hill</t>
        </is>
      </c>
    </row>
    <row r="48">
      <c r="B48" s="15" t="inlineStr">
        <is>
          <t>SB</t>
        </is>
      </c>
      <c r="C48" s="18" t="inlineStr">
        <is>
          <t>Santa Barbara</t>
        </is>
      </c>
    </row>
    <row r="49">
      <c r="B49" s="15" t="inlineStr">
        <is>
          <t>SM</t>
        </is>
      </c>
      <c r="C49" s="18" t="inlineStr">
        <is>
          <t>Santa Monica</t>
        </is>
      </c>
    </row>
    <row r="50">
      <c r="B50" s="15" t="inlineStr">
        <is>
          <t>WP</t>
        </is>
      </c>
      <c r="C50" s="18" t="inlineStr">
        <is>
          <t>West Portal</t>
        </is>
      </c>
    </row>
    <row r="51">
      <c r="B51" s="15" t="inlineStr">
        <is>
          <t>WW</t>
        </is>
      </c>
      <c r="C51" s="18" t="inlineStr">
        <is>
          <t>Westwood</t>
        </is>
      </c>
    </row>
  </sheetData>
  <mergeCells count="7">
    <mergeCell ref="D19:I19"/>
    <mergeCell ref="D24:I24"/>
    <mergeCell ref="D23:I23"/>
    <mergeCell ref="D18:I18"/>
    <mergeCell ref="D17:I17"/>
    <mergeCell ref="D20:I20"/>
    <mergeCell ref="D25:I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D966"/>
    <outlinePr summaryBelow="1" summaryRight="1"/>
    <pageSetUpPr/>
  </sheetPr>
  <dimension ref="B2:AY113"/>
  <sheetViews>
    <sheetView showGridLines="0" zoomScale="130" zoomScaleNormal="13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96875" defaultRowHeight="14.25"/>
  <cols>
    <col hidden="1" width="2" customWidth="1" style="142" min="1" max="1"/>
    <col width="8" customWidth="1" style="142" min="2" max="2"/>
    <col width="22" customWidth="1" style="142" min="3" max="3"/>
    <col width="11" customWidth="1" style="142" min="4" max="39"/>
  </cols>
  <sheetData>
    <row r="2" ht="21" customHeight="1" s="142">
      <c r="B2" s="9" t="inlineStr">
        <is>
          <t>Sales Forecast (Gross)</t>
        </is>
      </c>
    </row>
    <row r="3">
      <c r="B3" s="3" t="inlineStr">
        <is>
          <t>Jan-May 2026 actuals (locked, Cat-authoritative). Jun 2026 onwards forecast (editable).</t>
        </is>
      </c>
    </row>
    <row r="4" ht="16.05" customHeight="1" s="142">
      <c r="B4" s="10" t="inlineStr">
        <is>
          <t>Per-Studio Monthly Sales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Code</t>
        </is>
      </c>
      <c r="C5" s="12" t="inlineStr">
        <is>
          <t>Studio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86" t="n">
        <v>46143</v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5" t="inlineStr">
        <is>
          <t>BK</t>
        </is>
      </c>
      <c r="C6" s="18" t="inlineStr">
        <is>
          <t>Berkeley</t>
        </is>
      </c>
      <c r="D6" s="19" t="n">
        <v>122672</v>
      </c>
      <c r="E6" s="19" t="n">
        <v>124750</v>
      </c>
      <c r="F6" s="19" t="n">
        <v>112908</v>
      </c>
      <c r="G6" s="19" t="n">
        <v>140814</v>
      </c>
      <c r="H6" s="19" t="n">
        <v>111061</v>
      </c>
      <c r="I6" s="19" t="n">
        <v>107458</v>
      </c>
      <c r="J6" s="19" t="n">
        <v>101618</v>
      </c>
      <c r="K6" s="19" t="n">
        <v>142373</v>
      </c>
      <c r="L6" s="19" t="n">
        <v>101097</v>
      </c>
      <c r="M6" s="19" t="n">
        <v>115965</v>
      </c>
      <c r="N6" s="19" t="n">
        <v>101860</v>
      </c>
      <c r="O6" s="19" t="n">
        <v>99707</v>
      </c>
      <c r="P6" s="19" t="n">
        <v>124393</v>
      </c>
      <c r="Q6" s="19" t="n">
        <v>129377</v>
      </c>
      <c r="R6" s="64" t="n">
        <v>103159</v>
      </c>
      <c r="S6" s="64" t="n">
        <v>136117</v>
      </c>
      <c r="T6" s="64" t="n">
        <v>83273</v>
      </c>
      <c r="U6" s="31" t="n">
        <v>110000</v>
      </c>
      <c r="V6" s="31" t="n">
        <v>105000</v>
      </c>
      <c r="W6" s="31" t="n">
        <v>120000</v>
      </c>
      <c r="X6" s="31" t="n">
        <v>120000</v>
      </c>
      <c r="Y6" s="31" t="n">
        <v>130000</v>
      </c>
      <c r="Z6" s="31" t="n">
        <v>130000</v>
      </c>
      <c r="AA6" s="31" t="n">
        <v>149000</v>
      </c>
      <c r="AB6" s="31" t="n">
        <v>130612.65</v>
      </c>
      <c r="AC6" s="31" t="n">
        <v>135845.85</v>
      </c>
      <c r="AD6" s="31" t="n">
        <v>108316.95</v>
      </c>
      <c r="AE6" s="31" t="n">
        <v>142922.85</v>
      </c>
      <c r="AF6" s="31" t="n">
        <v>87649.8</v>
      </c>
      <c r="AG6" s="31" t="n">
        <v>115500</v>
      </c>
      <c r="AH6" s="31" t="n">
        <v>110250</v>
      </c>
      <c r="AI6" s="31" t="n">
        <v>126000</v>
      </c>
      <c r="AJ6" s="31" t="n">
        <v>126000</v>
      </c>
      <c r="AK6" s="31" t="n">
        <v>136500</v>
      </c>
      <c r="AL6" s="31" t="n">
        <v>136500</v>
      </c>
      <c r="AM6" s="31" t="n">
        <v>156450</v>
      </c>
      <c r="AN6" s="31" t="n">
        <v>137143.28</v>
      </c>
      <c r="AO6" s="31" t="n">
        <v>142638.14</v>
      </c>
      <c r="AP6" s="31" t="n">
        <v>113732.8</v>
      </c>
      <c r="AQ6" s="31" t="n">
        <v>150068.99</v>
      </c>
      <c r="AR6" s="31" t="n">
        <v>92032.28999999999</v>
      </c>
      <c r="AS6" s="31" t="n">
        <v>121275</v>
      </c>
      <c r="AT6" s="31" t="n">
        <v>115762.5</v>
      </c>
      <c r="AU6" s="31" t="n">
        <v>132300</v>
      </c>
      <c r="AV6" s="31" t="n">
        <v>132300</v>
      </c>
      <c r="AW6" s="31" t="n">
        <v>143325</v>
      </c>
      <c r="AX6" s="31" t="n">
        <v>143325</v>
      </c>
      <c r="AY6" s="31" t="n">
        <v>164272.5</v>
      </c>
    </row>
    <row r="7">
      <c r="B7" s="15" t="inlineStr">
        <is>
          <t>CC</t>
        </is>
      </c>
      <c r="C7" s="18" t="inlineStr">
        <is>
          <t>Culver City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16118</v>
      </c>
      <c r="M7" s="19" t="n">
        <v>31030</v>
      </c>
      <c r="N7" s="19" t="n">
        <v>31622</v>
      </c>
      <c r="O7" s="19" t="n">
        <v>31310</v>
      </c>
      <c r="P7" s="19" t="n">
        <v>43840</v>
      </c>
      <c r="Q7" s="19" t="n">
        <v>38704</v>
      </c>
      <c r="R7" s="64" t="n">
        <v>42619</v>
      </c>
      <c r="S7" s="64" t="n">
        <v>39690</v>
      </c>
      <c r="T7" s="64" t="n">
        <v>43327</v>
      </c>
      <c r="U7" s="31" t="n">
        <v>52000</v>
      </c>
      <c r="V7" s="31" t="n">
        <v>59000</v>
      </c>
      <c r="W7" s="31" t="n">
        <v>50000</v>
      </c>
      <c r="X7" s="31" t="n">
        <v>53000</v>
      </c>
      <c r="Y7" s="31" t="n">
        <v>60000</v>
      </c>
      <c r="Z7" s="31" t="n">
        <v>64000</v>
      </c>
      <c r="AA7" s="31" t="n">
        <v>60000</v>
      </c>
      <c r="AB7" s="31" t="n">
        <v>61000</v>
      </c>
      <c r="AC7" s="31" t="n">
        <v>73307</v>
      </c>
      <c r="AD7" s="31" t="n">
        <v>69238</v>
      </c>
      <c r="AE7" s="31" t="n">
        <v>75096</v>
      </c>
      <c r="AF7" s="31" t="n">
        <v>70949</v>
      </c>
      <c r="AG7" s="31" t="n">
        <v>64231</v>
      </c>
      <c r="AH7" s="31" t="n">
        <v>95489</v>
      </c>
      <c r="AI7" s="31" t="n">
        <v>107456</v>
      </c>
      <c r="AJ7" s="31" t="n">
        <v>102425</v>
      </c>
      <c r="AK7" s="31" t="n">
        <v>95000</v>
      </c>
      <c r="AL7" s="31" t="n">
        <v>95000</v>
      </c>
      <c r="AM7" s="31" t="n">
        <v>95000</v>
      </c>
      <c r="AN7" s="31" t="n">
        <v>64050</v>
      </c>
      <c r="AO7" s="31" t="n">
        <v>76972.35000000001</v>
      </c>
      <c r="AP7" s="31" t="n">
        <v>72699.89999999999</v>
      </c>
      <c r="AQ7" s="31" t="n">
        <v>78850.8</v>
      </c>
      <c r="AR7" s="31" t="n">
        <v>74496.45</v>
      </c>
      <c r="AS7" s="31" t="n">
        <v>67442.55</v>
      </c>
      <c r="AT7" s="31" t="n">
        <v>100263.45</v>
      </c>
      <c r="AU7" s="31" t="n">
        <v>112828.8</v>
      </c>
      <c r="AV7" s="31" t="n">
        <v>107546.25</v>
      </c>
      <c r="AW7" s="31" t="n">
        <v>99750</v>
      </c>
      <c r="AX7" s="31" t="n">
        <v>99750</v>
      </c>
      <c r="AY7" s="31" t="n">
        <v>99750</v>
      </c>
    </row>
    <row r="8">
      <c r="B8" s="15" t="inlineStr">
        <is>
          <t>DN</t>
        </is>
      </c>
      <c r="C8" s="18" t="inlineStr">
        <is>
          <t>Danville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8385</v>
      </c>
      <c r="J8" s="19" t="n">
        <v>14789</v>
      </c>
      <c r="K8" s="19" t="n">
        <v>16531</v>
      </c>
      <c r="L8" s="19" t="n">
        <v>16660</v>
      </c>
      <c r="M8" s="19" t="n">
        <v>14843</v>
      </c>
      <c r="N8" s="19" t="n">
        <v>15819</v>
      </c>
      <c r="O8" s="19" t="n">
        <v>17950</v>
      </c>
      <c r="P8" s="19" t="n">
        <v>24286</v>
      </c>
      <c r="Q8" s="19" t="n">
        <v>23358</v>
      </c>
      <c r="R8" s="64" t="n">
        <v>20289</v>
      </c>
      <c r="S8" s="64" t="n">
        <v>20363</v>
      </c>
      <c r="T8" s="64" t="n">
        <v>15337</v>
      </c>
      <c r="U8" s="31" t="n">
        <v>20000</v>
      </c>
      <c r="V8" s="31" t="n">
        <v>20000</v>
      </c>
      <c r="W8" s="31" t="n">
        <v>25000</v>
      </c>
      <c r="X8" s="31" t="n">
        <v>25000</v>
      </c>
      <c r="Y8" s="31" t="n">
        <v>30000</v>
      </c>
      <c r="Z8" s="31" t="n">
        <v>25000</v>
      </c>
      <c r="AA8" s="31" t="n">
        <v>32000</v>
      </c>
      <c r="AB8" s="31" t="n">
        <v>32000</v>
      </c>
      <c r="AC8" s="31" t="n">
        <v>40000</v>
      </c>
      <c r="AD8" s="31" t="n">
        <v>40000</v>
      </c>
      <c r="AE8" s="31" t="n">
        <v>45000</v>
      </c>
      <c r="AF8" s="31" t="n">
        <v>45000</v>
      </c>
      <c r="AG8" s="31" t="n">
        <v>50000</v>
      </c>
      <c r="AH8" s="31" t="n">
        <v>50000</v>
      </c>
      <c r="AI8" s="31" t="n">
        <v>50000</v>
      </c>
      <c r="AJ8" s="31" t="n">
        <v>55000</v>
      </c>
      <c r="AK8" s="31" t="n">
        <v>55000</v>
      </c>
      <c r="AL8" s="31" t="n">
        <v>55000</v>
      </c>
      <c r="AM8" s="31" t="n">
        <v>55000</v>
      </c>
      <c r="AN8" s="31" t="n">
        <v>33600</v>
      </c>
      <c r="AO8" s="31" t="n">
        <v>42000</v>
      </c>
      <c r="AP8" s="31" t="n">
        <v>42000</v>
      </c>
      <c r="AQ8" s="31" t="n">
        <v>47250</v>
      </c>
      <c r="AR8" s="31" t="n">
        <v>47250</v>
      </c>
      <c r="AS8" s="31" t="n">
        <v>52500</v>
      </c>
      <c r="AT8" s="31" t="n">
        <v>52500</v>
      </c>
      <c r="AU8" s="31" t="n">
        <v>52500</v>
      </c>
      <c r="AV8" s="31" t="n">
        <v>57750</v>
      </c>
      <c r="AW8" s="31" t="n">
        <v>57750</v>
      </c>
      <c r="AX8" s="31" t="n">
        <v>57750</v>
      </c>
      <c r="AY8" s="31" t="n">
        <v>57750</v>
      </c>
    </row>
    <row r="9">
      <c r="B9" s="15" t="inlineStr">
        <is>
          <t>LF</t>
        </is>
      </c>
      <c r="C9" s="18" t="inlineStr">
        <is>
          <t>Lafayette</t>
        </is>
      </c>
      <c r="D9" s="19" t="n">
        <v>90025</v>
      </c>
      <c r="E9" s="19" t="n">
        <v>86822</v>
      </c>
      <c r="F9" s="19" t="n">
        <v>85300</v>
      </c>
      <c r="G9" s="19" t="n">
        <v>127703</v>
      </c>
      <c r="H9" s="19" t="n">
        <v>79380</v>
      </c>
      <c r="I9" s="19" t="n">
        <v>76768</v>
      </c>
      <c r="J9" s="19" t="n">
        <v>70767</v>
      </c>
      <c r="K9" s="19" t="n">
        <v>102739</v>
      </c>
      <c r="L9" s="19" t="n">
        <v>68837</v>
      </c>
      <c r="M9" s="19" t="n">
        <v>83777</v>
      </c>
      <c r="N9" s="19" t="n">
        <v>79979</v>
      </c>
      <c r="O9" s="19" t="n">
        <v>79880</v>
      </c>
      <c r="P9" s="19" t="n">
        <v>92365</v>
      </c>
      <c r="Q9" s="19" t="n">
        <v>126186</v>
      </c>
      <c r="R9" s="64" t="n">
        <v>78385</v>
      </c>
      <c r="S9" s="64" t="n">
        <v>106542</v>
      </c>
      <c r="T9" s="64" t="n">
        <v>71444</v>
      </c>
      <c r="U9" s="31" t="n">
        <v>80000</v>
      </c>
      <c r="V9" s="31" t="n">
        <v>80250</v>
      </c>
      <c r="W9" s="31" t="n">
        <v>80000</v>
      </c>
      <c r="X9" s="31" t="n">
        <v>80250</v>
      </c>
      <c r="Y9" s="31" t="n">
        <v>85000</v>
      </c>
      <c r="Z9" s="31" t="n">
        <v>95000</v>
      </c>
      <c r="AA9" s="31" t="n">
        <v>110000</v>
      </c>
      <c r="AB9" s="31" t="n">
        <v>96983.25</v>
      </c>
      <c r="AC9" s="31" t="n">
        <v>132495.3</v>
      </c>
      <c r="AD9" s="31" t="n">
        <v>82304.25</v>
      </c>
      <c r="AE9" s="31" t="n">
        <v>111869.1</v>
      </c>
      <c r="AF9" s="31" t="n">
        <v>75832.05</v>
      </c>
      <c r="AG9" s="31" t="n">
        <v>84000</v>
      </c>
      <c r="AH9" s="31" t="n">
        <v>84262.5</v>
      </c>
      <c r="AI9" s="31" t="n">
        <v>84000</v>
      </c>
      <c r="AJ9" s="31" t="n">
        <v>84262.5</v>
      </c>
      <c r="AK9" s="31" t="n">
        <v>89250</v>
      </c>
      <c r="AL9" s="31" t="n">
        <v>99750</v>
      </c>
      <c r="AM9" s="31" t="n">
        <v>115500</v>
      </c>
      <c r="AN9" s="31" t="n">
        <v>101832.41</v>
      </c>
      <c r="AO9" s="31" t="n">
        <v>139120.07</v>
      </c>
      <c r="AP9" s="31" t="n">
        <v>86419.46000000001</v>
      </c>
      <c r="AQ9" s="31" t="n">
        <v>117462.56</v>
      </c>
      <c r="AR9" s="31" t="n">
        <v>79623.64999999999</v>
      </c>
      <c r="AS9" s="31" t="n">
        <v>88200</v>
      </c>
      <c r="AT9" s="31" t="n">
        <v>88475.62</v>
      </c>
      <c r="AU9" s="31" t="n">
        <v>88200</v>
      </c>
      <c r="AV9" s="31" t="n">
        <v>88475.62</v>
      </c>
      <c r="AW9" s="31" t="n">
        <v>93712.5</v>
      </c>
      <c r="AX9" s="31" t="n">
        <v>104737.5</v>
      </c>
      <c r="AY9" s="31" t="n">
        <v>121275</v>
      </c>
    </row>
    <row r="10">
      <c r="B10" s="15" t="inlineStr">
        <is>
          <t>MR</t>
        </is>
      </c>
      <c r="C10" s="18" t="inlineStr">
        <is>
          <t>Marin</t>
        </is>
      </c>
      <c r="D10" s="19" t="n">
        <v>16838.59987049735</v>
      </c>
      <c r="E10" s="19" t="n">
        <v>13867.04562923458</v>
      </c>
      <c r="F10" s="19" t="n">
        <v>14508.23346796695</v>
      </c>
      <c r="G10" s="19" t="n">
        <v>36538</v>
      </c>
      <c r="H10" s="19" t="n">
        <v>90956</v>
      </c>
      <c r="I10" s="19" t="n">
        <v>87668</v>
      </c>
      <c r="J10" s="19" t="n">
        <v>91349</v>
      </c>
      <c r="K10" s="19" t="n">
        <v>113973</v>
      </c>
      <c r="L10" s="19" t="n">
        <v>81190</v>
      </c>
      <c r="M10" s="19" t="n">
        <v>98516</v>
      </c>
      <c r="N10" s="19" t="n">
        <v>90001</v>
      </c>
      <c r="O10" s="19" t="n">
        <v>104919</v>
      </c>
      <c r="P10" s="19" t="n">
        <v>100589</v>
      </c>
      <c r="Q10" s="19" t="n">
        <v>114193</v>
      </c>
      <c r="R10" s="64" t="n">
        <v>90196</v>
      </c>
      <c r="S10" s="64" t="n">
        <v>140256</v>
      </c>
      <c r="T10" s="64" t="n">
        <v>74382</v>
      </c>
      <c r="U10" s="31" t="n">
        <v>96300</v>
      </c>
      <c r="V10" s="31" t="n">
        <v>95000</v>
      </c>
      <c r="W10" s="31" t="n">
        <v>120000</v>
      </c>
      <c r="X10" s="31" t="n">
        <v>98000</v>
      </c>
      <c r="Y10" s="31" t="n">
        <v>110000</v>
      </c>
      <c r="Z10" s="31" t="n">
        <v>120000</v>
      </c>
      <c r="AA10" s="31" t="n">
        <v>115000</v>
      </c>
      <c r="AB10" s="31" t="n">
        <v>105618.45</v>
      </c>
      <c r="AC10" s="31" t="n">
        <v>119902.65</v>
      </c>
      <c r="AD10" s="31" t="n">
        <v>94705.8</v>
      </c>
      <c r="AE10" s="31" t="n">
        <v>147268.8</v>
      </c>
      <c r="AF10" s="31" t="n">
        <v>78685.95</v>
      </c>
      <c r="AG10" s="31" t="n">
        <v>101115</v>
      </c>
      <c r="AH10" s="31" t="n">
        <v>99750</v>
      </c>
      <c r="AI10" s="31" t="n">
        <v>126000</v>
      </c>
      <c r="AJ10" s="31" t="n">
        <v>102900</v>
      </c>
      <c r="AK10" s="31" t="n">
        <v>115500</v>
      </c>
      <c r="AL10" s="31" t="n">
        <v>126000</v>
      </c>
      <c r="AM10" s="31" t="n">
        <v>120750</v>
      </c>
      <c r="AN10" s="31" t="n">
        <v>110899.37</v>
      </c>
      <c r="AO10" s="31" t="n">
        <v>125897.78</v>
      </c>
      <c r="AP10" s="31" t="n">
        <v>99441.09</v>
      </c>
      <c r="AQ10" s="31" t="n">
        <v>154632.24</v>
      </c>
      <c r="AR10" s="31" t="n">
        <v>82620.25</v>
      </c>
      <c r="AS10" s="31" t="n">
        <v>106170.75</v>
      </c>
      <c r="AT10" s="31" t="n">
        <v>104737.5</v>
      </c>
      <c r="AU10" s="31" t="n">
        <v>132300</v>
      </c>
      <c r="AV10" s="31" t="n">
        <v>108045</v>
      </c>
      <c r="AW10" s="31" t="n">
        <v>121275</v>
      </c>
      <c r="AX10" s="31" t="n">
        <v>132300</v>
      </c>
      <c r="AY10" s="31" t="n">
        <v>126787.5</v>
      </c>
    </row>
    <row r="11">
      <c r="B11" s="15" t="inlineStr">
        <is>
          <t>OP</t>
        </is>
      </c>
      <c r="C11" s="18" t="inlineStr">
        <is>
          <t>Ocean Park</t>
        </is>
      </c>
      <c r="D11" s="19" t="n">
        <v>0</v>
      </c>
      <c r="E11" s="19" t="n">
        <v>0</v>
      </c>
      <c r="F11" s="19" t="n">
        <v>0</v>
      </c>
      <c r="G11" s="19" t="n">
        <v>30025</v>
      </c>
      <c r="H11" s="19" t="n">
        <v>45379</v>
      </c>
      <c r="I11" s="19" t="n">
        <v>50782</v>
      </c>
      <c r="J11" s="19" t="n">
        <v>59231</v>
      </c>
      <c r="K11" s="19" t="n">
        <v>60132</v>
      </c>
      <c r="L11" s="19" t="n">
        <v>52754</v>
      </c>
      <c r="M11" s="19" t="n">
        <v>51670</v>
      </c>
      <c r="N11" s="19" t="n">
        <v>60236</v>
      </c>
      <c r="O11" s="19" t="n">
        <v>51621</v>
      </c>
      <c r="P11" s="19" t="n">
        <v>60583</v>
      </c>
      <c r="Q11" s="19" t="n">
        <v>59614</v>
      </c>
      <c r="R11" s="64" t="n">
        <v>62052</v>
      </c>
      <c r="S11" s="64" t="n">
        <v>73815</v>
      </c>
      <c r="T11" s="64" t="n">
        <v>63770</v>
      </c>
      <c r="U11" s="31" t="n">
        <v>64200</v>
      </c>
      <c r="V11" s="31" t="n">
        <v>75000</v>
      </c>
      <c r="W11" s="31" t="n">
        <v>60000</v>
      </c>
      <c r="X11" s="31" t="n">
        <v>63000</v>
      </c>
      <c r="Y11" s="31" t="n">
        <v>70000</v>
      </c>
      <c r="Z11" s="31" t="n">
        <v>75000</v>
      </c>
      <c r="AA11" s="31" t="n">
        <v>60000</v>
      </c>
      <c r="AB11" s="31" t="n">
        <v>63612.15</v>
      </c>
      <c r="AC11" s="31" t="n">
        <v>62594.7</v>
      </c>
      <c r="AD11" s="31" t="n">
        <v>65154.6</v>
      </c>
      <c r="AE11" s="31" t="n">
        <v>77505.75</v>
      </c>
      <c r="AF11" s="31" t="n">
        <v>67045.64999999999</v>
      </c>
      <c r="AG11" s="31" t="n">
        <v>67410</v>
      </c>
      <c r="AH11" s="31" t="n">
        <v>78750</v>
      </c>
      <c r="AI11" s="31" t="n">
        <v>63000</v>
      </c>
      <c r="AJ11" s="31" t="n">
        <v>66150</v>
      </c>
      <c r="AK11" s="31" t="n">
        <v>73500</v>
      </c>
      <c r="AL11" s="31" t="n">
        <v>78750</v>
      </c>
      <c r="AM11" s="31" t="n">
        <v>63000</v>
      </c>
      <c r="AN11" s="31" t="n">
        <v>66792.75999999999</v>
      </c>
      <c r="AO11" s="31" t="n">
        <v>65724.42999999999</v>
      </c>
      <c r="AP11" s="31" t="n">
        <v>68412.33</v>
      </c>
      <c r="AQ11" s="31" t="n">
        <v>81381.03999999999</v>
      </c>
      <c r="AR11" s="31" t="n">
        <v>70397.92999999999</v>
      </c>
      <c r="AS11" s="31" t="n">
        <v>70780.5</v>
      </c>
      <c r="AT11" s="31" t="n">
        <v>82687.5</v>
      </c>
      <c r="AU11" s="31" t="n">
        <v>66150</v>
      </c>
      <c r="AV11" s="31" t="n">
        <v>69457.5</v>
      </c>
      <c r="AW11" s="31" t="n">
        <v>77175</v>
      </c>
      <c r="AX11" s="31" t="n">
        <v>82687.5</v>
      </c>
      <c r="AY11" s="31" t="n">
        <v>66150</v>
      </c>
    </row>
    <row r="12">
      <c r="B12" s="15" t="inlineStr">
        <is>
          <t>PH</t>
        </is>
      </c>
      <c r="C12" s="18" t="inlineStr">
        <is>
          <t>Presidio Heights</t>
        </is>
      </c>
      <c r="D12" s="19" t="n">
        <v>233958.4001295027</v>
      </c>
      <c r="E12" s="19" t="n">
        <v>218217.9543707655</v>
      </c>
      <c r="F12" s="19" t="n">
        <v>206588.766532033</v>
      </c>
      <c r="G12" s="19" t="n">
        <v>189694</v>
      </c>
      <c r="H12" s="19" t="n">
        <v>117239</v>
      </c>
      <c r="I12" s="19" t="n">
        <v>109486</v>
      </c>
      <c r="J12" s="19" t="n">
        <v>91214</v>
      </c>
      <c r="K12" s="19" t="n">
        <v>179728</v>
      </c>
      <c r="L12" s="19" t="n">
        <v>107500</v>
      </c>
      <c r="M12" s="19" t="n">
        <v>134780</v>
      </c>
      <c r="N12" s="19" t="n">
        <v>113334</v>
      </c>
      <c r="O12" s="19" t="n">
        <v>128126</v>
      </c>
      <c r="P12" s="19" t="n">
        <v>124927</v>
      </c>
      <c r="Q12" s="19" t="n">
        <v>180839</v>
      </c>
      <c r="R12" s="64" t="n">
        <v>115051</v>
      </c>
      <c r="S12" s="64" t="n">
        <v>179323</v>
      </c>
      <c r="T12" s="64" t="n">
        <v>93511</v>
      </c>
      <c r="U12" s="31" t="n">
        <v>115000</v>
      </c>
      <c r="V12" s="31" t="n">
        <v>110000</v>
      </c>
      <c r="W12" s="31" t="n">
        <v>155000</v>
      </c>
      <c r="X12" s="31" t="n">
        <v>120000</v>
      </c>
      <c r="Y12" s="31" t="n">
        <v>125000</v>
      </c>
      <c r="Z12" s="31" t="n">
        <v>140000</v>
      </c>
      <c r="AA12" s="31" t="n">
        <v>150000</v>
      </c>
      <c r="AB12" s="31" t="n">
        <v>131173.35</v>
      </c>
      <c r="AC12" s="31" t="n">
        <v>189880.95</v>
      </c>
      <c r="AD12" s="31" t="n">
        <v>120803.55</v>
      </c>
      <c r="AE12" s="31" t="n">
        <v>188289.15</v>
      </c>
      <c r="AF12" s="31" t="n">
        <v>100401</v>
      </c>
      <c r="AG12" s="31" t="n">
        <v>120750</v>
      </c>
      <c r="AH12" s="31" t="n">
        <v>115500</v>
      </c>
      <c r="AI12" s="31" t="n">
        <v>162750</v>
      </c>
      <c r="AJ12" s="31" t="n">
        <v>126000</v>
      </c>
      <c r="AK12" s="31" t="n">
        <v>131250</v>
      </c>
      <c r="AL12" s="31" t="n">
        <v>147000</v>
      </c>
      <c r="AM12" s="31" t="n">
        <v>157500</v>
      </c>
      <c r="AN12" s="31" t="n">
        <v>137732.02</v>
      </c>
      <c r="AO12" s="31" t="n">
        <v>199375</v>
      </c>
      <c r="AP12" s="31" t="n">
        <v>126843.73</v>
      </c>
      <c r="AQ12" s="31" t="n">
        <v>197703.61</v>
      </c>
      <c r="AR12" s="31" t="n">
        <v>105421.05</v>
      </c>
      <c r="AS12" s="31" t="n">
        <v>126787.5</v>
      </c>
      <c r="AT12" s="31" t="n">
        <v>121275</v>
      </c>
      <c r="AU12" s="31" t="n">
        <v>170887.5</v>
      </c>
      <c r="AV12" s="31" t="n">
        <v>132300</v>
      </c>
      <c r="AW12" s="31" t="n">
        <v>137812.5</v>
      </c>
      <c r="AX12" s="31" t="n">
        <v>154350</v>
      </c>
      <c r="AY12" s="31" t="n">
        <v>165375</v>
      </c>
    </row>
    <row r="13">
      <c r="B13" s="15" t="inlineStr">
        <is>
          <t>RH</t>
        </is>
      </c>
      <c r="C13" s="18" t="inlineStr">
        <is>
          <t>Russian Hill</t>
        </is>
      </c>
      <c r="D13" s="19" t="n">
        <v>0</v>
      </c>
      <c r="E13" s="19" t="n">
        <v>31933</v>
      </c>
      <c r="F13" s="19" t="n">
        <v>55412</v>
      </c>
      <c r="G13" s="19" t="n">
        <v>81989</v>
      </c>
      <c r="H13" s="19" t="n">
        <v>70953</v>
      </c>
      <c r="I13" s="19" t="n">
        <v>67470</v>
      </c>
      <c r="J13" s="19" t="n">
        <v>72141</v>
      </c>
      <c r="K13" s="19" t="n">
        <v>93312</v>
      </c>
      <c r="L13" s="19" t="n">
        <v>69913</v>
      </c>
      <c r="M13" s="19" t="n">
        <v>80685</v>
      </c>
      <c r="N13" s="19" t="n">
        <v>76340</v>
      </c>
      <c r="O13" s="19" t="n">
        <v>72252</v>
      </c>
      <c r="P13" s="19" t="n">
        <v>96145</v>
      </c>
      <c r="Q13" s="19" t="n">
        <v>94253</v>
      </c>
      <c r="R13" s="64" t="n">
        <v>85589</v>
      </c>
      <c r="S13" s="64" t="n">
        <v>108129</v>
      </c>
      <c r="T13" s="64" t="n">
        <v>66857</v>
      </c>
      <c r="U13" s="31" t="n">
        <v>77000</v>
      </c>
      <c r="V13" s="31" t="n">
        <v>75000</v>
      </c>
      <c r="W13" s="31" t="n">
        <v>95000</v>
      </c>
      <c r="X13" s="31" t="n">
        <v>80000</v>
      </c>
      <c r="Y13" s="31" t="n">
        <v>82000</v>
      </c>
      <c r="Z13" s="31" t="n">
        <v>80000</v>
      </c>
      <c r="AA13" s="31" t="n">
        <v>88000</v>
      </c>
      <c r="AB13" s="31" t="n">
        <v>100952.25</v>
      </c>
      <c r="AC13" s="31" t="n">
        <v>98965.64999999999</v>
      </c>
      <c r="AD13" s="31" t="n">
        <v>89868.45</v>
      </c>
      <c r="AE13" s="31" t="n">
        <v>113535.45</v>
      </c>
      <c r="AF13" s="31" t="n">
        <v>71700.3</v>
      </c>
      <c r="AG13" s="31" t="n">
        <v>80850</v>
      </c>
      <c r="AH13" s="31" t="n">
        <v>78750</v>
      </c>
      <c r="AI13" s="31" t="n">
        <v>99750</v>
      </c>
      <c r="AJ13" s="31" t="n">
        <v>84000</v>
      </c>
      <c r="AK13" s="31" t="n">
        <v>86100</v>
      </c>
      <c r="AL13" s="31" t="n">
        <v>84000</v>
      </c>
      <c r="AM13" s="31" t="n">
        <v>92400</v>
      </c>
      <c r="AN13" s="31" t="n">
        <v>105999.86</v>
      </c>
      <c r="AO13" s="31" t="n">
        <v>103913.93</v>
      </c>
      <c r="AP13" s="31" t="n">
        <v>94361.87</v>
      </c>
      <c r="AQ13" s="31" t="n">
        <v>119212.22</v>
      </c>
      <c r="AR13" s="31" t="n">
        <v>75285.32000000001</v>
      </c>
      <c r="AS13" s="31" t="n">
        <v>84892.5</v>
      </c>
      <c r="AT13" s="31" t="n">
        <v>82687.5</v>
      </c>
      <c r="AU13" s="31" t="n">
        <v>104737.5</v>
      </c>
      <c r="AV13" s="31" t="n">
        <v>88200</v>
      </c>
      <c r="AW13" s="31" t="n">
        <v>90405</v>
      </c>
      <c r="AX13" s="31" t="n">
        <v>88200</v>
      </c>
      <c r="AY13" s="31" t="n">
        <v>97020</v>
      </c>
    </row>
    <row r="14">
      <c r="B14" s="15" t="inlineStr">
        <is>
          <t>SB</t>
        </is>
      </c>
      <c r="C14" s="18" t="inlineStr">
        <is>
          <t>Santa Barbara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8231</v>
      </c>
      <c r="O14" s="19" t="n">
        <v>17514</v>
      </c>
      <c r="P14" s="19" t="n">
        <v>32747</v>
      </c>
      <c r="Q14" s="19" t="n">
        <v>27799</v>
      </c>
      <c r="R14" s="64" t="n">
        <v>25898</v>
      </c>
      <c r="S14" s="64" t="n">
        <v>23393</v>
      </c>
      <c r="T14" s="64" t="n">
        <v>20133</v>
      </c>
      <c r="U14" s="31" t="n">
        <v>25000</v>
      </c>
      <c r="V14" s="31" t="n">
        <v>25000</v>
      </c>
      <c r="W14" s="31" t="n">
        <v>30000</v>
      </c>
      <c r="X14" s="31" t="n">
        <v>30000</v>
      </c>
      <c r="Y14" s="31" t="n">
        <v>33000</v>
      </c>
      <c r="Z14" s="31" t="n">
        <v>35000</v>
      </c>
      <c r="AA14" s="31" t="n">
        <v>35000</v>
      </c>
      <c r="AB14" s="31" t="n">
        <v>59231</v>
      </c>
      <c r="AC14" s="31" t="n">
        <v>60132</v>
      </c>
      <c r="AD14" s="31" t="n">
        <v>52754</v>
      </c>
      <c r="AE14" s="31" t="n">
        <v>51670</v>
      </c>
      <c r="AF14" s="31" t="n">
        <v>60236</v>
      </c>
      <c r="AG14" s="31" t="n">
        <v>51621</v>
      </c>
      <c r="AH14" s="31" t="n">
        <v>62000</v>
      </c>
      <c r="AI14" s="31" t="n">
        <v>63000</v>
      </c>
      <c r="AJ14" s="31" t="n">
        <v>73000</v>
      </c>
      <c r="AK14" s="31" t="n">
        <v>65000</v>
      </c>
      <c r="AL14" s="31" t="n">
        <v>64200</v>
      </c>
      <c r="AM14" s="31" t="n">
        <v>64200</v>
      </c>
      <c r="AN14" s="31" t="n">
        <v>62192.55</v>
      </c>
      <c r="AO14" s="31" t="n">
        <v>63138.6</v>
      </c>
      <c r="AP14" s="31" t="n">
        <v>55391.7</v>
      </c>
      <c r="AQ14" s="31" t="n">
        <v>54253.5</v>
      </c>
      <c r="AR14" s="31" t="n">
        <v>63247.8</v>
      </c>
      <c r="AS14" s="31" t="n">
        <v>54202.05</v>
      </c>
      <c r="AT14" s="31" t="n">
        <v>65100</v>
      </c>
      <c r="AU14" s="31" t="n">
        <v>66150</v>
      </c>
      <c r="AV14" s="31" t="n">
        <v>76650</v>
      </c>
      <c r="AW14" s="31" t="n">
        <v>68250</v>
      </c>
      <c r="AX14" s="31" t="n">
        <v>67410</v>
      </c>
      <c r="AY14" s="31" t="n">
        <v>67410</v>
      </c>
    </row>
    <row r="15">
      <c r="B15" s="15" t="inlineStr">
        <is>
          <t>SM</t>
        </is>
      </c>
      <c r="C15" s="18" t="inlineStr">
        <is>
          <t>Santa Monica</t>
        </is>
      </c>
      <c r="D15" s="19" t="n">
        <v>143755</v>
      </c>
      <c r="E15" s="19" t="n">
        <v>203570</v>
      </c>
      <c r="F15" s="19" t="n">
        <v>268747</v>
      </c>
      <c r="G15" s="19" t="n">
        <v>164726</v>
      </c>
      <c r="H15" s="19" t="n">
        <v>193168</v>
      </c>
      <c r="I15" s="19" t="n">
        <v>169753</v>
      </c>
      <c r="J15" s="19" t="n">
        <v>231840</v>
      </c>
      <c r="K15" s="19" t="n">
        <v>162408</v>
      </c>
      <c r="L15" s="19" t="n">
        <v>176867</v>
      </c>
      <c r="M15" s="19" t="n">
        <v>154064</v>
      </c>
      <c r="N15" s="19" t="n">
        <v>188610</v>
      </c>
      <c r="O15" s="19" t="n">
        <v>178478</v>
      </c>
      <c r="P15" s="19" t="n">
        <v>184491</v>
      </c>
      <c r="Q15" s="19" t="n">
        <v>161597</v>
      </c>
      <c r="R15" s="64" t="n">
        <v>192258</v>
      </c>
      <c r="S15" s="64" t="n">
        <v>157521</v>
      </c>
      <c r="T15" s="64" t="n">
        <v>206632</v>
      </c>
      <c r="U15" s="31" t="n">
        <v>200000</v>
      </c>
      <c r="V15" s="31" t="n">
        <v>200000</v>
      </c>
      <c r="W15" s="31" t="n">
        <v>200000</v>
      </c>
      <c r="X15" s="31" t="n">
        <v>190000</v>
      </c>
      <c r="Y15" s="31" t="n">
        <v>220000</v>
      </c>
      <c r="Z15" s="31" t="n">
        <v>251450</v>
      </c>
      <c r="AA15" s="31" t="n">
        <v>190000</v>
      </c>
      <c r="AB15" s="31" t="n">
        <v>193715.55</v>
      </c>
      <c r="AC15" s="31" t="n">
        <v>169676.85</v>
      </c>
      <c r="AD15" s="31" t="n">
        <v>201870.9</v>
      </c>
      <c r="AE15" s="31" t="n">
        <v>165397.05</v>
      </c>
      <c r="AF15" s="31" t="n">
        <v>217676.55</v>
      </c>
      <c r="AG15" s="31" t="n">
        <v>210000</v>
      </c>
      <c r="AH15" s="31" t="n">
        <v>210000</v>
      </c>
      <c r="AI15" s="31" t="n">
        <v>210000</v>
      </c>
      <c r="AJ15" s="31" t="n">
        <v>199500</v>
      </c>
      <c r="AK15" s="31" t="n">
        <v>231000</v>
      </c>
      <c r="AL15" s="31" t="n">
        <v>264022.5</v>
      </c>
      <c r="AM15" s="31" t="n">
        <v>199500</v>
      </c>
      <c r="AN15" s="31" t="n">
        <v>203401.33</v>
      </c>
      <c r="AO15" s="31" t="n">
        <v>178160.69</v>
      </c>
      <c r="AP15" s="31" t="n">
        <v>211964.45</v>
      </c>
      <c r="AQ15" s="31" t="n">
        <v>173666.9</v>
      </c>
      <c r="AR15" s="31" t="n">
        <v>228560.38</v>
      </c>
      <c r="AS15" s="31" t="n">
        <v>220500</v>
      </c>
      <c r="AT15" s="31" t="n">
        <v>220500</v>
      </c>
      <c r="AU15" s="31" t="n">
        <v>220500</v>
      </c>
      <c r="AV15" s="31" t="n">
        <v>209475</v>
      </c>
      <c r="AW15" s="31" t="n">
        <v>242550</v>
      </c>
      <c r="AX15" s="31" t="n">
        <v>277223.62</v>
      </c>
      <c r="AY15" s="31" t="n">
        <v>209475</v>
      </c>
    </row>
    <row r="16">
      <c r="B16" s="15" t="inlineStr">
        <is>
          <t>WP</t>
        </is>
      </c>
      <c r="C16" s="18" t="inlineStr">
        <is>
          <t>West Portal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470</v>
      </c>
      <c r="O16" s="19" t="n">
        <v>4114</v>
      </c>
      <c r="P16" s="19" t="n">
        <v>1573</v>
      </c>
      <c r="Q16" s="19" t="n">
        <v>1513</v>
      </c>
      <c r="R16" s="64" t="n">
        <v>784</v>
      </c>
      <c r="S16" s="64" t="n">
        <v>370</v>
      </c>
      <c r="T16" s="64" t="n">
        <v>26</v>
      </c>
      <c r="U16" s="31" t="n">
        <v>40000</v>
      </c>
      <c r="V16" s="31" t="n">
        <v>70000</v>
      </c>
      <c r="W16" s="31" t="n">
        <v>78000</v>
      </c>
      <c r="X16" s="31" t="n">
        <v>75000</v>
      </c>
      <c r="Y16" s="31" t="n">
        <v>80000</v>
      </c>
      <c r="Z16" s="31" t="n">
        <v>80000</v>
      </c>
      <c r="AA16" s="31" t="n">
        <v>80000</v>
      </c>
      <c r="AB16" s="31" t="n">
        <v>90025</v>
      </c>
      <c r="AC16" s="31" t="n">
        <v>86822</v>
      </c>
      <c r="AD16" s="31" t="n">
        <v>85300</v>
      </c>
      <c r="AE16" s="31" t="n">
        <v>127703</v>
      </c>
      <c r="AF16" s="31" t="n">
        <v>79689</v>
      </c>
      <c r="AG16" s="31" t="n">
        <v>76768</v>
      </c>
      <c r="AH16" s="31" t="n">
        <v>70767</v>
      </c>
      <c r="AI16" s="31" t="n">
        <v>102739</v>
      </c>
      <c r="AJ16" s="31" t="n">
        <v>68837</v>
      </c>
      <c r="AK16" s="31" t="n">
        <v>83777</v>
      </c>
      <c r="AL16" s="31" t="n">
        <v>79979</v>
      </c>
      <c r="AM16" s="31" t="n">
        <v>79880</v>
      </c>
      <c r="AN16" s="31" t="n">
        <v>94526.25</v>
      </c>
      <c r="AO16" s="31" t="n">
        <v>91163.10000000001</v>
      </c>
      <c r="AP16" s="31" t="n">
        <v>89565</v>
      </c>
      <c r="AQ16" s="31" t="n">
        <v>134088.15</v>
      </c>
      <c r="AR16" s="31" t="n">
        <v>83673.45</v>
      </c>
      <c r="AS16" s="31" t="n">
        <v>80606.39999999999</v>
      </c>
      <c r="AT16" s="31" t="n">
        <v>74305.35000000001</v>
      </c>
      <c r="AU16" s="31" t="n">
        <v>107875.95</v>
      </c>
      <c r="AV16" s="31" t="n">
        <v>72278.85000000001</v>
      </c>
      <c r="AW16" s="31" t="n">
        <v>87965.85000000001</v>
      </c>
      <c r="AX16" s="31" t="n">
        <v>83977.95</v>
      </c>
      <c r="AY16" s="31" t="n">
        <v>83874</v>
      </c>
    </row>
    <row r="17">
      <c r="B17" s="15" t="inlineStr">
        <is>
          <t>WW</t>
        </is>
      </c>
      <c r="C17" s="18" t="inlineStr">
        <is>
          <t>Westwood</t>
        </is>
      </c>
      <c r="D17" s="19" t="n">
        <v>71187</v>
      </c>
      <c r="E17" s="19" t="n">
        <v>96307</v>
      </c>
      <c r="F17" s="19" t="n">
        <v>93607</v>
      </c>
      <c r="G17" s="19" t="n">
        <v>77241</v>
      </c>
      <c r="H17" s="19" t="n">
        <v>90103</v>
      </c>
      <c r="I17" s="19" t="n">
        <v>75890</v>
      </c>
      <c r="J17" s="19" t="n">
        <v>75128</v>
      </c>
      <c r="K17" s="19" t="n">
        <v>59513</v>
      </c>
      <c r="L17" s="19" t="n">
        <v>67496</v>
      </c>
      <c r="M17" s="19" t="n">
        <v>64714</v>
      </c>
      <c r="N17" s="19" t="n">
        <v>67128</v>
      </c>
      <c r="O17" s="19" t="n">
        <v>61457</v>
      </c>
      <c r="P17" s="19" t="n">
        <v>71360</v>
      </c>
      <c r="Q17" s="19" t="n">
        <v>69405</v>
      </c>
      <c r="R17" s="64" t="n">
        <v>62992</v>
      </c>
      <c r="S17" s="64" t="n">
        <v>49441</v>
      </c>
      <c r="T17" s="64" t="n">
        <v>60750</v>
      </c>
      <c r="U17" s="31" t="n">
        <v>65000</v>
      </c>
      <c r="V17" s="31" t="n">
        <v>62000</v>
      </c>
      <c r="W17" s="31" t="n">
        <v>64000</v>
      </c>
      <c r="X17" s="31" t="n">
        <v>72000</v>
      </c>
      <c r="Y17" s="31" t="n">
        <v>80000</v>
      </c>
      <c r="Z17" s="31" t="n">
        <v>85600</v>
      </c>
      <c r="AA17" s="31" t="n">
        <v>74900</v>
      </c>
      <c r="AB17" s="31" t="n">
        <v>74928</v>
      </c>
      <c r="AC17" s="31" t="n">
        <v>72875.25</v>
      </c>
      <c r="AD17" s="31" t="n">
        <v>66141.60000000001</v>
      </c>
      <c r="AE17" s="31" t="n">
        <v>51913.05</v>
      </c>
      <c r="AF17" s="31" t="n">
        <v>63897.75</v>
      </c>
      <c r="AG17" s="31" t="n">
        <v>68250</v>
      </c>
      <c r="AH17" s="31" t="n">
        <v>65100</v>
      </c>
      <c r="AI17" s="31" t="n">
        <v>67200</v>
      </c>
      <c r="AJ17" s="31" t="n">
        <v>75600</v>
      </c>
      <c r="AK17" s="31" t="n">
        <v>84000</v>
      </c>
      <c r="AL17" s="31" t="n">
        <v>89880</v>
      </c>
      <c r="AM17" s="31" t="n">
        <v>78645</v>
      </c>
      <c r="AN17" s="31" t="n">
        <v>78674.39999999999</v>
      </c>
      <c r="AO17" s="31" t="n">
        <v>76519.00999999999</v>
      </c>
      <c r="AP17" s="31" t="n">
        <v>69448.67999999999</v>
      </c>
      <c r="AQ17" s="31" t="n">
        <v>54508.7</v>
      </c>
      <c r="AR17" s="31" t="n">
        <v>67092.64</v>
      </c>
      <c r="AS17" s="31" t="n">
        <v>71662.5</v>
      </c>
      <c r="AT17" s="31" t="n">
        <v>68355</v>
      </c>
      <c r="AU17" s="31" t="n">
        <v>70560</v>
      </c>
      <c r="AV17" s="31" t="n">
        <v>79380</v>
      </c>
      <c r="AW17" s="31" t="n">
        <v>88200</v>
      </c>
      <c r="AX17" s="31" t="n">
        <v>94374</v>
      </c>
      <c r="AY17" s="31" t="n">
        <v>82577.25</v>
      </c>
    </row>
    <row r="18">
      <c r="B18" s="32" t="inlineStr">
        <is>
          <t>TOTAL</t>
        </is>
      </c>
      <c r="C18" s="32" t="inlineStr">
        <is>
          <t>All Studios</t>
        </is>
      </c>
      <c r="D18" s="17">
        <f>SUM(D6:D17)</f>
        <v/>
      </c>
      <c r="E18" s="17">
        <f>SUM(E6:E17)</f>
        <v/>
      </c>
      <c r="F18" s="17">
        <f>SUM(F6:F17)</f>
        <v/>
      </c>
      <c r="G18" s="17">
        <f>SUM(G6:G17)</f>
        <v/>
      </c>
      <c r="H18" s="17">
        <f>SUM(H6:H17)</f>
        <v/>
      </c>
      <c r="I18" s="17">
        <f>SUM(I6:I17)</f>
        <v/>
      </c>
      <c r="J18" s="17">
        <f>SUM(J6:J17)</f>
        <v/>
      </c>
      <c r="K18" s="17">
        <f>SUM(K6:K17)</f>
        <v/>
      </c>
      <c r="L18" s="17">
        <f>SUM(L6:L17)</f>
        <v/>
      </c>
      <c r="M18" s="17">
        <f>SUM(M6:M17)</f>
        <v/>
      </c>
      <c r="N18" s="17">
        <f>SUM(N6:N17)</f>
        <v/>
      </c>
      <c r="O18" s="17">
        <f>SUM(O6:O17)</f>
        <v/>
      </c>
      <c r="P18" s="17">
        <f>SUM(P6:P17)</f>
        <v/>
      </c>
      <c r="Q18" s="17">
        <f>SUM(Q6:Q17)</f>
        <v/>
      </c>
      <c r="R18" s="17">
        <f>SUM(R6:R17)</f>
        <v/>
      </c>
      <c r="S18" s="17">
        <f>SUM(S6:S17)</f>
        <v/>
      </c>
      <c r="T18" s="17">
        <f>SUM(T6:T17)</f>
        <v/>
      </c>
      <c r="U18" s="17">
        <f>SUM(U6:U17)</f>
        <v/>
      </c>
      <c r="V18" s="17">
        <f>SUM(V6:V17)</f>
        <v/>
      </c>
      <c r="W18" s="17">
        <f>SUM(W6:W17)</f>
        <v/>
      </c>
      <c r="X18" s="17">
        <f>SUM(X6:X17)</f>
        <v/>
      </c>
      <c r="Y18" s="17">
        <f>SUM(Y6:Y17)</f>
        <v/>
      </c>
      <c r="Z18" s="17">
        <f>SUM(Z6:Z17)</f>
        <v/>
      </c>
      <c r="AA18" s="17">
        <f>SUM(AA6:AA17)</f>
        <v/>
      </c>
      <c r="AB18" s="17">
        <f>SUM(AB6:AB17)</f>
        <v/>
      </c>
      <c r="AC18" s="17">
        <f>SUM(AC6:AC17)</f>
        <v/>
      </c>
      <c r="AD18" s="17">
        <f>SUM(AD6:AD17)</f>
        <v/>
      </c>
      <c r="AE18" s="17">
        <f>SUM(AE6:AE17)</f>
        <v/>
      </c>
      <c r="AF18" s="17">
        <f>SUM(AF6:AF17)</f>
        <v/>
      </c>
      <c r="AG18" s="17">
        <f>SUM(AG6:AG17)</f>
        <v/>
      </c>
      <c r="AH18" s="17">
        <f>SUM(AH6:AH17)</f>
        <v/>
      </c>
      <c r="AI18" s="17">
        <f>SUM(AI6:AI17)</f>
        <v/>
      </c>
      <c r="AJ18" s="17">
        <f>SUM(AJ6:AJ17)</f>
        <v/>
      </c>
      <c r="AK18" s="17">
        <f>SUM(AK6:AK17)</f>
        <v/>
      </c>
      <c r="AL18" s="17">
        <f>SUM(AL6:AL17)</f>
        <v/>
      </c>
      <c r="AM18" s="17">
        <f>SUM(AM6:AM17)</f>
        <v/>
      </c>
      <c r="AN18" s="17">
        <f>SUM(AN6:AN17)</f>
        <v/>
      </c>
      <c r="AO18" s="17">
        <f>SUM(AO6:AO17)</f>
        <v/>
      </c>
      <c r="AP18" s="17">
        <f>SUM(AP6:AP17)</f>
        <v/>
      </c>
      <c r="AQ18" s="17">
        <f>SUM(AQ6:AQ17)</f>
        <v/>
      </c>
      <c r="AR18" s="17">
        <f>SUM(AR6:AR17)</f>
        <v/>
      </c>
      <c r="AS18" s="17">
        <f>SUM(AS6:AS17)</f>
        <v/>
      </c>
      <c r="AT18" s="17">
        <f>SUM(AT6:AT17)</f>
        <v/>
      </c>
      <c r="AU18" s="17">
        <f>SUM(AU6:AU17)</f>
        <v/>
      </c>
      <c r="AV18" s="17">
        <f>SUM(AV6:AV17)</f>
        <v/>
      </c>
      <c r="AW18" s="17">
        <f>SUM(AW6:AW17)</f>
        <v/>
      </c>
      <c r="AX18" s="17">
        <f>SUM(AX6:AX17)</f>
        <v/>
      </c>
      <c r="AY18" s="17">
        <f>SUM(AY6:AY17)</f>
        <v/>
      </c>
    </row>
    <row r="20" ht="16.05" customHeight="1" s="142">
      <c r="B20" s="10" t="inlineStr">
        <is>
          <t>Annual Summary</t>
        </is>
      </c>
      <c r="C20" s="11" t="n"/>
      <c r="D20" s="11" t="n"/>
      <c r="E20" s="11" t="n"/>
      <c r="F20" s="11" t="n"/>
      <c r="G20" s="11" t="n"/>
    </row>
    <row r="21">
      <c r="B21" s="14" t="inlineStr">
        <is>
          <t>Code</t>
        </is>
      </c>
      <c r="C21" s="14" t="inlineStr">
        <is>
          <t>Studio</t>
        </is>
      </c>
      <c r="D21" s="14" t="n">
        <v>2025</v>
      </c>
      <c r="E21" s="14" t="inlineStr">
        <is>
          <t>2026</t>
        </is>
      </c>
      <c r="F21" s="14" t="inlineStr">
        <is>
          <t>2027</t>
        </is>
      </c>
      <c r="G21" s="14" t="inlineStr">
        <is>
          <t>2028</t>
        </is>
      </c>
    </row>
    <row r="22">
      <c r="B22" s="15" t="inlineStr">
        <is>
          <t>BK</t>
        </is>
      </c>
      <c r="C22" s="18" t="inlineStr">
        <is>
          <t>Berkeley</t>
        </is>
      </c>
      <c r="D22" s="20">
        <f>SUM(D6:O6)</f>
        <v/>
      </c>
      <c r="E22" s="20">
        <f>SUM(P6:AA6)</f>
        <v/>
      </c>
      <c r="F22" s="20">
        <f>SUM(AB6:AM6)</f>
        <v/>
      </c>
      <c r="G22" s="20">
        <f>SUM(AN6:AY6)</f>
        <v/>
      </c>
    </row>
    <row r="23">
      <c r="B23" s="15" t="inlineStr">
        <is>
          <t>CC</t>
        </is>
      </c>
      <c r="C23" s="18" t="inlineStr">
        <is>
          <t>Culver City</t>
        </is>
      </c>
      <c r="D23" s="20">
        <f>SUM(D7:O7)</f>
        <v/>
      </c>
      <c r="E23" s="20">
        <f>SUM(P7:AA7)</f>
        <v/>
      </c>
      <c r="F23" s="20">
        <f>SUM(AB7:AM7)</f>
        <v/>
      </c>
      <c r="G23" s="20">
        <f>SUM(AN7:AY7)</f>
        <v/>
      </c>
    </row>
    <row r="24">
      <c r="B24" s="15" t="inlineStr">
        <is>
          <t>DN</t>
        </is>
      </c>
      <c r="C24" s="18" t="inlineStr">
        <is>
          <t>Danville</t>
        </is>
      </c>
      <c r="D24" s="20">
        <f>SUM(D8:O8)</f>
        <v/>
      </c>
      <c r="E24" s="20">
        <f>SUM(P8:AA8)</f>
        <v/>
      </c>
      <c r="F24" s="20">
        <f>SUM(AB8:AM8)</f>
        <v/>
      </c>
      <c r="G24" s="20">
        <f>SUM(AN8:AY8)</f>
        <v/>
      </c>
    </row>
    <row r="25">
      <c r="B25" s="15" t="inlineStr">
        <is>
          <t>LF</t>
        </is>
      </c>
      <c r="C25" s="18" t="inlineStr">
        <is>
          <t>Lafayette</t>
        </is>
      </c>
      <c r="D25" s="20">
        <f>SUM(D9:O9)</f>
        <v/>
      </c>
      <c r="E25" s="20">
        <f>SUM(P9:AA9)</f>
        <v/>
      </c>
      <c r="F25" s="20">
        <f>SUM(AB9:AM9)</f>
        <v/>
      </c>
      <c r="G25" s="20">
        <f>SUM(AN9:AY9)</f>
        <v/>
      </c>
    </row>
    <row r="26">
      <c r="B26" s="15" t="inlineStr">
        <is>
          <t>MR</t>
        </is>
      </c>
      <c r="C26" s="18" t="inlineStr">
        <is>
          <t>Marin</t>
        </is>
      </c>
      <c r="D26" s="20">
        <f>SUM(D10:O10)</f>
        <v/>
      </c>
      <c r="E26" s="20">
        <f>SUM(P10:AA10)</f>
        <v/>
      </c>
      <c r="F26" s="20">
        <f>SUM(AB10:AM10)</f>
        <v/>
      </c>
      <c r="G26" s="20">
        <f>SUM(AN10:AY10)</f>
        <v/>
      </c>
    </row>
    <row r="27">
      <c r="B27" s="15" t="inlineStr">
        <is>
          <t>OP</t>
        </is>
      </c>
      <c r="C27" s="18" t="inlineStr">
        <is>
          <t>Ocean Park</t>
        </is>
      </c>
      <c r="D27" s="20">
        <f>SUM(D11:O11)</f>
        <v/>
      </c>
      <c r="E27" s="20">
        <f>SUM(P11:AA11)</f>
        <v/>
      </c>
      <c r="F27" s="20">
        <f>SUM(AB11:AM11)</f>
        <v/>
      </c>
      <c r="G27" s="20">
        <f>SUM(AN11:AY11)</f>
        <v/>
      </c>
    </row>
    <row r="28">
      <c r="B28" s="15" t="inlineStr">
        <is>
          <t>PH</t>
        </is>
      </c>
      <c r="C28" s="18" t="inlineStr">
        <is>
          <t>Presidio Heights</t>
        </is>
      </c>
      <c r="D28" s="20">
        <f>SUM(D12:O12)</f>
        <v/>
      </c>
      <c r="E28" s="20">
        <f>SUM(P12:AA12)</f>
        <v/>
      </c>
      <c r="F28" s="20">
        <f>SUM(AB12:AM12)</f>
        <v/>
      </c>
      <c r="G28" s="20">
        <f>SUM(AN12:AY12)</f>
        <v/>
      </c>
    </row>
    <row r="29">
      <c r="B29" s="15" t="inlineStr">
        <is>
          <t>RH</t>
        </is>
      </c>
      <c r="C29" s="18" t="inlineStr">
        <is>
          <t>Russian Hill</t>
        </is>
      </c>
      <c r="D29" s="20">
        <f>SUM(D13:O13)</f>
        <v/>
      </c>
      <c r="E29" s="20">
        <f>SUM(P13:AA13)</f>
        <v/>
      </c>
      <c r="F29" s="20">
        <f>SUM(AB13:AM13)</f>
        <v/>
      </c>
      <c r="G29" s="20">
        <f>SUM(AN13:AY13)</f>
        <v/>
      </c>
    </row>
    <row r="30">
      <c r="B30" s="15" t="inlineStr">
        <is>
          <t>SB</t>
        </is>
      </c>
      <c r="C30" s="18" t="inlineStr">
        <is>
          <t>Santa Barbara</t>
        </is>
      </c>
      <c r="D30" s="20">
        <f>SUM(D14:O14)</f>
        <v/>
      </c>
      <c r="E30" s="20">
        <f>SUM(P14:AA14)</f>
        <v/>
      </c>
      <c r="F30" s="20">
        <f>SUM(AB14:AM14)</f>
        <v/>
      </c>
      <c r="G30" s="20">
        <f>SUM(AN14:AY14)</f>
        <v/>
      </c>
    </row>
    <row r="31">
      <c r="B31" s="15" t="inlineStr">
        <is>
          <t>SM</t>
        </is>
      </c>
      <c r="C31" s="18" t="inlineStr">
        <is>
          <t>Santa Monica</t>
        </is>
      </c>
      <c r="D31" s="20">
        <f>SUM(D15:O15)</f>
        <v/>
      </c>
      <c r="E31" s="20">
        <f>SUM(P15:AA15)</f>
        <v/>
      </c>
      <c r="F31" s="20">
        <f>SUM(AB15:AM15)</f>
        <v/>
      </c>
      <c r="G31" s="20">
        <f>SUM(AN15:AY15)</f>
        <v/>
      </c>
    </row>
    <row r="32">
      <c r="B32" s="15" t="inlineStr">
        <is>
          <t>WP</t>
        </is>
      </c>
      <c r="C32" s="18" t="inlineStr">
        <is>
          <t>West Portal</t>
        </is>
      </c>
      <c r="D32" s="20">
        <f>SUM(D16:O16)</f>
        <v/>
      </c>
      <c r="E32" s="20">
        <f>SUM(P16:AA16)</f>
        <v/>
      </c>
      <c r="F32" s="20">
        <f>SUM(AB16:AM16)</f>
        <v/>
      </c>
      <c r="G32" s="20">
        <f>SUM(AN16:AY16)</f>
        <v/>
      </c>
    </row>
    <row r="33">
      <c r="B33" s="15" t="inlineStr">
        <is>
          <t>WW</t>
        </is>
      </c>
      <c r="C33" s="18" t="inlineStr">
        <is>
          <t>Westwood</t>
        </is>
      </c>
      <c r="D33" s="20">
        <f>SUM(D17:O17)</f>
        <v/>
      </c>
      <c r="E33" s="20">
        <f>SUM(P17:AA17)</f>
        <v/>
      </c>
      <c r="F33" s="20">
        <f>SUM(AB17:AM17)</f>
        <v/>
      </c>
      <c r="G33" s="20">
        <f>SUM(AN17:AY17)</f>
        <v/>
      </c>
    </row>
    <row r="34">
      <c r="B34" s="32" t="inlineStr">
        <is>
          <t>TOTAL</t>
        </is>
      </c>
      <c r="C34" s="32" t="inlineStr">
        <is>
          <t>All Studios</t>
        </is>
      </c>
      <c r="D34" s="17">
        <f>SUM(D22:D33)</f>
        <v/>
      </c>
      <c r="E34" s="17">
        <f>SUM(E22:E33)</f>
        <v/>
      </c>
      <c r="F34" s="17">
        <f>SUM(F22:F33)</f>
        <v/>
      </c>
      <c r="G34" s="17">
        <f>SUM(G22:G33)</f>
        <v/>
      </c>
    </row>
    <row r="100" hidden="1" s="142">
      <c r="B100" s="54" t="inlineStr">
        <is>
          <t>2025 SALES HISTORY (hidden helper for lag formulas)</t>
        </is>
      </c>
      <c r="P100" s="54" t="inlineStr">
        <is>
          <t>2025-07</t>
        </is>
      </c>
      <c r="Q100" s="54" t="inlineStr">
        <is>
          <t>2025-08</t>
        </is>
      </c>
      <c r="R100" s="54" t="inlineStr">
        <is>
          <t>2025-09</t>
        </is>
      </c>
      <c r="S100" s="54" t="inlineStr">
        <is>
          <t>2025-10</t>
        </is>
      </c>
      <c r="T100" s="54" t="inlineStr">
        <is>
          <t>2025-11</t>
        </is>
      </c>
      <c r="U100" s="54" t="inlineStr">
        <is>
          <t>2025-12</t>
        </is>
      </c>
    </row>
    <row r="101" hidden="1" s="142">
      <c r="P101" s="55" t="n">
        <v>808077</v>
      </c>
      <c r="Q101" s="55" t="n">
        <v>930709</v>
      </c>
      <c r="R101" s="55" t="n">
        <v>758432</v>
      </c>
      <c r="S101" s="55" t="n">
        <v>830044</v>
      </c>
      <c r="T101" s="55" t="n">
        <v>833160</v>
      </c>
      <c r="U101" s="55" t="n">
        <v>847328</v>
      </c>
    </row>
    <row r="102" hidden="1" s="142">
      <c r="B102" s="54" t="inlineStr">
        <is>
          <t xml:space="preserve">  2025 helper: BK (Berkeley)</t>
        </is>
      </c>
      <c r="T102" s="83" t="n">
        <v>102111.01</v>
      </c>
      <c r="U102" s="83" t="n">
        <v>103847.42</v>
      </c>
    </row>
    <row r="103" hidden="1" s="142">
      <c r="B103" s="54" t="inlineStr">
        <is>
          <t xml:space="preserve">  2025 helper: CC (Culver City)</t>
        </is>
      </c>
      <c r="T103" s="83" t="n">
        <v>36886.61</v>
      </c>
      <c r="U103" s="83" t="n">
        <v>37513.88</v>
      </c>
    </row>
    <row r="104" hidden="1" s="142">
      <c r="B104" s="54" t="inlineStr">
        <is>
          <t xml:space="preserve">  2025 helper: DN (Danville)</t>
        </is>
      </c>
      <c r="T104" s="83" t="n">
        <v>18359.97</v>
      </c>
      <c r="U104" s="83" t="n">
        <v>18672.19</v>
      </c>
    </row>
    <row r="105" hidden="1" s="142">
      <c r="B105" s="54" t="inlineStr">
        <is>
          <t xml:space="preserve">  2025 helper: LF (Lafayette)</t>
        </is>
      </c>
      <c r="T105" s="83" t="n">
        <v>84253.69</v>
      </c>
      <c r="U105" s="83" t="n">
        <v>85686.42999999999</v>
      </c>
    </row>
    <row r="106" hidden="1" s="142">
      <c r="B106" s="54" t="inlineStr">
        <is>
          <t xml:space="preserve">  2025 helper: MR (Marin)</t>
        </is>
      </c>
      <c r="T106" s="83" t="n">
        <v>92130.72</v>
      </c>
      <c r="U106" s="83" t="n">
        <v>93697.42</v>
      </c>
    </row>
    <row r="107" hidden="1" s="142">
      <c r="B107" s="54" t="inlineStr">
        <is>
          <t xml:space="preserve">  2025 helper: OP (Ocean Park)</t>
        </is>
      </c>
      <c r="T107" s="83" t="n">
        <v>56662.27</v>
      </c>
      <c r="U107" s="83" t="n">
        <v>57625.82</v>
      </c>
    </row>
    <row r="108" hidden="1" s="142">
      <c r="B108" s="54" t="inlineStr">
        <is>
          <t xml:space="preserve">  2025 helper: PH (Presidio Heights)</t>
        </is>
      </c>
      <c r="T108" s="83" t="n">
        <v>123229.91</v>
      </c>
      <c r="U108" s="83" t="n">
        <v>125325.45</v>
      </c>
    </row>
    <row r="109" hidden="1" s="142">
      <c r="B109" s="54" t="inlineStr">
        <is>
          <t xml:space="preserve">  2025 helper: RH (Russian Hill)</t>
        </is>
      </c>
      <c r="T109" s="83" t="n">
        <v>80127.42</v>
      </c>
      <c r="U109" s="83" t="n">
        <v>81490</v>
      </c>
    </row>
    <row r="110" hidden="1" s="142">
      <c r="B110" s="54" t="inlineStr">
        <is>
          <t xml:space="preserve">  2025 helper: SB (Santa Barbara)</t>
        </is>
      </c>
      <c r="T110" s="83" t="n">
        <v>23052.3</v>
      </c>
      <c r="U110" s="83" t="n">
        <v>23444.3</v>
      </c>
    </row>
    <row r="111" hidden="1" s="142">
      <c r="B111" s="54" t="inlineStr">
        <is>
          <t xml:space="preserve">  2025 helper: SM (Santa Monica)</t>
        </is>
      </c>
      <c r="T111" s="83" t="n">
        <v>159966.86</v>
      </c>
      <c r="U111" s="83" t="n">
        <v>162687.12</v>
      </c>
    </row>
    <row r="112" hidden="1" s="142">
      <c r="B112" s="54" t="inlineStr">
        <is>
          <t xml:space="preserve">  2025 helper: WP (West Portal)</t>
        </is>
      </c>
      <c r="T112" s="83" t="n">
        <v>755.5700000000001</v>
      </c>
      <c r="U112" s="83" t="n">
        <v>768.42</v>
      </c>
    </row>
    <row r="113" hidden="1" s="142">
      <c r="B113" s="54" t="inlineStr">
        <is>
          <t xml:space="preserve">  2025 helper: WW (Westwood)</t>
        </is>
      </c>
      <c r="T113" s="83" t="n">
        <v>55623.67</v>
      </c>
      <c r="U113" s="83" t="n">
        <v>56569.55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B2:AY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</cols>
  <sheetData>
    <row r="2" ht="21" customHeight="1" s="142">
      <c r="B2" s="9" t="inlineStr">
        <is>
          <t>Cash, Debt &amp; Equity</t>
        </is>
      </c>
    </row>
    <row r="4">
      <c r="B4" s="12" t="inlineStr">
        <is>
          <t>Item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CASH POSITION</t>
        </is>
      </c>
      <c r="C5" s="11" t="n"/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5" t="inlineStr">
        <is>
          <t>Ending Cash Balance (from CF)</t>
        </is>
      </c>
      <c r="P6" s="36">
        <f>'Cash Flow Forecast'!P40</f>
        <v/>
      </c>
      <c r="Q6" s="36">
        <f>'Cash Flow Forecast'!Q40</f>
        <v/>
      </c>
      <c r="R6" s="36">
        <f>'Cash Flow Forecast'!R40</f>
        <v/>
      </c>
      <c r="S6" s="36">
        <f>'Cash Flow Forecast'!S40</f>
        <v/>
      </c>
      <c r="T6" s="36">
        <f>'Cash Flow Forecast'!T40</f>
        <v/>
      </c>
      <c r="U6" s="36">
        <f>'Cash Flow Forecast'!U40</f>
        <v/>
      </c>
      <c r="V6" s="36">
        <f>'Cash Flow Forecast'!V40</f>
        <v/>
      </c>
      <c r="W6" s="36">
        <f>'Cash Flow Forecast'!W40</f>
        <v/>
      </c>
      <c r="X6" s="36">
        <f>'Cash Flow Forecast'!X40</f>
        <v/>
      </c>
      <c r="Y6" s="36">
        <f>'Cash Flow Forecast'!Y40</f>
        <v/>
      </c>
      <c r="Z6" s="36">
        <f>'Cash Flow Forecast'!Z40</f>
        <v/>
      </c>
      <c r="AA6" s="36">
        <f>'Cash Flow Forecast'!AA40</f>
        <v/>
      </c>
      <c r="AB6" s="36">
        <f>'Cash Flow Forecast'!AB40</f>
        <v/>
      </c>
      <c r="AC6" s="36">
        <f>'Cash Flow Forecast'!AC40</f>
        <v/>
      </c>
      <c r="AD6" s="36">
        <f>'Cash Flow Forecast'!AD40</f>
        <v/>
      </c>
      <c r="AE6" s="36">
        <f>'Cash Flow Forecast'!AE40</f>
        <v/>
      </c>
      <c r="AF6" s="36">
        <f>'Cash Flow Forecast'!AF40</f>
        <v/>
      </c>
      <c r="AG6" s="36">
        <f>'Cash Flow Forecast'!AG40</f>
        <v/>
      </c>
      <c r="AH6" s="36">
        <f>'Cash Flow Forecast'!AH40</f>
        <v/>
      </c>
      <c r="AI6" s="36">
        <f>'Cash Flow Forecast'!AI40</f>
        <v/>
      </c>
      <c r="AJ6" s="36">
        <f>'Cash Flow Forecast'!AJ40</f>
        <v/>
      </c>
      <c r="AK6" s="36">
        <f>'Cash Flow Forecast'!AK40</f>
        <v/>
      </c>
      <c r="AL6" s="36">
        <f>'Cash Flow Forecast'!AL40</f>
        <v/>
      </c>
      <c r="AM6" s="36">
        <f>'Cash Flow Forecast'!AM40</f>
        <v/>
      </c>
      <c r="AN6" s="36">
        <f>'Cash Flow Forecast'!AN40</f>
        <v/>
      </c>
      <c r="AO6" s="36">
        <f>'Cash Flow Forecast'!AO40</f>
        <v/>
      </c>
      <c r="AP6" s="36">
        <f>'Cash Flow Forecast'!AP40</f>
        <v/>
      </c>
      <c r="AQ6" s="36">
        <f>'Cash Flow Forecast'!AQ40</f>
        <v/>
      </c>
      <c r="AR6" s="36">
        <f>'Cash Flow Forecast'!AR40</f>
        <v/>
      </c>
      <c r="AS6" s="36">
        <f>'Cash Flow Forecast'!AS40</f>
        <v/>
      </c>
      <c r="AT6" s="36">
        <f>'Cash Flow Forecast'!AT40</f>
        <v/>
      </c>
      <c r="AU6" s="36">
        <f>'Cash Flow Forecast'!AU40</f>
        <v/>
      </c>
      <c r="AV6" s="36">
        <f>'Cash Flow Forecast'!AV40</f>
        <v/>
      </c>
      <c r="AW6" s="36">
        <f>'Cash Flow Forecast'!AW40</f>
        <v/>
      </c>
      <c r="AX6" s="36">
        <f>'Cash Flow Forecast'!AX40</f>
        <v/>
      </c>
      <c r="AY6" s="36">
        <f>'Cash Flow Forecast'!AY40</f>
        <v/>
      </c>
    </row>
    <row r="8" ht="16.05" customHeight="1" s="142">
      <c r="B8" s="10" t="inlineStr">
        <is>
          <t>DEBT SCHEDULE — Loan Balances by Month</t>
        </is>
      </c>
      <c r="C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</row>
    <row r="9">
      <c r="B9" s="15" t="inlineStr">
        <is>
          <t>MindBody Loan - SM</t>
        </is>
      </c>
      <c r="P9" s="19" t="n">
        <v>0</v>
      </c>
      <c r="Q9" s="19" t="n">
        <v>0</v>
      </c>
      <c r="R9" s="19" t="n">
        <v>0</v>
      </c>
      <c r="S9" s="19" t="n">
        <v>99348.21000000001</v>
      </c>
      <c r="T9" s="84" t="n">
        <v>0</v>
      </c>
      <c r="U9" s="20">
        <f>MAX(T9-18871.69,0)</f>
        <v/>
      </c>
      <c r="V9" s="20">
        <f>MAX(U9-18871.69,0)</f>
        <v/>
      </c>
      <c r="W9" s="20">
        <f>MAX(V9-18871.69,0)</f>
        <v/>
      </c>
      <c r="X9" s="20">
        <f>MAX(W9-18871.69,0)</f>
        <v/>
      </c>
      <c r="Y9" s="20">
        <f>MAX(X9-18871.69,0)</f>
        <v/>
      </c>
      <c r="Z9" s="20">
        <f>MAX(Y9-18871.69,0)</f>
        <v/>
      </c>
      <c r="AA9" s="20">
        <f>MAX(Z9-18871.69,0)</f>
        <v/>
      </c>
      <c r="AB9" s="20">
        <f>MAX(AA9-18871.69,0)</f>
        <v/>
      </c>
      <c r="AC9" s="20">
        <f>MAX(AB9-18871.69,0)</f>
        <v/>
      </c>
      <c r="AD9" s="20">
        <f>MAX(AC9-18871.69,0)</f>
        <v/>
      </c>
      <c r="AE9" s="20">
        <f>MAX(AD9-18871.69,0)</f>
        <v/>
      </c>
      <c r="AF9" s="20">
        <f>MAX(AE9-18871.69,0)</f>
        <v/>
      </c>
      <c r="AG9" s="20">
        <f>MAX(AF9-18871.69,0)</f>
        <v/>
      </c>
      <c r="AH9" s="20">
        <f>MAX(AG9-18871.69,0)</f>
        <v/>
      </c>
      <c r="AI9" s="20">
        <f>MAX(AH9-18871.69,0)</f>
        <v/>
      </c>
      <c r="AJ9" s="20">
        <f>MAX(AI9-18871.69,0)</f>
        <v/>
      </c>
      <c r="AK9" s="20">
        <f>MAX(AJ9-18871.69,0)</f>
        <v/>
      </c>
      <c r="AL9" s="20">
        <f>MAX(AK9-18871.69,0)</f>
        <v/>
      </c>
      <c r="AM9" s="20">
        <f>MAX(AL9-18871.69,0)</f>
        <v/>
      </c>
      <c r="AN9" s="20">
        <f>MAX(AM9-18871.69,0)</f>
        <v/>
      </c>
      <c r="AO9" s="20">
        <f>MAX(AN9-18871.69,0)</f>
        <v/>
      </c>
      <c r="AP9" s="20">
        <f>MAX(AO9-18871.69,0)</f>
        <v/>
      </c>
      <c r="AQ9" s="20">
        <f>MAX(AP9-18871.69,0)</f>
        <v/>
      </c>
      <c r="AR9" s="20">
        <f>MAX(AQ9-18871.69,0)</f>
        <v/>
      </c>
      <c r="AS9" s="20">
        <f>MAX(AR9-18871.69,0)</f>
        <v/>
      </c>
      <c r="AT9" s="20">
        <f>MAX(AS9-18871.69,0)</f>
        <v/>
      </c>
      <c r="AU9" s="20">
        <f>MAX(AT9-18871.69,0)</f>
        <v/>
      </c>
      <c r="AV9" s="20">
        <f>MAX(AU9-18871.69,0)</f>
        <v/>
      </c>
      <c r="AW9" s="20">
        <f>MAX(AV9-18871.69,0)</f>
        <v/>
      </c>
      <c r="AX9" s="20">
        <f>MAX(AW9-18871.69,0)</f>
        <v/>
      </c>
      <c r="AY9" s="20">
        <f>MAX(AX9-18871.69,0)</f>
        <v/>
      </c>
    </row>
    <row r="10">
      <c r="B10" s="15" t="inlineStr">
        <is>
          <t>MindBody Loan - PH</t>
        </is>
      </c>
      <c r="P10" s="19" t="n">
        <v>0</v>
      </c>
      <c r="Q10" s="19" t="n">
        <v>0</v>
      </c>
      <c r="R10" s="19" t="n">
        <v>0</v>
      </c>
      <c r="S10" s="19" t="n">
        <v>46989.79</v>
      </c>
      <c r="T10" s="84" t="n">
        <v>0</v>
      </c>
      <c r="U10" s="20">
        <f>MAX(T10-16602.04,0)</f>
        <v/>
      </c>
      <c r="V10" s="20">
        <f>MAX(U10-16602.04,0)</f>
        <v/>
      </c>
      <c r="W10" s="20">
        <f>MAX(V10-16602.04,0)</f>
        <v/>
      </c>
      <c r="X10" s="20">
        <f>MAX(W10-16602.04,0)</f>
        <v/>
      </c>
      <c r="Y10" s="20">
        <f>MAX(X10-16602.04,0)</f>
        <v/>
      </c>
      <c r="Z10" s="20">
        <f>MAX(Y10-16602.04,0)</f>
        <v/>
      </c>
      <c r="AA10" s="20">
        <f>MAX(Z10-16602.04,0)</f>
        <v/>
      </c>
      <c r="AB10" s="20">
        <f>MAX(AA10-16602.04,0)</f>
        <v/>
      </c>
      <c r="AC10" s="20">
        <f>MAX(AB10-16602.04,0)</f>
        <v/>
      </c>
      <c r="AD10" s="20">
        <f>MAX(AC10-16602.04,0)</f>
        <v/>
      </c>
      <c r="AE10" s="20">
        <f>MAX(AD10-16602.04,0)</f>
        <v/>
      </c>
      <c r="AF10" s="20">
        <f>MAX(AE10-16602.04,0)</f>
        <v/>
      </c>
      <c r="AG10" s="20">
        <f>MAX(AF10-16602.04,0)</f>
        <v/>
      </c>
      <c r="AH10" s="20">
        <f>MAX(AG10-16602.04,0)</f>
        <v/>
      </c>
      <c r="AI10" s="20">
        <f>MAX(AH10-16602.04,0)</f>
        <v/>
      </c>
      <c r="AJ10" s="20">
        <f>MAX(AI10-16602.04,0)</f>
        <v/>
      </c>
      <c r="AK10" s="20">
        <f>MAX(AJ10-16602.04,0)</f>
        <v/>
      </c>
      <c r="AL10" s="20">
        <f>MAX(AK10-16602.04,0)</f>
        <v/>
      </c>
      <c r="AM10" s="20">
        <f>MAX(AL10-16602.04,0)</f>
        <v/>
      </c>
      <c r="AN10" s="20">
        <f>MAX(AM10-16602.04,0)</f>
        <v/>
      </c>
      <c r="AO10" s="20">
        <f>MAX(AN10-16602.04,0)</f>
        <v/>
      </c>
      <c r="AP10" s="20">
        <f>MAX(AO10-16602.04,0)</f>
        <v/>
      </c>
      <c r="AQ10" s="20">
        <f>MAX(AP10-16602.04,0)</f>
        <v/>
      </c>
      <c r="AR10" s="20">
        <f>MAX(AQ10-16602.04,0)</f>
        <v/>
      </c>
      <c r="AS10" s="20">
        <f>MAX(AR10-16602.04,0)</f>
        <v/>
      </c>
      <c r="AT10" s="20">
        <f>MAX(AS10-16602.04,0)</f>
        <v/>
      </c>
      <c r="AU10" s="20">
        <f>MAX(AT10-16602.04,0)</f>
        <v/>
      </c>
      <c r="AV10" s="20">
        <f>MAX(AU10-16602.04,0)</f>
        <v/>
      </c>
      <c r="AW10" s="20">
        <f>MAX(AV10-16602.04,0)</f>
        <v/>
      </c>
      <c r="AX10" s="20">
        <f>MAX(AW10-16602.04,0)</f>
        <v/>
      </c>
      <c r="AY10" s="20">
        <f>MAX(AX10-16602.04,0)</f>
        <v/>
      </c>
    </row>
    <row r="11">
      <c r="B11" s="15" t="inlineStr">
        <is>
          <t>MindBody Loan - LF</t>
        </is>
      </c>
      <c r="P11" s="19" t="n">
        <v>0</v>
      </c>
      <c r="Q11" s="19" t="n">
        <v>0</v>
      </c>
      <c r="R11" s="19" t="n">
        <v>0</v>
      </c>
      <c r="S11" s="19" t="n">
        <v>20599.85</v>
      </c>
      <c r="T11" s="84" t="n">
        <v>0</v>
      </c>
      <c r="U11" s="20">
        <f>MAX(T11-12162.36,0)</f>
        <v/>
      </c>
      <c r="V11" s="20">
        <f>MAX(U11-12162.36,0)</f>
        <v/>
      </c>
      <c r="W11" s="20">
        <f>MAX(V11-12162.36,0)</f>
        <v/>
      </c>
      <c r="X11" s="20">
        <f>MAX(W11-12162.36,0)</f>
        <v/>
      </c>
      <c r="Y11" s="20">
        <f>MAX(X11-12162.36,0)</f>
        <v/>
      </c>
      <c r="Z11" s="20">
        <f>MAX(Y11-12162.36,0)</f>
        <v/>
      </c>
      <c r="AA11" s="20">
        <f>MAX(Z11-12162.36,0)</f>
        <v/>
      </c>
      <c r="AB11" s="20">
        <f>MAX(AA11-12162.36,0)</f>
        <v/>
      </c>
      <c r="AC11" s="20">
        <f>MAX(AB11-12162.36,0)</f>
        <v/>
      </c>
      <c r="AD11" s="20">
        <f>MAX(AC11-12162.36,0)</f>
        <v/>
      </c>
      <c r="AE11" s="20">
        <f>MAX(AD11-12162.36,0)</f>
        <v/>
      </c>
      <c r="AF11" s="20">
        <f>MAX(AE11-12162.36,0)</f>
        <v/>
      </c>
      <c r="AG11" s="20">
        <f>MAX(AF11-12162.36,0)</f>
        <v/>
      </c>
      <c r="AH11" s="20">
        <f>MAX(AG11-12162.36,0)</f>
        <v/>
      </c>
      <c r="AI11" s="20">
        <f>MAX(AH11-12162.36,0)</f>
        <v/>
      </c>
      <c r="AJ11" s="20">
        <f>MAX(AI11-12162.36,0)</f>
        <v/>
      </c>
      <c r="AK11" s="20">
        <f>MAX(AJ11-12162.36,0)</f>
        <v/>
      </c>
      <c r="AL11" s="20">
        <f>MAX(AK11-12162.36,0)</f>
        <v/>
      </c>
      <c r="AM11" s="20">
        <f>MAX(AL11-12162.36,0)</f>
        <v/>
      </c>
      <c r="AN11" s="20">
        <f>MAX(AM11-12162.36,0)</f>
        <v/>
      </c>
      <c r="AO11" s="20">
        <f>MAX(AN11-12162.36,0)</f>
        <v/>
      </c>
      <c r="AP11" s="20">
        <f>MAX(AO11-12162.36,0)</f>
        <v/>
      </c>
      <c r="AQ11" s="20">
        <f>MAX(AP11-12162.36,0)</f>
        <v/>
      </c>
      <c r="AR11" s="20">
        <f>MAX(AQ11-12162.36,0)</f>
        <v/>
      </c>
      <c r="AS11" s="20">
        <f>MAX(AR11-12162.36,0)</f>
        <v/>
      </c>
      <c r="AT11" s="20">
        <f>MAX(AS11-12162.36,0)</f>
        <v/>
      </c>
      <c r="AU11" s="20">
        <f>MAX(AT11-12162.36,0)</f>
        <v/>
      </c>
      <c r="AV11" s="20">
        <f>MAX(AU11-12162.36,0)</f>
        <v/>
      </c>
      <c r="AW11" s="20">
        <f>MAX(AV11-12162.36,0)</f>
        <v/>
      </c>
      <c r="AX11" s="20">
        <f>MAX(AW11-12162.36,0)</f>
        <v/>
      </c>
      <c r="AY11" s="20">
        <f>MAX(AX11-12162.36,0)</f>
        <v/>
      </c>
    </row>
    <row r="12">
      <c r="B12" s="15" t="inlineStr">
        <is>
          <t>MindBody Loan - MR</t>
        </is>
      </c>
      <c r="P12" s="19" t="n">
        <v>0</v>
      </c>
      <c r="Q12" s="19" t="n">
        <v>0</v>
      </c>
      <c r="R12" s="19" t="n">
        <v>0</v>
      </c>
      <c r="S12" s="19" t="n">
        <v>14815.18</v>
      </c>
      <c r="T12" s="84" t="n">
        <v>0</v>
      </c>
      <c r="U12" s="20">
        <f>MAX(T12-13157.16,0)</f>
        <v/>
      </c>
      <c r="V12" s="20">
        <f>MAX(U12-13157.16,0)</f>
        <v/>
      </c>
      <c r="W12" s="20">
        <f>MAX(V12-13157.16,0)</f>
        <v/>
      </c>
      <c r="X12" s="20">
        <f>MAX(W12-13157.16,0)</f>
        <v/>
      </c>
      <c r="Y12" s="20">
        <f>MAX(X12-13157.16,0)</f>
        <v/>
      </c>
      <c r="Z12" s="20">
        <f>MAX(Y12-13157.16,0)</f>
        <v/>
      </c>
      <c r="AA12" s="20">
        <f>MAX(Z12-13157.16,0)</f>
        <v/>
      </c>
      <c r="AB12" s="20">
        <f>MAX(AA12-13157.16,0)</f>
        <v/>
      </c>
      <c r="AC12" s="20">
        <f>MAX(AB12-13157.16,0)</f>
        <v/>
      </c>
      <c r="AD12" s="20">
        <f>MAX(AC12-13157.16,0)</f>
        <v/>
      </c>
      <c r="AE12" s="20">
        <f>MAX(AD12-13157.16,0)</f>
        <v/>
      </c>
      <c r="AF12" s="20">
        <f>MAX(AE12-13157.16,0)</f>
        <v/>
      </c>
      <c r="AG12" s="20">
        <f>MAX(AF12-13157.16,0)</f>
        <v/>
      </c>
      <c r="AH12" s="20">
        <f>MAX(AG12-13157.16,0)</f>
        <v/>
      </c>
      <c r="AI12" s="20">
        <f>MAX(AH12-13157.16,0)</f>
        <v/>
      </c>
      <c r="AJ12" s="20">
        <f>MAX(AI12-13157.16,0)</f>
        <v/>
      </c>
      <c r="AK12" s="20">
        <f>MAX(AJ12-13157.16,0)</f>
        <v/>
      </c>
      <c r="AL12" s="20">
        <f>MAX(AK12-13157.16,0)</f>
        <v/>
      </c>
      <c r="AM12" s="20">
        <f>MAX(AL12-13157.16,0)</f>
        <v/>
      </c>
      <c r="AN12" s="20">
        <f>MAX(AM12-13157.16,0)</f>
        <v/>
      </c>
      <c r="AO12" s="20">
        <f>MAX(AN12-13157.16,0)</f>
        <v/>
      </c>
      <c r="AP12" s="20">
        <f>MAX(AO12-13157.16,0)</f>
        <v/>
      </c>
      <c r="AQ12" s="20">
        <f>MAX(AP12-13157.16,0)</f>
        <v/>
      </c>
      <c r="AR12" s="20">
        <f>MAX(AQ12-13157.16,0)</f>
        <v/>
      </c>
      <c r="AS12" s="20">
        <f>MAX(AR12-13157.16,0)</f>
        <v/>
      </c>
      <c r="AT12" s="20">
        <f>MAX(AS12-13157.16,0)</f>
        <v/>
      </c>
      <c r="AU12" s="20">
        <f>MAX(AT12-13157.16,0)</f>
        <v/>
      </c>
      <c r="AV12" s="20">
        <f>MAX(AU12-13157.16,0)</f>
        <v/>
      </c>
      <c r="AW12" s="20">
        <f>MAX(AV12-13157.16,0)</f>
        <v/>
      </c>
      <c r="AX12" s="20">
        <f>MAX(AW12-13157.16,0)</f>
        <v/>
      </c>
      <c r="AY12" s="20">
        <f>MAX(AX12-13157.16,0)</f>
        <v/>
      </c>
    </row>
    <row r="13">
      <c r="B13" s="15" t="inlineStr">
        <is>
          <t>Samson Loan</t>
        </is>
      </c>
      <c r="P13" s="19" t="n">
        <v>205426.16</v>
      </c>
      <c r="Q13" s="19" t="n">
        <v>189034.12</v>
      </c>
      <c r="R13" s="19" t="n">
        <v>154505.72</v>
      </c>
      <c r="S13" s="19" t="n">
        <v>129045.5</v>
      </c>
      <c r="T13" s="84" t="n">
        <v>94517.10000000001</v>
      </c>
      <c r="U13" s="20">
        <f>MAX(T13-25460.22,0)</f>
        <v/>
      </c>
      <c r="V13" s="20">
        <f>MAX(U13-25460.22,0)</f>
        <v/>
      </c>
      <c r="W13" s="20">
        <f>MAX(V13-25460.22,0)</f>
        <v/>
      </c>
      <c r="X13" s="20">
        <f>MAX(W13-25460.22,0)</f>
        <v/>
      </c>
      <c r="Y13" s="20">
        <f>MAX(X13-25460.22,0)</f>
        <v/>
      </c>
      <c r="Z13" s="20">
        <f>MAX(Y13-25460.22,0)</f>
        <v/>
      </c>
      <c r="AA13" s="20">
        <f>MAX(Z13-25460.22,0)</f>
        <v/>
      </c>
      <c r="AB13" s="20">
        <f>MAX(AA13-25460.22,0)</f>
        <v/>
      </c>
      <c r="AC13" s="20">
        <f>MAX(AB13-25460.22,0)</f>
        <v/>
      </c>
      <c r="AD13" s="20">
        <f>MAX(AC13-25460.22,0)</f>
        <v/>
      </c>
      <c r="AE13" s="20">
        <f>MAX(AD13-25460.22,0)</f>
        <v/>
      </c>
      <c r="AF13" s="20">
        <f>MAX(AE13-25460.22,0)</f>
        <v/>
      </c>
      <c r="AG13" s="20">
        <f>MAX(AF13-25460.22,0)</f>
        <v/>
      </c>
      <c r="AH13" s="20">
        <f>MAX(AG13-25460.22,0)</f>
        <v/>
      </c>
      <c r="AI13" s="20">
        <f>MAX(AH13-25460.22,0)</f>
        <v/>
      </c>
      <c r="AJ13" s="20">
        <f>MAX(AI13-25460.22,0)</f>
        <v/>
      </c>
      <c r="AK13" s="20">
        <f>MAX(AJ13-25460.22,0)</f>
        <v/>
      </c>
      <c r="AL13" s="20">
        <f>MAX(AK13-25460.22,0)</f>
        <v/>
      </c>
      <c r="AM13" s="20">
        <f>MAX(AL13-25460.22,0)</f>
        <v/>
      </c>
      <c r="AN13" s="20">
        <f>MAX(AM13-25460.22,0)</f>
        <v/>
      </c>
      <c r="AO13" s="20">
        <f>MAX(AN13-25460.22,0)</f>
        <v/>
      </c>
      <c r="AP13" s="20">
        <f>MAX(AO13-25460.22,0)</f>
        <v/>
      </c>
      <c r="AQ13" s="20">
        <f>MAX(AP13-25460.22,0)</f>
        <v/>
      </c>
      <c r="AR13" s="20">
        <f>MAX(AQ13-25460.22,0)</f>
        <v/>
      </c>
      <c r="AS13" s="20">
        <f>MAX(AR13-25460.22,0)</f>
        <v/>
      </c>
      <c r="AT13" s="20">
        <f>MAX(AS13-25460.22,0)</f>
        <v/>
      </c>
      <c r="AU13" s="20">
        <f>MAX(AT13-25460.22,0)</f>
        <v/>
      </c>
      <c r="AV13" s="20">
        <f>MAX(AU13-25460.22,0)</f>
        <v/>
      </c>
      <c r="AW13" s="20">
        <f>MAX(AV13-25460.22,0)</f>
        <v/>
      </c>
      <c r="AX13" s="20">
        <f>MAX(AW13-25460.22,0)</f>
        <v/>
      </c>
      <c r="AY13" s="20">
        <f>MAX(AX13-25460.22,0)</f>
        <v/>
      </c>
    </row>
    <row r="14">
      <c r="B14" s="15" t="inlineStr">
        <is>
          <t>Specialty Capital Loan</t>
        </is>
      </c>
      <c r="P14" s="19" t="n">
        <v>187921.05</v>
      </c>
      <c r="Q14" s="19" t="n">
        <v>165407.89</v>
      </c>
      <c r="R14" s="19" t="n">
        <v>135078.94</v>
      </c>
      <c r="S14" s="19" t="n">
        <v>112565.78</v>
      </c>
      <c r="T14" s="84" t="n">
        <v>90052.62</v>
      </c>
      <c r="U14" s="20">
        <f>MAX(T14-25888.16,0)</f>
        <v/>
      </c>
      <c r="V14" s="20">
        <f>MAX(U14-25888.16,0)</f>
        <v/>
      </c>
      <c r="W14" s="20">
        <f>MAX(V14-25888.16,0)</f>
        <v/>
      </c>
      <c r="X14" s="20">
        <f>MAX(W14-25888.16,0)</f>
        <v/>
      </c>
      <c r="Y14" s="20">
        <f>MAX(X14-25888.16,0)</f>
        <v/>
      </c>
      <c r="Z14" s="20">
        <f>MAX(Y14-25888.16,0)</f>
        <v/>
      </c>
      <c r="AA14" s="20">
        <f>MAX(Z14-25888.16,0)</f>
        <v/>
      </c>
      <c r="AB14" s="20">
        <f>MAX(AA14-25888.16,0)</f>
        <v/>
      </c>
      <c r="AC14" s="20">
        <f>MAX(AB14-25888.16,0)</f>
        <v/>
      </c>
      <c r="AD14" s="20">
        <f>MAX(AC14-25888.16,0)</f>
        <v/>
      </c>
      <c r="AE14" s="20">
        <f>MAX(AD14-25888.16,0)</f>
        <v/>
      </c>
      <c r="AF14" s="20">
        <f>MAX(AE14-25888.16,0)</f>
        <v/>
      </c>
      <c r="AG14" s="20">
        <f>MAX(AF14-25888.16,0)</f>
        <v/>
      </c>
      <c r="AH14" s="20">
        <f>MAX(AG14-25888.16,0)</f>
        <v/>
      </c>
      <c r="AI14" s="20">
        <f>MAX(AH14-25888.16,0)</f>
        <v/>
      </c>
      <c r="AJ14" s="20">
        <f>MAX(AI14-25888.16,0)</f>
        <v/>
      </c>
      <c r="AK14" s="20">
        <f>MAX(AJ14-25888.16,0)</f>
        <v/>
      </c>
      <c r="AL14" s="20">
        <f>MAX(AK14-25888.16,0)</f>
        <v/>
      </c>
      <c r="AM14" s="20">
        <f>MAX(AL14-25888.16,0)</f>
        <v/>
      </c>
      <c r="AN14" s="20">
        <f>MAX(AM14-25888.16,0)</f>
        <v/>
      </c>
      <c r="AO14" s="20">
        <f>MAX(AN14-25888.16,0)</f>
        <v/>
      </c>
      <c r="AP14" s="20">
        <f>MAX(AO14-25888.16,0)</f>
        <v/>
      </c>
      <c r="AQ14" s="20">
        <f>MAX(AP14-25888.16,0)</f>
        <v/>
      </c>
      <c r="AR14" s="20">
        <f>MAX(AQ14-25888.16,0)</f>
        <v/>
      </c>
      <c r="AS14" s="20">
        <f>MAX(AR14-25888.16,0)</f>
        <v/>
      </c>
      <c r="AT14" s="20">
        <f>MAX(AS14-25888.16,0)</f>
        <v/>
      </c>
      <c r="AU14" s="20">
        <f>MAX(AT14-25888.16,0)</f>
        <v/>
      </c>
      <c r="AV14" s="20">
        <f>MAX(AU14-25888.16,0)</f>
        <v/>
      </c>
      <c r="AW14" s="20">
        <f>MAX(AV14-25888.16,0)</f>
        <v/>
      </c>
      <c r="AX14" s="20">
        <f>MAX(AW14-25888.16,0)</f>
        <v/>
      </c>
      <c r="AY14" s="20">
        <f>MAX(AX14-25888.16,0)</f>
        <v/>
      </c>
    </row>
    <row r="15">
      <c r="B15" s="15" t="inlineStr">
        <is>
          <t>Norbrook Inc Loan</t>
        </is>
      </c>
      <c r="P15" s="19" t="n">
        <v>0</v>
      </c>
      <c r="Q15" s="19" t="n">
        <v>0</v>
      </c>
      <c r="R15" s="19" t="n">
        <v>0</v>
      </c>
      <c r="S15" s="19" t="n">
        <v>162318</v>
      </c>
      <c r="T15" s="84" t="n">
        <v>0</v>
      </c>
      <c r="U15" s="20">
        <f>T15</f>
        <v/>
      </c>
      <c r="V15" s="20">
        <f>U15</f>
        <v/>
      </c>
      <c r="W15" s="20">
        <f>V15</f>
        <v/>
      </c>
      <c r="X15" s="20">
        <f>W15</f>
        <v/>
      </c>
      <c r="Y15" s="20">
        <f>X15</f>
        <v/>
      </c>
      <c r="Z15" s="20">
        <f>Y15</f>
        <v/>
      </c>
      <c r="AA15" s="20">
        <f>Z15</f>
        <v/>
      </c>
      <c r="AB15" s="20">
        <f>AA15</f>
        <v/>
      </c>
      <c r="AC15" s="20">
        <f>AB15</f>
        <v/>
      </c>
      <c r="AD15" s="20">
        <f>AC15</f>
        <v/>
      </c>
      <c r="AE15" s="20">
        <f>AD15</f>
        <v/>
      </c>
      <c r="AF15" s="20">
        <f>AE15</f>
        <v/>
      </c>
      <c r="AG15" s="20">
        <f>AF15</f>
        <v/>
      </c>
      <c r="AH15" s="20">
        <f>AG15</f>
        <v/>
      </c>
      <c r="AI15" s="20">
        <f>AH15</f>
        <v/>
      </c>
      <c r="AJ15" s="20">
        <f>AI15</f>
        <v/>
      </c>
      <c r="AK15" s="20">
        <f>AJ15</f>
        <v/>
      </c>
      <c r="AL15" s="20">
        <f>AK15</f>
        <v/>
      </c>
      <c r="AM15" s="20">
        <f>AL15</f>
        <v/>
      </c>
      <c r="AN15" s="20">
        <f>AM15</f>
        <v/>
      </c>
      <c r="AO15" s="20">
        <f>AN15</f>
        <v/>
      </c>
      <c r="AP15" s="20">
        <f>AO15</f>
        <v/>
      </c>
      <c r="AQ15" s="20">
        <f>AP15</f>
        <v/>
      </c>
      <c r="AR15" s="20">
        <f>AQ15</f>
        <v/>
      </c>
      <c r="AS15" s="20">
        <f>AR15</f>
        <v/>
      </c>
      <c r="AT15" s="20">
        <f>AS15</f>
        <v/>
      </c>
      <c r="AU15" s="20">
        <f>AT15</f>
        <v/>
      </c>
      <c r="AV15" s="20">
        <f>AU15</f>
        <v/>
      </c>
      <c r="AW15" s="20">
        <f>AV15</f>
        <v/>
      </c>
      <c r="AX15" s="20">
        <f>AW15</f>
        <v/>
      </c>
      <c r="AY15" s="20">
        <f>AX15</f>
        <v/>
      </c>
    </row>
    <row r="16">
      <c r="B16" s="15" t="inlineStr">
        <is>
          <t>TOTAL DEBT</t>
        </is>
      </c>
      <c r="P16" s="17">
        <f>SUM(P9:P15)</f>
        <v/>
      </c>
      <c r="Q16" s="17">
        <f>SUM(Q9:Q15)</f>
        <v/>
      </c>
      <c r="R16" s="17">
        <f>SUM(R9:R15)</f>
        <v/>
      </c>
      <c r="S16" s="17">
        <f>SUM(S9:S15)</f>
        <v/>
      </c>
      <c r="T16" s="17">
        <f>SUM(T9:T15)</f>
        <v/>
      </c>
      <c r="U16" s="17">
        <f>SUM(U9:U15)</f>
        <v/>
      </c>
      <c r="V16" s="17">
        <f>SUM(V9:V15)</f>
        <v/>
      </c>
      <c r="W16" s="17">
        <f>SUM(W9:W15)</f>
        <v/>
      </c>
      <c r="X16" s="17">
        <f>SUM(X9:X15)</f>
        <v/>
      </c>
      <c r="Y16" s="17">
        <f>SUM(Y9:Y15)</f>
        <v/>
      </c>
      <c r="Z16" s="17">
        <f>SUM(Z9:Z15)</f>
        <v/>
      </c>
      <c r="AA16" s="17">
        <f>SUM(AA9:AA15)</f>
        <v/>
      </c>
      <c r="AB16" s="17">
        <f>SUM(AB9:AB15)</f>
        <v/>
      </c>
      <c r="AC16" s="17">
        <f>SUM(AC9:AC15)</f>
        <v/>
      </c>
      <c r="AD16" s="17">
        <f>SUM(AD9:AD15)</f>
        <v/>
      </c>
      <c r="AE16" s="17">
        <f>SUM(AE9:AE15)</f>
        <v/>
      </c>
      <c r="AF16" s="17">
        <f>SUM(AF9:AF15)</f>
        <v/>
      </c>
      <c r="AG16" s="17">
        <f>SUM(AG9:AG15)</f>
        <v/>
      </c>
      <c r="AH16" s="17">
        <f>SUM(AH9:AH15)</f>
        <v/>
      </c>
      <c r="AI16" s="17">
        <f>SUM(AI9:AI15)</f>
        <v/>
      </c>
      <c r="AJ16" s="17">
        <f>SUM(AJ9:AJ15)</f>
        <v/>
      </c>
      <c r="AK16" s="17">
        <f>SUM(AK9:AK15)</f>
        <v/>
      </c>
      <c r="AL16" s="17">
        <f>SUM(AL9:AL15)</f>
        <v/>
      </c>
      <c r="AM16" s="17">
        <f>SUM(AM9:AM15)</f>
        <v/>
      </c>
      <c r="AN16" s="17">
        <f>SUM(AN9:AN15)</f>
        <v/>
      </c>
      <c r="AO16" s="17">
        <f>SUM(AO9:AO15)</f>
        <v/>
      </c>
      <c r="AP16" s="17">
        <f>SUM(AP9:AP15)</f>
        <v/>
      </c>
      <c r="AQ16" s="17">
        <f>SUM(AQ9:AQ15)</f>
        <v/>
      </c>
      <c r="AR16" s="17">
        <f>SUM(AR9:AR15)</f>
        <v/>
      </c>
      <c r="AS16" s="17">
        <f>SUM(AS9:AS15)</f>
        <v/>
      </c>
      <c r="AT16" s="17">
        <f>SUM(AT9:AT15)</f>
        <v/>
      </c>
      <c r="AU16" s="17">
        <f>SUM(AU9:AU15)</f>
        <v/>
      </c>
      <c r="AV16" s="17">
        <f>SUM(AV9:AV15)</f>
        <v/>
      </c>
      <c r="AW16" s="17">
        <f>SUM(AW9:AW15)</f>
        <v/>
      </c>
      <c r="AX16" s="17">
        <f>SUM(AX9:AX15)</f>
        <v/>
      </c>
      <c r="AY16" s="17">
        <f>SUM(AY9:AY15)</f>
        <v/>
      </c>
    </row>
    <row r="18" ht="16.05" customHeight="1" s="142">
      <c r="B18" s="10" t="inlineStr">
        <is>
          <t>MONTHLY DEBT SERVICE</t>
        </is>
      </c>
      <c r="C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</row>
    <row r="19">
      <c r="B19" s="18" t="inlineStr">
        <is>
          <t>MindBody Loan - SM</t>
        </is>
      </c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IF(U9&gt;0,18871.69,0)</f>
        <v/>
      </c>
      <c r="V19" s="20">
        <f>IF(V9&gt;0,18871.69,0)</f>
        <v/>
      </c>
      <c r="W19" s="20">
        <f>IF(W9&gt;0,18871.69,0)</f>
        <v/>
      </c>
      <c r="X19" s="20">
        <f>IF(X9&gt;0,18871.69,0)</f>
        <v/>
      </c>
      <c r="Y19" s="20">
        <f>IF(Y9&gt;0,18871.69,0)</f>
        <v/>
      </c>
      <c r="Z19" s="20">
        <f>IF(Z9&gt;0,18871.69,0)</f>
        <v/>
      </c>
      <c r="AA19" s="20">
        <f>IF(AA9&gt;0,18871.69,0)</f>
        <v/>
      </c>
      <c r="AB19" s="20">
        <f>IF(AB9&gt;0,18871.69,0)</f>
        <v/>
      </c>
      <c r="AC19" s="20">
        <f>IF(AC9&gt;0,18871.69,0)</f>
        <v/>
      </c>
      <c r="AD19" s="20">
        <f>IF(AD9&gt;0,18871.69,0)</f>
        <v/>
      </c>
      <c r="AE19" s="20">
        <f>IF(AE9&gt;0,18871.69,0)</f>
        <v/>
      </c>
      <c r="AF19" s="20">
        <f>IF(AF9&gt;0,18871.69,0)</f>
        <v/>
      </c>
      <c r="AG19" s="20">
        <f>IF(AG9&gt;0,18871.69,0)</f>
        <v/>
      </c>
      <c r="AH19" s="20">
        <f>IF(AH9&gt;0,18871.69,0)</f>
        <v/>
      </c>
      <c r="AI19" s="20">
        <f>IF(AI9&gt;0,18871.69,0)</f>
        <v/>
      </c>
      <c r="AJ19" s="20">
        <f>IF(AJ9&gt;0,18871.69,0)</f>
        <v/>
      </c>
      <c r="AK19" s="20">
        <f>IF(AK9&gt;0,18871.69,0)</f>
        <v/>
      </c>
      <c r="AL19" s="20">
        <f>IF(AL9&gt;0,18871.69,0)</f>
        <v/>
      </c>
      <c r="AM19" s="20">
        <f>IF(AM9&gt;0,18871.69,0)</f>
        <v/>
      </c>
      <c r="AN19" s="20">
        <f>IF(AN9&gt;0,18871.69,0)</f>
        <v/>
      </c>
      <c r="AO19" s="20">
        <f>IF(AO9&gt;0,18871.69,0)</f>
        <v/>
      </c>
      <c r="AP19" s="20">
        <f>IF(AP9&gt;0,18871.69,0)</f>
        <v/>
      </c>
      <c r="AQ19" s="20">
        <f>IF(AQ9&gt;0,18871.69,0)</f>
        <v/>
      </c>
      <c r="AR19" s="20">
        <f>IF(AR9&gt;0,18871.69,0)</f>
        <v/>
      </c>
      <c r="AS19" s="20">
        <f>IF(AS9&gt;0,18871.69,0)</f>
        <v/>
      </c>
      <c r="AT19" s="20">
        <f>IF(AT9&gt;0,18871.69,0)</f>
        <v/>
      </c>
      <c r="AU19" s="20">
        <f>IF(AU9&gt;0,18871.69,0)</f>
        <v/>
      </c>
      <c r="AV19" s="20">
        <f>IF(AV9&gt;0,18871.69,0)</f>
        <v/>
      </c>
      <c r="AW19" s="20">
        <f>IF(AW9&gt;0,18871.69,0)</f>
        <v/>
      </c>
      <c r="AX19" s="20">
        <f>IF(AX9&gt;0,18871.69,0)</f>
        <v/>
      </c>
      <c r="AY19" s="20">
        <f>IF(AY9&gt;0,18871.69,0)</f>
        <v/>
      </c>
    </row>
    <row r="20">
      <c r="B20" s="18" t="inlineStr">
        <is>
          <t>MindBody Loan - PH</t>
        </is>
      </c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IF(U10&gt;0,16602.04,0)</f>
        <v/>
      </c>
      <c r="V20" s="20">
        <f>IF(V10&gt;0,16602.04,0)</f>
        <v/>
      </c>
      <c r="W20" s="20">
        <f>IF(W10&gt;0,16602.04,0)</f>
        <v/>
      </c>
      <c r="X20" s="20">
        <f>IF(X10&gt;0,16602.04,0)</f>
        <v/>
      </c>
      <c r="Y20" s="20">
        <f>IF(Y10&gt;0,16602.04,0)</f>
        <v/>
      </c>
      <c r="Z20" s="20">
        <f>IF(Z10&gt;0,16602.04,0)</f>
        <v/>
      </c>
      <c r="AA20" s="20">
        <f>IF(AA10&gt;0,16602.04,0)</f>
        <v/>
      </c>
      <c r="AB20" s="20">
        <f>IF(AB10&gt;0,16602.04,0)</f>
        <v/>
      </c>
      <c r="AC20" s="20">
        <f>IF(AC10&gt;0,16602.04,0)</f>
        <v/>
      </c>
      <c r="AD20" s="20">
        <f>IF(AD10&gt;0,16602.04,0)</f>
        <v/>
      </c>
      <c r="AE20" s="20">
        <f>IF(AE10&gt;0,16602.04,0)</f>
        <v/>
      </c>
      <c r="AF20" s="20">
        <f>IF(AF10&gt;0,16602.04,0)</f>
        <v/>
      </c>
      <c r="AG20" s="20">
        <f>IF(AG10&gt;0,16602.04,0)</f>
        <v/>
      </c>
      <c r="AH20" s="20">
        <f>IF(AH10&gt;0,16602.04,0)</f>
        <v/>
      </c>
      <c r="AI20" s="20">
        <f>IF(AI10&gt;0,16602.04,0)</f>
        <v/>
      </c>
      <c r="AJ20" s="20">
        <f>IF(AJ10&gt;0,16602.04,0)</f>
        <v/>
      </c>
      <c r="AK20" s="20">
        <f>IF(AK10&gt;0,16602.04,0)</f>
        <v/>
      </c>
      <c r="AL20" s="20">
        <f>IF(AL10&gt;0,16602.04,0)</f>
        <v/>
      </c>
      <c r="AM20" s="20">
        <f>IF(AM10&gt;0,16602.04,0)</f>
        <v/>
      </c>
      <c r="AN20" s="20">
        <f>IF(AN10&gt;0,16602.04,0)</f>
        <v/>
      </c>
      <c r="AO20" s="20">
        <f>IF(AO10&gt;0,16602.04,0)</f>
        <v/>
      </c>
      <c r="AP20" s="20">
        <f>IF(AP10&gt;0,16602.04,0)</f>
        <v/>
      </c>
      <c r="AQ20" s="20">
        <f>IF(AQ10&gt;0,16602.04,0)</f>
        <v/>
      </c>
      <c r="AR20" s="20">
        <f>IF(AR10&gt;0,16602.04,0)</f>
        <v/>
      </c>
      <c r="AS20" s="20">
        <f>IF(AS10&gt;0,16602.04,0)</f>
        <v/>
      </c>
      <c r="AT20" s="20">
        <f>IF(AT10&gt;0,16602.04,0)</f>
        <v/>
      </c>
      <c r="AU20" s="20">
        <f>IF(AU10&gt;0,16602.04,0)</f>
        <v/>
      </c>
      <c r="AV20" s="20">
        <f>IF(AV10&gt;0,16602.04,0)</f>
        <v/>
      </c>
      <c r="AW20" s="20">
        <f>IF(AW10&gt;0,16602.04,0)</f>
        <v/>
      </c>
      <c r="AX20" s="20">
        <f>IF(AX10&gt;0,16602.04,0)</f>
        <v/>
      </c>
      <c r="AY20" s="20">
        <f>IF(AY10&gt;0,16602.04,0)</f>
        <v/>
      </c>
    </row>
    <row r="21">
      <c r="B21" s="18" t="inlineStr">
        <is>
          <t>MindBody Loan - LF</t>
        </is>
      </c>
      <c r="P21" s="19" t="n">
        <v>0</v>
      </c>
      <c r="Q21" s="19" t="n">
        <v>0</v>
      </c>
      <c r="R21" s="19" t="n">
        <v>0</v>
      </c>
      <c r="S21" s="19" t="n">
        <v>0</v>
      </c>
      <c r="T21" s="84" t="n">
        <v>0</v>
      </c>
      <c r="U21" s="20">
        <f>IF(U11&gt;0,12162.36,0)</f>
        <v/>
      </c>
      <c r="V21" s="20">
        <f>IF(V11&gt;0,12162.36,0)</f>
        <v/>
      </c>
      <c r="W21" s="20">
        <f>IF(W11&gt;0,12162.36,0)</f>
        <v/>
      </c>
      <c r="X21" s="20">
        <f>IF(X11&gt;0,12162.36,0)</f>
        <v/>
      </c>
      <c r="Y21" s="20">
        <f>IF(Y11&gt;0,12162.36,0)</f>
        <v/>
      </c>
      <c r="Z21" s="20">
        <f>IF(Z11&gt;0,12162.36,0)</f>
        <v/>
      </c>
      <c r="AA21" s="20">
        <f>IF(AA11&gt;0,12162.36,0)</f>
        <v/>
      </c>
      <c r="AB21" s="20">
        <f>IF(AB11&gt;0,12162.36,0)</f>
        <v/>
      </c>
      <c r="AC21" s="20">
        <f>IF(AC11&gt;0,12162.36,0)</f>
        <v/>
      </c>
      <c r="AD21" s="20">
        <f>IF(AD11&gt;0,12162.36,0)</f>
        <v/>
      </c>
      <c r="AE21" s="20">
        <f>IF(AE11&gt;0,12162.36,0)</f>
        <v/>
      </c>
      <c r="AF21" s="20">
        <f>IF(AF11&gt;0,12162.36,0)</f>
        <v/>
      </c>
      <c r="AG21" s="20">
        <f>IF(AG11&gt;0,12162.36,0)</f>
        <v/>
      </c>
      <c r="AH21" s="20">
        <f>IF(AH11&gt;0,12162.36,0)</f>
        <v/>
      </c>
      <c r="AI21" s="20">
        <f>IF(AI11&gt;0,12162.36,0)</f>
        <v/>
      </c>
      <c r="AJ21" s="20">
        <f>IF(AJ11&gt;0,12162.36,0)</f>
        <v/>
      </c>
      <c r="AK21" s="20">
        <f>IF(AK11&gt;0,12162.36,0)</f>
        <v/>
      </c>
      <c r="AL21" s="20">
        <f>IF(AL11&gt;0,12162.36,0)</f>
        <v/>
      </c>
      <c r="AM21" s="20">
        <f>IF(AM11&gt;0,12162.36,0)</f>
        <v/>
      </c>
      <c r="AN21" s="20">
        <f>IF(AN11&gt;0,12162.36,0)</f>
        <v/>
      </c>
      <c r="AO21" s="20">
        <f>IF(AO11&gt;0,12162.36,0)</f>
        <v/>
      </c>
      <c r="AP21" s="20">
        <f>IF(AP11&gt;0,12162.36,0)</f>
        <v/>
      </c>
      <c r="AQ21" s="20">
        <f>IF(AQ11&gt;0,12162.36,0)</f>
        <v/>
      </c>
      <c r="AR21" s="20">
        <f>IF(AR11&gt;0,12162.36,0)</f>
        <v/>
      </c>
      <c r="AS21" s="20">
        <f>IF(AS11&gt;0,12162.36,0)</f>
        <v/>
      </c>
      <c r="AT21" s="20">
        <f>IF(AT11&gt;0,12162.36,0)</f>
        <v/>
      </c>
      <c r="AU21" s="20">
        <f>IF(AU11&gt;0,12162.36,0)</f>
        <v/>
      </c>
      <c r="AV21" s="20">
        <f>IF(AV11&gt;0,12162.36,0)</f>
        <v/>
      </c>
      <c r="AW21" s="20">
        <f>IF(AW11&gt;0,12162.36,0)</f>
        <v/>
      </c>
      <c r="AX21" s="20">
        <f>IF(AX11&gt;0,12162.36,0)</f>
        <v/>
      </c>
      <c r="AY21" s="20">
        <f>IF(AY11&gt;0,12162.36,0)</f>
        <v/>
      </c>
    </row>
    <row r="22">
      <c r="B22" s="18" t="inlineStr">
        <is>
          <t>MindBody Loan - MR</t>
        </is>
      </c>
      <c r="P22" s="19" t="n">
        <v>0</v>
      </c>
      <c r="Q22" s="19" t="n">
        <v>0</v>
      </c>
      <c r="R22" s="19" t="n">
        <v>0</v>
      </c>
      <c r="S22" s="19" t="n">
        <v>0</v>
      </c>
      <c r="T22" s="84" t="n">
        <v>0</v>
      </c>
      <c r="U22" s="20">
        <f>IF(U12&gt;0,13157.16,0)</f>
        <v/>
      </c>
      <c r="V22" s="20">
        <f>IF(V12&gt;0,13157.16,0)</f>
        <v/>
      </c>
      <c r="W22" s="20">
        <f>IF(W12&gt;0,13157.16,0)</f>
        <v/>
      </c>
      <c r="X22" s="20">
        <f>IF(X12&gt;0,13157.16,0)</f>
        <v/>
      </c>
      <c r="Y22" s="20">
        <f>IF(Y12&gt;0,13157.16,0)</f>
        <v/>
      </c>
      <c r="Z22" s="20">
        <f>IF(Z12&gt;0,13157.16,0)</f>
        <v/>
      </c>
      <c r="AA22" s="20">
        <f>IF(AA12&gt;0,13157.16,0)</f>
        <v/>
      </c>
      <c r="AB22" s="20">
        <f>IF(AB12&gt;0,13157.16,0)</f>
        <v/>
      </c>
      <c r="AC22" s="20">
        <f>IF(AC12&gt;0,13157.16,0)</f>
        <v/>
      </c>
      <c r="AD22" s="20">
        <f>IF(AD12&gt;0,13157.16,0)</f>
        <v/>
      </c>
      <c r="AE22" s="20">
        <f>IF(AE12&gt;0,13157.16,0)</f>
        <v/>
      </c>
      <c r="AF22" s="20">
        <f>IF(AF12&gt;0,13157.16,0)</f>
        <v/>
      </c>
      <c r="AG22" s="20">
        <f>IF(AG12&gt;0,13157.16,0)</f>
        <v/>
      </c>
      <c r="AH22" s="20">
        <f>IF(AH12&gt;0,13157.16,0)</f>
        <v/>
      </c>
      <c r="AI22" s="20">
        <f>IF(AI12&gt;0,13157.16,0)</f>
        <v/>
      </c>
      <c r="AJ22" s="20">
        <f>IF(AJ12&gt;0,13157.16,0)</f>
        <v/>
      </c>
      <c r="AK22" s="20">
        <f>IF(AK12&gt;0,13157.16,0)</f>
        <v/>
      </c>
      <c r="AL22" s="20">
        <f>IF(AL12&gt;0,13157.16,0)</f>
        <v/>
      </c>
      <c r="AM22" s="20">
        <f>IF(AM12&gt;0,13157.16,0)</f>
        <v/>
      </c>
      <c r="AN22" s="20">
        <f>IF(AN12&gt;0,13157.16,0)</f>
        <v/>
      </c>
      <c r="AO22" s="20">
        <f>IF(AO12&gt;0,13157.16,0)</f>
        <v/>
      </c>
      <c r="AP22" s="20">
        <f>IF(AP12&gt;0,13157.16,0)</f>
        <v/>
      </c>
      <c r="AQ22" s="20">
        <f>IF(AQ12&gt;0,13157.16,0)</f>
        <v/>
      </c>
      <c r="AR22" s="20">
        <f>IF(AR12&gt;0,13157.16,0)</f>
        <v/>
      </c>
      <c r="AS22" s="20">
        <f>IF(AS12&gt;0,13157.16,0)</f>
        <v/>
      </c>
      <c r="AT22" s="20">
        <f>IF(AT12&gt;0,13157.16,0)</f>
        <v/>
      </c>
      <c r="AU22" s="20">
        <f>IF(AU12&gt;0,13157.16,0)</f>
        <v/>
      </c>
      <c r="AV22" s="20">
        <f>IF(AV12&gt;0,13157.16,0)</f>
        <v/>
      </c>
      <c r="AW22" s="20">
        <f>IF(AW12&gt;0,13157.16,0)</f>
        <v/>
      </c>
      <c r="AX22" s="20">
        <f>IF(AX12&gt;0,13157.16,0)</f>
        <v/>
      </c>
      <c r="AY22" s="20">
        <f>IF(AY12&gt;0,13157.16,0)</f>
        <v/>
      </c>
    </row>
    <row r="23">
      <c r="B23" s="18" t="inlineStr">
        <is>
          <t>Samson Loan</t>
        </is>
      </c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94517.10000000001</v>
      </c>
      <c r="U23" s="20">
        <f>IF(U13&gt;0,25460.22,0)</f>
        <v/>
      </c>
      <c r="V23" s="20">
        <f>IF(V13&gt;0,25460.22,0)</f>
        <v/>
      </c>
      <c r="W23" s="20">
        <f>IF(W13&gt;0,25460.22,0)</f>
        <v/>
      </c>
      <c r="X23" s="20">
        <f>IF(X13&gt;0,25460.22,0)</f>
        <v/>
      </c>
      <c r="Y23" s="20">
        <f>IF(Y13&gt;0,25460.22,0)</f>
        <v/>
      </c>
      <c r="Z23" s="20">
        <f>IF(Z13&gt;0,25460.22,0)</f>
        <v/>
      </c>
      <c r="AA23" s="20">
        <f>IF(AA13&gt;0,25460.22,0)</f>
        <v/>
      </c>
      <c r="AB23" s="20">
        <f>IF(AB13&gt;0,25460.22,0)</f>
        <v/>
      </c>
      <c r="AC23" s="20">
        <f>IF(AC13&gt;0,25460.22,0)</f>
        <v/>
      </c>
      <c r="AD23" s="20">
        <f>IF(AD13&gt;0,25460.22,0)</f>
        <v/>
      </c>
      <c r="AE23" s="20">
        <f>IF(AE13&gt;0,25460.22,0)</f>
        <v/>
      </c>
      <c r="AF23" s="20">
        <f>IF(AF13&gt;0,25460.22,0)</f>
        <v/>
      </c>
      <c r="AG23" s="20">
        <f>IF(AG13&gt;0,25460.22,0)</f>
        <v/>
      </c>
      <c r="AH23" s="20">
        <f>IF(AH13&gt;0,25460.22,0)</f>
        <v/>
      </c>
      <c r="AI23" s="20">
        <f>IF(AI13&gt;0,25460.22,0)</f>
        <v/>
      </c>
      <c r="AJ23" s="20">
        <f>IF(AJ13&gt;0,25460.22,0)</f>
        <v/>
      </c>
      <c r="AK23" s="20">
        <f>IF(AK13&gt;0,25460.22,0)</f>
        <v/>
      </c>
      <c r="AL23" s="20">
        <f>IF(AL13&gt;0,25460.22,0)</f>
        <v/>
      </c>
      <c r="AM23" s="20">
        <f>IF(AM13&gt;0,25460.22,0)</f>
        <v/>
      </c>
      <c r="AN23" s="20">
        <f>IF(AN13&gt;0,25460.22,0)</f>
        <v/>
      </c>
      <c r="AO23" s="20">
        <f>IF(AO13&gt;0,25460.22,0)</f>
        <v/>
      </c>
      <c r="AP23" s="20">
        <f>IF(AP13&gt;0,25460.22,0)</f>
        <v/>
      </c>
      <c r="AQ23" s="20">
        <f>IF(AQ13&gt;0,25460.22,0)</f>
        <v/>
      </c>
      <c r="AR23" s="20">
        <f>IF(AR13&gt;0,25460.22,0)</f>
        <v/>
      </c>
      <c r="AS23" s="20">
        <f>IF(AS13&gt;0,25460.22,0)</f>
        <v/>
      </c>
      <c r="AT23" s="20">
        <f>IF(AT13&gt;0,25460.22,0)</f>
        <v/>
      </c>
      <c r="AU23" s="20">
        <f>IF(AU13&gt;0,25460.22,0)</f>
        <v/>
      </c>
      <c r="AV23" s="20">
        <f>IF(AV13&gt;0,25460.22,0)</f>
        <v/>
      </c>
      <c r="AW23" s="20">
        <f>IF(AW13&gt;0,25460.22,0)</f>
        <v/>
      </c>
      <c r="AX23" s="20">
        <f>IF(AX13&gt;0,25460.22,0)</f>
        <v/>
      </c>
      <c r="AY23" s="20">
        <f>IF(AY13&gt;0,25460.22,0)</f>
        <v/>
      </c>
    </row>
    <row r="24">
      <c r="B24" s="18" t="inlineStr">
        <is>
          <t>Specialty Capital Loan</t>
        </is>
      </c>
      <c r="P24" s="19" t="n">
        <v>0</v>
      </c>
      <c r="Q24" s="19" t="n">
        <v>0</v>
      </c>
      <c r="R24" s="19" t="n">
        <v>0</v>
      </c>
      <c r="S24" s="19" t="n">
        <v>0</v>
      </c>
      <c r="T24" s="84" t="n">
        <v>90052.62</v>
      </c>
      <c r="U24" s="20">
        <f>IF(U14&gt;0,25888.16,0)</f>
        <v/>
      </c>
      <c r="V24" s="20">
        <f>IF(V14&gt;0,25888.16,0)</f>
        <v/>
      </c>
      <c r="W24" s="20">
        <f>IF(W14&gt;0,25888.16,0)</f>
        <v/>
      </c>
      <c r="X24" s="20">
        <f>IF(X14&gt;0,25888.16,0)</f>
        <v/>
      </c>
      <c r="Y24" s="20">
        <f>IF(Y14&gt;0,25888.16,0)</f>
        <v/>
      </c>
      <c r="Z24" s="20">
        <f>IF(Z14&gt;0,25888.16,0)</f>
        <v/>
      </c>
      <c r="AA24" s="20">
        <f>IF(AA14&gt;0,25888.16,0)</f>
        <v/>
      </c>
      <c r="AB24" s="20">
        <f>IF(AB14&gt;0,25888.16,0)</f>
        <v/>
      </c>
      <c r="AC24" s="20">
        <f>IF(AC14&gt;0,25888.16,0)</f>
        <v/>
      </c>
      <c r="AD24" s="20">
        <f>IF(AD14&gt;0,25888.16,0)</f>
        <v/>
      </c>
      <c r="AE24" s="20">
        <f>IF(AE14&gt;0,25888.16,0)</f>
        <v/>
      </c>
      <c r="AF24" s="20">
        <f>IF(AF14&gt;0,25888.16,0)</f>
        <v/>
      </c>
      <c r="AG24" s="20">
        <f>IF(AG14&gt;0,25888.16,0)</f>
        <v/>
      </c>
      <c r="AH24" s="20">
        <f>IF(AH14&gt;0,25888.16,0)</f>
        <v/>
      </c>
      <c r="AI24" s="20">
        <f>IF(AI14&gt;0,25888.16,0)</f>
        <v/>
      </c>
      <c r="AJ24" s="20">
        <f>IF(AJ14&gt;0,25888.16,0)</f>
        <v/>
      </c>
      <c r="AK24" s="20">
        <f>IF(AK14&gt;0,25888.16,0)</f>
        <v/>
      </c>
      <c r="AL24" s="20">
        <f>IF(AL14&gt;0,25888.16,0)</f>
        <v/>
      </c>
      <c r="AM24" s="20">
        <f>IF(AM14&gt;0,25888.16,0)</f>
        <v/>
      </c>
      <c r="AN24" s="20">
        <f>IF(AN14&gt;0,25888.16,0)</f>
        <v/>
      </c>
      <c r="AO24" s="20">
        <f>IF(AO14&gt;0,25888.16,0)</f>
        <v/>
      </c>
      <c r="AP24" s="20">
        <f>IF(AP14&gt;0,25888.16,0)</f>
        <v/>
      </c>
      <c r="AQ24" s="20">
        <f>IF(AQ14&gt;0,25888.16,0)</f>
        <v/>
      </c>
      <c r="AR24" s="20">
        <f>IF(AR14&gt;0,25888.16,0)</f>
        <v/>
      </c>
      <c r="AS24" s="20">
        <f>IF(AS14&gt;0,25888.16,0)</f>
        <v/>
      </c>
      <c r="AT24" s="20">
        <f>IF(AT14&gt;0,25888.16,0)</f>
        <v/>
      </c>
      <c r="AU24" s="20">
        <f>IF(AU14&gt;0,25888.16,0)</f>
        <v/>
      </c>
      <c r="AV24" s="20">
        <f>IF(AV14&gt;0,25888.16,0)</f>
        <v/>
      </c>
      <c r="AW24" s="20">
        <f>IF(AW14&gt;0,25888.16,0)</f>
        <v/>
      </c>
      <c r="AX24" s="20">
        <f>IF(AX14&gt;0,25888.16,0)</f>
        <v/>
      </c>
      <c r="AY24" s="20">
        <f>IF(AY14&gt;0,25888.16,0)</f>
        <v/>
      </c>
    </row>
    <row r="25">
      <c r="B25" s="18" t="inlineStr">
        <is>
          <t>Norbrook Inc Loan</t>
        </is>
      </c>
      <c r="P25" s="19" t="n">
        <v>0</v>
      </c>
      <c r="Q25" s="19" t="n">
        <v>0</v>
      </c>
      <c r="R25" s="19" t="n">
        <v>0</v>
      </c>
      <c r="S25" s="19" t="n">
        <v>0</v>
      </c>
      <c r="T25" s="84" t="n">
        <v>0</v>
      </c>
      <c r="U25" s="20">
        <f>U15*0.08/12</f>
        <v/>
      </c>
      <c r="V25" s="20">
        <f>V15*0.08/12</f>
        <v/>
      </c>
      <c r="W25" s="20">
        <f>W15*0.08/12</f>
        <v/>
      </c>
      <c r="X25" s="20">
        <f>X15*0.08/12</f>
        <v/>
      </c>
      <c r="Y25" s="20">
        <f>Y15*0.08/12</f>
        <v/>
      </c>
      <c r="Z25" s="20">
        <f>Z15*0.08/12</f>
        <v/>
      </c>
      <c r="AA25" s="20">
        <f>AA15*0.08/12</f>
        <v/>
      </c>
      <c r="AB25" s="20">
        <f>AB15*0.08/12</f>
        <v/>
      </c>
      <c r="AC25" s="20">
        <f>AC15*0.08/12</f>
        <v/>
      </c>
      <c r="AD25" s="20">
        <f>AD15*0.08/12</f>
        <v/>
      </c>
      <c r="AE25" s="20">
        <f>AE15*0.08/12</f>
        <v/>
      </c>
      <c r="AF25" s="20">
        <f>AF15*0.08/12</f>
        <v/>
      </c>
      <c r="AG25" s="20">
        <f>AG15*0.08/12</f>
        <v/>
      </c>
      <c r="AH25" s="20">
        <f>AH15*0.08/12</f>
        <v/>
      </c>
      <c r="AI25" s="20">
        <f>AI15*0.08/12</f>
        <v/>
      </c>
      <c r="AJ25" s="20">
        <f>AJ15*0.08/12</f>
        <v/>
      </c>
      <c r="AK25" s="20">
        <f>AK15*0.08/12</f>
        <v/>
      </c>
      <c r="AL25" s="20">
        <f>AL15*0.08/12</f>
        <v/>
      </c>
      <c r="AM25" s="20">
        <f>AM15*0.08/12</f>
        <v/>
      </c>
      <c r="AN25" s="20">
        <f>AN15*0.08/12</f>
        <v/>
      </c>
      <c r="AO25" s="20">
        <f>AO15*0.08/12</f>
        <v/>
      </c>
      <c r="AP25" s="20">
        <f>AP15*0.08/12</f>
        <v/>
      </c>
      <c r="AQ25" s="20">
        <f>AQ15*0.08/12</f>
        <v/>
      </c>
      <c r="AR25" s="20">
        <f>AR15*0.08/12</f>
        <v/>
      </c>
      <c r="AS25" s="20">
        <f>AS15*0.08/12</f>
        <v/>
      </c>
      <c r="AT25" s="20">
        <f>AT15*0.08/12</f>
        <v/>
      </c>
      <c r="AU25" s="20">
        <f>AU15*0.08/12</f>
        <v/>
      </c>
      <c r="AV25" s="20">
        <f>AV15*0.08/12</f>
        <v/>
      </c>
      <c r="AW25" s="20">
        <f>AW15*0.08/12</f>
        <v/>
      </c>
      <c r="AX25" s="20">
        <f>AX15*0.08/12</f>
        <v/>
      </c>
      <c r="AY25" s="20">
        <f>AY15*0.08/12</f>
        <v/>
      </c>
    </row>
    <row r="26">
      <c r="B26" s="15" t="inlineStr">
        <is>
          <t>TOTAL DEBT SERVICE</t>
        </is>
      </c>
      <c r="P26" s="17">
        <f>SUM(P19:P25)</f>
        <v/>
      </c>
      <c r="Q26" s="17">
        <f>SUM(Q19:Q25)</f>
        <v/>
      </c>
      <c r="R26" s="17">
        <f>SUM(R19:R25)</f>
        <v/>
      </c>
      <c r="S26" s="17">
        <f>SUM(S19:S25)</f>
        <v/>
      </c>
      <c r="T26" s="17">
        <f>SUM(T19:T25)</f>
        <v/>
      </c>
      <c r="U26" s="17">
        <f>SUM(U19:U25)</f>
        <v/>
      </c>
      <c r="V26" s="17">
        <f>SUM(V19:V25)</f>
        <v/>
      </c>
      <c r="W26" s="17">
        <f>SUM(W19:W25)</f>
        <v/>
      </c>
      <c r="X26" s="17">
        <f>SUM(X19:X25)</f>
        <v/>
      </c>
      <c r="Y26" s="17">
        <f>SUM(Y19:Y25)</f>
        <v/>
      </c>
      <c r="Z26" s="17">
        <f>SUM(Z19:Z25)</f>
        <v/>
      </c>
      <c r="AA26" s="17">
        <f>SUM(AA19:AA25)</f>
        <v/>
      </c>
      <c r="AB26" s="17">
        <f>SUM(AB19:AB25)</f>
        <v/>
      </c>
      <c r="AC26" s="17">
        <f>SUM(AC19:AC25)</f>
        <v/>
      </c>
      <c r="AD26" s="17">
        <f>SUM(AD19:AD25)</f>
        <v/>
      </c>
      <c r="AE26" s="17">
        <f>SUM(AE19:AE25)</f>
        <v/>
      </c>
      <c r="AF26" s="17">
        <f>SUM(AF19:AF25)</f>
        <v/>
      </c>
      <c r="AG26" s="17">
        <f>SUM(AG19:AG25)</f>
        <v/>
      </c>
      <c r="AH26" s="17">
        <f>SUM(AH19:AH25)</f>
        <v/>
      </c>
      <c r="AI26" s="17">
        <f>SUM(AI19:AI25)</f>
        <v/>
      </c>
      <c r="AJ26" s="17">
        <f>SUM(AJ19:AJ25)</f>
        <v/>
      </c>
      <c r="AK26" s="17">
        <f>SUM(AK19:AK25)</f>
        <v/>
      </c>
      <c r="AL26" s="17">
        <f>SUM(AL19:AL25)</f>
        <v/>
      </c>
      <c r="AM26" s="17">
        <f>SUM(AM19:AM25)</f>
        <v/>
      </c>
      <c r="AN26" s="17">
        <f>SUM(AN19:AN25)</f>
        <v/>
      </c>
      <c r="AO26" s="17">
        <f>SUM(AO19:AO25)</f>
        <v/>
      </c>
      <c r="AP26" s="17">
        <f>SUM(AP19:AP25)</f>
        <v/>
      </c>
      <c r="AQ26" s="17">
        <f>SUM(AQ19:AQ25)</f>
        <v/>
      </c>
      <c r="AR26" s="17">
        <f>SUM(AR19:AR25)</f>
        <v/>
      </c>
      <c r="AS26" s="17">
        <f>SUM(AS19:AS25)</f>
        <v/>
      </c>
      <c r="AT26" s="17">
        <f>SUM(AT19:AT25)</f>
        <v/>
      </c>
      <c r="AU26" s="17">
        <f>SUM(AU19:AU25)</f>
        <v/>
      </c>
      <c r="AV26" s="17">
        <f>SUM(AV19:AV25)</f>
        <v/>
      </c>
      <c r="AW26" s="17">
        <f>SUM(AW19:AW25)</f>
        <v/>
      </c>
      <c r="AX26" s="17">
        <f>SUM(AX19:AX25)</f>
        <v/>
      </c>
      <c r="AY26" s="17">
        <f>SUM(AY19:AY25)</f>
        <v/>
      </c>
    </row>
    <row r="28" ht="16.05" customHeight="1" s="142">
      <c r="B28" s="10" t="inlineStr">
        <is>
          <t>OWNER EQUITY / INTERCOMPANY</t>
        </is>
      </c>
      <c r="C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</row>
    <row r="29">
      <c r="B29" s="15" t="inlineStr">
        <is>
          <t>Intercompany Net Position</t>
        </is>
      </c>
      <c r="P29" s="19" t="n">
        <v>224773.04</v>
      </c>
      <c r="Q29" s="19" t="n">
        <v>224773.04</v>
      </c>
      <c r="R29" s="19" t="n">
        <v>358106.37</v>
      </c>
      <c r="S29" s="19" t="n">
        <v>436439.7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B2:BF58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2" customWidth="1" style="142" min="3" max="39"/>
    <col width="10.265625" bestFit="1" customWidth="1" style="142" min="40" max="51"/>
    <col width="9.265625" customWidth="1" style="142" min="53" max="53"/>
    <col width="10.86328125" bestFit="1" customWidth="1" style="142" min="54" max="56"/>
    <col width="11.796875" bestFit="1" customWidth="1" style="142" min="58" max="58"/>
  </cols>
  <sheetData>
    <row r="2" ht="21" customHeight="1" s="142">
      <c r="B2" s="9" t="inlineStr">
        <is>
          <t>Cash Flow Forecast</t>
        </is>
      </c>
    </row>
    <row r="3">
      <c r="B3" s="3" t="inlineStr">
        <is>
          <t>Actuals: Jan-Apr 2026 (light green). Forecast: May 2026 onwards. Net Change formulas sum operations + investing + financing.</t>
        </is>
      </c>
    </row>
    <row r="4" ht="16.05" customHeight="1" s="142">
      <c r="B4" s="10" t="inlineStr">
        <is>
          <t>Monthly Cash Flow</t>
        </is>
      </c>
      <c r="C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BA4" s="11" t="n"/>
      <c r="BB4" s="11" t="n"/>
      <c r="BC4" s="11" t="n"/>
      <c r="BD4" s="11" t="n"/>
      <c r="BF4" s="11" t="n"/>
    </row>
    <row r="5">
      <c r="B5" s="12" t="inlineStr">
        <is>
          <t>Line Item</t>
        </is>
      </c>
      <c r="C5" s="14" t="inlineStr">
        <is>
          <t>Annual Total</t>
        </is>
      </c>
      <c r="D5" t="inlineStr">
        <is>
          <t>Jan 2025</t>
        </is>
      </c>
      <c r="E5" t="inlineStr">
        <is>
          <t>Feb 2025</t>
        </is>
      </c>
      <c r="F5" t="inlineStr">
        <is>
          <t>Mar 2025</t>
        </is>
      </c>
      <c r="G5" t="inlineStr">
        <is>
          <t>Apr 2025</t>
        </is>
      </c>
      <c r="H5" t="inlineStr">
        <is>
          <t>May 2025</t>
        </is>
      </c>
      <c r="I5" t="inlineStr">
        <is>
          <t>Jun 2025</t>
        </is>
      </c>
      <c r="J5" t="inlineStr">
        <is>
          <t>Jul 2025</t>
        </is>
      </c>
      <c r="K5" t="inlineStr">
        <is>
          <t>Aug 2025</t>
        </is>
      </c>
      <c r="L5" t="inlineStr">
        <is>
          <t>Sep 2025</t>
        </is>
      </c>
      <c r="M5" t="inlineStr">
        <is>
          <t>Oct 2025</t>
        </is>
      </c>
      <c r="N5" t="inlineStr">
        <is>
          <t>Nov 2025</t>
        </is>
      </c>
      <c r="O5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  <c r="BA5" s="155" t="n">
        <v>2025</v>
      </c>
      <c r="BB5" s="156">
        <f>BA5+1</f>
        <v/>
      </c>
      <c r="BC5" s="156">
        <f>BB5+1</f>
        <v/>
      </c>
      <c r="BD5" s="156">
        <f>BC5+1</f>
        <v/>
      </c>
      <c r="BF5" s="155" t="inlineStr">
        <is>
          <t>LTM May 2026</t>
        </is>
      </c>
    </row>
    <row r="6" ht="16.05" customHeight="1" s="142">
      <c r="B6" s="10" t="inlineStr">
        <is>
          <t>CASH INFLOWS</t>
        </is>
      </c>
      <c r="C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15" t="inlineStr">
        <is>
          <t>Total Cash Sales</t>
        </is>
      </c>
      <c r="P7" s="65">
        <f>'Sales Forecast'!P18</f>
        <v/>
      </c>
      <c r="Q7" s="65">
        <f>'Sales Forecast'!Q18</f>
        <v/>
      </c>
      <c r="R7" s="65">
        <f>'Sales Forecast'!R18</f>
        <v/>
      </c>
      <c r="S7" s="65">
        <f>'Sales Forecast'!S18</f>
        <v/>
      </c>
      <c r="T7" s="85">
        <f>'Sales Forecast'!T18</f>
        <v/>
      </c>
      <c r="U7" s="37">
        <f>'Sales Forecast'!U18</f>
        <v/>
      </c>
      <c r="V7" s="37">
        <f>'Sales Forecast'!V18</f>
        <v/>
      </c>
      <c r="W7" s="37">
        <f>'Sales Forecast'!W18</f>
        <v/>
      </c>
      <c r="X7" s="37">
        <f>'Sales Forecast'!X18</f>
        <v/>
      </c>
      <c r="Y7" s="37">
        <f>'Sales Forecast'!Y18</f>
        <v/>
      </c>
      <c r="Z7" s="37">
        <f>'Sales Forecast'!Z18</f>
        <v/>
      </c>
      <c r="AA7" s="37">
        <f>'Sales Forecast'!AA18</f>
        <v/>
      </c>
      <c r="AB7" s="37">
        <f>'Sales Forecast'!AB18</f>
        <v/>
      </c>
      <c r="AC7" s="37">
        <f>'Sales Forecast'!AC18</f>
        <v/>
      </c>
      <c r="AD7" s="37">
        <f>'Sales Forecast'!AD18</f>
        <v/>
      </c>
      <c r="AE7" s="37">
        <f>'Sales Forecast'!AE18</f>
        <v/>
      </c>
      <c r="AF7" s="37">
        <f>'Sales Forecast'!AF18</f>
        <v/>
      </c>
      <c r="AG7" s="37">
        <f>'Sales Forecast'!AG18</f>
        <v/>
      </c>
      <c r="AH7" s="37">
        <f>'Sales Forecast'!AH18</f>
        <v/>
      </c>
      <c r="AI7" s="37">
        <f>'Sales Forecast'!AI18</f>
        <v/>
      </c>
      <c r="AJ7" s="37">
        <f>'Sales Forecast'!AJ18</f>
        <v/>
      </c>
      <c r="AK7" s="37">
        <f>'Sales Forecast'!AK18</f>
        <v/>
      </c>
      <c r="AL7" s="37">
        <f>'Sales Forecast'!AL18</f>
        <v/>
      </c>
      <c r="AM7" s="37">
        <f>'Sales Forecast'!AM18</f>
        <v/>
      </c>
      <c r="AN7" s="37">
        <f>'Sales Forecast'!AN18</f>
        <v/>
      </c>
      <c r="AO7" s="37">
        <f>'Sales Forecast'!AO18</f>
        <v/>
      </c>
      <c r="AP7" s="37">
        <f>'Sales Forecast'!AP18</f>
        <v/>
      </c>
      <c r="AQ7" s="37">
        <f>'Sales Forecast'!AQ18</f>
        <v/>
      </c>
      <c r="AR7" s="37">
        <f>'Sales Forecast'!AR18</f>
        <v/>
      </c>
      <c r="AS7" s="37">
        <f>'Sales Forecast'!AS18</f>
        <v/>
      </c>
      <c r="AT7" s="37">
        <f>'Sales Forecast'!AT18</f>
        <v/>
      </c>
      <c r="AU7" s="37">
        <f>'Sales Forecast'!AU18</f>
        <v/>
      </c>
      <c r="AV7" s="37">
        <f>'Sales Forecast'!AV18</f>
        <v/>
      </c>
      <c r="AW7" s="37">
        <f>'Sales Forecast'!AW18</f>
        <v/>
      </c>
      <c r="AX7" s="37">
        <f>'Sales Forecast'!AX18</f>
        <v/>
      </c>
      <c r="AY7" s="37">
        <f>'Sales Forecast'!AY18</f>
        <v/>
      </c>
    </row>
    <row r="9" ht="16.05" customHeight="1" s="142">
      <c r="B9" s="10" t="inlineStr">
        <is>
          <t>OPERATING OUTFLOWS</t>
        </is>
      </c>
      <c r="C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</row>
    <row r="10">
      <c r="B10" s="18" t="inlineStr">
        <is>
          <t>Property Costs</t>
        </is>
      </c>
      <c r="P10" s="19" t="n">
        <v>147113.46</v>
      </c>
      <c r="Q10" s="19" t="n">
        <v>146344.65</v>
      </c>
      <c r="R10" s="19" t="n">
        <v>147382.66</v>
      </c>
      <c r="S10" s="19" t="n">
        <v>148059.43</v>
      </c>
      <c r="T10" s="31" t="n">
        <v>147112.25</v>
      </c>
      <c r="U10" s="31" t="n">
        <v>147112.25</v>
      </c>
      <c r="V10" s="31" t="n">
        <v>147112.25</v>
      </c>
      <c r="W10" s="31" t="n">
        <v>147112.25</v>
      </c>
      <c r="X10" s="31" t="n">
        <v>147112.25</v>
      </c>
      <c r="Y10" s="31" t="n">
        <v>147112.25</v>
      </c>
      <c r="Z10" s="31" t="n">
        <v>147112.25</v>
      </c>
      <c r="AA10" s="31" t="n">
        <v>147112.25</v>
      </c>
      <c r="AB10" s="31" t="n">
        <v>151525.62</v>
      </c>
      <c r="AC10" s="31" t="n">
        <v>151525.62</v>
      </c>
      <c r="AD10" s="31" t="n">
        <v>151525.62</v>
      </c>
      <c r="AE10" s="31" t="n">
        <v>151525.62</v>
      </c>
      <c r="AF10" s="31" t="n">
        <v>151525.62</v>
      </c>
      <c r="AG10" s="31" t="n">
        <v>151525.62</v>
      </c>
      <c r="AH10" s="31" t="n">
        <v>151525.62</v>
      </c>
      <c r="AI10" s="31" t="n">
        <v>151525.62</v>
      </c>
      <c r="AJ10" s="31" t="n">
        <v>151525.62</v>
      </c>
      <c r="AK10" s="31" t="n">
        <v>151525.62</v>
      </c>
      <c r="AL10" s="31" t="n">
        <v>151525.62</v>
      </c>
      <c r="AM10" s="31" t="n">
        <v>151525.62</v>
      </c>
      <c r="AN10" s="31" t="n">
        <v>156071.4</v>
      </c>
      <c r="AO10" s="31" t="n">
        <v>156071.4</v>
      </c>
      <c r="AP10" s="31" t="n">
        <v>156071.4</v>
      </c>
      <c r="AQ10" s="31" t="n">
        <v>156071.4</v>
      </c>
      <c r="AR10" s="31" t="n">
        <v>156071.4</v>
      </c>
      <c r="AS10" s="31" t="n">
        <v>156071.4</v>
      </c>
      <c r="AT10" s="31" t="n">
        <v>156071.4</v>
      </c>
      <c r="AU10" s="31" t="n">
        <v>156071.4</v>
      </c>
      <c r="AV10" s="31" t="n">
        <v>156071.4</v>
      </c>
      <c r="AW10" s="31" t="n">
        <v>156071.4</v>
      </c>
      <c r="AX10" s="31" t="n">
        <v>156071.4</v>
      </c>
      <c r="AY10" s="31" t="n">
        <v>156071.4</v>
      </c>
    </row>
    <row r="11">
      <c r="B11" s="18" t="inlineStr">
        <is>
          <t>Staff Costs</t>
        </is>
      </c>
      <c r="P11" s="19" t="n">
        <v>681232.98</v>
      </c>
      <c r="Q11" s="19" t="n">
        <v>590412.0599999999</v>
      </c>
      <c r="R11" s="19" t="n">
        <v>628953.8100000001</v>
      </c>
      <c r="S11" s="19" t="n">
        <v>576480.9800000001</v>
      </c>
      <c r="T11" s="31" t="n">
        <v>598615.6099999999</v>
      </c>
      <c r="U11" s="31" t="n">
        <v>598615.6099999999</v>
      </c>
      <c r="V11" s="31" t="n">
        <v>598615.6099999999</v>
      </c>
      <c r="W11" s="31" t="n">
        <v>598615.6099999999</v>
      </c>
      <c r="X11" s="31" t="n">
        <v>598615.6099999999</v>
      </c>
      <c r="Y11" s="31" t="n">
        <v>598615.6099999999</v>
      </c>
      <c r="Z11" s="31" t="n">
        <v>598615.6099999999</v>
      </c>
      <c r="AA11" s="31" t="n">
        <v>598615.6099999999</v>
      </c>
      <c r="AB11" s="31" t="n">
        <v>622560.2300000001</v>
      </c>
      <c r="AC11" s="31" t="n">
        <v>622560.2300000001</v>
      </c>
      <c r="AD11" s="31" t="n">
        <v>622560.2300000001</v>
      </c>
      <c r="AE11" s="31" t="n">
        <v>622560.2300000001</v>
      </c>
      <c r="AF11" s="31" t="n">
        <v>622560.2300000001</v>
      </c>
      <c r="AG11" s="31" t="n">
        <v>622560.2300000001</v>
      </c>
      <c r="AH11" s="31" t="n">
        <v>622560.2300000001</v>
      </c>
      <c r="AI11" s="31" t="n">
        <v>622560.2300000001</v>
      </c>
      <c r="AJ11" s="31" t="n">
        <v>622560.2300000001</v>
      </c>
      <c r="AK11" s="31" t="n">
        <v>622560.2300000001</v>
      </c>
      <c r="AL11" s="31" t="n">
        <v>622560.2300000001</v>
      </c>
      <c r="AM11" s="31" t="n">
        <v>622560.2300000001</v>
      </c>
      <c r="AN11" s="31" t="n">
        <v>647462.64</v>
      </c>
      <c r="AO11" s="31" t="n">
        <v>647462.64</v>
      </c>
      <c r="AP11" s="31" t="n">
        <v>647462.64</v>
      </c>
      <c r="AQ11" s="31" t="n">
        <v>647462.64</v>
      </c>
      <c r="AR11" s="31" t="n">
        <v>647462.64</v>
      </c>
      <c r="AS11" s="31" t="n">
        <v>647462.64</v>
      </c>
      <c r="AT11" s="31" t="n">
        <v>647462.64</v>
      </c>
      <c r="AU11" s="31" t="n">
        <v>647462.64</v>
      </c>
      <c r="AV11" s="31" t="n">
        <v>647462.64</v>
      </c>
      <c r="AW11" s="31" t="n">
        <v>647462.64</v>
      </c>
      <c r="AX11" s="31" t="n">
        <v>647462.64</v>
      </c>
      <c r="AY11" s="31" t="n">
        <v>647462.64</v>
      </c>
    </row>
    <row r="12">
      <c r="B12" s="18" t="inlineStr">
        <is>
          <t>Utilities</t>
        </is>
      </c>
      <c r="P12" s="19" t="n">
        <v>7087.42</v>
      </c>
      <c r="Q12" s="19" t="n">
        <v>9973.09</v>
      </c>
      <c r="R12" s="19" t="n">
        <v>7034.72</v>
      </c>
      <c r="S12" s="19" t="n">
        <v>7270.22</v>
      </c>
      <c r="T12" s="31" t="n">
        <v>8720.110000000001</v>
      </c>
      <c r="U12" s="31" t="n">
        <v>8720.110000000001</v>
      </c>
      <c r="V12" s="31" t="n">
        <v>8720.110000000001</v>
      </c>
      <c r="W12" s="31" t="n">
        <v>8720.110000000001</v>
      </c>
      <c r="X12" s="31" t="n">
        <v>8720.110000000001</v>
      </c>
      <c r="Y12" s="31" t="n">
        <v>8720.110000000001</v>
      </c>
      <c r="Z12" s="31" t="n">
        <v>8720.110000000001</v>
      </c>
      <c r="AA12" s="31" t="n">
        <v>8720.110000000001</v>
      </c>
      <c r="AB12" s="31" t="n">
        <v>9043.820000000002</v>
      </c>
      <c r="AC12" s="31" t="n">
        <v>9043.820000000002</v>
      </c>
      <c r="AD12" s="31" t="n">
        <v>9043.820000000002</v>
      </c>
      <c r="AE12" s="31" t="n">
        <v>9043.820000000002</v>
      </c>
      <c r="AF12" s="31" t="n">
        <v>9043.820000000002</v>
      </c>
      <c r="AG12" s="31" t="n">
        <v>9043.820000000002</v>
      </c>
      <c r="AH12" s="31" t="n">
        <v>9043.820000000002</v>
      </c>
      <c r="AI12" s="31" t="n">
        <v>9043.820000000002</v>
      </c>
      <c r="AJ12" s="31" t="n">
        <v>9043.820000000002</v>
      </c>
      <c r="AK12" s="31" t="n">
        <v>9043.820000000002</v>
      </c>
      <c r="AL12" s="31" t="n">
        <v>9043.820000000002</v>
      </c>
      <c r="AM12" s="31" t="n">
        <v>9043.820000000002</v>
      </c>
      <c r="AN12" s="31" t="n">
        <v>9380.480000000001</v>
      </c>
      <c r="AO12" s="31" t="n">
        <v>9380.480000000001</v>
      </c>
      <c r="AP12" s="31" t="n">
        <v>8753.050000000001</v>
      </c>
      <c r="AQ12" s="31" t="n">
        <v>8753.050000000001</v>
      </c>
      <c r="AR12" s="31" t="n">
        <v>8753.050000000001</v>
      </c>
      <c r="AS12" s="31" t="n">
        <v>8753.050000000001</v>
      </c>
      <c r="AT12" s="31" t="n">
        <v>8753.050000000001</v>
      </c>
      <c r="AU12" s="31" t="n">
        <v>8753.050000000001</v>
      </c>
      <c r="AV12" s="31" t="n">
        <v>8753.050000000001</v>
      </c>
      <c r="AW12" s="31" t="n">
        <v>8753.050000000001</v>
      </c>
      <c r="AX12" s="31" t="n">
        <v>8753.050000000001</v>
      </c>
      <c r="AY12" s="31" t="n">
        <v>8753.050000000001</v>
      </c>
    </row>
    <row r="13">
      <c r="B13" s="18" t="inlineStr">
        <is>
          <t>Marketing &amp; Promotion</t>
        </is>
      </c>
      <c r="P13" s="19" t="n">
        <v>27740.18</v>
      </c>
      <c r="Q13" s="19" t="n">
        <v>27007.49</v>
      </c>
      <c r="R13" s="19" t="n">
        <v>16681.8</v>
      </c>
      <c r="S13" s="19" t="n">
        <v>5975.58</v>
      </c>
      <c r="T13" s="31" t="n">
        <v>16948.9</v>
      </c>
      <c r="U13" s="31" t="n">
        <v>16948.9</v>
      </c>
      <c r="V13" s="31" t="n">
        <v>16948.9</v>
      </c>
      <c r="W13" s="31" t="n">
        <v>16948.9</v>
      </c>
      <c r="X13" s="31" t="n">
        <v>16948.9</v>
      </c>
      <c r="Y13" s="31" t="n">
        <v>16948.9</v>
      </c>
      <c r="Z13" s="31" t="n">
        <v>16948.9</v>
      </c>
      <c r="AA13" s="31" t="n">
        <v>16948.9</v>
      </c>
      <c r="AB13" s="31" t="n">
        <v>17626.86</v>
      </c>
      <c r="AC13" s="31" t="n">
        <v>17626.86</v>
      </c>
      <c r="AD13" s="31" t="n">
        <v>17626.86</v>
      </c>
      <c r="AE13" s="31" t="n">
        <v>17626.86</v>
      </c>
      <c r="AF13" s="31" t="n">
        <v>17626.86</v>
      </c>
      <c r="AG13" s="31" t="n">
        <v>17626.86</v>
      </c>
      <c r="AH13" s="31" t="n">
        <v>17626.86</v>
      </c>
      <c r="AI13" s="31" t="n">
        <v>17626.86</v>
      </c>
      <c r="AJ13" s="31" t="n">
        <v>17626.86</v>
      </c>
      <c r="AK13" s="31" t="n">
        <v>17626.86</v>
      </c>
      <c r="AL13" s="31" t="n">
        <v>17626.86</v>
      </c>
      <c r="AM13" s="31" t="n">
        <v>17626.86</v>
      </c>
      <c r="AN13" s="31" t="n">
        <v>18331.93</v>
      </c>
      <c r="AO13" s="31" t="n">
        <v>18331.93</v>
      </c>
      <c r="AP13" s="31" t="n">
        <v>18331.93</v>
      </c>
      <c r="AQ13" s="31" t="n">
        <v>18331.93</v>
      </c>
      <c r="AR13" s="31" t="n">
        <v>18331.93</v>
      </c>
      <c r="AS13" s="31" t="n">
        <v>18331.93</v>
      </c>
      <c r="AT13" s="31" t="n">
        <v>18331.93</v>
      </c>
      <c r="AU13" s="31" t="n">
        <v>18331.93</v>
      </c>
      <c r="AV13" s="31" t="n">
        <v>18331.93</v>
      </c>
      <c r="AW13" s="31" t="n">
        <v>18331.93</v>
      </c>
      <c r="AX13" s="31" t="n">
        <v>18331.93</v>
      </c>
      <c r="AY13" s="31" t="n">
        <v>18331.93</v>
      </c>
    </row>
    <row r="14">
      <c r="B14" s="18" t="inlineStr">
        <is>
          <t>Administrative &amp; G&amp;A</t>
        </is>
      </c>
      <c r="P14" s="19" t="n">
        <v>32760.80999999999</v>
      </c>
      <c r="Q14" s="19" t="n">
        <v>38409.23</v>
      </c>
      <c r="R14" s="19" t="n">
        <v>33297.16</v>
      </c>
      <c r="S14" s="19" t="n">
        <v>28817.49</v>
      </c>
      <c r="T14" s="31" t="n">
        <v>37431.59</v>
      </c>
      <c r="U14" s="31" t="n">
        <v>37431.59</v>
      </c>
      <c r="V14" s="31" t="n">
        <v>37431.59</v>
      </c>
      <c r="W14" s="31" t="n">
        <v>37431.59</v>
      </c>
      <c r="X14" s="31" t="n">
        <v>37431.59</v>
      </c>
      <c r="Y14" s="31" t="n">
        <v>37431.59</v>
      </c>
      <c r="Z14" s="31" t="n">
        <v>37431.59</v>
      </c>
      <c r="AA14" s="31" t="n">
        <v>37431.59</v>
      </c>
      <c r="AB14" s="31" t="n">
        <v>38928.85000000001</v>
      </c>
      <c r="AC14" s="31" t="n">
        <v>38928.85000000001</v>
      </c>
      <c r="AD14" s="31" t="n">
        <v>38928.85000000001</v>
      </c>
      <c r="AE14" s="31" t="n">
        <v>38928.85000000001</v>
      </c>
      <c r="AF14" s="31" t="n">
        <v>38928.85000000001</v>
      </c>
      <c r="AG14" s="31" t="n">
        <v>38928.85000000001</v>
      </c>
      <c r="AH14" s="31" t="n">
        <v>38928.85000000001</v>
      </c>
      <c r="AI14" s="31" t="n">
        <v>38928.85000000001</v>
      </c>
      <c r="AJ14" s="31" t="n">
        <v>38928.85000000001</v>
      </c>
      <c r="AK14" s="31" t="n">
        <v>38928.85000000001</v>
      </c>
      <c r="AL14" s="31" t="n">
        <v>38928.85000000001</v>
      </c>
      <c r="AM14" s="31" t="n">
        <v>38928.85000000001</v>
      </c>
      <c r="AN14" s="31" t="n">
        <v>40486.00999999999</v>
      </c>
      <c r="AO14" s="31" t="n">
        <v>40486.00999999999</v>
      </c>
      <c r="AP14" s="31" t="n">
        <v>40486.00999999999</v>
      </c>
      <c r="AQ14" s="31" t="n">
        <v>40486.00999999999</v>
      </c>
      <c r="AR14" s="31" t="n">
        <v>40486.00999999999</v>
      </c>
      <c r="AS14" s="31" t="n">
        <v>40486.00999999999</v>
      </c>
      <c r="AT14" s="31" t="n">
        <v>40486.00999999999</v>
      </c>
      <c r="AU14" s="31" t="n">
        <v>40486.00999999999</v>
      </c>
      <c r="AV14" s="31" t="n">
        <v>40486.00999999999</v>
      </c>
      <c r="AW14" s="31" t="n">
        <v>40486.00999999999</v>
      </c>
      <c r="AX14" s="31" t="n">
        <v>40486.00999999999</v>
      </c>
      <c r="AY14" s="31" t="n">
        <v>40486.00999999999</v>
      </c>
    </row>
    <row r="15">
      <c r="B15" s="18" t="inlineStr">
        <is>
          <t>Professional Fees</t>
        </is>
      </c>
      <c r="P15" s="19" t="n">
        <v>42733.79</v>
      </c>
      <c r="Q15" s="19" t="n">
        <v>24202.3</v>
      </c>
      <c r="R15" s="19" t="n">
        <v>22556.84</v>
      </c>
      <c r="S15" s="19" t="n">
        <v>25366</v>
      </c>
      <c r="T15" s="31" t="n">
        <v>24041.72</v>
      </c>
      <c r="U15" s="31" t="n">
        <v>24041.72</v>
      </c>
      <c r="V15" s="31" t="n">
        <v>24041.72</v>
      </c>
      <c r="W15" s="31" t="n">
        <v>24041.72</v>
      </c>
      <c r="X15" s="31" t="n">
        <v>24041.72</v>
      </c>
      <c r="Y15" s="31" t="n">
        <v>24041.72</v>
      </c>
      <c r="Z15" s="31" t="n">
        <v>24041.72</v>
      </c>
      <c r="AA15" s="31" t="n">
        <v>24041.72</v>
      </c>
      <c r="AB15" s="31" t="n">
        <v>25003.37</v>
      </c>
      <c r="AC15" s="31" t="n">
        <v>25003.37</v>
      </c>
      <c r="AD15" s="31" t="n">
        <v>25003.37</v>
      </c>
      <c r="AE15" s="31" t="n">
        <v>25003.37</v>
      </c>
      <c r="AF15" s="31" t="n">
        <v>25003.37</v>
      </c>
      <c r="AG15" s="31" t="n">
        <v>25003.37</v>
      </c>
      <c r="AH15" s="31" t="n">
        <v>25003.37</v>
      </c>
      <c r="AI15" s="31" t="n">
        <v>25003.37</v>
      </c>
      <c r="AJ15" s="31" t="n">
        <v>25003.37</v>
      </c>
      <c r="AK15" s="31" t="n">
        <v>25003.37</v>
      </c>
      <c r="AL15" s="31" t="n">
        <v>25003.37</v>
      </c>
      <c r="AM15" s="31" t="n">
        <v>25003.37</v>
      </c>
      <c r="AN15" s="31" t="n">
        <v>26003.5</v>
      </c>
      <c r="AO15" s="31" t="n">
        <v>26003.5</v>
      </c>
      <c r="AP15" s="31" t="n">
        <v>26003.5</v>
      </c>
      <c r="AQ15" s="31" t="n">
        <v>26003.5</v>
      </c>
      <c r="AR15" s="31" t="n">
        <v>26003.5</v>
      </c>
      <c r="AS15" s="31" t="n">
        <v>26003.5</v>
      </c>
      <c r="AT15" s="31" t="n">
        <v>26003.5</v>
      </c>
      <c r="AU15" s="31" t="n">
        <v>26003.5</v>
      </c>
      <c r="AV15" s="31" t="n">
        <v>26003.5</v>
      </c>
      <c r="AW15" s="31" t="n">
        <v>26003.5</v>
      </c>
      <c r="AX15" s="31" t="n">
        <v>26003.5</v>
      </c>
      <c r="AY15" s="31" t="n">
        <v>26003.5</v>
      </c>
    </row>
    <row r="16">
      <c r="B16" s="18" t="inlineStr">
        <is>
          <t>Travel &amp; Meals</t>
        </is>
      </c>
      <c r="P16" s="19" t="n">
        <v>6819.030000000001</v>
      </c>
      <c r="Q16" s="19" t="n">
        <v>3543.33</v>
      </c>
      <c r="R16" s="19" t="n">
        <v>6002.360000000001</v>
      </c>
      <c r="S16" s="19" t="n">
        <v>2789.61</v>
      </c>
      <c r="T16" s="31" t="n">
        <v>4111.78</v>
      </c>
      <c r="U16" s="31" t="n">
        <v>4111.78</v>
      </c>
      <c r="V16" s="31" t="n">
        <v>4111.78</v>
      </c>
      <c r="W16" s="31" t="n">
        <v>4111.78</v>
      </c>
      <c r="X16" s="31" t="n">
        <v>4111.78</v>
      </c>
      <c r="Y16" s="31" t="n">
        <v>4111.78</v>
      </c>
      <c r="Z16" s="31" t="n">
        <v>4111.78</v>
      </c>
      <c r="AA16" s="31" t="n">
        <v>4111.78</v>
      </c>
      <c r="AB16" s="31" t="n">
        <v>4276.25</v>
      </c>
      <c r="AC16" s="31" t="n">
        <v>4276.25</v>
      </c>
      <c r="AD16" s="31" t="n">
        <v>4276.25</v>
      </c>
      <c r="AE16" s="31" t="n">
        <v>4276.25</v>
      </c>
      <c r="AF16" s="31" t="n">
        <v>4276.25</v>
      </c>
      <c r="AG16" s="31" t="n">
        <v>4276.25</v>
      </c>
      <c r="AH16" s="31" t="n">
        <v>4276.25</v>
      </c>
      <c r="AI16" s="31" t="n">
        <v>4276.25</v>
      </c>
      <c r="AJ16" s="31" t="n">
        <v>4276.25</v>
      </c>
      <c r="AK16" s="31" t="n">
        <v>4276.25</v>
      </c>
      <c r="AL16" s="31" t="n">
        <v>4276.25</v>
      </c>
      <c r="AM16" s="31" t="n">
        <v>4276.25</v>
      </c>
      <c r="AN16" s="31" t="n">
        <v>4447.309999999999</v>
      </c>
      <c r="AO16" s="31" t="n">
        <v>4447.309999999999</v>
      </c>
      <c r="AP16" s="31" t="n">
        <v>4447.309999999999</v>
      </c>
      <c r="AQ16" s="31" t="n">
        <v>4447.309999999999</v>
      </c>
      <c r="AR16" s="31" t="n">
        <v>4447.309999999999</v>
      </c>
      <c r="AS16" s="31" t="n">
        <v>4447.309999999999</v>
      </c>
      <c r="AT16" s="31" t="n">
        <v>4447.309999999999</v>
      </c>
      <c r="AU16" s="31" t="n">
        <v>4447.309999999999</v>
      </c>
      <c r="AV16" s="31" t="n">
        <v>4447.309999999999</v>
      </c>
      <c r="AW16" s="31" t="n">
        <v>4447.309999999999</v>
      </c>
      <c r="AX16" s="31" t="n">
        <v>4447.309999999999</v>
      </c>
      <c r="AY16" s="31" t="n">
        <v>4447.309999999999</v>
      </c>
    </row>
    <row r="17">
      <c r="B17" s="18" t="inlineStr">
        <is>
          <t>Merchant Fees &amp; COGS</t>
        </is>
      </c>
      <c r="P17" s="19" t="n">
        <v>65117.3</v>
      </c>
      <c r="Q17" s="19" t="n">
        <v>67419.25999999999</v>
      </c>
      <c r="R17" s="19" t="n">
        <v>61727.36</v>
      </c>
      <c r="S17" s="19" t="n">
        <v>65364.98000000001</v>
      </c>
      <c r="T17" s="20">
        <f>T7*(Assumptions!$C$19+Assumptions!$C$20)</f>
        <v/>
      </c>
      <c r="U17" s="20">
        <f>U7*(Assumptions!$C$19+Assumptions!$C$20)</f>
        <v/>
      </c>
      <c r="V17" s="20">
        <f>V7*(Assumptions!$C$19+Assumptions!$C$20)</f>
        <v/>
      </c>
      <c r="W17" s="20">
        <f>W7*(Assumptions!$C$19+Assumptions!$C$20)</f>
        <v/>
      </c>
      <c r="X17" s="20">
        <f>X7*(Assumptions!$C$19+Assumptions!$C$20)</f>
        <v/>
      </c>
      <c r="Y17" s="20">
        <f>Y7*(Assumptions!$C$19+Assumptions!$C$20)</f>
        <v/>
      </c>
      <c r="Z17" s="20">
        <f>Z7*(Assumptions!$C$19+Assumptions!$C$20)</f>
        <v/>
      </c>
      <c r="AA17" s="20">
        <f>AA7*(Assumptions!$C$19+Assumptions!$C$20)</f>
        <v/>
      </c>
      <c r="AB17" s="20">
        <f>AB7*(Assumptions!$C$19+Assumptions!$C$20)</f>
        <v/>
      </c>
      <c r="AC17" s="20">
        <f>AC7*(Assumptions!$C$19+Assumptions!$C$20)</f>
        <v/>
      </c>
      <c r="AD17" s="20">
        <f>AD7*(Assumptions!$C$19+Assumptions!$C$20)</f>
        <v/>
      </c>
      <c r="AE17" s="20">
        <f>AE7*(Assumptions!$C$19+Assumptions!$C$20)</f>
        <v/>
      </c>
      <c r="AF17" s="20">
        <f>AF7*(Assumptions!$C$19+Assumptions!$C$20)</f>
        <v/>
      </c>
      <c r="AG17" s="20">
        <f>AG7*(Assumptions!$C$19+Assumptions!$C$20)</f>
        <v/>
      </c>
      <c r="AH17" s="20">
        <f>AH7*(Assumptions!$C$19+Assumptions!$C$20)</f>
        <v/>
      </c>
      <c r="AI17" s="20">
        <f>AI7*(Assumptions!$C$19+Assumptions!$C$20)</f>
        <v/>
      </c>
      <c r="AJ17" s="20">
        <f>AJ7*(Assumptions!$C$19+Assumptions!$C$20)</f>
        <v/>
      </c>
      <c r="AK17" s="20">
        <f>AK7*(Assumptions!$C$19+Assumptions!$C$20)</f>
        <v/>
      </c>
      <c r="AL17" s="20">
        <f>AL7*(Assumptions!$C$19+Assumptions!$C$20)</f>
        <v/>
      </c>
      <c r="AM17" s="20">
        <f>AM7*(Assumptions!$C$19+Assumptions!$C$20)</f>
        <v/>
      </c>
      <c r="AN17" s="20">
        <f>AN7*(Assumptions!$C$19+Assumptions!$C$20)</f>
        <v/>
      </c>
      <c r="AO17" s="20">
        <f>AO7*(Assumptions!$C$19+Assumptions!$C$20)</f>
        <v/>
      </c>
      <c r="AP17" s="20">
        <f>AP7*(Assumptions!$C$19+Assumptions!$C$20)</f>
        <v/>
      </c>
      <c r="AQ17" s="20">
        <f>AQ7*(Assumptions!$C$19+Assumptions!$C$20)</f>
        <v/>
      </c>
      <c r="AR17" s="20">
        <f>AR7*(Assumptions!$C$19+Assumptions!$C$20)</f>
        <v/>
      </c>
      <c r="AS17" s="20">
        <f>AS7*(Assumptions!$C$19+Assumptions!$C$20)</f>
        <v/>
      </c>
      <c r="AT17" s="20">
        <f>AT7*(Assumptions!$C$19+Assumptions!$C$20)</f>
        <v/>
      </c>
      <c r="AU17" s="20">
        <f>AU7*(Assumptions!$C$19+Assumptions!$C$20)</f>
        <v/>
      </c>
      <c r="AV17" s="20">
        <f>AV7*(Assumptions!$C$19+Assumptions!$C$20)</f>
        <v/>
      </c>
      <c r="AW17" s="20">
        <f>AW7*(Assumptions!$C$19+Assumptions!$C$20)</f>
        <v/>
      </c>
      <c r="AX17" s="20">
        <f>AX7*(Assumptions!$C$19+Assumptions!$C$20)</f>
        <v/>
      </c>
      <c r="AY17" s="20">
        <f>AY7*(Assumptions!$C$19+Assumptions!$C$20)</f>
        <v/>
      </c>
    </row>
    <row r="18">
      <c r="B18" s="18" t="inlineStr">
        <is>
          <t>Studio Start Up Costs</t>
        </is>
      </c>
      <c r="P18" s="19" t="n">
        <v>0</v>
      </c>
      <c r="Q18" s="19" t="n">
        <v>0</v>
      </c>
      <c r="R18" s="19" t="n">
        <v>0</v>
      </c>
      <c r="S18" s="19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0</v>
      </c>
      <c r="AD18" s="31" t="n">
        <v>0</v>
      </c>
      <c r="AE18" s="31" t="n">
        <v>0</v>
      </c>
      <c r="AF18" s="31" t="n">
        <v>0</v>
      </c>
      <c r="AG18" s="31" t="n">
        <v>0</v>
      </c>
      <c r="AH18" s="31" t="n">
        <v>0</v>
      </c>
      <c r="AI18" s="31" t="n">
        <v>0</v>
      </c>
      <c r="AJ18" s="31" t="n">
        <v>0</v>
      </c>
      <c r="AK18" s="31" t="n">
        <v>0</v>
      </c>
      <c r="AL18" s="31" t="n">
        <v>0</v>
      </c>
      <c r="AM18" s="31" t="n">
        <v>0</v>
      </c>
      <c r="AN18" s="31" t="n">
        <v>0</v>
      </c>
      <c r="AO18" s="31" t="n">
        <v>0</v>
      </c>
      <c r="AP18" s="31" t="n">
        <v>0</v>
      </c>
      <c r="AQ18" s="31" t="n">
        <v>0</v>
      </c>
      <c r="AR18" s="31" t="n">
        <v>0</v>
      </c>
      <c r="AS18" s="31" t="n">
        <v>0</v>
      </c>
      <c r="AT18" s="31" t="n">
        <v>0</v>
      </c>
      <c r="AU18" s="31" t="n">
        <v>0</v>
      </c>
      <c r="AV18" s="31" t="n">
        <v>0</v>
      </c>
      <c r="AW18" s="31" t="n">
        <v>0</v>
      </c>
      <c r="AX18" s="31" t="n">
        <v>0</v>
      </c>
      <c r="AY18" s="31" t="n">
        <v>0</v>
      </c>
    </row>
    <row r="19">
      <c r="B19" s="18" t="inlineStr">
        <is>
          <t>Taxes</t>
        </is>
      </c>
      <c r="P19" s="19" t="n">
        <v>3673</v>
      </c>
      <c r="Q19" s="19" t="n">
        <v>8816</v>
      </c>
      <c r="R19" s="19" t="n">
        <v>3673</v>
      </c>
      <c r="S19" s="19" t="n">
        <v>3673</v>
      </c>
      <c r="T19" s="31" t="n">
        <v>5387.33</v>
      </c>
      <c r="U19" s="31">
        <f>'P&amp;L'!U25+'P&amp;L'!U26</f>
        <v/>
      </c>
      <c r="V19" s="31">
        <f>'P&amp;L'!V25+'P&amp;L'!V26</f>
        <v/>
      </c>
      <c r="W19" s="31">
        <f>'P&amp;L'!W25+'P&amp;L'!W26</f>
        <v/>
      </c>
      <c r="X19" s="31">
        <f>'P&amp;L'!X25+'P&amp;L'!X26</f>
        <v/>
      </c>
      <c r="Y19" s="31">
        <f>'P&amp;L'!Y25+'P&amp;L'!Y26</f>
        <v/>
      </c>
      <c r="Z19" s="31">
        <f>'P&amp;L'!Z25+'P&amp;L'!Z26</f>
        <v/>
      </c>
      <c r="AA19" s="31">
        <f>'P&amp;L'!AA25+'P&amp;L'!AA26</f>
        <v/>
      </c>
      <c r="AB19" s="31">
        <f>'P&amp;L'!AB25+'P&amp;L'!AB26</f>
        <v/>
      </c>
      <c r="AC19" s="31">
        <f>'P&amp;L'!AC25+'P&amp;L'!AC26</f>
        <v/>
      </c>
      <c r="AD19" s="31">
        <f>'P&amp;L'!AD25+'P&amp;L'!AD26</f>
        <v/>
      </c>
      <c r="AE19" s="31">
        <f>'P&amp;L'!AE25+'P&amp;L'!AE26</f>
        <v/>
      </c>
      <c r="AF19" s="31">
        <f>'P&amp;L'!AF25+'P&amp;L'!AF26</f>
        <v/>
      </c>
      <c r="AG19" s="31">
        <f>'P&amp;L'!AG25+'P&amp;L'!AG26</f>
        <v/>
      </c>
      <c r="AH19" s="31">
        <f>'P&amp;L'!AH25+'P&amp;L'!AH26</f>
        <v/>
      </c>
      <c r="AI19" s="31">
        <f>'P&amp;L'!AI25+'P&amp;L'!AI26</f>
        <v/>
      </c>
      <c r="AJ19" s="31">
        <f>'P&amp;L'!AJ25+'P&amp;L'!AJ26</f>
        <v/>
      </c>
      <c r="AK19" s="31">
        <f>'P&amp;L'!AK25+'P&amp;L'!AK26</f>
        <v/>
      </c>
      <c r="AL19" s="31">
        <f>'P&amp;L'!AL25+'P&amp;L'!AL26</f>
        <v/>
      </c>
      <c r="AM19" s="31">
        <f>'P&amp;L'!AM25+'P&amp;L'!AM26</f>
        <v/>
      </c>
      <c r="AN19" s="31" t="n">
        <v>5826.93</v>
      </c>
      <c r="AO19" s="31" t="n">
        <v>5826.93</v>
      </c>
      <c r="AP19" s="31" t="n">
        <v>5826.93</v>
      </c>
      <c r="AQ19" s="31" t="n">
        <v>5826.93</v>
      </c>
      <c r="AR19" s="31" t="n">
        <v>5826.93</v>
      </c>
      <c r="AS19" s="31" t="n">
        <v>5826.93</v>
      </c>
      <c r="AT19" s="31" t="n">
        <v>5826.93</v>
      </c>
      <c r="AU19" s="31" t="n">
        <v>5826.93</v>
      </c>
      <c r="AV19" s="31" t="n">
        <v>5826.93</v>
      </c>
      <c r="AW19" s="31" t="n">
        <v>5826.93</v>
      </c>
      <c r="AX19" s="31" t="n">
        <v>5826.93</v>
      </c>
      <c r="AY19" s="31" t="n">
        <v>5826.93</v>
      </c>
    </row>
    <row r="20">
      <c r="B20" s="121" t="inlineStr">
        <is>
          <t>PF Interest Expense</t>
        </is>
      </c>
      <c r="P20" s="119" t="n"/>
      <c r="Q20" s="119" t="n"/>
      <c r="R20" s="119" t="n"/>
      <c r="S20" s="119" t="n"/>
      <c r="T20" s="120" t="n"/>
      <c r="U20" s="120" t="n"/>
      <c r="V20" s="128" t="n"/>
      <c r="W20" s="128" t="n"/>
      <c r="X20" s="128">
        <f>X49</f>
        <v/>
      </c>
      <c r="Y20" s="128">
        <f>Y49</f>
        <v/>
      </c>
      <c r="Z20" s="128">
        <f>Z49</f>
        <v/>
      </c>
      <c r="AA20" s="128">
        <f>AA49</f>
        <v/>
      </c>
      <c r="AB20" s="128">
        <f>AB49</f>
        <v/>
      </c>
      <c r="AC20" s="128">
        <f>AC49</f>
        <v/>
      </c>
      <c r="AD20" s="128">
        <f>AD49</f>
        <v/>
      </c>
      <c r="AE20" s="128">
        <f>AE49</f>
        <v/>
      </c>
      <c r="AF20" s="128">
        <f>AF49</f>
        <v/>
      </c>
      <c r="AG20" s="128">
        <f>AG49</f>
        <v/>
      </c>
      <c r="AH20" s="128">
        <f>AH49</f>
        <v/>
      </c>
      <c r="AI20" s="128">
        <f>AI49</f>
        <v/>
      </c>
      <c r="AJ20" s="128">
        <f>AJ49</f>
        <v/>
      </c>
      <c r="AK20" s="128">
        <f>AK49</f>
        <v/>
      </c>
      <c r="AL20" s="128">
        <f>AL49</f>
        <v/>
      </c>
      <c r="AM20" s="128">
        <f>AM49</f>
        <v/>
      </c>
      <c r="AN20" s="128">
        <f>AN49</f>
        <v/>
      </c>
      <c r="AO20" s="128">
        <f>AO49</f>
        <v/>
      </c>
      <c r="AP20" s="128">
        <f>AP49</f>
        <v/>
      </c>
      <c r="AQ20" s="128">
        <f>AQ49</f>
        <v/>
      </c>
      <c r="AR20" s="128">
        <f>AR49</f>
        <v/>
      </c>
      <c r="AS20" s="128">
        <f>AS49</f>
        <v/>
      </c>
      <c r="AT20" s="128">
        <f>AT49</f>
        <v/>
      </c>
      <c r="AU20" s="128">
        <f>AU49</f>
        <v/>
      </c>
      <c r="AV20" s="128">
        <f>AV49</f>
        <v/>
      </c>
      <c r="AW20" s="128">
        <f>AW49</f>
        <v/>
      </c>
      <c r="AX20" s="128">
        <f>AX49</f>
        <v/>
      </c>
      <c r="AY20" s="128">
        <f>AY49</f>
        <v/>
      </c>
    </row>
    <row r="21">
      <c r="B21" s="121" t="inlineStr">
        <is>
          <t>PF Fees (Debt Fees and Legal)</t>
        </is>
      </c>
      <c r="P21" s="119" t="n"/>
      <c r="Q21" s="119" t="n"/>
      <c r="R21" s="119" t="n"/>
      <c r="S21" s="119" t="n"/>
      <c r="T21" s="120" t="n"/>
      <c r="U21" s="120" t="n"/>
      <c r="V21" s="120" t="n"/>
      <c r="W21" s="120" t="n"/>
      <c r="X21" s="140">
        <f>'Sources and Uses'!C15+'Sources and Uses'!C16</f>
        <v/>
      </c>
      <c r="Y21" s="120" t="n"/>
      <c r="Z21" s="120" t="n"/>
      <c r="AA21" s="120" t="n"/>
      <c r="AB21" s="140" t="n"/>
      <c r="AC21" s="128" t="n"/>
      <c r="AD21" s="128" t="n"/>
      <c r="AE21" s="128" t="n"/>
      <c r="AF21" s="128" t="n"/>
      <c r="AG21" s="128" t="n"/>
      <c r="AH21" s="128" t="n"/>
      <c r="AI21" s="128" t="n"/>
      <c r="AJ21" s="128" t="n"/>
      <c r="AK21" s="128" t="n"/>
      <c r="AL21" s="128" t="n"/>
      <c r="AM21" s="128" t="n"/>
      <c r="AN21" s="128" t="n"/>
      <c r="AO21" s="128" t="n"/>
      <c r="AP21" s="128" t="n"/>
      <c r="AQ21" s="128" t="n"/>
      <c r="AR21" s="128" t="n"/>
      <c r="AS21" s="128" t="n"/>
      <c r="AT21" s="128" t="n"/>
      <c r="AU21" s="128" t="n"/>
      <c r="AV21" s="128" t="n"/>
      <c r="AW21" s="128" t="n"/>
      <c r="AX21" s="128" t="n"/>
      <c r="AY21" s="128" t="n"/>
    </row>
    <row r="22">
      <c r="B22" s="15" t="inlineStr">
        <is>
          <t>Total Operating Expenses</t>
        </is>
      </c>
      <c r="P22" s="17">
        <f>SUM(P10:P21)</f>
        <v/>
      </c>
      <c r="Q22" s="17">
        <f>SUM(Q10:Q21)</f>
        <v/>
      </c>
      <c r="R22" s="17">
        <f>SUM(R10:R21)</f>
        <v/>
      </c>
      <c r="S22" s="17">
        <f>SUM(S10:S21)</f>
        <v/>
      </c>
      <c r="T22" s="17">
        <f>SUM(T10:T21)</f>
        <v/>
      </c>
      <c r="U22" s="17">
        <f>SUM(U10:U21)</f>
        <v/>
      </c>
      <c r="V22" s="17">
        <f>SUM(V10:V21)</f>
        <v/>
      </c>
      <c r="W22" s="17">
        <f>SUM(W10:W21)</f>
        <v/>
      </c>
      <c r="X22" s="17">
        <f>SUM(X10:X21)</f>
        <v/>
      </c>
      <c r="Y22" s="17">
        <f>SUM(Y10:Y21)</f>
        <v/>
      </c>
      <c r="Z22" s="17">
        <f>SUM(Z10:Z21)</f>
        <v/>
      </c>
      <c r="AA22" s="17">
        <f>SUM(AA10:AA21)</f>
        <v/>
      </c>
      <c r="AB22" s="17">
        <f>SUM(AB10:AB21)</f>
        <v/>
      </c>
      <c r="AC22" s="17">
        <f>SUM(AC10:AC21)</f>
        <v/>
      </c>
      <c r="AD22" s="17">
        <f>SUM(AD10:AD21)</f>
        <v/>
      </c>
      <c r="AE22" s="17">
        <f>SUM(AE10:AE21)</f>
        <v/>
      </c>
      <c r="AF22" s="17">
        <f>SUM(AF10:AF21)</f>
        <v/>
      </c>
      <c r="AG22" s="17">
        <f>SUM(AG10:AG21)</f>
        <v/>
      </c>
      <c r="AH22" s="17">
        <f>SUM(AH10:AH21)</f>
        <v/>
      </c>
      <c r="AI22" s="17">
        <f>SUM(AI10:AI21)</f>
        <v/>
      </c>
      <c r="AJ22" s="17">
        <f>SUM(AJ10:AJ21)</f>
        <v/>
      </c>
      <c r="AK22" s="17">
        <f>SUM(AK10:AK21)</f>
        <v/>
      </c>
      <c r="AL22" s="17">
        <f>SUM(AL10:AL21)</f>
        <v/>
      </c>
      <c r="AM22" s="17">
        <f>SUM(AM10:AM21)</f>
        <v/>
      </c>
      <c r="AN22" s="17">
        <f>SUM(AN10:AN21)</f>
        <v/>
      </c>
      <c r="AO22" s="17">
        <f>SUM(AO10:AO21)</f>
        <v/>
      </c>
      <c r="AP22" s="17">
        <f>SUM(AP10:AP21)</f>
        <v/>
      </c>
      <c r="AQ22" s="17">
        <f>SUM(AQ10:AQ21)</f>
        <v/>
      </c>
      <c r="AR22" s="17">
        <f>SUM(AR10:AR21)</f>
        <v/>
      </c>
      <c r="AS22" s="17">
        <f>SUM(AS10:AS21)</f>
        <v/>
      </c>
      <c r="AT22" s="17">
        <f>SUM(AT10:AT21)</f>
        <v/>
      </c>
      <c r="AU22" s="17">
        <f>SUM(AU10:AU21)</f>
        <v/>
      </c>
      <c r="AV22" s="17">
        <f>SUM(AV10:AV21)</f>
        <v/>
      </c>
      <c r="AW22" s="17">
        <f>SUM(AW10:AW21)</f>
        <v/>
      </c>
      <c r="AX22" s="17">
        <f>SUM(AX10:AX21)</f>
        <v/>
      </c>
      <c r="AY22" s="17">
        <f>SUM(AY10:AY21)</f>
        <v/>
      </c>
    </row>
    <row r="23">
      <c r="B23" s="15" t="inlineStr">
        <is>
          <t>Net Cash from Operations</t>
        </is>
      </c>
      <c r="P23" s="36">
        <f>P7-P22</f>
        <v/>
      </c>
      <c r="Q23" s="36">
        <f>Q7-Q22</f>
        <v/>
      </c>
      <c r="R23" s="36">
        <f>R7-R22</f>
        <v/>
      </c>
      <c r="S23" s="36">
        <f>S7-S22</f>
        <v/>
      </c>
      <c r="T23" s="36">
        <f>T7-T22</f>
        <v/>
      </c>
      <c r="U23" s="36">
        <f>U7-U22</f>
        <v/>
      </c>
      <c r="V23" s="36">
        <f>V7-V22</f>
        <v/>
      </c>
      <c r="W23" s="36">
        <f>W7-W22</f>
        <v/>
      </c>
      <c r="X23" s="36">
        <f>X7-X22</f>
        <v/>
      </c>
      <c r="Y23" s="36">
        <f>Y7-Y22</f>
        <v/>
      </c>
      <c r="Z23" s="36">
        <f>Z7-Z22</f>
        <v/>
      </c>
      <c r="AA23" s="36">
        <f>AA7-AA22</f>
        <v/>
      </c>
      <c r="AB23" s="36">
        <f>AB7-AB22</f>
        <v/>
      </c>
      <c r="AC23" s="36">
        <f>AC7-AC22</f>
        <v/>
      </c>
      <c r="AD23" s="36">
        <f>AD7-AD22</f>
        <v/>
      </c>
      <c r="AE23" s="36">
        <f>AE7-AE22</f>
        <v/>
      </c>
      <c r="AF23" s="36">
        <f>AF7-AF22</f>
        <v/>
      </c>
      <c r="AG23" s="36">
        <f>AG7-AG22</f>
        <v/>
      </c>
      <c r="AH23" s="36">
        <f>AH7-AH22</f>
        <v/>
      </c>
      <c r="AI23" s="36">
        <f>AI7-AI22</f>
        <v/>
      </c>
      <c r="AJ23" s="36">
        <f>AJ7-AJ22</f>
        <v/>
      </c>
      <c r="AK23" s="36">
        <f>AK7-AK22</f>
        <v/>
      </c>
      <c r="AL23" s="36">
        <f>AL7-AL22</f>
        <v/>
      </c>
      <c r="AM23" s="36">
        <f>AM7-AM22</f>
        <v/>
      </c>
      <c r="AN23" s="36">
        <f>AN7-AN22</f>
        <v/>
      </c>
      <c r="AO23" s="36">
        <f>AO7-AO22</f>
        <v/>
      </c>
      <c r="AP23" s="36">
        <f>AP7-AP22</f>
        <v/>
      </c>
      <c r="AQ23" s="36">
        <f>AQ7-AQ22</f>
        <v/>
      </c>
      <c r="AR23" s="36">
        <f>AR7-AR22</f>
        <v/>
      </c>
      <c r="AS23" s="36">
        <f>AS7-AS22</f>
        <v/>
      </c>
      <c r="AT23" s="36">
        <f>AT7-AT22</f>
        <v/>
      </c>
      <c r="AU23" s="36">
        <f>AU7-AU22</f>
        <v/>
      </c>
      <c r="AV23" s="36">
        <f>AV7-AV22</f>
        <v/>
      </c>
      <c r="AW23" s="36">
        <f>AW7-AW22</f>
        <v/>
      </c>
      <c r="AX23" s="36">
        <f>AX7-AX22</f>
        <v/>
      </c>
      <c r="AY23" s="36">
        <f>AY7-AY22</f>
        <v/>
      </c>
    </row>
    <row r="25" ht="16.05" customHeight="1" s="142">
      <c r="B25" s="10" t="inlineStr">
        <is>
          <t>INVESTING ACTIVITIES</t>
        </is>
      </c>
      <c r="C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</row>
    <row r="26">
      <c r="B26" s="18" t="inlineStr">
        <is>
          <t>Equipment &amp; Furniture</t>
        </is>
      </c>
      <c r="P26" s="19" t="n">
        <v>0</v>
      </c>
      <c r="Q26" s="19" t="n">
        <v>2497.4</v>
      </c>
      <c r="R26" s="19" t="n">
        <v>0</v>
      </c>
      <c r="S26" s="19" t="n">
        <v>0</v>
      </c>
      <c r="T26" s="31" t="n">
        <v>0</v>
      </c>
      <c r="U26" s="31" t="n">
        <v>0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A26" s="31" t="n">
        <v>0</v>
      </c>
      <c r="AB26" s="31" t="n">
        <v>0</v>
      </c>
      <c r="AC26" s="31" t="n">
        <v>0</v>
      </c>
      <c r="AD26" s="31" t="n">
        <v>0</v>
      </c>
      <c r="AE26" s="31" t="n">
        <v>0</v>
      </c>
      <c r="AF26" s="31" t="n">
        <v>0</v>
      </c>
      <c r="AG26" s="31" t="n">
        <v>0</v>
      </c>
      <c r="AH26" s="31" t="n">
        <v>0</v>
      </c>
      <c r="AI26" s="31" t="n">
        <v>0</v>
      </c>
      <c r="AJ26" s="31" t="n">
        <v>0</v>
      </c>
      <c r="AK26" s="31" t="n">
        <v>0</v>
      </c>
      <c r="AL26" s="31" t="n">
        <v>0</v>
      </c>
      <c r="AM26" s="31" t="n">
        <v>0</v>
      </c>
      <c r="AN26" s="31" t="n">
        <v>0</v>
      </c>
      <c r="AO26" s="31" t="n">
        <v>0</v>
      </c>
      <c r="AP26" s="31" t="n">
        <v>0</v>
      </c>
      <c r="AQ26" s="31" t="n">
        <v>0</v>
      </c>
      <c r="AR26" s="31" t="n">
        <v>0</v>
      </c>
      <c r="AS26" s="31" t="n">
        <v>0</v>
      </c>
      <c r="AT26" s="31" t="n">
        <v>0</v>
      </c>
      <c r="AU26" s="31" t="n">
        <v>0</v>
      </c>
      <c r="AV26" s="31" t="n">
        <v>0</v>
      </c>
      <c r="AW26" s="31" t="n">
        <v>0</v>
      </c>
      <c r="AX26" s="31" t="n">
        <v>0</v>
      </c>
      <c r="AY26" s="31" t="n">
        <v>0</v>
      </c>
    </row>
    <row r="27">
      <c r="B27" s="18" t="inlineStr">
        <is>
          <t>Leasehold Improvements</t>
        </is>
      </c>
      <c r="P27" s="19" t="n">
        <v>-17810.67</v>
      </c>
      <c r="Q27" s="19" t="n">
        <v>-7094.5</v>
      </c>
      <c r="R27" s="19" t="n">
        <v>-24075</v>
      </c>
      <c r="S27" s="19" t="n">
        <v>-1035.5</v>
      </c>
      <c r="T27" s="31" t="n">
        <v>0</v>
      </c>
      <c r="U27" s="31" t="n">
        <v>0</v>
      </c>
      <c r="V27" s="31" t="n">
        <v>-275000</v>
      </c>
      <c r="W27" s="31" t="n">
        <v>-160000</v>
      </c>
      <c r="X27" s="31" t="n">
        <v>0</v>
      </c>
      <c r="Y27" s="31" t="n">
        <v>0</v>
      </c>
      <c r="Z27" s="31" t="n">
        <v>0</v>
      </c>
      <c r="AA27" s="31" t="n">
        <v>0</v>
      </c>
      <c r="AB27" s="31" t="n">
        <v>0</v>
      </c>
      <c r="AC27" s="31" t="n">
        <v>0</v>
      </c>
      <c r="AD27" s="31" t="n">
        <v>0</v>
      </c>
      <c r="AE27" s="31" t="n">
        <v>0</v>
      </c>
      <c r="AF27" s="31" t="n">
        <v>0</v>
      </c>
      <c r="AG27" s="31" t="n">
        <v>0</v>
      </c>
      <c r="AH27" s="31" t="n">
        <v>0</v>
      </c>
      <c r="AI27" s="31" t="n">
        <v>0</v>
      </c>
      <c r="AJ27" s="31" t="n">
        <v>0</v>
      </c>
      <c r="AK27" s="31" t="n">
        <v>0</v>
      </c>
      <c r="AL27" s="31" t="n">
        <v>0</v>
      </c>
      <c r="AM27" s="31" t="n">
        <v>0</v>
      </c>
      <c r="AN27" s="31" t="n">
        <v>0</v>
      </c>
      <c r="AO27" s="31" t="n">
        <v>0</v>
      </c>
      <c r="AP27" s="31" t="n">
        <v>0</v>
      </c>
      <c r="AQ27" s="31" t="n">
        <v>0</v>
      </c>
      <c r="AR27" s="31" t="n">
        <v>0</v>
      </c>
      <c r="AS27" s="31" t="n">
        <v>0</v>
      </c>
      <c r="AT27" s="31" t="n">
        <v>0</v>
      </c>
      <c r="AU27" s="31" t="n">
        <v>0</v>
      </c>
      <c r="AV27" s="31" t="n">
        <v>0</v>
      </c>
      <c r="AW27" s="31" t="n">
        <v>0</v>
      </c>
      <c r="AX27" s="31" t="n">
        <v>0</v>
      </c>
      <c r="AY27" s="31" t="n">
        <v>0</v>
      </c>
    </row>
    <row r="28">
      <c r="B28" s="18" t="inlineStr">
        <is>
          <t>Deposits</t>
        </is>
      </c>
      <c r="P28" s="19" t="n">
        <v>0</v>
      </c>
      <c r="Q28" s="19" t="n">
        <v>0</v>
      </c>
      <c r="R28" s="19" t="n">
        <v>0</v>
      </c>
      <c r="S28" s="19" t="n">
        <v>0</v>
      </c>
      <c r="T28" s="31" t="n">
        <v>0</v>
      </c>
      <c r="U28" s="31" t="n">
        <v>0</v>
      </c>
      <c r="V28" s="31" t="n">
        <v>0</v>
      </c>
      <c r="W28" s="31" t="n">
        <v>0</v>
      </c>
      <c r="X28" s="31" t="n">
        <v>0</v>
      </c>
      <c r="Y28" s="31" t="n">
        <v>0</v>
      </c>
      <c r="Z28" s="31" t="n">
        <v>0</v>
      </c>
      <c r="AA28" s="31" t="n">
        <v>0</v>
      </c>
      <c r="AB28" s="31" t="n">
        <v>0</v>
      </c>
      <c r="AC28" s="31" t="n">
        <v>0</v>
      </c>
      <c r="AD28" s="31" t="n">
        <v>0</v>
      </c>
      <c r="AE28" s="31" t="n">
        <v>0</v>
      </c>
      <c r="AF28" s="31" t="n">
        <v>0</v>
      </c>
      <c r="AG28" s="31" t="n">
        <v>0</v>
      </c>
      <c r="AH28" s="31" t="n">
        <v>0</v>
      </c>
      <c r="AI28" s="31" t="n">
        <v>0</v>
      </c>
      <c r="AJ28" s="31" t="n">
        <v>0</v>
      </c>
      <c r="AK28" s="31" t="n">
        <v>0</v>
      </c>
      <c r="AL28" s="31" t="n">
        <v>0</v>
      </c>
      <c r="AM28" s="31" t="n">
        <v>0</v>
      </c>
      <c r="AN28" s="31" t="n">
        <v>0</v>
      </c>
      <c r="AO28" s="31" t="n">
        <v>0</v>
      </c>
      <c r="AP28" s="31" t="n">
        <v>0</v>
      </c>
      <c r="AQ28" s="31" t="n">
        <v>0</v>
      </c>
      <c r="AR28" s="31" t="n">
        <v>0</v>
      </c>
      <c r="AS28" s="31" t="n">
        <v>0</v>
      </c>
      <c r="AT28" s="31" t="n">
        <v>0</v>
      </c>
      <c r="AU28" s="31" t="n">
        <v>0</v>
      </c>
      <c r="AV28" s="31" t="n">
        <v>0</v>
      </c>
      <c r="AW28" s="31" t="n">
        <v>0</v>
      </c>
      <c r="AX28" s="31" t="n">
        <v>0</v>
      </c>
      <c r="AY28" s="31" t="n">
        <v>0</v>
      </c>
    </row>
    <row r="29">
      <c r="B29" s="15" t="inlineStr">
        <is>
          <t>Net Investing</t>
        </is>
      </c>
      <c r="P29" s="17">
        <f>SUM(P26:P28)</f>
        <v/>
      </c>
      <c r="Q29" s="17">
        <f>SUM(Q26:Q28)</f>
        <v/>
      </c>
      <c r="R29" s="17">
        <f>SUM(R26:R28)</f>
        <v/>
      </c>
      <c r="S29" s="17">
        <f>SUM(S26:S28)</f>
        <v/>
      </c>
      <c r="T29" s="17">
        <f>SUM(T26:T28)</f>
        <v/>
      </c>
      <c r="U29" s="17">
        <f>SUM(U26:U28)</f>
        <v/>
      </c>
      <c r="V29" s="17">
        <f>SUM(V26:V28)</f>
        <v/>
      </c>
      <c r="W29" s="17">
        <f>SUM(W26:W28)</f>
        <v/>
      </c>
      <c r="X29" s="17">
        <f>SUM(X26:X28)</f>
        <v/>
      </c>
      <c r="Y29" s="17">
        <f>SUM(Y26:Y28)</f>
        <v/>
      </c>
      <c r="Z29" s="17">
        <f>SUM(Z26:Z28)</f>
        <v/>
      </c>
      <c r="AA29" s="17">
        <f>SUM(AA26:AA28)</f>
        <v/>
      </c>
      <c r="AB29" s="17">
        <f>SUM(AB26:AB28)</f>
        <v/>
      </c>
      <c r="AC29" s="17">
        <f>SUM(AC26:AC28)</f>
        <v/>
      </c>
      <c r="AD29" s="17">
        <f>SUM(AD26:AD28)</f>
        <v/>
      </c>
      <c r="AE29" s="17">
        <f>SUM(AE26:AE28)</f>
        <v/>
      </c>
      <c r="AF29" s="17">
        <f>SUM(AF26:AF28)</f>
        <v/>
      </c>
      <c r="AG29" s="17">
        <f>SUM(AG26:AG28)</f>
        <v/>
      </c>
      <c r="AH29" s="17">
        <f>SUM(AH26:AH28)</f>
        <v/>
      </c>
      <c r="AI29" s="17">
        <f>SUM(AI26:AI28)</f>
        <v/>
      </c>
      <c r="AJ29" s="17">
        <f>SUM(AJ26:AJ28)</f>
        <v/>
      </c>
      <c r="AK29" s="17">
        <f>SUM(AK26:AK28)</f>
        <v/>
      </c>
      <c r="AL29" s="17">
        <f>SUM(AL26:AL28)</f>
        <v/>
      </c>
      <c r="AM29" s="17">
        <f>SUM(AM26:AM28)</f>
        <v/>
      </c>
      <c r="AN29" s="17">
        <f>SUM(AN26:AN28)</f>
        <v/>
      </c>
      <c r="AO29" s="17">
        <f>SUM(AO26:AO28)</f>
        <v/>
      </c>
      <c r="AP29" s="17">
        <f>SUM(AP26:AP28)</f>
        <v/>
      </c>
      <c r="AQ29" s="17">
        <f>SUM(AQ26:AQ28)</f>
        <v/>
      </c>
      <c r="AR29" s="17">
        <f>SUM(AR26:AR28)</f>
        <v/>
      </c>
      <c r="AS29" s="17">
        <f>SUM(AS26:AS28)</f>
        <v/>
      </c>
      <c r="AT29" s="17">
        <f>SUM(AT26:AT28)</f>
        <v/>
      </c>
      <c r="AU29" s="17">
        <f>SUM(AU26:AU28)</f>
        <v/>
      </c>
      <c r="AV29" s="17">
        <f>SUM(AV26:AV28)</f>
        <v/>
      </c>
      <c r="AW29" s="17">
        <f>SUM(AW26:AW28)</f>
        <v/>
      </c>
      <c r="AX29" s="17">
        <f>SUM(AX26:AX28)</f>
        <v/>
      </c>
      <c r="AY29" s="17">
        <f>SUM(AY26:AY28)</f>
        <v/>
      </c>
    </row>
    <row r="31" ht="16.05" customHeight="1" s="142">
      <c r="B31" s="10" t="inlineStr">
        <is>
          <t>FINANCING ACTIVITIES</t>
        </is>
      </c>
      <c r="C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</row>
    <row r="32">
      <c r="B32" s="18" t="inlineStr">
        <is>
          <t>Loan Proceeds</t>
        </is>
      </c>
      <c r="P32" s="19" t="n">
        <v>9059.380000000001</v>
      </c>
      <c r="Q32" s="19" t="n">
        <v>9059.380000000001</v>
      </c>
      <c r="R32" s="19" t="n">
        <v>9059.380000000001</v>
      </c>
      <c r="S32" s="19" t="n">
        <v>12507.09</v>
      </c>
      <c r="T32" s="31" t="n">
        <v>0</v>
      </c>
      <c r="U32" s="31" t="n">
        <v>0</v>
      </c>
      <c r="V32" s="31" t="n">
        <v>0</v>
      </c>
      <c r="W32" s="31" t="n">
        <v>0</v>
      </c>
      <c r="X32" s="139">
        <f>X45</f>
        <v/>
      </c>
      <c r="Y32" s="31" t="n">
        <v>0</v>
      </c>
      <c r="Z32" s="31" t="n">
        <v>0</v>
      </c>
      <c r="AA32" s="118" t="n"/>
      <c r="AB32" s="31" t="n">
        <v>0</v>
      </c>
      <c r="AC32" s="31" t="n">
        <v>0</v>
      </c>
      <c r="AD32" s="31" t="n">
        <v>0</v>
      </c>
      <c r="AE32" s="31" t="n">
        <v>0</v>
      </c>
      <c r="AF32" s="31" t="n">
        <v>0</v>
      </c>
      <c r="AG32" s="31" t="n">
        <v>0</v>
      </c>
      <c r="AH32" s="31" t="n">
        <v>0</v>
      </c>
      <c r="AI32" s="31" t="n">
        <v>0</v>
      </c>
      <c r="AJ32" s="31" t="n">
        <v>0</v>
      </c>
      <c r="AK32" s="31" t="n">
        <v>0</v>
      </c>
      <c r="AL32" s="31" t="n">
        <v>0</v>
      </c>
      <c r="AM32" s="31" t="n">
        <v>0</v>
      </c>
      <c r="AN32" s="31" t="n">
        <v>0</v>
      </c>
      <c r="AO32" s="31" t="n">
        <v>0</v>
      </c>
      <c r="AP32" s="31" t="n">
        <v>0</v>
      </c>
      <c r="AQ32" s="31" t="n">
        <v>0</v>
      </c>
      <c r="AR32" s="31" t="n">
        <v>0</v>
      </c>
      <c r="AS32" s="31" t="n">
        <v>0</v>
      </c>
      <c r="AT32" s="31" t="n">
        <v>0</v>
      </c>
      <c r="AU32" s="31" t="n">
        <v>0</v>
      </c>
      <c r="AV32" s="31" t="n">
        <v>0</v>
      </c>
      <c r="AW32" s="31" t="n">
        <v>0</v>
      </c>
      <c r="AX32" s="31" t="n">
        <v>0</v>
      </c>
      <c r="AY32" s="31" t="n">
        <v>0</v>
      </c>
    </row>
    <row r="33">
      <c r="B33" s="18" t="inlineStr">
        <is>
          <t>Loan Repayments</t>
        </is>
      </c>
      <c r="P33" s="19" t="n">
        <v>-132128.24</v>
      </c>
      <c r="Q33" s="19" t="n">
        <v>-122128.76</v>
      </c>
      <c r="R33" s="19" t="n">
        <v>-132834.5</v>
      </c>
      <c r="S33" s="19" t="n">
        <v>-114793.66</v>
      </c>
      <c r="T33" s="20">
        <f>-'Cash, Debt &amp; Equity'!T26</f>
        <v/>
      </c>
      <c r="U33" s="20">
        <f>-'Cash, Debt &amp; Equity'!U26</f>
        <v/>
      </c>
      <c r="V33" s="20">
        <f>-'Cash, Debt &amp; Equity'!V26</f>
        <v/>
      </c>
      <c r="W33" s="20">
        <f>-'Cash, Debt &amp; Equity'!W26</f>
        <v/>
      </c>
      <c r="X33" s="20">
        <f>-'Cash, Debt &amp; Equity'!X26</f>
        <v/>
      </c>
      <c r="Y33" s="20">
        <f>-'Cash, Debt &amp; Equity'!Y26</f>
        <v/>
      </c>
      <c r="Z33" s="20">
        <f>-'Cash, Debt &amp; Equity'!Z26</f>
        <v/>
      </c>
      <c r="AA33" s="20">
        <f>-'Cash, Debt &amp; Equity'!AA26</f>
        <v/>
      </c>
      <c r="AB33" s="20">
        <f>-'Cash, Debt &amp; Equity'!AB26</f>
        <v/>
      </c>
      <c r="AC33" s="20">
        <f>-'Cash, Debt &amp; Equity'!AC26</f>
        <v/>
      </c>
      <c r="AD33" s="20">
        <f>-'Cash, Debt &amp; Equity'!AD26</f>
        <v/>
      </c>
      <c r="AE33" s="20">
        <f>-'Cash, Debt &amp; Equity'!AE26</f>
        <v/>
      </c>
      <c r="AF33" s="20">
        <f>-'Cash, Debt &amp; Equity'!AF26</f>
        <v/>
      </c>
      <c r="AG33" s="20">
        <f>-'Cash, Debt &amp; Equity'!AG26</f>
        <v/>
      </c>
      <c r="AH33" s="20">
        <f>-'Cash, Debt &amp; Equity'!AH26</f>
        <v/>
      </c>
      <c r="AI33" s="20">
        <f>-'Cash, Debt &amp; Equity'!AI26</f>
        <v/>
      </c>
      <c r="AJ33" s="20">
        <f>-'Cash, Debt &amp; Equity'!AJ26</f>
        <v/>
      </c>
      <c r="AK33" s="20">
        <f>-'Cash, Debt &amp; Equity'!AK26</f>
        <v/>
      </c>
      <c r="AL33" s="20">
        <f>-'Cash, Debt &amp; Equity'!AL26</f>
        <v/>
      </c>
      <c r="AM33" s="20">
        <f>-'Cash, Debt &amp; Equity'!AM26</f>
        <v/>
      </c>
      <c r="AN33" s="20">
        <f>-'Cash, Debt &amp; Equity'!AN26</f>
        <v/>
      </c>
      <c r="AO33" s="20">
        <f>-'Cash, Debt &amp; Equity'!AO26</f>
        <v/>
      </c>
      <c r="AP33" s="20">
        <f>-'Cash, Debt &amp; Equity'!AP26</f>
        <v/>
      </c>
      <c r="AQ33" s="20">
        <f>-'Cash, Debt &amp; Equity'!AQ26</f>
        <v/>
      </c>
      <c r="AR33" s="20">
        <f>-'Cash, Debt &amp; Equity'!AR26</f>
        <v/>
      </c>
      <c r="AS33" s="20">
        <f>-'Cash, Debt &amp; Equity'!AS26</f>
        <v/>
      </c>
      <c r="AT33" s="20">
        <f>-'Cash, Debt &amp; Equity'!AT26</f>
        <v/>
      </c>
      <c r="AU33" s="20">
        <f>-'Cash, Debt &amp; Equity'!AU26</f>
        <v/>
      </c>
      <c r="AV33" s="20">
        <f>-'Cash, Debt &amp; Equity'!AV26</f>
        <v/>
      </c>
      <c r="AW33" s="20">
        <f>-'Cash, Debt &amp; Equity'!AW26</f>
        <v/>
      </c>
      <c r="AX33" s="20">
        <f>-'Cash, Debt &amp; Equity'!AX26</f>
        <v/>
      </c>
      <c r="AY33" s="20">
        <f>-'Cash, Debt &amp; Equity'!AY26</f>
        <v/>
      </c>
    </row>
    <row r="34">
      <c r="B34" s="18" t="inlineStr">
        <is>
          <t>Intercompany / Owner Contributions</t>
        </is>
      </c>
      <c r="P34" s="19" t="n">
        <v>0</v>
      </c>
      <c r="Q34" s="19" t="n">
        <v>0</v>
      </c>
      <c r="R34" s="19" t="n">
        <v>133333.33</v>
      </c>
      <c r="S34" s="19" t="n">
        <v>78333.33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v>0</v>
      </c>
      <c r="Y34" s="31" t="n">
        <v>0</v>
      </c>
      <c r="Z34" s="31" t="n">
        <v>-100000</v>
      </c>
      <c r="AA34" s="31" t="n">
        <v>0</v>
      </c>
      <c r="AB34" s="31" t="n">
        <v>0</v>
      </c>
      <c r="AC34" s="31" t="n">
        <v>0</v>
      </c>
      <c r="AD34" s="31" t="n">
        <v>0</v>
      </c>
      <c r="AE34" s="31" t="n">
        <v>0</v>
      </c>
      <c r="AF34" s="31" t="n">
        <v>0</v>
      </c>
      <c r="AG34" s="31" t="n">
        <v>0</v>
      </c>
      <c r="AH34" s="31" t="n">
        <v>0</v>
      </c>
      <c r="AI34" s="31" t="n">
        <v>0</v>
      </c>
      <c r="AJ34" s="31" t="n">
        <v>0</v>
      </c>
      <c r="AK34" s="31" t="n">
        <v>0</v>
      </c>
      <c r="AL34" s="31" t="n">
        <v>0</v>
      </c>
      <c r="AM34" s="31" t="n">
        <v>0</v>
      </c>
      <c r="AN34" s="31" t="n">
        <v>0</v>
      </c>
      <c r="AO34" s="31" t="n">
        <v>0</v>
      </c>
      <c r="AP34" s="31" t="n">
        <v>0</v>
      </c>
      <c r="AQ34" s="31" t="n">
        <v>0</v>
      </c>
      <c r="AR34" s="31" t="n">
        <v>0</v>
      </c>
      <c r="AS34" s="31" t="n">
        <v>0</v>
      </c>
      <c r="AT34" s="31" t="n">
        <v>0</v>
      </c>
      <c r="AU34" s="31" t="n">
        <v>0</v>
      </c>
      <c r="AV34" s="31" t="n">
        <v>0</v>
      </c>
      <c r="AW34" s="31" t="n">
        <v>0</v>
      </c>
      <c r="AX34" s="31" t="n">
        <v>0</v>
      </c>
      <c r="AY34" s="31" t="n">
        <v>0</v>
      </c>
    </row>
    <row r="35">
      <c r="B35" s="15" t="inlineStr">
        <is>
          <t>Net Financing</t>
        </is>
      </c>
      <c r="P35" s="17">
        <f>SUM(P32:P34)</f>
        <v/>
      </c>
      <c r="Q35" s="17">
        <f>SUM(Q32:Q34)</f>
        <v/>
      </c>
      <c r="R35" s="17">
        <f>SUM(R32:R34)</f>
        <v/>
      </c>
      <c r="S35" s="17">
        <f>SUM(S32:S34)</f>
        <v/>
      </c>
      <c r="T35" s="17">
        <f>SUM(T32:T34)</f>
        <v/>
      </c>
      <c r="U35" s="17">
        <f>SUM(U32:U34)</f>
        <v/>
      </c>
      <c r="V35" s="17">
        <f>SUM(V32:V34)</f>
        <v/>
      </c>
      <c r="W35" s="17">
        <f>SUM(W32:W34)</f>
        <v/>
      </c>
      <c r="X35" s="17">
        <f>SUM(X32:X34)</f>
        <v/>
      </c>
      <c r="Y35" s="17">
        <f>SUM(Y32:Y34)</f>
        <v/>
      </c>
      <c r="Z35" s="17">
        <f>SUM(Z32:Z34)</f>
        <v/>
      </c>
      <c r="AA35" s="17">
        <f>SUM(AA32:AA34)</f>
        <v/>
      </c>
      <c r="AB35" s="17">
        <f>SUM(AB32:AB34)</f>
        <v/>
      </c>
      <c r="AC35" s="17">
        <f>SUM(AC32:AC34)</f>
        <v/>
      </c>
      <c r="AD35" s="17">
        <f>SUM(AD32:AD34)</f>
        <v/>
      </c>
      <c r="AE35" s="17">
        <f>SUM(AE32:AE34)</f>
        <v/>
      </c>
      <c r="AF35" s="17">
        <f>SUM(AF32:AF34)</f>
        <v/>
      </c>
      <c r="AG35" s="17">
        <f>SUM(AG32:AG34)</f>
        <v/>
      </c>
      <c r="AH35" s="17">
        <f>SUM(AH32:AH34)</f>
        <v/>
      </c>
      <c r="AI35" s="17">
        <f>SUM(AI32:AI34)</f>
        <v/>
      </c>
      <c r="AJ35" s="17">
        <f>SUM(AJ32:AJ34)</f>
        <v/>
      </c>
      <c r="AK35" s="17">
        <f>SUM(AK32:AK34)</f>
        <v/>
      </c>
      <c r="AL35" s="17">
        <f>SUM(AL32:AL34)</f>
        <v/>
      </c>
      <c r="AM35" s="17">
        <f>SUM(AM32:AM34)</f>
        <v/>
      </c>
      <c r="AN35" s="17">
        <f>SUM(AN32:AN34)</f>
        <v/>
      </c>
      <c r="AO35" s="17">
        <f>SUM(AO32:AO34)</f>
        <v/>
      </c>
      <c r="AP35" s="17">
        <f>SUM(AP32:AP34)</f>
        <v/>
      </c>
      <c r="AQ35" s="17">
        <f>SUM(AQ32:AQ34)</f>
        <v/>
      </c>
      <c r="AR35" s="17">
        <f>SUM(AR32:AR34)</f>
        <v/>
      </c>
      <c r="AS35" s="17">
        <f>SUM(AS32:AS34)</f>
        <v/>
      </c>
      <c r="AT35" s="17">
        <f>SUM(AT32:AT34)</f>
        <v/>
      </c>
      <c r="AU35" s="17">
        <f>SUM(AU32:AU34)</f>
        <v/>
      </c>
      <c r="AV35" s="17">
        <f>SUM(AV32:AV34)</f>
        <v/>
      </c>
      <c r="AW35" s="17">
        <f>SUM(AW32:AW34)</f>
        <v/>
      </c>
      <c r="AX35" s="17">
        <f>SUM(AX32:AX34)</f>
        <v/>
      </c>
      <c r="AY35" s="17">
        <f>SUM(AY32:AY34)</f>
        <v/>
      </c>
    </row>
    <row r="37" ht="16.05" customHeight="1" s="142">
      <c r="B37" s="10" t="inlineStr">
        <is>
          <t>NET CHANGE IN CASH</t>
        </is>
      </c>
      <c r="C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</row>
    <row r="38">
      <c r="B38" s="15" t="inlineStr">
        <is>
          <t>Net Change in Cash</t>
        </is>
      </c>
      <c r="P38" s="36">
        <f>P23+P29+P35</f>
        <v/>
      </c>
      <c r="Q38" s="36">
        <f>Q23+Q29+Q35</f>
        <v/>
      </c>
      <c r="R38" s="36">
        <f>R23+R29+R35</f>
        <v/>
      </c>
      <c r="S38" s="36">
        <f>S23+S29+S35</f>
        <v/>
      </c>
      <c r="T38" s="36">
        <f>T23+T29+T35</f>
        <v/>
      </c>
      <c r="U38" s="36">
        <f>U23+U29+U35</f>
        <v/>
      </c>
      <c r="V38" s="36">
        <f>V23+V29+V35</f>
        <v/>
      </c>
      <c r="W38" s="36">
        <f>W23+W29+W35</f>
        <v/>
      </c>
      <c r="X38" s="36">
        <f>X23+X29+X35</f>
        <v/>
      </c>
      <c r="Y38" s="36">
        <f>Y23+Y29+Y35</f>
        <v/>
      </c>
      <c r="Z38" s="36">
        <f>Z23+Z29+Z35</f>
        <v/>
      </c>
      <c r="AA38" s="36">
        <f>AA23+AA29+AA35</f>
        <v/>
      </c>
      <c r="AB38" s="36">
        <f>AB23+AB29+AB35</f>
        <v/>
      </c>
      <c r="AC38" s="36">
        <f>AC23+AC29+AC35</f>
        <v/>
      </c>
      <c r="AD38" s="36">
        <f>AD23+AD29+AD35</f>
        <v/>
      </c>
      <c r="AE38" s="36">
        <f>AE23+AE29+AE35</f>
        <v/>
      </c>
      <c r="AF38" s="36">
        <f>AF23+AF29+AF35</f>
        <v/>
      </c>
      <c r="AG38" s="36">
        <f>AG23+AG29+AG35</f>
        <v/>
      </c>
      <c r="AH38" s="36">
        <f>AH23+AH29+AH35</f>
        <v/>
      </c>
      <c r="AI38" s="36">
        <f>AI23+AI29+AI35</f>
        <v/>
      </c>
      <c r="AJ38" s="36">
        <f>AJ23+AJ29+AJ35</f>
        <v/>
      </c>
      <c r="AK38" s="36">
        <f>AK23+AK29+AK35</f>
        <v/>
      </c>
      <c r="AL38" s="36">
        <f>AL23+AL29+AL35</f>
        <v/>
      </c>
      <c r="AM38" s="36">
        <f>AM23+AM29+AM35</f>
        <v/>
      </c>
      <c r="AN38" s="36">
        <f>AN23+AN29+AN35</f>
        <v/>
      </c>
      <c r="AO38" s="36">
        <f>AO23+AO29+AO35</f>
        <v/>
      </c>
      <c r="AP38" s="36">
        <f>AP23+AP29+AP35</f>
        <v/>
      </c>
      <c r="AQ38" s="36">
        <f>AQ23+AQ29+AQ35</f>
        <v/>
      </c>
      <c r="AR38" s="36">
        <f>AR23+AR29+AR35</f>
        <v/>
      </c>
      <c r="AS38" s="36">
        <f>AS23+AS29+AS35</f>
        <v/>
      </c>
      <c r="AT38" s="36">
        <f>AT23+AT29+AT35</f>
        <v/>
      </c>
      <c r="AU38" s="36">
        <f>AU23+AU29+AU35</f>
        <v/>
      </c>
      <c r="AV38" s="36">
        <f>AV23+AV29+AV35</f>
        <v/>
      </c>
      <c r="AW38" s="36">
        <f>AW23+AW29+AW35</f>
        <v/>
      </c>
      <c r="AX38" s="36">
        <f>AX23+AX29+AX35</f>
        <v/>
      </c>
      <c r="AY38" s="36">
        <f>AY23+AY29+AY35</f>
        <v/>
      </c>
    </row>
    <row r="39">
      <c r="B39" s="18" t="inlineStr">
        <is>
          <t>Beginning Cash Balance</t>
        </is>
      </c>
      <c r="P39" s="19">
        <f>P40-P38</f>
        <v/>
      </c>
      <c r="Q39" s="19">
        <f>P40</f>
        <v/>
      </c>
      <c r="R39" s="19">
        <f>Q40</f>
        <v/>
      </c>
      <c r="S39" s="19">
        <f>R40</f>
        <v/>
      </c>
      <c r="T39" s="20">
        <f>S40</f>
        <v/>
      </c>
      <c r="U39" s="20">
        <f>T40</f>
        <v/>
      </c>
      <c r="V39" s="20">
        <f>U40</f>
        <v/>
      </c>
      <c r="W39" s="20">
        <f>V40</f>
        <v/>
      </c>
      <c r="X39" s="20">
        <f>W40</f>
        <v/>
      </c>
      <c r="Y39" s="20">
        <f>X40</f>
        <v/>
      </c>
      <c r="Z39" s="20">
        <f>Y40</f>
        <v/>
      </c>
      <c r="AA39" s="20">
        <f>Z40</f>
        <v/>
      </c>
      <c r="AB39" s="20">
        <f>AA40</f>
        <v/>
      </c>
      <c r="AC39" s="20">
        <f>AB40</f>
        <v/>
      </c>
      <c r="AD39" s="20">
        <f>AC40</f>
        <v/>
      </c>
      <c r="AE39" s="20">
        <f>AD40</f>
        <v/>
      </c>
      <c r="AF39" s="20">
        <f>AE40</f>
        <v/>
      </c>
      <c r="AG39" s="20">
        <f>AF40</f>
        <v/>
      </c>
      <c r="AH39" s="20">
        <f>AG40</f>
        <v/>
      </c>
      <c r="AI39" s="20">
        <f>AH40</f>
        <v/>
      </c>
      <c r="AJ39" s="20">
        <f>AI40</f>
        <v/>
      </c>
      <c r="AK39" s="20">
        <f>AJ40</f>
        <v/>
      </c>
      <c r="AL39" s="20">
        <f>AK40</f>
        <v/>
      </c>
      <c r="AM39" s="20">
        <f>AL40</f>
        <v/>
      </c>
      <c r="AN39" s="20">
        <f>AM40</f>
        <v/>
      </c>
      <c r="AO39" s="20">
        <f>AN40</f>
        <v/>
      </c>
      <c r="AP39" s="20">
        <f>AO40</f>
        <v/>
      </c>
      <c r="AQ39" s="20">
        <f>AP40</f>
        <v/>
      </c>
      <c r="AR39" s="20">
        <f>AQ40</f>
        <v/>
      </c>
      <c r="AS39" s="20">
        <f>AR40</f>
        <v/>
      </c>
      <c r="AT39" s="20">
        <f>AS40</f>
        <v/>
      </c>
      <c r="AU39" s="20">
        <f>AT40</f>
        <v/>
      </c>
      <c r="AV39" s="20">
        <f>AU40</f>
        <v/>
      </c>
      <c r="AW39" s="20">
        <f>AV40</f>
        <v/>
      </c>
      <c r="AX39" s="20">
        <f>AW40</f>
        <v/>
      </c>
      <c r="AY39" s="20">
        <f>AX40</f>
        <v/>
      </c>
    </row>
    <row r="40">
      <c r="B40" s="15" t="inlineStr">
        <is>
          <t>Ending Cash Balance</t>
        </is>
      </c>
      <c r="P40" s="65" t="n">
        <v>187021.69</v>
      </c>
      <c r="Q40" s="65" t="n">
        <v>261314.24</v>
      </c>
      <c r="R40" s="65" t="n">
        <v>237762.6</v>
      </c>
      <c r="S40" s="65" t="n">
        <v>473976.03</v>
      </c>
      <c r="T40" s="36">
        <f>T39+T38</f>
        <v/>
      </c>
      <c r="U40" s="36">
        <f>U39+U38</f>
        <v/>
      </c>
      <c r="V40" s="36">
        <f>V39+V38</f>
        <v/>
      </c>
      <c r="W40" s="36">
        <f>W39+W38</f>
        <v/>
      </c>
      <c r="X40" s="36">
        <f>X39+X38</f>
        <v/>
      </c>
      <c r="Y40" s="36">
        <f>Y39+Y38</f>
        <v/>
      </c>
      <c r="Z40" s="36">
        <f>Z39+Z38</f>
        <v/>
      </c>
      <c r="AA40" s="36">
        <f>AA39+AA38</f>
        <v/>
      </c>
      <c r="AB40" s="36">
        <f>AB39+AB38</f>
        <v/>
      </c>
      <c r="AC40" s="36">
        <f>AC39+AC38</f>
        <v/>
      </c>
      <c r="AD40" s="36">
        <f>AD39+AD38</f>
        <v/>
      </c>
      <c r="AE40" s="36">
        <f>AE39+AE38</f>
        <v/>
      </c>
      <c r="AF40" s="36">
        <f>AF39+AF38</f>
        <v/>
      </c>
      <c r="AG40" s="36">
        <f>AG39+AG38</f>
        <v/>
      </c>
      <c r="AH40" s="36">
        <f>AH39+AH38</f>
        <v/>
      </c>
      <c r="AI40" s="36">
        <f>AI39+AI38</f>
        <v/>
      </c>
      <c r="AJ40" s="36">
        <f>AJ39+AJ38</f>
        <v/>
      </c>
      <c r="AK40" s="36">
        <f>AK39+AK38</f>
        <v/>
      </c>
      <c r="AL40" s="36">
        <f>AL39+AL38</f>
        <v/>
      </c>
      <c r="AM40" s="36">
        <f>AM39+AM38</f>
        <v/>
      </c>
      <c r="AN40" s="36">
        <f>AN39+AN38</f>
        <v/>
      </c>
      <c r="AO40" s="36">
        <f>AO39+AO38</f>
        <v/>
      </c>
      <c r="AP40" s="36">
        <f>AP39+AP38</f>
        <v/>
      </c>
      <c r="AQ40" s="36">
        <f>AQ39+AQ38</f>
        <v/>
      </c>
      <c r="AR40" s="36">
        <f>AR39+AR38</f>
        <v/>
      </c>
      <c r="AS40" s="36">
        <f>AS39+AS38</f>
        <v/>
      </c>
      <c r="AT40" s="36">
        <f>AT39+AT38</f>
        <v/>
      </c>
      <c r="AU40" s="36">
        <f>AU39+AU38</f>
        <v/>
      </c>
      <c r="AV40" s="36">
        <f>AV39+AV38</f>
        <v/>
      </c>
      <c r="AW40" s="36">
        <f>AW39+AW38</f>
        <v/>
      </c>
      <c r="AX40" s="36">
        <f>AX39+AX38</f>
        <v/>
      </c>
      <c r="AY40" s="36">
        <f>AY39+AY38</f>
        <v/>
      </c>
    </row>
    <row r="42" ht="16.05" customHeight="1" s="142">
      <c r="B42" s="122" t="inlineStr">
        <is>
          <t>PF Debt At Close</t>
        </is>
      </c>
      <c r="C42" s="123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</row>
    <row r="44">
      <c r="B44" s="102" t="inlineStr">
        <is>
          <t>New Debt, Beg of Period</t>
        </is>
      </c>
      <c r="X44" s="158" t="n">
        <v>0</v>
      </c>
      <c r="Y44" s="159">
        <f>X47</f>
        <v/>
      </c>
      <c r="Z44" s="159">
        <f>Y47</f>
        <v/>
      </c>
      <c r="AA44" s="159">
        <f>Z47</f>
        <v/>
      </c>
      <c r="AB44" s="159">
        <f>AA47</f>
        <v/>
      </c>
      <c r="AC44" s="159">
        <f>AB47</f>
        <v/>
      </c>
      <c r="AD44" s="159">
        <f>AC47</f>
        <v/>
      </c>
      <c r="AE44" s="159">
        <f>AD47</f>
        <v/>
      </c>
      <c r="AF44" s="159">
        <f>AE47</f>
        <v/>
      </c>
      <c r="AG44" s="159">
        <f>AF47</f>
        <v/>
      </c>
      <c r="AH44" s="159">
        <f>AG47</f>
        <v/>
      </c>
      <c r="AI44" s="159">
        <f>AH47</f>
        <v/>
      </c>
      <c r="AJ44" s="159">
        <f>AI47</f>
        <v/>
      </c>
      <c r="AK44" s="159">
        <f>AJ47</f>
        <v/>
      </c>
      <c r="AL44" s="159">
        <f>AK47</f>
        <v/>
      </c>
      <c r="AM44" s="159">
        <f>AL47</f>
        <v/>
      </c>
      <c r="AN44" s="159">
        <f>AM47</f>
        <v/>
      </c>
      <c r="AO44" s="159">
        <f>AN47</f>
        <v/>
      </c>
      <c r="AP44" s="159">
        <f>AO47</f>
        <v/>
      </c>
      <c r="AQ44" s="159">
        <f>AP47</f>
        <v/>
      </c>
      <c r="AR44" s="159">
        <f>AQ47</f>
        <v/>
      </c>
      <c r="AS44" s="159">
        <f>AR47</f>
        <v/>
      </c>
      <c r="AT44" s="159">
        <f>AS47</f>
        <v/>
      </c>
      <c r="AU44" s="159">
        <f>AT47</f>
        <v/>
      </c>
      <c r="AV44" s="159">
        <f>AU47</f>
        <v/>
      </c>
      <c r="AW44" s="159">
        <f>AV47</f>
        <v/>
      </c>
      <c r="AX44" s="159">
        <f>AW47</f>
        <v/>
      </c>
      <c r="AY44" s="159">
        <f>AX47</f>
        <v/>
      </c>
    </row>
    <row r="45">
      <c r="B45" t="inlineStr">
        <is>
          <t>Increase (+)</t>
        </is>
      </c>
      <c r="W45" s="145" t="n"/>
      <c r="X45" s="145">
        <f>'Sources and Uses'!C20</f>
        <v/>
      </c>
    </row>
    <row r="46">
      <c r="B46" t="inlineStr">
        <is>
          <t>Paydown (-)</t>
        </is>
      </c>
      <c r="X46" s="160" t="n">
        <v>0</v>
      </c>
      <c r="Y46" s="160" t="n">
        <v>0</v>
      </c>
      <c r="Z46" s="160" t="n">
        <v>0</v>
      </c>
      <c r="AA46" s="160" t="n">
        <v>0</v>
      </c>
      <c r="AB46" s="160" t="n">
        <v>0</v>
      </c>
      <c r="AC46" s="160" t="n">
        <v>0</v>
      </c>
      <c r="AD46" s="160" t="n">
        <v>0</v>
      </c>
      <c r="AE46" s="160" t="n">
        <v>0</v>
      </c>
      <c r="AF46" s="160" t="n">
        <v>0</v>
      </c>
      <c r="AG46" s="160" t="n">
        <v>0</v>
      </c>
      <c r="AH46" s="160" t="n">
        <v>0</v>
      </c>
      <c r="AI46" s="160" t="n">
        <v>0</v>
      </c>
      <c r="AJ46" s="160" t="n">
        <v>0</v>
      </c>
      <c r="AK46" s="160" t="n">
        <v>0</v>
      </c>
      <c r="AL46" s="160" t="n">
        <v>0</v>
      </c>
      <c r="AM46" s="160" t="n">
        <v>0</v>
      </c>
      <c r="AN46" s="160" t="n">
        <v>0</v>
      </c>
      <c r="AO46" s="160" t="n">
        <v>0</v>
      </c>
      <c r="AP46" s="160" t="n">
        <v>0</v>
      </c>
      <c r="AQ46" s="160" t="n">
        <v>0</v>
      </c>
      <c r="AR46" s="160" t="n">
        <v>0</v>
      </c>
      <c r="AS46" s="160" t="n">
        <v>0</v>
      </c>
      <c r="AT46" s="160" t="n">
        <v>0</v>
      </c>
      <c r="AU46" s="160" t="n">
        <v>0</v>
      </c>
      <c r="AV46" s="160" t="n">
        <v>0</v>
      </c>
      <c r="AW46" s="160" t="n">
        <v>0</v>
      </c>
      <c r="AX46" s="160" t="n">
        <v>0</v>
      </c>
      <c r="AY46" s="160" t="n">
        <v>0</v>
      </c>
    </row>
    <row r="47">
      <c r="B47" s="102" t="inlineStr">
        <is>
          <t>New Debt, End of Period</t>
        </is>
      </c>
      <c r="X47" s="161">
        <f>SUM(X44:X46)</f>
        <v/>
      </c>
      <c r="Y47" s="161">
        <f>SUM(Y44:Y46)</f>
        <v/>
      </c>
      <c r="Z47" s="161">
        <f>SUM(Z44:Z46)</f>
        <v/>
      </c>
      <c r="AA47" s="161">
        <f>SUM(AA44:AA46)</f>
        <v/>
      </c>
      <c r="AB47" s="161">
        <f>SUM(AB44:AB46)</f>
        <v/>
      </c>
      <c r="AC47" s="161">
        <f>SUM(AC44:AC46)</f>
        <v/>
      </c>
      <c r="AD47" s="161">
        <f>SUM(AD44:AD46)</f>
        <v/>
      </c>
      <c r="AE47" s="161">
        <f>SUM(AE44:AE46)</f>
        <v/>
      </c>
      <c r="AF47" s="161">
        <f>SUM(AF44:AF46)</f>
        <v/>
      </c>
      <c r="AG47" s="161">
        <f>SUM(AG44:AG46)</f>
        <v/>
      </c>
      <c r="AH47" s="161">
        <f>SUM(AH44:AH46)</f>
        <v/>
      </c>
      <c r="AI47" s="161">
        <f>SUM(AI44:AI46)</f>
        <v/>
      </c>
      <c r="AJ47" s="161">
        <f>SUM(AJ44:AJ46)</f>
        <v/>
      </c>
      <c r="AK47" s="161">
        <f>SUM(AK44:AK46)</f>
        <v/>
      </c>
      <c r="AL47" s="161">
        <f>SUM(AL44:AL46)</f>
        <v/>
      </c>
      <c r="AM47" s="161">
        <f>SUM(AM44:AM46)</f>
        <v/>
      </c>
      <c r="AN47" s="161">
        <f>SUM(AN44:AN46)</f>
        <v/>
      </c>
      <c r="AO47" s="161">
        <f>SUM(AO44:AO46)</f>
        <v/>
      </c>
      <c r="AP47" s="161">
        <f>SUM(AP44:AP46)</f>
        <v/>
      </c>
      <c r="AQ47" s="161">
        <f>SUM(AQ44:AQ46)</f>
        <v/>
      </c>
      <c r="AR47" s="161">
        <f>SUM(AR44:AR46)</f>
        <v/>
      </c>
      <c r="AS47" s="161">
        <f>SUM(AS44:AS46)</f>
        <v/>
      </c>
      <c r="AT47" s="161">
        <f>SUM(AT44:AT46)</f>
        <v/>
      </c>
      <c r="AU47" s="161">
        <f>SUM(AU44:AU46)</f>
        <v/>
      </c>
      <c r="AV47" s="161">
        <f>SUM(AV44:AV46)</f>
        <v/>
      </c>
      <c r="AW47" s="161">
        <f>SUM(AW44:AW46)</f>
        <v/>
      </c>
      <c r="AX47" s="161">
        <f>SUM(AX44:AX46)</f>
        <v/>
      </c>
      <c r="AY47" s="161">
        <f>SUM(AY44:AY46)</f>
        <v/>
      </c>
      <c r="BB47" s="161">
        <f>AA47</f>
        <v/>
      </c>
      <c r="BC47" s="161">
        <f>AM47</f>
        <v/>
      </c>
      <c r="BD47" s="161">
        <f>AY47</f>
        <v/>
      </c>
      <c r="BF47" s="162">
        <f>BB47</f>
        <v/>
      </c>
    </row>
    <row r="49">
      <c r="B49" t="inlineStr">
        <is>
          <t xml:space="preserve">Cash Interest </t>
        </is>
      </c>
      <c r="C49" s="127">
        <f>'Sources and Uses'!D20</f>
        <v/>
      </c>
      <c r="X49" s="159">
        <f>$C$49*AVERAGE(X44,X47)/12</f>
        <v/>
      </c>
      <c r="Y49" s="159">
        <f>$C$49*AVERAGE(Y44,Y47)/12</f>
        <v/>
      </c>
      <c r="Z49" s="159">
        <f>$C$49*AVERAGE(Z44,Z47)/12</f>
        <v/>
      </c>
      <c r="AA49" s="159">
        <f>$C$49*AVERAGE(AA44,AA47)/12</f>
        <v/>
      </c>
      <c r="AB49" s="159">
        <f>$C$49*AVERAGE(AB44,AB47)/12</f>
        <v/>
      </c>
      <c r="AC49" s="159">
        <f>$C$49*AVERAGE(AC44,AC47)/12</f>
        <v/>
      </c>
      <c r="AD49" s="159">
        <f>$C$49*AVERAGE(AD44,AD47)/12</f>
        <v/>
      </c>
      <c r="AE49" s="159">
        <f>$C$49*AVERAGE(AE44,AE47)/12</f>
        <v/>
      </c>
      <c r="AF49" s="159">
        <f>$C$49*AVERAGE(AF44,AF47)/12</f>
        <v/>
      </c>
      <c r="AG49" s="159">
        <f>$C$49*AVERAGE(AG44,AG47)/12</f>
        <v/>
      </c>
      <c r="AH49" s="159">
        <f>$C$49*AVERAGE(AH44,AH47)/12</f>
        <v/>
      </c>
      <c r="AI49" s="159">
        <f>$C$49*AVERAGE(AI44,AI47)/12</f>
        <v/>
      </c>
      <c r="AJ49" s="159">
        <f>$C$49*AVERAGE(AJ44,AJ47)/12</f>
        <v/>
      </c>
      <c r="AK49" s="159">
        <f>$C$49*AVERAGE(AK44,AK47)/12</f>
        <v/>
      </c>
      <c r="AL49" s="159">
        <f>$C$49*AVERAGE(AL44,AL47)/12</f>
        <v/>
      </c>
      <c r="AM49" s="159">
        <f>$C$49*AVERAGE(AM44,AM47)/12</f>
        <v/>
      </c>
      <c r="AN49" s="159">
        <f>$C$49*AVERAGE(AN44,AN47)/12</f>
        <v/>
      </c>
      <c r="AO49" s="159">
        <f>$C$49*AVERAGE(AO44,AO47)/12</f>
        <v/>
      </c>
      <c r="AP49" s="159">
        <f>$C$49*AVERAGE(AP44,AP47)/12</f>
        <v/>
      </c>
      <c r="AQ49" s="159">
        <f>$C$49*AVERAGE(AQ44,AQ47)/12</f>
        <v/>
      </c>
      <c r="AR49" s="159">
        <f>$C$49*AVERAGE(AR44,AR47)/12</f>
        <v/>
      </c>
      <c r="AS49" s="159">
        <f>$C$49*AVERAGE(AS44,AS47)/12</f>
        <v/>
      </c>
      <c r="AT49" s="159">
        <f>$C$49*AVERAGE(AT44,AT47)/12</f>
        <v/>
      </c>
      <c r="AU49" s="159">
        <f>$C$49*AVERAGE(AU44,AU47)/12</f>
        <v/>
      </c>
      <c r="AV49" s="159">
        <f>$C$49*AVERAGE(AV44,AV47)/12</f>
        <v/>
      </c>
      <c r="AW49" s="159">
        <f>$C$49*AVERAGE(AW44,AW47)/12</f>
        <v/>
      </c>
      <c r="AX49" s="159">
        <f>$C$49*AVERAGE(AX44,AX47)/12</f>
        <v/>
      </c>
      <c r="AY49" s="159">
        <f>$C$49*AVERAGE(AY44,AY47)/12</f>
        <v/>
      </c>
      <c r="BB49" s="144">
        <f>SUM(P49:AA49)</f>
        <v/>
      </c>
      <c r="BC49" s="144">
        <f>SUM(AB49:AM49)</f>
        <v/>
      </c>
      <c r="BD49" s="144">
        <f>SUM(AN49:AY49)</f>
        <v/>
      </c>
    </row>
    <row r="50">
      <c r="BB50" s="144" t="n"/>
      <c r="BC50" s="144" t="n"/>
      <c r="BD50" s="144" t="n"/>
    </row>
    <row r="51">
      <c r="B51" t="inlineStr">
        <is>
          <t>Studio Level EBITDA</t>
        </is>
      </c>
      <c r="D51" s="145">
        <f>Summary!D37</f>
        <v/>
      </c>
      <c r="E51" s="145">
        <f>Summary!E37</f>
        <v/>
      </c>
      <c r="F51" s="145">
        <f>Summary!F37</f>
        <v/>
      </c>
      <c r="G51" s="145">
        <f>Summary!G37</f>
        <v/>
      </c>
      <c r="H51" s="145">
        <f>Summary!H37</f>
        <v/>
      </c>
      <c r="I51" s="145">
        <f>Summary!I37</f>
        <v/>
      </c>
      <c r="J51" s="145">
        <f>Summary!J37</f>
        <v/>
      </c>
      <c r="K51" s="145">
        <f>Summary!K37</f>
        <v/>
      </c>
      <c r="L51" s="145">
        <f>Summary!L37</f>
        <v/>
      </c>
      <c r="M51" s="145">
        <f>Summary!M37</f>
        <v/>
      </c>
      <c r="N51" s="145">
        <f>Summary!N37</f>
        <v/>
      </c>
      <c r="O51" s="145">
        <f>Summary!O37</f>
        <v/>
      </c>
      <c r="P51" s="145">
        <f>Summary!P37</f>
        <v/>
      </c>
      <c r="Q51" s="145">
        <f>Summary!Q37</f>
        <v/>
      </c>
      <c r="R51" s="145">
        <f>Summary!R37</f>
        <v/>
      </c>
      <c r="S51" s="145">
        <f>Summary!S37</f>
        <v/>
      </c>
      <c r="T51" s="145">
        <f>Summary!T37</f>
        <v/>
      </c>
      <c r="U51" s="145">
        <f>Summary!U37</f>
        <v/>
      </c>
      <c r="V51" s="145">
        <f>Summary!V37</f>
        <v/>
      </c>
      <c r="W51" s="145">
        <f>Summary!W37</f>
        <v/>
      </c>
      <c r="X51" s="145">
        <f>Summary!X37</f>
        <v/>
      </c>
      <c r="Y51" s="145">
        <f>Summary!Y37</f>
        <v/>
      </c>
      <c r="Z51" s="145">
        <f>Summary!Z37</f>
        <v/>
      </c>
      <c r="AA51" s="145">
        <f>Summary!AA37</f>
        <v/>
      </c>
      <c r="AB51" s="145">
        <f>Summary!AB37</f>
        <v/>
      </c>
      <c r="AC51" s="145">
        <f>Summary!AC37</f>
        <v/>
      </c>
      <c r="AD51" s="145">
        <f>Summary!AD37</f>
        <v/>
      </c>
      <c r="AE51" s="145">
        <f>Summary!AE37</f>
        <v/>
      </c>
      <c r="AF51" s="145">
        <f>Summary!AF37</f>
        <v/>
      </c>
      <c r="AG51" s="145">
        <f>Summary!AG37</f>
        <v/>
      </c>
      <c r="AH51" s="145">
        <f>Summary!AH37</f>
        <v/>
      </c>
      <c r="AI51" s="145">
        <f>Summary!AI37</f>
        <v/>
      </c>
      <c r="AJ51" s="145">
        <f>Summary!AJ37</f>
        <v/>
      </c>
      <c r="AK51" s="145">
        <f>Summary!AK37</f>
        <v/>
      </c>
      <c r="AL51" s="145">
        <f>Summary!AL37</f>
        <v/>
      </c>
      <c r="AM51" s="145">
        <f>Summary!AM37</f>
        <v/>
      </c>
      <c r="AN51" s="145">
        <f>Summary!AN37</f>
        <v/>
      </c>
      <c r="AO51" s="145">
        <f>Summary!AO37</f>
        <v/>
      </c>
      <c r="AP51" s="145">
        <f>Summary!AP37</f>
        <v/>
      </c>
      <c r="AQ51" s="145">
        <f>Summary!AQ37</f>
        <v/>
      </c>
      <c r="AR51" s="145">
        <f>Summary!AR37</f>
        <v/>
      </c>
      <c r="AS51" s="145">
        <f>Summary!AS37</f>
        <v/>
      </c>
      <c r="AT51" s="145">
        <f>Summary!AT37</f>
        <v/>
      </c>
      <c r="AU51" s="145">
        <f>Summary!AU37</f>
        <v/>
      </c>
      <c r="AV51" s="145">
        <f>Summary!AV37</f>
        <v/>
      </c>
      <c r="AW51" s="145">
        <f>Summary!AW37</f>
        <v/>
      </c>
      <c r="AX51" s="145">
        <f>Summary!AX37</f>
        <v/>
      </c>
      <c r="AY51" s="145">
        <f>Summary!AY37</f>
        <v/>
      </c>
      <c r="BB51" s="144">
        <f>SUM(P51:AA51)</f>
        <v/>
      </c>
      <c r="BC51" s="144">
        <f>SUM(AB51:AM51)</f>
        <v/>
      </c>
      <c r="BD51" s="144">
        <f>SUM(AN51:AY51)</f>
        <v/>
      </c>
      <c r="BF51" s="144">
        <f>SUM(I51:T51)</f>
        <v/>
      </c>
    </row>
    <row r="52">
      <c r="B52" t="inlineStr">
        <is>
          <t>Corporate Level EBITDA</t>
        </is>
      </c>
      <c r="D52" s="145">
        <f>Summary!D22</f>
        <v/>
      </c>
      <c r="E52" s="145">
        <f>Summary!E22</f>
        <v/>
      </c>
      <c r="F52" s="145">
        <f>Summary!F22</f>
        <v/>
      </c>
      <c r="G52" s="145">
        <f>Summary!G22</f>
        <v/>
      </c>
      <c r="H52" s="145">
        <f>Summary!H22</f>
        <v/>
      </c>
      <c r="I52" s="145">
        <f>Summary!I22</f>
        <v/>
      </c>
      <c r="J52" s="145">
        <f>Summary!J22</f>
        <v/>
      </c>
      <c r="K52" s="145">
        <f>Summary!K22</f>
        <v/>
      </c>
      <c r="L52" s="145">
        <f>Summary!L22</f>
        <v/>
      </c>
      <c r="M52" s="145">
        <f>Summary!M22</f>
        <v/>
      </c>
      <c r="N52" s="145">
        <f>Summary!N22</f>
        <v/>
      </c>
      <c r="O52" s="145">
        <f>Summary!O22</f>
        <v/>
      </c>
      <c r="P52" s="145">
        <f>Summary!P22</f>
        <v/>
      </c>
      <c r="Q52" s="145">
        <f>Summary!Q22</f>
        <v/>
      </c>
      <c r="R52" s="145">
        <f>Summary!R22</f>
        <v/>
      </c>
      <c r="S52" s="145">
        <f>Summary!S22</f>
        <v/>
      </c>
      <c r="T52" s="145">
        <f>Summary!T22</f>
        <v/>
      </c>
      <c r="U52" s="145">
        <f>Summary!U22</f>
        <v/>
      </c>
      <c r="V52" s="145">
        <f>Summary!V22</f>
        <v/>
      </c>
      <c r="W52" s="145">
        <f>Summary!W22</f>
        <v/>
      </c>
      <c r="X52" s="145">
        <f>Summary!X22</f>
        <v/>
      </c>
      <c r="Y52" s="145">
        <f>Summary!Y22</f>
        <v/>
      </c>
      <c r="Z52" s="145">
        <f>Summary!Z22</f>
        <v/>
      </c>
      <c r="AA52" s="145">
        <f>Summary!AA22</f>
        <v/>
      </c>
      <c r="AB52" s="145">
        <f>Summary!AB22</f>
        <v/>
      </c>
      <c r="AC52" s="145">
        <f>Summary!AC22</f>
        <v/>
      </c>
      <c r="AD52" s="145">
        <f>Summary!AD22</f>
        <v/>
      </c>
      <c r="AE52" s="145">
        <f>Summary!AE22</f>
        <v/>
      </c>
      <c r="AF52" s="145">
        <f>Summary!AF22</f>
        <v/>
      </c>
      <c r="AG52" s="145">
        <f>Summary!AG22</f>
        <v/>
      </c>
      <c r="AH52" s="145">
        <f>Summary!AH22</f>
        <v/>
      </c>
      <c r="AI52" s="145">
        <f>Summary!AI22</f>
        <v/>
      </c>
      <c r="AJ52" s="145">
        <f>Summary!AJ22</f>
        <v/>
      </c>
      <c r="AK52" s="145">
        <f>Summary!AK22</f>
        <v/>
      </c>
      <c r="AL52" s="145">
        <f>Summary!AL22</f>
        <v/>
      </c>
      <c r="AM52" s="145">
        <f>Summary!AM22</f>
        <v/>
      </c>
      <c r="AN52" s="145">
        <f>Summary!AN22</f>
        <v/>
      </c>
      <c r="AO52" s="145">
        <f>Summary!AO22</f>
        <v/>
      </c>
      <c r="AP52" s="145">
        <f>Summary!AP22</f>
        <v/>
      </c>
      <c r="AQ52" s="145">
        <f>Summary!AQ22</f>
        <v/>
      </c>
      <c r="AR52" s="145">
        <f>Summary!AR22</f>
        <v/>
      </c>
      <c r="AS52" s="145">
        <f>Summary!AS22</f>
        <v/>
      </c>
      <c r="AT52" s="145">
        <f>Summary!AT22</f>
        <v/>
      </c>
      <c r="AU52" s="145">
        <f>Summary!AU22</f>
        <v/>
      </c>
      <c r="AV52" s="145">
        <f>Summary!AV22</f>
        <v/>
      </c>
      <c r="AW52" s="145">
        <f>Summary!AW22</f>
        <v/>
      </c>
      <c r="AX52" s="145">
        <f>Summary!AX22</f>
        <v/>
      </c>
      <c r="AY52" s="145">
        <f>Summary!AY22</f>
        <v/>
      </c>
      <c r="BB52" s="144">
        <f>SUM(P52:AA52)</f>
        <v/>
      </c>
      <c r="BC52" s="144">
        <f>SUM(AB52:AM52)</f>
        <v/>
      </c>
      <c r="BD52" s="144">
        <f>SUM(AN52:AY52)</f>
        <v/>
      </c>
      <c r="BF52" s="144">
        <f>SUM(I52:T52)</f>
        <v/>
      </c>
    </row>
    <row r="53">
      <c r="B53" t="inlineStr">
        <is>
          <t>Adjusted Corporate Level EBITDA</t>
        </is>
      </c>
      <c r="D53" s="145">
        <f>Summary!D39</f>
        <v/>
      </c>
      <c r="E53" s="145">
        <f>Summary!E39</f>
        <v/>
      </c>
      <c r="F53" s="145">
        <f>Summary!F39</f>
        <v/>
      </c>
      <c r="G53" s="145">
        <f>Summary!G39</f>
        <v/>
      </c>
      <c r="H53" s="145">
        <f>Summary!H39</f>
        <v/>
      </c>
      <c r="I53" s="145">
        <f>Summary!I39</f>
        <v/>
      </c>
      <c r="J53" s="145">
        <f>Summary!J39</f>
        <v/>
      </c>
      <c r="K53" s="145">
        <f>Summary!K39</f>
        <v/>
      </c>
      <c r="L53" s="145">
        <f>Summary!L39</f>
        <v/>
      </c>
      <c r="M53" s="145">
        <f>Summary!M39</f>
        <v/>
      </c>
      <c r="N53" s="145">
        <f>Summary!N39</f>
        <v/>
      </c>
      <c r="O53" s="145">
        <f>Summary!O39</f>
        <v/>
      </c>
      <c r="P53" s="145">
        <f>Summary!P39</f>
        <v/>
      </c>
      <c r="Q53" s="145">
        <f>Summary!Q39</f>
        <v/>
      </c>
      <c r="R53" s="145">
        <f>Summary!R39</f>
        <v/>
      </c>
      <c r="S53" s="145">
        <f>Summary!S39</f>
        <v/>
      </c>
      <c r="T53" s="145">
        <f>Summary!T39</f>
        <v/>
      </c>
      <c r="U53" s="145">
        <f>Summary!U39</f>
        <v/>
      </c>
      <c r="V53" s="145">
        <f>Summary!V39</f>
        <v/>
      </c>
      <c r="W53" s="145">
        <f>Summary!W39</f>
        <v/>
      </c>
      <c r="X53" s="145">
        <f>Summary!X39</f>
        <v/>
      </c>
      <c r="Y53" s="145">
        <f>Summary!Y39</f>
        <v/>
      </c>
      <c r="Z53" s="145">
        <f>Summary!Z39</f>
        <v/>
      </c>
      <c r="AA53" s="145">
        <f>Summary!AA39</f>
        <v/>
      </c>
      <c r="AB53" s="145">
        <f>Summary!AB39</f>
        <v/>
      </c>
      <c r="AC53" s="145">
        <f>Summary!AC39</f>
        <v/>
      </c>
      <c r="AD53" s="145">
        <f>Summary!AD39</f>
        <v/>
      </c>
      <c r="AE53" s="145">
        <f>Summary!AE39</f>
        <v/>
      </c>
      <c r="AF53" s="145">
        <f>Summary!AF39</f>
        <v/>
      </c>
      <c r="AG53" s="145">
        <f>Summary!AG39</f>
        <v/>
      </c>
      <c r="AH53" s="145">
        <f>Summary!AH39</f>
        <v/>
      </c>
      <c r="AI53" s="145">
        <f>Summary!AI39</f>
        <v/>
      </c>
      <c r="AJ53" s="145">
        <f>Summary!AJ39</f>
        <v/>
      </c>
      <c r="AK53" s="145">
        <f>Summary!AK39</f>
        <v/>
      </c>
      <c r="AL53" s="145">
        <f>Summary!AL39</f>
        <v/>
      </c>
      <c r="AM53" s="145">
        <f>Summary!AM39</f>
        <v/>
      </c>
      <c r="AN53" s="145">
        <f>Summary!AN39</f>
        <v/>
      </c>
      <c r="AO53" s="145">
        <f>Summary!AO39</f>
        <v/>
      </c>
      <c r="AP53" s="145">
        <f>Summary!AP39</f>
        <v/>
      </c>
      <c r="AQ53" s="145">
        <f>Summary!AQ39</f>
        <v/>
      </c>
      <c r="AR53" s="145">
        <f>Summary!AR39</f>
        <v/>
      </c>
      <c r="AS53" s="145">
        <f>Summary!AS39</f>
        <v/>
      </c>
      <c r="AT53" s="145">
        <f>Summary!AT39</f>
        <v/>
      </c>
      <c r="AU53" s="145">
        <f>Summary!AU39</f>
        <v/>
      </c>
      <c r="AV53" s="145">
        <f>Summary!AV39</f>
        <v/>
      </c>
      <c r="AW53" s="145">
        <f>Summary!AW39</f>
        <v/>
      </c>
      <c r="AX53" s="145">
        <f>Summary!AX39</f>
        <v/>
      </c>
      <c r="AY53" s="145">
        <f>Summary!AY39</f>
        <v/>
      </c>
      <c r="BB53" s="144">
        <f>SUM(P53:AA53)</f>
        <v/>
      </c>
      <c r="BC53" s="144">
        <f>SUM(AB53:AM53)</f>
        <v/>
      </c>
      <c r="BD53" s="144">
        <f>SUM(AN53:AY53)</f>
        <v/>
      </c>
      <c r="BF53" s="144">
        <f>SUM(I53:T53)</f>
        <v/>
      </c>
    </row>
    <row r="55">
      <c r="B55" t="inlineStr">
        <is>
          <t>Debt / LTM Studio Level EBITDA</t>
        </is>
      </c>
      <c r="X55" s="133">
        <f>X47/SUM(M51:X51)</f>
        <v/>
      </c>
      <c r="Y55" s="133">
        <f>Y47/SUM(N51:Y51)</f>
        <v/>
      </c>
      <c r="Z55" s="133">
        <f>Z47/SUM(O51:Z51)</f>
        <v/>
      </c>
      <c r="AA55" s="133">
        <f>AA47/SUM(P51:AA51)</f>
        <v/>
      </c>
      <c r="AB55" s="133">
        <f>AB47/SUM(Q51:AB51)</f>
        <v/>
      </c>
      <c r="AC55" s="133">
        <f>AC47/SUM(R51:AC51)</f>
        <v/>
      </c>
      <c r="AD55" s="133">
        <f>AD47/SUM(S51:AD51)</f>
        <v/>
      </c>
      <c r="AE55" s="133">
        <f>AE47/SUM(T51:AE51)</f>
        <v/>
      </c>
      <c r="AF55" s="133">
        <f>AF47/SUM(U51:AF51)</f>
        <v/>
      </c>
      <c r="AG55" s="133">
        <f>AG47/SUM(V51:AG51)</f>
        <v/>
      </c>
      <c r="AH55" s="133">
        <f>AH47/SUM(W51:AH51)</f>
        <v/>
      </c>
      <c r="AI55" s="133">
        <f>AI47/SUM(X51:AI51)</f>
        <v/>
      </c>
      <c r="AJ55" s="133">
        <f>AJ47/SUM(Y51:AJ51)</f>
        <v/>
      </c>
      <c r="AK55" s="133">
        <f>AK47/SUM(Z51:AK51)</f>
        <v/>
      </c>
      <c r="AL55" s="133">
        <f>AL47/SUM(AA51:AL51)</f>
        <v/>
      </c>
      <c r="AM55" s="133">
        <f>AM47/SUM(AB51:AM51)</f>
        <v/>
      </c>
      <c r="AN55" s="133">
        <f>AN47/SUM(AC51:AN51)</f>
        <v/>
      </c>
      <c r="AO55" s="133">
        <f>AO47/SUM(AD51:AO51)</f>
        <v/>
      </c>
      <c r="AP55" s="133">
        <f>AP47/SUM(AE51:AP51)</f>
        <v/>
      </c>
      <c r="AQ55" s="133">
        <f>AQ47/SUM(AF51:AQ51)</f>
        <v/>
      </c>
      <c r="AR55" s="133">
        <f>AR47/SUM(AG51:AR51)</f>
        <v/>
      </c>
      <c r="AS55" s="133">
        <f>AS47/SUM(AH51:AS51)</f>
        <v/>
      </c>
      <c r="AT55" s="133">
        <f>AT47/SUM(AI51:AT51)</f>
        <v/>
      </c>
      <c r="AU55" s="133">
        <f>AU47/SUM(AJ51:AU51)</f>
        <v/>
      </c>
      <c r="AV55" s="133">
        <f>AV47/SUM(AK51:AV51)</f>
        <v/>
      </c>
      <c r="AW55" s="133">
        <f>AW47/SUM(AL51:AW51)</f>
        <v/>
      </c>
      <c r="AX55" s="133">
        <f>AX47/SUM(AM51:AX51)</f>
        <v/>
      </c>
      <c r="AY55" s="133">
        <f>AY47/SUM(AN51:AY51)</f>
        <v/>
      </c>
      <c r="BB55" s="138">
        <f>BB47/BB51</f>
        <v/>
      </c>
      <c r="BC55" s="138">
        <f>BC47/BC51</f>
        <v/>
      </c>
      <c r="BD55" s="138">
        <f>BD47/BD51</f>
        <v/>
      </c>
      <c r="BF55" s="138">
        <f>BF47/BF51</f>
        <v/>
      </c>
    </row>
    <row r="56">
      <c r="B56" t="inlineStr">
        <is>
          <t>Debt / Corporate Level EBITDA</t>
        </is>
      </c>
      <c r="X56" s="133">
        <f>X47/SUM(M52:X52)</f>
        <v/>
      </c>
      <c r="Y56" s="133">
        <f>Y47/SUM(N52:Y52)</f>
        <v/>
      </c>
      <c r="Z56" s="133">
        <f>Z47/SUM(O52:Z52)</f>
        <v/>
      </c>
      <c r="AA56" s="133">
        <f>AA47/SUM(P52:AA52)</f>
        <v/>
      </c>
      <c r="AB56" s="133">
        <f>AB47/SUM(Q52:AB52)</f>
        <v/>
      </c>
      <c r="AC56" s="133">
        <f>AC47/SUM(R52:AC52)</f>
        <v/>
      </c>
      <c r="AD56" s="133">
        <f>AD47/SUM(S52:AD52)</f>
        <v/>
      </c>
      <c r="AE56" s="133">
        <f>AE47/SUM(T52:AE52)</f>
        <v/>
      </c>
      <c r="AF56" s="133">
        <f>AF47/SUM(U52:AF52)</f>
        <v/>
      </c>
      <c r="AG56" s="133">
        <f>AG47/SUM(V52:AG52)</f>
        <v/>
      </c>
      <c r="AH56" s="133">
        <f>AH47/SUM(W52:AH52)</f>
        <v/>
      </c>
      <c r="AI56" s="133">
        <f>AI47/SUM(X52:AI52)</f>
        <v/>
      </c>
      <c r="AJ56" s="133">
        <f>AJ47/SUM(Y52:AJ52)</f>
        <v/>
      </c>
      <c r="AK56" s="133">
        <f>AK47/SUM(Z52:AK52)</f>
        <v/>
      </c>
      <c r="AL56" s="133">
        <f>AL47/SUM(AA52:AL52)</f>
        <v/>
      </c>
      <c r="AM56" s="133">
        <f>AM47/SUM(AB52:AM52)</f>
        <v/>
      </c>
      <c r="AN56" s="133">
        <f>AN47/SUM(AC52:AN52)</f>
        <v/>
      </c>
      <c r="AO56" s="133">
        <f>AO47/SUM(AD52:AO52)</f>
        <v/>
      </c>
      <c r="AP56" s="133">
        <f>AP47/SUM(AE52:AP52)</f>
        <v/>
      </c>
      <c r="AQ56" s="133">
        <f>AQ47/SUM(AF52:AQ52)</f>
        <v/>
      </c>
      <c r="AR56" s="133">
        <f>AR47/SUM(AG52:AR52)</f>
        <v/>
      </c>
      <c r="AS56" s="133">
        <f>AS47/SUM(AH52:AS52)</f>
        <v/>
      </c>
      <c r="AT56" s="133">
        <f>AT47/SUM(AI52:AT52)</f>
        <v/>
      </c>
      <c r="AU56" s="133">
        <f>AU47/SUM(AJ52:AU52)</f>
        <v/>
      </c>
      <c r="AV56" s="133">
        <f>AV47/SUM(AK52:AV52)</f>
        <v/>
      </c>
      <c r="AW56" s="133">
        <f>AW47/SUM(AL52:AW52)</f>
        <v/>
      </c>
      <c r="AX56" s="133">
        <f>AX47/SUM(AM52:AX52)</f>
        <v/>
      </c>
      <c r="AY56" s="133">
        <f>AY47/SUM(AN52:AY52)</f>
        <v/>
      </c>
      <c r="BB56" s="138">
        <f>BB47/BB52</f>
        <v/>
      </c>
      <c r="BC56" s="138">
        <f>BC47/BC52</f>
        <v/>
      </c>
      <c r="BD56" s="138">
        <f>BD47/BD52</f>
        <v/>
      </c>
      <c r="BF56" s="138">
        <f>BF47/BF52</f>
        <v/>
      </c>
    </row>
    <row r="57">
      <c r="B57" t="inlineStr">
        <is>
          <t>Debt / Adjusted Corporate Level EBITDA</t>
        </is>
      </c>
      <c r="X57" s="133">
        <f>X47/SUM(M53:X53)</f>
        <v/>
      </c>
      <c r="Y57" s="133">
        <f>Y47/SUM(N53:Y53)</f>
        <v/>
      </c>
      <c r="Z57" s="133">
        <f>Z47/SUM(O53:Z53)</f>
        <v/>
      </c>
      <c r="AA57" s="133">
        <f>AA47/SUM(P53:AA53)</f>
        <v/>
      </c>
      <c r="AB57" s="133">
        <f>AB47/SUM(Q53:AB53)</f>
        <v/>
      </c>
      <c r="AC57" s="133">
        <f>AC47/SUM(R53:AC53)</f>
        <v/>
      </c>
      <c r="AD57" s="133">
        <f>AD47/SUM(S53:AD53)</f>
        <v/>
      </c>
      <c r="AE57" s="133">
        <f>AE47/SUM(T53:AE53)</f>
        <v/>
      </c>
      <c r="AF57" s="133">
        <f>AF47/SUM(U53:AF53)</f>
        <v/>
      </c>
      <c r="AG57" s="133">
        <f>AG47/SUM(V53:AG53)</f>
        <v/>
      </c>
      <c r="AH57" s="133">
        <f>AH47/SUM(W53:AH53)</f>
        <v/>
      </c>
      <c r="AI57" s="133">
        <f>AI47/SUM(X53:AI53)</f>
        <v/>
      </c>
      <c r="AJ57" s="133">
        <f>AJ47/SUM(Y53:AJ53)</f>
        <v/>
      </c>
      <c r="AK57" s="133">
        <f>AK47/SUM(Z53:AK53)</f>
        <v/>
      </c>
      <c r="AL57" s="133">
        <f>AL47/SUM(AA53:AL53)</f>
        <v/>
      </c>
      <c r="AM57" s="133">
        <f>AM47/SUM(AB53:AM53)</f>
        <v/>
      </c>
      <c r="AN57" s="133">
        <f>AN47/SUM(AC53:AN53)</f>
        <v/>
      </c>
      <c r="AO57" s="133">
        <f>AO47/SUM(AD53:AO53)</f>
        <v/>
      </c>
      <c r="AP57" s="133">
        <f>AP47/SUM(AE53:AP53)</f>
        <v/>
      </c>
      <c r="AQ57" s="133">
        <f>AQ47/SUM(AF53:AQ53)</f>
        <v/>
      </c>
      <c r="AR57" s="133">
        <f>AR47/SUM(AG53:AR53)</f>
        <v/>
      </c>
      <c r="AS57" s="133">
        <f>AS47/SUM(AH53:AS53)</f>
        <v/>
      </c>
      <c r="AT57" s="133">
        <f>AT47/SUM(AI53:AT53)</f>
        <v/>
      </c>
      <c r="AU57" s="133">
        <f>AU47/SUM(AJ53:AU53)</f>
        <v/>
      </c>
      <c r="AV57" s="133">
        <f>AV47/SUM(AK53:AV53)</f>
        <v/>
      </c>
      <c r="AW57" s="133">
        <f>AW47/SUM(AL53:AW53)</f>
        <v/>
      </c>
      <c r="AX57" s="133">
        <f>AX47/SUM(AM53:AX53)</f>
        <v/>
      </c>
      <c r="AY57" s="133">
        <f>AY47/SUM(AN53:AY53)</f>
        <v/>
      </c>
      <c r="BB57" s="138">
        <f>BB47/BB53</f>
        <v/>
      </c>
      <c r="BC57" s="138">
        <f>BC47/BC53</f>
        <v/>
      </c>
      <c r="BD57" s="138">
        <f>BD47/BD53</f>
        <v/>
      </c>
      <c r="BF57" s="138">
        <f>BF47/BF53</f>
        <v/>
      </c>
    </row>
    <row r="58">
      <c r="B58" t="inlineStr">
        <is>
          <t>Corporate Level EBITDA / Cash Interest</t>
        </is>
      </c>
      <c r="X58" s="133">
        <f>X52/X49</f>
        <v/>
      </c>
      <c r="Y58" s="133">
        <f>Y52/Y49</f>
        <v/>
      </c>
      <c r="Z58" s="133">
        <f>Z52/Z49</f>
        <v/>
      </c>
      <c r="AA58" s="133">
        <f>AA52/AA49</f>
        <v/>
      </c>
      <c r="AB58" s="133">
        <f>AB52/AB49</f>
        <v/>
      </c>
      <c r="AC58" s="133">
        <f>AC52/AC49</f>
        <v/>
      </c>
      <c r="AD58" s="133">
        <f>AD52/AD49</f>
        <v/>
      </c>
      <c r="AE58" s="133">
        <f>AE52/AE49</f>
        <v/>
      </c>
      <c r="AF58" s="133">
        <f>AF52/AF49</f>
        <v/>
      </c>
      <c r="AG58" s="133">
        <f>AG52/AG49</f>
        <v/>
      </c>
      <c r="AH58" s="133">
        <f>AH52/AH49</f>
        <v/>
      </c>
      <c r="AI58" s="133">
        <f>AI52/AI49</f>
        <v/>
      </c>
      <c r="AJ58" s="133">
        <f>AJ52/AJ49</f>
        <v/>
      </c>
      <c r="AK58" s="133">
        <f>AK52/AK49</f>
        <v/>
      </c>
      <c r="AL58" s="133">
        <f>AL52/AL49</f>
        <v/>
      </c>
      <c r="AM58" s="133">
        <f>AM52/AM49</f>
        <v/>
      </c>
      <c r="AN58" s="133">
        <f>AN52/AN49</f>
        <v/>
      </c>
      <c r="AO58" s="133">
        <f>AO52/AO49</f>
        <v/>
      </c>
      <c r="AP58" s="133">
        <f>AP52/AP49</f>
        <v/>
      </c>
      <c r="AQ58" s="133">
        <f>AQ52/AQ49</f>
        <v/>
      </c>
      <c r="AR58" s="133">
        <f>AR52/AR49</f>
        <v/>
      </c>
      <c r="AS58" s="133">
        <f>AS52/AS49</f>
        <v/>
      </c>
      <c r="AT58" s="133">
        <f>AT52/AT49</f>
        <v/>
      </c>
      <c r="AU58" s="133">
        <f>AU52/AU49</f>
        <v/>
      </c>
      <c r="AV58" s="133">
        <f>AV52/AV49</f>
        <v/>
      </c>
      <c r="AW58" s="133">
        <f>AW52/AW49</f>
        <v/>
      </c>
      <c r="AX58" s="133">
        <f>AX52/AX49</f>
        <v/>
      </c>
      <c r="AY58" s="133">
        <f>AY52/AY49</f>
        <v/>
      </c>
      <c r="BB58" s="138">
        <f>IFERROR(BB52/BB49,"NA")</f>
        <v/>
      </c>
      <c r="BC58" s="138">
        <f>IFERROR(BC52/BC49,"NA")</f>
        <v/>
      </c>
      <c r="BD58" s="138">
        <f>IFERROR(BD52/BD49,"NA")</f>
        <v/>
      </c>
      <c r="BF58" s="138">
        <f>IFERROR(BF52/BF49,"NA")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B2:AY39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Profit &amp; Loss (Consolidated)</t>
        </is>
      </c>
    </row>
    <row r="3">
      <c r="B3" s="3" t="inlineStr">
        <is>
          <t>Actuals Jan-Apr 2026. Forecast May 2026+ uses formulas from Sales Forecast and Assumptions.</t>
        </is>
      </c>
    </row>
    <row r="4" ht="16.05" customHeight="1" s="142">
      <c r="B4" s="10" t="inlineStr">
        <is>
          <t>Monthly P&amp;L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>
      <c r="B6" s="18" t="inlineStr">
        <is>
          <t>Session Revenue</t>
        </is>
      </c>
      <c r="D6" s="19" t="n">
        <v>444458.84</v>
      </c>
      <c r="E6" s="19" t="n">
        <v>541393.7599999999</v>
      </c>
      <c r="F6" s="19" t="n">
        <v>704822.0399999999</v>
      </c>
      <c r="G6" s="19" t="n">
        <v>684557.5900000001</v>
      </c>
      <c r="H6" s="19" t="n">
        <v>741695.3900000001</v>
      </c>
      <c r="I6" s="19" t="n">
        <v>732460.21</v>
      </c>
      <c r="J6" s="19" t="n">
        <v>728344.66</v>
      </c>
      <c r="K6" s="19" t="n">
        <v>718819.7200000002</v>
      </c>
      <c r="L6" s="19" t="n">
        <v>720323.37</v>
      </c>
      <c r="M6" s="19" t="n">
        <v>736168.7400000001</v>
      </c>
      <c r="N6" s="19" t="n">
        <v>706551.9899999999</v>
      </c>
      <c r="O6" s="19" t="n">
        <v>690895.8200000001</v>
      </c>
      <c r="P6" s="19" t="n">
        <v>1000203.99</v>
      </c>
      <c r="Q6" s="19" t="n">
        <v>866507.65</v>
      </c>
      <c r="R6" s="19" t="n">
        <v>867748.3999999999</v>
      </c>
      <c r="S6" s="19" t="n">
        <v>790938.8199999999</v>
      </c>
      <c r="T6" s="84" t="n">
        <v>807497.91</v>
      </c>
      <c r="U6" s="20">
        <f>'Sales Forecast'!U18*Assumptions!$C$12+'Sales Forecast'!T18*Assumptions!$D$12+'Sales Forecast'!S18*Assumptions!$E$12+'Sales Forecast'!R18*Assumptions!$F$12+'Sales Forecast'!Q18*Assumptions!$G$12+'Sales Forecast'!P18*Assumptions!$H$12+'Sales Forecast'!U101*Assumptions!$I$12</f>
        <v/>
      </c>
      <c r="V6" s="20">
        <f>'Sales Forecast'!V18*Assumptions!$C$12+'Sales Forecast'!U18*Assumptions!$D$12+'Sales Forecast'!T18*Assumptions!$E$12+'Sales Forecast'!S18*Assumptions!$F$12+'Sales Forecast'!R18*Assumptions!$G$12+'Sales Forecast'!Q18*Assumptions!$H$12+'Sales Forecast'!P18*Assumptions!$I$12</f>
        <v/>
      </c>
      <c r="W6" s="20">
        <f>'Sales Forecast'!W18*Assumptions!$C$12+'Sales Forecast'!V18*Assumptions!$D$12+'Sales Forecast'!U18*Assumptions!$E$12+'Sales Forecast'!T18*Assumptions!$F$12+'Sales Forecast'!S18*Assumptions!$G$12+'Sales Forecast'!R18*Assumptions!$H$12+'Sales Forecast'!Q18*Assumptions!$I$12</f>
        <v/>
      </c>
      <c r="X6" s="20">
        <f>'Sales Forecast'!X18*Assumptions!$C$12+'Sales Forecast'!W18*Assumptions!$D$12+'Sales Forecast'!V18*Assumptions!$E$12+'Sales Forecast'!U18*Assumptions!$F$12+'Sales Forecast'!T18*Assumptions!$G$12+'Sales Forecast'!S18*Assumptions!$H$12+'Sales Forecast'!R18*Assumptions!$I$12</f>
        <v/>
      </c>
      <c r="Y6" s="20">
        <f>'Sales Forecast'!Y18*Assumptions!$C$12+'Sales Forecast'!X18*Assumptions!$D$12+'Sales Forecast'!W18*Assumptions!$E$12+'Sales Forecast'!V18*Assumptions!$F$12+'Sales Forecast'!U18*Assumptions!$G$12+'Sales Forecast'!T18*Assumptions!$H$12+'Sales Forecast'!S18*Assumptions!$I$12</f>
        <v/>
      </c>
      <c r="Z6" s="20">
        <f>'Sales Forecast'!Z18*Assumptions!$C$12+'Sales Forecast'!Y18*Assumptions!$D$12+'Sales Forecast'!X18*Assumptions!$E$12+'Sales Forecast'!W18*Assumptions!$F$12+'Sales Forecast'!V18*Assumptions!$G$12+'Sales Forecast'!U18*Assumptions!$H$12+'Sales Forecast'!T18*Assumptions!$I$12</f>
        <v/>
      </c>
      <c r="AA6" s="20">
        <f>'Sales Forecast'!AA18*Assumptions!$C$12+'Sales Forecast'!Z18*Assumptions!$D$12+'Sales Forecast'!Y18*Assumptions!$E$12+'Sales Forecast'!X18*Assumptions!$F$12+'Sales Forecast'!W18*Assumptions!$G$12+'Sales Forecast'!V18*Assumptions!$H$12+'Sales Forecast'!U18*Assumptions!$I$12</f>
        <v/>
      </c>
      <c r="AB6" s="20">
        <f>'Sales Forecast'!AB18*Assumptions!$C$12+'Sales Forecast'!AA18*Assumptions!$D$12+'Sales Forecast'!Z18*Assumptions!$E$12+'Sales Forecast'!Y18*Assumptions!$F$12+'Sales Forecast'!X18*Assumptions!$G$12+'Sales Forecast'!W18*Assumptions!$H$12+'Sales Forecast'!V18*Assumptions!$I$12</f>
        <v/>
      </c>
      <c r="AC6" s="20">
        <f>'Sales Forecast'!AC18*Assumptions!$C$12+'Sales Forecast'!AB18*Assumptions!$D$12+'Sales Forecast'!AA18*Assumptions!$E$12+'Sales Forecast'!Z18*Assumptions!$F$12+'Sales Forecast'!Y18*Assumptions!$G$12+'Sales Forecast'!X18*Assumptions!$H$12+'Sales Forecast'!W18*Assumptions!$I$12</f>
        <v/>
      </c>
      <c r="AD6" s="20">
        <f>'Sales Forecast'!AD18*Assumptions!$C$12+'Sales Forecast'!AC18*Assumptions!$D$12+'Sales Forecast'!AB18*Assumptions!$E$12+'Sales Forecast'!AA18*Assumptions!$F$12+'Sales Forecast'!Z18*Assumptions!$G$12+'Sales Forecast'!Y18*Assumptions!$H$12+'Sales Forecast'!X18*Assumptions!$I$12</f>
        <v/>
      </c>
      <c r="AE6" s="20">
        <f>'Sales Forecast'!AE18*Assumptions!$C$12+'Sales Forecast'!AD18*Assumptions!$D$12+'Sales Forecast'!AC18*Assumptions!$E$12+'Sales Forecast'!AB18*Assumptions!$F$12+'Sales Forecast'!AA18*Assumptions!$G$12+'Sales Forecast'!Z18*Assumptions!$H$12+'Sales Forecast'!Y18*Assumptions!$I$12</f>
        <v/>
      </c>
      <c r="AF6" s="20">
        <f>'Sales Forecast'!AF18*Assumptions!$C$12+'Sales Forecast'!AE18*Assumptions!$D$12+'Sales Forecast'!AD18*Assumptions!$E$12+'Sales Forecast'!AC18*Assumptions!$F$12+'Sales Forecast'!AB18*Assumptions!$G$12+'Sales Forecast'!AA18*Assumptions!$H$12+'Sales Forecast'!Z18*Assumptions!$I$12</f>
        <v/>
      </c>
      <c r="AG6" s="20">
        <f>'Sales Forecast'!AG18*Assumptions!$C$12+'Sales Forecast'!AF18*Assumptions!$D$12+'Sales Forecast'!AE18*Assumptions!$E$12+'Sales Forecast'!AD18*Assumptions!$F$12+'Sales Forecast'!AC18*Assumptions!$G$12+'Sales Forecast'!AB18*Assumptions!$H$12+'Sales Forecast'!AA18*Assumptions!$I$12</f>
        <v/>
      </c>
      <c r="AH6" s="20">
        <f>'Sales Forecast'!AH18*Assumptions!$C$12+'Sales Forecast'!AG18*Assumptions!$D$12+'Sales Forecast'!AF18*Assumptions!$E$12+'Sales Forecast'!AE18*Assumptions!$F$12+'Sales Forecast'!AD18*Assumptions!$G$12+'Sales Forecast'!AC18*Assumptions!$H$12+'Sales Forecast'!AB18*Assumptions!$I$12</f>
        <v/>
      </c>
      <c r="AI6" s="20">
        <f>'Sales Forecast'!AI18*Assumptions!$C$12+'Sales Forecast'!AH18*Assumptions!$D$12+'Sales Forecast'!AG18*Assumptions!$E$12+'Sales Forecast'!AF18*Assumptions!$F$12+'Sales Forecast'!AE18*Assumptions!$G$12+'Sales Forecast'!AD18*Assumptions!$H$12+'Sales Forecast'!AC18*Assumptions!$I$12</f>
        <v/>
      </c>
      <c r="AJ6" s="20">
        <f>'Sales Forecast'!AJ18*Assumptions!$C$12+'Sales Forecast'!AI18*Assumptions!$D$12+'Sales Forecast'!AH18*Assumptions!$E$12+'Sales Forecast'!AG18*Assumptions!$F$12+'Sales Forecast'!AF18*Assumptions!$G$12+'Sales Forecast'!AE18*Assumptions!$H$12+'Sales Forecast'!AD18*Assumptions!$I$12</f>
        <v/>
      </c>
      <c r="AK6" s="20">
        <f>'Sales Forecast'!AK18*Assumptions!$C$12+'Sales Forecast'!AJ18*Assumptions!$D$12+'Sales Forecast'!AI18*Assumptions!$E$12+'Sales Forecast'!AH18*Assumptions!$F$12+'Sales Forecast'!AG18*Assumptions!$G$12+'Sales Forecast'!AF18*Assumptions!$H$12+'Sales Forecast'!AE18*Assumptions!$I$12</f>
        <v/>
      </c>
      <c r="AL6" s="20">
        <f>'Sales Forecast'!AL18*Assumptions!$C$12+'Sales Forecast'!AK18*Assumptions!$D$12+'Sales Forecast'!AJ18*Assumptions!$E$12+'Sales Forecast'!AI18*Assumptions!$F$12+'Sales Forecast'!AH18*Assumptions!$G$12+'Sales Forecast'!AG18*Assumptions!$H$12+'Sales Forecast'!AF18*Assumptions!$I$12</f>
        <v/>
      </c>
      <c r="AM6" s="20">
        <f>'Sales Forecast'!AM18*Assumptions!$C$12+'Sales Forecast'!AL18*Assumptions!$D$12+'Sales Forecast'!AK18*Assumptions!$E$12+'Sales Forecast'!AJ18*Assumptions!$F$12+'Sales Forecast'!AI18*Assumptions!$G$12+'Sales Forecast'!AH18*Assumptions!$H$12+'Sales Forecast'!AG18*Assumptions!$I$12</f>
        <v/>
      </c>
      <c r="AN6" s="20">
        <f>'Sales Forecast'!AN18*Assumptions!$C$12+'Sales Forecast'!AM18*Assumptions!$D$12+'Sales Forecast'!AL18*Assumptions!$E$12+'Sales Forecast'!AK18*Assumptions!$F$12+'Sales Forecast'!AJ18*Assumptions!$G$12+'Sales Forecast'!AI18*Assumptions!$H$12+'Sales Forecast'!AH18*Assumptions!$I$12</f>
        <v/>
      </c>
      <c r="AO6" s="20">
        <f>'Sales Forecast'!AO18*Assumptions!$C$12+'Sales Forecast'!AN18*Assumptions!$D$12+'Sales Forecast'!AM18*Assumptions!$E$12+'Sales Forecast'!AL18*Assumptions!$F$12+'Sales Forecast'!AK18*Assumptions!$G$12+'Sales Forecast'!AJ18*Assumptions!$H$12+'Sales Forecast'!AI18*Assumptions!$I$12</f>
        <v/>
      </c>
      <c r="AP6" s="20">
        <f>'Sales Forecast'!AP18*Assumptions!$C$12+'Sales Forecast'!AO18*Assumptions!$D$12+'Sales Forecast'!AN18*Assumptions!$E$12+'Sales Forecast'!AM18*Assumptions!$F$12+'Sales Forecast'!AL18*Assumptions!$G$12+'Sales Forecast'!AK18*Assumptions!$H$12+'Sales Forecast'!AJ18*Assumptions!$I$12</f>
        <v/>
      </c>
      <c r="AQ6" s="20">
        <f>'Sales Forecast'!AQ18*Assumptions!$C$12+'Sales Forecast'!AP18*Assumptions!$D$12+'Sales Forecast'!AO18*Assumptions!$E$12+'Sales Forecast'!AN18*Assumptions!$F$12+'Sales Forecast'!AM18*Assumptions!$G$12+'Sales Forecast'!AL18*Assumptions!$H$12+'Sales Forecast'!AK18*Assumptions!$I$12</f>
        <v/>
      </c>
      <c r="AR6" s="20">
        <f>'Sales Forecast'!AR18*Assumptions!$C$12+'Sales Forecast'!AQ18*Assumptions!$D$12+'Sales Forecast'!AP18*Assumptions!$E$12+'Sales Forecast'!AO18*Assumptions!$F$12+'Sales Forecast'!AN18*Assumptions!$G$12+'Sales Forecast'!AM18*Assumptions!$H$12+'Sales Forecast'!AL18*Assumptions!$I$12</f>
        <v/>
      </c>
      <c r="AS6" s="20">
        <f>'Sales Forecast'!AS18*Assumptions!$C$12+'Sales Forecast'!AR18*Assumptions!$D$12+'Sales Forecast'!AQ18*Assumptions!$E$12+'Sales Forecast'!AP18*Assumptions!$F$12+'Sales Forecast'!AO18*Assumptions!$G$12+'Sales Forecast'!AN18*Assumptions!$H$12+'Sales Forecast'!AM18*Assumptions!$I$12</f>
        <v/>
      </c>
      <c r="AT6" s="20">
        <f>'Sales Forecast'!AT18*Assumptions!$C$12+'Sales Forecast'!AS18*Assumptions!$D$12+'Sales Forecast'!AR18*Assumptions!$E$12+'Sales Forecast'!AQ18*Assumptions!$F$12+'Sales Forecast'!AP18*Assumptions!$G$12+'Sales Forecast'!AO18*Assumptions!$H$12+'Sales Forecast'!AN18*Assumptions!$I$12</f>
        <v/>
      </c>
      <c r="AU6" s="20">
        <f>'Sales Forecast'!AU18*Assumptions!$C$12+'Sales Forecast'!AT18*Assumptions!$D$12+'Sales Forecast'!AS18*Assumptions!$E$12+'Sales Forecast'!AR18*Assumptions!$F$12+'Sales Forecast'!AQ18*Assumptions!$G$12+'Sales Forecast'!AP18*Assumptions!$H$12+'Sales Forecast'!AO18*Assumptions!$I$12</f>
        <v/>
      </c>
      <c r="AV6" s="20">
        <f>'Sales Forecast'!AV18*Assumptions!$C$12+'Sales Forecast'!AU18*Assumptions!$D$12+'Sales Forecast'!AT18*Assumptions!$E$12+'Sales Forecast'!AS18*Assumptions!$F$12+'Sales Forecast'!AR18*Assumptions!$G$12+'Sales Forecast'!AQ18*Assumptions!$H$12+'Sales Forecast'!AP18*Assumptions!$I$12</f>
        <v/>
      </c>
      <c r="AW6" s="20">
        <f>'Sales Forecast'!AW18*Assumptions!$C$12+'Sales Forecast'!AV18*Assumptions!$D$12+'Sales Forecast'!AU18*Assumptions!$E$12+'Sales Forecast'!AT18*Assumptions!$F$12+'Sales Forecast'!AS18*Assumptions!$G$12+'Sales Forecast'!AR18*Assumptions!$H$12+'Sales Forecast'!AQ18*Assumptions!$I$12</f>
        <v/>
      </c>
      <c r="AX6" s="20">
        <f>'Sales Forecast'!AX18*Assumptions!$C$12+'Sales Forecast'!AW18*Assumptions!$D$12+'Sales Forecast'!AV18*Assumptions!$E$12+'Sales Forecast'!AU18*Assumptions!$F$12+'Sales Forecast'!AT18*Assumptions!$G$12+'Sales Forecast'!AS18*Assumptions!$H$12+'Sales Forecast'!AR18*Assumptions!$I$12</f>
        <v/>
      </c>
      <c r="AY6" s="20">
        <f>'Sales Forecast'!AY18*Assumptions!$C$12+'Sales Forecast'!AX18*Assumptions!$D$12+'Sales Forecast'!AW18*Assumptions!$E$12+'Sales Forecast'!AV18*Assumptions!$F$12+'Sales Forecast'!AU18*Assumptions!$G$12+'Sales Forecast'!AT18*Assumptions!$H$12+'Sales Forecast'!AS18*Assumptions!$I$12</f>
        <v/>
      </c>
    </row>
    <row r="7">
      <c r="B7" s="18" t="inlineStr">
        <is>
          <t>Breakage Revenue</t>
        </is>
      </c>
      <c r="D7" s="19" t="n">
        <v>75237.94</v>
      </c>
      <c r="E7" s="19" t="n">
        <v>109399.17</v>
      </c>
      <c r="F7" s="19" t="n">
        <v>140651.46</v>
      </c>
      <c r="G7" s="19" t="n">
        <v>149516.51</v>
      </c>
      <c r="H7" s="19" t="n">
        <v>181344.3</v>
      </c>
      <c r="I7" s="19" t="n">
        <v>149213.5</v>
      </c>
      <c r="J7" s="19" t="n">
        <v>157965.23</v>
      </c>
      <c r="K7" s="19" t="n">
        <v>206864.97</v>
      </c>
      <c r="L7" s="19" t="n">
        <v>213185.16</v>
      </c>
      <c r="M7" s="19" t="n">
        <v>179766.24</v>
      </c>
      <c r="N7" s="19" t="n">
        <v>238121.51</v>
      </c>
      <c r="O7" s="19" t="n">
        <v>304457.14</v>
      </c>
      <c r="P7" s="19" t="n">
        <v>139780.94</v>
      </c>
      <c r="Q7" s="19" t="n">
        <v>155452.01</v>
      </c>
      <c r="R7" s="19" t="n">
        <v>132350.01</v>
      </c>
      <c r="S7" s="19" t="n">
        <v>142563.17</v>
      </c>
      <c r="T7" s="84" t="n">
        <v>141174.57</v>
      </c>
      <c r="U7" s="20">
        <f>'Sales Forecast'!U18*Assumptions!$C$13+'Sales Forecast'!T18*Assumptions!$D$13+'Sales Forecast'!S18*Assumptions!$E$13+'Sales Forecast'!R18*Assumptions!$F$13+'Sales Forecast'!Q18*Assumptions!$G$13+'Sales Forecast'!P18*Assumptions!$H$13+'Sales Forecast'!U101*Assumptions!$I$13</f>
        <v/>
      </c>
      <c r="V7" s="20">
        <f>'Sales Forecast'!V18*Assumptions!$C$13+'Sales Forecast'!U18*Assumptions!$D$13+'Sales Forecast'!T18*Assumptions!$E$13+'Sales Forecast'!S18*Assumptions!$F$13+'Sales Forecast'!R18*Assumptions!$G$13+'Sales Forecast'!Q18*Assumptions!$H$13+'Sales Forecast'!P18*Assumptions!$I$13</f>
        <v/>
      </c>
      <c r="W7" s="20">
        <f>'Sales Forecast'!W18*Assumptions!$C$13+'Sales Forecast'!V18*Assumptions!$D$13+'Sales Forecast'!U18*Assumptions!$E$13+'Sales Forecast'!T18*Assumptions!$F$13+'Sales Forecast'!S18*Assumptions!$G$13+'Sales Forecast'!R18*Assumptions!$H$13+'Sales Forecast'!Q18*Assumptions!$I$13</f>
        <v/>
      </c>
      <c r="X7" s="20">
        <f>'Sales Forecast'!X18*Assumptions!$C$13+'Sales Forecast'!W18*Assumptions!$D$13+'Sales Forecast'!V18*Assumptions!$E$13+'Sales Forecast'!U18*Assumptions!$F$13+'Sales Forecast'!T18*Assumptions!$G$13+'Sales Forecast'!S18*Assumptions!$H$13+'Sales Forecast'!R18*Assumptions!$I$13</f>
        <v/>
      </c>
      <c r="Y7" s="20">
        <f>'Sales Forecast'!Y18*Assumptions!$C$13+'Sales Forecast'!X18*Assumptions!$D$13+'Sales Forecast'!W18*Assumptions!$E$13+'Sales Forecast'!V18*Assumptions!$F$13+'Sales Forecast'!U18*Assumptions!$G$13+'Sales Forecast'!T18*Assumptions!$H$13+'Sales Forecast'!S18*Assumptions!$I$13</f>
        <v/>
      </c>
      <c r="Z7" s="20">
        <f>'Sales Forecast'!Z18*Assumptions!$C$13+'Sales Forecast'!Y18*Assumptions!$D$13+'Sales Forecast'!X18*Assumptions!$E$13+'Sales Forecast'!W18*Assumptions!$F$13+'Sales Forecast'!V18*Assumptions!$G$13+'Sales Forecast'!U18*Assumptions!$H$13+'Sales Forecast'!T18*Assumptions!$I$13</f>
        <v/>
      </c>
      <c r="AA7" s="20">
        <f>'Sales Forecast'!AA18*Assumptions!$C$13+'Sales Forecast'!Z18*Assumptions!$D$13+'Sales Forecast'!Y18*Assumptions!$E$13+'Sales Forecast'!X18*Assumptions!$F$13+'Sales Forecast'!W18*Assumptions!$G$13+'Sales Forecast'!V18*Assumptions!$H$13+'Sales Forecast'!U18*Assumptions!$I$13</f>
        <v/>
      </c>
      <c r="AB7" s="20">
        <f>'Sales Forecast'!AB18*Assumptions!$C$13+'Sales Forecast'!AA18*Assumptions!$D$13+'Sales Forecast'!Z18*Assumptions!$E$13+'Sales Forecast'!Y18*Assumptions!$F$13+'Sales Forecast'!X18*Assumptions!$G$13+'Sales Forecast'!W18*Assumptions!$H$13+'Sales Forecast'!V18*Assumptions!$I$13</f>
        <v/>
      </c>
      <c r="AC7" s="20">
        <f>'Sales Forecast'!AC18*Assumptions!$C$13+'Sales Forecast'!AB18*Assumptions!$D$13+'Sales Forecast'!AA18*Assumptions!$E$13+'Sales Forecast'!Z18*Assumptions!$F$13+'Sales Forecast'!Y18*Assumptions!$G$13+'Sales Forecast'!X18*Assumptions!$H$13+'Sales Forecast'!W18*Assumptions!$I$13</f>
        <v/>
      </c>
      <c r="AD7" s="20">
        <f>'Sales Forecast'!AD18*Assumptions!$C$13+'Sales Forecast'!AC18*Assumptions!$D$13+'Sales Forecast'!AB18*Assumptions!$E$13+'Sales Forecast'!AA18*Assumptions!$F$13+'Sales Forecast'!Z18*Assumptions!$G$13+'Sales Forecast'!Y18*Assumptions!$H$13+'Sales Forecast'!X18*Assumptions!$I$13</f>
        <v/>
      </c>
      <c r="AE7" s="20">
        <f>'Sales Forecast'!AE18*Assumptions!$C$13+'Sales Forecast'!AD18*Assumptions!$D$13+'Sales Forecast'!AC18*Assumptions!$E$13+'Sales Forecast'!AB18*Assumptions!$F$13+'Sales Forecast'!AA18*Assumptions!$G$13+'Sales Forecast'!Z18*Assumptions!$H$13+'Sales Forecast'!Y18*Assumptions!$I$13</f>
        <v/>
      </c>
      <c r="AF7" s="20">
        <f>'Sales Forecast'!AF18*Assumptions!$C$13+'Sales Forecast'!AE18*Assumptions!$D$13+'Sales Forecast'!AD18*Assumptions!$E$13+'Sales Forecast'!AC18*Assumptions!$F$13+'Sales Forecast'!AB18*Assumptions!$G$13+'Sales Forecast'!AA18*Assumptions!$H$13+'Sales Forecast'!Z18*Assumptions!$I$13</f>
        <v/>
      </c>
      <c r="AG7" s="20">
        <f>'Sales Forecast'!AG18*Assumptions!$C$13+'Sales Forecast'!AF18*Assumptions!$D$13+'Sales Forecast'!AE18*Assumptions!$E$13+'Sales Forecast'!AD18*Assumptions!$F$13+'Sales Forecast'!AC18*Assumptions!$G$13+'Sales Forecast'!AB18*Assumptions!$H$13+'Sales Forecast'!AA18*Assumptions!$I$13</f>
        <v/>
      </c>
      <c r="AH7" s="20">
        <f>'Sales Forecast'!AH18*Assumptions!$C$13+'Sales Forecast'!AG18*Assumptions!$D$13+'Sales Forecast'!AF18*Assumptions!$E$13+'Sales Forecast'!AE18*Assumptions!$F$13+'Sales Forecast'!AD18*Assumptions!$G$13+'Sales Forecast'!AC18*Assumptions!$H$13+'Sales Forecast'!AB18*Assumptions!$I$13</f>
        <v/>
      </c>
      <c r="AI7" s="20">
        <f>'Sales Forecast'!AI18*Assumptions!$C$13+'Sales Forecast'!AH18*Assumptions!$D$13+'Sales Forecast'!AG18*Assumptions!$E$13+'Sales Forecast'!AF18*Assumptions!$F$13+'Sales Forecast'!AE18*Assumptions!$G$13+'Sales Forecast'!AD18*Assumptions!$H$13+'Sales Forecast'!AC18*Assumptions!$I$13</f>
        <v/>
      </c>
      <c r="AJ7" s="20">
        <f>'Sales Forecast'!AJ18*Assumptions!$C$13+'Sales Forecast'!AI18*Assumptions!$D$13+'Sales Forecast'!AH18*Assumptions!$E$13+'Sales Forecast'!AG18*Assumptions!$F$13+'Sales Forecast'!AF18*Assumptions!$G$13+'Sales Forecast'!AE18*Assumptions!$H$13+'Sales Forecast'!AD18*Assumptions!$I$13</f>
        <v/>
      </c>
      <c r="AK7" s="20">
        <f>'Sales Forecast'!AK18*Assumptions!$C$13+'Sales Forecast'!AJ18*Assumptions!$D$13+'Sales Forecast'!AI18*Assumptions!$E$13+'Sales Forecast'!AH18*Assumptions!$F$13+'Sales Forecast'!AG18*Assumptions!$G$13+'Sales Forecast'!AF18*Assumptions!$H$13+'Sales Forecast'!AE18*Assumptions!$I$13</f>
        <v/>
      </c>
      <c r="AL7" s="20">
        <f>'Sales Forecast'!AL18*Assumptions!$C$13+'Sales Forecast'!AK18*Assumptions!$D$13+'Sales Forecast'!AJ18*Assumptions!$E$13+'Sales Forecast'!AI18*Assumptions!$F$13+'Sales Forecast'!AH18*Assumptions!$G$13+'Sales Forecast'!AG18*Assumptions!$H$13+'Sales Forecast'!AF18*Assumptions!$I$13</f>
        <v/>
      </c>
      <c r="AM7" s="20">
        <f>'Sales Forecast'!AM18*Assumptions!$C$13+'Sales Forecast'!AL18*Assumptions!$D$13+'Sales Forecast'!AK18*Assumptions!$E$13+'Sales Forecast'!AJ18*Assumptions!$F$13+'Sales Forecast'!AI18*Assumptions!$G$13+'Sales Forecast'!AH18*Assumptions!$H$13+'Sales Forecast'!AG18*Assumptions!$I$13</f>
        <v/>
      </c>
      <c r="AN7" s="20">
        <f>'Sales Forecast'!AN18*Assumptions!$C$13+'Sales Forecast'!AM18*Assumptions!$D$13+'Sales Forecast'!AL18*Assumptions!$E$13+'Sales Forecast'!AK18*Assumptions!$F$13+'Sales Forecast'!AJ18*Assumptions!$G$13+'Sales Forecast'!AI18*Assumptions!$H$13+'Sales Forecast'!AH18*Assumptions!$I$13</f>
        <v/>
      </c>
      <c r="AO7" s="20">
        <f>'Sales Forecast'!AO18*Assumptions!$C$13+'Sales Forecast'!AN18*Assumptions!$D$13+'Sales Forecast'!AM18*Assumptions!$E$13+'Sales Forecast'!AL18*Assumptions!$F$13+'Sales Forecast'!AK18*Assumptions!$G$13+'Sales Forecast'!AJ18*Assumptions!$H$13+'Sales Forecast'!AI18*Assumptions!$I$13</f>
        <v/>
      </c>
      <c r="AP7" s="20">
        <f>'Sales Forecast'!AP18*Assumptions!$C$13+'Sales Forecast'!AO18*Assumptions!$D$13+'Sales Forecast'!AN18*Assumptions!$E$13+'Sales Forecast'!AM18*Assumptions!$F$13+'Sales Forecast'!AL18*Assumptions!$G$13+'Sales Forecast'!AK18*Assumptions!$H$13+'Sales Forecast'!AJ18*Assumptions!$I$13</f>
        <v/>
      </c>
      <c r="AQ7" s="20">
        <f>'Sales Forecast'!AQ18*Assumptions!$C$13+'Sales Forecast'!AP18*Assumptions!$D$13+'Sales Forecast'!AO18*Assumptions!$E$13+'Sales Forecast'!AN18*Assumptions!$F$13+'Sales Forecast'!AM18*Assumptions!$G$13+'Sales Forecast'!AL18*Assumptions!$H$13+'Sales Forecast'!AK18*Assumptions!$I$13</f>
        <v/>
      </c>
      <c r="AR7" s="20">
        <f>'Sales Forecast'!AR18*Assumptions!$C$13+'Sales Forecast'!AQ18*Assumptions!$D$13+'Sales Forecast'!AP18*Assumptions!$E$13+'Sales Forecast'!AO18*Assumptions!$F$13+'Sales Forecast'!AN18*Assumptions!$G$13+'Sales Forecast'!AM18*Assumptions!$H$13+'Sales Forecast'!AL18*Assumptions!$I$13</f>
        <v/>
      </c>
      <c r="AS7" s="20">
        <f>'Sales Forecast'!AS18*Assumptions!$C$13+'Sales Forecast'!AR18*Assumptions!$D$13+'Sales Forecast'!AQ18*Assumptions!$E$13+'Sales Forecast'!AP18*Assumptions!$F$13+'Sales Forecast'!AO18*Assumptions!$G$13+'Sales Forecast'!AN18*Assumptions!$H$13+'Sales Forecast'!AM18*Assumptions!$I$13</f>
        <v/>
      </c>
      <c r="AT7" s="20">
        <f>'Sales Forecast'!AT18*Assumptions!$C$13+'Sales Forecast'!AS18*Assumptions!$D$13+'Sales Forecast'!AR18*Assumptions!$E$13+'Sales Forecast'!AQ18*Assumptions!$F$13+'Sales Forecast'!AP18*Assumptions!$G$13+'Sales Forecast'!AO18*Assumptions!$H$13+'Sales Forecast'!AN18*Assumptions!$I$13</f>
        <v/>
      </c>
      <c r="AU7" s="20">
        <f>'Sales Forecast'!AU18*Assumptions!$C$13+'Sales Forecast'!AT18*Assumptions!$D$13+'Sales Forecast'!AS18*Assumptions!$E$13+'Sales Forecast'!AR18*Assumptions!$F$13+'Sales Forecast'!AQ18*Assumptions!$G$13+'Sales Forecast'!AP18*Assumptions!$H$13+'Sales Forecast'!AO18*Assumptions!$I$13</f>
        <v/>
      </c>
      <c r="AV7" s="20">
        <f>'Sales Forecast'!AV18*Assumptions!$C$13+'Sales Forecast'!AU18*Assumptions!$D$13+'Sales Forecast'!AT18*Assumptions!$E$13+'Sales Forecast'!AS18*Assumptions!$F$13+'Sales Forecast'!AR18*Assumptions!$G$13+'Sales Forecast'!AQ18*Assumptions!$H$13+'Sales Forecast'!AP18*Assumptions!$I$13</f>
        <v/>
      </c>
      <c r="AW7" s="20">
        <f>'Sales Forecast'!AW18*Assumptions!$C$13+'Sales Forecast'!AV18*Assumptions!$D$13+'Sales Forecast'!AU18*Assumptions!$E$13+'Sales Forecast'!AT18*Assumptions!$F$13+'Sales Forecast'!AS18*Assumptions!$G$13+'Sales Forecast'!AR18*Assumptions!$H$13+'Sales Forecast'!AQ18*Assumptions!$I$13</f>
        <v/>
      </c>
      <c r="AX7" s="20">
        <f>'Sales Forecast'!AX18*Assumptions!$C$13+'Sales Forecast'!AW18*Assumptions!$D$13+'Sales Forecast'!AV18*Assumptions!$E$13+'Sales Forecast'!AU18*Assumptions!$F$13+'Sales Forecast'!AT18*Assumptions!$G$13+'Sales Forecast'!AS18*Assumptions!$H$13+'Sales Forecast'!AR18*Assumptions!$I$13</f>
        <v/>
      </c>
      <c r="AY7" s="20">
        <f>'Sales Forecast'!AY18*Assumptions!$C$13+'Sales Forecast'!AX18*Assumptions!$D$13+'Sales Forecast'!AW18*Assumptions!$E$13+'Sales Forecast'!AV18*Assumptions!$F$13+'Sales Forecast'!AU18*Assumptions!$G$13+'Sales Forecast'!AT18*Assumptions!$H$13+'Sales Forecast'!AS18*Assumptions!$I$13</f>
        <v/>
      </c>
    </row>
    <row r="8">
      <c r="B8" s="18" t="inlineStr">
        <is>
          <t>Retail Sales</t>
        </is>
      </c>
      <c r="D8" s="19" t="n">
        <v>20273</v>
      </c>
      <c r="E8" s="19" t="n">
        <v>19453.92</v>
      </c>
      <c r="F8" s="19" t="n">
        <v>17164.03</v>
      </c>
      <c r="G8" s="19" t="n">
        <v>18478</v>
      </c>
      <c r="H8" s="19" t="n">
        <v>19384</v>
      </c>
      <c r="I8" s="19" t="n">
        <v>28826</v>
      </c>
      <c r="J8" s="19" t="n">
        <v>20010</v>
      </c>
      <c r="K8" s="19" t="n">
        <v>19175</v>
      </c>
      <c r="L8" s="19" t="n">
        <v>19247.98</v>
      </c>
      <c r="M8" s="19" t="n">
        <v>19640</v>
      </c>
      <c r="N8" s="19" t="n">
        <v>21643.2</v>
      </c>
      <c r="O8" s="19" t="n">
        <v>20189</v>
      </c>
      <c r="P8" s="19" t="n">
        <v>23308</v>
      </c>
      <c r="Q8" s="19" t="n">
        <v>19847</v>
      </c>
      <c r="R8" s="19" t="n">
        <v>17655</v>
      </c>
      <c r="S8" s="19" t="n">
        <v>18479</v>
      </c>
      <c r="T8" s="84" t="n">
        <v>13825.81</v>
      </c>
      <c r="U8" s="20" t="n">
        <v>16653.27</v>
      </c>
      <c r="V8" s="20" t="n">
        <v>16653.27</v>
      </c>
      <c r="W8" s="20" t="n">
        <v>16653.27</v>
      </c>
      <c r="X8" s="20" t="n">
        <v>16653.27</v>
      </c>
      <c r="Y8" s="20" t="n">
        <v>16653.27</v>
      </c>
      <c r="Z8" s="20" t="n">
        <v>16653.27</v>
      </c>
      <c r="AA8" s="20" t="n">
        <v>16653.27</v>
      </c>
      <c r="AB8" s="20" t="n">
        <v>16653.27</v>
      </c>
      <c r="AC8" s="20" t="n">
        <v>16653.27</v>
      </c>
      <c r="AD8" s="20" t="n">
        <v>16653.27</v>
      </c>
      <c r="AE8" s="20" t="n">
        <v>16653.27</v>
      </c>
      <c r="AF8" s="20" t="n">
        <v>16653.27</v>
      </c>
      <c r="AG8" s="20" t="n">
        <v>16653.27</v>
      </c>
      <c r="AH8" s="20" t="n">
        <v>16653.27</v>
      </c>
      <c r="AI8" s="20" t="n">
        <v>16653.27</v>
      </c>
      <c r="AJ8" s="20" t="n">
        <v>16653.27</v>
      </c>
      <c r="AK8" s="20" t="n">
        <v>16653.27</v>
      </c>
      <c r="AL8" s="20" t="n">
        <v>16653.27</v>
      </c>
      <c r="AM8" s="20" t="n">
        <v>16653.27</v>
      </c>
      <c r="AN8" s="20" t="n">
        <v>16653.27</v>
      </c>
      <c r="AO8" s="20" t="n">
        <v>16653.27</v>
      </c>
      <c r="AP8" s="20" t="n">
        <v>16653.27</v>
      </c>
      <c r="AQ8" s="20" t="n">
        <v>16653.27</v>
      </c>
      <c r="AR8" s="20" t="n">
        <v>16653.27</v>
      </c>
      <c r="AS8" s="20" t="n">
        <v>16653.27</v>
      </c>
      <c r="AT8" s="20" t="n">
        <v>16653.27</v>
      </c>
      <c r="AU8" s="20" t="n">
        <v>16653.27</v>
      </c>
      <c r="AV8" s="20" t="n">
        <v>16653.27</v>
      </c>
      <c r="AW8" s="20" t="n">
        <v>16653.27</v>
      </c>
      <c r="AX8" s="20" t="n">
        <v>16653.27</v>
      </c>
      <c r="AY8" s="20" t="n">
        <v>16653.27</v>
      </c>
    </row>
    <row r="9">
      <c r="B9" s="18" t="inlineStr">
        <is>
          <t>Refunds</t>
        </is>
      </c>
      <c r="D9" s="19" t="n">
        <v>-16377.01</v>
      </c>
      <c r="E9" s="19" t="n">
        <v>-10335.55</v>
      </c>
      <c r="F9" s="19" t="n">
        <v>-14180.05</v>
      </c>
      <c r="G9" s="19" t="n">
        <v>-17645.51</v>
      </c>
      <c r="H9" s="19" t="n">
        <v>-12735.29</v>
      </c>
      <c r="I9" s="19" t="n">
        <v>-10897.91</v>
      </c>
      <c r="J9" s="19" t="n">
        <v>-13385.21</v>
      </c>
      <c r="K9" s="19" t="n">
        <v>-12377.04</v>
      </c>
      <c r="L9" s="19" t="n">
        <v>-18282.51</v>
      </c>
      <c r="M9" s="19" t="n">
        <v>-22049.66</v>
      </c>
      <c r="N9" s="19" t="n">
        <v>-15320.98</v>
      </c>
      <c r="O9" s="19" t="n">
        <v>-18935.02</v>
      </c>
      <c r="P9" s="19" t="n">
        <v>-20830.24</v>
      </c>
      <c r="Q9" s="19" t="n">
        <v>-15645.66</v>
      </c>
      <c r="R9" s="19" t="n">
        <v>-16880.65</v>
      </c>
      <c r="S9" s="19" t="n">
        <v>-12793.11</v>
      </c>
      <c r="T9" s="84" t="n">
        <v>-9390.209999999999</v>
      </c>
      <c r="U9" s="20">
        <f>(U6+U7)*Assumptions!$C$17</f>
        <v/>
      </c>
      <c r="V9" s="20">
        <f>(V6+V7)*Assumptions!$C$17</f>
        <v/>
      </c>
      <c r="W9" s="20">
        <f>(W6+W7)*Assumptions!$C$17</f>
        <v/>
      </c>
      <c r="X9" s="20">
        <f>(X6+X7)*Assumptions!$C$17</f>
        <v/>
      </c>
      <c r="Y9" s="20">
        <f>(Y6+Y7)*Assumptions!$C$17</f>
        <v/>
      </c>
      <c r="Z9" s="20">
        <f>(Z6+Z7)*Assumptions!$C$17</f>
        <v/>
      </c>
      <c r="AA9" s="20">
        <f>(AA6+AA7)*Assumptions!$C$17</f>
        <v/>
      </c>
      <c r="AB9" s="20">
        <f>(AB6+AB7)*Assumptions!$C$17</f>
        <v/>
      </c>
      <c r="AC9" s="20">
        <f>(AC6+AC7)*Assumptions!$C$17</f>
        <v/>
      </c>
      <c r="AD9" s="20">
        <f>(AD6+AD7)*Assumptions!$C$17</f>
        <v/>
      </c>
      <c r="AE9" s="20">
        <f>(AE6+AE7)*Assumptions!$C$17</f>
        <v/>
      </c>
      <c r="AF9" s="20">
        <f>(AF6+AF7)*Assumptions!$C$17</f>
        <v/>
      </c>
      <c r="AG9" s="20">
        <f>(AG6+AG7)*Assumptions!$C$17</f>
        <v/>
      </c>
      <c r="AH9" s="20">
        <f>(AH6+AH7)*Assumptions!$C$17</f>
        <v/>
      </c>
      <c r="AI9" s="20">
        <f>(AI6+AI7)*Assumptions!$C$17</f>
        <v/>
      </c>
      <c r="AJ9" s="20">
        <f>(AJ6+AJ7)*Assumptions!$C$17</f>
        <v/>
      </c>
      <c r="AK9" s="20">
        <f>(AK6+AK7)*Assumptions!$C$17</f>
        <v/>
      </c>
      <c r="AL9" s="20">
        <f>(AL6+AL7)*Assumptions!$C$17</f>
        <v/>
      </c>
      <c r="AM9" s="20">
        <f>(AM6+AM7)*Assumptions!$C$17</f>
        <v/>
      </c>
      <c r="AN9" s="20">
        <f>(AN6+AN7)*Assumptions!$C$17</f>
        <v/>
      </c>
      <c r="AO9" s="20">
        <f>(AO6+AO7)*Assumptions!$C$17</f>
        <v/>
      </c>
      <c r="AP9" s="20">
        <f>(AP6+AP7)*Assumptions!$C$17</f>
        <v/>
      </c>
      <c r="AQ9" s="20">
        <f>(AQ6+AQ7)*Assumptions!$C$17</f>
        <v/>
      </c>
      <c r="AR9" s="20">
        <f>(AR6+AR7)*Assumptions!$C$17</f>
        <v/>
      </c>
      <c r="AS9" s="20">
        <f>(AS6+AS7)*Assumptions!$C$17</f>
        <v/>
      </c>
      <c r="AT9" s="20">
        <f>(AT6+AT7)*Assumptions!$C$17</f>
        <v/>
      </c>
      <c r="AU9" s="20">
        <f>(AU6+AU7)*Assumptions!$C$17</f>
        <v/>
      </c>
      <c r="AV9" s="20">
        <f>(AV6+AV7)*Assumptions!$C$17</f>
        <v/>
      </c>
      <c r="AW9" s="20">
        <f>(AW6+AW7)*Assumptions!$C$17</f>
        <v/>
      </c>
      <c r="AX9" s="20">
        <f>(AX6+AX7)*Assumptions!$C$17</f>
        <v/>
      </c>
      <c r="AY9" s="20">
        <f>(AY6+AY7)*Assumptions!$C$17</f>
        <v/>
      </c>
    </row>
    <row r="10">
      <c r="B10" s="18" t="inlineStr">
        <is>
          <t>Discounts</t>
        </is>
      </c>
      <c r="D10" s="19" t="n">
        <v>-73972.55</v>
      </c>
      <c r="E10" s="19" t="n">
        <v>-63470.28</v>
      </c>
      <c r="F10" s="19" t="n">
        <v>-69852.24000000001</v>
      </c>
      <c r="G10" s="19" t="n">
        <v>-68577.95</v>
      </c>
      <c r="H10" s="19" t="n">
        <v>-75810.5</v>
      </c>
      <c r="I10" s="19" t="n">
        <v>-59569.88</v>
      </c>
      <c r="J10" s="19" t="n">
        <v>-56128.38</v>
      </c>
      <c r="K10" s="19" t="n">
        <v>-56204.78</v>
      </c>
      <c r="L10" s="19" t="n">
        <v>-59582.4</v>
      </c>
      <c r="M10" s="19" t="n">
        <v>-54374.17</v>
      </c>
      <c r="N10" s="19" t="n">
        <v>-48649.06</v>
      </c>
      <c r="O10" s="19" t="n">
        <v>-54144.13</v>
      </c>
      <c r="P10" s="19" t="n">
        <v>-59600.85000000001</v>
      </c>
      <c r="Q10" s="19" t="n">
        <v>-56707.91</v>
      </c>
      <c r="R10" s="19" t="n">
        <v>-53962.12</v>
      </c>
      <c r="S10" s="19" t="n">
        <v>-51310.18</v>
      </c>
      <c r="T10" s="84" t="n">
        <v>-35101.57</v>
      </c>
      <c r="U10" s="20">
        <f>(U6+U7)*Assumptions!$C$18</f>
        <v/>
      </c>
      <c r="V10" s="20">
        <f>(V6+V7)*Assumptions!$C$18</f>
        <v/>
      </c>
      <c r="W10" s="20">
        <f>(W6+W7)*Assumptions!$C$18</f>
        <v/>
      </c>
      <c r="X10" s="20">
        <f>(X6+X7)*Assumptions!$C$18</f>
        <v/>
      </c>
      <c r="Y10" s="20">
        <f>(Y6+Y7)*Assumptions!$C$18</f>
        <v/>
      </c>
      <c r="Z10" s="20">
        <f>(Z6+Z7)*Assumptions!$C$18</f>
        <v/>
      </c>
      <c r="AA10" s="20">
        <f>(AA6+AA7)*Assumptions!$C$18</f>
        <v/>
      </c>
      <c r="AB10" s="20">
        <f>(AB6+AB7)*Assumptions!$C$18</f>
        <v/>
      </c>
      <c r="AC10" s="20">
        <f>(AC6+AC7)*Assumptions!$C$18</f>
        <v/>
      </c>
      <c r="AD10" s="20">
        <f>(AD6+AD7)*Assumptions!$C$18</f>
        <v/>
      </c>
      <c r="AE10" s="20">
        <f>(AE6+AE7)*Assumptions!$C$18</f>
        <v/>
      </c>
      <c r="AF10" s="20">
        <f>(AF6+AF7)*Assumptions!$C$18</f>
        <v/>
      </c>
      <c r="AG10" s="20">
        <f>(AG6+AG7)*Assumptions!$C$18</f>
        <v/>
      </c>
      <c r="AH10" s="20">
        <f>(AH6+AH7)*Assumptions!$C$18</f>
        <v/>
      </c>
      <c r="AI10" s="20">
        <f>(AI6+AI7)*Assumptions!$C$18</f>
        <v/>
      </c>
      <c r="AJ10" s="20">
        <f>(AJ6+AJ7)*Assumptions!$C$18</f>
        <v/>
      </c>
      <c r="AK10" s="20">
        <f>(AK6+AK7)*Assumptions!$C$18</f>
        <v/>
      </c>
      <c r="AL10" s="20">
        <f>(AL6+AL7)*Assumptions!$C$18</f>
        <v/>
      </c>
      <c r="AM10" s="20">
        <f>(AM6+AM7)*Assumptions!$C$18</f>
        <v/>
      </c>
      <c r="AN10" s="20">
        <f>(AN6+AN7)*Assumptions!$C$18</f>
        <v/>
      </c>
      <c r="AO10" s="20">
        <f>(AO6+AO7)*Assumptions!$C$18</f>
        <v/>
      </c>
      <c r="AP10" s="20">
        <f>(AP6+AP7)*Assumptions!$C$18</f>
        <v/>
      </c>
      <c r="AQ10" s="20">
        <f>(AQ6+AQ7)*Assumptions!$C$18</f>
        <v/>
      </c>
      <c r="AR10" s="20">
        <f>(AR6+AR7)*Assumptions!$C$18</f>
        <v/>
      </c>
      <c r="AS10" s="20">
        <f>(AS6+AS7)*Assumptions!$C$18</f>
        <v/>
      </c>
      <c r="AT10" s="20">
        <f>(AT6+AT7)*Assumptions!$C$18</f>
        <v/>
      </c>
      <c r="AU10" s="20">
        <f>(AU6+AU7)*Assumptions!$C$18</f>
        <v/>
      </c>
      <c r="AV10" s="20">
        <f>(AV6+AV7)*Assumptions!$C$18</f>
        <v/>
      </c>
      <c r="AW10" s="20">
        <f>(AW6+AW7)*Assumptions!$C$18</f>
        <v/>
      </c>
      <c r="AX10" s="20">
        <f>(AX6+AX7)*Assumptions!$C$18</f>
        <v/>
      </c>
      <c r="AY10" s="20">
        <f>(AY6+AY7)*Assumptions!$C$18</f>
        <v/>
      </c>
    </row>
    <row r="11">
      <c r="B11" s="32" t="inlineStr">
        <is>
          <t>Total Revenue</t>
        </is>
      </c>
      <c r="C11" s="34" t="n"/>
      <c r="D11" s="35" t="n">
        <v>629355.5600000001</v>
      </c>
      <c r="E11" s="35" t="n">
        <v>695448.3899999999</v>
      </c>
      <c r="F11" s="35" t="n">
        <v>845088.6099999999</v>
      </c>
      <c r="G11" s="35" t="n">
        <v>803508.3700000001</v>
      </c>
      <c r="H11" s="35" t="n">
        <v>877719.53</v>
      </c>
      <c r="I11" s="35" t="n">
        <v>853012.7899999999</v>
      </c>
      <c r="J11" s="35" t="n">
        <v>844889.7300000001</v>
      </c>
      <c r="K11" s="35" t="n">
        <v>882190.1800000002</v>
      </c>
      <c r="L11" s="35" t="n">
        <v>877190.1899999999</v>
      </c>
      <c r="M11" s="35" t="n">
        <v>861368.9300000001</v>
      </c>
      <c r="N11" s="35" t="n">
        <v>903526.46</v>
      </c>
      <c r="O11" s="35" t="n">
        <v>943564.3100000001</v>
      </c>
      <c r="P11" s="35" t="n">
        <v>1082861.84</v>
      </c>
      <c r="Q11" s="35" t="n">
        <v>969453.09</v>
      </c>
      <c r="R11" s="35" t="n">
        <v>946910.6399999999</v>
      </c>
      <c r="S11" s="35" t="n">
        <v>887877.7</v>
      </c>
      <c r="T11" s="85" t="n">
        <v>918006.51</v>
      </c>
      <c r="U11" s="17">
        <f>U6+U7+U8+U9+U10</f>
        <v/>
      </c>
      <c r="V11" s="17">
        <f>V6+V7+V8+V9+V10</f>
        <v/>
      </c>
      <c r="W11" s="17">
        <f>W6+W7+W8+W9+W10</f>
        <v/>
      </c>
      <c r="X11" s="17">
        <f>X6+X7+X8+X9+X10</f>
        <v/>
      </c>
      <c r="Y11" s="17">
        <f>Y6+Y7+Y8+Y9+Y10</f>
        <v/>
      </c>
      <c r="Z11" s="17">
        <f>Z6+Z7+Z8+Z9+Z10</f>
        <v/>
      </c>
      <c r="AA11" s="17">
        <f>AA6+AA7+AA8+AA9+AA10</f>
        <v/>
      </c>
      <c r="AB11" s="17">
        <f>AB6+AB7+AB8+AB9+AB10</f>
        <v/>
      </c>
      <c r="AC11" s="17">
        <f>AC6+AC7+AC8+AC9+AC10</f>
        <v/>
      </c>
      <c r="AD11" s="17">
        <f>AD6+AD7+AD8+AD9+AD10</f>
        <v/>
      </c>
      <c r="AE11" s="17">
        <f>AE6+AE7+AE8+AE9+AE10</f>
        <v/>
      </c>
      <c r="AF11" s="17">
        <f>AF6+AF7+AF8+AF9+AF10</f>
        <v/>
      </c>
      <c r="AG11" s="17">
        <f>AG6+AG7+AG8+AG9+AG10</f>
        <v/>
      </c>
      <c r="AH11" s="17">
        <f>AH6+AH7+AH8+AH9+AH10</f>
        <v/>
      </c>
      <c r="AI11" s="17">
        <f>AI6+AI7+AI8+AI9+AI10</f>
        <v/>
      </c>
      <c r="AJ11" s="17">
        <f>AJ6+AJ7+AJ8+AJ9+AJ10</f>
        <v/>
      </c>
      <c r="AK11" s="17">
        <f>AK6+AK7+AK8+AK9+AK10</f>
        <v/>
      </c>
      <c r="AL11" s="17">
        <f>AL6+AL7+AL8+AL9+AL10</f>
        <v/>
      </c>
      <c r="AM11" s="17">
        <f>AM6+AM7+AM8+AM9+AM10</f>
        <v/>
      </c>
      <c r="AN11" s="17">
        <f>AN6+AN7+AN8+AN9+AN10</f>
        <v/>
      </c>
      <c r="AO11" s="17">
        <f>AO6+AO7+AO8+AO9+AO10</f>
        <v/>
      </c>
      <c r="AP11" s="17">
        <f>AP6+AP7+AP8+AP9+AP10</f>
        <v/>
      </c>
      <c r="AQ11" s="17">
        <f>AQ6+AQ7+AQ8+AQ9+AQ10</f>
        <v/>
      </c>
      <c r="AR11" s="17">
        <f>AR6+AR7+AR8+AR9+AR10</f>
        <v/>
      </c>
      <c r="AS11" s="17">
        <f>AS6+AS7+AS8+AS9+AS10</f>
        <v/>
      </c>
      <c r="AT11" s="17">
        <f>AT6+AT7+AT8+AT9+AT10</f>
        <v/>
      </c>
      <c r="AU11" s="17">
        <f>AU6+AU7+AU8+AU9+AU10</f>
        <v/>
      </c>
      <c r="AV11" s="17">
        <f>AV6+AV7+AV8+AV9+AV10</f>
        <v/>
      </c>
      <c r="AW11" s="17">
        <f>AW6+AW7+AW8+AW9+AW10</f>
        <v/>
      </c>
      <c r="AX11" s="17">
        <f>AX6+AX7+AX8+AX9+AX10</f>
        <v/>
      </c>
      <c r="AY11" s="17">
        <f>AY6+AY7+AY8+AY9+AY10</f>
        <v/>
      </c>
    </row>
    <row r="12">
      <c r="B12" s="18" t="inlineStr">
        <is>
          <t>COGS &amp; Merchant Fees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38009.85</v>
      </c>
      <c r="Q12" s="19" t="n">
        <v>38497.03</v>
      </c>
      <c r="R12" s="19" t="n">
        <v>34960.53</v>
      </c>
      <c r="S12" s="19" t="n">
        <v>36936.49000000001</v>
      </c>
      <c r="T12" s="84" t="n">
        <v>27088.66</v>
      </c>
      <c r="U12" s="20">
        <f>U11*(Assumptions!$C$19+Assumptions!$C$20)</f>
        <v/>
      </c>
      <c r="V12" s="20">
        <f>V11*(Assumptions!$C$19+Assumptions!$C$20)</f>
        <v/>
      </c>
      <c r="W12" s="20">
        <f>W11*(Assumptions!$C$19+Assumptions!$C$20)</f>
        <v/>
      </c>
      <c r="X12" s="20">
        <f>X11*(Assumptions!$C$19+Assumptions!$C$20)</f>
        <v/>
      </c>
      <c r="Y12" s="20">
        <f>Y11*(Assumptions!$C$19+Assumptions!$C$20)</f>
        <v/>
      </c>
      <c r="Z12" s="20">
        <f>Z11*(Assumptions!$C$19+Assumptions!$C$20)</f>
        <v/>
      </c>
      <c r="AA12" s="20">
        <f>AA11*(Assumptions!$C$19+Assumptions!$C$20)</f>
        <v/>
      </c>
      <c r="AB12" s="20">
        <f>AB11*(Assumptions!$C$19+Assumptions!$C$20)</f>
        <v/>
      </c>
      <c r="AC12" s="20">
        <f>AC11*(Assumptions!$C$19+Assumptions!$C$20)</f>
        <v/>
      </c>
      <c r="AD12" s="20">
        <f>AD11*(Assumptions!$C$19+Assumptions!$C$20)</f>
        <v/>
      </c>
      <c r="AE12" s="20">
        <f>AE11*(Assumptions!$C$19+Assumptions!$C$20)</f>
        <v/>
      </c>
      <c r="AF12" s="20">
        <f>AF11*(Assumptions!$C$19+Assumptions!$C$20)</f>
        <v/>
      </c>
      <c r="AG12" s="20">
        <f>AG11*(Assumptions!$C$19+Assumptions!$C$20)</f>
        <v/>
      </c>
      <c r="AH12" s="20">
        <f>AH11*(Assumptions!$C$19+Assumptions!$C$20)</f>
        <v/>
      </c>
      <c r="AI12" s="20">
        <f>AI11*(Assumptions!$C$19+Assumptions!$C$20)</f>
        <v/>
      </c>
      <c r="AJ12" s="20">
        <f>AJ11*(Assumptions!$C$19+Assumptions!$C$20)</f>
        <v/>
      </c>
      <c r="AK12" s="20">
        <f>AK11*(Assumptions!$C$19+Assumptions!$C$20)</f>
        <v/>
      </c>
      <c r="AL12" s="20">
        <f>AL11*(Assumptions!$C$19+Assumptions!$C$20)</f>
        <v/>
      </c>
      <c r="AM12" s="20">
        <f>AM11*(Assumptions!$C$19+Assumptions!$C$20)</f>
        <v/>
      </c>
      <c r="AN12" s="20">
        <f>AN11*(Assumptions!$C$19+Assumptions!$C$20)</f>
        <v/>
      </c>
      <c r="AO12" s="20">
        <f>AO11*(Assumptions!$C$19+Assumptions!$C$20)</f>
        <v/>
      </c>
      <c r="AP12" s="20">
        <f>AP11*(Assumptions!$C$19+Assumptions!$C$20)</f>
        <v/>
      </c>
      <c r="AQ12" s="20">
        <f>AQ11*(Assumptions!$C$19+Assumptions!$C$20)</f>
        <v/>
      </c>
      <c r="AR12" s="20">
        <f>AR11*(Assumptions!$C$19+Assumptions!$C$20)</f>
        <v/>
      </c>
      <c r="AS12" s="20">
        <f>AS11*(Assumptions!$C$19+Assumptions!$C$20)</f>
        <v/>
      </c>
      <c r="AT12" s="20">
        <f>AT11*(Assumptions!$C$19+Assumptions!$C$20)</f>
        <v/>
      </c>
      <c r="AU12" s="20">
        <f>AU11*(Assumptions!$C$19+Assumptions!$C$20)</f>
        <v/>
      </c>
      <c r="AV12" s="20">
        <f>AV11*(Assumptions!$C$19+Assumptions!$C$20)</f>
        <v/>
      </c>
      <c r="AW12" s="20">
        <f>AW11*(Assumptions!$C$19+Assumptions!$C$20)</f>
        <v/>
      </c>
      <c r="AX12" s="20">
        <f>AX11*(Assumptions!$C$19+Assumptions!$C$20)</f>
        <v/>
      </c>
      <c r="AY12" s="20">
        <f>AY11*(Assumptions!$C$19+Assumptions!$C$20)</f>
        <v/>
      </c>
    </row>
    <row r="13">
      <c r="B13" s="32" t="inlineStr">
        <is>
          <t>Gross Profit</t>
        </is>
      </c>
      <c r="C13" s="34" t="n"/>
      <c r="D13" s="35" t="n">
        <v>587714.4</v>
      </c>
      <c r="E13" s="35" t="n">
        <v>664601.9699999999</v>
      </c>
      <c r="F13" s="35" t="n">
        <v>810233.7899999999</v>
      </c>
      <c r="G13" s="35" t="n">
        <v>766400.5500000002</v>
      </c>
      <c r="H13" s="35" t="n">
        <v>846558.9</v>
      </c>
      <c r="I13" s="35" t="n">
        <v>817869.2799999999</v>
      </c>
      <c r="J13" s="35" t="n">
        <v>811691.7000000001</v>
      </c>
      <c r="K13" s="35" t="n">
        <v>847262.5500000002</v>
      </c>
      <c r="L13" s="35" t="n">
        <v>844736.5299999999</v>
      </c>
      <c r="M13" s="35" t="n">
        <v>829313.1900000001</v>
      </c>
      <c r="N13" s="35" t="n">
        <v>869551.3999999999</v>
      </c>
      <c r="O13" s="35" t="n">
        <v>888842.6200000001</v>
      </c>
      <c r="P13" s="35" t="n">
        <v>1044851.99</v>
      </c>
      <c r="Q13" s="35" t="n">
        <v>930956.0599999999</v>
      </c>
      <c r="R13" s="35" t="n">
        <v>911950.1099999999</v>
      </c>
      <c r="S13" s="35" t="n">
        <v>850941.21</v>
      </c>
      <c r="T13" s="85" t="n">
        <v>890917.8500000001</v>
      </c>
      <c r="U13" s="17">
        <f>U11-U12</f>
        <v/>
      </c>
      <c r="V13" s="17">
        <f>V11-V12</f>
        <v/>
      </c>
      <c r="W13" s="17">
        <f>W11-W12</f>
        <v/>
      </c>
      <c r="X13" s="17">
        <f>X11-X12</f>
        <v/>
      </c>
      <c r="Y13" s="17">
        <f>Y11-Y12</f>
        <v/>
      </c>
      <c r="Z13" s="17">
        <f>Z11-Z12</f>
        <v/>
      </c>
      <c r="AA13" s="17">
        <f>AA11-AA12</f>
        <v/>
      </c>
      <c r="AB13" s="17">
        <f>AB11-AB12</f>
        <v/>
      </c>
      <c r="AC13" s="17">
        <f>AC11-AC12</f>
        <v/>
      </c>
      <c r="AD13" s="17">
        <f>AD11-AD12</f>
        <v/>
      </c>
      <c r="AE13" s="17">
        <f>AE11-AE12</f>
        <v/>
      </c>
      <c r="AF13" s="17">
        <f>AF11-AF12</f>
        <v/>
      </c>
      <c r="AG13" s="17">
        <f>AG11-AG12</f>
        <v/>
      </c>
      <c r="AH13" s="17">
        <f>AH11-AH12</f>
        <v/>
      </c>
      <c r="AI13" s="17">
        <f>AI11-AI12</f>
        <v/>
      </c>
      <c r="AJ13" s="17">
        <f>AJ11-AJ12</f>
        <v/>
      </c>
      <c r="AK13" s="17">
        <f>AK11-AK12</f>
        <v/>
      </c>
      <c r="AL13" s="17">
        <f>AL11-AL12</f>
        <v/>
      </c>
      <c r="AM13" s="17">
        <f>AM11-AM12</f>
        <v/>
      </c>
      <c r="AN13" s="17">
        <f>AN11-AN12</f>
        <v/>
      </c>
      <c r="AO13" s="17">
        <f>AO11-AO12</f>
        <v/>
      </c>
      <c r="AP13" s="17">
        <f>AP11-AP12</f>
        <v/>
      </c>
      <c r="AQ13" s="17">
        <f>AQ11-AQ12</f>
        <v/>
      </c>
      <c r="AR13" s="17">
        <f>AR11-AR12</f>
        <v/>
      </c>
      <c r="AS13" s="17">
        <f>AS11-AS12</f>
        <v/>
      </c>
      <c r="AT13" s="17">
        <f>AT11-AT12</f>
        <v/>
      </c>
      <c r="AU13" s="17">
        <f>AU11-AU12</f>
        <v/>
      </c>
      <c r="AV13" s="17">
        <f>AV11-AV12</f>
        <v/>
      </c>
      <c r="AW13" s="17">
        <f>AW11-AW12</f>
        <v/>
      </c>
      <c r="AX13" s="17">
        <f>AX11-AX12</f>
        <v/>
      </c>
      <c r="AY13" s="17">
        <f>AY11-AY12</f>
        <v/>
      </c>
    </row>
    <row r="14">
      <c r="B14" s="18" t="inlineStr">
        <is>
          <t>Marketing</t>
        </is>
      </c>
      <c r="D14" s="19" t="n">
        <v>19034.32</v>
      </c>
      <c r="E14" s="19" t="n">
        <v>17063.4</v>
      </c>
      <c r="F14" s="19" t="n">
        <v>25178.17</v>
      </c>
      <c r="G14" s="19" t="n">
        <v>17943.65</v>
      </c>
      <c r="H14" s="19" t="n">
        <v>25913.01</v>
      </c>
      <c r="I14" s="19" t="n">
        <v>34869.84</v>
      </c>
      <c r="J14" s="19" t="n">
        <v>23544.8</v>
      </c>
      <c r="K14" s="19" t="n">
        <v>25878.64</v>
      </c>
      <c r="L14" s="19" t="n">
        <v>30151.1</v>
      </c>
      <c r="M14" s="19" t="n">
        <v>31586.11</v>
      </c>
      <c r="N14" s="19" t="n">
        <v>40588.79</v>
      </c>
      <c r="O14" s="19" t="n">
        <v>31249.9</v>
      </c>
      <c r="P14" s="19" t="n">
        <v>27740.18</v>
      </c>
      <c r="Q14" s="19" t="n">
        <v>27007.49</v>
      </c>
      <c r="R14" s="19" t="n">
        <v>16681.8</v>
      </c>
      <c r="S14" s="19" t="n">
        <v>5975.58</v>
      </c>
      <c r="T14" s="84" t="n">
        <v>5982.17</v>
      </c>
      <c r="U14" s="20">
        <f>'BK P&amp;L'!U33+'CC P&amp;L'!U33+'DN P&amp;L'!U33+'LF P&amp;L'!U33+'MR P&amp;L'!U33+'OP P&amp;L'!U33+'PH P&amp;L'!U33+'RH P&amp;L'!U33+'SB P&amp;L'!U33+'SM P&amp;L'!U33+'WP P&amp;L'!U33+'WW P&amp;L'!U33+'HO P&amp;L'!U12</f>
        <v/>
      </c>
      <c r="V14" s="20">
        <f>'BK P&amp;L'!V33+'CC P&amp;L'!V33+'DN P&amp;L'!V33+'LF P&amp;L'!V33+'MR P&amp;L'!V33+'OP P&amp;L'!V33+'PH P&amp;L'!V33+'RH P&amp;L'!V33+'SB P&amp;L'!V33+'SM P&amp;L'!V33+'WP P&amp;L'!V33+'WW P&amp;L'!V33+'HO P&amp;L'!V12</f>
        <v/>
      </c>
      <c r="W14" s="20">
        <f>'BK P&amp;L'!W33+'CC P&amp;L'!W33+'DN P&amp;L'!W33+'LF P&amp;L'!W33+'MR P&amp;L'!W33+'OP P&amp;L'!W33+'PH P&amp;L'!W33+'RH P&amp;L'!W33+'SB P&amp;L'!W33+'SM P&amp;L'!W33+'WP P&amp;L'!W33+'WW P&amp;L'!W33+'HO P&amp;L'!W12</f>
        <v/>
      </c>
      <c r="X14" s="20">
        <f>'BK P&amp;L'!X33+'CC P&amp;L'!X33+'DN P&amp;L'!X33+'LF P&amp;L'!X33+'MR P&amp;L'!X33+'OP P&amp;L'!X33+'PH P&amp;L'!X33+'RH P&amp;L'!X33+'SB P&amp;L'!X33+'SM P&amp;L'!X33+'WP P&amp;L'!X33+'WW P&amp;L'!X33+'HO P&amp;L'!X12</f>
        <v/>
      </c>
      <c r="Y14" s="20">
        <f>'BK P&amp;L'!Y33+'CC P&amp;L'!Y33+'DN P&amp;L'!Y33+'LF P&amp;L'!Y33+'MR P&amp;L'!Y33+'OP P&amp;L'!Y33+'PH P&amp;L'!Y33+'RH P&amp;L'!Y33+'SB P&amp;L'!Y33+'SM P&amp;L'!Y33+'WP P&amp;L'!Y33+'WW P&amp;L'!Y33+'HO P&amp;L'!Y12</f>
        <v/>
      </c>
      <c r="Z14" s="20">
        <f>'BK P&amp;L'!Z33+'CC P&amp;L'!Z33+'DN P&amp;L'!Z33+'LF P&amp;L'!Z33+'MR P&amp;L'!Z33+'OP P&amp;L'!Z33+'PH P&amp;L'!Z33+'RH P&amp;L'!Z33+'SB P&amp;L'!Z33+'SM P&amp;L'!Z33+'WP P&amp;L'!Z33+'WW P&amp;L'!Z33+'HO P&amp;L'!Z12</f>
        <v/>
      </c>
      <c r="AA14" s="20">
        <f>'BK P&amp;L'!AA33+'CC P&amp;L'!AA33+'DN P&amp;L'!AA33+'LF P&amp;L'!AA33+'MR P&amp;L'!AA33+'OP P&amp;L'!AA33+'PH P&amp;L'!AA33+'RH P&amp;L'!AA33+'SB P&amp;L'!AA33+'SM P&amp;L'!AA33+'WP P&amp;L'!AA33+'WW P&amp;L'!AA33+'HO P&amp;L'!AA12</f>
        <v/>
      </c>
      <c r="AB14" s="20">
        <f>'BK P&amp;L'!AB33+'CC P&amp;L'!AB33+'DN P&amp;L'!AB33+'LF P&amp;L'!AB33+'MR P&amp;L'!AB33+'OP P&amp;L'!AB33+'PH P&amp;L'!AB33+'RH P&amp;L'!AB33+'SB P&amp;L'!AB33+'SM P&amp;L'!AB33+'WP P&amp;L'!AB33+'WW P&amp;L'!AB33+'HO P&amp;L'!AB12</f>
        <v/>
      </c>
      <c r="AC14" s="20">
        <f>'BK P&amp;L'!AC33+'CC P&amp;L'!AC33+'DN P&amp;L'!AC33+'LF P&amp;L'!AC33+'MR P&amp;L'!AC33+'OP P&amp;L'!AC33+'PH P&amp;L'!AC33+'RH P&amp;L'!AC33+'SB P&amp;L'!AC33+'SM P&amp;L'!AC33+'WP P&amp;L'!AC33+'WW P&amp;L'!AC33+'HO P&amp;L'!AC12</f>
        <v/>
      </c>
      <c r="AD14" s="20">
        <f>'BK P&amp;L'!AD33+'CC P&amp;L'!AD33+'DN P&amp;L'!AD33+'LF P&amp;L'!AD33+'MR P&amp;L'!AD33+'OP P&amp;L'!AD33+'PH P&amp;L'!AD33+'RH P&amp;L'!AD33+'SB P&amp;L'!AD33+'SM P&amp;L'!AD33+'WP P&amp;L'!AD33+'WW P&amp;L'!AD33+'HO P&amp;L'!AD12</f>
        <v/>
      </c>
      <c r="AE14" s="20">
        <f>'BK P&amp;L'!AE33+'CC P&amp;L'!AE33+'DN P&amp;L'!AE33+'LF P&amp;L'!AE33+'MR P&amp;L'!AE33+'OP P&amp;L'!AE33+'PH P&amp;L'!AE33+'RH P&amp;L'!AE33+'SB P&amp;L'!AE33+'SM P&amp;L'!AE33+'WP P&amp;L'!AE33+'WW P&amp;L'!AE33+'HO P&amp;L'!AE12</f>
        <v/>
      </c>
      <c r="AF14" s="20">
        <f>'BK P&amp;L'!AF33+'CC P&amp;L'!AF33+'DN P&amp;L'!AF33+'LF P&amp;L'!AF33+'MR P&amp;L'!AF33+'OP P&amp;L'!AF33+'PH P&amp;L'!AF33+'RH P&amp;L'!AF33+'SB P&amp;L'!AF33+'SM P&amp;L'!AF33+'WP P&amp;L'!AF33+'WW P&amp;L'!AF33+'HO P&amp;L'!AF12</f>
        <v/>
      </c>
      <c r="AG14" s="20">
        <f>'BK P&amp;L'!AG33+'CC P&amp;L'!AG33+'DN P&amp;L'!AG33+'LF P&amp;L'!AG33+'MR P&amp;L'!AG33+'OP P&amp;L'!AG33+'PH P&amp;L'!AG33+'RH P&amp;L'!AG33+'SB P&amp;L'!AG33+'SM P&amp;L'!AG33+'WP P&amp;L'!AG33+'WW P&amp;L'!AG33+'HO P&amp;L'!AG12</f>
        <v/>
      </c>
      <c r="AH14" s="20">
        <f>'BK P&amp;L'!AH33+'CC P&amp;L'!AH33+'DN P&amp;L'!AH33+'LF P&amp;L'!AH33+'MR P&amp;L'!AH33+'OP P&amp;L'!AH33+'PH P&amp;L'!AH33+'RH P&amp;L'!AH33+'SB P&amp;L'!AH33+'SM P&amp;L'!AH33+'WP P&amp;L'!AH33+'WW P&amp;L'!AH33+'HO P&amp;L'!AH12</f>
        <v/>
      </c>
      <c r="AI14" s="20">
        <f>'BK P&amp;L'!AI33+'CC P&amp;L'!AI33+'DN P&amp;L'!AI33+'LF P&amp;L'!AI33+'MR P&amp;L'!AI33+'OP P&amp;L'!AI33+'PH P&amp;L'!AI33+'RH P&amp;L'!AI33+'SB P&amp;L'!AI33+'SM P&amp;L'!AI33+'WP P&amp;L'!AI33+'WW P&amp;L'!AI33+'HO P&amp;L'!AI12</f>
        <v/>
      </c>
      <c r="AJ14" s="20">
        <f>'BK P&amp;L'!AJ33+'CC P&amp;L'!AJ33+'DN P&amp;L'!AJ33+'LF P&amp;L'!AJ33+'MR P&amp;L'!AJ33+'OP P&amp;L'!AJ33+'PH P&amp;L'!AJ33+'RH P&amp;L'!AJ33+'SB P&amp;L'!AJ33+'SM P&amp;L'!AJ33+'WP P&amp;L'!AJ33+'WW P&amp;L'!AJ33+'HO P&amp;L'!AJ12</f>
        <v/>
      </c>
      <c r="AK14" s="20">
        <f>'BK P&amp;L'!AK33+'CC P&amp;L'!AK33+'DN P&amp;L'!AK33+'LF P&amp;L'!AK33+'MR P&amp;L'!AK33+'OP P&amp;L'!AK33+'PH P&amp;L'!AK33+'RH P&amp;L'!AK33+'SB P&amp;L'!AK33+'SM P&amp;L'!AK33+'WP P&amp;L'!AK33+'WW P&amp;L'!AK33+'HO P&amp;L'!AK12</f>
        <v/>
      </c>
      <c r="AL14" s="20">
        <f>'BK P&amp;L'!AL33+'CC P&amp;L'!AL33+'DN P&amp;L'!AL33+'LF P&amp;L'!AL33+'MR P&amp;L'!AL33+'OP P&amp;L'!AL33+'PH P&amp;L'!AL33+'RH P&amp;L'!AL33+'SB P&amp;L'!AL33+'SM P&amp;L'!AL33+'WP P&amp;L'!AL33+'WW P&amp;L'!AL33+'HO P&amp;L'!AL12</f>
        <v/>
      </c>
      <c r="AM14" s="20">
        <f>'BK P&amp;L'!AM33+'CC P&amp;L'!AM33+'DN P&amp;L'!AM33+'LF P&amp;L'!AM33+'MR P&amp;L'!AM33+'OP P&amp;L'!AM33+'PH P&amp;L'!AM33+'RH P&amp;L'!AM33+'SB P&amp;L'!AM33+'SM P&amp;L'!AM33+'WP P&amp;L'!AM33+'WW P&amp;L'!AM33+'HO P&amp;L'!AM12</f>
        <v/>
      </c>
      <c r="AN14" s="20">
        <f>'BK P&amp;L'!AN33+'CC P&amp;L'!AN33+'DN P&amp;L'!AN33+'LF P&amp;L'!AN33+'MR P&amp;L'!AN33+'OP P&amp;L'!AN33+'PH P&amp;L'!AN33+'RH P&amp;L'!AN33+'SB P&amp;L'!AN33+'SM P&amp;L'!AN33+'WP P&amp;L'!AN33+'WW P&amp;L'!AN33+'HO P&amp;L'!AN12</f>
        <v/>
      </c>
      <c r="AO14" s="20">
        <f>'BK P&amp;L'!AO33+'CC P&amp;L'!AO33+'DN P&amp;L'!AO33+'LF P&amp;L'!AO33+'MR P&amp;L'!AO33+'OP P&amp;L'!AO33+'PH P&amp;L'!AO33+'RH P&amp;L'!AO33+'SB P&amp;L'!AO33+'SM P&amp;L'!AO33+'WP P&amp;L'!AO33+'WW P&amp;L'!AO33+'HO P&amp;L'!AO12</f>
        <v/>
      </c>
      <c r="AP14" s="20">
        <f>'BK P&amp;L'!AP33+'CC P&amp;L'!AP33+'DN P&amp;L'!AP33+'LF P&amp;L'!AP33+'MR P&amp;L'!AP33+'OP P&amp;L'!AP33+'PH P&amp;L'!AP33+'RH P&amp;L'!AP33+'SB P&amp;L'!AP33+'SM P&amp;L'!AP33+'WP P&amp;L'!AP33+'WW P&amp;L'!AP33+'HO P&amp;L'!AP12</f>
        <v/>
      </c>
      <c r="AQ14" s="20">
        <f>'BK P&amp;L'!AQ33+'CC P&amp;L'!AQ33+'DN P&amp;L'!AQ33+'LF P&amp;L'!AQ33+'MR P&amp;L'!AQ33+'OP P&amp;L'!AQ33+'PH P&amp;L'!AQ33+'RH P&amp;L'!AQ33+'SB P&amp;L'!AQ33+'SM P&amp;L'!AQ33+'WP P&amp;L'!AQ33+'WW P&amp;L'!AQ33+'HO P&amp;L'!AQ12</f>
        <v/>
      </c>
      <c r="AR14" s="20">
        <f>'BK P&amp;L'!AR33+'CC P&amp;L'!AR33+'DN P&amp;L'!AR33+'LF P&amp;L'!AR33+'MR P&amp;L'!AR33+'OP P&amp;L'!AR33+'PH P&amp;L'!AR33+'RH P&amp;L'!AR33+'SB P&amp;L'!AR33+'SM P&amp;L'!AR33+'WP P&amp;L'!AR33+'WW P&amp;L'!AR33+'HO P&amp;L'!AR12</f>
        <v/>
      </c>
      <c r="AS14" s="20">
        <f>'BK P&amp;L'!AS33+'CC P&amp;L'!AS33+'DN P&amp;L'!AS33+'LF P&amp;L'!AS33+'MR P&amp;L'!AS33+'OP P&amp;L'!AS33+'PH P&amp;L'!AS33+'RH P&amp;L'!AS33+'SB P&amp;L'!AS33+'SM P&amp;L'!AS33+'WP P&amp;L'!AS33+'WW P&amp;L'!AS33+'HO P&amp;L'!AS12</f>
        <v/>
      </c>
      <c r="AT14" s="20">
        <f>'BK P&amp;L'!AT33+'CC P&amp;L'!AT33+'DN P&amp;L'!AT33+'LF P&amp;L'!AT33+'MR P&amp;L'!AT33+'OP P&amp;L'!AT33+'PH P&amp;L'!AT33+'RH P&amp;L'!AT33+'SB P&amp;L'!AT33+'SM P&amp;L'!AT33+'WP P&amp;L'!AT33+'WW P&amp;L'!AT33+'HO P&amp;L'!AT12</f>
        <v/>
      </c>
      <c r="AU14" s="20">
        <f>'BK P&amp;L'!AU33+'CC P&amp;L'!AU33+'DN P&amp;L'!AU33+'LF P&amp;L'!AU33+'MR P&amp;L'!AU33+'OP P&amp;L'!AU33+'PH P&amp;L'!AU33+'RH P&amp;L'!AU33+'SB P&amp;L'!AU33+'SM P&amp;L'!AU33+'WP P&amp;L'!AU33+'WW P&amp;L'!AU33+'HO P&amp;L'!AU12</f>
        <v/>
      </c>
      <c r="AV14" s="20">
        <f>'BK P&amp;L'!AV33+'CC P&amp;L'!AV33+'DN P&amp;L'!AV33+'LF P&amp;L'!AV33+'MR P&amp;L'!AV33+'OP P&amp;L'!AV33+'PH P&amp;L'!AV33+'RH P&amp;L'!AV33+'SB P&amp;L'!AV33+'SM P&amp;L'!AV33+'WP P&amp;L'!AV33+'WW P&amp;L'!AV33+'HO P&amp;L'!AV12</f>
        <v/>
      </c>
      <c r="AW14" s="20">
        <f>'BK P&amp;L'!AW33+'CC P&amp;L'!AW33+'DN P&amp;L'!AW33+'LF P&amp;L'!AW33+'MR P&amp;L'!AW33+'OP P&amp;L'!AW33+'PH P&amp;L'!AW33+'RH P&amp;L'!AW33+'SB P&amp;L'!AW33+'SM P&amp;L'!AW33+'WP P&amp;L'!AW33+'WW P&amp;L'!AW33+'HO P&amp;L'!AW12</f>
        <v/>
      </c>
      <c r="AX14" s="20">
        <f>'BK P&amp;L'!AX33+'CC P&amp;L'!AX33+'DN P&amp;L'!AX33+'LF P&amp;L'!AX33+'MR P&amp;L'!AX33+'OP P&amp;L'!AX33+'PH P&amp;L'!AX33+'RH P&amp;L'!AX33+'SB P&amp;L'!AX33+'SM P&amp;L'!AX33+'WP P&amp;L'!AX33+'WW P&amp;L'!AX33+'HO P&amp;L'!AX12</f>
        <v/>
      </c>
      <c r="AY14" s="20">
        <f>'BK P&amp;L'!AY33+'CC P&amp;L'!AY33+'DN P&amp;L'!AY33+'LF P&amp;L'!AY33+'MR P&amp;L'!AY33+'OP P&amp;L'!AY33+'PH P&amp;L'!AY33+'RH P&amp;L'!AY33+'SB P&amp;L'!AY33+'SM P&amp;L'!AY33+'WP P&amp;L'!AY33+'WW P&amp;L'!AY33+'HO P&amp;L'!AY12</f>
        <v/>
      </c>
    </row>
    <row r="15">
      <c r="B15" s="18" t="inlineStr">
        <is>
          <t>Payroll</t>
        </is>
      </c>
      <c r="D15" s="19" t="n">
        <v>419319.36</v>
      </c>
      <c r="E15" s="19" t="n">
        <v>423621.65</v>
      </c>
      <c r="F15" s="19" t="n">
        <v>479539.11</v>
      </c>
      <c r="G15" s="19" t="n">
        <v>456441.26</v>
      </c>
      <c r="H15" s="19" t="n">
        <v>558270.3199999999</v>
      </c>
      <c r="I15" s="19" t="n">
        <v>533362.29</v>
      </c>
      <c r="J15" s="19" t="n">
        <v>551786.76</v>
      </c>
      <c r="K15" s="19" t="n">
        <v>563606.75</v>
      </c>
      <c r="L15" s="19" t="n">
        <v>576144.9400000001</v>
      </c>
      <c r="M15" s="19" t="n">
        <v>597447.0900000001</v>
      </c>
      <c r="N15" s="19" t="n">
        <v>566914.0099999999</v>
      </c>
      <c r="O15" s="19" t="n">
        <v>601056.9199999999</v>
      </c>
      <c r="P15" s="19" t="n">
        <v>681232.98</v>
      </c>
      <c r="Q15" s="19" t="n">
        <v>590412.0599999999</v>
      </c>
      <c r="R15" s="19" t="n">
        <v>628953.8100000001</v>
      </c>
      <c r="S15" s="19" t="n">
        <v>576480.9800000001</v>
      </c>
      <c r="T15" s="84" t="n">
        <v>589210.62</v>
      </c>
      <c r="U15" s="20">
        <f>'BK P&amp;L'!U38+'CC P&amp;L'!U38+'DN P&amp;L'!U38+'LF P&amp;L'!U38+'MR P&amp;L'!U38+'OP P&amp;L'!U38+'PH P&amp;L'!U38+'RH P&amp;L'!U38+'SB P&amp;L'!U38+'SM P&amp;L'!U38+'WP P&amp;L'!U38+'WW P&amp;L'!U38+'HO P&amp;L'!U17</f>
        <v/>
      </c>
      <c r="V15" s="20">
        <f>'BK P&amp;L'!V38+'CC P&amp;L'!V38+'DN P&amp;L'!V38+'LF P&amp;L'!V38+'MR P&amp;L'!V38+'OP P&amp;L'!V38+'PH P&amp;L'!V38+'RH P&amp;L'!V38+'SB P&amp;L'!V38+'SM P&amp;L'!V38+'WP P&amp;L'!V38+'WW P&amp;L'!V38+'HO P&amp;L'!V17</f>
        <v/>
      </c>
      <c r="W15" s="20">
        <f>'BK P&amp;L'!W38+'CC P&amp;L'!W38+'DN P&amp;L'!W38+'LF P&amp;L'!W38+'MR P&amp;L'!W38+'OP P&amp;L'!W38+'PH P&amp;L'!W38+'RH P&amp;L'!W38+'SB P&amp;L'!W38+'SM P&amp;L'!W38+'WP P&amp;L'!W38+'WW P&amp;L'!W38+'HO P&amp;L'!W17</f>
        <v/>
      </c>
      <c r="X15" s="20">
        <f>'BK P&amp;L'!X38+'CC P&amp;L'!X38+'DN P&amp;L'!X38+'LF P&amp;L'!X38+'MR P&amp;L'!X38+'OP P&amp;L'!X38+'PH P&amp;L'!X38+'RH P&amp;L'!X38+'SB P&amp;L'!X38+'SM P&amp;L'!X38+'WP P&amp;L'!X38+'WW P&amp;L'!X38+'HO P&amp;L'!X17</f>
        <v/>
      </c>
      <c r="Y15" s="20">
        <f>'BK P&amp;L'!Y38+'CC P&amp;L'!Y38+'DN P&amp;L'!Y38+'LF P&amp;L'!Y38+'MR P&amp;L'!Y38+'OP P&amp;L'!Y38+'PH P&amp;L'!Y38+'RH P&amp;L'!Y38+'SB P&amp;L'!Y38+'SM P&amp;L'!Y38+'WP P&amp;L'!Y38+'WW P&amp;L'!Y38+'HO P&amp;L'!Y17</f>
        <v/>
      </c>
      <c r="Z15" s="20">
        <f>'BK P&amp;L'!Z38+'CC P&amp;L'!Z38+'DN P&amp;L'!Z38+'LF P&amp;L'!Z38+'MR P&amp;L'!Z38+'OP P&amp;L'!Z38+'PH P&amp;L'!Z38+'RH P&amp;L'!Z38+'SB P&amp;L'!Z38+'SM P&amp;L'!Z38+'WP P&amp;L'!Z38+'WW P&amp;L'!Z38+'HO P&amp;L'!Z17</f>
        <v/>
      </c>
      <c r="AA15" s="20">
        <f>'BK P&amp;L'!AA38+'CC P&amp;L'!AA38+'DN P&amp;L'!AA38+'LF P&amp;L'!AA38+'MR P&amp;L'!AA38+'OP P&amp;L'!AA38+'PH P&amp;L'!AA38+'RH P&amp;L'!AA38+'SB P&amp;L'!AA38+'SM P&amp;L'!AA38+'WP P&amp;L'!AA38+'WW P&amp;L'!AA38+'HO P&amp;L'!AA17</f>
        <v/>
      </c>
      <c r="AB15" s="20">
        <f>'BK P&amp;L'!AB38+'CC P&amp;L'!AB38+'DN P&amp;L'!AB38+'LF P&amp;L'!AB38+'MR P&amp;L'!AB38+'OP P&amp;L'!AB38+'PH P&amp;L'!AB38+'RH P&amp;L'!AB38+'SB P&amp;L'!AB38+'SM P&amp;L'!AB38+'WP P&amp;L'!AB38+'WW P&amp;L'!AB38+'HO P&amp;L'!AB17</f>
        <v/>
      </c>
      <c r="AC15" s="20">
        <f>'BK P&amp;L'!AC38+'CC P&amp;L'!AC38+'DN P&amp;L'!AC38+'LF P&amp;L'!AC38+'MR P&amp;L'!AC38+'OP P&amp;L'!AC38+'PH P&amp;L'!AC38+'RH P&amp;L'!AC38+'SB P&amp;L'!AC38+'SM P&amp;L'!AC38+'WP P&amp;L'!AC38+'WW P&amp;L'!AC38+'HO P&amp;L'!AC17</f>
        <v/>
      </c>
      <c r="AD15" s="20">
        <f>'BK P&amp;L'!AD38+'CC P&amp;L'!AD38+'DN P&amp;L'!AD38+'LF P&amp;L'!AD38+'MR P&amp;L'!AD38+'OP P&amp;L'!AD38+'PH P&amp;L'!AD38+'RH P&amp;L'!AD38+'SB P&amp;L'!AD38+'SM P&amp;L'!AD38+'WP P&amp;L'!AD38+'WW P&amp;L'!AD38+'HO P&amp;L'!AD17</f>
        <v/>
      </c>
      <c r="AE15" s="20">
        <f>'BK P&amp;L'!AE38+'CC P&amp;L'!AE38+'DN P&amp;L'!AE38+'LF P&amp;L'!AE38+'MR P&amp;L'!AE38+'OP P&amp;L'!AE38+'PH P&amp;L'!AE38+'RH P&amp;L'!AE38+'SB P&amp;L'!AE38+'SM P&amp;L'!AE38+'WP P&amp;L'!AE38+'WW P&amp;L'!AE38+'HO P&amp;L'!AE17</f>
        <v/>
      </c>
      <c r="AF15" s="20">
        <f>'BK P&amp;L'!AF38+'CC P&amp;L'!AF38+'DN P&amp;L'!AF38+'LF P&amp;L'!AF38+'MR P&amp;L'!AF38+'OP P&amp;L'!AF38+'PH P&amp;L'!AF38+'RH P&amp;L'!AF38+'SB P&amp;L'!AF38+'SM P&amp;L'!AF38+'WP P&amp;L'!AF38+'WW P&amp;L'!AF38+'HO P&amp;L'!AF17</f>
        <v/>
      </c>
      <c r="AG15" s="20">
        <f>'BK P&amp;L'!AG38+'CC P&amp;L'!AG38+'DN P&amp;L'!AG38+'LF P&amp;L'!AG38+'MR P&amp;L'!AG38+'OP P&amp;L'!AG38+'PH P&amp;L'!AG38+'RH P&amp;L'!AG38+'SB P&amp;L'!AG38+'SM P&amp;L'!AG38+'WP P&amp;L'!AG38+'WW P&amp;L'!AG38+'HO P&amp;L'!AG17</f>
        <v/>
      </c>
      <c r="AH15" s="20">
        <f>'BK P&amp;L'!AH38+'CC P&amp;L'!AH38+'DN P&amp;L'!AH38+'LF P&amp;L'!AH38+'MR P&amp;L'!AH38+'OP P&amp;L'!AH38+'PH P&amp;L'!AH38+'RH P&amp;L'!AH38+'SB P&amp;L'!AH38+'SM P&amp;L'!AH38+'WP P&amp;L'!AH38+'WW P&amp;L'!AH38+'HO P&amp;L'!AH17</f>
        <v/>
      </c>
      <c r="AI15" s="20">
        <f>'BK P&amp;L'!AI38+'CC P&amp;L'!AI38+'DN P&amp;L'!AI38+'LF P&amp;L'!AI38+'MR P&amp;L'!AI38+'OP P&amp;L'!AI38+'PH P&amp;L'!AI38+'RH P&amp;L'!AI38+'SB P&amp;L'!AI38+'SM P&amp;L'!AI38+'WP P&amp;L'!AI38+'WW P&amp;L'!AI38+'HO P&amp;L'!AI17</f>
        <v/>
      </c>
      <c r="AJ15" s="20">
        <f>'BK P&amp;L'!AJ38+'CC P&amp;L'!AJ38+'DN P&amp;L'!AJ38+'LF P&amp;L'!AJ38+'MR P&amp;L'!AJ38+'OP P&amp;L'!AJ38+'PH P&amp;L'!AJ38+'RH P&amp;L'!AJ38+'SB P&amp;L'!AJ38+'SM P&amp;L'!AJ38+'WP P&amp;L'!AJ38+'WW P&amp;L'!AJ38+'HO P&amp;L'!AJ17</f>
        <v/>
      </c>
      <c r="AK15" s="20">
        <f>'BK P&amp;L'!AK38+'CC P&amp;L'!AK38+'DN P&amp;L'!AK38+'LF P&amp;L'!AK38+'MR P&amp;L'!AK38+'OP P&amp;L'!AK38+'PH P&amp;L'!AK38+'RH P&amp;L'!AK38+'SB P&amp;L'!AK38+'SM P&amp;L'!AK38+'WP P&amp;L'!AK38+'WW P&amp;L'!AK38+'HO P&amp;L'!AK17</f>
        <v/>
      </c>
      <c r="AL15" s="20">
        <f>'BK P&amp;L'!AL38+'CC P&amp;L'!AL38+'DN P&amp;L'!AL38+'LF P&amp;L'!AL38+'MR P&amp;L'!AL38+'OP P&amp;L'!AL38+'PH P&amp;L'!AL38+'RH P&amp;L'!AL38+'SB P&amp;L'!AL38+'SM P&amp;L'!AL38+'WP P&amp;L'!AL38+'WW P&amp;L'!AL38+'HO P&amp;L'!AL17</f>
        <v/>
      </c>
      <c r="AM15" s="20">
        <f>'BK P&amp;L'!AM38+'CC P&amp;L'!AM38+'DN P&amp;L'!AM38+'LF P&amp;L'!AM38+'MR P&amp;L'!AM38+'OP P&amp;L'!AM38+'PH P&amp;L'!AM38+'RH P&amp;L'!AM38+'SB P&amp;L'!AM38+'SM P&amp;L'!AM38+'WP P&amp;L'!AM38+'WW P&amp;L'!AM38+'HO P&amp;L'!AM17</f>
        <v/>
      </c>
      <c r="AN15" s="20">
        <f>'BK P&amp;L'!AN38+'CC P&amp;L'!AN38+'DN P&amp;L'!AN38+'LF P&amp;L'!AN38+'MR P&amp;L'!AN38+'OP P&amp;L'!AN38+'PH P&amp;L'!AN38+'RH P&amp;L'!AN38+'SB P&amp;L'!AN38+'SM P&amp;L'!AN38+'WP P&amp;L'!AN38+'WW P&amp;L'!AN38+'HO P&amp;L'!AN17</f>
        <v/>
      </c>
      <c r="AO15" s="20">
        <f>'BK P&amp;L'!AO38+'CC P&amp;L'!AO38+'DN P&amp;L'!AO38+'LF P&amp;L'!AO38+'MR P&amp;L'!AO38+'OP P&amp;L'!AO38+'PH P&amp;L'!AO38+'RH P&amp;L'!AO38+'SB P&amp;L'!AO38+'SM P&amp;L'!AO38+'WP P&amp;L'!AO38+'WW P&amp;L'!AO38+'HO P&amp;L'!AO17</f>
        <v/>
      </c>
      <c r="AP15" s="20">
        <f>'BK P&amp;L'!AP38+'CC P&amp;L'!AP38+'DN P&amp;L'!AP38+'LF P&amp;L'!AP38+'MR P&amp;L'!AP38+'OP P&amp;L'!AP38+'PH P&amp;L'!AP38+'RH P&amp;L'!AP38+'SB P&amp;L'!AP38+'SM P&amp;L'!AP38+'WP P&amp;L'!AP38+'WW P&amp;L'!AP38+'HO P&amp;L'!AP17</f>
        <v/>
      </c>
      <c r="AQ15" s="20">
        <f>'BK P&amp;L'!AQ38+'CC P&amp;L'!AQ38+'DN P&amp;L'!AQ38+'LF P&amp;L'!AQ38+'MR P&amp;L'!AQ38+'OP P&amp;L'!AQ38+'PH P&amp;L'!AQ38+'RH P&amp;L'!AQ38+'SB P&amp;L'!AQ38+'SM P&amp;L'!AQ38+'WP P&amp;L'!AQ38+'WW P&amp;L'!AQ38+'HO P&amp;L'!AQ17</f>
        <v/>
      </c>
      <c r="AR15" s="20">
        <f>'BK P&amp;L'!AR38+'CC P&amp;L'!AR38+'DN P&amp;L'!AR38+'LF P&amp;L'!AR38+'MR P&amp;L'!AR38+'OP P&amp;L'!AR38+'PH P&amp;L'!AR38+'RH P&amp;L'!AR38+'SB P&amp;L'!AR38+'SM P&amp;L'!AR38+'WP P&amp;L'!AR38+'WW P&amp;L'!AR38+'HO P&amp;L'!AR17</f>
        <v/>
      </c>
      <c r="AS15" s="20">
        <f>'BK P&amp;L'!AS38+'CC P&amp;L'!AS38+'DN P&amp;L'!AS38+'LF P&amp;L'!AS38+'MR P&amp;L'!AS38+'OP P&amp;L'!AS38+'PH P&amp;L'!AS38+'RH P&amp;L'!AS38+'SB P&amp;L'!AS38+'SM P&amp;L'!AS38+'WP P&amp;L'!AS38+'WW P&amp;L'!AS38+'HO P&amp;L'!AS17</f>
        <v/>
      </c>
      <c r="AT15" s="20">
        <f>'BK P&amp;L'!AT38+'CC P&amp;L'!AT38+'DN P&amp;L'!AT38+'LF P&amp;L'!AT38+'MR P&amp;L'!AT38+'OP P&amp;L'!AT38+'PH P&amp;L'!AT38+'RH P&amp;L'!AT38+'SB P&amp;L'!AT38+'SM P&amp;L'!AT38+'WP P&amp;L'!AT38+'WW P&amp;L'!AT38+'HO P&amp;L'!AT17</f>
        <v/>
      </c>
      <c r="AU15" s="20">
        <f>'BK P&amp;L'!AU38+'CC P&amp;L'!AU38+'DN P&amp;L'!AU38+'LF P&amp;L'!AU38+'MR P&amp;L'!AU38+'OP P&amp;L'!AU38+'PH P&amp;L'!AU38+'RH P&amp;L'!AU38+'SB P&amp;L'!AU38+'SM P&amp;L'!AU38+'WP P&amp;L'!AU38+'WW P&amp;L'!AU38+'HO P&amp;L'!AU17</f>
        <v/>
      </c>
      <c r="AV15" s="20">
        <f>'BK P&amp;L'!AV38+'CC P&amp;L'!AV38+'DN P&amp;L'!AV38+'LF P&amp;L'!AV38+'MR P&amp;L'!AV38+'OP P&amp;L'!AV38+'PH P&amp;L'!AV38+'RH P&amp;L'!AV38+'SB P&amp;L'!AV38+'SM P&amp;L'!AV38+'WP P&amp;L'!AV38+'WW P&amp;L'!AV38+'HO P&amp;L'!AV17</f>
        <v/>
      </c>
      <c r="AW15" s="20">
        <f>'BK P&amp;L'!AW38+'CC P&amp;L'!AW38+'DN P&amp;L'!AW38+'LF P&amp;L'!AW38+'MR P&amp;L'!AW38+'OP P&amp;L'!AW38+'PH P&amp;L'!AW38+'RH P&amp;L'!AW38+'SB P&amp;L'!AW38+'SM P&amp;L'!AW38+'WP P&amp;L'!AW38+'WW P&amp;L'!AW38+'HO P&amp;L'!AW17</f>
        <v/>
      </c>
      <c r="AX15" s="20">
        <f>'BK P&amp;L'!AX38+'CC P&amp;L'!AX38+'DN P&amp;L'!AX38+'LF P&amp;L'!AX38+'MR P&amp;L'!AX38+'OP P&amp;L'!AX38+'PH P&amp;L'!AX38+'RH P&amp;L'!AX38+'SB P&amp;L'!AX38+'SM P&amp;L'!AX38+'WP P&amp;L'!AX38+'WW P&amp;L'!AX38+'HO P&amp;L'!AX17</f>
        <v/>
      </c>
      <c r="AY15" s="20">
        <f>'BK P&amp;L'!AY38+'CC P&amp;L'!AY38+'DN P&amp;L'!AY38+'LF P&amp;L'!AY38+'MR P&amp;L'!AY38+'OP P&amp;L'!AY38+'PH P&amp;L'!AY38+'RH P&amp;L'!AY38+'SB P&amp;L'!AY38+'SM P&amp;L'!AY38+'WP P&amp;L'!AY38+'WW P&amp;L'!AY38+'HO P&amp;L'!AY17</f>
        <v/>
      </c>
    </row>
    <row r="16">
      <c r="B16" s="18" t="inlineStr">
        <is>
          <t>Software</t>
        </is>
      </c>
      <c r="D16" s="19" t="n">
        <v>14252.66</v>
      </c>
      <c r="E16" s="19" t="n">
        <v>8816.290000000001</v>
      </c>
      <c r="F16" s="19" t="n">
        <v>10929.2</v>
      </c>
      <c r="G16" s="19" t="n">
        <v>12816.7</v>
      </c>
      <c r="H16" s="19" t="n">
        <v>13026.09</v>
      </c>
      <c r="I16" s="19" t="n">
        <v>12037.55</v>
      </c>
      <c r="J16" s="19" t="n">
        <v>10467.78</v>
      </c>
      <c r="K16" s="19" t="n">
        <v>14382.58</v>
      </c>
      <c r="L16" s="19" t="n">
        <v>12170.58</v>
      </c>
      <c r="M16" s="19" t="n">
        <v>13845.85</v>
      </c>
      <c r="N16" s="19" t="n">
        <v>13927.97</v>
      </c>
      <c r="O16" s="19" t="n">
        <v>15405.24</v>
      </c>
      <c r="P16" s="19" t="n">
        <v>14854.43</v>
      </c>
      <c r="Q16" s="19" t="n">
        <v>23709.03</v>
      </c>
      <c r="R16" s="19" t="n">
        <v>10924.01</v>
      </c>
      <c r="S16" s="19" t="n">
        <v>13421.72</v>
      </c>
      <c r="T16" s="84" t="n">
        <v>14118.08</v>
      </c>
      <c r="U16" s="20">
        <f>'BK P&amp;L'!U42+'CC P&amp;L'!U42+'DN P&amp;L'!U42+'LF P&amp;L'!U42+'MR P&amp;L'!U42+'OP P&amp;L'!U42+'PH P&amp;L'!U42+'RH P&amp;L'!U42+'SB P&amp;L'!U42+'SM P&amp;L'!U42+'WP P&amp;L'!U42+'WW P&amp;L'!U42+'HO P&amp;L'!U22</f>
        <v/>
      </c>
      <c r="V16" s="20">
        <f>'BK P&amp;L'!V42+'CC P&amp;L'!V42+'DN P&amp;L'!V42+'LF P&amp;L'!V42+'MR P&amp;L'!V42+'OP P&amp;L'!V42+'PH P&amp;L'!V42+'RH P&amp;L'!V42+'SB P&amp;L'!V42+'SM P&amp;L'!V42+'WP P&amp;L'!V42+'WW P&amp;L'!V42+'HO P&amp;L'!V22</f>
        <v/>
      </c>
      <c r="W16" s="20">
        <f>'BK P&amp;L'!W42+'CC P&amp;L'!W42+'DN P&amp;L'!W42+'LF P&amp;L'!W42+'MR P&amp;L'!W42+'OP P&amp;L'!W42+'PH P&amp;L'!W42+'RH P&amp;L'!W42+'SB P&amp;L'!W42+'SM P&amp;L'!W42+'WP P&amp;L'!W42+'WW P&amp;L'!W42+'HO P&amp;L'!W22</f>
        <v/>
      </c>
      <c r="X16" s="20">
        <f>'BK P&amp;L'!X42+'CC P&amp;L'!X42+'DN P&amp;L'!X42+'LF P&amp;L'!X42+'MR P&amp;L'!X42+'OP P&amp;L'!X42+'PH P&amp;L'!X42+'RH P&amp;L'!X42+'SB P&amp;L'!X42+'SM P&amp;L'!X42+'WP P&amp;L'!X42+'WW P&amp;L'!X42+'HO P&amp;L'!X22</f>
        <v/>
      </c>
      <c r="Y16" s="20">
        <f>'BK P&amp;L'!Y42+'CC P&amp;L'!Y42+'DN P&amp;L'!Y42+'LF P&amp;L'!Y42+'MR P&amp;L'!Y42+'OP P&amp;L'!Y42+'PH P&amp;L'!Y42+'RH P&amp;L'!Y42+'SB P&amp;L'!Y42+'SM P&amp;L'!Y42+'WP P&amp;L'!Y42+'WW P&amp;L'!Y42+'HO P&amp;L'!Y22</f>
        <v/>
      </c>
      <c r="Z16" s="20">
        <f>'BK P&amp;L'!Z42+'CC P&amp;L'!Z42+'DN P&amp;L'!Z42+'LF P&amp;L'!Z42+'MR P&amp;L'!Z42+'OP P&amp;L'!Z42+'PH P&amp;L'!Z42+'RH P&amp;L'!Z42+'SB P&amp;L'!Z42+'SM P&amp;L'!Z42+'WP P&amp;L'!Z42+'WW P&amp;L'!Z42+'HO P&amp;L'!Z22</f>
        <v/>
      </c>
      <c r="AA16" s="20">
        <f>'BK P&amp;L'!AA42+'CC P&amp;L'!AA42+'DN P&amp;L'!AA42+'LF P&amp;L'!AA42+'MR P&amp;L'!AA42+'OP P&amp;L'!AA42+'PH P&amp;L'!AA42+'RH P&amp;L'!AA42+'SB P&amp;L'!AA42+'SM P&amp;L'!AA42+'WP P&amp;L'!AA42+'WW P&amp;L'!AA42+'HO P&amp;L'!AA22</f>
        <v/>
      </c>
      <c r="AB16" s="20">
        <f>'BK P&amp;L'!AB42+'CC P&amp;L'!AB42+'DN P&amp;L'!AB42+'LF P&amp;L'!AB42+'MR P&amp;L'!AB42+'OP P&amp;L'!AB42+'PH P&amp;L'!AB42+'RH P&amp;L'!AB42+'SB P&amp;L'!AB42+'SM P&amp;L'!AB42+'WP P&amp;L'!AB42+'WW P&amp;L'!AB42+'HO P&amp;L'!AB22</f>
        <v/>
      </c>
      <c r="AC16" s="20">
        <f>'BK P&amp;L'!AC42+'CC P&amp;L'!AC42+'DN P&amp;L'!AC42+'LF P&amp;L'!AC42+'MR P&amp;L'!AC42+'OP P&amp;L'!AC42+'PH P&amp;L'!AC42+'RH P&amp;L'!AC42+'SB P&amp;L'!AC42+'SM P&amp;L'!AC42+'WP P&amp;L'!AC42+'WW P&amp;L'!AC42+'HO P&amp;L'!AC22</f>
        <v/>
      </c>
      <c r="AD16" s="20">
        <f>'BK P&amp;L'!AD42+'CC P&amp;L'!AD42+'DN P&amp;L'!AD42+'LF P&amp;L'!AD42+'MR P&amp;L'!AD42+'OP P&amp;L'!AD42+'PH P&amp;L'!AD42+'RH P&amp;L'!AD42+'SB P&amp;L'!AD42+'SM P&amp;L'!AD42+'WP P&amp;L'!AD42+'WW P&amp;L'!AD42+'HO P&amp;L'!AD22</f>
        <v/>
      </c>
      <c r="AE16" s="20">
        <f>'BK P&amp;L'!AE42+'CC P&amp;L'!AE42+'DN P&amp;L'!AE42+'LF P&amp;L'!AE42+'MR P&amp;L'!AE42+'OP P&amp;L'!AE42+'PH P&amp;L'!AE42+'RH P&amp;L'!AE42+'SB P&amp;L'!AE42+'SM P&amp;L'!AE42+'WP P&amp;L'!AE42+'WW P&amp;L'!AE42+'HO P&amp;L'!AE22</f>
        <v/>
      </c>
      <c r="AF16" s="20">
        <f>'BK P&amp;L'!AF42+'CC P&amp;L'!AF42+'DN P&amp;L'!AF42+'LF P&amp;L'!AF42+'MR P&amp;L'!AF42+'OP P&amp;L'!AF42+'PH P&amp;L'!AF42+'RH P&amp;L'!AF42+'SB P&amp;L'!AF42+'SM P&amp;L'!AF42+'WP P&amp;L'!AF42+'WW P&amp;L'!AF42+'HO P&amp;L'!AF22</f>
        <v/>
      </c>
      <c r="AG16" s="20">
        <f>'BK P&amp;L'!AG42+'CC P&amp;L'!AG42+'DN P&amp;L'!AG42+'LF P&amp;L'!AG42+'MR P&amp;L'!AG42+'OP P&amp;L'!AG42+'PH P&amp;L'!AG42+'RH P&amp;L'!AG42+'SB P&amp;L'!AG42+'SM P&amp;L'!AG42+'WP P&amp;L'!AG42+'WW P&amp;L'!AG42+'HO P&amp;L'!AG22</f>
        <v/>
      </c>
      <c r="AH16" s="20">
        <f>'BK P&amp;L'!AH42+'CC P&amp;L'!AH42+'DN P&amp;L'!AH42+'LF P&amp;L'!AH42+'MR P&amp;L'!AH42+'OP P&amp;L'!AH42+'PH P&amp;L'!AH42+'RH P&amp;L'!AH42+'SB P&amp;L'!AH42+'SM P&amp;L'!AH42+'WP P&amp;L'!AH42+'WW P&amp;L'!AH42+'HO P&amp;L'!AH22</f>
        <v/>
      </c>
      <c r="AI16" s="20">
        <f>'BK P&amp;L'!AI42+'CC P&amp;L'!AI42+'DN P&amp;L'!AI42+'LF P&amp;L'!AI42+'MR P&amp;L'!AI42+'OP P&amp;L'!AI42+'PH P&amp;L'!AI42+'RH P&amp;L'!AI42+'SB P&amp;L'!AI42+'SM P&amp;L'!AI42+'WP P&amp;L'!AI42+'WW P&amp;L'!AI42+'HO P&amp;L'!AI22</f>
        <v/>
      </c>
      <c r="AJ16" s="20">
        <f>'BK P&amp;L'!AJ42+'CC P&amp;L'!AJ42+'DN P&amp;L'!AJ42+'LF P&amp;L'!AJ42+'MR P&amp;L'!AJ42+'OP P&amp;L'!AJ42+'PH P&amp;L'!AJ42+'RH P&amp;L'!AJ42+'SB P&amp;L'!AJ42+'SM P&amp;L'!AJ42+'WP P&amp;L'!AJ42+'WW P&amp;L'!AJ42+'HO P&amp;L'!AJ22</f>
        <v/>
      </c>
      <c r="AK16" s="20">
        <f>'BK P&amp;L'!AK42+'CC P&amp;L'!AK42+'DN P&amp;L'!AK42+'LF P&amp;L'!AK42+'MR P&amp;L'!AK42+'OP P&amp;L'!AK42+'PH P&amp;L'!AK42+'RH P&amp;L'!AK42+'SB P&amp;L'!AK42+'SM P&amp;L'!AK42+'WP P&amp;L'!AK42+'WW P&amp;L'!AK42+'HO P&amp;L'!AK22</f>
        <v/>
      </c>
      <c r="AL16" s="20">
        <f>'BK P&amp;L'!AL42+'CC P&amp;L'!AL42+'DN P&amp;L'!AL42+'LF P&amp;L'!AL42+'MR P&amp;L'!AL42+'OP P&amp;L'!AL42+'PH P&amp;L'!AL42+'RH P&amp;L'!AL42+'SB P&amp;L'!AL42+'SM P&amp;L'!AL42+'WP P&amp;L'!AL42+'WW P&amp;L'!AL42+'HO P&amp;L'!AL22</f>
        <v/>
      </c>
      <c r="AM16" s="20">
        <f>'BK P&amp;L'!AM42+'CC P&amp;L'!AM42+'DN P&amp;L'!AM42+'LF P&amp;L'!AM42+'MR P&amp;L'!AM42+'OP P&amp;L'!AM42+'PH P&amp;L'!AM42+'RH P&amp;L'!AM42+'SB P&amp;L'!AM42+'SM P&amp;L'!AM42+'WP P&amp;L'!AM42+'WW P&amp;L'!AM42+'HO P&amp;L'!AM22</f>
        <v/>
      </c>
      <c r="AN16" s="20">
        <f>'BK P&amp;L'!AN42+'CC P&amp;L'!AN42+'DN P&amp;L'!AN42+'LF P&amp;L'!AN42+'MR P&amp;L'!AN42+'OP P&amp;L'!AN42+'PH P&amp;L'!AN42+'RH P&amp;L'!AN42+'SB P&amp;L'!AN42+'SM P&amp;L'!AN42+'WP P&amp;L'!AN42+'WW P&amp;L'!AN42+'HO P&amp;L'!AN22</f>
        <v/>
      </c>
      <c r="AO16" s="20">
        <f>'BK P&amp;L'!AO42+'CC P&amp;L'!AO42+'DN P&amp;L'!AO42+'LF P&amp;L'!AO42+'MR P&amp;L'!AO42+'OP P&amp;L'!AO42+'PH P&amp;L'!AO42+'RH P&amp;L'!AO42+'SB P&amp;L'!AO42+'SM P&amp;L'!AO42+'WP P&amp;L'!AO42+'WW P&amp;L'!AO42+'HO P&amp;L'!AO22</f>
        <v/>
      </c>
      <c r="AP16" s="20">
        <f>'BK P&amp;L'!AP42+'CC P&amp;L'!AP42+'DN P&amp;L'!AP42+'LF P&amp;L'!AP42+'MR P&amp;L'!AP42+'OP P&amp;L'!AP42+'PH P&amp;L'!AP42+'RH P&amp;L'!AP42+'SB P&amp;L'!AP42+'SM P&amp;L'!AP42+'WP P&amp;L'!AP42+'WW P&amp;L'!AP42+'HO P&amp;L'!AP22</f>
        <v/>
      </c>
      <c r="AQ16" s="20">
        <f>'BK P&amp;L'!AQ42+'CC P&amp;L'!AQ42+'DN P&amp;L'!AQ42+'LF P&amp;L'!AQ42+'MR P&amp;L'!AQ42+'OP P&amp;L'!AQ42+'PH P&amp;L'!AQ42+'RH P&amp;L'!AQ42+'SB P&amp;L'!AQ42+'SM P&amp;L'!AQ42+'WP P&amp;L'!AQ42+'WW P&amp;L'!AQ42+'HO P&amp;L'!AQ22</f>
        <v/>
      </c>
      <c r="AR16" s="20">
        <f>'BK P&amp;L'!AR42+'CC P&amp;L'!AR42+'DN P&amp;L'!AR42+'LF P&amp;L'!AR42+'MR P&amp;L'!AR42+'OP P&amp;L'!AR42+'PH P&amp;L'!AR42+'RH P&amp;L'!AR42+'SB P&amp;L'!AR42+'SM P&amp;L'!AR42+'WP P&amp;L'!AR42+'WW P&amp;L'!AR42+'HO P&amp;L'!AR22</f>
        <v/>
      </c>
      <c r="AS16" s="20">
        <f>'BK P&amp;L'!AS42+'CC P&amp;L'!AS42+'DN P&amp;L'!AS42+'LF P&amp;L'!AS42+'MR P&amp;L'!AS42+'OP P&amp;L'!AS42+'PH P&amp;L'!AS42+'RH P&amp;L'!AS42+'SB P&amp;L'!AS42+'SM P&amp;L'!AS42+'WP P&amp;L'!AS42+'WW P&amp;L'!AS42+'HO P&amp;L'!AS22</f>
        <v/>
      </c>
      <c r="AT16" s="20">
        <f>'BK P&amp;L'!AT42+'CC P&amp;L'!AT42+'DN P&amp;L'!AT42+'LF P&amp;L'!AT42+'MR P&amp;L'!AT42+'OP P&amp;L'!AT42+'PH P&amp;L'!AT42+'RH P&amp;L'!AT42+'SB P&amp;L'!AT42+'SM P&amp;L'!AT42+'WP P&amp;L'!AT42+'WW P&amp;L'!AT42+'HO P&amp;L'!AT22</f>
        <v/>
      </c>
      <c r="AU16" s="20">
        <f>'BK P&amp;L'!AU42+'CC P&amp;L'!AU42+'DN P&amp;L'!AU42+'LF P&amp;L'!AU42+'MR P&amp;L'!AU42+'OP P&amp;L'!AU42+'PH P&amp;L'!AU42+'RH P&amp;L'!AU42+'SB P&amp;L'!AU42+'SM P&amp;L'!AU42+'WP P&amp;L'!AU42+'WW P&amp;L'!AU42+'HO P&amp;L'!AU22</f>
        <v/>
      </c>
      <c r="AV16" s="20">
        <f>'BK P&amp;L'!AV42+'CC P&amp;L'!AV42+'DN P&amp;L'!AV42+'LF P&amp;L'!AV42+'MR P&amp;L'!AV42+'OP P&amp;L'!AV42+'PH P&amp;L'!AV42+'RH P&amp;L'!AV42+'SB P&amp;L'!AV42+'SM P&amp;L'!AV42+'WP P&amp;L'!AV42+'WW P&amp;L'!AV42+'HO P&amp;L'!AV22</f>
        <v/>
      </c>
      <c r="AW16" s="20">
        <f>'BK P&amp;L'!AW42+'CC P&amp;L'!AW42+'DN P&amp;L'!AW42+'LF P&amp;L'!AW42+'MR P&amp;L'!AW42+'OP P&amp;L'!AW42+'PH P&amp;L'!AW42+'RH P&amp;L'!AW42+'SB P&amp;L'!AW42+'SM P&amp;L'!AW42+'WP P&amp;L'!AW42+'WW P&amp;L'!AW42+'HO P&amp;L'!AW22</f>
        <v/>
      </c>
      <c r="AX16" s="20">
        <f>'BK P&amp;L'!AX42+'CC P&amp;L'!AX42+'DN P&amp;L'!AX42+'LF P&amp;L'!AX42+'MR P&amp;L'!AX42+'OP P&amp;L'!AX42+'PH P&amp;L'!AX42+'RH P&amp;L'!AX42+'SB P&amp;L'!AX42+'SM P&amp;L'!AX42+'WP P&amp;L'!AX42+'WW P&amp;L'!AX42+'HO P&amp;L'!AX22</f>
        <v/>
      </c>
      <c r="AY16" s="20">
        <f>'BK P&amp;L'!AY42+'CC P&amp;L'!AY42+'DN P&amp;L'!AY42+'LF P&amp;L'!AY42+'MR P&amp;L'!AY42+'OP P&amp;L'!AY42+'PH P&amp;L'!AY42+'RH P&amp;L'!AY42+'SB P&amp;L'!AY42+'SM P&amp;L'!AY42+'WP P&amp;L'!AY42+'WW P&amp;L'!AY42+'HO P&amp;L'!AY22</f>
        <v/>
      </c>
    </row>
    <row r="17">
      <c r="B17" s="18" t="inlineStr">
        <is>
          <t>Professional Fees</t>
        </is>
      </c>
      <c r="D17" s="19" t="n">
        <v>12762.86</v>
      </c>
      <c r="E17" s="19" t="n">
        <v>6986.62</v>
      </c>
      <c r="F17" s="19" t="n">
        <v>6754.780000000001</v>
      </c>
      <c r="G17" s="19" t="n">
        <v>2824.89</v>
      </c>
      <c r="H17" s="19" t="n">
        <v>14193.46</v>
      </c>
      <c r="I17" s="19" t="n">
        <v>28217.6</v>
      </c>
      <c r="J17" s="19" t="n">
        <v>16267.87</v>
      </c>
      <c r="K17" s="19" t="n">
        <v>22546.69</v>
      </c>
      <c r="L17" s="19" t="n">
        <v>25022.6</v>
      </c>
      <c r="M17" s="19" t="n">
        <v>59823.54</v>
      </c>
      <c r="N17" s="19" t="n">
        <v>47681.74</v>
      </c>
      <c r="O17" s="19" t="n">
        <v>59459.49</v>
      </c>
      <c r="P17" s="19" t="n">
        <v>42733.79</v>
      </c>
      <c r="Q17" s="19" t="n">
        <v>24202.3</v>
      </c>
      <c r="R17" s="19" t="n">
        <v>22556.84</v>
      </c>
      <c r="S17" s="19" t="n">
        <v>25366</v>
      </c>
      <c r="T17" s="84" t="n">
        <v>30273</v>
      </c>
      <c r="U17" s="20">
        <f>'BK P&amp;L'!U47+'CC P&amp;L'!U47+'DN P&amp;L'!U47+'LF P&amp;L'!U47+'MR P&amp;L'!U47+'OP P&amp;L'!U47+'PH P&amp;L'!U47+'RH P&amp;L'!U47+'SB P&amp;L'!U47+'SM P&amp;L'!U47+'WP P&amp;L'!U47+'WW P&amp;L'!U47+'HO P&amp;L'!U27</f>
        <v/>
      </c>
      <c r="V17" s="20">
        <f>'BK P&amp;L'!V47+'CC P&amp;L'!V47+'DN P&amp;L'!V47+'LF P&amp;L'!V47+'MR P&amp;L'!V47+'OP P&amp;L'!V47+'PH P&amp;L'!V47+'RH P&amp;L'!V47+'SB P&amp;L'!V47+'SM P&amp;L'!V47+'WP P&amp;L'!V47+'WW P&amp;L'!V47+'HO P&amp;L'!V27</f>
        <v/>
      </c>
      <c r="W17" s="20">
        <f>'BK P&amp;L'!W47+'CC P&amp;L'!W47+'DN P&amp;L'!W47+'LF P&amp;L'!W47+'MR P&amp;L'!W47+'OP P&amp;L'!W47+'PH P&amp;L'!W47+'RH P&amp;L'!W47+'SB P&amp;L'!W47+'SM P&amp;L'!W47+'WP P&amp;L'!W47+'WW P&amp;L'!W47+'HO P&amp;L'!W27</f>
        <v/>
      </c>
      <c r="X17" s="20">
        <f>'BK P&amp;L'!X47+'CC P&amp;L'!X47+'DN P&amp;L'!X47+'LF P&amp;L'!X47+'MR P&amp;L'!X47+'OP P&amp;L'!X47+'PH P&amp;L'!X47+'RH P&amp;L'!X47+'SB P&amp;L'!X47+'SM P&amp;L'!X47+'WP P&amp;L'!X47+'WW P&amp;L'!X47+'HO P&amp;L'!X27</f>
        <v/>
      </c>
      <c r="Y17" s="20">
        <f>'BK P&amp;L'!Y47+'CC P&amp;L'!Y47+'DN P&amp;L'!Y47+'LF P&amp;L'!Y47+'MR P&amp;L'!Y47+'OP P&amp;L'!Y47+'PH P&amp;L'!Y47+'RH P&amp;L'!Y47+'SB P&amp;L'!Y47+'SM P&amp;L'!Y47+'WP P&amp;L'!Y47+'WW P&amp;L'!Y47+'HO P&amp;L'!Y27</f>
        <v/>
      </c>
      <c r="Z17" s="20">
        <f>'BK P&amp;L'!Z47+'CC P&amp;L'!Z47+'DN P&amp;L'!Z47+'LF P&amp;L'!Z47+'MR P&amp;L'!Z47+'OP P&amp;L'!Z47+'PH P&amp;L'!Z47+'RH P&amp;L'!Z47+'SB P&amp;L'!Z47+'SM P&amp;L'!Z47+'WP P&amp;L'!Z47+'WW P&amp;L'!Z47+'HO P&amp;L'!Z27</f>
        <v/>
      </c>
      <c r="AA17" s="20">
        <f>'BK P&amp;L'!AA47+'CC P&amp;L'!AA47+'DN P&amp;L'!AA47+'LF P&amp;L'!AA47+'MR P&amp;L'!AA47+'OP P&amp;L'!AA47+'PH P&amp;L'!AA47+'RH P&amp;L'!AA47+'SB P&amp;L'!AA47+'SM P&amp;L'!AA47+'WP P&amp;L'!AA47+'WW P&amp;L'!AA47+'HO P&amp;L'!AA27</f>
        <v/>
      </c>
      <c r="AB17" s="20">
        <f>'BK P&amp;L'!AB47+'CC P&amp;L'!AB47+'DN P&amp;L'!AB47+'LF P&amp;L'!AB47+'MR P&amp;L'!AB47+'OP P&amp;L'!AB47+'PH P&amp;L'!AB47+'RH P&amp;L'!AB47+'SB P&amp;L'!AB47+'SM P&amp;L'!AB47+'WP P&amp;L'!AB47+'WW P&amp;L'!AB47+'HO P&amp;L'!AB27</f>
        <v/>
      </c>
      <c r="AC17" s="20">
        <f>'BK P&amp;L'!AC47+'CC P&amp;L'!AC47+'DN P&amp;L'!AC47+'LF P&amp;L'!AC47+'MR P&amp;L'!AC47+'OP P&amp;L'!AC47+'PH P&amp;L'!AC47+'RH P&amp;L'!AC47+'SB P&amp;L'!AC47+'SM P&amp;L'!AC47+'WP P&amp;L'!AC47+'WW P&amp;L'!AC47+'HO P&amp;L'!AC27</f>
        <v/>
      </c>
      <c r="AD17" s="20">
        <f>'BK P&amp;L'!AD47+'CC P&amp;L'!AD47+'DN P&amp;L'!AD47+'LF P&amp;L'!AD47+'MR P&amp;L'!AD47+'OP P&amp;L'!AD47+'PH P&amp;L'!AD47+'RH P&amp;L'!AD47+'SB P&amp;L'!AD47+'SM P&amp;L'!AD47+'WP P&amp;L'!AD47+'WW P&amp;L'!AD47+'HO P&amp;L'!AD27</f>
        <v/>
      </c>
      <c r="AE17" s="20">
        <f>'BK P&amp;L'!AE47+'CC P&amp;L'!AE47+'DN P&amp;L'!AE47+'LF P&amp;L'!AE47+'MR P&amp;L'!AE47+'OP P&amp;L'!AE47+'PH P&amp;L'!AE47+'RH P&amp;L'!AE47+'SB P&amp;L'!AE47+'SM P&amp;L'!AE47+'WP P&amp;L'!AE47+'WW P&amp;L'!AE47+'HO P&amp;L'!AE27</f>
        <v/>
      </c>
      <c r="AF17" s="20">
        <f>'BK P&amp;L'!AF47+'CC P&amp;L'!AF47+'DN P&amp;L'!AF47+'LF P&amp;L'!AF47+'MR P&amp;L'!AF47+'OP P&amp;L'!AF47+'PH P&amp;L'!AF47+'RH P&amp;L'!AF47+'SB P&amp;L'!AF47+'SM P&amp;L'!AF47+'WP P&amp;L'!AF47+'WW P&amp;L'!AF47+'HO P&amp;L'!AF27</f>
        <v/>
      </c>
      <c r="AG17" s="20">
        <f>'BK P&amp;L'!AG47+'CC P&amp;L'!AG47+'DN P&amp;L'!AG47+'LF P&amp;L'!AG47+'MR P&amp;L'!AG47+'OP P&amp;L'!AG47+'PH P&amp;L'!AG47+'RH P&amp;L'!AG47+'SB P&amp;L'!AG47+'SM P&amp;L'!AG47+'WP P&amp;L'!AG47+'WW P&amp;L'!AG47+'HO P&amp;L'!AG27</f>
        <v/>
      </c>
      <c r="AH17" s="20">
        <f>'BK P&amp;L'!AH47+'CC P&amp;L'!AH47+'DN P&amp;L'!AH47+'LF P&amp;L'!AH47+'MR P&amp;L'!AH47+'OP P&amp;L'!AH47+'PH P&amp;L'!AH47+'RH P&amp;L'!AH47+'SB P&amp;L'!AH47+'SM P&amp;L'!AH47+'WP P&amp;L'!AH47+'WW P&amp;L'!AH47+'HO P&amp;L'!AH27</f>
        <v/>
      </c>
      <c r="AI17" s="20">
        <f>'BK P&amp;L'!AI47+'CC P&amp;L'!AI47+'DN P&amp;L'!AI47+'LF P&amp;L'!AI47+'MR P&amp;L'!AI47+'OP P&amp;L'!AI47+'PH P&amp;L'!AI47+'RH P&amp;L'!AI47+'SB P&amp;L'!AI47+'SM P&amp;L'!AI47+'WP P&amp;L'!AI47+'WW P&amp;L'!AI47+'HO P&amp;L'!AI27</f>
        <v/>
      </c>
      <c r="AJ17" s="20">
        <f>'BK P&amp;L'!AJ47+'CC P&amp;L'!AJ47+'DN P&amp;L'!AJ47+'LF P&amp;L'!AJ47+'MR P&amp;L'!AJ47+'OP P&amp;L'!AJ47+'PH P&amp;L'!AJ47+'RH P&amp;L'!AJ47+'SB P&amp;L'!AJ47+'SM P&amp;L'!AJ47+'WP P&amp;L'!AJ47+'WW P&amp;L'!AJ47+'HO P&amp;L'!AJ27</f>
        <v/>
      </c>
      <c r="AK17" s="20">
        <f>'BK P&amp;L'!AK47+'CC P&amp;L'!AK47+'DN P&amp;L'!AK47+'LF P&amp;L'!AK47+'MR P&amp;L'!AK47+'OP P&amp;L'!AK47+'PH P&amp;L'!AK47+'RH P&amp;L'!AK47+'SB P&amp;L'!AK47+'SM P&amp;L'!AK47+'WP P&amp;L'!AK47+'WW P&amp;L'!AK47+'HO P&amp;L'!AK27</f>
        <v/>
      </c>
      <c r="AL17" s="20">
        <f>'BK P&amp;L'!AL47+'CC P&amp;L'!AL47+'DN P&amp;L'!AL47+'LF P&amp;L'!AL47+'MR P&amp;L'!AL47+'OP P&amp;L'!AL47+'PH P&amp;L'!AL47+'RH P&amp;L'!AL47+'SB P&amp;L'!AL47+'SM P&amp;L'!AL47+'WP P&amp;L'!AL47+'WW P&amp;L'!AL47+'HO P&amp;L'!AL27</f>
        <v/>
      </c>
      <c r="AM17" s="20">
        <f>'BK P&amp;L'!AM47+'CC P&amp;L'!AM47+'DN P&amp;L'!AM47+'LF P&amp;L'!AM47+'MR P&amp;L'!AM47+'OP P&amp;L'!AM47+'PH P&amp;L'!AM47+'RH P&amp;L'!AM47+'SB P&amp;L'!AM47+'SM P&amp;L'!AM47+'WP P&amp;L'!AM47+'WW P&amp;L'!AM47+'HO P&amp;L'!AM27</f>
        <v/>
      </c>
      <c r="AN17" s="20">
        <f>'BK P&amp;L'!AN47+'CC P&amp;L'!AN47+'DN P&amp;L'!AN47+'LF P&amp;L'!AN47+'MR P&amp;L'!AN47+'OP P&amp;L'!AN47+'PH P&amp;L'!AN47+'RH P&amp;L'!AN47+'SB P&amp;L'!AN47+'SM P&amp;L'!AN47+'WP P&amp;L'!AN47+'WW P&amp;L'!AN47+'HO P&amp;L'!AN27</f>
        <v/>
      </c>
      <c r="AO17" s="20">
        <f>'BK P&amp;L'!AO47+'CC P&amp;L'!AO47+'DN P&amp;L'!AO47+'LF P&amp;L'!AO47+'MR P&amp;L'!AO47+'OP P&amp;L'!AO47+'PH P&amp;L'!AO47+'RH P&amp;L'!AO47+'SB P&amp;L'!AO47+'SM P&amp;L'!AO47+'WP P&amp;L'!AO47+'WW P&amp;L'!AO47+'HO P&amp;L'!AO27</f>
        <v/>
      </c>
      <c r="AP17" s="20">
        <f>'BK P&amp;L'!AP47+'CC P&amp;L'!AP47+'DN P&amp;L'!AP47+'LF P&amp;L'!AP47+'MR P&amp;L'!AP47+'OP P&amp;L'!AP47+'PH P&amp;L'!AP47+'RH P&amp;L'!AP47+'SB P&amp;L'!AP47+'SM P&amp;L'!AP47+'WP P&amp;L'!AP47+'WW P&amp;L'!AP47+'HO P&amp;L'!AP27</f>
        <v/>
      </c>
      <c r="AQ17" s="20">
        <f>'BK P&amp;L'!AQ47+'CC P&amp;L'!AQ47+'DN P&amp;L'!AQ47+'LF P&amp;L'!AQ47+'MR P&amp;L'!AQ47+'OP P&amp;L'!AQ47+'PH P&amp;L'!AQ47+'RH P&amp;L'!AQ47+'SB P&amp;L'!AQ47+'SM P&amp;L'!AQ47+'WP P&amp;L'!AQ47+'WW P&amp;L'!AQ47+'HO P&amp;L'!AQ27</f>
        <v/>
      </c>
      <c r="AR17" s="20">
        <f>'BK P&amp;L'!AR47+'CC P&amp;L'!AR47+'DN P&amp;L'!AR47+'LF P&amp;L'!AR47+'MR P&amp;L'!AR47+'OP P&amp;L'!AR47+'PH P&amp;L'!AR47+'RH P&amp;L'!AR47+'SB P&amp;L'!AR47+'SM P&amp;L'!AR47+'WP P&amp;L'!AR47+'WW P&amp;L'!AR47+'HO P&amp;L'!AR27</f>
        <v/>
      </c>
      <c r="AS17" s="20">
        <f>'BK P&amp;L'!AS47+'CC P&amp;L'!AS47+'DN P&amp;L'!AS47+'LF P&amp;L'!AS47+'MR P&amp;L'!AS47+'OP P&amp;L'!AS47+'PH P&amp;L'!AS47+'RH P&amp;L'!AS47+'SB P&amp;L'!AS47+'SM P&amp;L'!AS47+'WP P&amp;L'!AS47+'WW P&amp;L'!AS47+'HO P&amp;L'!AS27</f>
        <v/>
      </c>
      <c r="AT17" s="20">
        <f>'BK P&amp;L'!AT47+'CC P&amp;L'!AT47+'DN P&amp;L'!AT47+'LF P&amp;L'!AT47+'MR P&amp;L'!AT47+'OP P&amp;L'!AT47+'PH P&amp;L'!AT47+'RH P&amp;L'!AT47+'SB P&amp;L'!AT47+'SM P&amp;L'!AT47+'WP P&amp;L'!AT47+'WW P&amp;L'!AT47+'HO P&amp;L'!AT27</f>
        <v/>
      </c>
      <c r="AU17" s="20">
        <f>'BK P&amp;L'!AU47+'CC P&amp;L'!AU47+'DN P&amp;L'!AU47+'LF P&amp;L'!AU47+'MR P&amp;L'!AU47+'OP P&amp;L'!AU47+'PH P&amp;L'!AU47+'RH P&amp;L'!AU47+'SB P&amp;L'!AU47+'SM P&amp;L'!AU47+'WP P&amp;L'!AU47+'WW P&amp;L'!AU47+'HO P&amp;L'!AU27</f>
        <v/>
      </c>
      <c r="AV17" s="20">
        <f>'BK P&amp;L'!AV47+'CC P&amp;L'!AV47+'DN P&amp;L'!AV47+'LF P&amp;L'!AV47+'MR P&amp;L'!AV47+'OP P&amp;L'!AV47+'PH P&amp;L'!AV47+'RH P&amp;L'!AV47+'SB P&amp;L'!AV47+'SM P&amp;L'!AV47+'WP P&amp;L'!AV47+'WW P&amp;L'!AV47+'HO P&amp;L'!AV27</f>
        <v/>
      </c>
      <c r="AW17" s="20">
        <f>'BK P&amp;L'!AW47+'CC P&amp;L'!AW47+'DN P&amp;L'!AW47+'LF P&amp;L'!AW47+'MR P&amp;L'!AW47+'OP P&amp;L'!AW47+'PH P&amp;L'!AW47+'RH P&amp;L'!AW47+'SB P&amp;L'!AW47+'SM P&amp;L'!AW47+'WP P&amp;L'!AW47+'WW P&amp;L'!AW47+'HO P&amp;L'!AW27</f>
        <v/>
      </c>
      <c r="AX17" s="20">
        <f>'BK P&amp;L'!AX47+'CC P&amp;L'!AX47+'DN P&amp;L'!AX47+'LF P&amp;L'!AX47+'MR P&amp;L'!AX47+'OP P&amp;L'!AX47+'PH P&amp;L'!AX47+'RH P&amp;L'!AX47+'SB P&amp;L'!AX47+'SM P&amp;L'!AX47+'WP P&amp;L'!AX47+'WW P&amp;L'!AX47+'HO P&amp;L'!AX27</f>
        <v/>
      </c>
      <c r="AY17" s="20">
        <f>'BK P&amp;L'!AY47+'CC P&amp;L'!AY47+'DN P&amp;L'!AY47+'LF P&amp;L'!AY47+'MR P&amp;L'!AY47+'OP P&amp;L'!AY47+'PH P&amp;L'!AY47+'RH P&amp;L'!AY47+'SB P&amp;L'!AY47+'SM P&amp;L'!AY47+'WP P&amp;L'!AY47+'WW P&amp;L'!AY47+'HO P&amp;L'!AY27</f>
        <v/>
      </c>
    </row>
    <row r="18">
      <c r="B18" s="18" t="inlineStr">
        <is>
          <t>Utilities</t>
        </is>
      </c>
      <c r="D18" s="19" t="n">
        <v>3290.78</v>
      </c>
      <c r="E18" s="19" t="n">
        <v>5292.9</v>
      </c>
      <c r="F18" s="19" t="n">
        <v>4950.780000000001</v>
      </c>
      <c r="G18" s="19" t="n">
        <v>5342.61</v>
      </c>
      <c r="H18" s="19" t="n">
        <v>5724.639999999999</v>
      </c>
      <c r="I18" s="19" t="n">
        <v>5320.05</v>
      </c>
      <c r="J18" s="19" t="n">
        <v>5193.56</v>
      </c>
      <c r="K18" s="19" t="n">
        <v>7807.630000000001</v>
      </c>
      <c r="L18" s="19" t="n">
        <v>8276.280000000001</v>
      </c>
      <c r="M18" s="19" t="n">
        <v>8293.940000000001</v>
      </c>
      <c r="N18" s="19" t="n">
        <v>9023.459999999999</v>
      </c>
      <c r="O18" s="19" t="n">
        <v>7849.860000000001</v>
      </c>
      <c r="P18" s="19" t="n">
        <v>7087.42</v>
      </c>
      <c r="Q18" s="19" t="n">
        <v>9973.09</v>
      </c>
      <c r="R18" s="19" t="n">
        <v>7034.72</v>
      </c>
      <c r="S18" s="19" t="n">
        <v>7270.22</v>
      </c>
      <c r="T18" s="84" t="n">
        <v>7128.539999999999</v>
      </c>
      <c r="U18" s="20">
        <f>'BK P&amp;L'!U56+'CC P&amp;L'!U56+'DN P&amp;L'!U56+'LF P&amp;L'!U56+'MR P&amp;L'!U56+'OP P&amp;L'!U56+'PH P&amp;L'!U56+'RH P&amp;L'!U56+'SB P&amp;L'!U56+'SM P&amp;L'!U56+'WP P&amp;L'!U56+'WW P&amp;L'!U56</f>
        <v/>
      </c>
      <c r="V18" s="20">
        <f>'BK P&amp;L'!V56+'CC P&amp;L'!V56+'DN P&amp;L'!V56+'LF P&amp;L'!V56+'MR P&amp;L'!V56+'OP P&amp;L'!V56+'PH P&amp;L'!V56+'RH P&amp;L'!V56+'SB P&amp;L'!V56+'SM P&amp;L'!V56+'WP P&amp;L'!V56+'WW P&amp;L'!V56</f>
        <v/>
      </c>
      <c r="W18" s="20">
        <f>'BK P&amp;L'!W56+'CC P&amp;L'!W56+'DN P&amp;L'!W56+'LF P&amp;L'!W56+'MR P&amp;L'!W56+'OP P&amp;L'!W56+'PH P&amp;L'!W56+'RH P&amp;L'!W56+'SB P&amp;L'!W56+'SM P&amp;L'!W56+'WP P&amp;L'!W56+'WW P&amp;L'!W56</f>
        <v/>
      </c>
      <c r="X18" s="20">
        <f>'BK P&amp;L'!X56+'CC P&amp;L'!X56+'DN P&amp;L'!X56+'LF P&amp;L'!X56+'MR P&amp;L'!X56+'OP P&amp;L'!X56+'PH P&amp;L'!X56+'RH P&amp;L'!X56+'SB P&amp;L'!X56+'SM P&amp;L'!X56+'WP P&amp;L'!X56+'WW P&amp;L'!X56</f>
        <v/>
      </c>
      <c r="Y18" s="20">
        <f>'BK P&amp;L'!Y56+'CC P&amp;L'!Y56+'DN P&amp;L'!Y56+'LF P&amp;L'!Y56+'MR P&amp;L'!Y56+'OP P&amp;L'!Y56+'PH P&amp;L'!Y56+'RH P&amp;L'!Y56+'SB P&amp;L'!Y56+'SM P&amp;L'!Y56+'WP P&amp;L'!Y56+'WW P&amp;L'!Y56</f>
        <v/>
      </c>
      <c r="Z18" s="20">
        <f>'BK P&amp;L'!Z56+'CC P&amp;L'!Z56+'DN P&amp;L'!Z56+'LF P&amp;L'!Z56+'MR P&amp;L'!Z56+'OP P&amp;L'!Z56+'PH P&amp;L'!Z56+'RH P&amp;L'!Z56+'SB P&amp;L'!Z56+'SM P&amp;L'!Z56+'WP P&amp;L'!Z56+'WW P&amp;L'!Z56</f>
        <v/>
      </c>
      <c r="AA18" s="20">
        <f>'BK P&amp;L'!AA56+'CC P&amp;L'!AA56+'DN P&amp;L'!AA56+'LF P&amp;L'!AA56+'MR P&amp;L'!AA56+'OP P&amp;L'!AA56+'PH P&amp;L'!AA56+'RH P&amp;L'!AA56+'SB P&amp;L'!AA56+'SM P&amp;L'!AA56+'WP P&amp;L'!AA56+'WW P&amp;L'!AA56</f>
        <v/>
      </c>
      <c r="AB18" s="20">
        <f>'BK P&amp;L'!AB56+'CC P&amp;L'!AB56+'DN P&amp;L'!AB56+'LF P&amp;L'!AB56+'MR P&amp;L'!AB56+'OP P&amp;L'!AB56+'PH P&amp;L'!AB56+'RH P&amp;L'!AB56+'SB P&amp;L'!AB56+'SM P&amp;L'!AB56+'WP P&amp;L'!AB56+'WW P&amp;L'!AB56</f>
        <v/>
      </c>
      <c r="AC18" s="20">
        <f>'BK P&amp;L'!AC56+'CC P&amp;L'!AC56+'DN P&amp;L'!AC56+'LF P&amp;L'!AC56+'MR P&amp;L'!AC56+'OP P&amp;L'!AC56+'PH P&amp;L'!AC56+'RH P&amp;L'!AC56+'SB P&amp;L'!AC56+'SM P&amp;L'!AC56+'WP P&amp;L'!AC56+'WW P&amp;L'!AC56</f>
        <v/>
      </c>
      <c r="AD18" s="20">
        <f>'BK P&amp;L'!AD56+'CC P&amp;L'!AD56+'DN P&amp;L'!AD56+'LF P&amp;L'!AD56+'MR P&amp;L'!AD56+'OP P&amp;L'!AD56+'PH P&amp;L'!AD56+'RH P&amp;L'!AD56+'SB P&amp;L'!AD56+'SM P&amp;L'!AD56+'WP P&amp;L'!AD56+'WW P&amp;L'!AD56</f>
        <v/>
      </c>
      <c r="AE18" s="20">
        <f>'BK P&amp;L'!AE56+'CC P&amp;L'!AE56+'DN P&amp;L'!AE56+'LF P&amp;L'!AE56+'MR P&amp;L'!AE56+'OP P&amp;L'!AE56+'PH P&amp;L'!AE56+'RH P&amp;L'!AE56+'SB P&amp;L'!AE56+'SM P&amp;L'!AE56+'WP P&amp;L'!AE56+'WW P&amp;L'!AE56</f>
        <v/>
      </c>
      <c r="AF18" s="20">
        <f>'BK P&amp;L'!AF56+'CC P&amp;L'!AF56+'DN P&amp;L'!AF56+'LF P&amp;L'!AF56+'MR P&amp;L'!AF56+'OP P&amp;L'!AF56+'PH P&amp;L'!AF56+'RH P&amp;L'!AF56+'SB P&amp;L'!AF56+'SM P&amp;L'!AF56+'WP P&amp;L'!AF56+'WW P&amp;L'!AF56</f>
        <v/>
      </c>
      <c r="AG18" s="20">
        <f>'BK P&amp;L'!AG56+'CC P&amp;L'!AG56+'DN P&amp;L'!AG56+'LF P&amp;L'!AG56+'MR P&amp;L'!AG56+'OP P&amp;L'!AG56+'PH P&amp;L'!AG56+'RH P&amp;L'!AG56+'SB P&amp;L'!AG56+'SM P&amp;L'!AG56+'WP P&amp;L'!AG56+'WW P&amp;L'!AG56</f>
        <v/>
      </c>
      <c r="AH18" s="20">
        <f>'BK P&amp;L'!AH56+'CC P&amp;L'!AH56+'DN P&amp;L'!AH56+'LF P&amp;L'!AH56+'MR P&amp;L'!AH56+'OP P&amp;L'!AH56+'PH P&amp;L'!AH56+'RH P&amp;L'!AH56+'SB P&amp;L'!AH56+'SM P&amp;L'!AH56+'WP P&amp;L'!AH56+'WW P&amp;L'!AH56</f>
        <v/>
      </c>
      <c r="AI18" s="20">
        <f>'BK P&amp;L'!AI56+'CC P&amp;L'!AI56+'DN P&amp;L'!AI56+'LF P&amp;L'!AI56+'MR P&amp;L'!AI56+'OP P&amp;L'!AI56+'PH P&amp;L'!AI56+'RH P&amp;L'!AI56+'SB P&amp;L'!AI56+'SM P&amp;L'!AI56+'WP P&amp;L'!AI56+'WW P&amp;L'!AI56</f>
        <v/>
      </c>
      <c r="AJ18" s="20">
        <f>'BK P&amp;L'!AJ56+'CC P&amp;L'!AJ56+'DN P&amp;L'!AJ56+'LF P&amp;L'!AJ56+'MR P&amp;L'!AJ56+'OP P&amp;L'!AJ56+'PH P&amp;L'!AJ56+'RH P&amp;L'!AJ56+'SB P&amp;L'!AJ56+'SM P&amp;L'!AJ56+'WP P&amp;L'!AJ56+'WW P&amp;L'!AJ56</f>
        <v/>
      </c>
      <c r="AK18" s="20">
        <f>'BK P&amp;L'!AK56+'CC P&amp;L'!AK56+'DN P&amp;L'!AK56+'LF P&amp;L'!AK56+'MR P&amp;L'!AK56+'OP P&amp;L'!AK56+'PH P&amp;L'!AK56+'RH P&amp;L'!AK56+'SB P&amp;L'!AK56+'SM P&amp;L'!AK56+'WP P&amp;L'!AK56+'WW P&amp;L'!AK56</f>
        <v/>
      </c>
      <c r="AL18" s="20">
        <f>'BK P&amp;L'!AL56+'CC P&amp;L'!AL56+'DN P&amp;L'!AL56+'LF P&amp;L'!AL56+'MR P&amp;L'!AL56+'OP P&amp;L'!AL56+'PH P&amp;L'!AL56+'RH P&amp;L'!AL56+'SB P&amp;L'!AL56+'SM P&amp;L'!AL56+'WP P&amp;L'!AL56+'WW P&amp;L'!AL56</f>
        <v/>
      </c>
      <c r="AM18" s="20">
        <f>'BK P&amp;L'!AM56+'CC P&amp;L'!AM56+'DN P&amp;L'!AM56+'LF P&amp;L'!AM56+'MR P&amp;L'!AM56+'OP P&amp;L'!AM56+'PH P&amp;L'!AM56+'RH P&amp;L'!AM56+'SB P&amp;L'!AM56+'SM P&amp;L'!AM56+'WP P&amp;L'!AM56+'WW P&amp;L'!AM56</f>
        <v/>
      </c>
      <c r="AN18" s="20">
        <f>'BK P&amp;L'!AN56+'CC P&amp;L'!AN56+'DN P&amp;L'!AN56+'LF P&amp;L'!AN56+'MR P&amp;L'!AN56+'OP P&amp;L'!AN56+'PH P&amp;L'!AN56+'RH P&amp;L'!AN56+'SB P&amp;L'!AN56+'SM P&amp;L'!AN56+'WP P&amp;L'!AN56+'WW P&amp;L'!AN56</f>
        <v/>
      </c>
      <c r="AO18" s="20">
        <f>'BK P&amp;L'!AO56+'CC P&amp;L'!AO56+'DN P&amp;L'!AO56+'LF P&amp;L'!AO56+'MR P&amp;L'!AO56+'OP P&amp;L'!AO56+'PH P&amp;L'!AO56+'RH P&amp;L'!AO56+'SB P&amp;L'!AO56+'SM P&amp;L'!AO56+'WP P&amp;L'!AO56+'WW P&amp;L'!AO56</f>
        <v/>
      </c>
      <c r="AP18" s="20">
        <f>'BK P&amp;L'!AP56+'CC P&amp;L'!AP56+'DN P&amp;L'!AP56+'LF P&amp;L'!AP56+'MR P&amp;L'!AP56+'OP P&amp;L'!AP56+'PH P&amp;L'!AP56+'RH P&amp;L'!AP56+'SB P&amp;L'!AP56+'SM P&amp;L'!AP56+'WP P&amp;L'!AP56+'WW P&amp;L'!AP56</f>
        <v/>
      </c>
      <c r="AQ18" s="20">
        <f>'BK P&amp;L'!AQ56+'CC P&amp;L'!AQ56+'DN P&amp;L'!AQ56+'LF P&amp;L'!AQ56+'MR P&amp;L'!AQ56+'OP P&amp;L'!AQ56+'PH P&amp;L'!AQ56+'RH P&amp;L'!AQ56+'SB P&amp;L'!AQ56+'SM P&amp;L'!AQ56+'WP P&amp;L'!AQ56+'WW P&amp;L'!AQ56</f>
        <v/>
      </c>
      <c r="AR18" s="20">
        <f>'BK P&amp;L'!AR56+'CC P&amp;L'!AR56+'DN P&amp;L'!AR56+'LF P&amp;L'!AR56+'MR P&amp;L'!AR56+'OP P&amp;L'!AR56+'PH P&amp;L'!AR56+'RH P&amp;L'!AR56+'SB P&amp;L'!AR56+'SM P&amp;L'!AR56+'WP P&amp;L'!AR56+'WW P&amp;L'!AR56</f>
        <v/>
      </c>
      <c r="AS18" s="20">
        <f>'BK P&amp;L'!AS56+'CC P&amp;L'!AS56+'DN P&amp;L'!AS56+'LF P&amp;L'!AS56+'MR P&amp;L'!AS56+'OP P&amp;L'!AS56+'PH P&amp;L'!AS56+'RH P&amp;L'!AS56+'SB P&amp;L'!AS56+'SM P&amp;L'!AS56+'WP P&amp;L'!AS56+'WW P&amp;L'!AS56</f>
        <v/>
      </c>
      <c r="AT18" s="20">
        <f>'BK P&amp;L'!AT56+'CC P&amp;L'!AT56+'DN P&amp;L'!AT56+'LF P&amp;L'!AT56+'MR P&amp;L'!AT56+'OP P&amp;L'!AT56+'PH P&amp;L'!AT56+'RH P&amp;L'!AT56+'SB P&amp;L'!AT56+'SM P&amp;L'!AT56+'WP P&amp;L'!AT56+'WW P&amp;L'!AT56</f>
        <v/>
      </c>
      <c r="AU18" s="20">
        <f>'BK P&amp;L'!AU56+'CC P&amp;L'!AU56+'DN P&amp;L'!AU56+'LF P&amp;L'!AU56+'MR P&amp;L'!AU56+'OP P&amp;L'!AU56+'PH P&amp;L'!AU56+'RH P&amp;L'!AU56+'SB P&amp;L'!AU56+'SM P&amp;L'!AU56+'WP P&amp;L'!AU56+'WW P&amp;L'!AU56</f>
        <v/>
      </c>
      <c r="AV18" s="20">
        <f>'BK P&amp;L'!AV56+'CC P&amp;L'!AV56+'DN P&amp;L'!AV56+'LF P&amp;L'!AV56+'MR P&amp;L'!AV56+'OP P&amp;L'!AV56+'PH P&amp;L'!AV56+'RH P&amp;L'!AV56+'SB P&amp;L'!AV56+'SM P&amp;L'!AV56+'WP P&amp;L'!AV56+'WW P&amp;L'!AV56</f>
        <v/>
      </c>
      <c r="AW18" s="20">
        <f>'BK P&amp;L'!AW56+'CC P&amp;L'!AW56+'DN P&amp;L'!AW56+'LF P&amp;L'!AW56+'MR P&amp;L'!AW56+'OP P&amp;L'!AW56+'PH P&amp;L'!AW56+'RH P&amp;L'!AW56+'SB P&amp;L'!AW56+'SM P&amp;L'!AW56+'WP P&amp;L'!AW56+'WW P&amp;L'!AW56</f>
        <v/>
      </c>
      <c r="AX18" s="20">
        <f>'BK P&amp;L'!AX56+'CC P&amp;L'!AX56+'DN P&amp;L'!AX56+'LF P&amp;L'!AX56+'MR P&amp;L'!AX56+'OP P&amp;L'!AX56+'PH P&amp;L'!AX56+'RH P&amp;L'!AX56+'SB P&amp;L'!AX56+'SM P&amp;L'!AX56+'WP P&amp;L'!AX56+'WW P&amp;L'!AX56</f>
        <v/>
      </c>
      <c r="AY18" s="20">
        <f>'BK P&amp;L'!AY56+'CC P&amp;L'!AY56+'DN P&amp;L'!AY56+'LF P&amp;L'!AY56+'MR P&amp;L'!AY56+'OP P&amp;L'!AY56+'PH P&amp;L'!AY56+'RH P&amp;L'!AY56+'SB P&amp;L'!AY56+'SM P&amp;L'!AY56+'WP P&amp;L'!AY56+'WW P&amp;L'!AY56</f>
        <v/>
      </c>
    </row>
    <row r="19">
      <c r="B19" s="18" t="inlineStr">
        <is>
          <t>Property Costs</t>
        </is>
      </c>
      <c r="D19" s="19" t="n">
        <v>109746.49</v>
      </c>
      <c r="E19" s="19" t="n">
        <v>96893.54000000002</v>
      </c>
      <c r="F19" s="19" t="n">
        <v>108142.11</v>
      </c>
      <c r="G19" s="19" t="n">
        <v>115917.92</v>
      </c>
      <c r="H19" s="19" t="n">
        <v>114881.56</v>
      </c>
      <c r="I19" s="19" t="n">
        <v>116880.2</v>
      </c>
      <c r="J19" s="19" t="n">
        <v>119885.67</v>
      </c>
      <c r="K19" s="19" t="n">
        <v>130853.31</v>
      </c>
      <c r="L19" s="19" t="n">
        <v>139047</v>
      </c>
      <c r="M19" s="19" t="n">
        <v>145628.28</v>
      </c>
      <c r="N19" s="19" t="n">
        <v>161382.55</v>
      </c>
      <c r="O19" s="19" t="n">
        <v>146607.13</v>
      </c>
      <c r="P19" s="19" t="n">
        <v>147113.46</v>
      </c>
      <c r="Q19" s="19" t="n">
        <v>146344.65</v>
      </c>
      <c r="R19" s="19" t="n">
        <v>147382.66</v>
      </c>
      <c r="S19" s="19" t="n">
        <v>148059.43</v>
      </c>
      <c r="T19" s="84" t="n">
        <v>149341.42</v>
      </c>
      <c r="U19" s="20">
        <f>'BK P&amp;L'!U61+'CC P&amp;L'!U61+'DN P&amp;L'!U61+'LF P&amp;L'!U61+'MR P&amp;L'!U61+'OP P&amp;L'!U61+'PH P&amp;L'!U61+'RH P&amp;L'!U61+'SB P&amp;L'!U61+'SM P&amp;L'!U61+'WP P&amp;L'!U61+'WW P&amp;L'!U61+'HO P&amp;L'!U32</f>
        <v/>
      </c>
      <c r="V19" s="20">
        <f>'BK P&amp;L'!V61+'CC P&amp;L'!V61+'DN P&amp;L'!V61+'LF P&amp;L'!V61+'MR P&amp;L'!V61+'OP P&amp;L'!V61+'PH P&amp;L'!V61+'RH P&amp;L'!V61+'SB P&amp;L'!V61+'SM P&amp;L'!V61+'WP P&amp;L'!V61+'WW P&amp;L'!V61+'HO P&amp;L'!V32</f>
        <v/>
      </c>
      <c r="W19" s="20">
        <f>'BK P&amp;L'!W61+'CC P&amp;L'!W61+'DN P&amp;L'!W61+'LF P&amp;L'!W61+'MR P&amp;L'!W61+'OP P&amp;L'!W61+'PH P&amp;L'!W61+'RH P&amp;L'!W61+'SB P&amp;L'!W61+'SM P&amp;L'!W61+'WP P&amp;L'!W61+'WW P&amp;L'!W61+'HO P&amp;L'!W32</f>
        <v/>
      </c>
      <c r="X19" s="20">
        <f>'BK P&amp;L'!X61+'CC P&amp;L'!X61+'DN P&amp;L'!X61+'LF P&amp;L'!X61+'MR P&amp;L'!X61+'OP P&amp;L'!X61+'PH P&amp;L'!X61+'RH P&amp;L'!X61+'SB P&amp;L'!X61+'SM P&amp;L'!X61+'WP P&amp;L'!X61+'WW P&amp;L'!X61+'HO P&amp;L'!X32</f>
        <v/>
      </c>
      <c r="Y19" s="20">
        <f>'BK P&amp;L'!Y61+'CC P&amp;L'!Y61+'DN P&amp;L'!Y61+'LF P&amp;L'!Y61+'MR P&amp;L'!Y61+'OP P&amp;L'!Y61+'PH P&amp;L'!Y61+'RH P&amp;L'!Y61+'SB P&amp;L'!Y61+'SM P&amp;L'!Y61+'WP P&amp;L'!Y61+'WW P&amp;L'!Y61+'HO P&amp;L'!Y32</f>
        <v/>
      </c>
      <c r="Z19" s="20">
        <f>'BK P&amp;L'!Z61+'CC P&amp;L'!Z61+'DN P&amp;L'!Z61+'LF P&amp;L'!Z61+'MR P&amp;L'!Z61+'OP P&amp;L'!Z61+'PH P&amp;L'!Z61+'RH P&amp;L'!Z61+'SB P&amp;L'!Z61+'SM P&amp;L'!Z61+'WP P&amp;L'!Z61+'WW P&amp;L'!Z61+'HO P&amp;L'!Z32</f>
        <v/>
      </c>
      <c r="AA19" s="20">
        <f>'BK P&amp;L'!AA61+'CC P&amp;L'!AA61+'DN P&amp;L'!AA61+'LF P&amp;L'!AA61+'MR P&amp;L'!AA61+'OP P&amp;L'!AA61+'PH P&amp;L'!AA61+'RH P&amp;L'!AA61+'SB P&amp;L'!AA61+'SM P&amp;L'!AA61+'WP P&amp;L'!AA61+'WW P&amp;L'!AA61+'HO P&amp;L'!AA32</f>
        <v/>
      </c>
      <c r="AB19" s="20">
        <f>'BK P&amp;L'!AB61+'CC P&amp;L'!AB61+'DN P&amp;L'!AB61+'LF P&amp;L'!AB61+'MR P&amp;L'!AB61+'OP P&amp;L'!AB61+'PH P&amp;L'!AB61+'RH P&amp;L'!AB61+'SB P&amp;L'!AB61+'SM P&amp;L'!AB61+'WP P&amp;L'!AB61+'WW P&amp;L'!AB61+'HO P&amp;L'!AB32</f>
        <v/>
      </c>
      <c r="AC19" s="20">
        <f>'BK P&amp;L'!AC61+'CC P&amp;L'!AC61+'DN P&amp;L'!AC61+'LF P&amp;L'!AC61+'MR P&amp;L'!AC61+'OP P&amp;L'!AC61+'PH P&amp;L'!AC61+'RH P&amp;L'!AC61+'SB P&amp;L'!AC61+'SM P&amp;L'!AC61+'WP P&amp;L'!AC61+'WW P&amp;L'!AC61+'HO P&amp;L'!AC32</f>
        <v/>
      </c>
      <c r="AD19" s="20">
        <f>'BK P&amp;L'!AD61+'CC P&amp;L'!AD61+'DN P&amp;L'!AD61+'LF P&amp;L'!AD61+'MR P&amp;L'!AD61+'OP P&amp;L'!AD61+'PH P&amp;L'!AD61+'RH P&amp;L'!AD61+'SB P&amp;L'!AD61+'SM P&amp;L'!AD61+'WP P&amp;L'!AD61+'WW P&amp;L'!AD61+'HO P&amp;L'!AD32</f>
        <v/>
      </c>
      <c r="AE19" s="20">
        <f>'BK P&amp;L'!AE61+'CC P&amp;L'!AE61+'DN P&amp;L'!AE61+'LF P&amp;L'!AE61+'MR P&amp;L'!AE61+'OP P&amp;L'!AE61+'PH P&amp;L'!AE61+'RH P&amp;L'!AE61+'SB P&amp;L'!AE61+'SM P&amp;L'!AE61+'WP P&amp;L'!AE61+'WW P&amp;L'!AE61+'HO P&amp;L'!AE32</f>
        <v/>
      </c>
      <c r="AF19" s="20">
        <f>'BK P&amp;L'!AF61+'CC P&amp;L'!AF61+'DN P&amp;L'!AF61+'LF P&amp;L'!AF61+'MR P&amp;L'!AF61+'OP P&amp;L'!AF61+'PH P&amp;L'!AF61+'RH P&amp;L'!AF61+'SB P&amp;L'!AF61+'SM P&amp;L'!AF61+'WP P&amp;L'!AF61+'WW P&amp;L'!AF61+'HO P&amp;L'!AF32</f>
        <v/>
      </c>
      <c r="AG19" s="20">
        <f>'BK P&amp;L'!AG61+'CC P&amp;L'!AG61+'DN P&amp;L'!AG61+'LF P&amp;L'!AG61+'MR P&amp;L'!AG61+'OP P&amp;L'!AG61+'PH P&amp;L'!AG61+'RH P&amp;L'!AG61+'SB P&amp;L'!AG61+'SM P&amp;L'!AG61+'WP P&amp;L'!AG61+'WW P&amp;L'!AG61+'HO P&amp;L'!AG32</f>
        <v/>
      </c>
      <c r="AH19" s="20">
        <f>'BK P&amp;L'!AH61+'CC P&amp;L'!AH61+'DN P&amp;L'!AH61+'LF P&amp;L'!AH61+'MR P&amp;L'!AH61+'OP P&amp;L'!AH61+'PH P&amp;L'!AH61+'RH P&amp;L'!AH61+'SB P&amp;L'!AH61+'SM P&amp;L'!AH61+'WP P&amp;L'!AH61+'WW P&amp;L'!AH61+'HO P&amp;L'!AH32</f>
        <v/>
      </c>
      <c r="AI19" s="20">
        <f>'BK P&amp;L'!AI61+'CC P&amp;L'!AI61+'DN P&amp;L'!AI61+'LF P&amp;L'!AI61+'MR P&amp;L'!AI61+'OP P&amp;L'!AI61+'PH P&amp;L'!AI61+'RH P&amp;L'!AI61+'SB P&amp;L'!AI61+'SM P&amp;L'!AI61+'WP P&amp;L'!AI61+'WW P&amp;L'!AI61+'HO P&amp;L'!AI32</f>
        <v/>
      </c>
      <c r="AJ19" s="20">
        <f>'BK P&amp;L'!AJ61+'CC P&amp;L'!AJ61+'DN P&amp;L'!AJ61+'LF P&amp;L'!AJ61+'MR P&amp;L'!AJ61+'OP P&amp;L'!AJ61+'PH P&amp;L'!AJ61+'RH P&amp;L'!AJ61+'SB P&amp;L'!AJ61+'SM P&amp;L'!AJ61+'WP P&amp;L'!AJ61+'WW P&amp;L'!AJ61+'HO P&amp;L'!AJ32</f>
        <v/>
      </c>
      <c r="AK19" s="20">
        <f>'BK P&amp;L'!AK61+'CC P&amp;L'!AK61+'DN P&amp;L'!AK61+'LF P&amp;L'!AK61+'MR P&amp;L'!AK61+'OP P&amp;L'!AK61+'PH P&amp;L'!AK61+'RH P&amp;L'!AK61+'SB P&amp;L'!AK61+'SM P&amp;L'!AK61+'WP P&amp;L'!AK61+'WW P&amp;L'!AK61+'HO P&amp;L'!AK32</f>
        <v/>
      </c>
      <c r="AL19" s="20">
        <f>'BK P&amp;L'!AL61+'CC P&amp;L'!AL61+'DN P&amp;L'!AL61+'LF P&amp;L'!AL61+'MR P&amp;L'!AL61+'OP P&amp;L'!AL61+'PH P&amp;L'!AL61+'RH P&amp;L'!AL61+'SB P&amp;L'!AL61+'SM P&amp;L'!AL61+'WP P&amp;L'!AL61+'WW P&amp;L'!AL61+'HO P&amp;L'!AL32</f>
        <v/>
      </c>
      <c r="AM19" s="20">
        <f>'BK P&amp;L'!AM61+'CC P&amp;L'!AM61+'DN P&amp;L'!AM61+'LF P&amp;L'!AM61+'MR P&amp;L'!AM61+'OP P&amp;L'!AM61+'PH P&amp;L'!AM61+'RH P&amp;L'!AM61+'SB P&amp;L'!AM61+'SM P&amp;L'!AM61+'WP P&amp;L'!AM61+'WW P&amp;L'!AM61+'HO P&amp;L'!AM32</f>
        <v/>
      </c>
      <c r="AN19" s="20">
        <f>'BK P&amp;L'!AN61+'CC P&amp;L'!AN61+'DN P&amp;L'!AN61+'LF P&amp;L'!AN61+'MR P&amp;L'!AN61+'OP P&amp;L'!AN61+'PH P&amp;L'!AN61+'RH P&amp;L'!AN61+'SB P&amp;L'!AN61+'SM P&amp;L'!AN61+'WP P&amp;L'!AN61+'WW P&amp;L'!AN61+'HO P&amp;L'!AN32</f>
        <v/>
      </c>
      <c r="AO19" s="20">
        <f>'BK P&amp;L'!AO61+'CC P&amp;L'!AO61+'DN P&amp;L'!AO61+'LF P&amp;L'!AO61+'MR P&amp;L'!AO61+'OP P&amp;L'!AO61+'PH P&amp;L'!AO61+'RH P&amp;L'!AO61+'SB P&amp;L'!AO61+'SM P&amp;L'!AO61+'WP P&amp;L'!AO61+'WW P&amp;L'!AO61+'HO P&amp;L'!AO32</f>
        <v/>
      </c>
      <c r="AP19" s="20">
        <f>'BK P&amp;L'!AP61+'CC P&amp;L'!AP61+'DN P&amp;L'!AP61+'LF P&amp;L'!AP61+'MR P&amp;L'!AP61+'OP P&amp;L'!AP61+'PH P&amp;L'!AP61+'RH P&amp;L'!AP61+'SB P&amp;L'!AP61+'SM P&amp;L'!AP61+'WP P&amp;L'!AP61+'WW P&amp;L'!AP61+'HO P&amp;L'!AP32</f>
        <v/>
      </c>
      <c r="AQ19" s="20">
        <f>'BK P&amp;L'!AQ61+'CC P&amp;L'!AQ61+'DN P&amp;L'!AQ61+'LF P&amp;L'!AQ61+'MR P&amp;L'!AQ61+'OP P&amp;L'!AQ61+'PH P&amp;L'!AQ61+'RH P&amp;L'!AQ61+'SB P&amp;L'!AQ61+'SM P&amp;L'!AQ61+'WP P&amp;L'!AQ61+'WW P&amp;L'!AQ61+'HO P&amp;L'!AQ32</f>
        <v/>
      </c>
      <c r="AR19" s="20">
        <f>'BK P&amp;L'!AR61+'CC P&amp;L'!AR61+'DN P&amp;L'!AR61+'LF P&amp;L'!AR61+'MR P&amp;L'!AR61+'OP P&amp;L'!AR61+'PH P&amp;L'!AR61+'RH P&amp;L'!AR61+'SB P&amp;L'!AR61+'SM P&amp;L'!AR61+'WP P&amp;L'!AR61+'WW P&amp;L'!AR61+'HO P&amp;L'!AR32</f>
        <v/>
      </c>
      <c r="AS19" s="20">
        <f>'BK P&amp;L'!AS61+'CC P&amp;L'!AS61+'DN P&amp;L'!AS61+'LF P&amp;L'!AS61+'MR P&amp;L'!AS61+'OP P&amp;L'!AS61+'PH P&amp;L'!AS61+'RH P&amp;L'!AS61+'SB P&amp;L'!AS61+'SM P&amp;L'!AS61+'WP P&amp;L'!AS61+'WW P&amp;L'!AS61+'HO P&amp;L'!AS32</f>
        <v/>
      </c>
      <c r="AT19" s="20">
        <f>'BK P&amp;L'!AT61+'CC P&amp;L'!AT61+'DN P&amp;L'!AT61+'LF P&amp;L'!AT61+'MR P&amp;L'!AT61+'OP P&amp;L'!AT61+'PH P&amp;L'!AT61+'RH P&amp;L'!AT61+'SB P&amp;L'!AT61+'SM P&amp;L'!AT61+'WP P&amp;L'!AT61+'WW P&amp;L'!AT61+'HO P&amp;L'!AT32</f>
        <v/>
      </c>
      <c r="AU19" s="20">
        <f>'BK P&amp;L'!AU61+'CC P&amp;L'!AU61+'DN P&amp;L'!AU61+'LF P&amp;L'!AU61+'MR P&amp;L'!AU61+'OP P&amp;L'!AU61+'PH P&amp;L'!AU61+'RH P&amp;L'!AU61+'SB P&amp;L'!AU61+'SM P&amp;L'!AU61+'WP P&amp;L'!AU61+'WW P&amp;L'!AU61+'HO P&amp;L'!AU32</f>
        <v/>
      </c>
      <c r="AV19" s="20">
        <f>'BK P&amp;L'!AV61+'CC P&amp;L'!AV61+'DN P&amp;L'!AV61+'LF P&amp;L'!AV61+'MR P&amp;L'!AV61+'OP P&amp;L'!AV61+'PH P&amp;L'!AV61+'RH P&amp;L'!AV61+'SB P&amp;L'!AV61+'SM P&amp;L'!AV61+'WP P&amp;L'!AV61+'WW P&amp;L'!AV61+'HO P&amp;L'!AV32</f>
        <v/>
      </c>
      <c r="AW19" s="20">
        <f>'BK P&amp;L'!AW61+'CC P&amp;L'!AW61+'DN P&amp;L'!AW61+'LF P&amp;L'!AW61+'MR P&amp;L'!AW61+'OP P&amp;L'!AW61+'PH P&amp;L'!AW61+'RH P&amp;L'!AW61+'SB P&amp;L'!AW61+'SM P&amp;L'!AW61+'WP P&amp;L'!AW61+'WW P&amp;L'!AW61+'HO P&amp;L'!AW32</f>
        <v/>
      </c>
      <c r="AX19" s="20">
        <f>'BK P&amp;L'!AX61+'CC P&amp;L'!AX61+'DN P&amp;L'!AX61+'LF P&amp;L'!AX61+'MR P&amp;L'!AX61+'OP P&amp;L'!AX61+'PH P&amp;L'!AX61+'RH P&amp;L'!AX61+'SB P&amp;L'!AX61+'SM P&amp;L'!AX61+'WP P&amp;L'!AX61+'WW P&amp;L'!AX61+'HO P&amp;L'!AX32</f>
        <v/>
      </c>
      <c r="AY19" s="20">
        <f>'BK P&amp;L'!AY61+'CC P&amp;L'!AY61+'DN P&amp;L'!AY61+'LF P&amp;L'!AY61+'MR P&amp;L'!AY61+'OP P&amp;L'!AY61+'PH P&amp;L'!AY61+'RH P&amp;L'!AY61+'SB P&amp;L'!AY61+'SM P&amp;L'!AY61+'WP P&amp;L'!AY61+'WW P&amp;L'!AY61+'HO P&amp;L'!AY32</f>
        <v/>
      </c>
    </row>
    <row r="20">
      <c r="B20" s="62" t="inlineStr">
        <is>
          <t>HO Other (Util+Fin)</t>
        </is>
      </c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>
        <v>0</v>
      </c>
      <c r="Q20" s="63" t="n">
        <v>0</v>
      </c>
      <c r="R20" s="63" t="n">
        <v>0</v>
      </c>
      <c r="S20" s="63" t="n">
        <v>0</v>
      </c>
      <c r="T20" s="63" t="n">
        <v>1193.14</v>
      </c>
      <c r="U20" s="63" t="n">
        <v>1193.14</v>
      </c>
      <c r="V20" s="63" t="n">
        <v>1193.14</v>
      </c>
      <c r="W20" s="63" t="n">
        <v>1193.14</v>
      </c>
      <c r="X20" s="63" t="n">
        <v>1193.14</v>
      </c>
      <c r="Y20" s="63" t="n">
        <v>1193.14</v>
      </c>
      <c r="Z20" s="63" t="n">
        <v>1193.14</v>
      </c>
      <c r="AA20" s="63" t="n">
        <v>1193.14</v>
      </c>
      <c r="AB20" s="63" t="n">
        <v>1193.14</v>
      </c>
      <c r="AC20" s="63" t="n">
        <v>1193.14</v>
      </c>
      <c r="AD20" s="63" t="n">
        <v>1193.14</v>
      </c>
      <c r="AE20" s="63" t="n">
        <v>1193.14</v>
      </c>
      <c r="AF20" s="63" t="n">
        <v>1193.14</v>
      </c>
      <c r="AG20" s="63" t="n">
        <v>1193.14</v>
      </c>
      <c r="AH20" s="63" t="n">
        <v>1193.14</v>
      </c>
      <c r="AI20" s="63" t="n">
        <v>1193.14</v>
      </c>
      <c r="AJ20" s="63" t="n">
        <v>1193.14</v>
      </c>
      <c r="AK20" s="63" t="n">
        <v>1193.14</v>
      </c>
      <c r="AL20" s="63" t="n">
        <v>1193.14</v>
      </c>
      <c r="AM20" s="63" t="n">
        <v>1193.14</v>
      </c>
      <c r="AN20" s="63" t="n">
        <v>1193.14</v>
      </c>
      <c r="AO20" s="63" t="n">
        <v>1193.14</v>
      </c>
      <c r="AP20" s="63" t="n">
        <v>0</v>
      </c>
      <c r="AQ20" s="63" t="n">
        <v>0</v>
      </c>
      <c r="AR20" s="63" t="n">
        <v>0</v>
      </c>
      <c r="AS20" s="63" t="n">
        <v>0</v>
      </c>
      <c r="AT20" s="63" t="n">
        <v>0</v>
      </c>
      <c r="AU20" s="63" t="n">
        <v>0</v>
      </c>
      <c r="AV20" s="63" t="n">
        <v>0</v>
      </c>
      <c r="AW20" s="63" t="n">
        <v>0</v>
      </c>
      <c r="AX20" s="63" t="n">
        <v>0</v>
      </c>
      <c r="AY20" s="63" t="n">
        <v>0</v>
      </c>
    </row>
    <row r="21">
      <c r="B21" s="32" t="inlineStr">
        <is>
          <t>Total Operating Expenses</t>
        </is>
      </c>
      <c r="C21" s="34" t="n"/>
      <c r="D21" s="35" t="n">
        <v>598853.02</v>
      </c>
      <c r="E21" s="35" t="n">
        <v>591281.7700000001</v>
      </c>
      <c r="F21" s="35" t="n">
        <v>661491.5999999999</v>
      </c>
      <c r="G21" s="35" t="n">
        <v>644054.36</v>
      </c>
      <c r="H21" s="35" t="n">
        <v>760286.5799999998</v>
      </c>
      <c r="I21" s="35" t="n">
        <v>785644.3100000003</v>
      </c>
      <c r="J21" s="35" t="n">
        <v>759734.3800000004</v>
      </c>
      <c r="K21" s="35" t="n">
        <v>802009.51</v>
      </c>
      <c r="L21" s="35" t="n">
        <v>834091.6900000001</v>
      </c>
      <c r="M21" s="35" t="n">
        <v>910855.6799999998</v>
      </c>
      <c r="N21" s="35" t="n">
        <v>885287.7299999997</v>
      </c>
      <c r="O21" s="35" t="n">
        <v>893553.72</v>
      </c>
      <c r="P21" s="35" t="n">
        <v>945487.6700000002</v>
      </c>
      <c r="Q21" s="35" t="n">
        <v>846207.66</v>
      </c>
      <c r="R21" s="35" t="n">
        <v>863798.3500000001</v>
      </c>
      <c r="S21" s="35" t="n">
        <v>797830.6700000002</v>
      </c>
      <c r="T21" s="85" t="n">
        <v>817186.3100000001</v>
      </c>
      <c r="U21" s="17">
        <f>U14+U15+U16+U17+U18+U19+U20</f>
        <v/>
      </c>
      <c r="V21" s="17">
        <f>V14+V15+V16+V17+V18+V19+V20</f>
        <v/>
      </c>
      <c r="W21" s="17">
        <f>W14+W15+W16+W17+W18+W19+W20</f>
        <v/>
      </c>
      <c r="X21" s="17">
        <f>X14+X15+X16+X17+X18+X19+X20</f>
        <v/>
      </c>
      <c r="Y21" s="17">
        <f>Y14+Y15+Y16+Y17+Y18+Y19+Y20</f>
        <v/>
      </c>
      <c r="Z21" s="17">
        <f>Z14+Z15+Z16+Z17+Z18+Z19+Z20</f>
        <v/>
      </c>
      <c r="AA21" s="17">
        <f>AA14+AA15+AA16+AA17+AA18+AA19+AA20</f>
        <v/>
      </c>
      <c r="AB21" s="17">
        <f>AB14+AB15+AB16+AB17+AB18+AB19+AB20</f>
        <v/>
      </c>
      <c r="AC21" s="17">
        <f>AC14+AC15+AC16+AC17+AC18+AC19+AC20</f>
        <v/>
      </c>
      <c r="AD21" s="17">
        <f>AD14+AD15+AD16+AD17+AD18+AD19+AD20</f>
        <v/>
      </c>
      <c r="AE21" s="17">
        <f>AE14+AE15+AE16+AE17+AE18+AE19+AE20</f>
        <v/>
      </c>
      <c r="AF21" s="17">
        <f>AF14+AF15+AF16+AF17+AF18+AF19+AF20</f>
        <v/>
      </c>
      <c r="AG21" s="17">
        <f>AG14+AG15+AG16+AG17+AG18+AG19+AG20</f>
        <v/>
      </c>
      <c r="AH21" s="17">
        <f>AH14+AH15+AH16+AH17+AH18+AH19+AH20</f>
        <v/>
      </c>
      <c r="AI21" s="17">
        <f>AI14+AI15+AI16+AI17+AI18+AI19+AI20</f>
        <v/>
      </c>
      <c r="AJ21" s="17">
        <f>AJ14+AJ15+AJ16+AJ17+AJ18+AJ19+AJ20</f>
        <v/>
      </c>
      <c r="AK21" s="17">
        <f>AK14+AK15+AK16+AK17+AK18+AK19+AK20</f>
        <v/>
      </c>
      <c r="AL21" s="17">
        <f>AL14+AL15+AL16+AL17+AL18+AL19+AL20</f>
        <v/>
      </c>
      <c r="AM21" s="17">
        <f>AM14+AM15+AM16+AM17+AM18+AM19+AM20</f>
        <v/>
      </c>
      <c r="AN21" s="17">
        <f>AN14+AN15+AN16+AN17+AN18+AN19+AN20</f>
        <v/>
      </c>
      <c r="AO21" s="17">
        <f>AO14+AO15+AO16+AO17+AO18+AO19+AO20</f>
        <v/>
      </c>
      <c r="AP21" s="17">
        <f>AP14+AP15+AP16+AP17+AP18+AP19+AP20</f>
        <v/>
      </c>
      <c r="AQ21" s="17">
        <f>AQ14+AQ15+AQ16+AQ17+AQ18+AQ19+AQ20</f>
        <v/>
      </c>
      <c r="AR21" s="17">
        <f>AR14+AR15+AR16+AR17+AR18+AR19+AR20</f>
        <v/>
      </c>
      <c r="AS21" s="17">
        <f>AS14+AS15+AS16+AS17+AS18+AS19+AS20</f>
        <v/>
      </c>
      <c r="AT21" s="17">
        <f>AT14+AT15+AT16+AT17+AT18+AT19+AT20</f>
        <v/>
      </c>
      <c r="AU21" s="17">
        <f>AU14+AU15+AU16+AU17+AU18+AU19+AU20</f>
        <v/>
      </c>
      <c r="AV21" s="17">
        <f>AV14+AV15+AV16+AV17+AV18+AV19+AV20</f>
        <v/>
      </c>
      <c r="AW21" s="17">
        <f>AW14+AW15+AW16+AW17+AW18+AW19+AW20</f>
        <v/>
      </c>
      <c r="AX21" s="17">
        <f>AX14+AX15+AX16+AX17+AX18+AX19+AX20</f>
        <v/>
      </c>
      <c r="AY21" s="17">
        <f>AY14+AY15+AY16+AY17+AY18+AY19+AY20</f>
        <v/>
      </c>
    </row>
    <row r="22">
      <c r="B22" s="32" t="inlineStr">
        <is>
          <t>Net Operating Income</t>
        </is>
      </c>
      <c r="C22" s="34" t="n"/>
      <c r="D22" s="35" t="n">
        <v>-11138.62</v>
      </c>
      <c r="E22" s="35" t="n">
        <v>73320.19999999972</v>
      </c>
      <c r="F22" s="35" t="n">
        <v>148742.1900000001</v>
      </c>
      <c r="G22" s="35" t="n">
        <v>122346.1900000002</v>
      </c>
      <c r="H22" s="35" t="n">
        <v>86272.32000000018</v>
      </c>
      <c r="I22" s="35" t="n">
        <v>32224.96999999962</v>
      </c>
      <c r="J22" s="35" t="n">
        <v>51957.31999999971</v>
      </c>
      <c r="K22" s="35" t="n">
        <v>45253.04000000015</v>
      </c>
      <c r="L22" s="35" t="n">
        <v>10644.83999999985</v>
      </c>
      <c r="M22" s="35" t="n">
        <v>-81542.48999999976</v>
      </c>
      <c r="N22" s="35" t="n">
        <v>-15736.32999999984</v>
      </c>
      <c r="O22" s="35" t="n">
        <v>-4711.09999999986</v>
      </c>
      <c r="P22" s="35" t="n">
        <v>99364.31999999996</v>
      </c>
      <c r="Q22" s="35" t="n">
        <v>84748.39999999991</v>
      </c>
      <c r="R22" s="35" t="n">
        <v>48151.75999999989</v>
      </c>
      <c r="S22" s="35" t="n">
        <v>53110.5399999998</v>
      </c>
      <c r="T22" s="85" t="n">
        <v>73731.54000000004</v>
      </c>
      <c r="U22" s="17">
        <f>U13-U21</f>
        <v/>
      </c>
      <c r="V22" s="17">
        <f>V13-V21</f>
        <v/>
      </c>
      <c r="W22" s="17">
        <f>W13-W21</f>
        <v/>
      </c>
      <c r="X22" s="17">
        <f>X13-X21</f>
        <v/>
      </c>
      <c r="Y22" s="17">
        <f>Y13-Y21</f>
        <v/>
      </c>
      <c r="Z22" s="17">
        <f>Z13-Z21</f>
        <v/>
      </c>
      <c r="AA22" s="17">
        <f>AA13-AA21</f>
        <v/>
      </c>
      <c r="AB22" s="17">
        <f>AB13-AB21</f>
        <v/>
      </c>
      <c r="AC22" s="17">
        <f>AC13-AC21</f>
        <v/>
      </c>
      <c r="AD22" s="17">
        <f>AD13-AD21</f>
        <v/>
      </c>
      <c r="AE22" s="17">
        <f>AE13-AE21</f>
        <v/>
      </c>
      <c r="AF22" s="17">
        <f>AF13-AF21</f>
        <v/>
      </c>
      <c r="AG22" s="17">
        <f>AG13-AG21</f>
        <v/>
      </c>
      <c r="AH22" s="17">
        <f>AH13-AH21</f>
        <v/>
      </c>
      <c r="AI22" s="17">
        <f>AI13-AI21</f>
        <v/>
      </c>
      <c r="AJ22" s="17">
        <f>AJ13-AJ21</f>
        <v/>
      </c>
      <c r="AK22" s="17">
        <f>AK13-AK21</f>
        <v/>
      </c>
      <c r="AL22" s="17">
        <f>AL13-AL21</f>
        <v/>
      </c>
      <c r="AM22" s="17">
        <f>AM13-AM21</f>
        <v/>
      </c>
      <c r="AN22" s="17">
        <f>AN13-AN21</f>
        <v/>
      </c>
      <c r="AO22" s="17">
        <f>AO13-AO21</f>
        <v/>
      </c>
      <c r="AP22" s="17">
        <f>AP13-AP21</f>
        <v/>
      </c>
      <c r="AQ22" s="17">
        <f>AQ13-AQ21</f>
        <v/>
      </c>
      <c r="AR22" s="17">
        <f>AR13-AR21</f>
        <v/>
      </c>
      <c r="AS22" s="17">
        <f>AS13-AS21</f>
        <v/>
      </c>
      <c r="AT22" s="17">
        <f>AT13-AT21</f>
        <v/>
      </c>
      <c r="AU22" s="17">
        <f>AU13-AU21</f>
        <v/>
      </c>
      <c r="AV22" s="17">
        <f>AV13-AV21</f>
        <v/>
      </c>
      <c r="AW22" s="17">
        <f>AW13-AW21</f>
        <v/>
      </c>
      <c r="AX22" s="17">
        <f>AX13-AX21</f>
        <v/>
      </c>
      <c r="AY22" s="17">
        <f>AY13-AY21</f>
        <v/>
      </c>
    </row>
    <row r="23">
      <c r="B23" s="18" t="inlineStr">
        <is>
          <t>Depreciation</t>
        </is>
      </c>
      <c r="D23" s="19" t="n">
        <v>15294.91</v>
      </c>
      <c r="E23" s="19" t="n">
        <v>17544.5</v>
      </c>
      <c r="F23" s="19" t="n">
        <v>17656.42</v>
      </c>
      <c r="G23" s="19" t="n">
        <v>19776.91</v>
      </c>
      <c r="H23" s="19" t="n">
        <v>19918.2</v>
      </c>
      <c r="I23" s="19" t="n">
        <v>23461.73</v>
      </c>
      <c r="J23" s="19" t="n">
        <v>23564.06</v>
      </c>
      <c r="K23" s="19" t="n">
        <v>24731.79</v>
      </c>
      <c r="L23" s="19" t="n">
        <v>28257.89</v>
      </c>
      <c r="M23" s="19" t="n">
        <v>30554.12</v>
      </c>
      <c r="N23" s="19" t="n">
        <v>31457.54</v>
      </c>
      <c r="O23" s="19" t="n">
        <v>18346.69</v>
      </c>
      <c r="P23" s="19" t="n">
        <v>30633.94</v>
      </c>
      <c r="Q23" s="19" t="n">
        <v>30665.6</v>
      </c>
      <c r="R23" s="19" t="n">
        <v>30876.78</v>
      </c>
      <c r="S23" s="19" t="n">
        <v>30893.75</v>
      </c>
      <c r="T23" s="84" t="n">
        <v>30876.78</v>
      </c>
      <c r="U23" s="20" t="n">
        <v>30882.44</v>
      </c>
      <c r="V23" s="20" t="n">
        <v>30882.44</v>
      </c>
      <c r="W23" s="20" t="n">
        <v>30882.44</v>
      </c>
      <c r="X23" s="20" t="n">
        <v>30882.44</v>
      </c>
      <c r="Y23" s="20" t="n">
        <v>30882.44</v>
      </c>
      <c r="Z23" s="20" t="n">
        <v>30882.44</v>
      </c>
      <c r="AA23" s="20" t="n">
        <v>30882.44</v>
      </c>
      <c r="AB23" s="20" t="n">
        <v>30882.44</v>
      </c>
      <c r="AC23" s="20" t="n">
        <v>30882.44</v>
      </c>
      <c r="AD23" s="20" t="n">
        <v>30882.44</v>
      </c>
      <c r="AE23" s="20" t="n">
        <v>30882.44</v>
      </c>
      <c r="AF23" s="20" t="n">
        <v>30882.44</v>
      </c>
      <c r="AG23" s="20" t="n">
        <v>30882.44</v>
      </c>
      <c r="AH23" s="20" t="n">
        <v>30882.44</v>
      </c>
      <c r="AI23" s="20" t="n">
        <v>30882.44</v>
      </c>
      <c r="AJ23" s="20" t="n">
        <v>30882.44</v>
      </c>
      <c r="AK23" s="20" t="n">
        <v>30882.44</v>
      </c>
      <c r="AL23" s="20" t="n">
        <v>30882.44</v>
      </c>
      <c r="AM23" s="20" t="n">
        <v>30882.44</v>
      </c>
      <c r="AN23" s="20" t="n">
        <v>30882.44</v>
      </c>
      <c r="AO23" s="20" t="n">
        <v>30882.44</v>
      </c>
      <c r="AP23" s="20" t="n">
        <v>30882.44</v>
      </c>
      <c r="AQ23" s="20" t="n">
        <v>30882.44</v>
      </c>
      <c r="AR23" s="20" t="n">
        <v>30882.44</v>
      </c>
      <c r="AS23" s="20" t="n">
        <v>30882.44</v>
      </c>
      <c r="AT23" s="20" t="n">
        <v>30882.44</v>
      </c>
      <c r="AU23" s="20" t="n">
        <v>30882.44</v>
      </c>
      <c r="AV23" s="20" t="n">
        <v>30882.44</v>
      </c>
      <c r="AW23" s="20" t="n">
        <v>30882.44</v>
      </c>
      <c r="AX23" s="20" t="n">
        <v>30882.44</v>
      </c>
      <c r="AY23" s="20" t="n">
        <v>30882.44</v>
      </c>
    </row>
    <row r="24">
      <c r="B24" s="18" t="inlineStr">
        <is>
          <t>Interest Expense</t>
        </is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>
        <v>28621.88</v>
      </c>
      <c r="Q24" s="19" t="n">
        <v>28621.88</v>
      </c>
      <c r="R24" s="19" t="n">
        <v>28621.88</v>
      </c>
      <c r="S24" s="19" t="n">
        <v>32069.59</v>
      </c>
      <c r="T24" s="84" t="n">
        <v>23912.5</v>
      </c>
      <c r="U24" s="20">
        <f>14026</f>
        <v/>
      </c>
      <c r="V24" s="20">
        <f>14026</f>
        <v/>
      </c>
      <c r="W24" s="20">
        <f>14026</f>
        <v/>
      </c>
      <c r="X24" s="20">
        <f>'Cash Flow Forecast'!X49+1333.3333</f>
        <v/>
      </c>
      <c r="Y24" s="20">
        <f>'Cash Flow Forecast'!Y49+1333.3333</f>
        <v/>
      </c>
      <c r="Z24" s="20">
        <f>'Cash Flow Forecast'!Z49+1333.3333</f>
        <v/>
      </c>
      <c r="AA24" s="20">
        <f>'Cash Flow Forecast'!AA49+1333.3333</f>
        <v/>
      </c>
      <c r="AB24" s="20">
        <f>'Cash Flow Forecast'!AB49+1333.3333</f>
        <v/>
      </c>
      <c r="AC24" s="20">
        <f>'Cash Flow Forecast'!AC49+1333.3333</f>
        <v/>
      </c>
      <c r="AD24" s="20">
        <f>'Cash Flow Forecast'!AD49+1333.3333</f>
        <v/>
      </c>
      <c r="AE24" s="20">
        <f>'Cash Flow Forecast'!AE49+1333.3333</f>
        <v/>
      </c>
      <c r="AF24" s="20">
        <f>'Cash Flow Forecast'!AF49+1333.3333</f>
        <v/>
      </c>
      <c r="AG24" s="20">
        <f>'Cash Flow Forecast'!AG49+1333.3333</f>
        <v/>
      </c>
      <c r="AH24" s="20">
        <f>'Cash Flow Forecast'!AH49+1333.3333</f>
        <v/>
      </c>
      <c r="AI24" s="20">
        <f>'Cash Flow Forecast'!AI49+1333.3333</f>
        <v/>
      </c>
      <c r="AJ24" s="20">
        <f>'Cash Flow Forecast'!AJ49+1333.3333</f>
        <v/>
      </c>
      <c r="AK24" s="20">
        <f>'Cash Flow Forecast'!AK49+1333.3333</f>
        <v/>
      </c>
      <c r="AL24" s="20">
        <f>'Cash Flow Forecast'!AL49+1333.3333</f>
        <v/>
      </c>
      <c r="AM24" s="20">
        <f>'Cash Flow Forecast'!AM49+1333.3333</f>
        <v/>
      </c>
      <c r="AN24" s="20">
        <f>14026</f>
        <v/>
      </c>
      <c r="AO24" s="20">
        <f>14026</f>
        <v/>
      </c>
      <c r="AP24" s="20">
        <f>14026</f>
        <v/>
      </c>
      <c r="AQ24" s="20">
        <f>14026</f>
        <v/>
      </c>
      <c r="AR24" s="20">
        <f>14026</f>
        <v/>
      </c>
      <c r="AS24" s="20">
        <f>14026</f>
        <v/>
      </c>
      <c r="AT24" s="20">
        <f>14026</f>
        <v/>
      </c>
      <c r="AU24" s="20">
        <f>14026</f>
        <v/>
      </c>
      <c r="AV24" s="20">
        <f>14026</f>
        <v/>
      </c>
      <c r="AW24" s="20">
        <f>14026</f>
        <v/>
      </c>
      <c r="AX24" s="20">
        <f>14026</f>
        <v/>
      </c>
      <c r="AY24" s="20">
        <f>14026</f>
        <v/>
      </c>
    </row>
    <row r="25">
      <c r="B25" s="18" t="inlineStr">
        <is>
          <t>Taxes Paid</t>
        </is>
      </c>
      <c r="D25" s="19" t="n">
        <v>0</v>
      </c>
      <c r="E25" s="19" t="n">
        <v>9041.24</v>
      </c>
      <c r="F25" s="19" t="n">
        <v>1700</v>
      </c>
      <c r="G25" s="19" t="n">
        <v>800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11790</v>
      </c>
      <c r="N25" s="19" t="n">
        <v>0</v>
      </c>
      <c r="O25" s="19" t="n">
        <v>0</v>
      </c>
      <c r="P25" s="19" t="n">
        <v>0</v>
      </c>
      <c r="Q25" s="19" t="n">
        <v>5143</v>
      </c>
      <c r="R25" s="19" t="n">
        <v>0</v>
      </c>
      <c r="S25" s="19" t="n">
        <v>0</v>
      </c>
      <c r="T25" s="84" t="n">
        <v>800</v>
      </c>
      <c r="U25" s="20" t="n">
        <v>1188.6</v>
      </c>
      <c r="V25" s="20" t="n">
        <v>1188.6</v>
      </c>
      <c r="W25" s="20" t="n">
        <v>1188.6</v>
      </c>
      <c r="X25" s="20" t="n">
        <v>1188.6</v>
      </c>
      <c r="Y25" s="20" t="n">
        <v>1188.6</v>
      </c>
      <c r="Z25" s="20" t="n">
        <v>1188.6</v>
      </c>
      <c r="AA25" s="20" t="n">
        <v>1188.6</v>
      </c>
      <c r="AB25" s="20" t="n">
        <v>1188.6</v>
      </c>
      <c r="AC25" s="20" t="n">
        <v>1188.6</v>
      </c>
      <c r="AD25" s="20" t="n">
        <v>1188.6</v>
      </c>
      <c r="AE25" s="20" t="n">
        <v>1188.6</v>
      </c>
      <c r="AF25" s="20" t="n">
        <v>1188.6</v>
      </c>
      <c r="AG25" s="20" t="n">
        <v>1188.6</v>
      </c>
      <c r="AH25" s="20" t="n">
        <v>1188.6</v>
      </c>
      <c r="AI25" s="20" t="n">
        <v>1188.6</v>
      </c>
      <c r="AJ25" s="20" t="n">
        <v>1188.6</v>
      </c>
      <c r="AK25" s="20" t="n">
        <v>1188.6</v>
      </c>
      <c r="AL25" s="20" t="n">
        <v>1188.6</v>
      </c>
      <c r="AM25" s="20" t="n">
        <v>1188.6</v>
      </c>
      <c r="AN25" s="20" t="n">
        <v>266.67</v>
      </c>
      <c r="AO25" s="20" t="n">
        <v>266.67</v>
      </c>
      <c r="AP25" s="20" t="n">
        <v>266.67</v>
      </c>
      <c r="AQ25" s="20" t="n">
        <v>266.67</v>
      </c>
      <c r="AR25" s="20" t="n">
        <v>266.67</v>
      </c>
      <c r="AS25" s="20" t="n">
        <v>266.67</v>
      </c>
      <c r="AT25" s="20" t="n">
        <v>266.67</v>
      </c>
      <c r="AU25" s="20" t="n">
        <v>266.67</v>
      </c>
      <c r="AV25" s="20" t="n">
        <v>266.67</v>
      </c>
      <c r="AW25" s="20" t="n">
        <v>266.67</v>
      </c>
      <c r="AX25" s="20" t="n">
        <v>266.67</v>
      </c>
      <c r="AY25" s="20" t="n">
        <v>266.67</v>
      </c>
    </row>
    <row r="26">
      <c r="B26" s="18" t="inlineStr">
        <is>
          <t>Property Taxes</t>
        </is>
      </c>
      <c r="D26" s="19" t="n">
        <v>3356.51</v>
      </c>
      <c r="E26" s="19" t="n">
        <v>3526.51</v>
      </c>
      <c r="F26" s="19" t="n">
        <v>3441.51</v>
      </c>
      <c r="G26" s="19" t="n">
        <v>3807.51</v>
      </c>
      <c r="H26" s="19" t="n">
        <v>3441.51</v>
      </c>
      <c r="I26" s="19" t="n">
        <v>4369.71</v>
      </c>
      <c r="J26" s="19" t="n">
        <v>8502.450000000001</v>
      </c>
      <c r="K26" s="19" t="n">
        <v>3441.51</v>
      </c>
      <c r="L26" s="19" t="n">
        <v>3441.51</v>
      </c>
      <c r="M26" s="19" t="n">
        <v>5926.47</v>
      </c>
      <c r="N26" s="19" t="n">
        <v>3441.51</v>
      </c>
      <c r="O26" s="19" t="n">
        <v>3441.52</v>
      </c>
      <c r="P26" s="19" t="n">
        <v>3673</v>
      </c>
      <c r="Q26" s="19" t="n">
        <v>3673</v>
      </c>
      <c r="R26" s="19" t="n">
        <v>3673</v>
      </c>
      <c r="S26" s="19" t="n">
        <v>3673</v>
      </c>
      <c r="T26" s="84" t="n">
        <v>3673</v>
      </c>
      <c r="U26" s="20" t="n">
        <v>3673</v>
      </c>
      <c r="V26" s="20" t="n">
        <v>3673</v>
      </c>
      <c r="W26" s="20" t="n">
        <v>3673</v>
      </c>
      <c r="X26" s="20" t="n">
        <v>3673</v>
      </c>
      <c r="Y26" s="20" t="n">
        <v>3673</v>
      </c>
      <c r="Z26" s="20" t="n">
        <v>3673</v>
      </c>
      <c r="AA26" s="20" t="n">
        <v>3673</v>
      </c>
      <c r="AB26" s="20" t="n">
        <v>3673</v>
      </c>
      <c r="AC26" s="20" t="n">
        <v>3673</v>
      </c>
      <c r="AD26" s="20" t="n">
        <v>3673</v>
      </c>
      <c r="AE26" s="20" t="n">
        <v>3673</v>
      </c>
      <c r="AF26" s="20" t="n">
        <v>3673</v>
      </c>
      <c r="AG26" s="20" t="n">
        <v>3673</v>
      </c>
      <c r="AH26" s="20" t="n">
        <v>3673</v>
      </c>
      <c r="AI26" s="20" t="n">
        <v>3673</v>
      </c>
      <c r="AJ26" s="20" t="n">
        <v>3673</v>
      </c>
      <c r="AK26" s="20" t="n">
        <v>3673</v>
      </c>
      <c r="AL26" s="20" t="n">
        <v>3673</v>
      </c>
      <c r="AM26" s="20" t="n">
        <v>3673</v>
      </c>
      <c r="AN26" s="20" t="n">
        <v>3673</v>
      </c>
      <c r="AO26" s="20" t="n">
        <v>3673</v>
      </c>
      <c r="AP26" s="20" t="n">
        <v>3673</v>
      </c>
      <c r="AQ26" s="20" t="n">
        <v>3673</v>
      </c>
      <c r="AR26" s="20" t="n">
        <v>3673</v>
      </c>
      <c r="AS26" s="20" t="n">
        <v>3673</v>
      </c>
      <c r="AT26" s="20" t="n">
        <v>3673</v>
      </c>
      <c r="AU26" s="20" t="n">
        <v>3673</v>
      </c>
      <c r="AV26" s="20" t="n">
        <v>3673</v>
      </c>
      <c r="AW26" s="20" t="n">
        <v>3673</v>
      </c>
      <c r="AX26" s="20" t="n">
        <v>3673</v>
      </c>
      <c r="AY26" s="20" t="n">
        <v>3673</v>
      </c>
    </row>
    <row r="27">
      <c r="B27" s="32" t="inlineStr">
        <is>
          <t>Total Other Expenses</t>
        </is>
      </c>
      <c r="C27" s="34" t="n"/>
      <c r="D27" s="35" t="n">
        <v>18651.42</v>
      </c>
      <c r="E27" s="35" t="n">
        <v>30112.25</v>
      </c>
      <c r="F27" s="35" t="n">
        <v>22797.93</v>
      </c>
      <c r="G27" s="35" t="n">
        <v>24384.42</v>
      </c>
      <c r="H27" s="35" t="n">
        <v>23359.71</v>
      </c>
      <c r="I27" s="35" t="n">
        <v>27831.44</v>
      </c>
      <c r="J27" s="35" t="n">
        <v>32066.51</v>
      </c>
      <c r="K27" s="35" t="n">
        <v>28173.3</v>
      </c>
      <c r="L27" s="35" t="n">
        <v>46144.4</v>
      </c>
      <c r="M27" s="35" t="n">
        <v>56646.6</v>
      </c>
      <c r="N27" s="35" t="n">
        <v>53770.93</v>
      </c>
      <c r="O27" s="35" t="n">
        <v>41660.09</v>
      </c>
      <c r="P27" s="35" t="n">
        <v>62905.92</v>
      </c>
      <c r="Q27" s="35" t="n">
        <v>68103.48</v>
      </c>
      <c r="R27" s="35" t="n">
        <v>63171.66</v>
      </c>
      <c r="S27" s="35" t="n">
        <v>62636.34</v>
      </c>
      <c r="T27" s="85" t="n">
        <v>64262.28</v>
      </c>
      <c r="U27" s="17">
        <f>U23+U24+U25+U26</f>
        <v/>
      </c>
      <c r="V27" s="17">
        <f>V23+V24+V25+V26</f>
        <v/>
      </c>
      <c r="W27" s="17">
        <f>W23+W24+W25+W26</f>
        <v/>
      </c>
      <c r="X27" s="17">
        <f>X23+X24+X25+X26</f>
        <v/>
      </c>
      <c r="Y27" s="17">
        <f>Y23+Y24+Y25+Y26</f>
        <v/>
      </c>
      <c r="Z27" s="17">
        <f>Z23+Z24+Z25+Z26</f>
        <v/>
      </c>
      <c r="AA27" s="17">
        <f>AA23+AA24+AA25+AA26</f>
        <v/>
      </c>
      <c r="AB27" s="17">
        <f>AB23+AB24+AB25+AB26</f>
        <v/>
      </c>
      <c r="AC27" s="17">
        <f>AC23+AC24+AC25+AC26</f>
        <v/>
      </c>
      <c r="AD27" s="17">
        <f>AD23+AD24+AD25+AD26</f>
        <v/>
      </c>
      <c r="AE27" s="17">
        <f>AE23+AE24+AE25+AE26</f>
        <v/>
      </c>
      <c r="AF27" s="17">
        <f>AF23+AF24+AF25+AF26</f>
        <v/>
      </c>
      <c r="AG27" s="17">
        <f>AG23+AG24+AG25+AG26</f>
        <v/>
      </c>
      <c r="AH27" s="17">
        <f>AH23+AH24+AH25+AH26</f>
        <v/>
      </c>
      <c r="AI27" s="17">
        <f>AI23+AI24+AI25+AI26</f>
        <v/>
      </c>
      <c r="AJ27" s="17">
        <f>AJ23+AJ24+AJ25+AJ26</f>
        <v/>
      </c>
      <c r="AK27" s="17">
        <f>AK23+AK24+AK25+AK26</f>
        <v/>
      </c>
      <c r="AL27" s="17">
        <f>AL23+AL24+AL25+AL26</f>
        <v/>
      </c>
      <c r="AM27" s="17">
        <f>AM23+AM24+AM25+AM26</f>
        <v/>
      </c>
      <c r="AN27" s="17">
        <f>AN23+AN24+AN25+AN26</f>
        <v/>
      </c>
      <c r="AO27" s="17">
        <f>AO23+AO24+AO25+AO26</f>
        <v/>
      </c>
      <c r="AP27" s="17">
        <f>AP23+AP24+AP25+AP26</f>
        <v/>
      </c>
      <c r="AQ27" s="17">
        <f>AQ23+AQ24+AQ25+AQ26</f>
        <v/>
      </c>
      <c r="AR27" s="17">
        <f>AR23+AR24+AR25+AR26</f>
        <v/>
      </c>
      <c r="AS27" s="17">
        <f>AS23+AS24+AS25+AS26</f>
        <v/>
      </c>
      <c r="AT27" s="17">
        <f>AT23+AT24+AT25+AT26</f>
        <v/>
      </c>
      <c r="AU27" s="17">
        <f>AU23+AU24+AU25+AU26</f>
        <v/>
      </c>
      <c r="AV27" s="17">
        <f>AV23+AV24+AV25+AV26</f>
        <v/>
      </c>
      <c r="AW27" s="17">
        <f>AW23+AW24+AW25+AW26</f>
        <v/>
      </c>
      <c r="AX27" s="17">
        <f>AX23+AX24+AX25+AX26</f>
        <v/>
      </c>
      <c r="AY27" s="17">
        <f>AY23+AY24+AY25+AY26</f>
        <v/>
      </c>
    </row>
    <row r="28">
      <c r="B28" s="32" t="inlineStr">
        <is>
          <t>Net Income</t>
        </is>
      </c>
      <c r="C28" s="34" t="n"/>
      <c r="D28" s="35" t="n">
        <v>-29790.03999999999</v>
      </c>
      <c r="E28" s="35" t="n">
        <v>43207.94999999972</v>
      </c>
      <c r="F28" s="35" t="n">
        <v>125944.2600000001</v>
      </c>
      <c r="G28" s="35" t="n">
        <v>97961.77000000018</v>
      </c>
      <c r="H28" s="35" t="n">
        <v>62912.61000000018</v>
      </c>
      <c r="I28" s="35" t="n">
        <v>4393.529999999624</v>
      </c>
      <c r="J28" s="35" t="n">
        <v>19890.80999999971</v>
      </c>
      <c r="K28" s="35" t="n">
        <v>17079.74000000015</v>
      </c>
      <c r="L28" s="35" t="n">
        <v>-35499.56000000015</v>
      </c>
      <c r="M28" s="35" t="n">
        <v>-138189.0899999998</v>
      </c>
      <c r="N28" s="35" t="n">
        <v>-69507.25999999983</v>
      </c>
      <c r="O28" s="35" t="n">
        <v>-46371.18999999986</v>
      </c>
      <c r="P28" s="35" t="n">
        <v>36458.39999999995</v>
      </c>
      <c r="Q28" s="35" t="n">
        <v>16644.91999999991</v>
      </c>
      <c r="R28" s="35" t="n">
        <v>-15019.90000000011</v>
      </c>
      <c r="S28" s="35" t="n">
        <v>-9525.800000000192</v>
      </c>
      <c r="T28" s="85" t="n">
        <v>9469.260000000038</v>
      </c>
      <c r="U28" s="17">
        <f>U22-U27</f>
        <v/>
      </c>
      <c r="V28" s="17">
        <f>V22-V27</f>
        <v/>
      </c>
      <c r="W28" s="17">
        <f>W22-W27</f>
        <v/>
      </c>
      <c r="X28" s="17">
        <f>X22-X27</f>
        <v/>
      </c>
      <c r="Y28" s="17">
        <f>Y22-Y27</f>
        <v/>
      </c>
      <c r="Z28" s="17">
        <f>Z22-Z27</f>
        <v/>
      </c>
      <c r="AA28" s="17">
        <f>AA22-AA27</f>
        <v/>
      </c>
      <c r="AB28" s="17">
        <f>AB22-AB27</f>
        <v/>
      </c>
      <c r="AC28" s="17">
        <f>AC22-AC27</f>
        <v/>
      </c>
      <c r="AD28" s="17">
        <f>AD22-AD27</f>
        <v/>
      </c>
      <c r="AE28" s="17">
        <f>AE22-AE27</f>
        <v/>
      </c>
      <c r="AF28" s="17">
        <f>AF22-AF27</f>
        <v/>
      </c>
      <c r="AG28" s="17">
        <f>AG22-AG27</f>
        <v/>
      </c>
      <c r="AH28" s="17">
        <f>AH22-AH27</f>
        <v/>
      </c>
      <c r="AI28" s="17">
        <f>AI22-AI27</f>
        <v/>
      </c>
      <c r="AJ28" s="17">
        <f>AJ22-AJ27</f>
        <v/>
      </c>
      <c r="AK28" s="17">
        <f>AK22-AK27</f>
        <v/>
      </c>
      <c r="AL28" s="17">
        <f>AL22-AL27</f>
        <v/>
      </c>
      <c r="AM28" s="17">
        <f>AM22-AM27</f>
        <v/>
      </c>
      <c r="AN28" s="17">
        <f>AN22-AN27</f>
        <v/>
      </c>
      <c r="AO28" s="17">
        <f>AO22-AO27</f>
        <v/>
      </c>
      <c r="AP28" s="17">
        <f>AP22-AP27</f>
        <v/>
      </c>
      <c r="AQ28" s="17">
        <f>AQ22-AQ27</f>
        <v/>
      </c>
      <c r="AR28" s="17">
        <f>AR22-AR27</f>
        <v/>
      </c>
      <c r="AS28" s="17">
        <f>AS22-AS27</f>
        <v/>
      </c>
      <c r="AT28" s="17">
        <f>AT22-AT27</f>
        <v/>
      </c>
      <c r="AU28" s="17">
        <f>AU22-AU27</f>
        <v/>
      </c>
      <c r="AV28" s="17">
        <f>AV22-AV27</f>
        <v/>
      </c>
      <c r="AW28" s="17">
        <f>AW22-AW27</f>
        <v/>
      </c>
      <c r="AX28" s="17">
        <f>AX22-AX27</f>
        <v/>
      </c>
      <c r="AY28" s="17">
        <f>AY22-AY27</f>
        <v/>
      </c>
    </row>
    <row r="30" ht="16.05" customHeight="1" s="142">
      <c r="B30" s="66" t="inlineStr">
        <is>
          <t>ADJUSTED EBITDA RECONCILIATION</t>
        </is>
      </c>
      <c r="C30" s="67" t="n"/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7" t="n"/>
      <c r="AN30" s="67" t="n"/>
      <c r="AO30" s="67" t="n"/>
      <c r="AP30" s="67" t="n"/>
      <c r="AQ30" s="67" t="n"/>
      <c r="AR30" s="67" t="n"/>
      <c r="AS30" s="67" t="n"/>
      <c r="AT30" s="67" t="n"/>
      <c r="AU30" s="67" t="n"/>
      <c r="AV30" s="67" t="n"/>
      <c r="AW30" s="67" t="n"/>
      <c r="AX30" s="67" t="n"/>
      <c r="AY30" s="67" t="n"/>
    </row>
    <row r="31">
      <c r="B31" s="68" t="inlineStr">
        <is>
          <t>Net Operating Income (from above)</t>
        </is>
      </c>
      <c r="D31" s="24">
        <f>D22</f>
        <v/>
      </c>
      <c r="E31" s="24">
        <f>E22</f>
        <v/>
      </c>
      <c r="F31" s="24">
        <f>F22</f>
        <v/>
      </c>
      <c r="G31" s="24">
        <f>G22</f>
        <v/>
      </c>
      <c r="H31" s="24">
        <f>H22</f>
        <v/>
      </c>
      <c r="I31" s="24">
        <f>I22</f>
        <v/>
      </c>
      <c r="J31" s="24">
        <f>J22</f>
        <v/>
      </c>
      <c r="K31" s="24">
        <f>K22</f>
        <v/>
      </c>
      <c r="L31" s="24">
        <f>L22</f>
        <v/>
      </c>
      <c r="M31" s="24">
        <f>M22</f>
        <v/>
      </c>
      <c r="N31" s="24">
        <f>N22</f>
        <v/>
      </c>
      <c r="O31" s="24">
        <f>O22</f>
        <v/>
      </c>
      <c r="P31" s="24">
        <f>P22</f>
        <v/>
      </c>
      <c r="Q31" s="24">
        <f>Q22</f>
        <v/>
      </c>
      <c r="R31" s="24">
        <f>R22</f>
        <v/>
      </c>
      <c r="S31" s="24">
        <f>S22</f>
        <v/>
      </c>
      <c r="T31" s="24">
        <f>T22</f>
        <v/>
      </c>
      <c r="U31" s="24">
        <f>U22</f>
        <v/>
      </c>
      <c r="V31" s="24">
        <f>V22</f>
        <v/>
      </c>
      <c r="W31" s="24">
        <f>W22</f>
        <v/>
      </c>
      <c r="X31" s="24">
        <f>X22</f>
        <v/>
      </c>
      <c r="Y31" s="24">
        <f>Y22</f>
        <v/>
      </c>
      <c r="Z31" s="24">
        <f>Z22</f>
        <v/>
      </c>
      <c r="AA31" s="24">
        <f>AA22</f>
        <v/>
      </c>
      <c r="AB31" s="24">
        <f>AB22</f>
        <v/>
      </c>
      <c r="AC31" s="24">
        <f>AC22</f>
        <v/>
      </c>
      <c r="AD31" s="24">
        <f>AD22</f>
        <v/>
      </c>
      <c r="AE31" s="24">
        <f>AE22</f>
        <v/>
      </c>
      <c r="AF31" s="24">
        <f>AF22</f>
        <v/>
      </c>
      <c r="AG31" s="24">
        <f>AG22</f>
        <v/>
      </c>
      <c r="AH31" s="24">
        <f>AH22</f>
        <v/>
      </c>
      <c r="AI31" s="24">
        <f>AI22</f>
        <v/>
      </c>
      <c r="AJ31" s="24">
        <f>AJ22</f>
        <v/>
      </c>
      <c r="AK31" s="24">
        <f>AK22</f>
        <v/>
      </c>
      <c r="AL31" s="24">
        <f>AL22</f>
        <v/>
      </c>
      <c r="AM31" s="24">
        <f>AM22</f>
        <v/>
      </c>
      <c r="AN31" s="24">
        <f>AN22</f>
        <v/>
      </c>
      <c r="AO31" s="24">
        <f>AO22</f>
        <v/>
      </c>
      <c r="AP31" s="24">
        <f>AP22</f>
        <v/>
      </c>
      <c r="AQ31" s="24">
        <f>AQ22</f>
        <v/>
      </c>
      <c r="AR31" s="24">
        <f>AR22</f>
        <v/>
      </c>
      <c r="AS31" s="24">
        <f>AS22</f>
        <v/>
      </c>
      <c r="AT31" s="24">
        <f>AT22</f>
        <v/>
      </c>
      <c r="AU31" s="24">
        <f>AU22</f>
        <v/>
      </c>
      <c r="AV31" s="24">
        <f>AV22</f>
        <v/>
      </c>
      <c r="AW31" s="24">
        <f>AW22</f>
        <v/>
      </c>
      <c r="AX31" s="24">
        <f>AX22</f>
        <v/>
      </c>
      <c r="AY31" s="24">
        <f>AY22</f>
        <v/>
      </c>
    </row>
    <row r="32">
      <c r="B32" s="69" t="inlineStr">
        <is>
          <t>Add Backs:</t>
        </is>
      </c>
    </row>
    <row r="33">
      <c r="B33" s="69" t="inlineStr">
        <is>
          <t xml:space="preserve">  West Portal Start-Up Costs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>
        <v>16222.39</v>
      </c>
      <c r="Q33" s="70" t="n">
        <v>17111.26</v>
      </c>
      <c r="R33" s="70" t="n">
        <v>14310.31</v>
      </c>
      <c r="S33" s="70" t="n">
        <v>19092.69</v>
      </c>
      <c r="T33" s="70" t="n">
        <v>16815</v>
      </c>
      <c r="U33" s="24" t="n">
        <v>0</v>
      </c>
      <c r="V33" s="24" t="n">
        <v>0</v>
      </c>
      <c r="W33" s="24" t="n">
        <v>0</v>
      </c>
      <c r="X33" s="24" t="n">
        <v>0</v>
      </c>
      <c r="Y33" s="24" t="n">
        <v>0</v>
      </c>
      <c r="Z33" s="24" t="n">
        <v>0</v>
      </c>
      <c r="AA33" s="24" t="n">
        <v>0</v>
      </c>
      <c r="AB33" s="24" t="n">
        <v>0</v>
      </c>
      <c r="AC33" s="24" t="n">
        <v>0</v>
      </c>
      <c r="AD33" s="24" t="n">
        <v>0</v>
      </c>
      <c r="AE33" s="24" t="n">
        <v>0</v>
      </c>
      <c r="AF33" s="24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  <c r="AM33" s="24" t="n">
        <v>0</v>
      </c>
      <c r="AN33" s="24" t="n">
        <v>0</v>
      </c>
      <c r="AO33" s="24" t="n">
        <v>0</v>
      </c>
      <c r="AP33" s="24" t="n">
        <v>0</v>
      </c>
      <c r="AQ33" s="24" t="n">
        <v>0</v>
      </c>
      <c r="AR33" s="24" t="n">
        <v>0</v>
      </c>
      <c r="AS33" s="24" t="n">
        <v>0</v>
      </c>
      <c r="AT33" s="24" t="n">
        <v>0</v>
      </c>
      <c r="AU33" s="24" t="n">
        <v>0</v>
      </c>
      <c r="AV33" s="24" t="n">
        <v>0</v>
      </c>
      <c r="AW33" s="24" t="n">
        <v>0</v>
      </c>
      <c r="AX33" s="24" t="n">
        <v>0</v>
      </c>
      <c r="AY33" s="24" t="n">
        <v>0</v>
      </c>
    </row>
    <row r="34">
      <c r="B34" s="69" t="inlineStr">
        <is>
          <t xml:space="preserve">  ADP Error</t>
        </is>
      </c>
      <c r="D34" s="70" t="n"/>
      <c r="E34" s="70" t="n"/>
      <c r="F34" s="70" t="n"/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>
        <v>0</v>
      </c>
      <c r="Q34" s="70" t="n">
        <v>0</v>
      </c>
      <c r="R34" s="70" t="n">
        <v>45000</v>
      </c>
      <c r="S34" s="70" t="n">
        <v>0</v>
      </c>
      <c r="T34" s="70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0</v>
      </c>
      <c r="AQ34" s="24" t="n">
        <v>0</v>
      </c>
      <c r="AR34" s="24" t="n">
        <v>0</v>
      </c>
      <c r="AS34" s="24" t="n">
        <v>0</v>
      </c>
      <c r="AT34" s="24" t="n">
        <v>0</v>
      </c>
      <c r="AU34" s="24" t="n">
        <v>0</v>
      </c>
      <c r="AV34" s="24" t="n">
        <v>0</v>
      </c>
      <c r="AW34" s="24" t="n">
        <v>0</v>
      </c>
      <c r="AX34" s="24" t="n">
        <v>0</v>
      </c>
      <c r="AY34" s="24" t="n">
        <v>0</v>
      </c>
    </row>
    <row r="35">
      <c r="B35" s="69" t="inlineStr">
        <is>
          <t xml:space="preserve">  One-Time Legal Fees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>
        <v>2957</v>
      </c>
      <c r="Q35" s="70" t="n">
        <v>0</v>
      </c>
      <c r="R35" s="70">
        <f>3995.5</f>
        <v/>
      </c>
      <c r="S35" s="70" t="n">
        <v>0</v>
      </c>
      <c r="T35" s="70" t="n">
        <v>0</v>
      </c>
      <c r="U35" s="24" t="n">
        <v>0</v>
      </c>
      <c r="V35" s="24" t="n">
        <v>0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0</v>
      </c>
      <c r="AI35" s="24" t="n">
        <v>0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0</v>
      </c>
      <c r="AR35" s="24" t="n">
        <v>0</v>
      </c>
      <c r="AS35" s="24" t="n">
        <v>0</v>
      </c>
      <c r="AT35" s="24" t="n">
        <v>0</v>
      </c>
      <c r="AU35" s="24" t="n">
        <v>0</v>
      </c>
      <c r="AV35" s="24" t="n">
        <v>0</v>
      </c>
      <c r="AW35" s="24" t="n">
        <v>0</v>
      </c>
      <c r="AX35" s="24" t="n">
        <v>0</v>
      </c>
      <c r="AY35" s="24" t="n">
        <v>0</v>
      </c>
    </row>
    <row r="36">
      <c r="B36" s="69" t="inlineStr">
        <is>
          <t xml:space="preserve">  Santa Barbara Start Up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>
        <v>3481</v>
      </c>
      <c r="Q36" s="70" t="n">
        <v>0</v>
      </c>
      <c r="R36" s="70" t="n">
        <v>0</v>
      </c>
      <c r="S36" s="70" t="n">
        <v>0</v>
      </c>
      <c r="T36" s="70" t="n">
        <v>0</v>
      </c>
      <c r="U36" s="24" t="n">
        <v>0</v>
      </c>
      <c r="V36" s="24" t="n">
        <v>0</v>
      </c>
      <c r="W36" s="24" t="n">
        <v>0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</row>
    <row r="37">
      <c r="B37" s="69" t="inlineStr">
        <is>
          <t xml:space="preserve">  One-Time Accounting Fees</t>
        </is>
      </c>
      <c r="D37" s="70" t="n"/>
      <c r="E37" s="70" t="n"/>
      <c r="F37" s="70" t="n"/>
      <c r="G37" s="70" t="n"/>
      <c r="H37" s="70" t="n"/>
      <c r="I37" s="70" t="n"/>
      <c r="J37" s="70" t="n"/>
      <c r="K37" s="70" t="n"/>
      <c r="L37" s="70" t="n"/>
      <c r="M37" s="70" t="n"/>
      <c r="N37" s="70" t="n"/>
      <c r="O37" s="70" t="n"/>
      <c r="P37" s="70" t="n">
        <v>19887.5</v>
      </c>
      <c r="Q37" s="70" t="n">
        <v>0</v>
      </c>
      <c r="R37" s="70" t="n">
        <v>0</v>
      </c>
      <c r="S37" s="70" t="n">
        <v>0</v>
      </c>
      <c r="T37" s="70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</v>
      </c>
      <c r="AH37" s="24" t="n">
        <v>0</v>
      </c>
      <c r="AI37" s="24" t="n">
        <v>0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</row>
    <row r="38">
      <c r="B38" s="68" t="inlineStr">
        <is>
          <t>Total Add Backs</t>
        </is>
      </c>
      <c r="D38" s="71">
        <f>SUM(D33:D37)</f>
        <v/>
      </c>
      <c r="E38" s="71">
        <f>SUM(E33:E37)</f>
        <v/>
      </c>
      <c r="F38" s="71">
        <f>SUM(F33:F37)</f>
        <v/>
      </c>
      <c r="G38" s="71">
        <f>SUM(G33:G37)</f>
        <v/>
      </c>
      <c r="H38" s="71">
        <f>SUM(H33:H37)</f>
        <v/>
      </c>
      <c r="I38" s="71">
        <f>SUM(I33:I37)</f>
        <v/>
      </c>
      <c r="J38" s="71">
        <f>SUM(J33:J37)</f>
        <v/>
      </c>
      <c r="K38" s="71">
        <f>SUM(K33:K37)</f>
        <v/>
      </c>
      <c r="L38" s="71">
        <f>SUM(L33:L37)</f>
        <v/>
      </c>
      <c r="M38" s="71">
        <f>SUM(M33:M37)</f>
        <v/>
      </c>
      <c r="N38" s="71">
        <f>SUM(N33:N37)</f>
        <v/>
      </c>
      <c r="O38" s="71">
        <f>SUM(O33:O37)</f>
        <v/>
      </c>
      <c r="P38" s="71">
        <f>SUM(P33:P37)</f>
        <v/>
      </c>
      <c r="Q38" s="71">
        <f>SUM(Q33:Q37)</f>
        <v/>
      </c>
      <c r="R38" s="71">
        <f>SUM(R33:R37)</f>
        <v/>
      </c>
      <c r="S38" s="71">
        <f>SUM(S33:S37)</f>
        <v/>
      </c>
      <c r="T38" s="71">
        <f>SUM(T33:T37)</f>
        <v/>
      </c>
      <c r="U38" s="71">
        <f>SUM(U33:U37)</f>
        <v/>
      </c>
      <c r="V38" s="71">
        <f>SUM(V33:V37)</f>
        <v/>
      </c>
      <c r="W38" s="71">
        <f>SUM(W33:W37)</f>
        <v/>
      </c>
      <c r="X38" s="71">
        <f>SUM(X33:X37)</f>
        <v/>
      </c>
      <c r="Y38" s="71">
        <f>SUM(Y33:Y37)</f>
        <v/>
      </c>
      <c r="Z38" s="71">
        <f>SUM(Z33:Z37)</f>
        <v/>
      </c>
      <c r="AA38" s="71">
        <f>SUM(AA33:AA37)</f>
        <v/>
      </c>
      <c r="AB38" s="71">
        <f>SUM(AB33:AB37)</f>
        <v/>
      </c>
      <c r="AC38" s="71">
        <f>SUM(AC33:AC37)</f>
        <v/>
      </c>
      <c r="AD38" s="71">
        <f>SUM(AD33:AD37)</f>
        <v/>
      </c>
      <c r="AE38" s="71">
        <f>SUM(AE33:AE37)</f>
        <v/>
      </c>
      <c r="AF38" s="71">
        <f>SUM(AF33:AF37)</f>
        <v/>
      </c>
      <c r="AG38" s="71">
        <f>SUM(AG33:AG37)</f>
        <v/>
      </c>
      <c r="AH38" s="71">
        <f>SUM(AH33:AH37)</f>
        <v/>
      </c>
      <c r="AI38" s="71">
        <f>SUM(AI33:AI37)</f>
        <v/>
      </c>
      <c r="AJ38" s="71">
        <f>SUM(AJ33:AJ37)</f>
        <v/>
      </c>
      <c r="AK38" s="71">
        <f>SUM(AK33:AK37)</f>
        <v/>
      </c>
      <c r="AL38" s="71">
        <f>SUM(AL33:AL37)</f>
        <v/>
      </c>
      <c r="AM38" s="71">
        <f>SUM(AM33:AM37)</f>
        <v/>
      </c>
      <c r="AN38" s="71">
        <f>SUM(AN33:AN37)</f>
        <v/>
      </c>
      <c r="AO38" s="71">
        <f>SUM(AO33:AO37)</f>
        <v/>
      </c>
      <c r="AP38" s="71">
        <f>SUM(AP33:AP37)</f>
        <v/>
      </c>
      <c r="AQ38" s="71">
        <f>SUM(AQ33:AQ37)</f>
        <v/>
      </c>
      <c r="AR38" s="71">
        <f>SUM(AR33:AR37)</f>
        <v/>
      </c>
      <c r="AS38" s="71">
        <f>SUM(AS33:AS37)</f>
        <v/>
      </c>
      <c r="AT38" s="71">
        <f>SUM(AT33:AT37)</f>
        <v/>
      </c>
      <c r="AU38" s="71">
        <f>SUM(AU33:AU37)</f>
        <v/>
      </c>
      <c r="AV38" s="71">
        <f>SUM(AV33:AV37)</f>
        <v/>
      </c>
      <c r="AW38" s="71">
        <f>SUM(AW33:AW37)</f>
        <v/>
      </c>
      <c r="AX38" s="71">
        <f>SUM(AX33:AX37)</f>
        <v/>
      </c>
      <c r="AY38" s="71">
        <f>SUM(AY33:AY37)</f>
        <v/>
      </c>
    </row>
    <row r="39">
      <c r="B39" s="68" t="inlineStr">
        <is>
          <t>Adjusted EBITDA</t>
        </is>
      </c>
      <c r="D39" s="72">
        <f>D31+D38</f>
        <v/>
      </c>
      <c r="E39" s="72">
        <f>E31+E38</f>
        <v/>
      </c>
      <c r="F39" s="72">
        <f>F31+F38</f>
        <v/>
      </c>
      <c r="G39" s="72">
        <f>G31+G38</f>
        <v/>
      </c>
      <c r="H39" s="72">
        <f>H31+H38</f>
        <v/>
      </c>
      <c r="I39" s="72">
        <f>I31+I38</f>
        <v/>
      </c>
      <c r="J39" s="72">
        <f>J31+J38</f>
        <v/>
      </c>
      <c r="K39" s="72">
        <f>K31+K38</f>
        <v/>
      </c>
      <c r="L39" s="72">
        <f>L31+L38</f>
        <v/>
      </c>
      <c r="M39" s="72">
        <f>M31+M38</f>
        <v/>
      </c>
      <c r="N39" s="72">
        <f>N31+N38</f>
        <v/>
      </c>
      <c r="O39" s="72">
        <f>O31+O38</f>
        <v/>
      </c>
      <c r="P39" s="72">
        <f>P31+P38</f>
        <v/>
      </c>
      <c r="Q39" s="72">
        <f>Q31+Q38</f>
        <v/>
      </c>
      <c r="R39" s="72">
        <f>R31+R38</f>
        <v/>
      </c>
      <c r="S39" s="72">
        <f>S31+S38</f>
        <v/>
      </c>
      <c r="T39" s="72">
        <f>T31+T38</f>
        <v/>
      </c>
      <c r="U39" s="72">
        <f>U31+U38</f>
        <v/>
      </c>
      <c r="V39" s="72">
        <f>V31+V38</f>
        <v/>
      </c>
      <c r="W39" s="72">
        <f>W31+W38</f>
        <v/>
      </c>
      <c r="X39" s="72">
        <f>X31+X38</f>
        <v/>
      </c>
      <c r="Y39" s="72">
        <f>Y31+Y38</f>
        <v/>
      </c>
      <c r="Z39" s="72">
        <f>Z31+Z38</f>
        <v/>
      </c>
      <c r="AA39" s="72">
        <f>AA31+AA38</f>
        <v/>
      </c>
      <c r="AB39" s="72">
        <f>AB31+AB38</f>
        <v/>
      </c>
      <c r="AC39" s="72">
        <f>AC31+AC38</f>
        <v/>
      </c>
      <c r="AD39" s="72">
        <f>AD31+AD38</f>
        <v/>
      </c>
      <c r="AE39" s="72">
        <f>AE31+AE38</f>
        <v/>
      </c>
      <c r="AF39" s="72">
        <f>AF31+AF38</f>
        <v/>
      </c>
      <c r="AG39" s="72">
        <f>AG31+AG38</f>
        <v/>
      </c>
      <c r="AH39" s="72">
        <f>AH31+AH38</f>
        <v/>
      </c>
      <c r="AI39" s="72">
        <f>AI31+AI38</f>
        <v/>
      </c>
      <c r="AJ39" s="72">
        <f>AJ31+AJ38</f>
        <v/>
      </c>
      <c r="AK39" s="72">
        <f>AK31+AK38</f>
        <v/>
      </c>
      <c r="AL39" s="72">
        <f>AL31+AL38</f>
        <v/>
      </c>
      <c r="AM39" s="72">
        <f>AM31+AM38</f>
        <v/>
      </c>
      <c r="AN39" s="72">
        <f>AN31+AN38</f>
        <v/>
      </c>
      <c r="AO39" s="72">
        <f>AO31+AO38</f>
        <v/>
      </c>
      <c r="AP39" s="72">
        <f>AP31+AP38</f>
        <v/>
      </c>
      <c r="AQ39" s="72">
        <f>AQ31+AQ38</f>
        <v/>
      </c>
      <c r="AR39" s="72">
        <f>AR31+AR38</f>
        <v/>
      </c>
      <c r="AS39" s="72">
        <f>AS31+AS38</f>
        <v/>
      </c>
      <c r="AT39" s="72">
        <f>AT31+AT38</f>
        <v/>
      </c>
      <c r="AU39" s="72">
        <f>AU31+AU38</f>
        <v/>
      </c>
      <c r="AV39" s="72">
        <f>AV31+AV38</f>
        <v/>
      </c>
      <c r="AW39" s="72">
        <f>AW31+AW38</f>
        <v/>
      </c>
      <c r="AX39" s="72">
        <f>AX31+AX38</f>
        <v/>
      </c>
      <c r="AY39" s="72">
        <f>AY31+AY38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70AD47"/>
    <outlinePr summaryBelow="1" summaryRight="1"/>
    <pageSetUpPr/>
  </sheetPr>
  <dimension ref="B2:AY7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ColWidth="8.796875" defaultRowHeight="14.25"/>
  <cols>
    <col hidden="1" width="2" customWidth="1" style="142" min="1" max="1"/>
    <col width="22" customWidth="1" style="142" min="2" max="2"/>
    <col width="14" customWidth="1" style="142" min="3" max="3"/>
    <col width="12" customWidth="1" style="142" min="4" max="39"/>
  </cols>
  <sheetData>
    <row r="2" ht="21" customHeight="1" s="142">
      <c r="B2" s="9" t="inlineStr">
        <is>
          <t>All Studios — Summary</t>
        </is>
      </c>
    </row>
    <row r="4">
      <c r="B4" s="12" t="inlineStr">
        <is>
          <t>Studio / Metric</t>
        </is>
      </c>
      <c r="C4" s="12" t="n"/>
      <c r="D4" s="14" t="inlineStr">
        <is>
          <t>Jan 2025</t>
        </is>
      </c>
      <c r="E4" s="14" t="inlineStr">
        <is>
          <t>Feb 2025</t>
        </is>
      </c>
      <c r="F4" s="14" t="inlineStr">
        <is>
          <t>Mar 2025</t>
        </is>
      </c>
      <c r="G4" s="14" t="inlineStr">
        <is>
          <t>Apr 2025</t>
        </is>
      </c>
      <c r="H4" s="14" t="inlineStr">
        <is>
          <t>May 2025</t>
        </is>
      </c>
      <c r="I4" s="14" t="inlineStr">
        <is>
          <t>Jun 2025</t>
        </is>
      </c>
      <c r="J4" s="14" t="inlineStr">
        <is>
          <t>Jul 2025</t>
        </is>
      </c>
      <c r="K4" s="14" t="inlineStr">
        <is>
          <t>Aug 2025</t>
        </is>
      </c>
      <c r="L4" s="14" t="inlineStr">
        <is>
          <t>Sep 2025</t>
        </is>
      </c>
      <c r="M4" s="14" t="inlineStr">
        <is>
          <t>Oct 2025</t>
        </is>
      </c>
      <c r="N4" s="14" t="inlineStr">
        <is>
          <t>Nov 2025</t>
        </is>
      </c>
      <c r="O4" s="14" t="inlineStr">
        <is>
          <t>Dec 2025</t>
        </is>
      </c>
      <c r="P4" s="14" t="inlineStr">
        <is>
          <t>Jan 2026</t>
        </is>
      </c>
      <c r="Q4" s="14" t="inlineStr">
        <is>
          <t>Feb 2026</t>
        </is>
      </c>
      <c r="R4" s="14" t="inlineStr">
        <is>
          <t>Mar 2026</t>
        </is>
      </c>
      <c r="S4" s="14" t="inlineStr">
        <is>
          <t>Apr 2026</t>
        </is>
      </c>
      <c r="T4" s="14" t="inlineStr">
        <is>
          <t>May 2026</t>
        </is>
      </c>
      <c r="U4" s="14" t="inlineStr">
        <is>
          <t>Jun 2026</t>
        </is>
      </c>
      <c r="V4" s="14" t="inlineStr">
        <is>
          <t>Jul 2026</t>
        </is>
      </c>
      <c r="W4" s="14" t="inlineStr">
        <is>
          <t>Aug 2026</t>
        </is>
      </c>
      <c r="X4" s="14" t="inlineStr">
        <is>
          <t>Sep 2026</t>
        </is>
      </c>
      <c r="Y4" s="14" t="inlineStr">
        <is>
          <t>Oct 2026</t>
        </is>
      </c>
      <c r="Z4" s="14" t="inlineStr">
        <is>
          <t>Nov 2026</t>
        </is>
      </c>
      <c r="AA4" s="14" t="inlineStr">
        <is>
          <t>Dec 2026</t>
        </is>
      </c>
      <c r="AB4" s="14" t="inlineStr">
        <is>
          <t>Jan 2027</t>
        </is>
      </c>
      <c r="AC4" s="14" t="inlineStr">
        <is>
          <t>Feb 2027</t>
        </is>
      </c>
      <c r="AD4" s="14" t="inlineStr">
        <is>
          <t>Mar 2027</t>
        </is>
      </c>
      <c r="AE4" s="14" t="inlineStr">
        <is>
          <t>Apr 2027</t>
        </is>
      </c>
      <c r="AF4" s="14" t="inlineStr">
        <is>
          <t>May 2027</t>
        </is>
      </c>
      <c r="AG4" s="14" t="inlineStr">
        <is>
          <t>Jun 2027</t>
        </is>
      </c>
      <c r="AH4" s="14" t="inlineStr">
        <is>
          <t>Jul 2027</t>
        </is>
      </c>
      <c r="AI4" s="14" t="inlineStr">
        <is>
          <t>Aug 2027</t>
        </is>
      </c>
      <c r="AJ4" s="14" t="inlineStr">
        <is>
          <t>Sep 2027</t>
        </is>
      </c>
      <c r="AK4" s="14" t="inlineStr">
        <is>
          <t>Oct 2027</t>
        </is>
      </c>
      <c r="AL4" s="14" t="inlineStr">
        <is>
          <t>Nov 2027</t>
        </is>
      </c>
      <c r="AM4" s="14" t="inlineStr">
        <is>
          <t>Dec 2027</t>
        </is>
      </c>
      <c r="AN4" s="14" t="inlineStr">
        <is>
          <t>Jan 2028</t>
        </is>
      </c>
      <c r="AO4" s="14" t="inlineStr">
        <is>
          <t>Feb 2028</t>
        </is>
      </c>
      <c r="AP4" s="14" t="inlineStr">
        <is>
          <t>Mar 2028</t>
        </is>
      </c>
      <c r="AQ4" s="14" t="inlineStr">
        <is>
          <t>Apr 2028</t>
        </is>
      </c>
      <c r="AR4" s="14" t="inlineStr">
        <is>
          <t>May 2028</t>
        </is>
      </c>
      <c r="AS4" s="14" t="inlineStr">
        <is>
          <t>Jun 2028</t>
        </is>
      </c>
      <c r="AT4" s="14" t="inlineStr">
        <is>
          <t>Jul 2028</t>
        </is>
      </c>
      <c r="AU4" s="14" t="inlineStr">
        <is>
          <t>Aug 2028</t>
        </is>
      </c>
      <c r="AV4" s="14" t="inlineStr">
        <is>
          <t>Sep 2028</t>
        </is>
      </c>
      <c r="AW4" s="14" t="inlineStr">
        <is>
          <t>Oct 2028</t>
        </is>
      </c>
      <c r="AX4" s="14" t="inlineStr">
        <is>
          <t>Nov 2028</t>
        </is>
      </c>
      <c r="AY4" s="14" t="inlineStr">
        <is>
          <t>Dec 2028</t>
        </is>
      </c>
    </row>
    <row r="5" ht="16.05" customHeight="1" s="142">
      <c r="B5" s="10" t="inlineStr">
        <is>
          <t>Berkeley (BK)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</row>
    <row r="6">
      <c r="B6" s="18" t="inlineStr">
        <is>
          <t>Total Revenue</t>
        </is>
      </c>
      <c r="D6" s="20">
        <f>'BK P&amp;L'!D21</f>
        <v/>
      </c>
      <c r="E6" s="20">
        <f>'BK P&amp;L'!E21</f>
        <v/>
      </c>
      <c r="F6" s="20">
        <f>'BK P&amp;L'!F21</f>
        <v/>
      </c>
      <c r="G6" s="20">
        <f>'BK P&amp;L'!G21</f>
        <v/>
      </c>
      <c r="H6" s="20">
        <f>'BK P&amp;L'!H21</f>
        <v/>
      </c>
      <c r="I6" s="20">
        <f>'BK P&amp;L'!I21</f>
        <v/>
      </c>
      <c r="J6" s="20">
        <f>'BK P&amp;L'!J21</f>
        <v/>
      </c>
      <c r="K6" s="20">
        <f>'BK P&amp;L'!K21</f>
        <v/>
      </c>
      <c r="L6" s="20">
        <f>'BK P&amp;L'!L21</f>
        <v/>
      </c>
      <c r="M6" s="20">
        <f>'BK P&amp;L'!M21</f>
        <v/>
      </c>
      <c r="N6" s="20">
        <f>'BK P&amp;L'!N21</f>
        <v/>
      </c>
      <c r="O6" s="20">
        <f>'BK P&amp;L'!O21</f>
        <v/>
      </c>
      <c r="P6" s="20">
        <f>'BK P&amp;L'!P21</f>
        <v/>
      </c>
      <c r="Q6" s="20">
        <f>'BK P&amp;L'!Q21</f>
        <v/>
      </c>
      <c r="R6" s="20">
        <f>'BK P&amp;L'!R21</f>
        <v/>
      </c>
      <c r="S6" s="20">
        <f>'BK P&amp;L'!S21</f>
        <v/>
      </c>
      <c r="T6" s="20">
        <f>'BK P&amp;L'!T21</f>
        <v/>
      </c>
      <c r="U6" s="20">
        <f>'BK P&amp;L'!U21</f>
        <v/>
      </c>
      <c r="V6" s="20">
        <f>'BK P&amp;L'!V21</f>
        <v/>
      </c>
      <c r="W6" s="20">
        <f>'BK P&amp;L'!W21</f>
        <v/>
      </c>
      <c r="X6" s="20">
        <f>'BK P&amp;L'!X21</f>
        <v/>
      </c>
      <c r="Y6" s="20">
        <f>'BK P&amp;L'!Y21</f>
        <v/>
      </c>
      <c r="Z6" s="20">
        <f>'BK P&amp;L'!Z21</f>
        <v/>
      </c>
      <c r="AA6" s="20">
        <f>'BK P&amp;L'!AA21</f>
        <v/>
      </c>
      <c r="AB6" s="20">
        <f>'BK P&amp;L'!AB21</f>
        <v/>
      </c>
      <c r="AC6" s="20">
        <f>'BK P&amp;L'!AC21</f>
        <v/>
      </c>
      <c r="AD6" s="20">
        <f>'BK P&amp;L'!AD21</f>
        <v/>
      </c>
      <c r="AE6" s="20">
        <f>'BK P&amp;L'!AE21</f>
        <v/>
      </c>
      <c r="AF6" s="20">
        <f>'BK P&amp;L'!AF21</f>
        <v/>
      </c>
      <c r="AG6" s="20">
        <f>'BK P&amp;L'!AG21</f>
        <v/>
      </c>
      <c r="AH6" s="20">
        <f>'BK P&amp;L'!AH21</f>
        <v/>
      </c>
      <c r="AI6" s="20">
        <f>'BK P&amp;L'!AI21</f>
        <v/>
      </c>
      <c r="AJ6" s="20">
        <f>'BK P&amp;L'!AJ21</f>
        <v/>
      </c>
      <c r="AK6" s="20">
        <f>'BK P&amp;L'!AK21</f>
        <v/>
      </c>
      <c r="AL6" s="20">
        <f>'BK P&amp;L'!AL21</f>
        <v/>
      </c>
      <c r="AM6" s="20">
        <f>'BK P&amp;L'!AM21</f>
        <v/>
      </c>
      <c r="AN6" s="20">
        <f>'BK P&amp;L'!AN21</f>
        <v/>
      </c>
      <c r="AO6" s="20">
        <f>'BK P&amp;L'!AO21</f>
        <v/>
      </c>
      <c r="AP6" s="20">
        <f>'BK P&amp;L'!AP21</f>
        <v/>
      </c>
      <c r="AQ6" s="20">
        <f>'BK P&amp;L'!AQ21</f>
        <v/>
      </c>
      <c r="AR6" s="20">
        <f>'BK P&amp;L'!AR21</f>
        <v/>
      </c>
      <c r="AS6" s="20">
        <f>'BK P&amp;L'!AS21</f>
        <v/>
      </c>
      <c r="AT6" s="20">
        <f>'BK P&amp;L'!AT21</f>
        <v/>
      </c>
      <c r="AU6" s="20">
        <f>'BK P&amp;L'!AU21</f>
        <v/>
      </c>
      <c r="AV6" s="20">
        <f>'BK P&amp;L'!AV21</f>
        <v/>
      </c>
      <c r="AW6" s="20">
        <f>'BK P&amp;L'!AW21</f>
        <v/>
      </c>
      <c r="AX6" s="20">
        <f>'BK P&amp;L'!AX21</f>
        <v/>
      </c>
      <c r="AY6" s="20">
        <f>'BK P&amp;L'!AY21</f>
        <v/>
      </c>
    </row>
    <row r="7">
      <c r="B7" s="18" t="inlineStr">
        <is>
          <t>Gross Profit</t>
        </is>
      </c>
      <c r="D7" s="20">
        <f>'BK P&amp;L'!D26</f>
        <v/>
      </c>
      <c r="E7" s="20">
        <f>'BK P&amp;L'!E26</f>
        <v/>
      </c>
      <c r="F7" s="20">
        <f>'BK P&amp;L'!F26</f>
        <v/>
      </c>
      <c r="G7" s="20">
        <f>'BK P&amp;L'!G26</f>
        <v/>
      </c>
      <c r="H7" s="20">
        <f>'BK P&amp;L'!H26</f>
        <v/>
      </c>
      <c r="I7" s="20">
        <f>'BK P&amp;L'!I26</f>
        <v/>
      </c>
      <c r="J7" s="20">
        <f>'BK P&amp;L'!J26</f>
        <v/>
      </c>
      <c r="K7" s="20">
        <f>'BK P&amp;L'!K26</f>
        <v/>
      </c>
      <c r="L7" s="20">
        <f>'BK P&amp;L'!L26</f>
        <v/>
      </c>
      <c r="M7" s="20">
        <f>'BK P&amp;L'!M26</f>
        <v/>
      </c>
      <c r="N7" s="20">
        <f>'BK P&amp;L'!N26</f>
        <v/>
      </c>
      <c r="O7" s="20">
        <f>'BK P&amp;L'!O26</f>
        <v/>
      </c>
      <c r="P7" s="20">
        <f>'BK P&amp;L'!P26</f>
        <v/>
      </c>
      <c r="Q7" s="20">
        <f>'BK P&amp;L'!Q26</f>
        <v/>
      </c>
      <c r="R7" s="20">
        <f>'BK P&amp;L'!R26</f>
        <v/>
      </c>
      <c r="S7" s="20">
        <f>'BK P&amp;L'!S26</f>
        <v/>
      </c>
      <c r="T7" s="20">
        <f>'BK P&amp;L'!T26</f>
        <v/>
      </c>
      <c r="U7" s="20">
        <f>'BK P&amp;L'!U26</f>
        <v/>
      </c>
      <c r="V7" s="20">
        <f>'BK P&amp;L'!V26</f>
        <v/>
      </c>
      <c r="W7" s="20">
        <f>'BK P&amp;L'!W26</f>
        <v/>
      </c>
      <c r="X7" s="20">
        <f>'BK P&amp;L'!X26</f>
        <v/>
      </c>
      <c r="Y7" s="20">
        <f>'BK P&amp;L'!Y26</f>
        <v/>
      </c>
      <c r="Z7" s="20">
        <f>'BK P&amp;L'!Z26</f>
        <v/>
      </c>
      <c r="AA7" s="20">
        <f>'BK P&amp;L'!AA26</f>
        <v/>
      </c>
      <c r="AB7" s="20">
        <f>'BK P&amp;L'!AB26</f>
        <v/>
      </c>
      <c r="AC7" s="20">
        <f>'BK P&amp;L'!AC26</f>
        <v/>
      </c>
      <c r="AD7" s="20">
        <f>'BK P&amp;L'!AD26</f>
        <v/>
      </c>
      <c r="AE7" s="20">
        <f>'BK P&amp;L'!AE26</f>
        <v/>
      </c>
      <c r="AF7" s="20">
        <f>'BK P&amp;L'!AF26</f>
        <v/>
      </c>
      <c r="AG7" s="20">
        <f>'BK P&amp;L'!AG26</f>
        <v/>
      </c>
      <c r="AH7" s="20">
        <f>'BK P&amp;L'!AH26</f>
        <v/>
      </c>
      <c r="AI7" s="20">
        <f>'BK P&amp;L'!AI26</f>
        <v/>
      </c>
      <c r="AJ7" s="20">
        <f>'BK P&amp;L'!AJ26</f>
        <v/>
      </c>
      <c r="AK7" s="20">
        <f>'BK P&amp;L'!AK26</f>
        <v/>
      </c>
      <c r="AL7" s="20">
        <f>'BK P&amp;L'!AL26</f>
        <v/>
      </c>
      <c r="AM7" s="20">
        <f>'BK P&amp;L'!AM26</f>
        <v/>
      </c>
      <c r="AN7" s="20">
        <f>'BK P&amp;L'!AN26</f>
        <v/>
      </c>
      <c r="AO7" s="20">
        <f>'BK P&amp;L'!AO26</f>
        <v/>
      </c>
      <c r="AP7" s="20">
        <f>'BK P&amp;L'!AP26</f>
        <v/>
      </c>
      <c r="AQ7" s="20">
        <f>'BK P&amp;L'!AQ26</f>
        <v/>
      </c>
      <c r="AR7" s="20">
        <f>'BK P&amp;L'!AR26</f>
        <v/>
      </c>
      <c r="AS7" s="20">
        <f>'BK P&amp;L'!AS26</f>
        <v/>
      </c>
      <c r="AT7" s="20">
        <f>'BK P&amp;L'!AT26</f>
        <v/>
      </c>
      <c r="AU7" s="20">
        <f>'BK P&amp;L'!AU26</f>
        <v/>
      </c>
      <c r="AV7" s="20">
        <f>'BK P&amp;L'!AV26</f>
        <v/>
      </c>
      <c r="AW7" s="20">
        <f>'BK P&amp;L'!AW26</f>
        <v/>
      </c>
      <c r="AX7" s="20">
        <f>'BK P&amp;L'!AX26</f>
        <v/>
      </c>
      <c r="AY7" s="20">
        <f>'BK P&amp;L'!AY26</f>
        <v/>
      </c>
    </row>
    <row r="8">
      <c r="B8" s="18" t="inlineStr">
        <is>
          <t>Total Operating Expenses</t>
        </is>
      </c>
      <c r="D8" s="20">
        <f>'BK P&amp;L'!D62</f>
        <v/>
      </c>
      <c r="E8" s="20">
        <f>'BK P&amp;L'!E62</f>
        <v/>
      </c>
      <c r="F8" s="20">
        <f>'BK P&amp;L'!F62</f>
        <v/>
      </c>
      <c r="G8" s="20">
        <f>'BK P&amp;L'!G62</f>
        <v/>
      </c>
      <c r="H8" s="20">
        <f>'BK P&amp;L'!H62</f>
        <v/>
      </c>
      <c r="I8" s="20">
        <f>'BK P&amp;L'!I62</f>
        <v/>
      </c>
      <c r="J8" s="20">
        <f>'BK P&amp;L'!J62</f>
        <v/>
      </c>
      <c r="K8" s="20">
        <f>'BK P&amp;L'!K62</f>
        <v/>
      </c>
      <c r="L8" s="20">
        <f>'BK P&amp;L'!L62</f>
        <v/>
      </c>
      <c r="M8" s="20">
        <f>'BK P&amp;L'!M62</f>
        <v/>
      </c>
      <c r="N8" s="20">
        <f>'BK P&amp;L'!N62</f>
        <v/>
      </c>
      <c r="O8" s="20">
        <f>'BK P&amp;L'!O62</f>
        <v/>
      </c>
      <c r="P8" s="20">
        <f>'BK P&amp;L'!P62</f>
        <v/>
      </c>
      <c r="Q8" s="20">
        <f>'BK P&amp;L'!Q62</f>
        <v/>
      </c>
      <c r="R8" s="20">
        <f>'BK P&amp;L'!R62</f>
        <v/>
      </c>
      <c r="S8" s="20">
        <f>'BK P&amp;L'!S62</f>
        <v/>
      </c>
      <c r="T8" s="20">
        <f>'BK P&amp;L'!T62</f>
        <v/>
      </c>
      <c r="U8" s="20">
        <f>'BK P&amp;L'!U62</f>
        <v/>
      </c>
      <c r="V8" s="20">
        <f>'BK P&amp;L'!V62</f>
        <v/>
      </c>
      <c r="W8" s="20">
        <f>'BK P&amp;L'!W62</f>
        <v/>
      </c>
      <c r="X8" s="20">
        <f>'BK P&amp;L'!X62</f>
        <v/>
      </c>
      <c r="Y8" s="20">
        <f>'BK P&amp;L'!Y62</f>
        <v/>
      </c>
      <c r="Z8" s="20">
        <f>'BK P&amp;L'!Z62</f>
        <v/>
      </c>
      <c r="AA8" s="20">
        <f>'BK P&amp;L'!AA62</f>
        <v/>
      </c>
      <c r="AB8" s="20">
        <f>'BK P&amp;L'!AB62</f>
        <v/>
      </c>
      <c r="AC8" s="20">
        <f>'BK P&amp;L'!AC62</f>
        <v/>
      </c>
      <c r="AD8" s="20">
        <f>'BK P&amp;L'!AD62</f>
        <v/>
      </c>
      <c r="AE8" s="20">
        <f>'BK P&amp;L'!AE62</f>
        <v/>
      </c>
      <c r="AF8" s="20">
        <f>'BK P&amp;L'!AF62</f>
        <v/>
      </c>
      <c r="AG8" s="20">
        <f>'BK P&amp;L'!AG62</f>
        <v/>
      </c>
      <c r="AH8" s="20">
        <f>'BK P&amp;L'!AH62</f>
        <v/>
      </c>
      <c r="AI8" s="20">
        <f>'BK P&amp;L'!AI62</f>
        <v/>
      </c>
      <c r="AJ8" s="20">
        <f>'BK P&amp;L'!AJ62</f>
        <v/>
      </c>
      <c r="AK8" s="20">
        <f>'BK P&amp;L'!AK62</f>
        <v/>
      </c>
      <c r="AL8" s="20">
        <f>'BK P&amp;L'!AL62</f>
        <v/>
      </c>
      <c r="AM8" s="20">
        <f>'BK P&amp;L'!AM62</f>
        <v/>
      </c>
      <c r="AN8" s="20">
        <f>'BK P&amp;L'!AN62</f>
        <v/>
      </c>
      <c r="AO8" s="20">
        <f>'BK P&amp;L'!AO62</f>
        <v/>
      </c>
      <c r="AP8" s="20">
        <f>'BK P&amp;L'!AP62</f>
        <v/>
      </c>
      <c r="AQ8" s="20">
        <f>'BK P&amp;L'!AQ62</f>
        <v/>
      </c>
      <c r="AR8" s="20">
        <f>'BK P&amp;L'!AR62</f>
        <v/>
      </c>
      <c r="AS8" s="20">
        <f>'BK P&amp;L'!AS62</f>
        <v/>
      </c>
      <c r="AT8" s="20">
        <f>'BK P&amp;L'!AT62</f>
        <v/>
      </c>
      <c r="AU8" s="20">
        <f>'BK P&amp;L'!AU62</f>
        <v/>
      </c>
      <c r="AV8" s="20">
        <f>'BK P&amp;L'!AV62</f>
        <v/>
      </c>
      <c r="AW8" s="20">
        <f>'BK P&amp;L'!AW62</f>
        <v/>
      </c>
      <c r="AX8" s="20">
        <f>'BK P&amp;L'!AX62</f>
        <v/>
      </c>
      <c r="AY8" s="20">
        <f>'BK P&amp;L'!AY62</f>
        <v/>
      </c>
    </row>
    <row r="9">
      <c r="B9" s="15" t="inlineStr">
        <is>
          <t>Net Operating Income</t>
        </is>
      </c>
      <c r="D9" s="37">
        <f>'BK P&amp;L'!D63</f>
        <v/>
      </c>
      <c r="E9" s="37">
        <f>'BK P&amp;L'!E63</f>
        <v/>
      </c>
      <c r="F9" s="37">
        <f>'BK P&amp;L'!F63</f>
        <v/>
      </c>
      <c r="G9" s="37">
        <f>'BK P&amp;L'!G63</f>
        <v/>
      </c>
      <c r="H9" s="37">
        <f>'BK P&amp;L'!H63</f>
        <v/>
      </c>
      <c r="I9" s="37">
        <f>'BK P&amp;L'!I63</f>
        <v/>
      </c>
      <c r="J9" s="37">
        <f>'BK P&amp;L'!J63</f>
        <v/>
      </c>
      <c r="K9" s="37">
        <f>'BK P&amp;L'!K63</f>
        <v/>
      </c>
      <c r="L9" s="37">
        <f>'BK P&amp;L'!L63</f>
        <v/>
      </c>
      <c r="M9" s="37">
        <f>'BK P&amp;L'!M63</f>
        <v/>
      </c>
      <c r="N9" s="37">
        <f>'BK P&amp;L'!N63</f>
        <v/>
      </c>
      <c r="O9" s="37">
        <f>'BK P&amp;L'!O63</f>
        <v/>
      </c>
      <c r="P9" s="37">
        <f>'BK P&amp;L'!P63</f>
        <v/>
      </c>
      <c r="Q9" s="37">
        <f>'BK P&amp;L'!Q63</f>
        <v/>
      </c>
      <c r="R9" s="37">
        <f>'BK P&amp;L'!R63</f>
        <v/>
      </c>
      <c r="S9" s="37">
        <f>'BK P&amp;L'!S63</f>
        <v/>
      </c>
      <c r="T9" s="37">
        <f>'BK P&amp;L'!T63</f>
        <v/>
      </c>
      <c r="U9" s="37">
        <f>'BK P&amp;L'!U63</f>
        <v/>
      </c>
      <c r="V9" s="37">
        <f>'BK P&amp;L'!V63</f>
        <v/>
      </c>
      <c r="W9" s="37">
        <f>'BK P&amp;L'!W63</f>
        <v/>
      </c>
      <c r="X9" s="37">
        <f>'BK P&amp;L'!X63</f>
        <v/>
      </c>
      <c r="Y9" s="37">
        <f>'BK P&amp;L'!Y63</f>
        <v/>
      </c>
      <c r="Z9" s="37">
        <f>'BK P&amp;L'!Z63</f>
        <v/>
      </c>
      <c r="AA9" s="37">
        <f>'BK P&amp;L'!AA63</f>
        <v/>
      </c>
      <c r="AB9" s="37">
        <f>'BK P&amp;L'!AB63</f>
        <v/>
      </c>
      <c r="AC9" s="37">
        <f>'BK P&amp;L'!AC63</f>
        <v/>
      </c>
      <c r="AD9" s="37">
        <f>'BK P&amp;L'!AD63</f>
        <v/>
      </c>
      <c r="AE9" s="37">
        <f>'BK P&amp;L'!AE63</f>
        <v/>
      </c>
      <c r="AF9" s="37">
        <f>'BK P&amp;L'!AF63</f>
        <v/>
      </c>
      <c r="AG9" s="37">
        <f>'BK P&amp;L'!AG63</f>
        <v/>
      </c>
      <c r="AH9" s="37">
        <f>'BK P&amp;L'!AH63</f>
        <v/>
      </c>
      <c r="AI9" s="37">
        <f>'BK P&amp;L'!AI63</f>
        <v/>
      </c>
      <c r="AJ9" s="37">
        <f>'BK P&amp;L'!AJ63</f>
        <v/>
      </c>
      <c r="AK9" s="37">
        <f>'BK P&amp;L'!AK63</f>
        <v/>
      </c>
      <c r="AL9" s="37">
        <f>'BK P&amp;L'!AL63</f>
        <v/>
      </c>
      <c r="AM9" s="37">
        <f>'BK P&amp;L'!AM63</f>
        <v/>
      </c>
      <c r="AN9" s="37">
        <f>'BK P&amp;L'!AN63</f>
        <v/>
      </c>
      <c r="AO9" s="37">
        <f>'BK P&amp;L'!AO63</f>
        <v/>
      </c>
      <c r="AP9" s="37">
        <f>'BK P&amp;L'!AP63</f>
        <v/>
      </c>
      <c r="AQ9" s="37">
        <f>'BK P&amp;L'!AQ63</f>
        <v/>
      </c>
      <c r="AR9" s="37">
        <f>'BK P&amp;L'!AR63</f>
        <v/>
      </c>
      <c r="AS9" s="37">
        <f>'BK P&amp;L'!AS63</f>
        <v/>
      </c>
      <c r="AT9" s="37">
        <f>'BK P&amp;L'!AT63</f>
        <v/>
      </c>
      <c r="AU9" s="37">
        <f>'BK P&amp;L'!AU63</f>
        <v/>
      </c>
      <c r="AV9" s="37">
        <f>'BK P&amp;L'!AV63</f>
        <v/>
      </c>
      <c r="AW9" s="37">
        <f>'BK P&amp;L'!AW63</f>
        <v/>
      </c>
      <c r="AX9" s="37">
        <f>'BK P&amp;L'!AX63</f>
        <v/>
      </c>
      <c r="AY9" s="37">
        <f>'BK P&amp;L'!AY63</f>
        <v/>
      </c>
    </row>
    <row r="11" ht="16.05" customHeight="1" s="142">
      <c r="B11" s="10" t="inlineStr">
        <is>
          <t>Culver City (CC)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</row>
    <row r="12">
      <c r="B12" s="18" t="inlineStr">
        <is>
          <t>Total Revenue</t>
        </is>
      </c>
      <c r="D12" s="20">
        <f>'CC P&amp;L'!D21</f>
        <v/>
      </c>
      <c r="E12" s="20">
        <f>'CC P&amp;L'!E21</f>
        <v/>
      </c>
      <c r="F12" s="20">
        <f>'CC P&amp;L'!F21</f>
        <v/>
      </c>
      <c r="G12" s="20">
        <f>'CC P&amp;L'!G21</f>
        <v/>
      </c>
      <c r="H12" s="20">
        <f>'CC P&amp;L'!H21</f>
        <v/>
      </c>
      <c r="I12" s="20">
        <f>'CC P&amp;L'!I21</f>
        <v/>
      </c>
      <c r="J12" s="20">
        <f>'CC P&amp;L'!J21</f>
        <v/>
      </c>
      <c r="K12" s="20">
        <f>'CC P&amp;L'!K21</f>
        <v/>
      </c>
      <c r="L12" s="20">
        <f>'CC P&amp;L'!L21</f>
        <v/>
      </c>
      <c r="M12" s="20">
        <f>'CC P&amp;L'!M21</f>
        <v/>
      </c>
      <c r="N12" s="20">
        <f>'CC P&amp;L'!N21</f>
        <v/>
      </c>
      <c r="O12" s="20">
        <f>'CC P&amp;L'!O21</f>
        <v/>
      </c>
      <c r="P12" s="20">
        <f>'CC P&amp;L'!P21</f>
        <v/>
      </c>
      <c r="Q12" s="20">
        <f>'CC P&amp;L'!Q21</f>
        <v/>
      </c>
      <c r="R12" s="20">
        <f>'CC P&amp;L'!R21</f>
        <v/>
      </c>
      <c r="S12" s="20">
        <f>'CC P&amp;L'!S21</f>
        <v/>
      </c>
      <c r="T12" s="20">
        <f>'CC P&amp;L'!T21</f>
        <v/>
      </c>
      <c r="U12" s="20">
        <f>'CC P&amp;L'!U21</f>
        <v/>
      </c>
      <c r="V12" s="20">
        <f>'CC P&amp;L'!V21</f>
        <v/>
      </c>
      <c r="W12" s="20">
        <f>'CC P&amp;L'!W21</f>
        <v/>
      </c>
      <c r="X12" s="20">
        <f>'CC P&amp;L'!X21</f>
        <v/>
      </c>
      <c r="Y12" s="20">
        <f>'CC P&amp;L'!Y21</f>
        <v/>
      </c>
      <c r="Z12" s="20">
        <f>'CC P&amp;L'!Z21</f>
        <v/>
      </c>
      <c r="AA12" s="20">
        <f>'CC P&amp;L'!AA21</f>
        <v/>
      </c>
      <c r="AB12" s="20">
        <f>'CC P&amp;L'!AB21</f>
        <v/>
      </c>
      <c r="AC12" s="20">
        <f>'CC P&amp;L'!AC21</f>
        <v/>
      </c>
      <c r="AD12" s="20">
        <f>'CC P&amp;L'!AD21</f>
        <v/>
      </c>
      <c r="AE12" s="20">
        <f>'CC P&amp;L'!AE21</f>
        <v/>
      </c>
      <c r="AF12" s="20">
        <f>'CC P&amp;L'!AF21</f>
        <v/>
      </c>
      <c r="AG12" s="20">
        <f>'CC P&amp;L'!AG21</f>
        <v/>
      </c>
      <c r="AH12" s="20">
        <f>'CC P&amp;L'!AH21</f>
        <v/>
      </c>
      <c r="AI12" s="20">
        <f>'CC P&amp;L'!AI21</f>
        <v/>
      </c>
      <c r="AJ12" s="20">
        <f>'CC P&amp;L'!AJ21</f>
        <v/>
      </c>
      <c r="AK12" s="20">
        <f>'CC P&amp;L'!AK21</f>
        <v/>
      </c>
      <c r="AL12" s="20">
        <f>'CC P&amp;L'!AL21</f>
        <v/>
      </c>
      <c r="AM12" s="20">
        <f>'CC P&amp;L'!AM21</f>
        <v/>
      </c>
      <c r="AN12" s="20">
        <f>'CC P&amp;L'!AN21</f>
        <v/>
      </c>
      <c r="AO12" s="20">
        <f>'CC P&amp;L'!AO21</f>
        <v/>
      </c>
      <c r="AP12" s="20">
        <f>'CC P&amp;L'!AP21</f>
        <v/>
      </c>
      <c r="AQ12" s="20">
        <f>'CC P&amp;L'!AQ21</f>
        <v/>
      </c>
      <c r="AR12" s="20">
        <f>'CC P&amp;L'!AR21</f>
        <v/>
      </c>
      <c r="AS12" s="20">
        <f>'CC P&amp;L'!AS21</f>
        <v/>
      </c>
      <c r="AT12" s="20">
        <f>'CC P&amp;L'!AT21</f>
        <v/>
      </c>
      <c r="AU12" s="20">
        <f>'CC P&amp;L'!AU21</f>
        <v/>
      </c>
      <c r="AV12" s="20">
        <f>'CC P&amp;L'!AV21</f>
        <v/>
      </c>
      <c r="AW12" s="20">
        <f>'CC P&amp;L'!AW21</f>
        <v/>
      </c>
      <c r="AX12" s="20">
        <f>'CC P&amp;L'!AX21</f>
        <v/>
      </c>
      <c r="AY12" s="20">
        <f>'CC P&amp;L'!AY21</f>
        <v/>
      </c>
    </row>
    <row r="13">
      <c r="B13" s="18" t="inlineStr">
        <is>
          <t>Gross Profit</t>
        </is>
      </c>
      <c r="D13" s="20">
        <f>'CC P&amp;L'!D26</f>
        <v/>
      </c>
      <c r="E13" s="20">
        <f>'CC P&amp;L'!E26</f>
        <v/>
      </c>
      <c r="F13" s="20">
        <f>'CC P&amp;L'!F26</f>
        <v/>
      </c>
      <c r="G13" s="20">
        <f>'CC P&amp;L'!G26</f>
        <v/>
      </c>
      <c r="H13" s="20">
        <f>'CC P&amp;L'!H26</f>
        <v/>
      </c>
      <c r="I13" s="20">
        <f>'CC P&amp;L'!I26</f>
        <v/>
      </c>
      <c r="J13" s="20">
        <f>'CC P&amp;L'!J26</f>
        <v/>
      </c>
      <c r="K13" s="20">
        <f>'CC P&amp;L'!K26</f>
        <v/>
      </c>
      <c r="L13" s="20">
        <f>'CC P&amp;L'!L26</f>
        <v/>
      </c>
      <c r="M13" s="20">
        <f>'CC P&amp;L'!M26</f>
        <v/>
      </c>
      <c r="N13" s="20">
        <f>'CC P&amp;L'!N26</f>
        <v/>
      </c>
      <c r="O13" s="20">
        <f>'CC P&amp;L'!O26</f>
        <v/>
      </c>
      <c r="P13" s="20">
        <f>'CC P&amp;L'!P26</f>
        <v/>
      </c>
      <c r="Q13" s="20">
        <f>'CC P&amp;L'!Q26</f>
        <v/>
      </c>
      <c r="R13" s="20">
        <f>'CC P&amp;L'!R26</f>
        <v/>
      </c>
      <c r="S13" s="20">
        <f>'CC P&amp;L'!S26</f>
        <v/>
      </c>
      <c r="T13" s="20">
        <f>'CC P&amp;L'!T26</f>
        <v/>
      </c>
      <c r="U13" s="20">
        <f>'CC P&amp;L'!U26</f>
        <v/>
      </c>
      <c r="V13" s="20">
        <f>'CC P&amp;L'!V26</f>
        <v/>
      </c>
      <c r="W13" s="20">
        <f>'CC P&amp;L'!W26</f>
        <v/>
      </c>
      <c r="X13" s="20">
        <f>'CC P&amp;L'!X26</f>
        <v/>
      </c>
      <c r="Y13" s="20">
        <f>'CC P&amp;L'!Y26</f>
        <v/>
      </c>
      <c r="Z13" s="20">
        <f>'CC P&amp;L'!Z26</f>
        <v/>
      </c>
      <c r="AA13" s="20">
        <f>'CC P&amp;L'!AA26</f>
        <v/>
      </c>
      <c r="AB13" s="20">
        <f>'CC P&amp;L'!AB26</f>
        <v/>
      </c>
      <c r="AC13" s="20">
        <f>'CC P&amp;L'!AC26</f>
        <v/>
      </c>
      <c r="AD13" s="20">
        <f>'CC P&amp;L'!AD26</f>
        <v/>
      </c>
      <c r="AE13" s="20">
        <f>'CC P&amp;L'!AE26</f>
        <v/>
      </c>
      <c r="AF13" s="20">
        <f>'CC P&amp;L'!AF26</f>
        <v/>
      </c>
      <c r="AG13" s="20">
        <f>'CC P&amp;L'!AG26</f>
        <v/>
      </c>
      <c r="AH13" s="20">
        <f>'CC P&amp;L'!AH26</f>
        <v/>
      </c>
      <c r="AI13" s="20">
        <f>'CC P&amp;L'!AI26</f>
        <v/>
      </c>
      <c r="AJ13" s="20">
        <f>'CC P&amp;L'!AJ26</f>
        <v/>
      </c>
      <c r="AK13" s="20">
        <f>'CC P&amp;L'!AK26</f>
        <v/>
      </c>
      <c r="AL13" s="20">
        <f>'CC P&amp;L'!AL26</f>
        <v/>
      </c>
      <c r="AM13" s="20">
        <f>'CC P&amp;L'!AM26</f>
        <v/>
      </c>
      <c r="AN13" s="20">
        <f>'CC P&amp;L'!AN26</f>
        <v/>
      </c>
      <c r="AO13" s="20">
        <f>'CC P&amp;L'!AO26</f>
        <v/>
      </c>
      <c r="AP13" s="20">
        <f>'CC P&amp;L'!AP26</f>
        <v/>
      </c>
      <c r="AQ13" s="20">
        <f>'CC P&amp;L'!AQ26</f>
        <v/>
      </c>
      <c r="AR13" s="20">
        <f>'CC P&amp;L'!AR26</f>
        <v/>
      </c>
      <c r="AS13" s="20">
        <f>'CC P&amp;L'!AS26</f>
        <v/>
      </c>
      <c r="AT13" s="20">
        <f>'CC P&amp;L'!AT26</f>
        <v/>
      </c>
      <c r="AU13" s="20">
        <f>'CC P&amp;L'!AU26</f>
        <v/>
      </c>
      <c r="AV13" s="20">
        <f>'CC P&amp;L'!AV26</f>
        <v/>
      </c>
      <c r="AW13" s="20">
        <f>'CC P&amp;L'!AW26</f>
        <v/>
      </c>
      <c r="AX13" s="20">
        <f>'CC P&amp;L'!AX26</f>
        <v/>
      </c>
      <c r="AY13" s="20">
        <f>'CC P&amp;L'!AY26</f>
        <v/>
      </c>
    </row>
    <row r="14">
      <c r="B14" s="18" t="inlineStr">
        <is>
          <t>Total Operating Expenses</t>
        </is>
      </c>
      <c r="D14" s="20">
        <f>'CC P&amp;L'!D62</f>
        <v/>
      </c>
      <c r="E14" s="20">
        <f>'CC P&amp;L'!E62</f>
        <v/>
      </c>
      <c r="F14" s="20">
        <f>'CC P&amp;L'!F62</f>
        <v/>
      </c>
      <c r="G14" s="20">
        <f>'CC P&amp;L'!G62</f>
        <v/>
      </c>
      <c r="H14" s="20">
        <f>'CC P&amp;L'!H62</f>
        <v/>
      </c>
      <c r="I14" s="20">
        <f>'CC P&amp;L'!I62</f>
        <v/>
      </c>
      <c r="J14" s="20">
        <f>'CC P&amp;L'!J62</f>
        <v/>
      </c>
      <c r="K14" s="20">
        <f>'CC P&amp;L'!K62</f>
        <v/>
      </c>
      <c r="L14" s="20">
        <f>'CC P&amp;L'!L62</f>
        <v/>
      </c>
      <c r="M14" s="20">
        <f>'CC P&amp;L'!M62</f>
        <v/>
      </c>
      <c r="N14" s="20">
        <f>'CC P&amp;L'!N62</f>
        <v/>
      </c>
      <c r="O14" s="20">
        <f>'CC P&amp;L'!O62</f>
        <v/>
      </c>
      <c r="P14" s="20">
        <f>'CC P&amp;L'!P62</f>
        <v/>
      </c>
      <c r="Q14" s="20">
        <f>'CC P&amp;L'!Q62</f>
        <v/>
      </c>
      <c r="R14" s="20">
        <f>'CC P&amp;L'!R62</f>
        <v/>
      </c>
      <c r="S14" s="20">
        <f>'CC P&amp;L'!S62</f>
        <v/>
      </c>
      <c r="T14" s="20">
        <f>'CC P&amp;L'!T62</f>
        <v/>
      </c>
      <c r="U14" s="20">
        <f>'CC P&amp;L'!U62</f>
        <v/>
      </c>
      <c r="V14" s="20">
        <f>'CC P&amp;L'!V62</f>
        <v/>
      </c>
      <c r="W14" s="20">
        <f>'CC P&amp;L'!W62</f>
        <v/>
      </c>
      <c r="X14" s="20">
        <f>'CC P&amp;L'!X62</f>
        <v/>
      </c>
      <c r="Y14" s="20">
        <f>'CC P&amp;L'!Y62</f>
        <v/>
      </c>
      <c r="Z14" s="20">
        <f>'CC P&amp;L'!Z62</f>
        <v/>
      </c>
      <c r="AA14" s="20">
        <f>'CC P&amp;L'!AA62</f>
        <v/>
      </c>
      <c r="AB14" s="20">
        <f>'CC P&amp;L'!AB62</f>
        <v/>
      </c>
      <c r="AC14" s="20">
        <f>'CC P&amp;L'!AC62</f>
        <v/>
      </c>
      <c r="AD14" s="20">
        <f>'CC P&amp;L'!AD62</f>
        <v/>
      </c>
      <c r="AE14" s="20">
        <f>'CC P&amp;L'!AE62</f>
        <v/>
      </c>
      <c r="AF14" s="20">
        <f>'CC P&amp;L'!AF62</f>
        <v/>
      </c>
      <c r="AG14" s="20">
        <f>'CC P&amp;L'!AG62</f>
        <v/>
      </c>
      <c r="AH14" s="20">
        <f>'CC P&amp;L'!AH62</f>
        <v/>
      </c>
      <c r="AI14" s="20">
        <f>'CC P&amp;L'!AI62</f>
        <v/>
      </c>
      <c r="AJ14" s="20">
        <f>'CC P&amp;L'!AJ62</f>
        <v/>
      </c>
      <c r="AK14" s="20">
        <f>'CC P&amp;L'!AK62</f>
        <v/>
      </c>
      <c r="AL14" s="20">
        <f>'CC P&amp;L'!AL62</f>
        <v/>
      </c>
      <c r="AM14" s="20">
        <f>'CC P&amp;L'!AM62</f>
        <v/>
      </c>
      <c r="AN14" s="20">
        <f>'CC P&amp;L'!AN62</f>
        <v/>
      </c>
      <c r="AO14" s="20">
        <f>'CC P&amp;L'!AO62</f>
        <v/>
      </c>
      <c r="AP14" s="20">
        <f>'CC P&amp;L'!AP62</f>
        <v/>
      </c>
      <c r="AQ14" s="20">
        <f>'CC P&amp;L'!AQ62</f>
        <v/>
      </c>
      <c r="AR14" s="20">
        <f>'CC P&amp;L'!AR62</f>
        <v/>
      </c>
      <c r="AS14" s="20">
        <f>'CC P&amp;L'!AS62</f>
        <v/>
      </c>
      <c r="AT14" s="20">
        <f>'CC P&amp;L'!AT62</f>
        <v/>
      </c>
      <c r="AU14" s="20">
        <f>'CC P&amp;L'!AU62</f>
        <v/>
      </c>
      <c r="AV14" s="20">
        <f>'CC P&amp;L'!AV62</f>
        <v/>
      </c>
      <c r="AW14" s="20">
        <f>'CC P&amp;L'!AW62</f>
        <v/>
      </c>
      <c r="AX14" s="20">
        <f>'CC P&amp;L'!AX62</f>
        <v/>
      </c>
      <c r="AY14" s="20">
        <f>'CC P&amp;L'!AY62</f>
        <v/>
      </c>
    </row>
    <row r="15">
      <c r="B15" s="15" t="inlineStr">
        <is>
          <t>Net Operating Income</t>
        </is>
      </c>
      <c r="D15" s="37">
        <f>'CC P&amp;L'!D63</f>
        <v/>
      </c>
      <c r="E15" s="37">
        <f>'CC P&amp;L'!E63</f>
        <v/>
      </c>
      <c r="F15" s="37">
        <f>'CC P&amp;L'!F63</f>
        <v/>
      </c>
      <c r="G15" s="37">
        <f>'CC P&amp;L'!G63</f>
        <v/>
      </c>
      <c r="H15" s="37">
        <f>'CC P&amp;L'!H63</f>
        <v/>
      </c>
      <c r="I15" s="37">
        <f>'CC P&amp;L'!I63</f>
        <v/>
      </c>
      <c r="J15" s="37">
        <f>'CC P&amp;L'!J63</f>
        <v/>
      </c>
      <c r="K15" s="37">
        <f>'CC P&amp;L'!K63</f>
        <v/>
      </c>
      <c r="L15" s="37">
        <f>'CC P&amp;L'!L63</f>
        <v/>
      </c>
      <c r="M15" s="37">
        <f>'CC P&amp;L'!M63</f>
        <v/>
      </c>
      <c r="N15" s="37">
        <f>'CC P&amp;L'!N63</f>
        <v/>
      </c>
      <c r="O15" s="37">
        <f>'CC P&amp;L'!O63</f>
        <v/>
      </c>
      <c r="P15" s="37">
        <f>'CC P&amp;L'!P63</f>
        <v/>
      </c>
      <c r="Q15" s="37">
        <f>'CC P&amp;L'!Q63</f>
        <v/>
      </c>
      <c r="R15" s="37">
        <f>'CC P&amp;L'!R63</f>
        <v/>
      </c>
      <c r="S15" s="37">
        <f>'CC P&amp;L'!S63</f>
        <v/>
      </c>
      <c r="T15" s="37">
        <f>'CC P&amp;L'!T63</f>
        <v/>
      </c>
      <c r="U15" s="37">
        <f>'CC P&amp;L'!U63</f>
        <v/>
      </c>
      <c r="V15" s="37">
        <f>'CC P&amp;L'!V63</f>
        <v/>
      </c>
      <c r="W15" s="37">
        <f>'CC P&amp;L'!W63</f>
        <v/>
      </c>
      <c r="X15" s="37">
        <f>'CC P&amp;L'!X63</f>
        <v/>
      </c>
      <c r="Y15" s="37">
        <f>'CC P&amp;L'!Y63</f>
        <v/>
      </c>
      <c r="Z15" s="37">
        <f>'CC P&amp;L'!Z63</f>
        <v/>
      </c>
      <c r="AA15" s="37">
        <f>'CC P&amp;L'!AA63</f>
        <v/>
      </c>
      <c r="AB15" s="37">
        <f>'CC P&amp;L'!AB63</f>
        <v/>
      </c>
      <c r="AC15" s="37">
        <f>'CC P&amp;L'!AC63</f>
        <v/>
      </c>
      <c r="AD15" s="37">
        <f>'CC P&amp;L'!AD63</f>
        <v/>
      </c>
      <c r="AE15" s="37">
        <f>'CC P&amp;L'!AE63</f>
        <v/>
      </c>
      <c r="AF15" s="37">
        <f>'CC P&amp;L'!AF63</f>
        <v/>
      </c>
      <c r="AG15" s="37">
        <f>'CC P&amp;L'!AG63</f>
        <v/>
      </c>
      <c r="AH15" s="37">
        <f>'CC P&amp;L'!AH63</f>
        <v/>
      </c>
      <c r="AI15" s="37">
        <f>'CC P&amp;L'!AI63</f>
        <v/>
      </c>
      <c r="AJ15" s="37">
        <f>'CC P&amp;L'!AJ63</f>
        <v/>
      </c>
      <c r="AK15" s="37">
        <f>'CC P&amp;L'!AK63</f>
        <v/>
      </c>
      <c r="AL15" s="37">
        <f>'CC P&amp;L'!AL63</f>
        <v/>
      </c>
      <c r="AM15" s="37">
        <f>'CC P&amp;L'!AM63</f>
        <v/>
      </c>
      <c r="AN15" s="37">
        <f>'CC P&amp;L'!AN63</f>
        <v/>
      </c>
      <c r="AO15" s="37">
        <f>'CC P&amp;L'!AO63</f>
        <v/>
      </c>
      <c r="AP15" s="37">
        <f>'CC P&amp;L'!AP63</f>
        <v/>
      </c>
      <c r="AQ15" s="37">
        <f>'CC P&amp;L'!AQ63</f>
        <v/>
      </c>
      <c r="AR15" s="37">
        <f>'CC P&amp;L'!AR63</f>
        <v/>
      </c>
      <c r="AS15" s="37">
        <f>'CC P&amp;L'!AS63</f>
        <v/>
      </c>
      <c r="AT15" s="37">
        <f>'CC P&amp;L'!AT63</f>
        <v/>
      </c>
      <c r="AU15" s="37">
        <f>'CC P&amp;L'!AU63</f>
        <v/>
      </c>
      <c r="AV15" s="37">
        <f>'CC P&amp;L'!AV63</f>
        <v/>
      </c>
      <c r="AW15" s="37">
        <f>'CC P&amp;L'!AW63</f>
        <v/>
      </c>
      <c r="AX15" s="37">
        <f>'CC P&amp;L'!AX63</f>
        <v/>
      </c>
      <c r="AY15" s="37">
        <f>'CC P&amp;L'!AY63</f>
        <v/>
      </c>
    </row>
    <row r="17" ht="16.05" customHeight="1" s="142">
      <c r="B17" s="10" t="inlineStr">
        <is>
          <t>Danville (DN)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</row>
    <row r="18">
      <c r="B18" s="18" t="inlineStr">
        <is>
          <t>Total Revenue</t>
        </is>
      </c>
      <c r="D18" s="20">
        <f>'DN P&amp;L'!D21</f>
        <v/>
      </c>
      <c r="E18" s="20">
        <f>'DN P&amp;L'!E21</f>
        <v/>
      </c>
      <c r="F18" s="20">
        <f>'DN P&amp;L'!F21</f>
        <v/>
      </c>
      <c r="G18" s="20">
        <f>'DN P&amp;L'!G21</f>
        <v/>
      </c>
      <c r="H18" s="20">
        <f>'DN P&amp;L'!H21</f>
        <v/>
      </c>
      <c r="I18" s="20">
        <f>'DN P&amp;L'!I21</f>
        <v/>
      </c>
      <c r="J18" s="20">
        <f>'DN P&amp;L'!J21</f>
        <v/>
      </c>
      <c r="K18" s="20">
        <f>'DN P&amp;L'!K21</f>
        <v/>
      </c>
      <c r="L18" s="20">
        <f>'DN P&amp;L'!L21</f>
        <v/>
      </c>
      <c r="M18" s="20">
        <f>'DN P&amp;L'!M21</f>
        <v/>
      </c>
      <c r="N18" s="20">
        <f>'DN P&amp;L'!N21</f>
        <v/>
      </c>
      <c r="O18" s="20">
        <f>'DN P&amp;L'!O21</f>
        <v/>
      </c>
      <c r="P18" s="20">
        <f>'DN P&amp;L'!P21</f>
        <v/>
      </c>
      <c r="Q18" s="20">
        <f>'DN P&amp;L'!Q21</f>
        <v/>
      </c>
      <c r="R18" s="20">
        <f>'DN P&amp;L'!R21</f>
        <v/>
      </c>
      <c r="S18" s="20">
        <f>'DN P&amp;L'!S21</f>
        <v/>
      </c>
      <c r="T18" s="20">
        <f>'DN P&amp;L'!T21</f>
        <v/>
      </c>
      <c r="U18" s="20">
        <f>'DN P&amp;L'!U21</f>
        <v/>
      </c>
      <c r="V18" s="20">
        <f>'DN P&amp;L'!V21</f>
        <v/>
      </c>
      <c r="W18" s="20">
        <f>'DN P&amp;L'!W21</f>
        <v/>
      </c>
      <c r="X18" s="20">
        <f>'DN P&amp;L'!X21</f>
        <v/>
      </c>
      <c r="Y18" s="20">
        <f>'DN P&amp;L'!Y21</f>
        <v/>
      </c>
      <c r="Z18" s="20">
        <f>'DN P&amp;L'!Z21</f>
        <v/>
      </c>
      <c r="AA18" s="20">
        <f>'DN P&amp;L'!AA21</f>
        <v/>
      </c>
      <c r="AB18" s="20">
        <f>'DN P&amp;L'!AB21</f>
        <v/>
      </c>
      <c r="AC18" s="20">
        <f>'DN P&amp;L'!AC21</f>
        <v/>
      </c>
      <c r="AD18" s="20">
        <f>'DN P&amp;L'!AD21</f>
        <v/>
      </c>
      <c r="AE18" s="20">
        <f>'DN P&amp;L'!AE21</f>
        <v/>
      </c>
      <c r="AF18" s="20">
        <f>'DN P&amp;L'!AF21</f>
        <v/>
      </c>
      <c r="AG18" s="20">
        <f>'DN P&amp;L'!AG21</f>
        <v/>
      </c>
      <c r="AH18" s="20">
        <f>'DN P&amp;L'!AH21</f>
        <v/>
      </c>
      <c r="AI18" s="20">
        <f>'DN P&amp;L'!AI21</f>
        <v/>
      </c>
      <c r="AJ18" s="20">
        <f>'DN P&amp;L'!AJ21</f>
        <v/>
      </c>
      <c r="AK18" s="20">
        <f>'DN P&amp;L'!AK21</f>
        <v/>
      </c>
      <c r="AL18" s="20">
        <f>'DN P&amp;L'!AL21</f>
        <v/>
      </c>
      <c r="AM18" s="20">
        <f>'DN P&amp;L'!AM21</f>
        <v/>
      </c>
      <c r="AN18" s="20">
        <f>'DN P&amp;L'!AN21</f>
        <v/>
      </c>
      <c r="AO18" s="20">
        <f>'DN P&amp;L'!AO21</f>
        <v/>
      </c>
      <c r="AP18" s="20">
        <f>'DN P&amp;L'!AP21</f>
        <v/>
      </c>
      <c r="AQ18" s="20">
        <f>'DN P&amp;L'!AQ21</f>
        <v/>
      </c>
      <c r="AR18" s="20">
        <f>'DN P&amp;L'!AR21</f>
        <v/>
      </c>
      <c r="AS18" s="20">
        <f>'DN P&amp;L'!AS21</f>
        <v/>
      </c>
      <c r="AT18" s="20">
        <f>'DN P&amp;L'!AT21</f>
        <v/>
      </c>
      <c r="AU18" s="20">
        <f>'DN P&amp;L'!AU21</f>
        <v/>
      </c>
      <c r="AV18" s="20">
        <f>'DN P&amp;L'!AV21</f>
        <v/>
      </c>
      <c r="AW18" s="20">
        <f>'DN P&amp;L'!AW21</f>
        <v/>
      </c>
      <c r="AX18" s="20">
        <f>'DN P&amp;L'!AX21</f>
        <v/>
      </c>
      <c r="AY18" s="20">
        <f>'DN P&amp;L'!AY21</f>
        <v/>
      </c>
    </row>
    <row r="19">
      <c r="B19" s="18" t="inlineStr">
        <is>
          <t>Gross Profit</t>
        </is>
      </c>
      <c r="D19" s="20">
        <f>'DN P&amp;L'!D26</f>
        <v/>
      </c>
      <c r="E19" s="20">
        <f>'DN P&amp;L'!E26</f>
        <v/>
      </c>
      <c r="F19" s="20">
        <f>'DN P&amp;L'!F26</f>
        <v/>
      </c>
      <c r="G19" s="20">
        <f>'DN P&amp;L'!G26</f>
        <v/>
      </c>
      <c r="H19" s="20">
        <f>'DN P&amp;L'!H26</f>
        <v/>
      </c>
      <c r="I19" s="20">
        <f>'DN P&amp;L'!I26</f>
        <v/>
      </c>
      <c r="J19" s="20">
        <f>'DN P&amp;L'!J26</f>
        <v/>
      </c>
      <c r="K19" s="20">
        <f>'DN P&amp;L'!K26</f>
        <v/>
      </c>
      <c r="L19" s="20">
        <f>'DN P&amp;L'!L26</f>
        <v/>
      </c>
      <c r="M19" s="20">
        <f>'DN P&amp;L'!M26</f>
        <v/>
      </c>
      <c r="N19" s="20">
        <f>'DN P&amp;L'!N26</f>
        <v/>
      </c>
      <c r="O19" s="20">
        <f>'DN P&amp;L'!O26</f>
        <v/>
      </c>
      <c r="P19" s="20">
        <f>'DN P&amp;L'!P26</f>
        <v/>
      </c>
      <c r="Q19" s="20">
        <f>'DN P&amp;L'!Q26</f>
        <v/>
      </c>
      <c r="R19" s="20">
        <f>'DN P&amp;L'!R26</f>
        <v/>
      </c>
      <c r="S19" s="20">
        <f>'DN P&amp;L'!S26</f>
        <v/>
      </c>
      <c r="T19" s="20">
        <f>'DN P&amp;L'!T26</f>
        <v/>
      </c>
      <c r="U19" s="20">
        <f>'DN P&amp;L'!U26</f>
        <v/>
      </c>
      <c r="V19" s="20">
        <f>'DN P&amp;L'!V26</f>
        <v/>
      </c>
      <c r="W19" s="20">
        <f>'DN P&amp;L'!W26</f>
        <v/>
      </c>
      <c r="X19" s="20">
        <f>'DN P&amp;L'!X26</f>
        <v/>
      </c>
      <c r="Y19" s="20">
        <f>'DN P&amp;L'!Y26</f>
        <v/>
      </c>
      <c r="Z19" s="20">
        <f>'DN P&amp;L'!Z26</f>
        <v/>
      </c>
      <c r="AA19" s="20">
        <f>'DN P&amp;L'!AA26</f>
        <v/>
      </c>
      <c r="AB19" s="20">
        <f>'DN P&amp;L'!AB26</f>
        <v/>
      </c>
      <c r="AC19" s="20">
        <f>'DN P&amp;L'!AC26</f>
        <v/>
      </c>
      <c r="AD19" s="20">
        <f>'DN P&amp;L'!AD26</f>
        <v/>
      </c>
      <c r="AE19" s="20">
        <f>'DN P&amp;L'!AE26</f>
        <v/>
      </c>
      <c r="AF19" s="20">
        <f>'DN P&amp;L'!AF26</f>
        <v/>
      </c>
      <c r="AG19" s="20">
        <f>'DN P&amp;L'!AG26</f>
        <v/>
      </c>
      <c r="AH19" s="20">
        <f>'DN P&amp;L'!AH26</f>
        <v/>
      </c>
      <c r="AI19" s="20">
        <f>'DN P&amp;L'!AI26</f>
        <v/>
      </c>
      <c r="AJ19" s="20">
        <f>'DN P&amp;L'!AJ26</f>
        <v/>
      </c>
      <c r="AK19" s="20">
        <f>'DN P&amp;L'!AK26</f>
        <v/>
      </c>
      <c r="AL19" s="20">
        <f>'DN P&amp;L'!AL26</f>
        <v/>
      </c>
      <c r="AM19" s="20">
        <f>'DN P&amp;L'!AM26</f>
        <v/>
      </c>
      <c r="AN19" s="20">
        <f>'DN P&amp;L'!AN26</f>
        <v/>
      </c>
      <c r="AO19" s="20">
        <f>'DN P&amp;L'!AO26</f>
        <v/>
      </c>
      <c r="AP19" s="20">
        <f>'DN P&amp;L'!AP26</f>
        <v/>
      </c>
      <c r="AQ19" s="20">
        <f>'DN P&amp;L'!AQ26</f>
        <v/>
      </c>
      <c r="AR19" s="20">
        <f>'DN P&amp;L'!AR26</f>
        <v/>
      </c>
      <c r="AS19" s="20">
        <f>'DN P&amp;L'!AS26</f>
        <v/>
      </c>
      <c r="AT19" s="20">
        <f>'DN P&amp;L'!AT26</f>
        <v/>
      </c>
      <c r="AU19" s="20">
        <f>'DN P&amp;L'!AU26</f>
        <v/>
      </c>
      <c r="AV19" s="20">
        <f>'DN P&amp;L'!AV26</f>
        <v/>
      </c>
      <c r="AW19" s="20">
        <f>'DN P&amp;L'!AW26</f>
        <v/>
      </c>
      <c r="AX19" s="20">
        <f>'DN P&amp;L'!AX26</f>
        <v/>
      </c>
      <c r="AY19" s="20">
        <f>'DN P&amp;L'!AY26</f>
        <v/>
      </c>
    </row>
    <row r="20">
      <c r="B20" s="18" t="inlineStr">
        <is>
          <t>Total Operating Expenses</t>
        </is>
      </c>
      <c r="D20" s="20">
        <f>'DN P&amp;L'!D62</f>
        <v/>
      </c>
      <c r="E20" s="20">
        <f>'DN P&amp;L'!E62</f>
        <v/>
      </c>
      <c r="F20" s="20">
        <f>'DN P&amp;L'!F62</f>
        <v/>
      </c>
      <c r="G20" s="20">
        <f>'DN P&amp;L'!G62</f>
        <v/>
      </c>
      <c r="H20" s="20">
        <f>'DN P&amp;L'!H62</f>
        <v/>
      </c>
      <c r="I20" s="20">
        <f>'DN P&amp;L'!I62</f>
        <v/>
      </c>
      <c r="J20" s="20">
        <f>'DN P&amp;L'!J62</f>
        <v/>
      </c>
      <c r="K20" s="20">
        <f>'DN P&amp;L'!K62</f>
        <v/>
      </c>
      <c r="L20" s="20">
        <f>'DN P&amp;L'!L62</f>
        <v/>
      </c>
      <c r="M20" s="20">
        <f>'DN P&amp;L'!M62</f>
        <v/>
      </c>
      <c r="N20" s="20">
        <f>'DN P&amp;L'!N62</f>
        <v/>
      </c>
      <c r="O20" s="20">
        <f>'DN P&amp;L'!O62</f>
        <v/>
      </c>
      <c r="P20" s="20">
        <f>'DN P&amp;L'!P62</f>
        <v/>
      </c>
      <c r="Q20" s="20">
        <f>'DN P&amp;L'!Q62</f>
        <v/>
      </c>
      <c r="R20" s="20">
        <f>'DN P&amp;L'!R62</f>
        <v/>
      </c>
      <c r="S20" s="20">
        <f>'DN P&amp;L'!S62</f>
        <v/>
      </c>
      <c r="T20" s="20">
        <f>'DN P&amp;L'!T62</f>
        <v/>
      </c>
      <c r="U20" s="20">
        <f>'DN P&amp;L'!U62</f>
        <v/>
      </c>
      <c r="V20" s="20">
        <f>'DN P&amp;L'!V62</f>
        <v/>
      </c>
      <c r="W20" s="20">
        <f>'DN P&amp;L'!W62</f>
        <v/>
      </c>
      <c r="X20" s="20">
        <f>'DN P&amp;L'!X62</f>
        <v/>
      </c>
      <c r="Y20" s="20">
        <f>'DN P&amp;L'!Y62</f>
        <v/>
      </c>
      <c r="Z20" s="20">
        <f>'DN P&amp;L'!Z62</f>
        <v/>
      </c>
      <c r="AA20" s="20">
        <f>'DN P&amp;L'!AA62</f>
        <v/>
      </c>
      <c r="AB20" s="20">
        <f>'DN P&amp;L'!AB62</f>
        <v/>
      </c>
      <c r="AC20" s="20">
        <f>'DN P&amp;L'!AC62</f>
        <v/>
      </c>
      <c r="AD20" s="20">
        <f>'DN P&amp;L'!AD62</f>
        <v/>
      </c>
      <c r="AE20" s="20">
        <f>'DN P&amp;L'!AE62</f>
        <v/>
      </c>
      <c r="AF20" s="20">
        <f>'DN P&amp;L'!AF62</f>
        <v/>
      </c>
      <c r="AG20" s="20">
        <f>'DN P&amp;L'!AG62</f>
        <v/>
      </c>
      <c r="AH20" s="20">
        <f>'DN P&amp;L'!AH62</f>
        <v/>
      </c>
      <c r="AI20" s="20">
        <f>'DN P&amp;L'!AI62</f>
        <v/>
      </c>
      <c r="AJ20" s="20">
        <f>'DN P&amp;L'!AJ62</f>
        <v/>
      </c>
      <c r="AK20" s="20">
        <f>'DN P&amp;L'!AK62</f>
        <v/>
      </c>
      <c r="AL20" s="20">
        <f>'DN P&amp;L'!AL62</f>
        <v/>
      </c>
      <c r="AM20" s="20">
        <f>'DN P&amp;L'!AM62</f>
        <v/>
      </c>
      <c r="AN20" s="20">
        <f>'DN P&amp;L'!AN62</f>
        <v/>
      </c>
      <c r="AO20" s="20">
        <f>'DN P&amp;L'!AO62</f>
        <v/>
      </c>
      <c r="AP20" s="20">
        <f>'DN P&amp;L'!AP62</f>
        <v/>
      </c>
      <c r="AQ20" s="20">
        <f>'DN P&amp;L'!AQ62</f>
        <v/>
      </c>
      <c r="AR20" s="20">
        <f>'DN P&amp;L'!AR62</f>
        <v/>
      </c>
      <c r="AS20" s="20">
        <f>'DN P&amp;L'!AS62</f>
        <v/>
      </c>
      <c r="AT20" s="20">
        <f>'DN P&amp;L'!AT62</f>
        <v/>
      </c>
      <c r="AU20" s="20">
        <f>'DN P&amp;L'!AU62</f>
        <v/>
      </c>
      <c r="AV20" s="20">
        <f>'DN P&amp;L'!AV62</f>
        <v/>
      </c>
      <c r="AW20" s="20">
        <f>'DN P&amp;L'!AW62</f>
        <v/>
      </c>
      <c r="AX20" s="20">
        <f>'DN P&amp;L'!AX62</f>
        <v/>
      </c>
      <c r="AY20" s="20">
        <f>'DN P&amp;L'!AY62</f>
        <v/>
      </c>
    </row>
    <row r="21">
      <c r="B21" s="15" t="inlineStr">
        <is>
          <t>Net Operating Income</t>
        </is>
      </c>
      <c r="D21" s="37">
        <f>'DN P&amp;L'!D63</f>
        <v/>
      </c>
      <c r="E21" s="37">
        <f>'DN P&amp;L'!E63</f>
        <v/>
      </c>
      <c r="F21" s="37">
        <f>'DN P&amp;L'!F63</f>
        <v/>
      </c>
      <c r="G21" s="37">
        <f>'DN P&amp;L'!G63</f>
        <v/>
      </c>
      <c r="H21" s="37">
        <f>'DN P&amp;L'!H63</f>
        <v/>
      </c>
      <c r="I21" s="37">
        <f>'DN P&amp;L'!I63</f>
        <v/>
      </c>
      <c r="J21" s="37">
        <f>'DN P&amp;L'!J63</f>
        <v/>
      </c>
      <c r="K21" s="37">
        <f>'DN P&amp;L'!K63</f>
        <v/>
      </c>
      <c r="L21" s="37">
        <f>'DN P&amp;L'!L63</f>
        <v/>
      </c>
      <c r="M21" s="37">
        <f>'DN P&amp;L'!M63</f>
        <v/>
      </c>
      <c r="N21" s="37">
        <f>'DN P&amp;L'!N63</f>
        <v/>
      </c>
      <c r="O21" s="37">
        <f>'DN P&amp;L'!O63</f>
        <v/>
      </c>
      <c r="P21" s="37">
        <f>'DN P&amp;L'!P63</f>
        <v/>
      </c>
      <c r="Q21" s="37">
        <f>'DN P&amp;L'!Q63</f>
        <v/>
      </c>
      <c r="R21" s="37">
        <f>'DN P&amp;L'!R63</f>
        <v/>
      </c>
      <c r="S21" s="37">
        <f>'DN P&amp;L'!S63</f>
        <v/>
      </c>
      <c r="T21" s="37">
        <f>'DN P&amp;L'!T63</f>
        <v/>
      </c>
      <c r="U21" s="37">
        <f>'DN P&amp;L'!U63</f>
        <v/>
      </c>
      <c r="V21" s="37">
        <f>'DN P&amp;L'!V63</f>
        <v/>
      </c>
      <c r="W21" s="37">
        <f>'DN P&amp;L'!W63</f>
        <v/>
      </c>
      <c r="X21" s="37">
        <f>'DN P&amp;L'!X63</f>
        <v/>
      </c>
      <c r="Y21" s="37">
        <f>'DN P&amp;L'!Y63</f>
        <v/>
      </c>
      <c r="Z21" s="37">
        <f>'DN P&amp;L'!Z63</f>
        <v/>
      </c>
      <c r="AA21" s="37">
        <f>'DN P&amp;L'!AA63</f>
        <v/>
      </c>
      <c r="AB21" s="37">
        <f>'DN P&amp;L'!AB63</f>
        <v/>
      </c>
      <c r="AC21" s="37">
        <f>'DN P&amp;L'!AC63</f>
        <v/>
      </c>
      <c r="AD21" s="37">
        <f>'DN P&amp;L'!AD63</f>
        <v/>
      </c>
      <c r="AE21" s="37">
        <f>'DN P&amp;L'!AE63</f>
        <v/>
      </c>
      <c r="AF21" s="37">
        <f>'DN P&amp;L'!AF63</f>
        <v/>
      </c>
      <c r="AG21" s="37">
        <f>'DN P&amp;L'!AG63</f>
        <v/>
      </c>
      <c r="AH21" s="37">
        <f>'DN P&amp;L'!AH63</f>
        <v/>
      </c>
      <c r="AI21" s="37">
        <f>'DN P&amp;L'!AI63</f>
        <v/>
      </c>
      <c r="AJ21" s="37">
        <f>'DN P&amp;L'!AJ63</f>
        <v/>
      </c>
      <c r="AK21" s="37">
        <f>'DN P&amp;L'!AK63</f>
        <v/>
      </c>
      <c r="AL21" s="37">
        <f>'DN P&amp;L'!AL63</f>
        <v/>
      </c>
      <c r="AM21" s="37">
        <f>'DN P&amp;L'!AM63</f>
        <v/>
      </c>
      <c r="AN21" s="37">
        <f>'DN P&amp;L'!AN63</f>
        <v/>
      </c>
      <c r="AO21" s="37">
        <f>'DN P&amp;L'!AO63</f>
        <v/>
      </c>
      <c r="AP21" s="37">
        <f>'DN P&amp;L'!AP63</f>
        <v/>
      </c>
      <c r="AQ21" s="37">
        <f>'DN P&amp;L'!AQ63</f>
        <v/>
      </c>
      <c r="AR21" s="37">
        <f>'DN P&amp;L'!AR63</f>
        <v/>
      </c>
      <c r="AS21" s="37">
        <f>'DN P&amp;L'!AS63</f>
        <v/>
      </c>
      <c r="AT21" s="37">
        <f>'DN P&amp;L'!AT63</f>
        <v/>
      </c>
      <c r="AU21" s="37">
        <f>'DN P&amp;L'!AU63</f>
        <v/>
      </c>
      <c r="AV21" s="37">
        <f>'DN P&amp;L'!AV63</f>
        <v/>
      </c>
      <c r="AW21" s="37">
        <f>'DN P&amp;L'!AW63</f>
        <v/>
      </c>
      <c r="AX21" s="37">
        <f>'DN P&amp;L'!AX63</f>
        <v/>
      </c>
      <c r="AY21" s="37">
        <f>'DN P&amp;L'!AY63</f>
        <v/>
      </c>
    </row>
    <row r="23" ht="16.05" customHeight="1" s="142">
      <c r="B23" s="10" t="inlineStr">
        <is>
          <t>Lafayette (LF)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</row>
    <row r="24">
      <c r="B24" s="18" t="inlineStr">
        <is>
          <t>Total Revenue</t>
        </is>
      </c>
      <c r="D24" s="20">
        <f>'LF P&amp;L'!D21</f>
        <v/>
      </c>
      <c r="E24" s="20">
        <f>'LF P&amp;L'!E21</f>
        <v/>
      </c>
      <c r="F24" s="20">
        <f>'LF P&amp;L'!F21</f>
        <v/>
      </c>
      <c r="G24" s="20">
        <f>'LF P&amp;L'!G21</f>
        <v/>
      </c>
      <c r="H24" s="20">
        <f>'LF P&amp;L'!H21</f>
        <v/>
      </c>
      <c r="I24" s="20">
        <f>'LF P&amp;L'!I21</f>
        <v/>
      </c>
      <c r="J24" s="20">
        <f>'LF P&amp;L'!J21</f>
        <v/>
      </c>
      <c r="K24" s="20">
        <f>'LF P&amp;L'!K21</f>
        <v/>
      </c>
      <c r="L24" s="20">
        <f>'LF P&amp;L'!L21</f>
        <v/>
      </c>
      <c r="M24" s="20">
        <f>'LF P&amp;L'!M21</f>
        <v/>
      </c>
      <c r="N24" s="20">
        <f>'LF P&amp;L'!N21</f>
        <v/>
      </c>
      <c r="O24" s="20">
        <f>'LF P&amp;L'!O21</f>
        <v/>
      </c>
      <c r="P24" s="20">
        <f>'LF P&amp;L'!P21</f>
        <v/>
      </c>
      <c r="Q24" s="20">
        <f>'LF P&amp;L'!Q21</f>
        <v/>
      </c>
      <c r="R24" s="20">
        <f>'LF P&amp;L'!R21</f>
        <v/>
      </c>
      <c r="S24" s="20">
        <f>'LF P&amp;L'!S21</f>
        <v/>
      </c>
      <c r="T24" s="20">
        <f>'LF P&amp;L'!T21</f>
        <v/>
      </c>
      <c r="U24" s="20">
        <f>'LF P&amp;L'!U21</f>
        <v/>
      </c>
      <c r="V24" s="20">
        <f>'LF P&amp;L'!V21</f>
        <v/>
      </c>
      <c r="W24" s="20">
        <f>'LF P&amp;L'!W21</f>
        <v/>
      </c>
      <c r="X24" s="20">
        <f>'LF P&amp;L'!X21</f>
        <v/>
      </c>
      <c r="Y24" s="20">
        <f>'LF P&amp;L'!Y21</f>
        <v/>
      </c>
      <c r="Z24" s="20">
        <f>'LF P&amp;L'!Z21</f>
        <v/>
      </c>
      <c r="AA24" s="20">
        <f>'LF P&amp;L'!AA21</f>
        <v/>
      </c>
      <c r="AB24" s="20">
        <f>'LF P&amp;L'!AB21</f>
        <v/>
      </c>
      <c r="AC24" s="20">
        <f>'LF P&amp;L'!AC21</f>
        <v/>
      </c>
      <c r="AD24" s="20">
        <f>'LF P&amp;L'!AD21</f>
        <v/>
      </c>
      <c r="AE24" s="20">
        <f>'LF P&amp;L'!AE21</f>
        <v/>
      </c>
      <c r="AF24" s="20">
        <f>'LF P&amp;L'!AF21</f>
        <v/>
      </c>
      <c r="AG24" s="20">
        <f>'LF P&amp;L'!AG21</f>
        <v/>
      </c>
      <c r="AH24" s="20">
        <f>'LF P&amp;L'!AH21</f>
        <v/>
      </c>
      <c r="AI24" s="20">
        <f>'LF P&amp;L'!AI21</f>
        <v/>
      </c>
      <c r="AJ24" s="20">
        <f>'LF P&amp;L'!AJ21</f>
        <v/>
      </c>
      <c r="AK24" s="20">
        <f>'LF P&amp;L'!AK21</f>
        <v/>
      </c>
      <c r="AL24" s="20">
        <f>'LF P&amp;L'!AL21</f>
        <v/>
      </c>
      <c r="AM24" s="20">
        <f>'LF P&amp;L'!AM21</f>
        <v/>
      </c>
      <c r="AN24" s="20">
        <f>'LF P&amp;L'!AN21</f>
        <v/>
      </c>
      <c r="AO24" s="20">
        <f>'LF P&amp;L'!AO21</f>
        <v/>
      </c>
      <c r="AP24" s="20">
        <f>'LF P&amp;L'!AP21</f>
        <v/>
      </c>
      <c r="AQ24" s="20">
        <f>'LF P&amp;L'!AQ21</f>
        <v/>
      </c>
      <c r="AR24" s="20">
        <f>'LF P&amp;L'!AR21</f>
        <v/>
      </c>
      <c r="AS24" s="20">
        <f>'LF P&amp;L'!AS21</f>
        <v/>
      </c>
      <c r="AT24" s="20">
        <f>'LF P&amp;L'!AT21</f>
        <v/>
      </c>
      <c r="AU24" s="20">
        <f>'LF P&amp;L'!AU21</f>
        <v/>
      </c>
      <c r="AV24" s="20">
        <f>'LF P&amp;L'!AV21</f>
        <v/>
      </c>
      <c r="AW24" s="20">
        <f>'LF P&amp;L'!AW21</f>
        <v/>
      </c>
      <c r="AX24" s="20">
        <f>'LF P&amp;L'!AX21</f>
        <v/>
      </c>
      <c r="AY24" s="20">
        <f>'LF P&amp;L'!AY21</f>
        <v/>
      </c>
    </row>
    <row r="25">
      <c r="B25" s="18" t="inlineStr">
        <is>
          <t>Gross Profit</t>
        </is>
      </c>
      <c r="D25" s="20">
        <f>'LF P&amp;L'!D26</f>
        <v/>
      </c>
      <c r="E25" s="20">
        <f>'LF P&amp;L'!E26</f>
        <v/>
      </c>
      <c r="F25" s="20">
        <f>'LF P&amp;L'!F26</f>
        <v/>
      </c>
      <c r="G25" s="20">
        <f>'LF P&amp;L'!G26</f>
        <v/>
      </c>
      <c r="H25" s="20">
        <f>'LF P&amp;L'!H26</f>
        <v/>
      </c>
      <c r="I25" s="20">
        <f>'LF P&amp;L'!I26</f>
        <v/>
      </c>
      <c r="J25" s="20">
        <f>'LF P&amp;L'!J26</f>
        <v/>
      </c>
      <c r="K25" s="20">
        <f>'LF P&amp;L'!K26</f>
        <v/>
      </c>
      <c r="L25" s="20">
        <f>'LF P&amp;L'!L26</f>
        <v/>
      </c>
      <c r="M25" s="20">
        <f>'LF P&amp;L'!M26</f>
        <v/>
      </c>
      <c r="N25" s="20">
        <f>'LF P&amp;L'!N26</f>
        <v/>
      </c>
      <c r="O25" s="20">
        <f>'LF P&amp;L'!O26</f>
        <v/>
      </c>
      <c r="P25" s="20">
        <f>'LF P&amp;L'!P26</f>
        <v/>
      </c>
      <c r="Q25" s="20">
        <f>'LF P&amp;L'!Q26</f>
        <v/>
      </c>
      <c r="R25" s="20">
        <f>'LF P&amp;L'!R26</f>
        <v/>
      </c>
      <c r="S25" s="20">
        <f>'LF P&amp;L'!S26</f>
        <v/>
      </c>
      <c r="T25" s="20">
        <f>'LF P&amp;L'!T26</f>
        <v/>
      </c>
      <c r="U25" s="20">
        <f>'LF P&amp;L'!U26</f>
        <v/>
      </c>
      <c r="V25" s="20">
        <f>'LF P&amp;L'!V26</f>
        <v/>
      </c>
      <c r="W25" s="20">
        <f>'LF P&amp;L'!W26</f>
        <v/>
      </c>
      <c r="X25" s="20">
        <f>'LF P&amp;L'!X26</f>
        <v/>
      </c>
      <c r="Y25" s="20">
        <f>'LF P&amp;L'!Y26</f>
        <v/>
      </c>
      <c r="Z25" s="20">
        <f>'LF P&amp;L'!Z26</f>
        <v/>
      </c>
      <c r="AA25" s="20">
        <f>'LF P&amp;L'!AA26</f>
        <v/>
      </c>
      <c r="AB25" s="20">
        <f>'LF P&amp;L'!AB26</f>
        <v/>
      </c>
      <c r="AC25" s="20">
        <f>'LF P&amp;L'!AC26</f>
        <v/>
      </c>
      <c r="AD25" s="20">
        <f>'LF P&amp;L'!AD26</f>
        <v/>
      </c>
      <c r="AE25" s="20">
        <f>'LF P&amp;L'!AE26</f>
        <v/>
      </c>
      <c r="AF25" s="20">
        <f>'LF P&amp;L'!AF26</f>
        <v/>
      </c>
      <c r="AG25" s="20">
        <f>'LF P&amp;L'!AG26</f>
        <v/>
      </c>
      <c r="AH25" s="20">
        <f>'LF P&amp;L'!AH26</f>
        <v/>
      </c>
      <c r="AI25" s="20">
        <f>'LF P&amp;L'!AI26</f>
        <v/>
      </c>
      <c r="AJ25" s="20">
        <f>'LF P&amp;L'!AJ26</f>
        <v/>
      </c>
      <c r="AK25" s="20">
        <f>'LF P&amp;L'!AK26</f>
        <v/>
      </c>
      <c r="AL25" s="20">
        <f>'LF P&amp;L'!AL26</f>
        <v/>
      </c>
      <c r="AM25" s="20">
        <f>'LF P&amp;L'!AM26</f>
        <v/>
      </c>
      <c r="AN25" s="20">
        <f>'LF P&amp;L'!AN26</f>
        <v/>
      </c>
      <c r="AO25" s="20">
        <f>'LF P&amp;L'!AO26</f>
        <v/>
      </c>
      <c r="AP25" s="20">
        <f>'LF P&amp;L'!AP26</f>
        <v/>
      </c>
      <c r="AQ25" s="20">
        <f>'LF P&amp;L'!AQ26</f>
        <v/>
      </c>
      <c r="AR25" s="20">
        <f>'LF P&amp;L'!AR26</f>
        <v/>
      </c>
      <c r="AS25" s="20">
        <f>'LF P&amp;L'!AS26</f>
        <v/>
      </c>
      <c r="AT25" s="20">
        <f>'LF P&amp;L'!AT26</f>
        <v/>
      </c>
      <c r="AU25" s="20">
        <f>'LF P&amp;L'!AU26</f>
        <v/>
      </c>
      <c r="AV25" s="20">
        <f>'LF P&amp;L'!AV26</f>
        <v/>
      </c>
      <c r="AW25" s="20">
        <f>'LF P&amp;L'!AW26</f>
        <v/>
      </c>
      <c r="AX25" s="20">
        <f>'LF P&amp;L'!AX26</f>
        <v/>
      </c>
      <c r="AY25" s="20">
        <f>'LF P&amp;L'!AY26</f>
        <v/>
      </c>
    </row>
    <row r="26">
      <c r="B26" s="18" t="inlineStr">
        <is>
          <t>Total Operating Expenses</t>
        </is>
      </c>
      <c r="D26" s="20">
        <f>'LF P&amp;L'!D62</f>
        <v/>
      </c>
      <c r="E26" s="20">
        <f>'LF P&amp;L'!E62</f>
        <v/>
      </c>
      <c r="F26" s="20">
        <f>'LF P&amp;L'!F62</f>
        <v/>
      </c>
      <c r="G26" s="20">
        <f>'LF P&amp;L'!G62</f>
        <v/>
      </c>
      <c r="H26" s="20">
        <f>'LF P&amp;L'!H62</f>
        <v/>
      </c>
      <c r="I26" s="20">
        <f>'LF P&amp;L'!I62</f>
        <v/>
      </c>
      <c r="J26" s="20">
        <f>'LF P&amp;L'!J62</f>
        <v/>
      </c>
      <c r="K26" s="20">
        <f>'LF P&amp;L'!K62</f>
        <v/>
      </c>
      <c r="L26" s="20">
        <f>'LF P&amp;L'!L62</f>
        <v/>
      </c>
      <c r="M26" s="20">
        <f>'LF P&amp;L'!M62</f>
        <v/>
      </c>
      <c r="N26" s="20">
        <f>'LF P&amp;L'!N62</f>
        <v/>
      </c>
      <c r="O26" s="20">
        <f>'LF P&amp;L'!O62</f>
        <v/>
      </c>
      <c r="P26" s="20">
        <f>'LF P&amp;L'!P62</f>
        <v/>
      </c>
      <c r="Q26" s="20">
        <f>'LF P&amp;L'!Q62</f>
        <v/>
      </c>
      <c r="R26" s="20">
        <f>'LF P&amp;L'!R62</f>
        <v/>
      </c>
      <c r="S26" s="20">
        <f>'LF P&amp;L'!S62</f>
        <v/>
      </c>
      <c r="T26" s="20">
        <f>'LF P&amp;L'!T62</f>
        <v/>
      </c>
      <c r="U26" s="20">
        <f>'LF P&amp;L'!U62</f>
        <v/>
      </c>
      <c r="V26" s="20">
        <f>'LF P&amp;L'!V62</f>
        <v/>
      </c>
      <c r="W26" s="20">
        <f>'LF P&amp;L'!W62</f>
        <v/>
      </c>
      <c r="X26" s="20">
        <f>'LF P&amp;L'!X62</f>
        <v/>
      </c>
      <c r="Y26" s="20">
        <f>'LF P&amp;L'!Y62</f>
        <v/>
      </c>
      <c r="Z26" s="20">
        <f>'LF P&amp;L'!Z62</f>
        <v/>
      </c>
      <c r="AA26" s="20">
        <f>'LF P&amp;L'!AA62</f>
        <v/>
      </c>
      <c r="AB26" s="20">
        <f>'LF P&amp;L'!AB62</f>
        <v/>
      </c>
      <c r="AC26" s="20">
        <f>'LF P&amp;L'!AC62</f>
        <v/>
      </c>
      <c r="AD26" s="20">
        <f>'LF P&amp;L'!AD62</f>
        <v/>
      </c>
      <c r="AE26" s="20">
        <f>'LF P&amp;L'!AE62</f>
        <v/>
      </c>
      <c r="AF26" s="20">
        <f>'LF P&amp;L'!AF62</f>
        <v/>
      </c>
      <c r="AG26" s="20">
        <f>'LF P&amp;L'!AG62</f>
        <v/>
      </c>
      <c r="AH26" s="20">
        <f>'LF P&amp;L'!AH62</f>
        <v/>
      </c>
      <c r="AI26" s="20">
        <f>'LF P&amp;L'!AI62</f>
        <v/>
      </c>
      <c r="AJ26" s="20">
        <f>'LF P&amp;L'!AJ62</f>
        <v/>
      </c>
      <c r="AK26" s="20">
        <f>'LF P&amp;L'!AK62</f>
        <v/>
      </c>
      <c r="AL26" s="20">
        <f>'LF P&amp;L'!AL62</f>
        <v/>
      </c>
      <c r="AM26" s="20">
        <f>'LF P&amp;L'!AM62</f>
        <v/>
      </c>
      <c r="AN26" s="20">
        <f>'LF P&amp;L'!AN62</f>
        <v/>
      </c>
      <c r="AO26" s="20">
        <f>'LF P&amp;L'!AO62</f>
        <v/>
      </c>
      <c r="AP26" s="20">
        <f>'LF P&amp;L'!AP62</f>
        <v/>
      </c>
      <c r="AQ26" s="20">
        <f>'LF P&amp;L'!AQ62</f>
        <v/>
      </c>
      <c r="AR26" s="20">
        <f>'LF P&amp;L'!AR62</f>
        <v/>
      </c>
      <c r="AS26" s="20">
        <f>'LF P&amp;L'!AS62</f>
        <v/>
      </c>
      <c r="AT26" s="20">
        <f>'LF P&amp;L'!AT62</f>
        <v/>
      </c>
      <c r="AU26" s="20">
        <f>'LF P&amp;L'!AU62</f>
        <v/>
      </c>
      <c r="AV26" s="20">
        <f>'LF P&amp;L'!AV62</f>
        <v/>
      </c>
      <c r="AW26" s="20">
        <f>'LF P&amp;L'!AW62</f>
        <v/>
      </c>
      <c r="AX26" s="20">
        <f>'LF P&amp;L'!AX62</f>
        <v/>
      </c>
      <c r="AY26" s="20">
        <f>'LF P&amp;L'!AY62</f>
        <v/>
      </c>
    </row>
    <row r="27">
      <c r="B27" s="15" t="inlineStr">
        <is>
          <t>Net Operating Income</t>
        </is>
      </c>
      <c r="D27" s="37">
        <f>'LF P&amp;L'!D63</f>
        <v/>
      </c>
      <c r="E27" s="37">
        <f>'LF P&amp;L'!E63</f>
        <v/>
      </c>
      <c r="F27" s="37">
        <f>'LF P&amp;L'!F63</f>
        <v/>
      </c>
      <c r="G27" s="37">
        <f>'LF P&amp;L'!G63</f>
        <v/>
      </c>
      <c r="H27" s="37">
        <f>'LF P&amp;L'!H63</f>
        <v/>
      </c>
      <c r="I27" s="37">
        <f>'LF P&amp;L'!I63</f>
        <v/>
      </c>
      <c r="J27" s="37">
        <f>'LF P&amp;L'!J63</f>
        <v/>
      </c>
      <c r="K27" s="37">
        <f>'LF P&amp;L'!K63</f>
        <v/>
      </c>
      <c r="L27" s="37">
        <f>'LF P&amp;L'!L63</f>
        <v/>
      </c>
      <c r="M27" s="37">
        <f>'LF P&amp;L'!M63</f>
        <v/>
      </c>
      <c r="N27" s="37">
        <f>'LF P&amp;L'!N63</f>
        <v/>
      </c>
      <c r="O27" s="37">
        <f>'LF P&amp;L'!O63</f>
        <v/>
      </c>
      <c r="P27" s="37">
        <f>'LF P&amp;L'!P63</f>
        <v/>
      </c>
      <c r="Q27" s="37">
        <f>'LF P&amp;L'!Q63</f>
        <v/>
      </c>
      <c r="R27" s="37">
        <f>'LF P&amp;L'!R63</f>
        <v/>
      </c>
      <c r="S27" s="37">
        <f>'LF P&amp;L'!S63</f>
        <v/>
      </c>
      <c r="T27" s="37">
        <f>'LF P&amp;L'!T63</f>
        <v/>
      </c>
      <c r="U27" s="37">
        <f>'LF P&amp;L'!U63</f>
        <v/>
      </c>
      <c r="V27" s="37">
        <f>'LF P&amp;L'!V63</f>
        <v/>
      </c>
      <c r="W27" s="37">
        <f>'LF P&amp;L'!W63</f>
        <v/>
      </c>
      <c r="X27" s="37">
        <f>'LF P&amp;L'!X63</f>
        <v/>
      </c>
      <c r="Y27" s="37">
        <f>'LF P&amp;L'!Y63</f>
        <v/>
      </c>
      <c r="Z27" s="37">
        <f>'LF P&amp;L'!Z63</f>
        <v/>
      </c>
      <c r="AA27" s="37">
        <f>'LF P&amp;L'!AA63</f>
        <v/>
      </c>
      <c r="AB27" s="37">
        <f>'LF P&amp;L'!AB63</f>
        <v/>
      </c>
      <c r="AC27" s="37">
        <f>'LF P&amp;L'!AC63</f>
        <v/>
      </c>
      <c r="AD27" s="37">
        <f>'LF P&amp;L'!AD63</f>
        <v/>
      </c>
      <c r="AE27" s="37">
        <f>'LF P&amp;L'!AE63</f>
        <v/>
      </c>
      <c r="AF27" s="37">
        <f>'LF P&amp;L'!AF63</f>
        <v/>
      </c>
      <c r="AG27" s="37">
        <f>'LF P&amp;L'!AG63</f>
        <v/>
      </c>
      <c r="AH27" s="37">
        <f>'LF P&amp;L'!AH63</f>
        <v/>
      </c>
      <c r="AI27" s="37">
        <f>'LF P&amp;L'!AI63</f>
        <v/>
      </c>
      <c r="AJ27" s="37">
        <f>'LF P&amp;L'!AJ63</f>
        <v/>
      </c>
      <c r="AK27" s="37">
        <f>'LF P&amp;L'!AK63</f>
        <v/>
      </c>
      <c r="AL27" s="37">
        <f>'LF P&amp;L'!AL63</f>
        <v/>
      </c>
      <c r="AM27" s="37">
        <f>'LF P&amp;L'!AM63</f>
        <v/>
      </c>
      <c r="AN27" s="37">
        <f>'LF P&amp;L'!AN63</f>
        <v/>
      </c>
      <c r="AO27" s="37">
        <f>'LF P&amp;L'!AO63</f>
        <v/>
      </c>
      <c r="AP27" s="37">
        <f>'LF P&amp;L'!AP63</f>
        <v/>
      </c>
      <c r="AQ27" s="37">
        <f>'LF P&amp;L'!AQ63</f>
        <v/>
      </c>
      <c r="AR27" s="37">
        <f>'LF P&amp;L'!AR63</f>
        <v/>
      </c>
      <c r="AS27" s="37">
        <f>'LF P&amp;L'!AS63</f>
        <v/>
      </c>
      <c r="AT27" s="37">
        <f>'LF P&amp;L'!AT63</f>
        <v/>
      </c>
      <c r="AU27" s="37">
        <f>'LF P&amp;L'!AU63</f>
        <v/>
      </c>
      <c r="AV27" s="37">
        <f>'LF P&amp;L'!AV63</f>
        <v/>
      </c>
      <c r="AW27" s="37">
        <f>'LF P&amp;L'!AW63</f>
        <v/>
      </c>
      <c r="AX27" s="37">
        <f>'LF P&amp;L'!AX63</f>
        <v/>
      </c>
      <c r="AY27" s="37">
        <f>'LF P&amp;L'!AY63</f>
        <v/>
      </c>
    </row>
    <row r="29" ht="16.05" customHeight="1" s="142">
      <c r="B29" s="10" t="inlineStr">
        <is>
          <t>Marin (MR)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</row>
    <row r="30">
      <c r="B30" s="18" t="inlineStr">
        <is>
          <t>Total Revenue</t>
        </is>
      </c>
      <c r="D30" s="20">
        <f>'MR P&amp;L'!D21</f>
        <v/>
      </c>
      <c r="E30" s="20">
        <f>'MR P&amp;L'!E21</f>
        <v/>
      </c>
      <c r="F30" s="20">
        <f>'MR P&amp;L'!F21</f>
        <v/>
      </c>
      <c r="G30" s="20">
        <f>'MR P&amp;L'!G21</f>
        <v/>
      </c>
      <c r="H30" s="20">
        <f>'MR P&amp;L'!H21</f>
        <v/>
      </c>
      <c r="I30" s="20">
        <f>'MR P&amp;L'!I21</f>
        <v/>
      </c>
      <c r="J30" s="20">
        <f>'MR P&amp;L'!J21</f>
        <v/>
      </c>
      <c r="K30" s="20">
        <f>'MR P&amp;L'!K21</f>
        <v/>
      </c>
      <c r="L30" s="20">
        <f>'MR P&amp;L'!L21</f>
        <v/>
      </c>
      <c r="M30" s="20">
        <f>'MR P&amp;L'!M21</f>
        <v/>
      </c>
      <c r="N30" s="20">
        <f>'MR P&amp;L'!N21</f>
        <v/>
      </c>
      <c r="O30" s="20">
        <f>'MR P&amp;L'!O21</f>
        <v/>
      </c>
      <c r="P30" s="20">
        <f>'MR P&amp;L'!P21</f>
        <v/>
      </c>
      <c r="Q30" s="20">
        <f>'MR P&amp;L'!Q21</f>
        <v/>
      </c>
      <c r="R30" s="20">
        <f>'MR P&amp;L'!R21</f>
        <v/>
      </c>
      <c r="S30" s="20">
        <f>'MR P&amp;L'!S21</f>
        <v/>
      </c>
      <c r="T30" s="20">
        <f>'MR P&amp;L'!T21</f>
        <v/>
      </c>
      <c r="U30" s="20">
        <f>'MR P&amp;L'!U21</f>
        <v/>
      </c>
      <c r="V30" s="20">
        <f>'MR P&amp;L'!V21</f>
        <v/>
      </c>
      <c r="W30" s="20">
        <f>'MR P&amp;L'!W21</f>
        <v/>
      </c>
      <c r="X30" s="20">
        <f>'MR P&amp;L'!X21</f>
        <v/>
      </c>
      <c r="Y30" s="20">
        <f>'MR P&amp;L'!Y21</f>
        <v/>
      </c>
      <c r="Z30" s="20">
        <f>'MR P&amp;L'!Z21</f>
        <v/>
      </c>
      <c r="AA30" s="20">
        <f>'MR P&amp;L'!AA21</f>
        <v/>
      </c>
      <c r="AB30" s="20">
        <f>'MR P&amp;L'!AB21</f>
        <v/>
      </c>
      <c r="AC30" s="20">
        <f>'MR P&amp;L'!AC21</f>
        <v/>
      </c>
      <c r="AD30" s="20">
        <f>'MR P&amp;L'!AD21</f>
        <v/>
      </c>
      <c r="AE30" s="20">
        <f>'MR P&amp;L'!AE21</f>
        <v/>
      </c>
      <c r="AF30" s="20">
        <f>'MR P&amp;L'!AF21</f>
        <v/>
      </c>
      <c r="AG30" s="20">
        <f>'MR P&amp;L'!AG21</f>
        <v/>
      </c>
      <c r="AH30" s="20">
        <f>'MR P&amp;L'!AH21</f>
        <v/>
      </c>
      <c r="AI30" s="20">
        <f>'MR P&amp;L'!AI21</f>
        <v/>
      </c>
      <c r="AJ30" s="20">
        <f>'MR P&amp;L'!AJ21</f>
        <v/>
      </c>
      <c r="AK30" s="20">
        <f>'MR P&amp;L'!AK21</f>
        <v/>
      </c>
      <c r="AL30" s="20">
        <f>'MR P&amp;L'!AL21</f>
        <v/>
      </c>
      <c r="AM30" s="20">
        <f>'MR P&amp;L'!AM21</f>
        <v/>
      </c>
      <c r="AN30" s="20">
        <f>'MR P&amp;L'!AN21</f>
        <v/>
      </c>
      <c r="AO30" s="20">
        <f>'MR P&amp;L'!AO21</f>
        <v/>
      </c>
      <c r="AP30" s="20">
        <f>'MR P&amp;L'!AP21</f>
        <v/>
      </c>
      <c r="AQ30" s="20">
        <f>'MR P&amp;L'!AQ21</f>
        <v/>
      </c>
      <c r="AR30" s="20">
        <f>'MR P&amp;L'!AR21</f>
        <v/>
      </c>
      <c r="AS30" s="20">
        <f>'MR P&amp;L'!AS21</f>
        <v/>
      </c>
      <c r="AT30" s="20">
        <f>'MR P&amp;L'!AT21</f>
        <v/>
      </c>
      <c r="AU30" s="20">
        <f>'MR P&amp;L'!AU21</f>
        <v/>
      </c>
      <c r="AV30" s="20">
        <f>'MR P&amp;L'!AV21</f>
        <v/>
      </c>
      <c r="AW30" s="20">
        <f>'MR P&amp;L'!AW21</f>
        <v/>
      </c>
      <c r="AX30" s="20">
        <f>'MR P&amp;L'!AX21</f>
        <v/>
      </c>
      <c r="AY30" s="20">
        <f>'MR P&amp;L'!AY21</f>
        <v/>
      </c>
    </row>
    <row r="31">
      <c r="B31" s="18" t="inlineStr">
        <is>
          <t>Gross Profit</t>
        </is>
      </c>
      <c r="D31" s="20">
        <f>'MR P&amp;L'!D26</f>
        <v/>
      </c>
      <c r="E31" s="20">
        <f>'MR P&amp;L'!E26</f>
        <v/>
      </c>
      <c r="F31" s="20">
        <f>'MR P&amp;L'!F26</f>
        <v/>
      </c>
      <c r="G31" s="20">
        <f>'MR P&amp;L'!G26</f>
        <v/>
      </c>
      <c r="H31" s="20">
        <f>'MR P&amp;L'!H26</f>
        <v/>
      </c>
      <c r="I31" s="20">
        <f>'MR P&amp;L'!I26</f>
        <v/>
      </c>
      <c r="J31" s="20">
        <f>'MR P&amp;L'!J26</f>
        <v/>
      </c>
      <c r="K31" s="20">
        <f>'MR P&amp;L'!K26</f>
        <v/>
      </c>
      <c r="L31" s="20">
        <f>'MR P&amp;L'!L26</f>
        <v/>
      </c>
      <c r="M31" s="20">
        <f>'MR P&amp;L'!M26</f>
        <v/>
      </c>
      <c r="N31" s="20">
        <f>'MR P&amp;L'!N26</f>
        <v/>
      </c>
      <c r="O31" s="20">
        <f>'MR P&amp;L'!O26</f>
        <v/>
      </c>
      <c r="P31" s="20">
        <f>'MR P&amp;L'!P26</f>
        <v/>
      </c>
      <c r="Q31" s="20">
        <f>'MR P&amp;L'!Q26</f>
        <v/>
      </c>
      <c r="R31" s="20">
        <f>'MR P&amp;L'!R26</f>
        <v/>
      </c>
      <c r="S31" s="20">
        <f>'MR P&amp;L'!S26</f>
        <v/>
      </c>
      <c r="T31" s="20">
        <f>'MR P&amp;L'!T26</f>
        <v/>
      </c>
      <c r="U31" s="20">
        <f>'MR P&amp;L'!U26</f>
        <v/>
      </c>
      <c r="V31" s="20">
        <f>'MR P&amp;L'!V26</f>
        <v/>
      </c>
      <c r="W31" s="20">
        <f>'MR P&amp;L'!W26</f>
        <v/>
      </c>
      <c r="X31" s="20">
        <f>'MR P&amp;L'!X26</f>
        <v/>
      </c>
      <c r="Y31" s="20">
        <f>'MR P&amp;L'!Y26</f>
        <v/>
      </c>
      <c r="Z31" s="20">
        <f>'MR P&amp;L'!Z26</f>
        <v/>
      </c>
      <c r="AA31" s="20">
        <f>'MR P&amp;L'!AA26</f>
        <v/>
      </c>
      <c r="AB31" s="20">
        <f>'MR P&amp;L'!AB26</f>
        <v/>
      </c>
      <c r="AC31" s="20">
        <f>'MR P&amp;L'!AC26</f>
        <v/>
      </c>
      <c r="AD31" s="20">
        <f>'MR P&amp;L'!AD26</f>
        <v/>
      </c>
      <c r="AE31" s="20">
        <f>'MR P&amp;L'!AE26</f>
        <v/>
      </c>
      <c r="AF31" s="20">
        <f>'MR P&amp;L'!AF26</f>
        <v/>
      </c>
      <c r="AG31" s="20">
        <f>'MR P&amp;L'!AG26</f>
        <v/>
      </c>
      <c r="AH31" s="20">
        <f>'MR P&amp;L'!AH26</f>
        <v/>
      </c>
      <c r="AI31" s="20">
        <f>'MR P&amp;L'!AI26</f>
        <v/>
      </c>
      <c r="AJ31" s="20">
        <f>'MR P&amp;L'!AJ26</f>
        <v/>
      </c>
      <c r="AK31" s="20">
        <f>'MR P&amp;L'!AK26</f>
        <v/>
      </c>
      <c r="AL31" s="20">
        <f>'MR P&amp;L'!AL26</f>
        <v/>
      </c>
      <c r="AM31" s="20">
        <f>'MR P&amp;L'!AM26</f>
        <v/>
      </c>
      <c r="AN31" s="20">
        <f>'MR P&amp;L'!AN26</f>
        <v/>
      </c>
      <c r="AO31" s="20">
        <f>'MR P&amp;L'!AO26</f>
        <v/>
      </c>
      <c r="AP31" s="20">
        <f>'MR P&amp;L'!AP26</f>
        <v/>
      </c>
      <c r="AQ31" s="20">
        <f>'MR P&amp;L'!AQ26</f>
        <v/>
      </c>
      <c r="AR31" s="20">
        <f>'MR P&amp;L'!AR26</f>
        <v/>
      </c>
      <c r="AS31" s="20">
        <f>'MR P&amp;L'!AS26</f>
        <v/>
      </c>
      <c r="AT31" s="20">
        <f>'MR P&amp;L'!AT26</f>
        <v/>
      </c>
      <c r="AU31" s="20">
        <f>'MR P&amp;L'!AU26</f>
        <v/>
      </c>
      <c r="AV31" s="20">
        <f>'MR P&amp;L'!AV26</f>
        <v/>
      </c>
      <c r="AW31" s="20">
        <f>'MR P&amp;L'!AW26</f>
        <v/>
      </c>
      <c r="AX31" s="20">
        <f>'MR P&amp;L'!AX26</f>
        <v/>
      </c>
      <c r="AY31" s="20">
        <f>'MR P&amp;L'!AY26</f>
        <v/>
      </c>
    </row>
    <row r="32">
      <c r="B32" s="18" t="inlineStr">
        <is>
          <t>Total Operating Expenses</t>
        </is>
      </c>
      <c r="D32" s="20">
        <f>'MR P&amp;L'!D62</f>
        <v/>
      </c>
      <c r="E32" s="20">
        <f>'MR P&amp;L'!E62</f>
        <v/>
      </c>
      <c r="F32" s="20">
        <f>'MR P&amp;L'!F62</f>
        <v/>
      </c>
      <c r="G32" s="20">
        <f>'MR P&amp;L'!G62</f>
        <v/>
      </c>
      <c r="H32" s="20">
        <f>'MR P&amp;L'!H62</f>
        <v/>
      </c>
      <c r="I32" s="20">
        <f>'MR P&amp;L'!I62</f>
        <v/>
      </c>
      <c r="J32" s="20">
        <f>'MR P&amp;L'!J62</f>
        <v/>
      </c>
      <c r="K32" s="20">
        <f>'MR P&amp;L'!K62</f>
        <v/>
      </c>
      <c r="L32" s="20">
        <f>'MR P&amp;L'!L62</f>
        <v/>
      </c>
      <c r="M32" s="20">
        <f>'MR P&amp;L'!M62</f>
        <v/>
      </c>
      <c r="N32" s="20">
        <f>'MR P&amp;L'!N62</f>
        <v/>
      </c>
      <c r="O32" s="20">
        <f>'MR P&amp;L'!O62</f>
        <v/>
      </c>
      <c r="P32" s="20">
        <f>'MR P&amp;L'!P62</f>
        <v/>
      </c>
      <c r="Q32" s="20">
        <f>'MR P&amp;L'!Q62</f>
        <v/>
      </c>
      <c r="R32" s="20">
        <f>'MR P&amp;L'!R62</f>
        <v/>
      </c>
      <c r="S32" s="20">
        <f>'MR P&amp;L'!S62</f>
        <v/>
      </c>
      <c r="T32" s="20">
        <f>'MR P&amp;L'!T62</f>
        <v/>
      </c>
      <c r="U32" s="20">
        <f>'MR P&amp;L'!U62</f>
        <v/>
      </c>
      <c r="V32" s="20">
        <f>'MR P&amp;L'!V62</f>
        <v/>
      </c>
      <c r="W32" s="20">
        <f>'MR P&amp;L'!W62</f>
        <v/>
      </c>
      <c r="X32" s="20">
        <f>'MR P&amp;L'!X62</f>
        <v/>
      </c>
      <c r="Y32" s="20">
        <f>'MR P&amp;L'!Y62</f>
        <v/>
      </c>
      <c r="Z32" s="20">
        <f>'MR P&amp;L'!Z62</f>
        <v/>
      </c>
      <c r="AA32" s="20">
        <f>'MR P&amp;L'!AA62</f>
        <v/>
      </c>
      <c r="AB32" s="20">
        <f>'MR P&amp;L'!AB62</f>
        <v/>
      </c>
      <c r="AC32" s="20">
        <f>'MR P&amp;L'!AC62</f>
        <v/>
      </c>
      <c r="AD32" s="20">
        <f>'MR P&amp;L'!AD62</f>
        <v/>
      </c>
      <c r="AE32" s="20">
        <f>'MR P&amp;L'!AE62</f>
        <v/>
      </c>
      <c r="AF32" s="20">
        <f>'MR P&amp;L'!AF62</f>
        <v/>
      </c>
      <c r="AG32" s="20">
        <f>'MR P&amp;L'!AG62</f>
        <v/>
      </c>
      <c r="AH32" s="20">
        <f>'MR P&amp;L'!AH62</f>
        <v/>
      </c>
      <c r="AI32" s="20">
        <f>'MR P&amp;L'!AI62</f>
        <v/>
      </c>
      <c r="AJ32" s="20">
        <f>'MR P&amp;L'!AJ62</f>
        <v/>
      </c>
      <c r="AK32" s="20">
        <f>'MR P&amp;L'!AK62</f>
        <v/>
      </c>
      <c r="AL32" s="20">
        <f>'MR P&amp;L'!AL62</f>
        <v/>
      </c>
      <c r="AM32" s="20">
        <f>'MR P&amp;L'!AM62</f>
        <v/>
      </c>
      <c r="AN32" s="20">
        <f>'MR P&amp;L'!AN62</f>
        <v/>
      </c>
      <c r="AO32" s="20">
        <f>'MR P&amp;L'!AO62</f>
        <v/>
      </c>
      <c r="AP32" s="20">
        <f>'MR P&amp;L'!AP62</f>
        <v/>
      </c>
      <c r="AQ32" s="20">
        <f>'MR P&amp;L'!AQ62</f>
        <v/>
      </c>
      <c r="AR32" s="20">
        <f>'MR P&amp;L'!AR62</f>
        <v/>
      </c>
      <c r="AS32" s="20">
        <f>'MR P&amp;L'!AS62</f>
        <v/>
      </c>
      <c r="AT32" s="20">
        <f>'MR P&amp;L'!AT62</f>
        <v/>
      </c>
      <c r="AU32" s="20">
        <f>'MR P&amp;L'!AU62</f>
        <v/>
      </c>
      <c r="AV32" s="20">
        <f>'MR P&amp;L'!AV62</f>
        <v/>
      </c>
      <c r="AW32" s="20">
        <f>'MR P&amp;L'!AW62</f>
        <v/>
      </c>
      <c r="AX32" s="20">
        <f>'MR P&amp;L'!AX62</f>
        <v/>
      </c>
      <c r="AY32" s="20">
        <f>'MR P&amp;L'!AY62</f>
        <v/>
      </c>
    </row>
    <row r="33">
      <c r="B33" s="15" t="inlineStr">
        <is>
          <t>Net Operating Income</t>
        </is>
      </c>
      <c r="D33" s="37">
        <f>'MR P&amp;L'!D63</f>
        <v/>
      </c>
      <c r="E33" s="37">
        <f>'MR P&amp;L'!E63</f>
        <v/>
      </c>
      <c r="F33" s="37">
        <f>'MR P&amp;L'!F63</f>
        <v/>
      </c>
      <c r="G33" s="37">
        <f>'MR P&amp;L'!G63</f>
        <v/>
      </c>
      <c r="H33" s="37">
        <f>'MR P&amp;L'!H63</f>
        <v/>
      </c>
      <c r="I33" s="37">
        <f>'MR P&amp;L'!I63</f>
        <v/>
      </c>
      <c r="J33" s="37">
        <f>'MR P&amp;L'!J63</f>
        <v/>
      </c>
      <c r="K33" s="37">
        <f>'MR P&amp;L'!K63</f>
        <v/>
      </c>
      <c r="L33" s="37">
        <f>'MR P&amp;L'!L63</f>
        <v/>
      </c>
      <c r="M33" s="37">
        <f>'MR P&amp;L'!M63</f>
        <v/>
      </c>
      <c r="N33" s="37">
        <f>'MR P&amp;L'!N63</f>
        <v/>
      </c>
      <c r="O33" s="37">
        <f>'MR P&amp;L'!O63</f>
        <v/>
      </c>
      <c r="P33" s="37">
        <f>'MR P&amp;L'!P63</f>
        <v/>
      </c>
      <c r="Q33" s="37">
        <f>'MR P&amp;L'!Q63</f>
        <v/>
      </c>
      <c r="R33" s="37">
        <f>'MR P&amp;L'!R63</f>
        <v/>
      </c>
      <c r="S33" s="37">
        <f>'MR P&amp;L'!S63</f>
        <v/>
      </c>
      <c r="T33" s="37">
        <f>'MR P&amp;L'!T63</f>
        <v/>
      </c>
      <c r="U33" s="37">
        <f>'MR P&amp;L'!U63</f>
        <v/>
      </c>
      <c r="V33" s="37">
        <f>'MR P&amp;L'!V63</f>
        <v/>
      </c>
      <c r="W33" s="37">
        <f>'MR P&amp;L'!W63</f>
        <v/>
      </c>
      <c r="X33" s="37">
        <f>'MR P&amp;L'!X63</f>
        <v/>
      </c>
      <c r="Y33" s="37">
        <f>'MR P&amp;L'!Y63</f>
        <v/>
      </c>
      <c r="Z33" s="37">
        <f>'MR P&amp;L'!Z63</f>
        <v/>
      </c>
      <c r="AA33" s="37">
        <f>'MR P&amp;L'!AA63</f>
        <v/>
      </c>
      <c r="AB33" s="37">
        <f>'MR P&amp;L'!AB63</f>
        <v/>
      </c>
      <c r="AC33" s="37">
        <f>'MR P&amp;L'!AC63</f>
        <v/>
      </c>
      <c r="AD33" s="37">
        <f>'MR P&amp;L'!AD63</f>
        <v/>
      </c>
      <c r="AE33" s="37">
        <f>'MR P&amp;L'!AE63</f>
        <v/>
      </c>
      <c r="AF33" s="37">
        <f>'MR P&amp;L'!AF63</f>
        <v/>
      </c>
      <c r="AG33" s="37">
        <f>'MR P&amp;L'!AG63</f>
        <v/>
      </c>
      <c r="AH33" s="37">
        <f>'MR P&amp;L'!AH63</f>
        <v/>
      </c>
      <c r="AI33" s="37">
        <f>'MR P&amp;L'!AI63</f>
        <v/>
      </c>
      <c r="AJ33" s="37">
        <f>'MR P&amp;L'!AJ63</f>
        <v/>
      </c>
      <c r="AK33" s="37">
        <f>'MR P&amp;L'!AK63</f>
        <v/>
      </c>
      <c r="AL33" s="37">
        <f>'MR P&amp;L'!AL63</f>
        <v/>
      </c>
      <c r="AM33" s="37">
        <f>'MR P&amp;L'!AM63</f>
        <v/>
      </c>
      <c r="AN33" s="37">
        <f>'MR P&amp;L'!AN63</f>
        <v/>
      </c>
      <c r="AO33" s="37">
        <f>'MR P&amp;L'!AO63</f>
        <v/>
      </c>
      <c r="AP33" s="37">
        <f>'MR P&amp;L'!AP63</f>
        <v/>
      </c>
      <c r="AQ33" s="37">
        <f>'MR P&amp;L'!AQ63</f>
        <v/>
      </c>
      <c r="AR33" s="37">
        <f>'MR P&amp;L'!AR63</f>
        <v/>
      </c>
      <c r="AS33" s="37">
        <f>'MR P&amp;L'!AS63</f>
        <v/>
      </c>
      <c r="AT33" s="37">
        <f>'MR P&amp;L'!AT63</f>
        <v/>
      </c>
      <c r="AU33" s="37">
        <f>'MR P&amp;L'!AU63</f>
        <v/>
      </c>
      <c r="AV33" s="37">
        <f>'MR P&amp;L'!AV63</f>
        <v/>
      </c>
      <c r="AW33" s="37">
        <f>'MR P&amp;L'!AW63</f>
        <v/>
      </c>
      <c r="AX33" s="37">
        <f>'MR P&amp;L'!AX63</f>
        <v/>
      </c>
      <c r="AY33" s="37">
        <f>'MR P&amp;L'!AY63</f>
        <v/>
      </c>
    </row>
    <row r="35" ht="16.05" customHeight="1" s="142">
      <c r="B35" s="10" t="inlineStr">
        <is>
          <t>Ocean Park (OP)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</row>
    <row r="36">
      <c r="B36" s="18" t="inlineStr">
        <is>
          <t>Total Revenue</t>
        </is>
      </c>
      <c r="D36" s="20">
        <f>'OP P&amp;L'!D21</f>
        <v/>
      </c>
      <c r="E36" s="20">
        <f>'OP P&amp;L'!E21</f>
        <v/>
      </c>
      <c r="F36" s="20">
        <f>'OP P&amp;L'!F21</f>
        <v/>
      </c>
      <c r="G36" s="20">
        <f>'OP P&amp;L'!G21</f>
        <v/>
      </c>
      <c r="H36" s="20">
        <f>'OP P&amp;L'!H21</f>
        <v/>
      </c>
      <c r="I36" s="20">
        <f>'OP P&amp;L'!I21</f>
        <v/>
      </c>
      <c r="J36" s="20">
        <f>'OP P&amp;L'!J21</f>
        <v/>
      </c>
      <c r="K36" s="20">
        <f>'OP P&amp;L'!K21</f>
        <v/>
      </c>
      <c r="L36" s="20">
        <f>'OP P&amp;L'!L21</f>
        <v/>
      </c>
      <c r="M36" s="20">
        <f>'OP P&amp;L'!M21</f>
        <v/>
      </c>
      <c r="N36" s="20">
        <f>'OP P&amp;L'!N21</f>
        <v/>
      </c>
      <c r="O36" s="20">
        <f>'OP P&amp;L'!O21</f>
        <v/>
      </c>
      <c r="P36" s="20">
        <f>'OP P&amp;L'!P21</f>
        <v/>
      </c>
      <c r="Q36" s="20">
        <f>'OP P&amp;L'!Q21</f>
        <v/>
      </c>
      <c r="R36" s="20">
        <f>'OP P&amp;L'!R21</f>
        <v/>
      </c>
      <c r="S36" s="20">
        <f>'OP P&amp;L'!S21</f>
        <v/>
      </c>
      <c r="T36" s="20">
        <f>'OP P&amp;L'!T21</f>
        <v/>
      </c>
      <c r="U36" s="20">
        <f>'OP P&amp;L'!U21</f>
        <v/>
      </c>
      <c r="V36" s="20">
        <f>'OP P&amp;L'!V21</f>
        <v/>
      </c>
      <c r="W36" s="20">
        <f>'OP P&amp;L'!W21</f>
        <v/>
      </c>
      <c r="X36" s="20">
        <f>'OP P&amp;L'!X21</f>
        <v/>
      </c>
      <c r="Y36" s="20">
        <f>'OP P&amp;L'!Y21</f>
        <v/>
      </c>
      <c r="Z36" s="20">
        <f>'OP P&amp;L'!Z21</f>
        <v/>
      </c>
      <c r="AA36" s="20">
        <f>'OP P&amp;L'!AA21</f>
        <v/>
      </c>
      <c r="AB36" s="20">
        <f>'OP P&amp;L'!AB21</f>
        <v/>
      </c>
      <c r="AC36" s="20">
        <f>'OP P&amp;L'!AC21</f>
        <v/>
      </c>
      <c r="AD36" s="20">
        <f>'OP P&amp;L'!AD21</f>
        <v/>
      </c>
      <c r="AE36" s="20">
        <f>'OP P&amp;L'!AE21</f>
        <v/>
      </c>
      <c r="AF36" s="20">
        <f>'OP P&amp;L'!AF21</f>
        <v/>
      </c>
      <c r="AG36" s="20">
        <f>'OP P&amp;L'!AG21</f>
        <v/>
      </c>
      <c r="AH36" s="20">
        <f>'OP P&amp;L'!AH21</f>
        <v/>
      </c>
      <c r="AI36" s="20">
        <f>'OP P&amp;L'!AI21</f>
        <v/>
      </c>
      <c r="AJ36" s="20">
        <f>'OP P&amp;L'!AJ21</f>
        <v/>
      </c>
      <c r="AK36" s="20">
        <f>'OP P&amp;L'!AK21</f>
        <v/>
      </c>
      <c r="AL36" s="20">
        <f>'OP P&amp;L'!AL21</f>
        <v/>
      </c>
      <c r="AM36" s="20">
        <f>'OP P&amp;L'!AM21</f>
        <v/>
      </c>
      <c r="AN36" s="20">
        <f>'OP P&amp;L'!AN21</f>
        <v/>
      </c>
      <c r="AO36" s="20">
        <f>'OP P&amp;L'!AO21</f>
        <v/>
      </c>
      <c r="AP36" s="20">
        <f>'OP P&amp;L'!AP21</f>
        <v/>
      </c>
      <c r="AQ36" s="20">
        <f>'OP P&amp;L'!AQ21</f>
        <v/>
      </c>
      <c r="AR36" s="20">
        <f>'OP P&amp;L'!AR21</f>
        <v/>
      </c>
      <c r="AS36" s="20">
        <f>'OP P&amp;L'!AS21</f>
        <v/>
      </c>
      <c r="AT36" s="20">
        <f>'OP P&amp;L'!AT21</f>
        <v/>
      </c>
      <c r="AU36" s="20">
        <f>'OP P&amp;L'!AU21</f>
        <v/>
      </c>
      <c r="AV36" s="20">
        <f>'OP P&amp;L'!AV21</f>
        <v/>
      </c>
      <c r="AW36" s="20">
        <f>'OP P&amp;L'!AW21</f>
        <v/>
      </c>
      <c r="AX36" s="20">
        <f>'OP P&amp;L'!AX21</f>
        <v/>
      </c>
      <c r="AY36" s="20">
        <f>'OP P&amp;L'!AY21</f>
        <v/>
      </c>
    </row>
    <row r="37">
      <c r="B37" s="18" t="inlineStr">
        <is>
          <t>Gross Profit</t>
        </is>
      </c>
      <c r="D37" s="20">
        <f>'OP P&amp;L'!D26</f>
        <v/>
      </c>
      <c r="E37" s="20">
        <f>'OP P&amp;L'!E26</f>
        <v/>
      </c>
      <c r="F37" s="20">
        <f>'OP P&amp;L'!F26</f>
        <v/>
      </c>
      <c r="G37" s="20">
        <f>'OP P&amp;L'!G26</f>
        <v/>
      </c>
      <c r="H37" s="20">
        <f>'OP P&amp;L'!H26</f>
        <v/>
      </c>
      <c r="I37" s="20">
        <f>'OP P&amp;L'!I26</f>
        <v/>
      </c>
      <c r="J37" s="20">
        <f>'OP P&amp;L'!J26</f>
        <v/>
      </c>
      <c r="K37" s="20">
        <f>'OP P&amp;L'!K26</f>
        <v/>
      </c>
      <c r="L37" s="20">
        <f>'OP P&amp;L'!L26</f>
        <v/>
      </c>
      <c r="M37" s="20">
        <f>'OP P&amp;L'!M26</f>
        <v/>
      </c>
      <c r="N37" s="20">
        <f>'OP P&amp;L'!N26</f>
        <v/>
      </c>
      <c r="O37" s="20">
        <f>'OP P&amp;L'!O26</f>
        <v/>
      </c>
      <c r="P37" s="20">
        <f>'OP P&amp;L'!P26</f>
        <v/>
      </c>
      <c r="Q37" s="20">
        <f>'OP P&amp;L'!Q26</f>
        <v/>
      </c>
      <c r="R37" s="20">
        <f>'OP P&amp;L'!R26</f>
        <v/>
      </c>
      <c r="S37" s="20">
        <f>'OP P&amp;L'!S26</f>
        <v/>
      </c>
      <c r="T37" s="20">
        <f>'OP P&amp;L'!T26</f>
        <v/>
      </c>
      <c r="U37" s="20">
        <f>'OP P&amp;L'!U26</f>
        <v/>
      </c>
      <c r="V37" s="20">
        <f>'OP P&amp;L'!V26</f>
        <v/>
      </c>
      <c r="W37" s="20">
        <f>'OP P&amp;L'!W26</f>
        <v/>
      </c>
      <c r="X37" s="20">
        <f>'OP P&amp;L'!X26</f>
        <v/>
      </c>
      <c r="Y37" s="20">
        <f>'OP P&amp;L'!Y26</f>
        <v/>
      </c>
      <c r="Z37" s="20">
        <f>'OP P&amp;L'!Z26</f>
        <v/>
      </c>
      <c r="AA37" s="20">
        <f>'OP P&amp;L'!AA26</f>
        <v/>
      </c>
      <c r="AB37" s="20">
        <f>'OP P&amp;L'!AB26</f>
        <v/>
      </c>
      <c r="AC37" s="20">
        <f>'OP P&amp;L'!AC26</f>
        <v/>
      </c>
      <c r="AD37" s="20">
        <f>'OP P&amp;L'!AD26</f>
        <v/>
      </c>
      <c r="AE37" s="20">
        <f>'OP P&amp;L'!AE26</f>
        <v/>
      </c>
      <c r="AF37" s="20">
        <f>'OP P&amp;L'!AF26</f>
        <v/>
      </c>
      <c r="AG37" s="20">
        <f>'OP P&amp;L'!AG26</f>
        <v/>
      </c>
      <c r="AH37" s="20">
        <f>'OP P&amp;L'!AH26</f>
        <v/>
      </c>
      <c r="AI37" s="20">
        <f>'OP P&amp;L'!AI26</f>
        <v/>
      </c>
      <c r="AJ37" s="20">
        <f>'OP P&amp;L'!AJ26</f>
        <v/>
      </c>
      <c r="AK37" s="20">
        <f>'OP P&amp;L'!AK26</f>
        <v/>
      </c>
      <c r="AL37" s="20">
        <f>'OP P&amp;L'!AL26</f>
        <v/>
      </c>
      <c r="AM37" s="20">
        <f>'OP P&amp;L'!AM26</f>
        <v/>
      </c>
      <c r="AN37" s="20">
        <f>'OP P&amp;L'!AN26</f>
        <v/>
      </c>
      <c r="AO37" s="20">
        <f>'OP P&amp;L'!AO26</f>
        <v/>
      </c>
      <c r="AP37" s="20">
        <f>'OP P&amp;L'!AP26</f>
        <v/>
      </c>
      <c r="AQ37" s="20">
        <f>'OP P&amp;L'!AQ26</f>
        <v/>
      </c>
      <c r="AR37" s="20">
        <f>'OP P&amp;L'!AR26</f>
        <v/>
      </c>
      <c r="AS37" s="20">
        <f>'OP P&amp;L'!AS26</f>
        <v/>
      </c>
      <c r="AT37" s="20">
        <f>'OP P&amp;L'!AT26</f>
        <v/>
      </c>
      <c r="AU37" s="20">
        <f>'OP P&amp;L'!AU26</f>
        <v/>
      </c>
      <c r="AV37" s="20">
        <f>'OP P&amp;L'!AV26</f>
        <v/>
      </c>
      <c r="AW37" s="20">
        <f>'OP P&amp;L'!AW26</f>
        <v/>
      </c>
      <c r="AX37" s="20">
        <f>'OP P&amp;L'!AX26</f>
        <v/>
      </c>
      <c r="AY37" s="20">
        <f>'OP P&amp;L'!AY26</f>
        <v/>
      </c>
    </row>
    <row r="38">
      <c r="B38" s="18" t="inlineStr">
        <is>
          <t>Total Operating Expenses</t>
        </is>
      </c>
      <c r="D38" s="20">
        <f>'OP P&amp;L'!D62</f>
        <v/>
      </c>
      <c r="E38" s="20">
        <f>'OP P&amp;L'!E62</f>
        <v/>
      </c>
      <c r="F38" s="20">
        <f>'OP P&amp;L'!F62</f>
        <v/>
      </c>
      <c r="G38" s="20">
        <f>'OP P&amp;L'!G62</f>
        <v/>
      </c>
      <c r="H38" s="20">
        <f>'OP P&amp;L'!H62</f>
        <v/>
      </c>
      <c r="I38" s="20">
        <f>'OP P&amp;L'!I62</f>
        <v/>
      </c>
      <c r="J38" s="20">
        <f>'OP P&amp;L'!J62</f>
        <v/>
      </c>
      <c r="K38" s="20">
        <f>'OP P&amp;L'!K62</f>
        <v/>
      </c>
      <c r="L38" s="20">
        <f>'OP P&amp;L'!L62</f>
        <v/>
      </c>
      <c r="M38" s="20">
        <f>'OP P&amp;L'!M62</f>
        <v/>
      </c>
      <c r="N38" s="20">
        <f>'OP P&amp;L'!N62</f>
        <v/>
      </c>
      <c r="O38" s="20">
        <f>'OP P&amp;L'!O62</f>
        <v/>
      </c>
      <c r="P38" s="20">
        <f>'OP P&amp;L'!P62</f>
        <v/>
      </c>
      <c r="Q38" s="20">
        <f>'OP P&amp;L'!Q62</f>
        <v/>
      </c>
      <c r="R38" s="20">
        <f>'OP P&amp;L'!R62</f>
        <v/>
      </c>
      <c r="S38" s="20">
        <f>'OP P&amp;L'!S62</f>
        <v/>
      </c>
      <c r="T38" s="20">
        <f>'OP P&amp;L'!T62</f>
        <v/>
      </c>
      <c r="U38" s="20">
        <f>'OP P&amp;L'!U62</f>
        <v/>
      </c>
      <c r="V38" s="20">
        <f>'OP P&amp;L'!V62</f>
        <v/>
      </c>
      <c r="W38" s="20">
        <f>'OP P&amp;L'!W62</f>
        <v/>
      </c>
      <c r="X38" s="20">
        <f>'OP P&amp;L'!X62</f>
        <v/>
      </c>
      <c r="Y38" s="20">
        <f>'OP P&amp;L'!Y62</f>
        <v/>
      </c>
      <c r="Z38" s="20">
        <f>'OP P&amp;L'!Z62</f>
        <v/>
      </c>
      <c r="AA38" s="20">
        <f>'OP P&amp;L'!AA62</f>
        <v/>
      </c>
      <c r="AB38" s="20">
        <f>'OP P&amp;L'!AB62</f>
        <v/>
      </c>
      <c r="AC38" s="20">
        <f>'OP P&amp;L'!AC62</f>
        <v/>
      </c>
      <c r="AD38" s="20">
        <f>'OP P&amp;L'!AD62</f>
        <v/>
      </c>
      <c r="AE38" s="20">
        <f>'OP P&amp;L'!AE62</f>
        <v/>
      </c>
      <c r="AF38" s="20">
        <f>'OP P&amp;L'!AF62</f>
        <v/>
      </c>
      <c r="AG38" s="20">
        <f>'OP P&amp;L'!AG62</f>
        <v/>
      </c>
      <c r="AH38" s="20">
        <f>'OP P&amp;L'!AH62</f>
        <v/>
      </c>
      <c r="AI38" s="20">
        <f>'OP P&amp;L'!AI62</f>
        <v/>
      </c>
      <c r="AJ38" s="20">
        <f>'OP P&amp;L'!AJ62</f>
        <v/>
      </c>
      <c r="AK38" s="20">
        <f>'OP P&amp;L'!AK62</f>
        <v/>
      </c>
      <c r="AL38" s="20">
        <f>'OP P&amp;L'!AL62</f>
        <v/>
      </c>
      <c r="AM38" s="20">
        <f>'OP P&amp;L'!AM62</f>
        <v/>
      </c>
      <c r="AN38" s="20">
        <f>'OP P&amp;L'!AN62</f>
        <v/>
      </c>
      <c r="AO38" s="20">
        <f>'OP P&amp;L'!AO62</f>
        <v/>
      </c>
      <c r="AP38" s="20">
        <f>'OP P&amp;L'!AP62</f>
        <v/>
      </c>
      <c r="AQ38" s="20">
        <f>'OP P&amp;L'!AQ62</f>
        <v/>
      </c>
      <c r="AR38" s="20">
        <f>'OP P&amp;L'!AR62</f>
        <v/>
      </c>
      <c r="AS38" s="20">
        <f>'OP P&amp;L'!AS62</f>
        <v/>
      </c>
      <c r="AT38" s="20">
        <f>'OP P&amp;L'!AT62</f>
        <v/>
      </c>
      <c r="AU38" s="20">
        <f>'OP P&amp;L'!AU62</f>
        <v/>
      </c>
      <c r="AV38" s="20">
        <f>'OP P&amp;L'!AV62</f>
        <v/>
      </c>
      <c r="AW38" s="20">
        <f>'OP P&amp;L'!AW62</f>
        <v/>
      </c>
      <c r="AX38" s="20">
        <f>'OP P&amp;L'!AX62</f>
        <v/>
      </c>
      <c r="AY38" s="20">
        <f>'OP P&amp;L'!AY62</f>
        <v/>
      </c>
    </row>
    <row r="39">
      <c r="B39" s="15" t="inlineStr">
        <is>
          <t>Net Operating Income</t>
        </is>
      </c>
      <c r="D39" s="37">
        <f>'OP P&amp;L'!D63</f>
        <v/>
      </c>
      <c r="E39" s="37">
        <f>'OP P&amp;L'!E63</f>
        <v/>
      </c>
      <c r="F39" s="37">
        <f>'OP P&amp;L'!F63</f>
        <v/>
      </c>
      <c r="G39" s="37">
        <f>'OP P&amp;L'!G63</f>
        <v/>
      </c>
      <c r="H39" s="37">
        <f>'OP P&amp;L'!H63</f>
        <v/>
      </c>
      <c r="I39" s="37">
        <f>'OP P&amp;L'!I63</f>
        <v/>
      </c>
      <c r="J39" s="37">
        <f>'OP P&amp;L'!J63</f>
        <v/>
      </c>
      <c r="K39" s="37">
        <f>'OP P&amp;L'!K63</f>
        <v/>
      </c>
      <c r="L39" s="37">
        <f>'OP P&amp;L'!L63</f>
        <v/>
      </c>
      <c r="M39" s="37">
        <f>'OP P&amp;L'!M63</f>
        <v/>
      </c>
      <c r="N39" s="37">
        <f>'OP P&amp;L'!N63</f>
        <v/>
      </c>
      <c r="O39" s="37">
        <f>'OP P&amp;L'!O63</f>
        <v/>
      </c>
      <c r="P39" s="37">
        <f>'OP P&amp;L'!P63</f>
        <v/>
      </c>
      <c r="Q39" s="37">
        <f>'OP P&amp;L'!Q63</f>
        <v/>
      </c>
      <c r="R39" s="37">
        <f>'OP P&amp;L'!R63</f>
        <v/>
      </c>
      <c r="S39" s="37">
        <f>'OP P&amp;L'!S63</f>
        <v/>
      </c>
      <c r="T39" s="37">
        <f>'OP P&amp;L'!T63</f>
        <v/>
      </c>
      <c r="U39" s="37">
        <f>'OP P&amp;L'!U63</f>
        <v/>
      </c>
      <c r="V39" s="37">
        <f>'OP P&amp;L'!V63</f>
        <v/>
      </c>
      <c r="W39" s="37">
        <f>'OP P&amp;L'!W63</f>
        <v/>
      </c>
      <c r="X39" s="37">
        <f>'OP P&amp;L'!X63</f>
        <v/>
      </c>
      <c r="Y39" s="37">
        <f>'OP P&amp;L'!Y63</f>
        <v/>
      </c>
      <c r="Z39" s="37">
        <f>'OP P&amp;L'!Z63</f>
        <v/>
      </c>
      <c r="AA39" s="37">
        <f>'OP P&amp;L'!AA63</f>
        <v/>
      </c>
      <c r="AB39" s="37">
        <f>'OP P&amp;L'!AB63</f>
        <v/>
      </c>
      <c r="AC39" s="37">
        <f>'OP P&amp;L'!AC63</f>
        <v/>
      </c>
      <c r="AD39" s="37">
        <f>'OP P&amp;L'!AD63</f>
        <v/>
      </c>
      <c r="AE39" s="37">
        <f>'OP P&amp;L'!AE63</f>
        <v/>
      </c>
      <c r="AF39" s="37">
        <f>'OP P&amp;L'!AF63</f>
        <v/>
      </c>
      <c r="AG39" s="37">
        <f>'OP P&amp;L'!AG63</f>
        <v/>
      </c>
      <c r="AH39" s="37">
        <f>'OP P&amp;L'!AH63</f>
        <v/>
      </c>
      <c r="AI39" s="37">
        <f>'OP P&amp;L'!AI63</f>
        <v/>
      </c>
      <c r="AJ39" s="37">
        <f>'OP P&amp;L'!AJ63</f>
        <v/>
      </c>
      <c r="AK39" s="37">
        <f>'OP P&amp;L'!AK63</f>
        <v/>
      </c>
      <c r="AL39" s="37">
        <f>'OP P&amp;L'!AL63</f>
        <v/>
      </c>
      <c r="AM39" s="37">
        <f>'OP P&amp;L'!AM63</f>
        <v/>
      </c>
      <c r="AN39" s="37">
        <f>'OP P&amp;L'!AN63</f>
        <v/>
      </c>
      <c r="AO39" s="37">
        <f>'OP P&amp;L'!AO63</f>
        <v/>
      </c>
      <c r="AP39" s="37">
        <f>'OP P&amp;L'!AP63</f>
        <v/>
      </c>
      <c r="AQ39" s="37">
        <f>'OP P&amp;L'!AQ63</f>
        <v/>
      </c>
      <c r="AR39" s="37">
        <f>'OP P&amp;L'!AR63</f>
        <v/>
      </c>
      <c r="AS39" s="37">
        <f>'OP P&amp;L'!AS63</f>
        <v/>
      </c>
      <c r="AT39" s="37">
        <f>'OP P&amp;L'!AT63</f>
        <v/>
      </c>
      <c r="AU39" s="37">
        <f>'OP P&amp;L'!AU63</f>
        <v/>
      </c>
      <c r="AV39" s="37">
        <f>'OP P&amp;L'!AV63</f>
        <v/>
      </c>
      <c r="AW39" s="37">
        <f>'OP P&amp;L'!AW63</f>
        <v/>
      </c>
      <c r="AX39" s="37">
        <f>'OP P&amp;L'!AX63</f>
        <v/>
      </c>
      <c r="AY39" s="37">
        <f>'OP P&amp;L'!AY63</f>
        <v/>
      </c>
    </row>
    <row r="41" ht="16.05" customHeight="1" s="142">
      <c r="B41" s="10" t="inlineStr">
        <is>
          <t>Presidio Heights (PH)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</row>
    <row r="42">
      <c r="B42" s="18" t="inlineStr">
        <is>
          <t>Total Revenue</t>
        </is>
      </c>
      <c r="D42" s="20">
        <f>'PH P&amp;L'!D21</f>
        <v/>
      </c>
      <c r="E42" s="20">
        <f>'PH P&amp;L'!E21</f>
        <v/>
      </c>
      <c r="F42" s="20">
        <f>'PH P&amp;L'!F21</f>
        <v/>
      </c>
      <c r="G42" s="20">
        <f>'PH P&amp;L'!G21</f>
        <v/>
      </c>
      <c r="H42" s="20">
        <f>'PH P&amp;L'!H21</f>
        <v/>
      </c>
      <c r="I42" s="20">
        <f>'PH P&amp;L'!I21</f>
        <v/>
      </c>
      <c r="J42" s="20">
        <f>'PH P&amp;L'!J21</f>
        <v/>
      </c>
      <c r="K42" s="20">
        <f>'PH P&amp;L'!K21</f>
        <v/>
      </c>
      <c r="L42" s="20">
        <f>'PH P&amp;L'!L21</f>
        <v/>
      </c>
      <c r="M42" s="20">
        <f>'PH P&amp;L'!M21</f>
        <v/>
      </c>
      <c r="N42" s="20">
        <f>'PH P&amp;L'!N21</f>
        <v/>
      </c>
      <c r="O42" s="20">
        <f>'PH P&amp;L'!O21</f>
        <v/>
      </c>
      <c r="P42" s="20">
        <f>'PH P&amp;L'!P21</f>
        <v/>
      </c>
      <c r="Q42" s="20">
        <f>'PH P&amp;L'!Q21</f>
        <v/>
      </c>
      <c r="R42" s="20">
        <f>'PH P&amp;L'!R21</f>
        <v/>
      </c>
      <c r="S42" s="20">
        <f>'PH P&amp;L'!S21</f>
        <v/>
      </c>
      <c r="T42" s="20">
        <f>'PH P&amp;L'!T21</f>
        <v/>
      </c>
      <c r="U42" s="20">
        <f>'PH P&amp;L'!U21</f>
        <v/>
      </c>
      <c r="V42" s="20">
        <f>'PH P&amp;L'!V21</f>
        <v/>
      </c>
      <c r="W42" s="20">
        <f>'PH P&amp;L'!W21</f>
        <v/>
      </c>
      <c r="X42" s="20">
        <f>'PH P&amp;L'!X21</f>
        <v/>
      </c>
      <c r="Y42" s="20">
        <f>'PH P&amp;L'!Y21</f>
        <v/>
      </c>
      <c r="Z42" s="20">
        <f>'PH P&amp;L'!Z21</f>
        <v/>
      </c>
      <c r="AA42" s="20">
        <f>'PH P&amp;L'!AA21</f>
        <v/>
      </c>
      <c r="AB42" s="20">
        <f>'PH P&amp;L'!AB21</f>
        <v/>
      </c>
      <c r="AC42" s="20">
        <f>'PH P&amp;L'!AC21</f>
        <v/>
      </c>
      <c r="AD42" s="20">
        <f>'PH P&amp;L'!AD21</f>
        <v/>
      </c>
      <c r="AE42" s="20">
        <f>'PH P&amp;L'!AE21</f>
        <v/>
      </c>
      <c r="AF42" s="20">
        <f>'PH P&amp;L'!AF21</f>
        <v/>
      </c>
      <c r="AG42" s="20">
        <f>'PH P&amp;L'!AG21</f>
        <v/>
      </c>
      <c r="AH42" s="20">
        <f>'PH P&amp;L'!AH21</f>
        <v/>
      </c>
      <c r="AI42" s="20">
        <f>'PH P&amp;L'!AI21</f>
        <v/>
      </c>
      <c r="AJ42" s="20">
        <f>'PH P&amp;L'!AJ21</f>
        <v/>
      </c>
      <c r="AK42" s="20">
        <f>'PH P&amp;L'!AK21</f>
        <v/>
      </c>
      <c r="AL42" s="20">
        <f>'PH P&amp;L'!AL21</f>
        <v/>
      </c>
      <c r="AM42" s="20">
        <f>'PH P&amp;L'!AM21</f>
        <v/>
      </c>
      <c r="AN42" s="20">
        <f>'PH P&amp;L'!AN21</f>
        <v/>
      </c>
      <c r="AO42" s="20">
        <f>'PH P&amp;L'!AO21</f>
        <v/>
      </c>
      <c r="AP42" s="20">
        <f>'PH P&amp;L'!AP21</f>
        <v/>
      </c>
      <c r="AQ42" s="20">
        <f>'PH P&amp;L'!AQ21</f>
        <v/>
      </c>
      <c r="AR42" s="20">
        <f>'PH P&amp;L'!AR21</f>
        <v/>
      </c>
      <c r="AS42" s="20">
        <f>'PH P&amp;L'!AS21</f>
        <v/>
      </c>
      <c r="AT42" s="20">
        <f>'PH P&amp;L'!AT21</f>
        <v/>
      </c>
      <c r="AU42" s="20">
        <f>'PH P&amp;L'!AU21</f>
        <v/>
      </c>
      <c r="AV42" s="20">
        <f>'PH P&amp;L'!AV21</f>
        <v/>
      </c>
      <c r="AW42" s="20">
        <f>'PH P&amp;L'!AW21</f>
        <v/>
      </c>
      <c r="AX42" s="20">
        <f>'PH P&amp;L'!AX21</f>
        <v/>
      </c>
      <c r="AY42" s="20">
        <f>'PH P&amp;L'!AY21</f>
        <v/>
      </c>
    </row>
    <row r="43">
      <c r="B43" s="18" t="inlineStr">
        <is>
          <t>Gross Profit</t>
        </is>
      </c>
      <c r="D43" s="20">
        <f>'PH P&amp;L'!D26</f>
        <v/>
      </c>
      <c r="E43" s="20">
        <f>'PH P&amp;L'!E26</f>
        <v/>
      </c>
      <c r="F43" s="20">
        <f>'PH P&amp;L'!F26</f>
        <v/>
      </c>
      <c r="G43" s="20">
        <f>'PH P&amp;L'!G26</f>
        <v/>
      </c>
      <c r="H43" s="20">
        <f>'PH P&amp;L'!H26</f>
        <v/>
      </c>
      <c r="I43" s="20">
        <f>'PH P&amp;L'!I26</f>
        <v/>
      </c>
      <c r="J43" s="20">
        <f>'PH P&amp;L'!J26</f>
        <v/>
      </c>
      <c r="K43" s="20">
        <f>'PH P&amp;L'!K26</f>
        <v/>
      </c>
      <c r="L43" s="20">
        <f>'PH P&amp;L'!L26</f>
        <v/>
      </c>
      <c r="M43" s="20">
        <f>'PH P&amp;L'!M26</f>
        <v/>
      </c>
      <c r="N43" s="20">
        <f>'PH P&amp;L'!N26</f>
        <v/>
      </c>
      <c r="O43" s="20">
        <f>'PH P&amp;L'!O26</f>
        <v/>
      </c>
      <c r="P43" s="20">
        <f>'PH P&amp;L'!P26</f>
        <v/>
      </c>
      <c r="Q43" s="20">
        <f>'PH P&amp;L'!Q26</f>
        <v/>
      </c>
      <c r="R43" s="20">
        <f>'PH P&amp;L'!R26</f>
        <v/>
      </c>
      <c r="S43" s="20">
        <f>'PH P&amp;L'!S26</f>
        <v/>
      </c>
      <c r="T43" s="20">
        <f>'PH P&amp;L'!T26</f>
        <v/>
      </c>
      <c r="U43" s="20">
        <f>'PH P&amp;L'!U26</f>
        <v/>
      </c>
      <c r="V43" s="20">
        <f>'PH P&amp;L'!V26</f>
        <v/>
      </c>
      <c r="W43" s="20">
        <f>'PH P&amp;L'!W26</f>
        <v/>
      </c>
      <c r="X43" s="20">
        <f>'PH P&amp;L'!X26</f>
        <v/>
      </c>
      <c r="Y43" s="20">
        <f>'PH P&amp;L'!Y26</f>
        <v/>
      </c>
      <c r="Z43" s="20">
        <f>'PH P&amp;L'!Z26</f>
        <v/>
      </c>
      <c r="AA43" s="20">
        <f>'PH P&amp;L'!AA26</f>
        <v/>
      </c>
      <c r="AB43" s="20">
        <f>'PH P&amp;L'!AB26</f>
        <v/>
      </c>
      <c r="AC43" s="20">
        <f>'PH P&amp;L'!AC26</f>
        <v/>
      </c>
      <c r="AD43" s="20">
        <f>'PH P&amp;L'!AD26</f>
        <v/>
      </c>
      <c r="AE43" s="20">
        <f>'PH P&amp;L'!AE26</f>
        <v/>
      </c>
      <c r="AF43" s="20">
        <f>'PH P&amp;L'!AF26</f>
        <v/>
      </c>
      <c r="AG43" s="20">
        <f>'PH P&amp;L'!AG26</f>
        <v/>
      </c>
      <c r="AH43" s="20">
        <f>'PH P&amp;L'!AH26</f>
        <v/>
      </c>
      <c r="AI43" s="20">
        <f>'PH P&amp;L'!AI26</f>
        <v/>
      </c>
      <c r="AJ43" s="20">
        <f>'PH P&amp;L'!AJ26</f>
        <v/>
      </c>
      <c r="AK43" s="20">
        <f>'PH P&amp;L'!AK26</f>
        <v/>
      </c>
      <c r="AL43" s="20">
        <f>'PH P&amp;L'!AL26</f>
        <v/>
      </c>
      <c r="AM43" s="20">
        <f>'PH P&amp;L'!AM26</f>
        <v/>
      </c>
      <c r="AN43" s="20">
        <f>'PH P&amp;L'!AN26</f>
        <v/>
      </c>
      <c r="AO43" s="20">
        <f>'PH P&amp;L'!AO26</f>
        <v/>
      </c>
      <c r="AP43" s="20">
        <f>'PH P&amp;L'!AP26</f>
        <v/>
      </c>
      <c r="AQ43" s="20">
        <f>'PH P&amp;L'!AQ26</f>
        <v/>
      </c>
      <c r="AR43" s="20">
        <f>'PH P&amp;L'!AR26</f>
        <v/>
      </c>
      <c r="AS43" s="20">
        <f>'PH P&amp;L'!AS26</f>
        <v/>
      </c>
      <c r="AT43" s="20">
        <f>'PH P&amp;L'!AT26</f>
        <v/>
      </c>
      <c r="AU43" s="20">
        <f>'PH P&amp;L'!AU26</f>
        <v/>
      </c>
      <c r="AV43" s="20">
        <f>'PH P&amp;L'!AV26</f>
        <v/>
      </c>
      <c r="AW43" s="20">
        <f>'PH P&amp;L'!AW26</f>
        <v/>
      </c>
      <c r="AX43" s="20">
        <f>'PH P&amp;L'!AX26</f>
        <v/>
      </c>
      <c r="AY43" s="20">
        <f>'PH P&amp;L'!AY26</f>
        <v/>
      </c>
    </row>
    <row r="44">
      <c r="B44" s="18" t="inlineStr">
        <is>
          <t>Total Operating Expenses</t>
        </is>
      </c>
      <c r="D44" s="20">
        <f>'PH P&amp;L'!D62</f>
        <v/>
      </c>
      <c r="E44" s="20">
        <f>'PH P&amp;L'!E62</f>
        <v/>
      </c>
      <c r="F44" s="20">
        <f>'PH P&amp;L'!F62</f>
        <v/>
      </c>
      <c r="G44" s="20">
        <f>'PH P&amp;L'!G62</f>
        <v/>
      </c>
      <c r="H44" s="20">
        <f>'PH P&amp;L'!H62</f>
        <v/>
      </c>
      <c r="I44" s="20">
        <f>'PH P&amp;L'!I62</f>
        <v/>
      </c>
      <c r="J44" s="20">
        <f>'PH P&amp;L'!J62</f>
        <v/>
      </c>
      <c r="K44" s="20">
        <f>'PH P&amp;L'!K62</f>
        <v/>
      </c>
      <c r="L44" s="20">
        <f>'PH P&amp;L'!L62</f>
        <v/>
      </c>
      <c r="M44" s="20">
        <f>'PH P&amp;L'!M62</f>
        <v/>
      </c>
      <c r="N44" s="20">
        <f>'PH P&amp;L'!N62</f>
        <v/>
      </c>
      <c r="O44" s="20">
        <f>'PH P&amp;L'!O62</f>
        <v/>
      </c>
      <c r="P44" s="20">
        <f>'PH P&amp;L'!P62</f>
        <v/>
      </c>
      <c r="Q44" s="20">
        <f>'PH P&amp;L'!Q62</f>
        <v/>
      </c>
      <c r="R44" s="20">
        <f>'PH P&amp;L'!R62</f>
        <v/>
      </c>
      <c r="S44" s="20">
        <f>'PH P&amp;L'!S62</f>
        <v/>
      </c>
      <c r="T44" s="20">
        <f>'PH P&amp;L'!T62</f>
        <v/>
      </c>
      <c r="U44" s="20">
        <f>'PH P&amp;L'!U62</f>
        <v/>
      </c>
      <c r="V44" s="20">
        <f>'PH P&amp;L'!V62</f>
        <v/>
      </c>
      <c r="W44" s="20">
        <f>'PH P&amp;L'!W62</f>
        <v/>
      </c>
      <c r="X44" s="20">
        <f>'PH P&amp;L'!X62</f>
        <v/>
      </c>
      <c r="Y44" s="20">
        <f>'PH P&amp;L'!Y62</f>
        <v/>
      </c>
      <c r="Z44" s="20">
        <f>'PH P&amp;L'!Z62</f>
        <v/>
      </c>
      <c r="AA44" s="20">
        <f>'PH P&amp;L'!AA62</f>
        <v/>
      </c>
      <c r="AB44" s="20">
        <f>'PH P&amp;L'!AB62</f>
        <v/>
      </c>
      <c r="AC44" s="20">
        <f>'PH P&amp;L'!AC62</f>
        <v/>
      </c>
      <c r="AD44" s="20">
        <f>'PH P&amp;L'!AD62</f>
        <v/>
      </c>
      <c r="AE44" s="20">
        <f>'PH P&amp;L'!AE62</f>
        <v/>
      </c>
      <c r="AF44" s="20">
        <f>'PH P&amp;L'!AF62</f>
        <v/>
      </c>
      <c r="AG44" s="20">
        <f>'PH P&amp;L'!AG62</f>
        <v/>
      </c>
      <c r="AH44" s="20">
        <f>'PH P&amp;L'!AH62</f>
        <v/>
      </c>
      <c r="AI44" s="20">
        <f>'PH P&amp;L'!AI62</f>
        <v/>
      </c>
      <c r="AJ44" s="20">
        <f>'PH P&amp;L'!AJ62</f>
        <v/>
      </c>
      <c r="AK44" s="20">
        <f>'PH P&amp;L'!AK62</f>
        <v/>
      </c>
      <c r="AL44" s="20">
        <f>'PH P&amp;L'!AL62</f>
        <v/>
      </c>
      <c r="AM44" s="20">
        <f>'PH P&amp;L'!AM62</f>
        <v/>
      </c>
      <c r="AN44" s="20">
        <f>'PH P&amp;L'!AN62</f>
        <v/>
      </c>
      <c r="AO44" s="20">
        <f>'PH P&amp;L'!AO62</f>
        <v/>
      </c>
      <c r="AP44" s="20">
        <f>'PH P&amp;L'!AP62</f>
        <v/>
      </c>
      <c r="AQ44" s="20">
        <f>'PH P&amp;L'!AQ62</f>
        <v/>
      </c>
      <c r="AR44" s="20">
        <f>'PH P&amp;L'!AR62</f>
        <v/>
      </c>
      <c r="AS44" s="20">
        <f>'PH P&amp;L'!AS62</f>
        <v/>
      </c>
      <c r="AT44" s="20">
        <f>'PH P&amp;L'!AT62</f>
        <v/>
      </c>
      <c r="AU44" s="20">
        <f>'PH P&amp;L'!AU62</f>
        <v/>
      </c>
      <c r="AV44" s="20">
        <f>'PH P&amp;L'!AV62</f>
        <v/>
      </c>
      <c r="AW44" s="20">
        <f>'PH P&amp;L'!AW62</f>
        <v/>
      </c>
      <c r="AX44" s="20">
        <f>'PH P&amp;L'!AX62</f>
        <v/>
      </c>
      <c r="AY44" s="20">
        <f>'PH P&amp;L'!AY62</f>
        <v/>
      </c>
    </row>
    <row r="45">
      <c r="B45" s="15" t="inlineStr">
        <is>
          <t>Net Operating Income</t>
        </is>
      </c>
      <c r="D45" s="37">
        <f>'PH P&amp;L'!D63</f>
        <v/>
      </c>
      <c r="E45" s="37">
        <f>'PH P&amp;L'!E63</f>
        <v/>
      </c>
      <c r="F45" s="37">
        <f>'PH P&amp;L'!F63</f>
        <v/>
      </c>
      <c r="G45" s="37">
        <f>'PH P&amp;L'!G63</f>
        <v/>
      </c>
      <c r="H45" s="37">
        <f>'PH P&amp;L'!H63</f>
        <v/>
      </c>
      <c r="I45" s="37">
        <f>'PH P&amp;L'!I63</f>
        <v/>
      </c>
      <c r="J45" s="37">
        <f>'PH P&amp;L'!J63</f>
        <v/>
      </c>
      <c r="K45" s="37">
        <f>'PH P&amp;L'!K63</f>
        <v/>
      </c>
      <c r="L45" s="37">
        <f>'PH P&amp;L'!L63</f>
        <v/>
      </c>
      <c r="M45" s="37">
        <f>'PH P&amp;L'!M63</f>
        <v/>
      </c>
      <c r="N45" s="37">
        <f>'PH P&amp;L'!N63</f>
        <v/>
      </c>
      <c r="O45" s="37">
        <f>'PH P&amp;L'!O63</f>
        <v/>
      </c>
      <c r="P45" s="37">
        <f>'PH P&amp;L'!P63</f>
        <v/>
      </c>
      <c r="Q45" s="37">
        <f>'PH P&amp;L'!Q63</f>
        <v/>
      </c>
      <c r="R45" s="37">
        <f>'PH P&amp;L'!R63</f>
        <v/>
      </c>
      <c r="S45" s="37">
        <f>'PH P&amp;L'!S63</f>
        <v/>
      </c>
      <c r="T45" s="37">
        <f>'PH P&amp;L'!T63</f>
        <v/>
      </c>
      <c r="U45" s="37">
        <f>'PH P&amp;L'!U63</f>
        <v/>
      </c>
      <c r="V45" s="37">
        <f>'PH P&amp;L'!V63</f>
        <v/>
      </c>
      <c r="W45" s="37">
        <f>'PH P&amp;L'!W63</f>
        <v/>
      </c>
      <c r="X45" s="37">
        <f>'PH P&amp;L'!X63</f>
        <v/>
      </c>
      <c r="Y45" s="37">
        <f>'PH P&amp;L'!Y63</f>
        <v/>
      </c>
      <c r="Z45" s="37">
        <f>'PH P&amp;L'!Z63</f>
        <v/>
      </c>
      <c r="AA45" s="37">
        <f>'PH P&amp;L'!AA63</f>
        <v/>
      </c>
      <c r="AB45" s="37">
        <f>'PH P&amp;L'!AB63</f>
        <v/>
      </c>
      <c r="AC45" s="37">
        <f>'PH P&amp;L'!AC63</f>
        <v/>
      </c>
      <c r="AD45" s="37">
        <f>'PH P&amp;L'!AD63</f>
        <v/>
      </c>
      <c r="AE45" s="37">
        <f>'PH P&amp;L'!AE63</f>
        <v/>
      </c>
      <c r="AF45" s="37">
        <f>'PH P&amp;L'!AF63</f>
        <v/>
      </c>
      <c r="AG45" s="37">
        <f>'PH P&amp;L'!AG63</f>
        <v/>
      </c>
      <c r="AH45" s="37">
        <f>'PH P&amp;L'!AH63</f>
        <v/>
      </c>
      <c r="AI45" s="37">
        <f>'PH P&amp;L'!AI63</f>
        <v/>
      </c>
      <c r="AJ45" s="37">
        <f>'PH P&amp;L'!AJ63</f>
        <v/>
      </c>
      <c r="AK45" s="37">
        <f>'PH P&amp;L'!AK63</f>
        <v/>
      </c>
      <c r="AL45" s="37">
        <f>'PH P&amp;L'!AL63</f>
        <v/>
      </c>
      <c r="AM45" s="37">
        <f>'PH P&amp;L'!AM63</f>
        <v/>
      </c>
      <c r="AN45" s="37">
        <f>'PH P&amp;L'!AN63</f>
        <v/>
      </c>
      <c r="AO45" s="37">
        <f>'PH P&amp;L'!AO63</f>
        <v/>
      </c>
      <c r="AP45" s="37">
        <f>'PH P&amp;L'!AP63</f>
        <v/>
      </c>
      <c r="AQ45" s="37">
        <f>'PH P&amp;L'!AQ63</f>
        <v/>
      </c>
      <c r="AR45" s="37">
        <f>'PH P&amp;L'!AR63</f>
        <v/>
      </c>
      <c r="AS45" s="37">
        <f>'PH P&amp;L'!AS63</f>
        <v/>
      </c>
      <c r="AT45" s="37">
        <f>'PH P&amp;L'!AT63</f>
        <v/>
      </c>
      <c r="AU45" s="37">
        <f>'PH P&amp;L'!AU63</f>
        <v/>
      </c>
      <c r="AV45" s="37">
        <f>'PH P&amp;L'!AV63</f>
        <v/>
      </c>
      <c r="AW45" s="37">
        <f>'PH P&amp;L'!AW63</f>
        <v/>
      </c>
      <c r="AX45" s="37">
        <f>'PH P&amp;L'!AX63</f>
        <v/>
      </c>
      <c r="AY45" s="37">
        <f>'PH P&amp;L'!AY63</f>
        <v/>
      </c>
    </row>
    <row r="47" ht="16.05" customHeight="1" s="142">
      <c r="B47" s="10" t="inlineStr">
        <is>
          <t>Russian Hill (RH)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</row>
    <row r="48">
      <c r="B48" s="18" t="inlineStr">
        <is>
          <t>Total Revenue</t>
        </is>
      </c>
      <c r="D48" s="20">
        <f>'RH P&amp;L'!D21</f>
        <v/>
      </c>
      <c r="E48" s="20">
        <f>'RH P&amp;L'!E21</f>
        <v/>
      </c>
      <c r="F48" s="20">
        <f>'RH P&amp;L'!F21</f>
        <v/>
      </c>
      <c r="G48" s="20">
        <f>'RH P&amp;L'!G21</f>
        <v/>
      </c>
      <c r="H48" s="20">
        <f>'RH P&amp;L'!H21</f>
        <v/>
      </c>
      <c r="I48" s="20">
        <f>'RH P&amp;L'!I21</f>
        <v/>
      </c>
      <c r="J48" s="20">
        <f>'RH P&amp;L'!J21</f>
        <v/>
      </c>
      <c r="K48" s="20">
        <f>'RH P&amp;L'!K21</f>
        <v/>
      </c>
      <c r="L48" s="20">
        <f>'RH P&amp;L'!L21</f>
        <v/>
      </c>
      <c r="M48" s="20">
        <f>'RH P&amp;L'!M21</f>
        <v/>
      </c>
      <c r="N48" s="20">
        <f>'RH P&amp;L'!N21</f>
        <v/>
      </c>
      <c r="O48" s="20">
        <f>'RH P&amp;L'!O21</f>
        <v/>
      </c>
      <c r="P48" s="20">
        <f>'RH P&amp;L'!P21</f>
        <v/>
      </c>
      <c r="Q48" s="20">
        <f>'RH P&amp;L'!Q21</f>
        <v/>
      </c>
      <c r="R48" s="20">
        <f>'RH P&amp;L'!R21</f>
        <v/>
      </c>
      <c r="S48" s="20">
        <f>'RH P&amp;L'!S21</f>
        <v/>
      </c>
      <c r="T48" s="20">
        <f>'RH P&amp;L'!T21</f>
        <v/>
      </c>
      <c r="U48" s="20">
        <f>'RH P&amp;L'!U21</f>
        <v/>
      </c>
      <c r="V48" s="20">
        <f>'RH P&amp;L'!V21</f>
        <v/>
      </c>
      <c r="W48" s="20">
        <f>'RH P&amp;L'!W21</f>
        <v/>
      </c>
      <c r="X48" s="20">
        <f>'RH P&amp;L'!X21</f>
        <v/>
      </c>
      <c r="Y48" s="20">
        <f>'RH P&amp;L'!Y21</f>
        <v/>
      </c>
      <c r="Z48" s="20">
        <f>'RH P&amp;L'!Z21</f>
        <v/>
      </c>
      <c r="AA48" s="20">
        <f>'RH P&amp;L'!AA21</f>
        <v/>
      </c>
      <c r="AB48" s="20">
        <f>'RH P&amp;L'!AB21</f>
        <v/>
      </c>
      <c r="AC48" s="20">
        <f>'RH P&amp;L'!AC21</f>
        <v/>
      </c>
      <c r="AD48" s="20">
        <f>'RH P&amp;L'!AD21</f>
        <v/>
      </c>
      <c r="AE48" s="20">
        <f>'RH P&amp;L'!AE21</f>
        <v/>
      </c>
      <c r="AF48" s="20">
        <f>'RH P&amp;L'!AF21</f>
        <v/>
      </c>
      <c r="AG48" s="20">
        <f>'RH P&amp;L'!AG21</f>
        <v/>
      </c>
      <c r="AH48" s="20">
        <f>'RH P&amp;L'!AH21</f>
        <v/>
      </c>
      <c r="AI48" s="20">
        <f>'RH P&amp;L'!AI21</f>
        <v/>
      </c>
      <c r="AJ48" s="20">
        <f>'RH P&amp;L'!AJ21</f>
        <v/>
      </c>
      <c r="AK48" s="20">
        <f>'RH P&amp;L'!AK21</f>
        <v/>
      </c>
      <c r="AL48" s="20">
        <f>'RH P&amp;L'!AL21</f>
        <v/>
      </c>
      <c r="AM48" s="20">
        <f>'RH P&amp;L'!AM21</f>
        <v/>
      </c>
      <c r="AN48" s="20">
        <f>'RH P&amp;L'!AN21</f>
        <v/>
      </c>
      <c r="AO48" s="20">
        <f>'RH P&amp;L'!AO21</f>
        <v/>
      </c>
      <c r="AP48" s="20">
        <f>'RH P&amp;L'!AP21</f>
        <v/>
      </c>
      <c r="AQ48" s="20">
        <f>'RH P&amp;L'!AQ21</f>
        <v/>
      </c>
      <c r="AR48" s="20">
        <f>'RH P&amp;L'!AR21</f>
        <v/>
      </c>
      <c r="AS48" s="20">
        <f>'RH P&amp;L'!AS21</f>
        <v/>
      </c>
      <c r="AT48" s="20">
        <f>'RH P&amp;L'!AT21</f>
        <v/>
      </c>
      <c r="AU48" s="20">
        <f>'RH P&amp;L'!AU21</f>
        <v/>
      </c>
      <c r="AV48" s="20">
        <f>'RH P&amp;L'!AV21</f>
        <v/>
      </c>
      <c r="AW48" s="20">
        <f>'RH P&amp;L'!AW21</f>
        <v/>
      </c>
      <c r="AX48" s="20">
        <f>'RH P&amp;L'!AX21</f>
        <v/>
      </c>
      <c r="AY48" s="20">
        <f>'RH P&amp;L'!AY21</f>
        <v/>
      </c>
    </row>
    <row r="49">
      <c r="B49" s="18" t="inlineStr">
        <is>
          <t>Gross Profit</t>
        </is>
      </c>
      <c r="D49" s="20">
        <f>'RH P&amp;L'!D26</f>
        <v/>
      </c>
      <c r="E49" s="20">
        <f>'RH P&amp;L'!E26</f>
        <v/>
      </c>
      <c r="F49" s="20">
        <f>'RH P&amp;L'!F26</f>
        <v/>
      </c>
      <c r="G49" s="20">
        <f>'RH P&amp;L'!G26</f>
        <v/>
      </c>
      <c r="H49" s="20">
        <f>'RH P&amp;L'!H26</f>
        <v/>
      </c>
      <c r="I49" s="20">
        <f>'RH P&amp;L'!I26</f>
        <v/>
      </c>
      <c r="J49" s="20">
        <f>'RH P&amp;L'!J26</f>
        <v/>
      </c>
      <c r="K49" s="20">
        <f>'RH P&amp;L'!K26</f>
        <v/>
      </c>
      <c r="L49" s="20">
        <f>'RH P&amp;L'!L26</f>
        <v/>
      </c>
      <c r="M49" s="20">
        <f>'RH P&amp;L'!M26</f>
        <v/>
      </c>
      <c r="N49" s="20">
        <f>'RH P&amp;L'!N26</f>
        <v/>
      </c>
      <c r="O49" s="20">
        <f>'RH P&amp;L'!O26</f>
        <v/>
      </c>
      <c r="P49" s="20">
        <f>'RH P&amp;L'!P26</f>
        <v/>
      </c>
      <c r="Q49" s="20">
        <f>'RH P&amp;L'!Q26</f>
        <v/>
      </c>
      <c r="R49" s="20">
        <f>'RH P&amp;L'!R26</f>
        <v/>
      </c>
      <c r="S49" s="20">
        <f>'RH P&amp;L'!S26</f>
        <v/>
      </c>
      <c r="T49" s="20">
        <f>'RH P&amp;L'!T26</f>
        <v/>
      </c>
      <c r="U49" s="20">
        <f>'RH P&amp;L'!U26</f>
        <v/>
      </c>
      <c r="V49" s="20">
        <f>'RH P&amp;L'!V26</f>
        <v/>
      </c>
      <c r="W49" s="20">
        <f>'RH P&amp;L'!W26</f>
        <v/>
      </c>
      <c r="X49" s="20">
        <f>'RH P&amp;L'!X26</f>
        <v/>
      </c>
      <c r="Y49" s="20">
        <f>'RH P&amp;L'!Y26</f>
        <v/>
      </c>
      <c r="Z49" s="20">
        <f>'RH P&amp;L'!Z26</f>
        <v/>
      </c>
      <c r="AA49" s="20">
        <f>'RH P&amp;L'!AA26</f>
        <v/>
      </c>
      <c r="AB49" s="20">
        <f>'RH P&amp;L'!AB26</f>
        <v/>
      </c>
      <c r="AC49" s="20">
        <f>'RH P&amp;L'!AC26</f>
        <v/>
      </c>
      <c r="AD49" s="20">
        <f>'RH P&amp;L'!AD26</f>
        <v/>
      </c>
      <c r="AE49" s="20">
        <f>'RH P&amp;L'!AE26</f>
        <v/>
      </c>
      <c r="AF49" s="20">
        <f>'RH P&amp;L'!AF26</f>
        <v/>
      </c>
      <c r="AG49" s="20">
        <f>'RH P&amp;L'!AG26</f>
        <v/>
      </c>
      <c r="AH49" s="20">
        <f>'RH P&amp;L'!AH26</f>
        <v/>
      </c>
      <c r="AI49" s="20">
        <f>'RH P&amp;L'!AI26</f>
        <v/>
      </c>
      <c r="AJ49" s="20">
        <f>'RH P&amp;L'!AJ26</f>
        <v/>
      </c>
      <c r="AK49" s="20">
        <f>'RH P&amp;L'!AK26</f>
        <v/>
      </c>
      <c r="AL49" s="20">
        <f>'RH P&amp;L'!AL26</f>
        <v/>
      </c>
      <c r="AM49" s="20">
        <f>'RH P&amp;L'!AM26</f>
        <v/>
      </c>
      <c r="AN49" s="20">
        <f>'RH P&amp;L'!AN26</f>
        <v/>
      </c>
      <c r="AO49" s="20">
        <f>'RH P&amp;L'!AO26</f>
        <v/>
      </c>
      <c r="AP49" s="20">
        <f>'RH P&amp;L'!AP26</f>
        <v/>
      </c>
      <c r="AQ49" s="20">
        <f>'RH P&amp;L'!AQ26</f>
        <v/>
      </c>
      <c r="AR49" s="20">
        <f>'RH P&amp;L'!AR26</f>
        <v/>
      </c>
      <c r="AS49" s="20">
        <f>'RH P&amp;L'!AS26</f>
        <v/>
      </c>
      <c r="AT49" s="20">
        <f>'RH P&amp;L'!AT26</f>
        <v/>
      </c>
      <c r="AU49" s="20">
        <f>'RH P&amp;L'!AU26</f>
        <v/>
      </c>
      <c r="AV49" s="20">
        <f>'RH P&amp;L'!AV26</f>
        <v/>
      </c>
      <c r="AW49" s="20">
        <f>'RH P&amp;L'!AW26</f>
        <v/>
      </c>
      <c r="AX49" s="20">
        <f>'RH P&amp;L'!AX26</f>
        <v/>
      </c>
      <c r="AY49" s="20">
        <f>'RH P&amp;L'!AY26</f>
        <v/>
      </c>
    </row>
    <row r="50">
      <c r="B50" s="18" t="inlineStr">
        <is>
          <t>Total Operating Expenses</t>
        </is>
      </c>
      <c r="D50" s="20">
        <f>'RH P&amp;L'!D62</f>
        <v/>
      </c>
      <c r="E50" s="20">
        <f>'RH P&amp;L'!E62</f>
        <v/>
      </c>
      <c r="F50" s="20">
        <f>'RH P&amp;L'!F62</f>
        <v/>
      </c>
      <c r="G50" s="20">
        <f>'RH P&amp;L'!G62</f>
        <v/>
      </c>
      <c r="H50" s="20">
        <f>'RH P&amp;L'!H62</f>
        <v/>
      </c>
      <c r="I50" s="20">
        <f>'RH P&amp;L'!I62</f>
        <v/>
      </c>
      <c r="J50" s="20">
        <f>'RH P&amp;L'!J62</f>
        <v/>
      </c>
      <c r="K50" s="20">
        <f>'RH P&amp;L'!K62</f>
        <v/>
      </c>
      <c r="L50" s="20">
        <f>'RH P&amp;L'!L62</f>
        <v/>
      </c>
      <c r="M50" s="20">
        <f>'RH P&amp;L'!M62</f>
        <v/>
      </c>
      <c r="N50" s="20">
        <f>'RH P&amp;L'!N62</f>
        <v/>
      </c>
      <c r="O50" s="20">
        <f>'RH P&amp;L'!O62</f>
        <v/>
      </c>
      <c r="P50" s="20">
        <f>'RH P&amp;L'!P62</f>
        <v/>
      </c>
      <c r="Q50" s="20">
        <f>'RH P&amp;L'!Q62</f>
        <v/>
      </c>
      <c r="R50" s="20">
        <f>'RH P&amp;L'!R62</f>
        <v/>
      </c>
      <c r="S50" s="20">
        <f>'RH P&amp;L'!S62</f>
        <v/>
      </c>
      <c r="T50" s="20">
        <f>'RH P&amp;L'!T62</f>
        <v/>
      </c>
      <c r="U50" s="20">
        <f>'RH P&amp;L'!U62</f>
        <v/>
      </c>
      <c r="V50" s="20">
        <f>'RH P&amp;L'!V62</f>
        <v/>
      </c>
      <c r="W50" s="20">
        <f>'RH P&amp;L'!W62</f>
        <v/>
      </c>
      <c r="X50" s="20">
        <f>'RH P&amp;L'!X62</f>
        <v/>
      </c>
      <c r="Y50" s="20">
        <f>'RH P&amp;L'!Y62</f>
        <v/>
      </c>
      <c r="Z50" s="20">
        <f>'RH P&amp;L'!Z62</f>
        <v/>
      </c>
      <c r="AA50" s="20">
        <f>'RH P&amp;L'!AA62</f>
        <v/>
      </c>
      <c r="AB50" s="20">
        <f>'RH P&amp;L'!AB62</f>
        <v/>
      </c>
      <c r="AC50" s="20">
        <f>'RH P&amp;L'!AC62</f>
        <v/>
      </c>
      <c r="AD50" s="20">
        <f>'RH P&amp;L'!AD62</f>
        <v/>
      </c>
      <c r="AE50" s="20">
        <f>'RH P&amp;L'!AE62</f>
        <v/>
      </c>
      <c r="AF50" s="20">
        <f>'RH P&amp;L'!AF62</f>
        <v/>
      </c>
      <c r="AG50" s="20">
        <f>'RH P&amp;L'!AG62</f>
        <v/>
      </c>
      <c r="AH50" s="20">
        <f>'RH P&amp;L'!AH62</f>
        <v/>
      </c>
      <c r="AI50" s="20">
        <f>'RH P&amp;L'!AI62</f>
        <v/>
      </c>
      <c r="AJ50" s="20">
        <f>'RH P&amp;L'!AJ62</f>
        <v/>
      </c>
      <c r="AK50" s="20">
        <f>'RH P&amp;L'!AK62</f>
        <v/>
      </c>
      <c r="AL50" s="20">
        <f>'RH P&amp;L'!AL62</f>
        <v/>
      </c>
      <c r="AM50" s="20">
        <f>'RH P&amp;L'!AM62</f>
        <v/>
      </c>
      <c r="AN50" s="20">
        <f>'RH P&amp;L'!AN62</f>
        <v/>
      </c>
      <c r="AO50" s="20">
        <f>'RH P&amp;L'!AO62</f>
        <v/>
      </c>
      <c r="AP50" s="20">
        <f>'RH P&amp;L'!AP62</f>
        <v/>
      </c>
      <c r="AQ50" s="20">
        <f>'RH P&amp;L'!AQ62</f>
        <v/>
      </c>
      <c r="AR50" s="20">
        <f>'RH P&amp;L'!AR62</f>
        <v/>
      </c>
      <c r="AS50" s="20">
        <f>'RH P&amp;L'!AS62</f>
        <v/>
      </c>
      <c r="AT50" s="20">
        <f>'RH P&amp;L'!AT62</f>
        <v/>
      </c>
      <c r="AU50" s="20">
        <f>'RH P&amp;L'!AU62</f>
        <v/>
      </c>
      <c r="AV50" s="20">
        <f>'RH P&amp;L'!AV62</f>
        <v/>
      </c>
      <c r="AW50" s="20">
        <f>'RH P&amp;L'!AW62</f>
        <v/>
      </c>
      <c r="AX50" s="20">
        <f>'RH P&amp;L'!AX62</f>
        <v/>
      </c>
      <c r="AY50" s="20">
        <f>'RH P&amp;L'!AY62</f>
        <v/>
      </c>
    </row>
    <row r="51">
      <c r="B51" s="15" t="inlineStr">
        <is>
          <t>Net Operating Income</t>
        </is>
      </c>
      <c r="D51" s="37">
        <f>'RH P&amp;L'!D63</f>
        <v/>
      </c>
      <c r="E51" s="37">
        <f>'RH P&amp;L'!E63</f>
        <v/>
      </c>
      <c r="F51" s="37">
        <f>'RH P&amp;L'!F63</f>
        <v/>
      </c>
      <c r="G51" s="37">
        <f>'RH P&amp;L'!G63</f>
        <v/>
      </c>
      <c r="H51" s="37">
        <f>'RH P&amp;L'!H63</f>
        <v/>
      </c>
      <c r="I51" s="37">
        <f>'RH P&amp;L'!I63</f>
        <v/>
      </c>
      <c r="J51" s="37">
        <f>'RH P&amp;L'!J63</f>
        <v/>
      </c>
      <c r="K51" s="37">
        <f>'RH P&amp;L'!K63</f>
        <v/>
      </c>
      <c r="L51" s="37">
        <f>'RH P&amp;L'!L63</f>
        <v/>
      </c>
      <c r="M51" s="37">
        <f>'RH P&amp;L'!M63</f>
        <v/>
      </c>
      <c r="N51" s="37">
        <f>'RH P&amp;L'!N63</f>
        <v/>
      </c>
      <c r="O51" s="37">
        <f>'RH P&amp;L'!O63</f>
        <v/>
      </c>
      <c r="P51" s="37">
        <f>'RH P&amp;L'!P63</f>
        <v/>
      </c>
      <c r="Q51" s="37">
        <f>'RH P&amp;L'!Q63</f>
        <v/>
      </c>
      <c r="R51" s="37">
        <f>'RH P&amp;L'!R63</f>
        <v/>
      </c>
      <c r="S51" s="37">
        <f>'RH P&amp;L'!S63</f>
        <v/>
      </c>
      <c r="T51" s="37">
        <f>'RH P&amp;L'!T63</f>
        <v/>
      </c>
      <c r="U51" s="37">
        <f>'RH P&amp;L'!U63</f>
        <v/>
      </c>
      <c r="V51" s="37">
        <f>'RH P&amp;L'!V63</f>
        <v/>
      </c>
      <c r="W51" s="37">
        <f>'RH P&amp;L'!W63</f>
        <v/>
      </c>
      <c r="X51" s="37">
        <f>'RH P&amp;L'!X63</f>
        <v/>
      </c>
      <c r="Y51" s="37">
        <f>'RH P&amp;L'!Y63</f>
        <v/>
      </c>
      <c r="Z51" s="37">
        <f>'RH P&amp;L'!Z63</f>
        <v/>
      </c>
      <c r="AA51" s="37">
        <f>'RH P&amp;L'!AA63</f>
        <v/>
      </c>
      <c r="AB51" s="37">
        <f>'RH P&amp;L'!AB63</f>
        <v/>
      </c>
      <c r="AC51" s="37">
        <f>'RH P&amp;L'!AC63</f>
        <v/>
      </c>
      <c r="AD51" s="37">
        <f>'RH P&amp;L'!AD63</f>
        <v/>
      </c>
      <c r="AE51" s="37">
        <f>'RH P&amp;L'!AE63</f>
        <v/>
      </c>
      <c r="AF51" s="37">
        <f>'RH P&amp;L'!AF63</f>
        <v/>
      </c>
      <c r="AG51" s="37">
        <f>'RH P&amp;L'!AG63</f>
        <v/>
      </c>
      <c r="AH51" s="37">
        <f>'RH P&amp;L'!AH63</f>
        <v/>
      </c>
      <c r="AI51" s="37">
        <f>'RH P&amp;L'!AI63</f>
        <v/>
      </c>
      <c r="AJ51" s="37">
        <f>'RH P&amp;L'!AJ63</f>
        <v/>
      </c>
      <c r="AK51" s="37">
        <f>'RH P&amp;L'!AK63</f>
        <v/>
      </c>
      <c r="AL51" s="37">
        <f>'RH P&amp;L'!AL63</f>
        <v/>
      </c>
      <c r="AM51" s="37">
        <f>'RH P&amp;L'!AM63</f>
        <v/>
      </c>
      <c r="AN51" s="37">
        <f>'RH P&amp;L'!AN63</f>
        <v/>
      </c>
      <c r="AO51" s="37">
        <f>'RH P&amp;L'!AO63</f>
        <v/>
      </c>
      <c r="AP51" s="37">
        <f>'RH P&amp;L'!AP63</f>
        <v/>
      </c>
      <c r="AQ51" s="37">
        <f>'RH P&amp;L'!AQ63</f>
        <v/>
      </c>
      <c r="AR51" s="37">
        <f>'RH P&amp;L'!AR63</f>
        <v/>
      </c>
      <c r="AS51" s="37">
        <f>'RH P&amp;L'!AS63</f>
        <v/>
      </c>
      <c r="AT51" s="37">
        <f>'RH P&amp;L'!AT63</f>
        <v/>
      </c>
      <c r="AU51" s="37">
        <f>'RH P&amp;L'!AU63</f>
        <v/>
      </c>
      <c r="AV51" s="37">
        <f>'RH P&amp;L'!AV63</f>
        <v/>
      </c>
      <c r="AW51" s="37">
        <f>'RH P&amp;L'!AW63</f>
        <v/>
      </c>
      <c r="AX51" s="37">
        <f>'RH P&amp;L'!AX63</f>
        <v/>
      </c>
      <c r="AY51" s="37">
        <f>'RH P&amp;L'!AY63</f>
        <v/>
      </c>
    </row>
    <row r="53" ht="16.05" customHeight="1" s="142">
      <c r="B53" s="10" t="inlineStr">
        <is>
          <t>Santa Barbara (SB)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</row>
    <row r="54">
      <c r="B54" s="18" t="inlineStr">
        <is>
          <t>Total Revenue</t>
        </is>
      </c>
      <c r="D54" s="20">
        <f>'SB P&amp;L'!D21</f>
        <v/>
      </c>
      <c r="E54" s="20">
        <f>'SB P&amp;L'!E21</f>
        <v/>
      </c>
      <c r="F54" s="20">
        <f>'SB P&amp;L'!F21</f>
        <v/>
      </c>
      <c r="G54" s="20">
        <f>'SB P&amp;L'!G21</f>
        <v/>
      </c>
      <c r="H54" s="20">
        <f>'SB P&amp;L'!H21</f>
        <v/>
      </c>
      <c r="I54" s="20">
        <f>'SB P&amp;L'!I21</f>
        <v/>
      </c>
      <c r="J54" s="20">
        <f>'SB P&amp;L'!J21</f>
        <v/>
      </c>
      <c r="K54" s="20">
        <f>'SB P&amp;L'!K21</f>
        <v/>
      </c>
      <c r="L54" s="20">
        <f>'SB P&amp;L'!L21</f>
        <v/>
      </c>
      <c r="M54" s="20">
        <f>'SB P&amp;L'!M21</f>
        <v/>
      </c>
      <c r="N54" s="20">
        <f>'SB P&amp;L'!N21</f>
        <v/>
      </c>
      <c r="O54" s="20">
        <f>'SB P&amp;L'!O21</f>
        <v/>
      </c>
      <c r="P54" s="20">
        <f>'SB P&amp;L'!P21</f>
        <v/>
      </c>
      <c r="Q54" s="20">
        <f>'SB P&amp;L'!Q21</f>
        <v/>
      </c>
      <c r="R54" s="20">
        <f>'SB P&amp;L'!R21</f>
        <v/>
      </c>
      <c r="S54" s="20">
        <f>'SB P&amp;L'!S21</f>
        <v/>
      </c>
      <c r="T54" s="20">
        <f>'SB P&amp;L'!T21</f>
        <v/>
      </c>
      <c r="U54" s="20">
        <f>'SB P&amp;L'!U21</f>
        <v/>
      </c>
      <c r="V54" s="20">
        <f>'SB P&amp;L'!V21</f>
        <v/>
      </c>
      <c r="W54" s="20">
        <f>'SB P&amp;L'!W21</f>
        <v/>
      </c>
      <c r="X54" s="20">
        <f>'SB P&amp;L'!X21</f>
        <v/>
      </c>
      <c r="Y54" s="20">
        <f>'SB P&amp;L'!Y21</f>
        <v/>
      </c>
      <c r="Z54" s="20">
        <f>'SB P&amp;L'!Z21</f>
        <v/>
      </c>
      <c r="AA54" s="20">
        <f>'SB P&amp;L'!AA21</f>
        <v/>
      </c>
      <c r="AB54" s="20">
        <f>'SB P&amp;L'!AB21</f>
        <v/>
      </c>
      <c r="AC54" s="20">
        <f>'SB P&amp;L'!AC21</f>
        <v/>
      </c>
      <c r="AD54" s="20">
        <f>'SB P&amp;L'!AD21</f>
        <v/>
      </c>
      <c r="AE54" s="20">
        <f>'SB P&amp;L'!AE21</f>
        <v/>
      </c>
      <c r="AF54" s="20">
        <f>'SB P&amp;L'!AF21</f>
        <v/>
      </c>
      <c r="AG54" s="20">
        <f>'SB P&amp;L'!AG21</f>
        <v/>
      </c>
      <c r="AH54" s="20">
        <f>'SB P&amp;L'!AH21</f>
        <v/>
      </c>
      <c r="AI54" s="20">
        <f>'SB P&amp;L'!AI21</f>
        <v/>
      </c>
      <c r="AJ54" s="20">
        <f>'SB P&amp;L'!AJ21</f>
        <v/>
      </c>
      <c r="AK54" s="20">
        <f>'SB P&amp;L'!AK21</f>
        <v/>
      </c>
      <c r="AL54" s="20">
        <f>'SB P&amp;L'!AL21</f>
        <v/>
      </c>
      <c r="AM54" s="20">
        <f>'SB P&amp;L'!AM21</f>
        <v/>
      </c>
      <c r="AN54" s="20">
        <f>'SB P&amp;L'!AN21</f>
        <v/>
      </c>
      <c r="AO54" s="20">
        <f>'SB P&amp;L'!AO21</f>
        <v/>
      </c>
      <c r="AP54" s="20">
        <f>'SB P&amp;L'!AP21</f>
        <v/>
      </c>
      <c r="AQ54" s="20">
        <f>'SB P&amp;L'!AQ21</f>
        <v/>
      </c>
      <c r="AR54" s="20">
        <f>'SB P&amp;L'!AR21</f>
        <v/>
      </c>
      <c r="AS54" s="20">
        <f>'SB P&amp;L'!AS21</f>
        <v/>
      </c>
      <c r="AT54" s="20">
        <f>'SB P&amp;L'!AT21</f>
        <v/>
      </c>
      <c r="AU54" s="20">
        <f>'SB P&amp;L'!AU21</f>
        <v/>
      </c>
      <c r="AV54" s="20">
        <f>'SB P&amp;L'!AV21</f>
        <v/>
      </c>
      <c r="AW54" s="20">
        <f>'SB P&amp;L'!AW21</f>
        <v/>
      </c>
      <c r="AX54" s="20">
        <f>'SB P&amp;L'!AX21</f>
        <v/>
      </c>
      <c r="AY54" s="20">
        <f>'SB P&amp;L'!AY21</f>
        <v/>
      </c>
    </row>
    <row r="55">
      <c r="B55" s="18" t="inlineStr">
        <is>
          <t>Gross Profit</t>
        </is>
      </c>
      <c r="D55" s="20">
        <f>'SB P&amp;L'!D26</f>
        <v/>
      </c>
      <c r="E55" s="20">
        <f>'SB P&amp;L'!E26</f>
        <v/>
      </c>
      <c r="F55" s="20">
        <f>'SB P&amp;L'!F26</f>
        <v/>
      </c>
      <c r="G55" s="20">
        <f>'SB P&amp;L'!G26</f>
        <v/>
      </c>
      <c r="H55" s="20">
        <f>'SB P&amp;L'!H26</f>
        <v/>
      </c>
      <c r="I55" s="20">
        <f>'SB P&amp;L'!I26</f>
        <v/>
      </c>
      <c r="J55" s="20">
        <f>'SB P&amp;L'!J26</f>
        <v/>
      </c>
      <c r="K55" s="20">
        <f>'SB P&amp;L'!K26</f>
        <v/>
      </c>
      <c r="L55" s="20">
        <f>'SB P&amp;L'!L26</f>
        <v/>
      </c>
      <c r="M55" s="20">
        <f>'SB P&amp;L'!M26</f>
        <v/>
      </c>
      <c r="N55" s="20">
        <f>'SB P&amp;L'!N26</f>
        <v/>
      </c>
      <c r="O55" s="20">
        <f>'SB P&amp;L'!O26</f>
        <v/>
      </c>
      <c r="P55" s="20">
        <f>'SB P&amp;L'!P26</f>
        <v/>
      </c>
      <c r="Q55" s="20">
        <f>'SB P&amp;L'!Q26</f>
        <v/>
      </c>
      <c r="R55" s="20">
        <f>'SB P&amp;L'!R26</f>
        <v/>
      </c>
      <c r="S55" s="20">
        <f>'SB P&amp;L'!S26</f>
        <v/>
      </c>
      <c r="T55" s="20">
        <f>'SB P&amp;L'!T26</f>
        <v/>
      </c>
      <c r="U55" s="20">
        <f>'SB P&amp;L'!U26</f>
        <v/>
      </c>
      <c r="V55" s="20">
        <f>'SB P&amp;L'!V26</f>
        <v/>
      </c>
      <c r="W55" s="20">
        <f>'SB P&amp;L'!W26</f>
        <v/>
      </c>
      <c r="X55" s="20">
        <f>'SB P&amp;L'!X26</f>
        <v/>
      </c>
      <c r="Y55" s="20">
        <f>'SB P&amp;L'!Y26</f>
        <v/>
      </c>
      <c r="Z55" s="20">
        <f>'SB P&amp;L'!Z26</f>
        <v/>
      </c>
      <c r="AA55" s="20">
        <f>'SB P&amp;L'!AA26</f>
        <v/>
      </c>
      <c r="AB55" s="20">
        <f>'SB P&amp;L'!AB26</f>
        <v/>
      </c>
      <c r="AC55" s="20">
        <f>'SB P&amp;L'!AC26</f>
        <v/>
      </c>
      <c r="AD55" s="20">
        <f>'SB P&amp;L'!AD26</f>
        <v/>
      </c>
      <c r="AE55" s="20">
        <f>'SB P&amp;L'!AE26</f>
        <v/>
      </c>
      <c r="AF55" s="20">
        <f>'SB P&amp;L'!AF26</f>
        <v/>
      </c>
      <c r="AG55" s="20">
        <f>'SB P&amp;L'!AG26</f>
        <v/>
      </c>
      <c r="AH55" s="20">
        <f>'SB P&amp;L'!AH26</f>
        <v/>
      </c>
      <c r="AI55" s="20">
        <f>'SB P&amp;L'!AI26</f>
        <v/>
      </c>
      <c r="AJ55" s="20">
        <f>'SB P&amp;L'!AJ26</f>
        <v/>
      </c>
      <c r="AK55" s="20">
        <f>'SB P&amp;L'!AK26</f>
        <v/>
      </c>
      <c r="AL55" s="20">
        <f>'SB P&amp;L'!AL26</f>
        <v/>
      </c>
      <c r="AM55" s="20">
        <f>'SB P&amp;L'!AM26</f>
        <v/>
      </c>
      <c r="AN55" s="20">
        <f>'SB P&amp;L'!AN26</f>
        <v/>
      </c>
      <c r="AO55" s="20">
        <f>'SB P&amp;L'!AO26</f>
        <v/>
      </c>
      <c r="AP55" s="20">
        <f>'SB P&amp;L'!AP26</f>
        <v/>
      </c>
      <c r="AQ55" s="20">
        <f>'SB P&amp;L'!AQ26</f>
        <v/>
      </c>
      <c r="AR55" s="20">
        <f>'SB P&amp;L'!AR26</f>
        <v/>
      </c>
      <c r="AS55" s="20">
        <f>'SB P&amp;L'!AS26</f>
        <v/>
      </c>
      <c r="AT55" s="20">
        <f>'SB P&amp;L'!AT26</f>
        <v/>
      </c>
      <c r="AU55" s="20">
        <f>'SB P&amp;L'!AU26</f>
        <v/>
      </c>
      <c r="AV55" s="20">
        <f>'SB P&amp;L'!AV26</f>
        <v/>
      </c>
      <c r="AW55" s="20">
        <f>'SB P&amp;L'!AW26</f>
        <v/>
      </c>
      <c r="AX55" s="20">
        <f>'SB P&amp;L'!AX26</f>
        <v/>
      </c>
      <c r="AY55" s="20">
        <f>'SB P&amp;L'!AY26</f>
        <v/>
      </c>
    </row>
    <row r="56">
      <c r="B56" s="18" t="inlineStr">
        <is>
          <t>Total Operating Expenses</t>
        </is>
      </c>
      <c r="D56" s="20">
        <f>'SB P&amp;L'!D62</f>
        <v/>
      </c>
      <c r="E56" s="20">
        <f>'SB P&amp;L'!E62</f>
        <v/>
      </c>
      <c r="F56" s="20">
        <f>'SB P&amp;L'!F62</f>
        <v/>
      </c>
      <c r="G56" s="20">
        <f>'SB P&amp;L'!G62</f>
        <v/>
      </c>
      <c r="H56" s="20">
        <f>'SB P&amp;L'!H62</f>
        <v/>
      </c>
      <c r="I56" s="20">
        <f>'SB P&amp;L'!I62</f>
        <v/>
      </c>
      <c r="J56" s="20">
        <f>'SB P&amp;L'!J62</f>
        <v/>
      </c>
      <c r="K56" s="20">
        <f>'SB P&amp;L'!K62</f>
        <v/>
      </c>
      <c r="L56" s="20">
        <f>'SB P&amp;L'!L62</f>
        <v/>
      </c>
      <c r="M56" s="20">
        <f>'SB P&amp;L'!M62</f>
        <v/>
      </c>
      <c r="N56" s="20">
        <f>'SB P&amp;L'!N62</f>
        <v/>
      </c>
      <c r="O56" s="20">
        <f>'SB P&amp;L'!O62</f>
        <v/>
      </c>
      <c r="P56" s="20">
        <f>'SB P&amp;L'!P62</f>
        <v/>
      </c>
      <c r="Q56" s="20">
        <f>'SB P&amp;L'!Q62</f>
        <v/>
      </c>
      <c r="R56" s="20">
        <f>'SB P&amp;L'!R62</f>
        <v/>
      </c>
      <c r="S56" s="20">
        <f>'SB P&amp;L'!S62</f>
        <v/>
      </c>
      <c r="T56" s="20">
        <f>'SB P&amp;L'!T62</f>
        <v/>
      </c>
      <c r="U56" s="20">
        <f>'SB P&amp;L'!U62</f>
        <v/>
      </c>
      <c r="V56" s="20">
        <f>'SB P&amp;L'!V62</f>
        <v/>
      </c>
      <c r="W56" s="20">
        <f>'SB P&amp;L'!W62</f>
        <v/>
      </c>
      <c r="X56" s="20">
        <f>'SB P&amp;L'!X62</f>
        <v/>
      </c>
      <c r="Y56" s="20">
        <f>'SB P&amp;L'!Y62</f>
        <v/>
      </c>
      <c r="Z56" s="20">
        <f>'SB P&amp;L'!Z62</f>
        <v/>
      </c>
      <c r="AA56" s="20">
        <f>'SB P&amp;L'!AA62</f>
        <v/>
      </c>
      <c r="AB56" s="20">
        <f>'SB P&amp;L'!AB62</f>
        <v/>
      </c>
      <c r="AC56" s="20">
        <f>'SB P&amp;L'!AC62</f>
        <v/>
      </c>
      <c r="AD56" s="20">
        <f>'SB P&amp;L'!AD62</f>
        <v/>
      </c>
      <c r="AE56" s="20">
        <f>'SB P&amp;L'!AE62</f>
        <v/>
      </c>
      <c r="AF56" s="20">
        <f>'SB P&amp;L'!AF62</f>
        <v/>
      </c>
      <c r="AG56" s="20">
        <f>'SB P&amp;L'!AG62</f>
        <v/>
      </c>
      <c r="AH56" s="20">
        <f>'SB P&amp;L'!AH62</f>
        <v/>
      </c>
      <c r="AI56" s="20">
        <f>'SB P&amp;L'!AI62</f>
        <v/>
      </c>
      <c r="AJ56" s="20">
        <f>'SB P&amp;L'!AJ62</f>
        <v/>
      </c>
      <c r="AK56" s="20">
        <f>'SB P&amp;L'!AK62</f>
        <v/>
      </c>
      <c r="AL56" s="20">
        <f>'SB P&amp;L'!AL62</f>
        <v/>
      </c>
      <c r="AM56" s="20">
        <f>'SB P&amp;L'!AM62</f>
        <v/>
      </c>
      <c r="AN56" s="20">
        <f>'SB P&amp;L'!AN62</f>
        <v/>
      </c>
      <c r="AO56" s="20">
        <f>'SB P&amp;L'!AO62</f>
        <v/>
      </c>
      <c r="AP56" s="20">
        <f>'SB P&amp;L'!AP62</f>
        <v/>
      </c>
      <c r="AQ56" s="20">
        <f>'SB P&amp;L'!AQ62</f>
        <v/>
      </c>
      <c r="AR56" s="20">
        <f>'SB P&amp;L'!AR62</f>
        <v/>
      </c>
      <c r="AS56" s="20">
        <f>'SB P&amp;L'!AS62</f>
        <v/>
      </c>
      <c r="AT56" s="20">
        <f>'SB P&amp;L'!AT62</f>
        <v/>
      </c>
      <c r="AU56" s="20">
        <f>'SB P&amp;L'!AU62</f>
        <v/>
      </c>
      <c r="AV56" s="20">
        <f>'SB P&amp;L'!AV62</f>
        <v/>
      </c>
      <c r="AW56" s="20">
        <f>'SB P&amp;L'!AW62</f>
        <v/>
      </c>
      <c r="AX56" s="20">
        <f>'SB P&amp;L'!AX62</f>
        <v/>
      </c>
      <c r="AY56" s="20">
        <f>'SB P&amp;L'!AY62</f>
        <v/>
      </c>
    </row>
    <row r="57">
      <c r="B57" s="15" t="inlineStr">
        <is>
          <t>Net Operating Income</t>
        </is>
      </c>
      <c r="D57" s="37">
        <f>'SB P&amp;L'!D63</f>
        <v/>
      </c>
      <c r="E57" s="37">
        <f>'SB P&amp;L'!E63</f>
        <v/>
      </c>
      <c r="F57" s="37">
        <f>'SB P&amp;L'!F63</f>
        <v/>
      </c>
      <c r="G57" s="37">
        <f>'SB P&amp;L'!G63</f>
        <v/>
      </c>
      <c r="H57" s="37">
        <f>'SB P&amp;L'!H63</f>
        <v/>
      </c>
      <c r="I57" s="37">
        <f>'SB P&amp;L'!I63</f>
        <v/>
      </c>
      <c r="J57" s="37">
        <f>'SB P&amp;L'!J63</f>
        <v/>
      </c>
      <c r="K57" s="37">
        <f>'SB P&amp;L'!K63</f>
        <v/>
      </c>
      <c r="L57" s="37">
        <f>'SB P&amp;L'!L63</f>
        <v/>
      </c>
      <c r="M57" s="37">
        <f>'SB P&amp;L'!M63</f>
        <v/>
      </c>
      <c r="N57" s="37">
        <f>'SB P&amp;L'!N63</f>
        <v/>
      </c>
      <c r="O57" s="37">
        <f>'SB P&amp;L'!O63</f>
        <v/>
      </c>
      <c r="P57" s="37">
        <f>'SB P&amp;L'!P63</f>
        <v/>
      </c>
      <c r="Q57" s="37">
        <f>'SB P&amp;L'!Q63</f>
        <v/>
      </c>
      <c r="R57" s="37">
        <f>'SB P&amp;L'!R63</f>
        <v/>
      </c>
      <c r="S57" s="37">
        <f>'SB P&amp;L'!S63</f>
        <v/>
      </c>
      <c r="T57" s="37">
        <f>'SB P&amp;L'!T63</f>
        <v/>
      </c>
      <c r="U57" s="37">
        <f>'SB P&amp;L'!U63</f>
        <v/>
      </c>
      <c r="V57" s="37">
        <f>'SB P&amp;L'!V63</f>
        <v/>
      </c>
      <c r="W57" s="37">
        <f>'SB P&amp;L'!W63</f>
        <v/>
      </c>
      <c r="X57" s="37">
        <f>'SB P&amp;L'!X63</f>
        <v/>
      </c>
      <c r="Y57" s="37">
        <f>'SB P&amp;L'!Y63</f>
        <v/>
      </c>
      <c r="Z57" s="37">
        <f>'SB P&amp;L'!Z63</f>
        <v/>
      </c>
      <c r="AA57" s="37">
        <f>'SB P&amp;L'!AA63</f>
        <v/>
      </c>
      <c r="AB57" s="37">
        <f>'SB P&amp;L'!AB63</f>
        <v/>
      </c>
      <c r="AC57" s="37">
        <f>'SB P&amp;L'!AC63</f>
        <v/>
      </c>
      <c r="AD57" s="37">
        <f>'SB P&amp;L'!AD63</f>
        <v/>
      </c>
      <c r="AE57" s="37">
        <f>'SB P&amp;L'!AE63</f>
        <v/>
      </c>
      <c r="AF57" s="37">
        <f>'SB P&amp;L'!AF63</f>
        <v/>
      </c>
      <c r="AG57" s="37">
        <f>'SB P&amp;L'!AG63</f>
        <v/>
      </c>
      <c r="AH57" s="37">
        <f>'SB P&amp;L'!AH63</f>
        <v/>
      </c>
      <c r="AI57" s="37">
        <f>'SB P&amp;L'!AI63</f>
        <v/>
      </c>
      <c r="AJ57" s="37">
        <f>'SB P&amp;L'!AJ63</f>
        <v/>
      </c>
      <c r="AK57" s="37">
        <f>'SB P&amp;L'!AK63</f>
        <v/>
      </c>
      <c r="AL57" s="37">
        <f>'SB P&amp;L'!AL63</f>
        <v/>
      </c>
      <c r="AM57" s="37">
        <f>'SB P&amp;L'!AM63</f>
        <v/>
      </c>
      <c r="AN57" s="37">
        <f>'SB P&amp;L'!AN63</f>
        <v/>
      </c>
      <c r="AO57" s="37">
        <f>'SB P&amp;L'!AO63</f>
        <v/>
      </c>
      <c r="AP57" s="37">
        <f>'SB P&amp;L'!AP63</f>
        <v/>
      </c>
      <c r="AQ57" s="37">
        <f>'SB P&amp;L'!AQ63</f>
        <v/>
      </c>
      <c r="AR57" s="37">
        <f>'SB P&amp;L'!AR63</f>
        <v/>
      </c>
      <c r="AS57" s="37">
        <f>'SB P&amp;L'!AS63</f>
        <v/>
      </c>
      <c r="AT57" s="37">
        <f>'SB P&amp;L'!AT63</f>
        <v/>
      </c>
      <c r="AU57" s="37">
        <f>'SB P&amp;L'!AU63</f>
        <v/>
      </c>
      <c r="AV57" s="37">
        <f>'SB P&amp;L'!AV63</f>
        <v/>
      </c>
      <c r="AW57" s="37">
        <f>'SB P&amp;L'!AW63</f>
        <v/>
      </c>
      <c r="AX57" s="37">
        <f>'SB P&amp;L'!AX63</f>
        <v/>
      </c>
      <c r="AY57" s="37">
        <f>'SB P&amp;L'!AY63</f>
        <v/>
      </c>
    </row>
    <row r="59" ht="16.05" customHeight="1" s="142">
      <c r="B59" s="10" t="inlineStr">
        <is>
          <t>Santa Monica (SM)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</row>
    <row r="60">
      <c r="B60" s="18" t="inlineStr">
        <is>
          <t>Total Revenue</t>
        </is>
      </c>
      <c r="D60" s="20">
        <f>'SM P&amp;L'!D21</f>
        <v/>
      </c>
      <c r="E60" s="20">
        <f>'SM P&amp;L'!E21</f>
        <v/>
      </c>
      <c r="F60" s="20">
        <f>'SM P&amp;L'!F21</f>
        <v/>
      </c>
      <c r="G60" s="20">
        <f>'SM P&amp;L'!G21</f>
        <v/>
      </c>
      <c r="H60" s="20">
        <f>'SM P&amp;L'!H21</f>
        <v/>
      </c>
      <c r="I60" s="20">
        <f>'SM P&amp;L'!I21</f>
        <v/>
      </c>
      <c r="J60" s="20">
        <f>'SM P&amp;L'!J21</f>
        <v/>
      </c>
      <c r="K60" s="20">
        <f>'SM P&amp;L'!K21</f>
        <v/>
      </c>
      <c r="L60" s="20">
        <f>'SM P&amp;L'!L21</f>
        <v/>
      </c>
      <c r="M60" s="20">
        <f>'SM P&amp;L'!M21</f>
        <v/>
      </c>
      <c r="N60" s="20">
        <f>'SM P&amp;L'!N21</f>
        <v/>
      </c>
      <c r="O60" s="20">
        <f>'SM P&amp;L'!O21</f>
        <v/>
      </c>
      <c r="P60" s="20">
        <f>'SM P&amp;L'!P21</f>
        <v/>
      </c>
      <c r="Q60" s="20">
        <f>'SM P&amp;L'!Q21</f>
        <v/>
      </c>
      <c r="R60" s="20">
        <f>'SM P&amp;L'!R21</f>
        <v/>
      </c>
      <c r="S60" s="20">
        <f>'SM P&amp;L'!S21</f>
        <v/>
      </c>
      <c r="T60" s="20">
        <f>'SM P&amp;L'!T21</f>
        <v/>
      </c>
      <c r="U60" s="20">
        <f>'SM P&amp;L'!U21</f>
        <v/>
      </c>
      <c r="V60" s="20">
        <f>'SM P&amp;L'!V21</f>
        <v/>
      </c>
      <c r="W60" s="20">
        <f>'SM P&amp;L'!W21</f>
        <v/>
      </c>
      <c r="X60" s="20">
        <f>'SM P&amp;L'!X21</f>
        <v/>
      </c>
      <c r="Y60" s="20">
        <f>'SM P&amp;L'!Y21</f>
        <v/>
      </c>
      <c r="Z60" s="20">
        <f>'SM P&amp;L'!Z21</f>
        <v/>
      </c>
      <c r="AA60" s="20">
        <f>'SM P&amp;L'!AA21</f>
        <v/>
      </c>
      <c r="AB60" s="20">
        <f>'SM P&amp;L'!AB21</f>
        <v/>
      </c>
      <c r="AC60" s="20">
        <f>'SM P&amp;L'!AC21</f>
        <v/>
      </c>
      <c r="AD60" s="20">
        <f>'SM P&amp;L'!AD21</f>
        <v/>
      </c>
      <c r="AE60" s="20">
        <f>'SM P&amp;L'!AE21</f>
        <v/>
      </c>
      <c r="AF60" s="20">
        <f>'SM P&amp;L'!AF21</f>
        <v/>
      </c>
      <c r="AG60" s="20">
        <f>'SM P&amp;L'!AG21</f>
        <v/>
      </c>
      <c r="AH60" s="20">
        <f>'SM P&amp;L'!AH21</f>
        <v/>
      </c>
      <c r="AI60" s="20">
        <f>'SM P&amp;L'!AI21</f>
        <v/>
      </c>
      <c r="AJ60" s="20">
        <f>'SM P&amp;L'!AJ21</f>
        <v/>
      </c>
      <c r="AK60" s="20">
        <f>'SM P&amp;L'!AK21</f>
        <v/>
      </c>
      <c r="AL60" s="20">
        <f>'SM P&amp;L'!AL21</f>
        <v/>
      </c>
      <c r="AM60" s="20">
        <f>'SM P&amp;L'!AM21</f>
        <v/>
      </c>
      <c r="AN60" s="20">
        <f>'SM P&amp;L'!AN21</f>
        <v/>
      </c>
      <c r="AO60" s="20">
        <f>'SM P&amp;L'!AO21</f>
        <v/>
      </c>
      <c r="AP60" s="20">
        <f>'SM P&amp;L'!AP21</f>
        <v/>
      </c>
      <c r="AQ60" s="20">
        <f>'SM P&amp;L'!AQ21</f>
        <v/>
      </c>
      <c r="AR60" s="20">
        <f>'SM P&amp;L'!AR21</f>
        <v/>
      </c>
      <c r="AS60" s="20">
        <f>'SM P&amp;L'!AS21</f>
        <v/>
      </c>
      <c r="AT60" s="20">
        <f>'SM P&amp;L'!AT21</f>
        <v/>
      </c>
      <c r="AU60" s="20">
        <f>'SM P&amp;L'!AU21</f>
        <v/>
      </c>
      <c r="AV60" s="20">
        <f>'SM P&amp;L'!AV21</f>
        <v/>
      </c>
      <c r="AW60" s="20">
        <f>'SM P&amp;L'!AW21</f>
        <v/>
      </c>
      <c r="AX60" s="20">
        <f>'SM P&amp;L'!AX21</f>
        <v/>
      </c>
      <c r="AY60" s="20">
        <f>'SM P&amp;L'!AY21</f>
        <v/>
      </c>
    </row>
    <row r="61">
      <c r="B61" s="18" t="inlineStr">
        <is>
          <t>Gross Profit</t>
        </is>
      </c>
      <c r="D61" s="20">
        <f>'SM P&amp;L'!D26</f>
        <v/>
      </c>
      <c r="E61" s="20">
        <f>'SM P&amp;L'!E26</f>
        <v/>
      </c>
      <c r="F61" s="20">
        <f>'SM P&amp;L'!F26</f>
        <v/>
      </c>
      <c r="G61" s="20">
        <f>'SM P&amp;L'!G26</f>
        <v/>
      </c>
      <c r="H61" s="20">
        <f>'SM P&amp;L'!H26</f>
        <v/>
      </c>
      <c r="I61" s="20">
        <f>'SM P&amp;L'!I26</f>
        <v/>
      </c>
      <c r="J61" s="20">
        <f>'SM P&amp;L'!J26</f>
        <v/>
      </c>
      <c r="K61" s="20">
        <f>'SM P&amp;L'!K26</f>
        <v/>
      </c>
      <c r="L61" s="20">
        <f>'SM P&amp;L'!L26</f>
        <v/>
      </c>
      <c r="M61" s="20">
        <f>'SM P&amp;L'!M26</f>
        <v/>
      </c>
      <c r="N61" s="20">
        <f>'SM P&amp;L'!N26</f>
        <v/>
      </c>
      <c r="O61" s="20">
        <f>'SM P&amp;L'!O26</f>
        <v/>
      </c>
      <c r="P61" s="20">
        <f>'SM P&amp;L'!P26</f>
        <v/>
      </c>
      <c r="Q61" s="20">
        <f>'SM P&amp;L'!Q26</f>
        <v/>
      </c>
      <c r="R61" s="20">
        <f>'SM P&amp;L'!R26</f>
        <v/>
      </c>
      <c r="S61" s="20">
        <f>'SM P&amp;L'!S26</f>
        <v/>
      </c>
      <c r="T61" s="20">
        <f>'SM P&amp;L'!T26</f>
        <v/>
      </c>
      <c r="U61" s="20">
        <f>'SM P&amp;L'!U26</f>
        <v/>
      </c>
      <c r="V61" s="20">
        <f>'SM P&amp;L'!V26</f>
        <v/>
      </c>
      <c r="W61" s="20">
        <f>'SM P&amp;L'!W26</f>
        <v/>
      </c>
      <c r="X61" s="20">
        <f>'SM P&amp;L'!X26</f>
        <v/>
      </c>
      <c r="Y61" s="20">
        <f>'SM P&amp;L'!Y26</f>
        <v/>
      </c>
      <c r="Z61" s="20">
        <f>'SM P&amp;L'!Z26</f>
        <v/>
      </c>
      <c r="AA61" s="20">
        <f>'SM P&amp;L'!AA26</f>
        <v/>
      </c>
      <c r="AB61" s="20">
        <f>'SM P&amp;L'!AB26</f>
        <v/>
      </c>
      <c r="AC61" s="20">
        <f>'SM P&amp;L'!AC26</f>
        <v/>
      </c>
      <c r="AD61" s="20">
        <f>'SM P&amp;L'!AD26</f>
        <v/>
      </c>
      <c r="AE61" s="20">
        <f>'SM P&amp;L'!AE26</f>
        <v/>
      </c>
      <c r="AF61" s="20">
        <f>'SM P&amp;L'!AF26</f>
        <v/>
      </c>
      <c r="AG61" s="20">
        <f>'SM P&amp;L'!AG26</f>
        <v/>
      </c>
      <c r="AH61" s="20">
        <f>'SM P&amp;L'!AH26</f>
        <v/>
      </c>
      <c r="AI61" s="20">
        <f>'SM P&amp;L'!AI26</f>
        <v/>
      </c>
      <c r="AJ61" s="20">
        <f>'SM P&amp;L'!AJ26</f>
        <v/>
      </c>
      <c r="AK61" s="20">
        <f>'SM P&amp;L'!AK26</f>
        <v/>
      </c>
      <c r="AL61" s="20">
        <f>'SM P&amp;L'!AL26</f>
        <v/>
      </c>
      <c r="AM61" s="20">
        <f>'SM P&amp;L'!AM26</f>
        <v/>
      </c>
      <c r="AN61" s="20">
        <f>'SM P&amp;L'!AN26</f>
        <v/>
      </c>
      <c r="AO61" s="20">
        <f>'SM P&amp;L'!AO26</f>
        <v/>
      </c>
      <c r="AP61" s="20">
        <f>'SM P&amp;L'!AP26</f>
        <v/>
      </c>
      <c r="AQ61" s="20">
        <f>'SM P&amp;L'!AQ26</f>
        <v/>
      </c>
      <c r="AR61" s="20">
        <f>'SM P&amp;L'!AR26</f>
        <v/>
      </c>
      <c r="AS61" s="20">
        <f>'SM P&amp;L'!AS26</f>
        <v/>
      </c>
      <c r="AT61" s="20">
        <f>'SM P&amp;L'!AT26</f>
        <v/>
      </c>
      <c r="AU61" s="20">
        <f>'SM P&amp;L'!AU26</f>
        <v/>
      </c>
      <c r="AV61" s="20">
        <f>'SM P&amp;L'!AV26</f>
        <v/>
      </c>
      <c r="AW61" s="20">
        <f>'SM P&amp;L'!AW26</f>
        <v/>
      </c>
      <c r="AX61" s="20">
        <f>'SM P&amp;L'!AX26</f>
        <v/>
      </c>
      <c r="AY61" s="20">
        <f>'SM P&amp;L'!AY26</f>
        <v/>
      </c>
    </row>
    <row r="62">
      <c r="B62" s="18" t="inlineStr">
        <is>
          <t>Total Operating Expenses</t>
        </is>
      </c>
      <c r="D62" s="20">
        <f>'SM P&amp;L'!D62</f>
        <v/>
      </c>
      <c r="E62" s="20">
        <f>'SM P&amp;L'!E62</f>
        <v/>
      </c>
      <c r="F62" s="20">
        <f>'SM P&amp;L'!F62</f>
        <v/>
      </c>
      <c r="G62" s="20">
        <f>'SM P&amp;L'!G62</f>
        <v/>
      </c>
      <c r="H62" s="20">
        <f>'SM P&amp;L'!H62</f>
        <v/>
      </c>
      <c r="I62" s="20">
        <f>'SM P&amp;L'!I62</f>
        <v/>
      </c>
      <c r="J62" s="20">
        <f>'SM P&amp;L'!J62</f>
        <v/>
      </c>
      <c r="K62" s="20">
        <f>'SM P&amp;L'!K62</f>
        <v/>
      </c>
      <c r="L62" s="20">
        <f>'SM P&amp;L'!L62</f>
        <v/>
      </c>
      <c r="M62" s="20">
        <f>'SM P&amp;L'!M62</f>
        <v/>
      </c>
      <c r="N62" s="20">
        <f>'SM P&amp;L'!N62</f>
        <v/>
      </c>
      <c r="O62" s="20">
        <f>'SM P&amp;L'!O62</f>
        <v/>
      </c>
      <c r="P62" s="20">
        <f>'SM P&amp;L'!P62</f>
        <v/>
      </c>
      <c r="Q62" s="20">
        <f>'SM P&amp;L'!Q62</f>
        <v/>
      </c>
      <c r="R62" s="20">
        <f>'SM P&amp;L'!R62</f>
        <v/>
      </c>
      <c r="S62" s="20">
        <f>'SM P&amp;L'!S62</f>
        <v/>
      </c>
      <c r="T62" s="20">
        <f>'SM P&amp;L'!T62</f>
        <v/>
      </c>
      <c r="U62" s="20">
        <f>'SM P&amp;L'!U62</f>
        <v/>
      </c>
      <c r="V62" s="20">
        <f>'SM P&amp;L'!V62</f>
        <v/>
      </c>
      <c r="W62" s="20">
        <f>'SM P&amp;L'!W62</f>
        <v/>
      </c>
      <c r="X62" s="20">
        <f>'SM P&amp;L'!X62</f>
        <v/>
      </c>
      <c r="Y62" s="20">
        <f>'SM P&amp;L'!Y62</f>
        <v/>
      </c>
      <c r="Z62" s="20">
        <f>'SM P&amp;L'!Z62</f>
        <v/>
      </c>
      <c r="AA62" s="20">
        <f>'SM P&amp;L'!AA62</f>
        <v/>
      </c>
      <c r="AB62" s="20">
        <f>'SM P&amp;L'!AB62</f>
        <v/>
      </c>
      <c r="AC62" s="20">
        <f>'SM P&amp;L'!AC62</f>
        <v/>
      </c>
      <c r="AD62" s="20">
        <f>'SM P&amp;L'!AD62</f>
        <v/>
      </c>
      <c r="AE62" s="20">
        <f>'SM P&amp;L'!AE62</f>
        <v/>
      </c>
      <c r="AF62" s="20">
        <f>'SM P&amp;L'!AF62</f>
        <v/>
      </c>
      <c r="AG62" s="20">
        <f>'SM P&amp;L'!AG62</f>
        <v/>
      </c>
      <c r="AH62" s="20">
        <f>'SM P&amp;L'!AH62</f>
        <v/>
      </c>
      <c r="AI62" s="20">
        <f>'SM P&amp;L'!AI62</f>
        <v/>
      </c>
      <c r="AJ62" s="20">
        <f>'SM P&amp;L'!AJ62</f>
        <v/>
      </c>
      <c r="AK62" s="20">
        <f>'SM P&amp;L'!AK62</f>
        <v/>
      </c>
      <c r="AL62" s="20">
        <f>'SM P&amp;L'!AL62</f>
        <v/>
      </c>
      <c r="AM62" s="20">
        <f>'SM P&amp;L'!AM62</f>
        <v/>
      </c>
      <c r="AN62" s="20">
        <f>'SM P&amp;L'!AN62</f>
        <v/>
      </c>
      <c r="AO62" s="20">
        <f>'SM P&amp;L'!AO62</f>
        <v/>
      </c>
      <c r="AP62" s="20">
        <f>'SM P&amp;L'!AP62</f>
        <v/>
      </c>
      <c r="AQ62" s="20">
        <f>'SM P&amp;L'!AQ62</f>
        <v/>
      </c>
      <c r="AR62" s="20">
        <f>'SM P&amp;L'!AR62</f>
        <v/>
      </c>
      <c r="AS62" s="20">
        <f>'SM P&amp;L'!AS62</f>
        <v/>
      </c>
      <c r="AT62" s="20">
        <f>'SM P&amp;L'!AT62</f>
        <v/>
      </c>
      <c r="AU62" s="20">
        <f>'SM P&amp;L'!AU62</f>
        <v/>
      </c>
      <c r="AV62" s="20">
        <f>'SM P&amp;L'!AV62</f>
        <v/>
      </c>
      <c r="AW62" s="20">
        <f>'SM P&amp;L'!AW62</f>
        <v/>
      </c>
      <c r="AX62" s="20">
        <f>'SM P&amp;L'!AX62</f>
        <v/>
      </c>
      <c r="AY62" s="20">
        <f>'SM P&amp;L'!AY62</f>
        <v/>
      </c>
    </row>
    <row r="63">
      <c r="B63" s="15" t="inlineStr">
        <is>
          <t>Net Operating Income</t>
        </is>
      </c>
      <c r="D63" s="37">
        <f>'SM P&amp;L'!D63</f>
        <v/>
      </c>
      <c r="E63" s="37">
        <f>'SM P&amp;L'!E63</f>
        <v/>
      </c>
      <c r="F63" s="37">
        <f>'SM P&amp;L'!F63</f>
        <v/>
      </c>
      <c r="G63" s="37">
        <f>'SM P&amp;L'!G63</f>
        <v/>
      </c>
      <c r="H63" s="37">
        <f>'SM P&amp;L'!H63</f>
        <v/>
      </c>
      <c r="I63" s="37">
        <f>'SM P&amp;L'!I63</f>
        <v/>
      </c>
      <c r="J63" s="37">
        <f>'SM P&amp;L'!J63</f>
        <v/>
      </c>
      <c r="K63" s="37">
        <f>'SM P&amp;L'!K63</f>
        <v/>
      </c>
      <c r="L63" s="37">
        <f>'SM P&amp;L'!L63</f>
        <v/>
      </c>
      <c r="M63" s="37">
        <f>'SM P&amp;L'!M63</f>
        <v/>
      </c>
      <c r="N63" s="37">
        <f>'SM P&amp;L'!N63</f>
        <v/>
      </c>
      <c r="O63" s="37">
        <f>'SM P&amp;L'!O63</f>
        <v/>
      </c>
      <c r="P63" s="37">
        <f>'SM P&amp;L'!P63</f>
        <v/>
      </c>
      <c r="Q63" s="37">
        <f>'SM P&amp;L'!Q63</f>
        <v/>
      </c>
      <c r="R63" s="37">
        <f>'SM P&amp;L'!R63</f>
        <v/>
      </c>
      <c r="S63" s="37">
        <f>'SM P&amp;L'!S63</f>
        <v/>
      </c>
      <c r="T63" s="37">
        <f>'SM P&amp;L'!T63</f>
        <v/>
      </c>
      <c r="U63" s="37">
        <f>'SM P&amp;L'!U63</f>
        <v/>
      </c>
      <c r="V63" s="37">
        <f>'SM P&amp;L'!V63</f>
        <v/>
      </c>
      <c r="W63" s="37">
        <f>'SM P&amp;L'!W63</f>
        <v/>
      </c>
      <c r="X63" s="37">
        <f>'SM P&amp;L'!X63</f>
        <v/>
      </c>
      <c r="Y63" s="37">
        <f>'SM P&amp;L'!Y63</f>
        <v/>
      </c>
      <c r="Z63" s="37">
        <f>'SM P&amp;L'!Z63</f>
        <v/>
      </c>
      <c r="AA63" s="37">
        <f>'SM P&amp;L'!AA63</f>
        <v/>
      </c>
      <c r="AB63" s="37">
        <f>'SM P&amp;L'!AB63</f>
        <v/>
      </c>
      <c r="AC63" s="37">
        <f>'SM P&amp;L'!AC63</f>
        <v/>
      </c>
      <c r="AD63" s="37">
        <f>'SM P&amp;L'!AD63</f>
        <v/>
      </c>
      <c r="AE63" s="37">
        <f>'SM P&amp;L'!AE63</f>
        <v/>
      </c>
      <c r="AF63" s="37">
        <f>'SM P&amp;L'!AF63</f>
        <v/>
      </c>
      <c r="AG63" s="37">
        <f>'SM P&amp;L'!AG63</f>
        <v/>
      </c>
      <c r="AH63" s="37">
        <f>'SM P&amp;L'!AH63</f>
        <v/>
      </c>
      <c r="AI63" s="37">
        <f>'SM P&amp;L'!AI63</f>
        <v/>
      </c>
      <c r="AJ63" s="37">
        <f>'SM P&amp;L'!AJ63</f>
        <v/>
      </c>
      <c r="AK63" s="37">
        <f>'SM P&amp;L'!AK63</f>
        <v/>
      </c>
      <c r="AL63" s="37">
        <f>'SM P&amp;L'!AL63</f>
        <v/>
      </c>
      <c r="AM63" s="37">
        <f>'SM P&amp;L'!AM63</f>
        <v/>
      </c>
      <c r="AN63" s="37">
        <f>'SM P&amp;L'!AN63</f>
        <v/>
      </c>
      <c r="AO63" s="37">
        <f>'SM P&amp;L'!AO63</f>
        <v/>
      </c>
      <c r="AP63" s="37">
        <f>'SM P&amp;L'!AP63</f>
        <v/>
      </c>
      <c r="AQ63" s="37">
        <f>'SM P&amp;L'!AQ63</f>
        <v/>
      </c>
      <c r="AR63" s="37">
        <f>'SM P&amp;L'!AR63</f>
        <v/>
      </c>
      <c r="AS63" s="37">
        <f>'SM P&amp;L'!AS63</f>
        <v/>
      </c>
      <c r="AT63" s="37">
        <f>'SM P&amp;L'!AT63</f>
        <v/>
      </c>
      <c r="AU63" s="37">
        <f>'SM P&amp;L'!AU63</f>
        <v/>
      </c>
      <c r="AV63" s="37">
        <f>'SM P&amp;L'!AV63</f>
        <v/>
      </c>
      <c r="AW63" s="37">
        <f>'SM P&amp;L'!AW63</f>
        <v/>
      </c>
      <c r="AX63" s="37">
        <f>'SM P&amp;L'!AX63</f>
        <v/>
      </c>
      <c r="AY63" s="37">
        <f>'SM P&amp;L'!AY63</f>
        <v/>
      </c>
    </row>
    <row r="65" ht="16.05" customHeight="1" s="142">
      <c r="B65" s="10" t="inlineStr">
        <is>
          <t>West Portal (WP)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</row>
    <row r="66">
      <c r="B66" s="18" t="inlineStr">
        <is>
          <t>Total Revenue</t>
        </is>
      </c>
      <c r="D66" s="20">
        <f>'WP P&amp;L'!D21</f>
        <v/>
      </c>
      <c r="E66" s="20">
        <f>'WP P&amp;L'!E21</f>
        <v/>
      </c>
      <c r="F66" s="20">
        <f>'WP P&amp;L'!F21</f>
        <v/>
      </c>
      <c r="G66" s="20">
        <f>'WP P&amp;L'!G21</f>
        <v/>
      </c>
      <c r="H66" s="20">
        <f>'WP P&amp;L'!H21</f>
        <v/>
      </c>
      <c r="I66" s="20">
        <f>'WP P&amp;L'!I21</f>
        <v/>
      </c>
      <c r="J66" s="20">
        <f>'WP P&amp;L'!J21</f>
        <v/>
      </c>
      <c r="K66" s="20">
        <f>'WP P&amp;L'!K21</f>
        <v/>
      </c>
      <c r="L66" s="20">
        <f>'WP P&amp;L'!L21</f>
        <v/>
      </c>
      <c r="M66" s="20">
        <f>'WP P&amp;L'!M21</f>
        <v/>
      </c>
      <c r="N66" s="20">
        <f>'WP P&amp;L'!N21</f>
        <v/>
      </c>
      <c r="O66" s="20">
        <f>'WP P&amp;L'!O21</f>
        <v/>
      </c>
      <c r="P66" s="20">
        <f>'WP P&amp;L'!P21</f>
        <v/>
      </c>
      <c r="Q66" s="20">
        <f>'WP P&amp;L'!Q21</f>
        <v/>
      </c>
      <c r="R66" s="20">
        <f>'WP P&amp;L'!R21</f>
        <v/>
      </c>
      <c r="S66" s="20">
        <f>'WP P&amp;L'!S21</f>
        <v/>
      </c>
      <c r="T66" s="20">
        <f>'WP P&amp;L'!T21</f>
        <v/>
      </c>
      <c r="U66" s="20">
        <f>'WP P&amp;L'!U21</f>
        <v/>
      </c>
      <c r="V66" s="20">
        <f>'WP P&amp;L'!V21</f>
        <v/>
      </c>
      <c r="W66" s="20">
        <f>'WP P&amp;L'!W21</f>
        <v/>
      </c>
      <c r="X66" s="20">
        <f>'WP P&amp;L'!X21</f>
        <v/>
      </c>
      <c r="Y66" s="20">
        <f>'WP P&amp;L'!Y21</f>
        <v/>
      </c>
      <c r="Z66" s="20">
        <f>'WP P&amp;L'!Z21</f>
        <v/>
      </c>
      <c r="AA66" s="20">
        <f>'WP P&amp;L'!AA21</f>
        <v/>
      </c>
      <c r="AB66" s="20">
        <f>'WP P&amp;L'!AB21</f>
        <v/>
      </c>
      <c r="AC66" s="20">
        <f>'WP P&amp;L'!AC21</f>
        <v/>
      </c>
      <c r="AD66" s="20">
        <f>'WP P&amp;L'!AD21</f>
        <v/>
      </c>
      <c r="AE66" s="20">
        <f>'WP P&amp;L'!AE21</f>
        <v/>
      </c>
      <c r="AF66" s="20">
        <f>'WP P&amp;L'!AF21</f>
        <v/>
      </c>
      <c r="AG66" s="20">
        <f>'WP P&amp;L'!AG21</f>
        <v/>
      </c>
      <c r="AH66" s="20">
        <f>'WP P&amp;L'!AH21</f>
        <v/>
      </c>
      <c r="AI66" s="20">
        <f>'WP P&amp;L'!AI21</f>
        <v/>
      </c>
      <c r="AJ66" s="20">
        <f>'WP P&amp;L'!AJ21</f>
        <v/>
      </c>
      <c r="AK66" s="20">
        <f>'WP P&amp;L'!AK21</f>
        <v/>
      </c>
      <c r="AL66" s="20">
        <f>'WP P&amp;L'!AL21</f>
        <v/>
      </c>
      <c r="AM66" s="20">
        <f>'WP P&amp;L'!AM21</f>
        <v/>
      </c>
      <c r="AN66" s="20">
        <f>'WP P&amp;L'!AN21</f>
        <v/>
      </c>
      <c r="AO66" s="20">
        <f>'WP P&amp;L'!AO21</f>
        <v/>
      </c>
      <c r="AP66" s="20">
        <f>'WP P&amp;L'!AP21</f>
        <v/>
      </c>
      <c r="AQ66" s="20">
        <f>'WP P&amp;L'!AQ21</f>
        <v/>
      </c>
      <c r="AR66" s="20">
        <f>'WP P&amp;L'!AR21</f>
        <v/>
      </c>
      <c r="AS66" s="20">
        <f>'WP P&amp;L'!AS21</f>
        <v/>
      </c>
      <c r="AT66" s="20">
        <f>'WP P&amp;L'!AT21</f>
        <v/>
      </c>
      <c r="AU66" s="20">
        <f>'WP P&amp;L'!AU21</f>
        <v/>
      </c>
      <c r="AV66" s="20">
        <f>'WP P&amp;L'!AV21</f>
        <v/>
      </c>
      <c r="AW66" s="20">
        <f>'WP P&amp;L'!AW21</f>
        <v/>
      </c>
      <c r="AX66" s="20">
        <f>'WP P&amp;L'!AX21</f>
        <v/>
      </c>
      <c r="AY66" s="20">
        <f>'WP P&amp;L'!AY21</f>
        <v/>
      </c>
    </row>
    <row r="67">
      <c r="B67" s="18" t="inlineStr">
        <is>
          <t>Gross Profit</t>
        </is>
      </c>
      <c r="D67" s="20">
        <f>'WP P&amp;L'!D26</f>
        <v/>
      </c>
      <c r="E67" s="20">
        <f>'WP P&amp;L'!E26</f>
        <v/>
      </c>
      <c r="F67" s="20">
        <f>'WP P&amp;L'!F26</f>
        <v/>
      </c>
      <c r="G67" s="20">
        <f>'WP P&amp;L'!G26</f>
        <v/>
      </c>
      <c r="H67" s="20">
        <f>'WP P&amp;L'!H26</f>
        <v/>
      </c>
      <c r="I67" s="20">
        <f>'WP P&amp;L'!I26</f>
        <v/>
      </c>
      <c r="J67" s="20">
        <f>'WP P&amp;L'!J26</f>
        <v/>
      </c>
      <c r="K67" s="20">
        <f>'WP P&amp;L'!K26</f>
        <v/>
      </c>
      <c r="L67" s="20">
        <f>'WP P&amp;L'!L26</f>
        <v/>
      </c>
      <c r="M67" s="20">
        <f>'WP P&amp;L'!M26</f>
        <v/>
      </c>
      <c r="N67" s="20">
        <f>'WP P&amp;L'!N26</f>
        <v/>
      </c>
      <c r="O67" s="20">
        <f>'WP P&amp;L'!O26</f>
        <v/>
      </c>
      <c r="P67" s="20">
        <f>'WP P&amp;L'!P26</f>
        <v/>
      </c>
      <c r="Q67" s="20">
        <f>'WP P&amp;L'!Q26</f>
        <v/>
      </c>
      <c r="R67" s="20">
        <f>'WP P&amp;L'!R26</f>
        <v/>
      </c>
      <c r="S67" s="20">
        <f>'WP P&amp;L'!S26</f>
        <v/>
      </c>
      <c r="T67" s="20">
        <f>'WP P&amp;L'!T26</f>
        <v/>
      </c>
      <c r="U67" s="20">
        <f>'WP P&amp;L'!U26</f>
        <v/>
      </c>
      <c r="V67" s="20">
        <f>'WP P&amp;L'!V26</f>
        <v/>
      </c>
      <c r="W67" s="20">
        <f>'WP P&amp;L'!W26</f>
        <v/>
      </c>
      <c r="X67" s="20">
        <f>'WP P&amp;L'!X26</f>
        <v/>
      </c>
      <c r="Y67" s="20">
        <f>'WP P&amp;L'!Y26</f>
        <v/>
      </c>
      <c r="Z67" s="20">
        <f>'WP P&amp;L'!Z26</f>
        <v/>
      </c>
      <c r="AA67" s="20">
        <f>'WP P&amp;L'!AA26</f>
        <v/>
      </c>
      <c r="AB67" s="20">
        <f>'WP P&amp;L'!AB26</f>
        <v/>
      </c>
      <c r="AC67" s="20">
        <f>'WP P&amp;L'!AC26</f>
        <v/>
      </c>
      <c r="AD67" s="20">
        <f>'WP P&amp;L'!AD26</f>
        <v/>
      </c>
      <c r="AE67" s="20">
        <f>'WP P&amp;L'!AE26</f>
        <v/>
      </c>
      <c r="AF67" s="20">
        <f>'WP P&amp;L'!AF26</f>
        <v/>
      </c>
      <c r="AG67" s="20">
        <f>'WP P&amp;L'!AG26</f>
        <v/>
      </c>
      <c r="AH67" s="20">
        <f>'WP P&amp;L'!AH26</f>
        <v/>
      </c>
      <c r="AI67" s="20">
        <f>'WP P&amp;L'!AI26</f>
        <v/>
      </c>
      <c r="AJ67" s="20">
        <f>'WP P&amp;L'!AJ26</f>
        <v/>
      </c>
      <c r="AK67" s="20">
        <f>'WP P&amp;L'!AK26</f>
        <v/>
      </c>
      <c r="AL67" s="20">
        <f>'WP P&amp;L'!AL26</f>
        <v/>
      </c>
      <c r="AM67" s="20">
        <f>'WP P&amp;L'!AM26</f>
        <v/>
      </c>
      <c r="AN67" s="20">
        <f>'WP P&amp;L'!AN26</f>
        <v/>
      </c>
      <c r="AO67" s="20">
        <f>'WP P&amp;L'!AO26</f>
        <v/>
      </c>
      <c r="AP67" s="20">
        <f>'WP P&amp;L'!AP26</f>
        <v/>
      </c>
      <c r="AQ67" s="20">
        <f>'WP P&amp;L'!AQ26</f>
        <v/>
      </c>
      <c r="AR67" s="20">
        <f>'WP P&amp;L'!AR26</f>
        <v/>
      </c>
      <c r="AS67" s="20">
        <f>'WP P&amp;L'!AS26</f>
        <v/>
      </c>
      <c r="AT67" s="20">
        <f>'WP P&amp;L'!AT26</f>
        <v/>
      </c>
      <c r="AU67" s="20">
        <f>'WP P&amp;L'!AU26</f>
        <v/>
      </c>
      <c r="AV67" s="20">
        <f>'WP P&amp;L'!AV26</f>
        <v/>
      </c>
      <c r="AW67" s="20">
        <f>'WP P&amp;L'!AW26</f>
        <v/>
      </c>
      <c r="AX67" s="20">
        <f>'WP P&amp;L'!AX26</f>
        <v/>
      </c>
      <c r="AY67" s="20">
        <f>'WP P&amp;L'!AY26</f>
        <v/>
      </c>
    </row>
    <row r="68">
      <c r="B68" s="18" t="inlineStr">
        <is>
          <t>Total Operating Expenses</t>
        </is>
      </c>
      <c r="D68" s="20">
        <f>'WP P&amp;L'!D62</f>
        <v/>
      </c>
      <c r="E68" s="20">
        <f>'WP P&amp;L'!E62</f>
        <v/>
      </c>
      <c r="F68" s="20">
        <f>'WP P&amp;L'!F62</f>
        <v/>
      </c>
      <c r="G68" s="20">
        <f>'WP P&amp;L'!G62</f>
        <v/>
      </c>
      <c r="H68" s="20">
        <f>'WP P&amp;L'!H62</f>
        <v/>
      </c>
      <c r="I68" s="20">
        <f>'WP P&amp;L'!I62</f>
        <v/>
      </c>
      <c r="J68" s="20">
        <f>'WP P&amp;L'!J62</f>
        <v/>
      </c>
      <c r="K68" s="20">
        <f>'WP P&amp;L'!K62</f>
        <v/>
      </c>
      <c r="L68" s="20">
        <f>'WP P&amp;L'!L62</f>
        <v/>
      </c>
      <c r="M68" s="20">
        <f>'WP P&amp;L'!M62</f>
        <v/>
      </c>
      <c r="N68" s="20">
        <f>'WP P&amp;L'!N62</f>
        <v/>
      </c>
      <c r="O68" s="20">
        <f>'WP P&amp;L'!O62</f>
        <v/>
      </c>
      <c r="P68" s="20">
        <f>'WP P&amp;L'!P62</f>
        <v/>
      </c>
      <c r="Q68" s="20">
        <f>'WP P&amp;L'!Q62</f>
        <v/>
      </c>
      <c r="R68" s="20">
        <f>'WP P&amp;L'!R62</f>
        <v/>
      </c>
      <c r="S68" s="20">
        <f>'WP P&amp;L'!S62</f>
        <v/>
      </c>
      <c r="T68" s="20">
        <f>'WP P&amp;L'!T62</f>
        <v/>
      </c>
      <c r="U68" s="20">
        <f>'WP P&amp;L'!U62</f>
        <v/>
      </c>
      <c r="V68" s="20">
        <f>'WP P&amp;L'!V62</f>
        <v/>
      </c>
      <c r="W68" s="20">
        <f>'WP P&amp;L'!W62</f>
        <v/>
      </c>
      <c r="X68" s="20">
        <f>'WP P&amp;L'!X62</f>
        <v/>
      </c>
      <c r="Y68" s="20">
        <f>'WP P&amp;L'!Y62</f>
        <v/>
      </c>
      <c r="Z68" s="20">
        <f>'WP P&amp;L'!Z62</f>
        <v/>
      </c>
      <c r="AA68" s="20">
        <f>'WP P&amp;L'!AA62</f>
        <v/>
      </c>
      <c r="AB68" s="20">
        <f>'WP P&amp;L'!AB62</f>
        <v/>
      </c>
      <c r="AC68" s="20">
        <f>'WP P&amp;L'!AC62</f>
        <v/>
      </c>
      <c r="AD68" s="20">
        <f>'WP P&amp;L'!AD62</f>
        <v/>
      </c>
      <c r="AE68" s="20">
        <f>'WP P&amp;L'!AE62</f>
        <v/>
      </c>
      <c r="AF68" s="20">
        <f>'WP P&amp;L'!AF62</f>
        <v/>
      </c>
      <c r="AG68" s="20">
        <f>'WP P&amp;L'!AG62</f>
        <v/>
      </c>
      <c r="AH68" s="20">
        <f>'WP P&amp;L'!AH62</f>
        <v/>
      </c>
      <c r="AI68" s="20">
        <f>'WP P&amp;L'!AI62</f>
        <v/>
      </c>
      <c r="AJ68" s="20">
        <f>'WP P&amp;L'!AJ62</f>
        <v/>
      </c>
      <c r="AK68" s="20">
        <f>'WP P&amp;L'!AK62</f>
        <v/>
      </c>
      <c r="AL68" s="20">
        <f>'WP P&amp;L'!AL62</f>
        <v/>
      </c>
      <c r="AM68" s="20">
        <f>'WP P&amp;L'!AM62</f>
        <v/>
      </c>
      <c r="AN68" s="20">
        <f>'WP P&amp;L'!AN62</f>
        <v/>
      </c>
      <c r="AO68" s="20">
        <f>'WP P&amp;L'!AO62</f>
        <v/>
      </c>
      <c r="AP68" s="20">
        <f>'WP P&amp;L'!AP62</f>
        <v/>
      </c>
      <c r="AQ68" s="20">
        <f>'WP P&amp;L'!AQ62</f>
        <v/>
      </c>
      <c r="AR68" s="20">
        <f>'WP P&amp;L'!AR62</f>
        <v/>
      </c>
      <c r="AS68" s="20">
        <f>'WP P&amp;L'!AS62</f>
        <v/>
      </c>
      <c r="AT68" s="20">
        <f>'WP P&amp;L'!AT62</f>
        <v/>
      </c>
      <c r="AU68" s="20">
        <f>'WP P&amp;L'!AU62</f>
        <v/>
      </c>
      <c r="AV68" s="20">
        <f>'WP P&amp;L'!AV62</f>
        <v/>
      </c>
      <c r="AW68" s="20">
        <f>'WP P&amp;L'!AW62</f>
        <v/>
      </c>
      <c r="AX68" s="20">
        <f>'WP P&amp;L'!AX62</f>
        <v/>
      </c>
      <c r="AY68" s="20">
        <f>'WP P&amp;L'!AY62</f>
        <v/>
      </c>
    </row>
    <row r="69">
      <c r="B69" s="15" t="inlineStr">
        <is>
          <t>Net Operating Income</t>
        </is>
      </c>
      <c r="D69" s="37">
        <f>'WP P&amp;L'!D63</f>
        <v/>
      </c>
      <c r="E69" s="37">
        <f>'WP P&amp;L'!E63</f>
        <v/>
      </c>
      <c r="F69" s="37">
        <f>'WP P&amp;L'!F63</f>
        <v/>
      </c>
      <c r="G69" s="37">
        <f>'WP P&amp;L'!G63</f>
        <v/>
      </c>
      <c r="H69" s="37">
        <f>'WP P&amp;L'!H63</f>
        <v/>
      </c>
      <c r="I69" s="37">
        <f>'WP P&amp;L'!I63</f>
        <v/>
      </c>
      <c r="J69" s="37">
        <f>'WP P&amp;L'!J63</f>
        <v/>
      </c>
      <c r="K69" s="37">
        <f>'WP P&amp;L'!K63</f>
        <v/>
      </c>
      <c r="L69" s="37">
        <f>'WP P&amp;L'!L63</f>
        <v/>
      </c>
      <c r="M69" s="37">
        <f>'WP P&amp;L'!M63</f>
        <v/>
      </c>
      <c r="N69" s="37">
        <f>'WP P&amp;L'!N63</f>
        <v/>
      </c>
      <c r="O69" s="37">
        <f>'WP P&amp;L'!O63</f>
        <v/>
      </c>
      <c r="P69" s="37">
        <f>'WP P&amp;L'!P63</f>
        <v/>
      </c>
      <c r="Q69" s="37">
        <f>'WP P&amp;L'!Q63</f>
        <v/>
      </c>
      <c r="R69" s="37">
        <f>'WP P&amp;L'!R63</f>
        <v/>
      </c>
      <c r="S69" s="37">
        <f>'WP P&amp;L'!S63</f>
        <v/>
      </c>
      <c r="T69" s="37">
        <f>'WP P&amp;L'!T63</f>
        <v/>
      </c>
      <c r="U69" s="37">
        <f>'WP P&amp;L'!U63</f>
        <v/>
      </c>
      <c r="V69" s="37">
        <f>'WP P&amp;L'!V63</f>
        <v/>
      </c>
      <c r="W69" s="37">
        <f>'WP P&amp;L'!W63</f>
        <v/>
      </c>
      <c r="X69" s="37">
        <f>'WP P&amp;L'!X63</f>
        <v/>
      </c>
      <c r="Y69" s="37">
        <f>'WP P&amp;L'!Y63</f>
        <v/>
      </c>
      <c r="Z69" s="37">
        <f>'WP P&amp;L'!Z63</f>
        <v/>
      </c>
      <c r="AA69" s="37">
        <f>'WP P&amp;L'!AA63</f>
        <v/>
      </c>
      <c r="AB69" s="37">
        <f>'WP P&amp;L'!AB63</f>
        <v/>
      </c>
      <c r="AC69" s="37">
        <f>'WP P&amp;L'!AC63</f>
        <v/>
      </c>
      <c r="AD69" s="37">
        <f>'WP P&amp;L'!AD63</f>
        <v/>
      </c>
      <c r="AE69" s="37">
        <f>'WP P&amp;L'!AE63</f>
        <v/>
      </c>
      <c r="AF69" s="37">
        <f>'WP P&amp;L'!AF63</f>
        <v/>
      </c>
      <c r="AG69" s="37">
        <f>'WP P&amp;L'!AG63</f>
        <v/>
      </c>
      <c r="AH69" s="37">
        <f>'WP P&amp;L'!AH63</f>
        <v/>
      </c>
      <c r="AI69" s="37">
        <f>'WP P&amp;L'!AI63</f>
        <v/>
      </c>
      <c r="AJ69" s="37">
        <f>'WP P&amp;L'!AJ63</f>
        <v/>
      </c>
      <c r="AK69" s="37">
        <f>'WP P&amp;L'!AK63</f>
        <v/>
      </c>
      <c r="AL69" s="37">
        <f>'WP P&amp;L'!AL63</f>
        <v/>
      </c>
      <c r="AM69" s="37">
        <f>'WP P&amp;L'!AM63</f>
        <v/>
      </c>
      <c r="AN69" s="37">
        <f>'WP P&amp;L'!AN63</f>
        <v/>
      </c>
      <c r="AO69" s="37">
        <f>'WP P&amp;L'!AO63</f>
        <v/>
      </c>
      <c r="AP69" s="37">
        <f>'WP P&amp;L'!AP63</f>
        <v/>
      </c>
      <c r="AQ69" s="37">
        <f>'WP P&amp;L'!AQ63</f>
        <v/>
      </c>
      <c r="AR69" s="37">
        <f>'WP P&amp;L'!AR63</f>
        <v/>
      </c>
      <c r="AS69" s="37">
        <f>'WP P&amp;L'!AS63</f>
        <v/>
      </c>
      <c r="AT69" s="37">
        <f>'WP P&amp;L'!AT63</f>
        <v/>
      </c>
      <c r="AU69" s="37">
        <f>'WP P&amp;L'!AU63</f>
        <v/>
      </c>
      <c r="AV69" s="37">
        <f>'WP P&amp;L'!AV63</f>
        <v/>
      </c>
      <c r="AW69" s="37">
        <f>'WP P&amp;L'!AW63</f>
        <v/>
      </c>
      <c r="AX69" s="37">
        <f>'WP P&amp;L'!AX63</f>
        <v/>
      </c>
      <c r="AY69" s="37">
        <f>'WP P&amp;L'!AY63</f>
        <v/>
      </c>
    </row>
    <row r="71" ht="16.05" customHeight="1" s="142">
      <c r="B71" s="10" t="inlineStr">
        <is>
          <t>Westwood (WW)</t>
        </is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</row>
    <row r="72">
      <c r="B72" s="18" t="inlineStr">
        <is>
          <t>Total Revenue</t>
        </is>
      </c>
      <c r="D72" s="20">
        <f>'WW P&amp;L'!D21</f>
        <v/>
      </c>
      <c r="E72" s="20">
        <f>'WW P&amp;L'!E21</f>
        <v/>
      </c>
      <c r="F72" s="20">
        <f>'WW P&amp;L'!F21</f>
        <v/>
      </c>
      <c r="G72" s="20">
        <f>'WW P&amp;L'!G21</f>
        <v/>
      </c>
      <c r="H72" s="20">
        <f>'WW P&amp;L'!H21</f>
        <v/>
      </c>
      <c r="I72" s="20">
        <f>'WW P&amp;L'!I21</f>
        <v/>
      </c>
      <c r="J72" s="20">
        <f>'WW P&amp;L'!J21</f>
        <v/>
      </c>
      <c r="K72" s="20">
        <f>'WW P&amp;L'!K21</f>
        <v/>
      </c>
      <c r="L72" s="20">
        <f>'WW P&amp;L'!L21</f>
        <v/>
      </c>
      <c r="M72" s="20">
        <f>'WW P&amp;L'!M21</f>
        <v/>
      </c>
      <c r="N72" s="20">
        <f>'WW P&amp;L'!N21</f>
        <v/>
      </c>
      <c r="O72" s="20">
        <f>'WW P&amp;L'!O21</f>
        <v/>
      </c>
      <c r="P72" s="20">
        <f>'WW P&amp;L'!P21</f>
        <v/>
      </c>
      <c r="Q72" s="20">
        <f>'WW P&amp;L'!Q21</f>
        <v/>
      </c>
      <c r="R72" s="20">
        <f>'WW P&amp;L'!R21</f>
        <v/>
      </c>
      <c r="S72" s="20">
        <f>'WW P&amp;L'!S21</f>
        <v/>
      </c>
      <c r="T72" s="20">
        <f>'WW P&amp;L'!T21</f>
        <v/>
      </c>
      <c r="U72" s="20">
        <f>'WW P&amp;L'!U21</f>
        <v/>
      </c>
      <c r="V72" s="20">
        <f>'WW P&amp;L'!V21</f>
        <v/>
      </c>
      <c r="W72" s="20">
        <f>'WW P&amp;L'!W21</f>
        <v/>
      </c>
      <c r="X72" s="20">
        <f>'WW P&amp;L'!X21</f>
        <v/>
      </c>
      <c r="Y72" s="20">
        <f>'WW P&amp;L'!Y21</f>
        <v/>
      </c>
      <c r="Z72" s="20">
        <f>'WW P&amp;L'!Z21</f>
        <v/>
      </c>
      <c r="AA72" s="20">
        <f>'WW P&amp;L'!AA21</f>
        <v/>
      </c>
      <c r="AB72" s="20">
        <f>'WW P&amp;L'!AB21</f>
        <v/>
      </c>
      <c r="AC72" s="20">
        <f>'WW P&amp;L'!AC21</f>
        <v/>
      </c>
      <c r="AD72" s="20">
        <f>'WW P&amp;L'!AD21</f>
        <v/>
      </c>
      <c r="AE72" s="20">
        <f>'WW P&amp;L'!AE21</f>
        <v/>
      </c>
      <c r="AF72" s="20">
        <f>'WW P&amp;L'!AF21</f>
        <v/>
      </c>
      <c r="AG72" s="20">
        <f>'WW P&amp;L'!AG21</f>
        <v/>
      </c>
      <c r="AH72" s="20">
        <f>'WW P&amp;L'!AH21</f>
        <v/>
      </c>
      <c r="AI72" s="20">
        <f>'WW P&amp;L'!AI21</f>
        <v/>
      </c>
      <c r="AJ72" s="20">
        <f>'WW P&amp;L'!AJ21</f>
        <v/>
      </c>
      <c r="AK72" s="20">
        <f>'WW P&amp;L'!AK21</f>
        <v/>
      </c>
      <c r="AL72" s="20">
        <f>'WW P&amp;L'!AL21</f>
        <v/>
      </c>
      <c r="AM72" s="20">
        <f>'WW P&amp;L'!AM21</f>
        <v/>
      </c>
      <c r="AN72" s="20">
        <f>'WW P&amp;L'!AN21</f>
        <v/>
      </c>
      <c r="AO72" s="20">
        <f>'WW P&amp;L'!AO21</f>
        <v/>
      </c>
      <c r="AP72" s="20">
        <f>'WW P&amp;L'!AP21</f>
        <v/>
      </c>
      <c r="AQ72" s="20">
        <f>'WW P&amp;L'!AQ21</f>
        <v/>
      </c>
      <c r="AR72" s="20">
        <f>'WW P&amp;L'!AR21</f>
        <v/>
      </c>
      <c r="AS72" s="20">
        <f>'WW P&amp;L'!AS21</f>
        <v/>
      </c>
      <c r="AT72" s="20">
        <f>'WW P&amp;L'!AT21</f>
        <v/>
      </c>
      <c r="AU72" s="20">
        <f>'WW P&amp;L'!AU21</f>
        <v/>
      </c>
      <c r="AV72" s="20">
        <f>'WW P&amp;L'!AV21</f>
        <v/>
      </c>
      <c r="AW72" s="20">
        <f>'WW P&amp;L'!AW21</f>
        <v/>
      </c>
      <c r="AX72" s="20">
        <f>'WW P&amp;L'!AX21</f>
        <v/>
      </c>
      <c r="AY72" s="20">
        <f>'WW P&amp;L'!AY21</f>
        <v/>
      </c>
    </row>
    <row r="73">
      <c r="B73" s="18" t="inlineStr">
        <is>
          <t>Gross Profit</t>
        </is>
      </c>
      <c r="D73" s="20">
        <f>'WW P&amp;L'!D26</f>
        <v/>
      </c>
      <c r="E73" s="20">
        <f>'WW P&amp;L'!E26</f>
        <v/>
      </c>
      <c r="F73" s="20">
        <f>'WW P&amp;L'!F26</f>
        <v/>
      </c>
      <c r="G73" s="20">
        <f>'WW P&amp;L'!G26</f>
        <v/>
      </c>
      <c r="H73" s="20">
        <f>'WW P&amp;L'!H26</f>
        <v/>
      </c>
      <c r="I73" s="20">
        <f>'WW P&amp;L'!I26</f>
        <v/>
      </c>
      <c r="J73" s="20">
        <f>'WW P&amp;L'!J26</f>
        <v/>
      </c>
      <c r="K73" s="20">
        <f>'WW P&amp;L'!K26</f>
        <v/>
      </c>
      <c r="L73" s="20">
        <f>'WW P&amp;L'!L26</f>
        <v/>
      </c>
      <c r="M73" s="20">
        <f>'WW P&amp;L'!M26</f>
        <v/>
      </c>
      <c r="N73" s="20">
        <f>'WW P&amp;L'!N26</f>
        <v/>
      </c>
      <c r="O73" s="20">
        <f>'WW P&amp;L'!O26</f>
        <v/>
      </c>
      <c r="P73" s="20">
        <f>'WW P&amp;L'!P26</f>
        <v/>
      </c>
      <c r="Q73" s="20">
        <f>'WW P&amp;L'!Q26</f>
        <v/>
      </c>
      <c r="R73" s="20">
        <f>'WW P&amp;L'!R26</f>
        <v/>
      </c>
      <c r="S73" s="20">
        <f>'WW P&amp;L'!S26</f>
        <v/>
      </c>
      <c r="T73" s="20">
        <f>'WW P&amp;L'!T26</f>
        <v/>
      </c>
      <c r="U73" s="20">
        <f>'WW P&amp;L'!U26</f>
        <v/>
      </c>
      <c r="V73" s="20">
        <f>'WW P&amp;L'!V26</f>
        <v/>
      </c>
      <c r="W73" s="20">
        <f>'WW P&amp;L'!W26</f>
        <v/>
      </c>
      <c r="X73" s="20">
        <f>'WW P&amp;L'!X26</f>
        <v/>
      </c>
      <c r="Y73" s="20">
        <f>'WW P&amp;L'!Y26</f>
        <v/>
      </c>
      <c r="Z73" s="20">
        <f>'WW P&amp;L'!Z26</f>
        <v/>
      </c>
      <c r="AA73" s="20">
        <f>'WW P&amp;L'!AA26</f>
        <v/>
      </c>
      <c r="AB73" s="20">
        <f>'WW P&amp;L'!AB26</f>
        <v/>
      </c>
      <c r="AC73" s="20">
        <f>'WW P&amp;L'!AC26</f>
        <v/>
      </c>
      <c r="AD73" s="20">
        <f>'WW P&amp;L'!AD26</f>
        <v/>
      </c>
      <c r="AE73" s="20">
        <f>'WW P&amp;L'!AE26</f>
        <v/>
      </c>
      <c r="AF73" s="20">
        <f>'WW P&amp;L'!AF26</f>
        <v/>
      </c>
      <c r="AG73" s="20">
        <f>'WW P&amp;L'!AG26</f>
        <v/>
      </c>
      <c r="AH73" s="20">
        <f>'WW P&amp;L'!AH26</f>
        <v/>
      </c>
      <c r="AI73" s="20">
        <f>'WW P&amp;L'!AI26</f>
        <v/>
      </c>
      <c r="AJ73" s="20">
        <f>'WW P&amp;L'!AJ26</f>
        <v/>
      </c>
      <c r="AK73" s="20">
        <f>'WW P&amp;L'!AK26</f>
        <v/>
      </c>
      <c r="AL73" s="20">
        <f>'WW P&amp;L'!AL26</f>
        <v/>
      </c>
      <c r="AM73" s="20">
        <f>'WW P&amp;L'!AM26</f>
        <v/>
      </c>
      <c r="AN73" s="20">
        <f>'WW P&amp;L'!AN26</f>
        <v/>
      </c>
      <c r="AO73" s="20">
        <f>'WW P&amp;L'!AO26</f>
        <v/>
      </c>
      <c r="AP73" s="20">
        <f>'WW P&amp;L'!AP26</f>
        <v/>
      </c>
      <c r="AQ73" s="20">
        <f>'WW P&amp;L'!AQ26</f>
        <v/>
      </c>
      <c r="AR73" s="20">
        <f>'WW P&amp;L'!AR26</f>
        <v/>
      </c>
      <c r="AS73" s="20">
        <f>'WW P&amp;L'!AS26</f>
        <v/>
      </c>
      <c r="AT73" s="20">
        <f>'WW P&amp;L'!AT26</f>
        <v/>
      </c>
      <c r="AU73" s="20">
        <f>'WW P&amp;L'!AU26</f>
        <v/>
      </c>
      <c r="AV73" s="20">
        <f>'WW P&amp;L'!AV26</f>
        <v/>
      </c>
      <c r="AW73" s="20">
        <f>'WW P&amp;L'!AW26</f>
        <v/>
      </c>
      <c r="AX73" s="20">
        <f>'WW P&amp;L'!AX26</f>
        <v/>
      </c>
      <c r="AY73" s="20">
        <f>'WW P&amp;L'!AY26</f>
        <v/>
      </c>
    </row>
    <row r="74">
      <c r="B74" s="18" t="inlineStr">
        <is>
          <t>Total Operating Expenses</t>
        </is>
      </c>
      <c r="D74" s="20">
        <f>'WW P&amp;L'!D62</f>
        <v/>
      </c>
      <c r="E74" s="20">
        <f>'WW P&amp;L'!E62</f>
        <v/>
      </c>
      <c r="F74" s="20">
        <f>'WW P&amp;L'!F62</f>
        <v/>
      </c>
      <c r="G74" s="20">
        <f>'WW P&amp;L'!G62</f>
        <v/>
      </c>
      <c r="H74" s="20">
        <f>'WW P&amp;L'!H62</f>
        <v/>
      </c>
      <c r="I74" s="20">
        <f>'WW P&amp;L'!I62</f>
        <v/>
      </c>
      <c r="J74" s="20">
        <f>'WW P&amp;L'!J62</f>
        <v/>
      </c>
      <c r="K74" s="20">
        <f>'WW P&amp;L'!K62</f>
        <v/>
      </c>
      <c r="L74" s="20">
        <f>'WW P&amp;L'!L62</f>
        <v/>
      </c>
      <c r="M74" s="20">
        <f>'WW P&amp;L'!M62</f>
        <v/>
      </c>
      <c r="N74" s="20">
        <f>'WW P&amp;L'!N62</f>
        <v/>
      </c>
      <c r="O74" s="20">
        <f>'WW P&amp;L'!O62</f>
        <v/>
      </c>
      <c r="P74" s="20">
        <f>'WW P&amp;L'!P62</f>
        <v/>
      </c>
      <c r="Q74" s="20">
        <f>'WW P&amp;L'!Q62</f>
        <v/>
      </c>
      <c r="R74" s="20">
        <f>'WW P&amp;L'!R62</f>
        <v/>
      </c>
      <c r="S74" s="20">
        <f>'WW P&amp;L'!S62</f>
        <v/>
      </c>
      <c r="T74" s="20">
        <f>'WW P&amp;L'!T62</f>
        <v/>
      </c>
      <c r="U74" s="20">
        <f>'WW P&amp;L'!U62</f>
        <v/>
      </c>
      <c r="V74" s="20">
        <f>'WW P&amp;L'!V62</f>
        <v/>
      </c>
      <c r="W74" s="20">
        <f>'WW P&amp;L'!W62</f>
        <v/>
      </c>
      <c r="X74" s="20">
        <f>'WW P&amp;L'!X62</f>
        <v/>
      </c>
      <c r="Y74" s="20">
        <f>'WW P&amp;L'!Y62</f>
        <v/>
      </c>
      <c r="Z74" s="20">
        <f>'WW P&amp;L'!Z62</f>
        <v/>
      </c>
      <c r="AA74" s="20">
        <f>'WW P&amp;L'!AA62</f>
        <v/>
      </c>
      <c r="AB74" s="20">
        <f>'WW P&amp;L'!AB62</f>
        <v/>
      </c>
      <c r="AC74" s="20">
        <f>'WW P&amp;L'!AC62</f>
        <v/>
      </c>
      <c r="AD74" s="20">
        <f>'WW P&amp;L'!AD62</f>
        <v/>
      </c>
      <c r="AE74" s="20">
        <f>'WW P&amp;L'!AE62</f>
        <v/>
      </c>
      <c r="AF74" s="20">
        <f>'WW P&amp;L'!AF62</f>
        <v/>
      </c>
      <c r="AG74" s="20">
        <f>'WW P&amp;L'!AG62</f>
        <v/>
      </c>
      <c r="AH74" s="20">
        <f>'WW P&amp;L'!AH62</f>
        <v/>
      </c>
      <c r="AI74" s="20">
        <f>'WW P&amp;L'!AI62</f>
        <v/>
      </c>
      <c r="AJ74" s="20">
        <f>'WW P&amp;L'!AJ62</f>
        <v/>
      </c>
      <c r="AK74" s="20">
        <f>'WW P&amp;L'!AK62</f>
        <v/>
      </c>
      <c r="AL74" s="20">
        <f>'WW P&amp;L'!AL62</f>
        <v/>
      </c>
      <c r="AM74" s="20">
        <f>'WW P&amp;L'!AM62</f>
        <v/>
      </c>
      <c r="AN74" s="20">
        <f>'WW P&amp;L'!AN62</f>
        <v/>
      </c>
      <c r="AO74" s="20">
        <f>'WW P&amp;L'!AO62</f>
        <v/>
      </c>
      <c r="AP74" s="20">
        <f>'WW P&amp;L'!AP62</f>
        <v/>
      </c>
      <c r="AQ74" s="20">
        <f>'WW P&amp;L'!AQ62</f>
        <v/>
      </c>
      <c r="AR74" s="20">
        <f>'WW P&amp;L'!AR62</f>
        <v/>
      </c>
      <c r="AS74" s="20">
        <f>'WW P&amp;L'!AS62</f>
        <v/>
      </c>
      <c r="AT74" s="20">
        <f>'WW P&amp;L'!AT62</f>
        <v/>
      </c>
      <c r="AU74" s="20">
        <f>'WW P&amp;L'!AU62</f>
        <v/>
      </c>
      <c r="AV74" s="20">
        <f>'WW P&amp;L'!AV62</f>
        <v/>
      </c>
      <c r="AW74" s="20">
        <f>'WW P&amp;L'!AW62</f>
        <v/>
      </c>
      <c r="AX74" s="20">
        <f>'WW P&amp;L'!AX62</f>
        <v/>
      </c>
      <c r="AY74" s="20">
        <f>'WW P&amp;L'!AY62</f>
        <v/>
      </c>
    </row>
    <row r="75">
      <c r="B75" s="15" t="inlineStr">
        <is>
          <t>Net Operating Income</t>
        </is>
      </c>
      <c r="D75" s="37">
        <f>'WW P&amp;L'!D63</f>
        <v/>
      </c>
      <c r="E75" s="37">
        <f>'WW P&amp;L'!E63</f>
        <v/>
      </c>
      <c r="F75" s="37">
        <f>'WW P&amp;L'!F63</f>
        <v/>
      </c>
      <c r="G75" s="37">
        <f>'WW P&amp;L'!G63</f>
        <v/>
      </c>
      <c r="H75" s="37">
        <f>'WW P&amp;L'!H63</f>
        <v/>
      </c>
      <c r="I75" s="37">
        <f>'WW P&amp;L'!I63</f>
        <v/>
      </c>
      <c r="J75" s="37">
        <f>'WW P&amp;L'!J63</f>
        <v/>
      </c>
      <c r="K75" s="37">
        <f>'WW P&amp;L'!K63</f>
        <v/>
      </c>
      <c r="L75" s="37">
        <f>'WW P&amp;L'!L63</f>
        <v/>
      </c>
      <c r="M75" s="37">
        <f>'WW P&amp;L'!M63</f>
        <v/>
      </c>
      <c r="N75" s="37">
        <f>'WW P&amp;L'!N63</f>
        <v/>
      </c>
      <c r="O75" s="37">
        <f>'WW P&amp;L'!O63</f>
        <v/>
      </c>
      <c r="P75" s="37">
        <f>'WW P&amp;L'!P63</f>
        <v/>
      </c>
      <c r="Q75" s="37">
        <f>'WW P&amp;L'!Q63</f>
        <v/>
      </c>
      <c r="R75" s="37">
        <f>'WW P&amp;L'!R63</f>
        <v/>
      </c>
      <c r="S75" s="37">
        <f>'WW P&amp;L'!S63</f>
        <v/>
      </c>
      <c r="T75" s="37">
        <f>'WW P&amp;L'!T63</f>
        <v/>
      </c>
      <c r="U75" s="37">
        <f>'WW P&amp;L'!U63</f>
        <v/>
      </c>
      <c r="V75" s="37">
        <f>'WW P&amp;L'!V63</f>
        <v/>
      </c>
      <c r="W75" s="37">
        <f>'WW P&amp;L'!W63</f>
        <v/>
      </c>
      <c r="X75" s="37">
        <f>'WW P&amp;L'!X63</f>
        <v/>
      </c>
      <c r="Y75" s="37">
        <f>'WW P&amp;L'!Y63</f>
        <v/>
      </c>
      <c r="Z75" s="37">
        <f>'WW P&amp;L'!Z63</f>
        <v/>
      </c>
      <c r="AA75" s="37">
        <f>'WW P&amp;L'!AA63</f>
        <v/>
      </c>
      <c r="AB75" s="37">
        <f>'WW P&amp;L'!AB63</f>
        <v/>
      </c>
      <c r="AC75" s="37">
        <f>'WW P&amp;L'!AC63</f>
        <v/>
      </c>
      <c r="AD75" s="37">
        <f>'WW P&amp;L'!AD63</f>
        <v/>
      </c>
      <c r="AE75" s="37">
        <f>'WW P&amp;L'!AE63</f>
        <v/>
      </c>
      <c r="AF75" s="37">
        <f>'WW P&amp;L'!AF63</f>
        <v/>
      </c>
      <c r="AG75" s="37">
        <f>'WW P&amp;L'!AG63</f>
        <v/>
      </c>
      <c r="AH75" s="37">
        <f>'WW P&amp;L'!AH63</f>
        <v/>
      </c>
      <c r="AI75" s="37">
        <f>'WW P&amp;L'!AI63</f>
        <v/>
      </c>
      <c r="AJ75" s="37">
        <f>'WW P&amp;L'!AJ63</f>
        <v/>
      </c>
      <c r="AK75" s="37">
        <f>'WW P&amp;L'!AK63</f>
        <v/>
      </c>
      <c r="AL75" s="37">
        <f>'WW P&amp;L'!AL63</f>
        <v/>
      </c>
      <c r="AM75" s="37">
        <f>'WW P&amp;L'!AM63</f>
        <v/>
      </c>
      <c r="AN75" s="37">
        <f>'WW P&amp;L'!AN63</f>
        <v/>
      </c>
      <c r="AO75" s="37">
        <f>'WW P&amp;L'!AO63</f>
        <v/>
      </c>
      <c r="AP75" s="37">
        <f>'WW P&amp;L'!AP63</f>
        <v/>
      </c>
      <c r="AQ75" s="37">
        <f>'WW P&amp;L'!AQ63</f>
        <v/>
      </c>
      <c r="AR75" s="37">
        <f>'WW P&amp;L'!AR63</f>
        <v/>
      </c>
      <c r="AS75" s="37">
        <f>'WW P&amp;L'!AS63</f>
        <v/>
      </c>
      <c r="AT75" s="37">
        <f>'WW P&amp;L'!AT63</f>
        <v/>
      </c>
      <c r="AU75" s="37">
        <f>'WW P&amp;L'!AU63</f>
        <v/>
      </c>
      <c r="AV75" s="37">
        <f>'WW P&amp;L'!AV63</f>
        <v/>
      </c>
      <c r="AW75" s="37">
        <f>'WW P&amp;L'!AW63</f>
        <v/>
      </c>
      <c r="AX75" s="37">
        <f>'WW P&amp;L'!AX63</f>
        <v/>
      </c>
      <c r="AY75" s="37">
        <f>'WW P&amp;L'!AY63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Berkeley (BK)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48512.85</v>
      </c>
      <c r="E7" s="19" t="n">
        <v>54342.24</v>
      </c>
      <c r="F7" s="19" t="n">
        <v>64934.84</v>
      </c>
      <c r="G7" s="19" t="n">
        <v>59274.01</v>
      </c>
      <c r="H7" s="19" t="n">
        <v>61380.05</v>
      </c>
      <c r="I7" s="19" t="n">
        <v>59220.81</v>
      </c>
      <c r="J7" s="19" t="n">
        <v>60156.33</v>
      </c>
      <c r="K7" s="19" t="n">
        <v>65762.10000000001</v>
      </c>
      <c r="L7" s="19" t="n">
        <v>63020.69</v>
      </c>
      <c r="M7" s="19" t="n">
        <v>62222.95</v>
      </c>
      <c r="N7" s="19" t="n">
        <v>58675.46</v>
      </c>
      <c r="O7" s="19" t="n">
        <v>57148.4</v>
      </c>
      <c r="P7" s="19" t="n">
        <v>67553.69</v>
      </c>
      <c r="Q7" s="19" t="n">
        <v>60691.23</v>
      </c>
      <c r="R7" s="19" t="n">
        <v>63647.98</v>
      </c>
      <c r="S7" s="19" t="n">
        <v>60903.08</v>
      </c>
      <c r="T7" s="84" t="n">
        <v>59469.95</v>
      </c>
      <c r="U7" s="20">
        <f>U13*0.598021</f>
        <v/>
      </c>
      <c r="V7" s="20">
        <f>V13*0.598021</f>
        <v/>
      </c>
      <c r="W7" s="20">
        <f>W13*0.598021</f>
        <v/>
      </c>
      <c r="X7" s="20">
        <f>X13*0.598021</f>
        <v/>
      </c>
      <c r="Y7" s="20">
        <f>Y13*0.598021</f>
        <v/>
      </c>
      <c r="Z7" s="20">
        <f>Z13*0.598021</f>
        <v/>
      </c>
      <c r="AA7" s="20">
        <f>AA13*0.598021</f>
        <v/>
      </c>
      <c r="AB7" s="20">
        <f>AB13*0.598021</f>
        <v/>
      </c>
      <c r="AC7" s="20">
        <f>AC13*0.598021</f>
        <v/>
      </c>
      <c r="AD7" s="20">
        <f>AD13*0.598021</f>
        <v/>
      </c>
      <c r="AE7" s="20">
        <f>AE13*0.598021</f>
        <v/>
      </c>
      <c r="AF7" s="20">
        <f>AF13*0.598021</f>
        <v/>
      </c>
      <c r="AG7" s="20">
        <f>AG13*0.598021</f>
        <v/>
      </c>
      <c r="AH7" s="20">
        <f>AH13*0.598021</f>
        <v/>
      </c>
      <c r="AI7" s="20">
        <f>AI13*0.598021</f>
        <v/>
      </c>
      <c r="AJ7" s="20">
        <f>AJ13*0.598021</f>
        <v/>
      </c>
      <c r="AK7" s="20">
        <f>AK13*0.598021</f>
        <v/>
      </c>
      <c r="AL7" s="20">
        <f>AL13*0.598021</f>
        <v/>
      </c>
      <c r="AM7" s="20">
        <f>AM13*0.598021</f>
        <v/>
      </c>
      <c r="AN7" s="20">
        <f>AN13*0.598021</f>
        <v/>
      </c>
      <c r="AO7" s="20">
        <f>AO13*0.598021</f>
        <v/>
      </c>
      <c r="AP7" s="20">
        <f>AP13*0.598021</f>
        <v/>
      </c>
      <c r="AQ7" s="20">
        <f>AQ13*0.598021</f>
        <v/>
      </c>
      <c r="AR7" s="20">
        <f>AR13*0.598021</f>
        <v/>
      </c>
      <c r="AS7" s="20">
        <f>AS13*0.598021</f>
        <v/>
      </c>
      <c r="AT7" s="20">
        <f>AT13*0.598021</f>
        <v/>
      </c>
      <c r="AU7" s="20">
        <f>AU13*0.598021</f>
        <v/>
      </c>
      <c r="AV7" s="20">
        <f>AV13*0.598021</f>
        <v/>
      </c>
      <c r="AW7" s="20">
        <f>AW13*0.598021</f>
        <v/>
      </c>
      <c r="AX7" s="20">
        <f>AX13*0.598021</f>
        <v/>
      </c>
      <c r="AY7" s="20">
        <f>AY13*0.598021</f>
        <v/>
      </c>
    </row>
    <row r="8">
      <c r="B8" s="33" t="inlineStr">
        <is>
          <t xml:space="preserve">  401002 Private Pilates</t>
        </is>
      </c>
      <c r="D8" s="19" t="n">
        <v>3365</v>
      </c>
      <c r="E8" s="19" t="n">
        <v>5164</v>
      </c>
      <c r="F8" s="19" t="n">
        <v>6259.32</v>
      </c>
      <c r="G8" s="19" t="n">
        <v>7063.11</v>
      </c>
      <c r="H8" s="19" t="n">
        <v>6195.11</v>
      </c>
      <c r="I8" s="19" t="n">
        <v>4351.11</v>
      </c>
      <c r="J8" s="19" t="n">
        <v>4420.26</v>
      </c>
      <c r="K8" s="19" t="n">
        <v>6743.11</v>
      </c>
      <c r="L8" s="19" t="n">
        <v>6140</v>
      </c>
      <c r="M8" s="19" t="n">
        <v>3768.5</v>
      </c>
      <c r="N8" s="19" t="n">
        <v>5134</v>
      </c>
      <c r="O8" s="19" t="n">
        <v>4124</v>
      </c>
      <c r="P8" s="19" t="n">
        <v>4967</v>
      </c>
      <c r="Q8" s="19" t="n">
        <v>6520</v>
      </c>
      <c r="R8" s="19" t="n">
        <v>7898</v>
      </c>
      <c r="S8" s="19" t="n">
        <v>6484</v>
      </c>
      <c r="T8" s="84" t="n">
        <v>4535</v>
      </c>
      <c r="U8" s="20">
        <f>U13*0.061196</f>
        <v/>
      </c>
      <c r="V8" s="20">
        <f>V13*0.061196</f>
        <v/>
      </c>
      <c r="W8" s="20">
        <f>W13*0.061196</f>
        <v/>
      </c>
      <c r="X8" s="20">
        <f>X13*0.061196</f>
        <v/>
      </c>
      <c r="Y8" s="20">
        <f>Y13*0.061196</f>
        <v/>
      </c>
      <c r="Z8" s="20">
        <f>Z13*0.061196</f>
        <v/>
      </c>
      <c r="AA8" s="20">
        <f>AA13*0.061196</f>
        <v/>
      </c>
      <c r="AB8" s="20">
        <f>AB13*0.061196</f>
        <v/>
      </c>
      <c r="AC8" s="20">
        <f>AC13*0.061196</f>
        <v/>
      </c>
      <c r="AD8" s="20">
        <f>AD13*0.061196</f>
        <v/>
      </c>
      <c r="AE8" s="20">
        <f>AE13*0.061196</f>
        <v/>
      </c>
      <c r="AF8" s="20">
        <f>AF13*0.061196</f>
        <v/>
      </c>
      <c r="AG8" s="20">
        <f>AG13*0.061196</f>
        <v/>
      </c>
      <c r="AH8" s="20">
        <f>AH13*0.061196</f>
        <v/>
      </c>
      <c r="AI8" s="20">
        <f>AI13*0.061196</f>
        <v/>
      </c>
      <c r="AJ8" s="20">
        <f>AJ13*0.061196</f>
        <v/>
      </c>
      <c r="AK8" s="20">
        <f>AK13*0.061196</f>
        <v/>
      </c>
      <c r="AL8" s="20">
        <f>AL13*0.061196</f>
        <v/>
      </c>
      <c r="AM8" s="20">
        <f>AM13*0.061196</f>
        <v/>
      </c>
      <c r="AN8" s="20">
        <f>AN13*0.061196</f>
        <v/>
      </c>
      <c r="AO8" s="20">
        <f>AO13*0.061196</f>
        <v/>
      </c>
      <c r="AP8" s="20">
        <f>AP13*0.061196</f>
        <v/>
      </c>
      <c r="AQ8" s="20">
        <f>AQ13*0.061196</f>
        <v/>
      </c>
      <c r="AR8" s="20">
        <f>AR13*0.061196</f>
        <v/>
      </c>
      <c r="AS8" s="20">
        <f>AS13*0.061196</f>
        <v/>
      </c>
      <c r="AT8" s="20">
        <f>AT13*0.061196</f>
        <v/>
      </c>
      <c r="AU8" s="20">
        <f>AU13*0.061196</f>
        <v/>
      </c>
      <c r="AV8" s="20">
        <f>AV13*0.061196</f>
        <v/>
      </c>
      <c r="AW8" s="20">
        <f>AW13*0.061196</f>
        <v/>
      </c>
      <c r="AX8" s="20">
        <f>AX13*0.061196</f>
        <v/>
      </c>
      <c r="AY8" s="20">
        <f>AY13*0.061196</f>
        <v/>
      </c>
    </row>
    <row r="9">
      <c r="B9" s="33" t="inlineStr">
        <is>
          <t xml:space="preserve">  401003 Class Pass</t>
        </is>
      </c>
      <c r="D9" s="19" t="n">
        <v>28443.58</v>
      </c>
      <c r="E9" s="19" t="n">
        <v>27468.5</v>
      </c>
      <c r="F9" s="19" t="n">
        <v>27758.08</v>
      </c>
      <c r="G9" s="19" t="n">
        <v>30356.52</v>
      </c>
      <c r="H9" s="19" t="n">
        <v>29776.53</v>
      </c>
      <c r="I9" s="19" t="n">
        <v>29108.34</v>
      </c>
      <c r="J9" s="19" t="n">
        <v>28187.52</v>
      </c>
      <c r="K9" s="19" t="n">
        <v>27520.95</v>
      </c>
      <c r="L9" s="19" t="n">
        <v>26184.97</v>
      </c>
      <c r="M9" s="19" t="n">
        <v>24804.33</v>
      </c>
      <c r="N9" s="19" t="n">
        <v>26840.92</v>
      </c>
      <c r="O9" s="19" t="n">
        <v>26286.98</v>
      </c>
      <c r="P9" s="19" t="n">
        <v>28869.3</v>
      </c>
      <c r="Q9" s="19" t="n">
        <v>25522.33</v>
      </c>
      <c r="R9" s="19" t="n">
        <v>29455.32</v>
      </c>
      <c r="S9" s="19" t="n">
        <v>30289</v>
      </c>
      <c r="T9" s="84" t="n">
        <v>26097.27</v>
      </c>
      <c r="U9" s="20">
        <f>U13*0.270003</f>
        <v/>
      </c>
      <c r="V9" s="20">
        <f>V13*0.270003</f>
        <v/>
      </c>
      <c r="W9" s="20">
        <f>W13*0.270003</f>
        <v/>
      </c>
      <c r="X9" s="20">
        <f>X13*0.270003</f>
        <v/>
      </c>
      <c r="Y9" s="20">
        <f>Y13*0.270003</f>
        <v/>
      </c>
      <c r="Z9" s="20">
        <f>Z13*0.270003</f>
        <v/>
      </c>
      <c r="AA9" s="20">
        <f>AA13*0.270003</f>
        <v/>
      </c>
      <c r="AB9" s="20">
        <f>AB13*0.270003</f>
        <v/>
      </c>
      <c r="AC9" s="20">
        <f>AC13*0.270003</f>
        <v/>
      </c>
      <c r="AD9" s="20">
        <f>AD13*0.270003</f>
        <v/>
      </c>
      <c r="AE9" s="20">
        <f>AE13*0.270003</f>
        <v/>
      </c>
      <c r="AF9" s="20">
        <f>AF13*0.270003</f>
        <v/>
      </c>
      <c r="AG9" s="20">
        <f>AG13*0.270003</f>
        <v/>
      </c>
      <c r="AH9" s="20">
        <f>AH13*0.270003</f>
        <v/>
      </c>
      <c r="AI9" s="20">
        <f>AI13*0.270003</f>
        <v/>
      </c>
      <c r="AJ9" s="20">
        <f>AJ13*0.270003</f>
        <v/>
      </c>
      <c r="AK9" s="20">
        <f>AK13*0.270003</f>
        <v/>
      </c>
      <c r="AL9" s="20">
        <f>AL13*0.270003</f>
        <v/>
      </c>
      <c r="AM9" s="20">
        <f>AM13*0.270003</f>
        <v/>
      </c>
      <c r="AN9" s="20">
        <f>AN13*0.270003</f>
        <v/>
      </c>
      <c r="AO9" s="20">
        <f>AO13*0.270003</f>
        <v/>
      </c>
      <c r="AP9" s="20">
        <f>AP13*0.270003</f>
        <v/>
      </c>
      <c r="AQ9" s="20">
        <f>AQ13*0.270003</f>
        <v/>
      </c>
      <c r="AR9" s="20">
        <f>AR13*0.270003</f>
        <v/>
      </c>
      <c r="AS9" s="20">
        <f>AS13*0.270003</f>
        <v/>
      </c>
      <c r="AT9" s="20">
        <f>AT13*0.270003</f>
        <v/>
      </c>
      <c r="AU9" s="20">
        <f>AU13*0.270003</f>
        <v/>
      </c>
      <c r="AV9" s="20">
        <f>AV13*0.270003</f>
        <v/>
      </c>
      <c r="AW9" s="20">
        <f>AW13*0.270003</f>
        <v/>
      </c>
      <c r="AX9" s="20">
        <f>AX13*0.270003</f>
        <v/>
      </c>
      <c r="AY9" s="20">
        <f>AY13*0.270003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320</v>
      </c>
      <c r="F10" s="19" t="n">
        <v>0</v>
      </c>
      <c r="G10" s="19" t="n">
        <v>0</v>
      </c>
      <c r="H10" s="19" t="n">
        <v>1280</v>
      </c>
      <c r="I10" s="19" t="n">
        <v>2320</v>
      </c>
      <c r="J10" s="19" t="n">
        <v>5457.5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21644.5</v>
      </c>
      <c r="Q10" s="19" t="n">
        <v>6831</v>
      </c>
      <c r="R10" s="19" t="n">
        <v>0</v>
      </c>
      <c r="S10" s="19" t="n">
        <v>0</v>
      </c>
      <c r="T10" s="84" t="n">
        <v>0</v>
      </c>
      <c r="U10" s="20">
        <f>U13*0.067362</f>
        <v/>
      </c>
      <c r="V10" s="20">
        <f>V13*0.067362</f>
        <v/>
      </c>
      <c r="W10" s="20">
        <f>W13*0.067362</f>
        <v/>
      </c>
      <c r="X10" s="20">
        <f>X13*0.067362</f>
        <v/>
      </c>
      <c r="Y10" s="20">
        <f>Y13*0.067362</f>
        <v/>
      </c>
      <c r="Z10" s="20">
        <f>Z13*0.067362</f>
        <v/>
      </c>
      <c r="AA10" s="20">
        <f>AA13*0.067362</f>
        <v/>
      </c>
      <c r="AB10" s="20">
        <f>AB13*0.067362</f>
        <v/>
      </c>
      <c r="AC10" s="20">
        <f>AC13*0.067362</f>
        <v/>
      </c>
      <c r="AD10" s="20">
        <f>AD13*0.067362</f>
        <v/>
      </c>
      <c r="AE10" s="20">
        <f>AE13*0.067362</f>
        <v/>
      </c>
      <c r="AF10" s="20">
        <f>AF13*0.067362</f>
        <v/>
      </c>
      <c r="AG10" s="20">
        <f>AG13*0.067362</f>
        <v/>
      </c>
      <c r="AH10" s="20">
        <f>AH13*0.067362</f>
        <v/>
      </c>
      <c r="AI10" s="20">
        <f>AI13*0.067362</f>
        <v/>
      </c>
      <c r="AJ10" s="20">
        <f>AJ13*0.067362</f>
        <v/>
      </c>
      <c r="AK10" s="20">
        <f>AK13*0.067362</f>
        <v/>
      </c>
      <c r="AL10" s="20">
        <f>AL13*0.067362</f>
        <v/>
      </c>
      <c r="AM10" s="20">
        <f>AM13*0.067362</f>
        <v/>
      </c>
      <c r="AN10" s="20">
        <f>AN13*0.067362</f>
        <v/>
      </c>
      <c r="AO10" s="20">
        <f>AO13*0.067362</f>
        <v/>
      </c>
      <c r="AP10" s="20">
        <f>AP13*0.067362</f>
        <v/>
      </c>
      <c r="AQ10" s="20">
        <f>AQ13*0.067362</f>
        <v/>
      </c>
      <c r="AR10" s="20">
        <f>AR13*0.067362</f>
        <v/>
      </c>
      <c r="AS10" s="20">
        <f>AS13*0.067362</f>
        <v/>
      </c>
      <c r="AT10" s="20">
        <f>AT13*0.067362</f>
        <v/>
      </c>
      <c r="AU10" s="20">
        <f>AU13*0.067362</f>
        <v/>
      </c>
      <c r="AV10" s="20">
        <f>AV13*0.067362</f>
        <v/>
      </c>
      <c r="AW10" s="20">
        <f>AW13*0.067362</f>
        <v/>
      </c>
      <c r="AX10" s="20">
        <f>AX13*0.067362</f>
        <v/>
      </c>
      <c r="AY10" s="20">
        <f>AY13*0.067362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14</v>
      </c>
      <c r="F11" s="19" t="n">
        <v>25.8</v>
      </c>
      <c r="G11" s="19" t="n">
        <v>65.59999999999999</v>
      </c>
      <c r="H11" s="19" t="n">
        <v>23.6</v>
      </c>
      <c r="I11" s="19" t="n">
        <v>73</v>
      </c>
      <c r="J11" s="19" t="n">
        <v>59</v>
      </c>
      <c r="K11" s="19" t="n">
        <v>132</v>
      </c>
      <c r="L11" s="19" t="n">
        <v>115</v>
      </c>
      <c r="M11" s="19" t="n">
        <v>23.6</v>
      </c>
      <c r="N11" s="19" t="n">
        <v>23.6</v>
      </c>
      <c r="O11" s="19" t="n">
        <v>14</v>
      </c>
      <c r="P11" s="19" t="n">
        <v>49.4</v>
      </c>
      <c r="Q11" s="19" t="n">
        <v>64.90000000000001</v>
      </c>
      <c r="R11" s="19" t="n">
        <v>82.59999999999999</v>
      </c>
      <c r="S11" s="19" t="n">
        <v>18.22</v>
      </c>
      <c r="T11" s="84" t="n">
        <v>31.56</v>
      </c>
      <c r="U11" s="20">
        <f>U13*0.000509</f>
        <v/>
      </c>
      <c r="V11" s="20">
        <f>V13*0.000509</f>
        <v/>
      </c>
      <c r="W11" s="20">
        <f>W13*0.000509</f>
        <v/>
      </c>
      <c r="X11" s="20">
        <f>X13*0.000509</f>
        <v/>
      </c>
      <c r="Y11" s="20">
        <f>Y13*0.000509</f>
        <v/>
      </c>
      <c r="Z11" s="20">
        <f>Z13*0.000509</f>
        <v/>
      </c>
      <c r="AA11" s="20">
        <f>AA13*0.000509</f>
        <v/>
      </c>
      <c r="AB11" s="20">
        <f>AB13*0.000509</f>
        <v/>
      </c>
      <c r="AC11" s="20">
        <f>AC13*0.000509</f>
        <v/>
      </c>
      <c r="AD11" s="20">
        <f>AD13*0.000509</f>
        <v/>
      </c>
      <c r="AE11" s="20">
        <f>AE13*0.000509</f>
        <v/>
      </c>
      <c r="AF11" s="20">
        <f>AF13*0.000509</f>
        <v/>
      </c>
      <c r="AG11" s="20">
        <f>AG13*0.000509</f>
        <v/>
      </c>
      <c r="AH11" s="20">
        <f>AH13*0.000509</f>
        <v/>
      </c>
      <c r="AI11" s="20">
        <f>AI13*0.000509</f>
        <v/>
      </c>
      <c r="AJ11" s="20">
        <f>AJ13*0.000509</f>
        <v/>
      </c>
      <c r="AK11" s="20">
        <f>AK13*0.000509</f>
        <v/>
      </c>
      <c r="AL11" s="20">
        <f>AL13*0.000509</f>
        <v/>
      </c>
      <c r="AM11" s="20">
        <f>AM13*0.000509</f>
        <v/>
      </c>
      <c r="AN11" s="20">
        <f>AN13*0.000509</f>
        <v/>
      </c>
      <c r="AO11" s="20">
        <f>AO13*0.000509</f>
        <v/>
      </c>
      <c r="AP11" s="20">
        <f>AP13*0.000509</f>
        <v/>
      </c>
      <c r="AQ11" s="20">
        <f>AQ13*0.000509</f>
        <v/>
      </c>
      <c r="AR11" s="20">
        <f>AR13*0.000509</f>
        <v/>
      </c>
      <c r="AS11" s="20">
        <f>AS13*0.000509</f>
        <v/>
      </c>
      <c r="AT11" s="20">
        <f>AT13*0.000509</f>
        <v/>
      </c>
      <c r="AU11" s="20">
        <f>AU13*0.000509</f>
        <v/>
      </c>
      <c r="AV11" s="20">
        <f>AV13*0.000509</f>
        <v/>
      </c>
      <c r="AW11" s="20">
        <f>AW13*0.000509</f>
        <v/>
      </c>
      <c r="AX11" s="20">
        <f>AX13*0.000509</f>
        <v/>
      </c>
      <c r="AY11" s="20">
        <f>AY13*0.000509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44.66</v>
      </c>
      <c r="K12" s="19" t="n">
        <v>52.54</v>
      </c>
      <c r="L12" s="19" t="n">
        <v>52.54</v>
      </c>
      <c r="M12" s="19" t="n">
        <v>0</v>
      </c>
      <c r="N12" s="19" t="n">
        <v>149.74</v>
      </c>
      <c r="O12" s="19" t="n">
        <v>202.28</v>
      </c>
      <c r="P12" s="19" t="n">
        <v>289</v>
      </c>
      <c r="Q12" s="19" t="n">
        <v>341.54</v>
      </c>
      <c r="R12" s="19" t="n">
        <v>289</v>
      </c>
      <c r="S12" s="19" t="n">
        <v>309.99</v>
      </c>
      <c r="T12" s="84" t="n">
        <v>202.28</v>
      </c>
      <c r="U12" s="20">
        <f>U13*0.002909</f>
        <v/>
      </c>
      <c r="V12" s="20">
        <f>V13*0.002909</f>
        <v/>
      </c>
      <c r="W12" s="20">
        <f>W13*0.002909</f>
        <v/>
      </c>
      <c r="X12" s="20">
        <f>X13*0.002909</f>
        <v/>
      </c>
      <c r="Y12" s="20">
        <f>Y13*0.002909</f>
        <v/>
      </c>
      <c r="Z12" s="20">
        <f>Z13*0.002909</f>
        <v/>
      </c>
      <c r="AA12" s="20">
        <f>AA13*0.002909</f>
        <v/>
      </c>
      <c r="AB12" s="20">
        <f>AB13*0.002909</f>
        <v/>
      </c>
      <c r="AC12" s="20">
        <f>AC13*0.002909</f>
        <v/>
      </c>
      <c r="AD12" s="20">
        <f>AD13*0.002909</f>
        <v/>
      </c>
      <c r="AE12" s="20">
        <f>AE13*0.002909</f>
        <v/>
      </c>
      <c r="AF12" s="20">
        <f>AF13*0.002909</f>
        <v/>
      </c>
      <c r="AG12" s="20">
        <f>AG13*0.002909</f>
        <v/>
      </c>
      <c r="AH12" s="20">
        <f>AH13*0.002909</f>
        <v/>
      </c>
      <c r="AI12" s="20">
        <f>AI13*0.002909</f>
        <v/>
      </c>
      <c r="AJ12" s="20">
        <f>AJ13*0.002909</f>
        <v/>
      </c>
      <c r="AK12" s="20">
        <f>AK13*0.002909</f>
        <v/>
      </c>
      <c r="AL12" s="20">
        <f>AL13*0.002909</f>
        <v/>
      </c>
      <c r="AM12" s="20">
        <f>AM13*0.002909</f>
        <v/>
      </c>
      <c r="AN12" s="20">
        <f>AN13*0.002909</f>
        <v/>
      </c>
      <c r="AO12" s="20">
        <f>AO13*0.002909</f>
        <v/>
      </c>
      <c r="AP12" s="20">
        <f>AP13*0.002909</f>
        <v/>
      </c>
      <c r="AQ12" s="20">
        <f>AQ13*0.002909</f>
        <v/>
      </c>
      <c r="AR12" s="20">
        <f>AR13*0.002909</f>
        <v/>
      </c>
      <c r="AS12" s="20">
        <f>AS13*0.002909</f>
        <v/>
      </c>
      <c r="AT12" s="20">
        <f>AT13*0.002909</f>
        <v/>
      </c>
      <c r="AU12" s="20">
        <f>AU13*0.002909</f>
        <v/>
      </c>
      <c r="AV12" s="20">
        <f>AV13*0.002909</f>
        <v/>
      </c>
      <c r="AW12" s="20">
        <f>AW13*0.002909</f>
        <v/>
      </c>
      <c r="AX12" s="20">
        <f>AX13*0.002909</f>
        <v/>
      </c>
      <c r="AY12" s="20">
        <f>AY13*0.002909</f>
        <v/>
      </c>
    </row>
    <row r="13">
      <c r="B13" s="32" t="inlineStr">
        <is>
          <t>Total Sessions</t>
        </is>
      </c>
      <c r="C13" s="34" t="n"/>
      <c r="D13" s="35" t="n">
        <v>80961.42999999999</v>
      </c>
      <c r="E13" s="35" t="n">
        <v>87308.73999999999</v>
      </c>
      <c r="F13" s="35" t="n">
        <v>98978.03999999999</v>
      </c>
      <c r="G13" s="35" t="n">
        <v>96759.24000000001</v>
      </c>
      <c r="H13" s="35" t="n">
        <v>98655.28999999999</v>
      </c>
      <c r="I13" s="35" t="n">
        <v>95073.25999999999</v>
      </c>
      <c r="J13" s="35" t="n">
        <v>98325.27</v>
      </c>
      <c r="K13" s="35" t="n">
        <v>100210.7</v>
      </c>
      <c r="L13" s="35" t="n">
        <v>95513.2</v>
      </c>
      <c r="M13" s="35" t="n">
        <v>90819.38</v>
      </c>
      <c r="N13" s="35" t="n">
        <v>90823.72000000002</v>
      </c>
      <c r="O13" s="35" t="n">
        <v>87775.66</v>
      </c>
      <c r="P13" s="35" t="n">
        <v>123372.89</v>
      </c>
      <c r="Q13" s="35" t="n">
        <v>99971</v>
      </c>
      <c r="R13" s="35" t="n">
        <v>101372.9</v>
      </c>
      <c r="S13" s="35" t="n">
        <v>98004.29000000001</v>
      </c>
      <c r="T13" s="85" t="n">
        <v>90336.06</v>
      </c>
      <c r="U13" s="17">
        <f>'Sales Forecast'!U6*Assumptions!$C$12+'Sales Forecast'!T6*Assumptions!$D$12+'Sales Forecast'!S6*Assumptions!$E$12+'Sales Forecast'!R6*Assumptions!$F$12+'Sales Forecast'!Q6*Assumptions!$G$12+'Sales Forecast'!P6*Assumptions!$H$12+'Sales Forecast'!U102*Assumptions!$I$12</f>
        <v/>
      </c>
      <c r="V13" s="17">
        <f>'Sales Forecast'!V6*Assumptions!$C$12+'Sales Forecast'!U6*Assumptions!$D$12+'Sales Forecast'!T6*Assumptions!$E$12+'Sales Forecast'!S6*Assumptions!$F$12+'Sales Forecast'!R6*Assumptions!$G$12+'Sales Forecast'!Q6*Assumptions!$H$12+'Sales Forecast'!P6*Assumptions!$I$12</f>
        <v/>
      </c>
      <c r="W13" s="17">
        <f>'Sales Forecast'!W6*Assumptions!$C$12+'Sales Forecast'!V6*Assumptions!$D$12+'Sales Forecast'!U6*Assumptions!$E$12+'Sales Forecast'!T6*Assumptions!$F$12+'Sales Forecast'!S6*Assumptions!$G$12+'Sales Forecast'!R6*Assumptions!$H$12+'Sales Forecast'!Q6*Assumptions!$I$12</f>
        <v/>
      </c>
      <c r="X13" s="17">
        <f>'Sales Forecast'!X6*Assumptions!$C$12+'Sales Forecast'!W6*Assumptions!$D$12+'Sales Forecast'!V6*Assumptions!$E$12+'Sales Forecast'!U6*Assumptions!$F$12+'Sales Forecast'!T6*Assumptions!$G$12+'Sales Forecast'!S6*Assumptions!$H$12+'Sales Forecast'!R6*Assumptions!$I$12</f>
        <v/>
      </c>
      <c r="Y13" s="17">
        <f>'Sales Forecast'!Y6*Assumptions!$C$12+'Sales Forecast'!X6*Assumptions!$D$12+'Sales Forecast'!W6*Assumptions!$E$12+'Sales Forecast'!V6*Assumptions!$F$12+'Sales Forecast'!U6*Assumptions!$G$12+'Sales Forecast'!T6*Assumptions!$H$12+'Sales Forecast'!S6*Assumptions!$I$12</f>
        <v/>
      </c>
      <c r="Z13" s="17">
        <f>'Sales Forecast'!Z6*Assumptions!$C$12+'Sales Forecast'!Y6*Assumptions!$D$12+'Sales Forecast'!X6*Assumptions!$E$12+'Sales Forecast'!W6*Assumptions!$F$12+'Sales Forecast'!V6*Assumptions!$G$12+'Sales Forecast'!U6*Assumptions!$H$12+'Sales Forecast'!T6*Assumptions!$I$12</f>
        <v/>
      </c>
      <c r="AA13" s="17">
        <f>'Sales Forecast'!AA6*Assumptions!$C$12+'Sales Forecast'!Z6*Assumptions!$D$12+'Sales Forecast'!Y6*Assumptions!$E$12+'Sales Forecast'!X6*Assumptions!$F$12+'Sales Forecast'!W6*Assumptions!$G$12+'Sales Forecast'!V6*Assumptions!$H$12+'Sales Forecast'!U6*Assumptions!$I$12</f>
        <v/>
      </c>
      <c r="AB13" s="17">
        <f>'Sales Forecast'!AB6*Assumptions!$C$12+'Sales Forecast'!AA6*Assumptions!$D$12+'Sales Forecast'!Z6*Assumptions!$E$12+'Sales Forecast'!Y6*Assumptions!$F$12+'Sales Forecast'!X6*Assumptions!$G$12+'Sales Forecast'!W6*Assumptions!$H$12+'Sales Forecast'!V6*Assumptions!$I$12</f>
        <v/>
      </c>
      <c r="AC13" s="17">
        <f>'Sales Forecast'!AC6*Assumptions!$C$12+'Sales Forecast'!AB6*Assumptions!$D$12+'Sales Forecast'!AA6*Assumptions!$E$12+'Sales Forecast'!Z6*Assumptions!$F$12+'Sales Forecast'!Y6*Assumptions!$G$12+'Sales Forecast'!X6*Assumptions!$H$12+'Sales Forecast'!W6*Assumptions!$I$12</f>
        <v/>
      </c>
      <c r="AD13" s="17">
        <f>'Sales Forecast'!AD6*Assumptions!$C$12+'Sales Forecast'!AC6*Assumptions!$D$12+'Sales Forecast'!AB6*Assumptions!$E$12+'Sales Forecast'!AA6*Assumptions!$F$12+'Sales Forecast'!Z6*Assumptions!$G$12+'Sales Forecast'!Y6*Assumptions!$H$12+'Sales Forecast'!X6*Assumptions!$I$12</f>
        <v/>
      </c>
      <c r="AE13" s="17">
        <f>'Sales Forecast'!AE6*Assumptions!$C$12+'Sales Forecast'!AD6*Assumptions!$D$12+'Sales Forecast'!AC6*Assumptions!$E$12+'Sales Forecast'!AB6*Assumptions!$F$12+'Sales Forecast'!AA6*Assumptions!$G$12+'Sales Forecast'!Z6*Assumptions!$H$12+'Sales Forecast'!Y6*Assumptions!$I$12</f>
        <v/>
      </c>
      <c r="AF13" s="17">
        <f>'Sales Forecast'!AF6*Assumptions!$C$12+'Sales Forecast'!AE6*Assumptions!$D$12+'Sales Forecast'!AD6*Assumptions!$E$12+'Sales Forecast'!AC6*Assumptions!$F$12+'Sales Forecast'!AB6*Assumptions!$G$12+'Sales Forecast'!AA6*Assumptions!$H$12+'Sales Forecast'!Z6*Assumptions!$I$12</f>
        <v/>
      </c>
      <c r="AG13" s="17">
        <f>'Sales Forecast'!AG6*Assumptions!$C$12+'Sales Forecast'!AF6*Assumptions!$D$12+'Sales Forecast'!AE6*Assumptions!$E$12+'Sales Forecast'!AD6*Assumptions!$F$12+'Sales Forecast'!AC6*Assumptions!$G$12+'Sales Forecast'!AB6*Assumptions!$H$12+'Sales Forecast'!AA6*Assumptions!$I$12</f>
        <v/>
      </c>
      <c r="AH13" s="17">
        <f>'Sales Forecast'!AH6*Assumptions!$C$12+'Sales Forecast'!AG6*Assumptions!$D$12+'Sales Forecast'!AF6*Assumptions!$E$12+'Sales Forecast'!AE6*Assumptions!$F$12+'Sales Forecast'!AD6*Assumptions!$G$12+'Sales Forecast'!AC6*Assumptions!$H$12+'Sales Forecast'!AB6*Assumptions!$I$12</f>
        <v/>
      </c>
      <c r="AI13" s="17">
        <f>'Sales Forecast'!AI6*Assumptions!$C$12+'Sales Forecast'!AH6*Assumptions!$D$12+'Sales Forecast'!AG6*Assumptions!$E$12+'Sales Forecast'!AF6*Assumptions!$F$12+'Sales Forecast'!AE6*Assumptions!$G$12+'Sales Forecast'!AD6*Assumptions!$H$12+'Sales Forecast'!AC6*Assumptions!$I$12</f>
        <v/>
      </c>
      <c r="AJ13" s="17">
        <f>'Sales Forecast'!AJ6*Assumptions!$C$12+'Sales Forecast'!AI6*Assumptions!$D$12+'Sales Forecast'!AH6*Assumptions!$E$12+'Sales Forecast'!AG6*Assumptions!$F$12+'Sales Forecast'!AF6*Assumptions!$G$12+'Sales Forecast'!AE6*Assumptions!$H$12+'Sales Forecast'!AD6*Assumptions!$I$12</f>
        <v/>
      </c>
      <c r="AK13" s="17">
        <f>'Sales Forecast'!AK6*Assumptions!$C$12+'Sales Forecast'!AJ6*Assumptions!$D$12+'Sales Forecast'!AI6*Assumptions!$E$12+'Sales Forecast'!AH6*Assumptions!$F$12+'Sales Forecast'!AG6*Assumptions!$G$12+'Sales Forecast'!AF6*Assumptions!$H$12+'Sales Forecast'!AE6*Assumptions!$I$12</f>
        <v/>
      </c>
      <c r="AL13" s="17">
        <f>'Sales Forecast'!AL6*Assumptions!$C$12+'Sales Forecast'!AK6*Assumptions!$D$12+'Sales Forecast'!AJ6*Assumptions!$E$12+'Sales Forecast'!AI6*Assumptions!$F$12+'Sales Forecast'!AH6*Assumptions!$G$12+'Sales Forecast'!AG6*Assumptions!$H$12+'Sales Forecast'!AF6*Assumptions!$I$12</f>
        <v/>
      </c>
      <c r="AM13" s="17">
        <f>'Sales Forecast'!AM6*Assumptions!$C$12+'Sales Forecast'!AL6*Assumptions!$D$12+'Sales Forecast'!AK6*Assumptions!$E$12+'Sales Forecast'!AJ6*Assumptions!$F$12+'Sales Forecast'!AI6*Assumptions!$G$12+'Sales Forecast'!AH6*Assumptions!$H$12+'Sales Forecast'!AG6*Assumptions!$I$12</f>
        <v/>
      </c>
      <c r="AN13" s="17">
        <f>'Sales Forecast'!AN6*Assumptions!$C$12+'Sales Forecast'!AM6*Assumptions!$D$12+'Sales Forecast'!AL6*Assumptions!$E$12+'Sales Forecast'!AK6*Assumptions!$F$12+'Sales Forecast'!AJ6*Assumptions!$G$12+'Sales Forecast'!AI6*Assumptions!$H$12+'Sales Forecast'!AH6*Assumptions!$I$12</f>
        <v/>
      </c>
      <c r="AO13" s="17">
        <f>'Sales Forecast'!AO6*Assumptions!$C$12+'Sales Forecast'!AN6*Assumptions!$D$12+'Sales Forecast'!AM6*Assumptions!$E$12+'Sales Forecast'!AL6*Assumptions!$F$12+'Sales Forecast'!AK6*Assumptions!$G$12+'Sales Forecast'!AJ6*Assumptions!$H$12+'Sales Forecast'!AI6*Assumptions!$I$12</f>
        <v/>
      </c>
      <c r="AP13" s="17">
        <f>'Sales Forecast'!AP6*Assumptions!$C$12+'Sales Forecast'!AO6*Assumptions!$D$12+'Sales Forecast'!AN6*Assumptions!$E$12+'Sales Forecast'!AM6*Assumptions!$F$12+'Sales Forecast'!AL6*Assumptions!$G$12+'Sales Forecast'!AK6*Assumptions!$H$12+'Sales Forecast'!AJ6*Assumptions!$I$12</f>
        <v/>
      </c>
      <c r="AQ13" s="17">
        <f>'Sales Forecast'!AQ6*Assumptions!$C$12+'Sales Forecast'!AP6*Assumptions!$D$12+'Sales Forecast'!AO6*Assumptions!$E$12+'Sales Forecast'!AN6*Assumptions!$F$12+'Sales Forecast'!AM6*Assumptions!$G$12+'Sales Forecast'!AL6*Assumptions!$H$12+'Sales Forecast'!AK6*Assumptions!$I$12</f>
        <v/>
      </c>
      <c r="AR13" s="17">
        <f>'Sales Forecast'!AR6*Assumptions!$C$12+'Sales Forecast'!AQ6*Assumptions!$D$12+'Sales Forecast'!AP6*Assumptions!$E$12+'Sales Forecast'!AO6*Assumptions!$F$12+'Sales Forecast'!AN6*Assumptions!$G$12+'Sales Forecast'!AM6*Assumptions!$H$12+'Sales Forecast'!AL6*Assumptions!$I$12</f>
        <v/>
      </c>
      <c r="AS13" s="17">
        <f>'Sales Forecast'!AS6*Assumptions!$C$12+'Sales Forecast'!AR6*Assumptions!$D$12+'Sales Forecast'!AQ6*Assumptions!$E$12+'Sales Forecast'!AP6*Assumptions!$F$12+'Sales Forecast'!AO6*Assumptions!$G$12+'Sales Forecast'!AN6*Assumptions!$H$12+'Sales Forecast'!AM6*Assumptions!$I$12</f>
        <v/>
      </c>
      <c r="AT13" s="17">
        <f>'Sales Forecast'!AT6*Assumptions!$C$12+'Sales Forecast'!AS6*Assumptions!$D$12+'Sales Forecast'!AR6*Assumptions!$E$12+'Sales Forecast'!AQ6*Assumptions!$F$12+'Sales Forecast'!AP6*Assumptions!$G$12+'Sales Forecast'!AO6*Assumptions!$H$12+'Sales Forecast'!AN6*Assumptions!$I$12</f>
        <v/>
      </c>
      <c r="AU13" s="17">
        <f>'Sales Forecast'!AU6*Assumptions!$C$12+'Sales Forecast'!AT6*Assumptions!$D$12+'Sales Forecast'!AS6*Assumptions!$E$12+'Sales Forecast'!AR6*Assumptions!$F$12+'Sales Forecast'!AQ6*Assumptions!$G$12+'Sales Forecast'!AP6*Assumptions!$H$12+'Sales Forecast'!AO6*Assumptions!$I$12</f>
        <v/>
      </c>
      <c r="AV13" s="17">
        <f>'Sales Forecast'!AV6*Assumptions!$C$12+'Sales Forecast'!AU6*Assumptions!$D$12+'Sales Forecast'!AT6*Assumptions!$E$12+'Sales Forecast'!AS6*Assumptions!$F$12+'Sales Forecast'!AR6*Assumptions!$G$12+'Sales Forecast'!AQ6*Assumptions!$H$12+'Sales Forecast'!AP6*Assumptions!$I$12</f>
        <v/>
      </c>
      <c r="AW13" s="17">
        <f>'Sales Forecast'!AW6*Assumptions!$C$12+'Sales Forecast'!AV6*Assumptions!$D$12+'Sales Forecast'!AU6*Assumptions!$E$12+'Sales Forecast'!AT6*Assumptions!$F$12+'Sales Forecast'!AS6*Assumptions!$G$12+'Sales Forecast'!AR6*Assumptions!$H$12+'Sales Forecast'!AQ6*Assumptions!$I$12</f>
        <v/>
      </c>
      <c r="AX13" s="17">
        <f>'Sales Forecast'!AX6*Assumptions!$C$12+'Sales Forecast'!AW6*Assumptions!$D$12+'Sales Forecast'!AV6*Assumptions!$E$12+'Sales Forecast'!AU6*Assumptions!$F$12+'Sales Forecast'!AT6*Assumptions!$G$12+'Sales Forecast'!AS6*Assumptions!$H$12+'Sales Forecast'!AR6*Assumptions!$I$12</f>
        <v/>
      </c>
      <c r="AY13" s="17">
        <f>'Sales Forecast'!AY6*Assumptions!$C$12+'Sales Forecast'!AX6*Assumptions!$D$12+'Sales Forecast'!AW6*Assumptions!$E$12+'Sales Forecast'!AV6*Assumptions!$F$12+'Sales Forecast'!AU6*Assumptions!$G$12+'Sales Forecast'!AT6*Assumptions!$H$12+'Sales Forecast'!AS6*Assumptions!$I$12</f>
        <v/>
      </c>
    </row>
    <row r="14">
      <c r="B14" s="33" t="inlineStr">
        <is>
          <t xml:space="preserve">  403001 Machine Breakage</t>
        </is>
      </c>
      <c r="D14" s="19" t="n">
        <v>10480.79</v>
      </c>
      <c r="E14" s="19" t="n">
        <v>16179.03</v>
      </c>
      <c r="F14" s="19" t="n">
        <v>20305.86</v>
      </c>
      <c r="G14" s="19" t="n">
        <v>20513.48</v>
      </c>
      <c r="H14" s="19" t="n">
        <v>23721.52</v>
      </c>
      <c r="I14" s="19" t="n">
        <v>17938.2</v>
      </c>
      <c r="J14" s="19" t="n">
        <v>14764.55</v>
      </c>
      <c r="K14" s="19" t="n">
        <v>15127.93</v>
      </c>
      <c r="L14" s="19" t="n">
        <v>32901.88</v>
      </c>
      <c r="M14" s="19" t="n">
        <v>22861.69</v>
      </c>
      <c r="N14" s="19" t="n">
        <v>31868.08</v>
      </c>
      <c r="O14" s="19" t="n">
        <v>31038.14</v>
      </c>
      <c r="P14" s="19" t="n">
        <v>17169.98</v>
      </c>
      <c r="Q14" s="19" t="n">
        <v>24950.31</v>
      </c>
      <c r="R14" s="19" t="n">
        <v>19308.85</v>
      </c>
      <c r="S14" s="19" t="n">
        <v>22389.08</v>
      </c>
      <c r="T14" s="84" t="n">
        <v>17746.33</v>
      </c>
      <c r="U14" s="20">
        <f>U17*0.952386</f>
        <v/>
      </c>
      <c r="V14" s="20">
        <f>V17*0.952386</f>
        <v/>
      </c>
      <c r="W14" s="20">
        <f>W17*0.952386</f>
        <v/>
      </c>
      <c r="X14" s="20">
        <f>X17*0.952386</f>
        <v/>
      </c>
      <c r="Y14" s="20">
        <f>Y17*0.952386</f>
        <v/>
      </c>
      <c r="Z14" s="20">
        <f>Z17*0.952386</f>
        <v/>
      </c>
      <c r="AA14" s="20">
        <f>AA17*0.952386</f>
        <v/>
      </c>
      <c r="AB14" s="20">
        <f>AB17*0.952386</f>
        <v/>
      </c>
      <c r="AC14" s="20">
        <f>AC17*0.952386</f>
        <v/>
      </c>
      <c r="AD14" s="20">
        <f>AD17*0.952386</f>
        <v/>
      </c>
      <c r="AE14" s="20">
        <f>AE17*0.952386</f>
        <v/>
      </c>
      <c r="AF14" s="20">
        <f>AF17*0.952386</f>
        <v/>
      </c>
      <c r="AG14" s="20">
        <f>AG17*0.952386</f>
        <v/>
      </c>
      <c r="AH14" s="20">
        <f>AH17*0.952386</f>
        <v/>
      </c>
      <c r="AI14" s="20">
        <f>AI17*0.952386</f>
        <v/>
      </c>
      <c r="AJ14" s="20">
        <f>AJ17*0.952386</f>
        <v/>
      </c>
      <c r="AK14" s="20">
        <f>AK17*0.952386</f>
        <v/>
      </c>
      <c r="AL14" s="20">
        <f>AL17*0.952386</f>
        <v/>
      </c>
      <c r="AM14" s="20">
        <f>AM17*0.952386</f>
        <v/>
      </c>
      <c r="AN14" s="20">
        <f>AN17*0.952386</f>
        <v/>
      </c>
      <c r="AO14" s="20">
        <f>AO17*0.952386</f>
        <v/>
      </c>
      <c r="AP14" s="20">
        <f>AP17*0.952386</f>
        <v/>
      </c>
      <c r="AQ14" s="20">
        <f>AQ17*0.952386</f>
        <v/>
      </c>
      <c r="AR14" s="20">
        <f>AR17*0.952386</f>
        <v/>
      </c>
      <c r="AS14" s="20">
        <f>AS17*0.952386</f>
        <v/>
      </c>
      <c r="AT14" s="20">
        <f>AT17*0.952386</f>
        <v/>
      </c>
      <c r="AU14" s="20">
        <f>AU17*0.952386</f>
        <v/>
      </c>
      <c r="AV14" s="20">
        <f>AV17*0.952386</f>
        <v/>
      </c>
      <c r="AW14" s="20">
        <f>AW17*0.952386</f>
        <v/>
      </c>
      <c r="AX14" s="20">
        <f>AX17*0.952386</f>
        <v/>
      </c>
      <c r="AY14" s="20">
        <f>AY17*0.952386</f>
        <v/>
      </c>
    </row>
    <row r="15">
      <c r="B15" s="33" t="inlineStr">
        <is>
          <t xml:space="preserve">  403003 Private Pilates Breakage</t>
        </is>
      </c>
      <c r="D15" s="19" t="n">
        <v>495</v>
      </c>
      <c r="E15" s="19" t="n">
        <v>3040</v>
      </c>
      <c r="F15" s="19" t="n">
        <v>2615</v>
      </c>
      <c r="G15" s="19" t="n">
        <v>1345</v>
      </c>
      <c r="H15" s="19" t="n">
        <v>1185</v>
      </c>
      <c r="I15" s="19" t="n">
        <v>3540</v>
      </c>
      <c r="J15" s="19" t="n">
        <v>2208</v>
      </c>
      <c r="K15" s="19" t="n">
        <v>2677.5</v>
      </c>
      <c r="L15" s="19" t="n">
        <v>1750</v>
      </c>
      <c r="M15" s="19" t="n">
        <v>1282</v>
      </c>
      <c r="N15" s="19" t="n">
        <v>3100</v>
      </c>
      <c r="O15" s="19" t="n">
        <v>2415</v>
      </c>
      <c r="P15" s="19" t="n">
        <v>1385</v>
      </c>
      <c r="Q15" s="19" t="n">
        <v>430</v>
      </c>
      <c r="R15" s="19" t="n">
        <v>965</v>
      </c>
      <c r="S15" s="19" t="n">
        <v>1375</v>
      </c>
      <c r="T15" s="84" t="n">
        <v>1085</v>
      </c>
      <c r="U15" s="20">
        <f>U17*0.047211</f>
        <v/>
      </c>
      <c r="V15" s="20">
        <f>V17*0.047211</f>
        <v/>
      </c>
      <c r="W15" s="20">
        <f>W17*0.047211</f>
        <v/>
      </c>
      <c r="X15" s="20">
        <f>X17*0.047211</f>
        <v/>
      </c>
      <c r="Y15" s="20">
        <f>Y17*0.047211</f>
        <v/>
      </c>
      <c r="Z15" s="20">
        <f>Z17*0.047211</f>
        <v/>
      </c>
      <c r="AA15" s="20">
        <f>AA17*0.047211</f>
        <v/>
      </c>
      <c r="AB15" s="20">
        <f>AB17*0.047211</f>
        <v/>
      </c>
      <c r="AC15" s="20">
        <f>AC17*0.047211</f>
        <v/>
      </c>
      <c r="AD15" s="20">
        <f>AD17*0.047211</f>
        <v/>
      </c>
      <c r="AE15" s="20">
        <f>AE17*0.047211</f>
        <v/>
      </c>
      <c r="AF15" s="20">
        <f>AF17*0.047211</f>
        <v/>
      </c>
      <c r="AG15" s="20">
        <f>AG17*0.047211</f>
        <v/>
      </c>
      <c r="AH15" s="20">
        <f>AH17*0.047211</f>
        <v/>
      </c>
      <c r="AI15" s="20">
        <f>AI17*0.047211</f>
        <v/>
      </c>
      <c r="AJ15" s="20">
        <f>AJ17*0.047211</f>
        <v/>
      </c>
      <c r="AK15" s="20">
        <f>AK17*0.047211</f>
        <v/>
      </c>
      <c r="AL15" s="20">
        <f>AL17*0.047211</f>
        <v/>
      </c>
      <c r="AM15" s="20">
        <f>AM17*0.047211</f>
        <v/>
      </c>
      <c r="AN15" s="20">
        <f>AN17*0.047211</f>
        <v/>
      </c>
      <c r="AO15" s="20">
        <f>AO17*0.047211</f>
        <v/>
      </c>
      <c r="AP15" s="20">
        <f>AP17*0.047211</f>
        <v/>
      </c>
      <c r="AQ15" s="20">
        <f>AQ17*0.047211</f>
        <v/>
      </c>
      <c r="AR15" s="20">
        <f>AR17*0.047211</f>
        <v/>
      </c>
      <c r="AS15" s="20">
        <f>AS17*0.047211</f>
        <v/>
      </c>
      <c r="AT15" s="20">
        <f>AT17*0.047211</f>
        <v/>
      </c>
      <c r="AU15" s="20">
        <f>AU17*0.047211</f>
        <v/>
      </c>
      <c r="AV15" s="20">
        <f>AV17*0.047211</f>
        <v/>
      </c>
      <c r="AW15" s="20">
        <f>AW17*0.047211</f>
        <v/>
      </c>
      <c r="AX15" s="20">
        <f>AX17*0.047211</f>
        <v/>
      </c>
      <c r="AY15" s="20">
        <f>AY17*0.047211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47.2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35.4</v>
      </c>
      <c r="N16" s="19" t="n">
        <v>0</v>
      </c>
      <c r="O16" s="19" t="n">
        <v>47.2</v>
      </c>
      <c r="P16" s="19" t="n">
        <v>0</v>
      </c>
      <c r="Q16" s="19" t="n">
        <v>35.4</v>
      </c>
      <c r="R16" s="19" t="n">
        <v>0</v>
      </c>
      <c r="S16" s="19" t="n">
        <v>0</v>
      </c>
      <c r="T16" s="84" t="n">
        <v>0</v>
      </c>
      <c r="U16" s="20">
        <f>U17*0.000402</f>
        <v/>
      </c>
      <c r="V16" s="20">
        <f>V17*0.000402</f>
        <v/>
      </c>
      <c r="W16" s="20">
        <f>W17*0.000402</f>
        <v/>
      </c>
      <c r="X16" s="20">
        <f>X17*0.000402</f>
        <v/>
      </c>
      <c r="Y16" s="20">
        <f>Y17*0.000402</f>
        <v/>
      </c>
      <c r="Z16" s="20">
        <f>Z17*0.000402</f>
        <v/>
      </c>
      <c r="AA16" s="20">
        <f>AA17*0.000402</f>
        <v/>
      </c>
      <c r="AB16" s="20">
        <f>AB17*0.000402</f>
        <v/>
      </c>
      <c r="AC16" s="20">
        <f>AC17*0.000402</f>
        <v/>
      </c>
      <c r="AD16" s="20">
        <f>AD17*0.000402</f>
        <v/>
      </c>
      <c r="AE16" s="20">
        <f>AE17*0.000402</f>
        <v/>
      </c>
      <c r="AF16" s="20">
        <f>AF17*0.000402</f>
        <v/>
      </c>
      <c r="AG16" s="20">
        <f>AG17*0.000402</f>
        <v/>
      </c>
      <c r="AH16" s="20">
        <f>AH17*0.000402</f>
        <v/>
      </c>
      <c r="AI16" s="20">
        <f>AI17*0.000402</f>
        <v/>
      </c>
      <c r="AJ16" s="20">
        <f>AJ17*0.000402</f>
        <v/>
      </c>
      <c r="AK16" s="20">
        <f>AK17*0.000402</f>
        <v/>
      </c>
      <c r="AL16" s="20">
        <f>AL17*0.000402</f>
        <v/>
      </c>
      <c r="AM16" s="20">
        <f>AM17*0.000402</f>
        <v/>
      </c>
      <c r="AN16" s="20">
        <f>AN17*0.000402</f>
        <v/>
      </c>
      <c r="AO16" s="20">
        <f>AO17*0.000402</f>
        <v/>
      </c>
      <c r="AP16" s="20">
        <f>AP17*0.000402</f>
        <v/>
      </c>
      <c r="AQ16" s="20">
        <f>AQ17*0.000402</f>
        <v/>
      </c>
      <c r="AR16" s="20">
        <f>AR17*0.000402</f>
        <v/>
      </c>
      <c r="AS16" s="20">
        <f>AS17*0.000402</f>
        <v/>
      </c>
      <c r="AT16" s="20">
        <f>AT17*0.000402</f>
        <v/>
      </c>
      <c r="AU16" s="20">
        <f>AU17*0.000402</f>
        <v/>
      </c>
      <c r="AV16" s="20">
        <f>AV17*0.000402</f>
        <v/>
      </c>
      <c r="AW16" s="20">
        <f>AW17*0.000402</f>
        <v/>
      </c>
      <c r="AX16" s="20">
        <f>AX17*0.000402</f>
        <v/>
      </c>
      <c r="AY16" s="20">
        <f>AY17*0.000402</f>
        <v/>
      </c>
    </row>
    <row r="17">
      <c r="B17" s="32" t="inlineStr">
        <is>
          <t>Total Breakage Revenue</t>
        </is>
      </c>
      <c r="C17" s="34" t="n"/>
      <c r="D17" s="35" t="n">
        <v>10975.79</v>
      </c>
      <c r="E17" s="35" t="n">
        <v>19219.03</v>
      </c>
      <c r="F17" s="35" t="n">
        <v>22920.86</v>
      </c>
      <c r="G17" s="35" t="n">
        <v>21905.68</v>
      </c>
      <c r="H17" s="35" t="n">
        <v>24906.52</v>
      </c>
      <c r="I17" s="35" t="n">
        <v>23158.2</v>
      </c>
      <c r="J17" s="35" t="n">
        <v>19237.55</v>
      </c>
      <c r="K17" s="35" t="n">
        <v>25185.43</v>
      </c>
      <c r="L17" s="35" t="n">
        <v>34651.88</v>
      </c>
      <c r="M17" s="35" t="n">
        <v>24429.09</v>
      </c>
      <c r="N17" s="35" t="n">
        <v>38110.08</v>
      </c>
      <c r="O17" s="35" t="n">
        <v>38362.84</v>
      </c>
      <c r="P17" s="35" t="n">
        <v>18554.98</v>
      </c>
      <c r="Q17" s="35" t="n">
        <v>25415.71</v>
      </c>
      <c r="R17" s="35" t="n">
        <v>20273.85</v>
      </c>
      <c r="S17" s="35" t="n">
        <v>23764.08</v>
      </c>
      <c r="T17" s="85" t="n">
        <v>18831.33</v>
      </c>
      <c r="U17" s="17">
        <f>'Sales Forecast'!U6*Assumptions!$C$13+'Sales Forecast'!T6*Assumptions!$D$13+'Sales Forecast'!S6*Assumptions!$E$13+'Sales Forecast'!R6*Assumptions!$F$13+'Sales Forecast'!Q6*Assumptions!$G$13+'Sales Forecast'!P6*Assumptions!$H$13+'Sales Forecast'!U102*Assumptions!$I$13</f>
        <v/>
      </c>
      <c r="V17" s="17">
        <f>'Sales Forecast'!V6*Assumptions!$C$13+'Sales Forecast'!U6*Assumptions!$D$13+'Sales Forecast'!T6*Assumptions!$E$13+'Sales Forecast'!S6*Assumptions!$F$13+'Sales Forecast'!R6*Assumptions!$G$13+'Sales Forecast'!Q6*Assumptions!$H$13+'Sales Forecast'!P6*Assumptions!$I$13</f>
        <v/>
      </c>
      <c r="W17" s="17">
        <f>'Sales Forecast'!W6*Assumptions!$C$13+'Sales Forecast'!V6*Assumptions!$D$13+'Sales Forecast'!U6*Assumptions!$E$13+'Sales Forecast'!T6*Assumptions!$F$13+'Sales Forecast'!S6*Assumptions!$G$13+'Sales Forecast'!R6*Assumptions!$H$13+'Sales Forecast'!Q6*Assumptions!$I$13</f>
        <v/>
      </c>
      <c r="X17" s="17">
        <f>'Sales Forecast'!X6*Assumptions!$C$13+'Sales Forecast'!W6*Assumptions!$D$13+'Sales Forecast'!V6*Assumptions!$E$13+'Sales Forecast'!U6*Assumptions!$F$13+'Sales Forecast'!T6*Assumptions!$G$13+'Sales Forecast'!S6*Assumptions!$H$13+'Sales Forecast'!R6*Assumptions!$I$13</f>
        <v/>
      </c>
      <c r="Y17" s="17">
        <f>'Sales Forecast'!Y6*Assumptions!$C$13+'Sales Forecast'!X6*Assumptions!$D$13+'Sales Forecast'!W6*Assumptions!$E$13+'Sales Forecast'!V6*Assumptions!$F$13+'Sales Forecast'!U6*Assumptions!$G$13+'Sales Forecast'!T6*Assumptions!$H$13+'Sales Forecast'!S6*Assumptions!$I$13</f>
        <v/>
      </c>
      <c r="Z17" s="17">
        <f>'Sales Forecast'!Z6*Assumptions!$C$13+'Sales Forecast'!Y6*Assumptions!$D$13+'Sales Forecast'!X6*Assumptions!$E$13+'Sales Forecast'!W6*Assumptions!$F$13+'Sales Forecast'!V6*Assumptions!$G$13+'Sales Forecast'!U6*Assumptions!$H$13+'Sales Forecast'!T6*Assumptions!$I$13</f>
        <v/>
      </c>
      <c r="AA17" s="17">
        <f>'Sales Forecast'!AA6*Assumptions!$C$13+'Sales Forecast'!Z6*Assumptions!$D$13+'Sales Forecast'!Y6*Assumptions!$E$13+'Sales Forecast'!X6*Assumptions!$F$13+'Sales Forecast'!W6*Assumptions!$G$13+'Sales Forecast'!V6*Assumptions!$H$13+'Sales Forecast'!U6*Assumptions!$I$13</f>
        <v/>
      </c>
      <c r="AB17" s="17">
        <f>'Sales Forecast'!AB6*Assumptions!$C$13+'Sales Forecast'!AA6*Assumptions!$D$13+'Sales Forecast'!Z6*Assumptions!$E$13+'Sales Forecast'!Y6*Assumptions!$F$13+'Sales Forecast'!X6*Assumptions!$G$13+'Sales Forecast'!W6*Assumptions!$H$13+'Sales Forecast'!V6*Assumptions!$I$13</f>
        <v/>
      </c>
      <c r="AC17" s="17">
        <f>'Sales Forecast'!AC6*Assumptions!$C$13+'Sales Forecast'!AB6*Assumptions!$D$13+'Sales Forecast'!AA6*Assumptions!$E$13+'Sales Forecast'!Z6*Assumptions!$F$13+'Sales Forecast'!Y6*Assumptions!$G$13+'Sales Forecast'!X6*Assumptions!$H$13+'Sales Forecast'!W6*Assumptions!$I$13</f>
        <v/>
      </c>
      <c r="AD17" s="17">
        <f>'Sales Forecast'!AD6*Assumptions!$C$13+'Sales Forecast'!AC6*Assumptions!$D$13+'Sales Forecast'!AB6*Assumptions!$E$13+'Sales Forecast'!AA6*Assumptions!$F$13+'Sales Forecast'!Z6*Assumptions!$G$13+'Sales Forecast'!Y6*Assumptions!$H$13+'Sales Forecast'!X6*Assumptions!$I$13</f>
        <v/>
      </c>
      <c r="AE17" s="17">
        <f>'Sales Forecast'!AE6*Assumptions!$C$13+'Sales Forecast'!AD6*Assumptions!$D$13+'Sales Forecast'!AC6*Assumptions!$E$13+'Sales Forecast'!AB6*Assumptions!$F$13+'Sales Forecast'!AA6*Assumptions!$G$13+'Sales Forecast'!Z6*Assumptions!$H$13+'Sales Forecast'!Y6*Assumptions!$I$13</f>
        <v/>
      </c>
      <c r="AF17" s="17">
        <f>'Sales Forecast'!AF6*Assumptions!$C$13+'Sales Forecast'!AE6*Assumptions!$D$13+'Sales Forecast'!AD6*Assumptions!$E$13+'Sales Forecast'!AC6*Assumptions!$F$13+'Sales Forecast'!AB6*Assumptions!$G$13+'Sales Forecast'!AA6*Assumptions!$H$13+'Sales Forecast'!Z6*Assumptions!$I$13</f>
        <v/>
      </c>
      <c r="AG17" s="17">
        <f>'Sales Forecast'!AG6*Assumptions!$C$13+'Sales Forecast'!AF6*Assumptions!$D$13+'Sales Forecast'!AE6*Assumptions!$E$13+'Sales Forecast'!AD6*Assumptions!$F$13+'Sales Forecast'!AC6*Assumptions!$G$13+'Sales Forecast'!AB6*Assumptions!$H$13+'Sales Forecast'!AA6*Assumptions!$I$13</f>
        <v/>
      </c>
      <c r="AH17" s="17">
        <f>'Sales Forecast'!AH6*Assumptions!$C$13+'Sales Forecast'!AG6*Assumptions!$D$13+'Sales Forecast'!AF6*Assumptions!$E$13+'Sales Forecast'!AE6*Assumptions!$F$13+'Sales Forecast'!AD6*Assumptions!$G$13+'Sales Forecast'!AC6*Assumptions!$H$13+'Sales Forecast'!AB6*Assumptions!$I$13</f>
        <v/>
      </c>
      <c r="AI17" s="17">
        <f>'Sales Forecast'!AI6*Assumptions!$C$13+'Sales Forecast'!AH6*Assumptions!$D$13+'Sales Forecast'!AG6*Assumptions!$E$13+'Sales Forecast'!AF6*Assumptions!$F$13+'Sales Forecast'!AE6*Assumptions!$G$13+'Sales Forecast'!AD6*Assumptions!$H$13+'Sales Forecast'!AC6*Assumptions!$I$13</f>
        <v/>
      </c>
      <c r="AJ17" s="17">
        <f>'Sales Forecast'!AJ6*Assumptions!$C$13+'Sales Forecast'!AI6*Assumptions!$D$13+'Sales Forecast'!AH6*Assumptions!$E$13+'Sales Forecast'!AG6*Assumptions!$F$13+'Sales Forecast'!AF6*Assumptions!$G$13+'Sales Forecast'!AE6*Assumptions!$H$13+'Sales Forecast'!AD6*Assumptions!$I$13</f>
        <v/>
      </c>
      <c r="AK17" s="17">
        <f>'Sales Forecast'!AK6*Assumptions!$C$13+'Sales Forecast'!AJ6*Assumptions!$D$13+'Sales Forecast'!AI6*Assumptions!$E$13+'Sales Forecast'!AH6*Assumptions!$F$13+'Sales Forecast'!AG6*Assumptions!$G$13+'Sales Forecast'!AF6*Assumptions!$H$13+'Sales Forecast'!AE6*Assumptions!$I$13</f>
        <v/>
      </c>
      <c r="AL17" s="17">
        <f>'Sales Forecast'!AL6*Assumptions!$C$13+'Sales Forecast'!AK6*Assumptions!$D$13+'Sales Forecast'!AJ6*Assumptions!$E$13+'Sales Forecast'!AI6*Assumptions!$F$13+'Sales Forecast'!AH6*Assumptions!$G$13+'Sales Forecast'!AG6*Assumptions!$H$13+'Sales Forecast'!AF6*Assumptions!$I$13</f>
        <v/>
      </c>
      <c r="AM17" s="17">
        <f>'Sales Forecast'!AM6*Assumptions!$C$13+'Sales Forecast'!AL6*Assumptions!$D$13+'Sales Forecast'!AK6*Assumptions!$E$13+'Sales Forecast'!AJ6*Assumptions!$F$13+'Sales Forecast'!AI6*Assumptions!$G$13+'Sales Forecast'!AH6*Assumptions!$H$13+'Sales Forecast'!AG6*Assumptions!$I$13</f>
        <v/>
      </c>
      <c r="AN17" s="17">
        <f>'Sales Forecast'!AN6*Assumptions!$C$13+'Sales Forecast'!AM6*Assumptions!$D$13+'Sales Forecast'!AL6*Assumptions!$E$13+'Sales Forecast'!AK6*Assumptions!$F$13+'Sales Forecast'!AJ6*Assumptions!$G$13+'Sales Forecast'!AI6*Assumptions!$H$13+'Sales Forecast'!AH6*Assumptions!$I$13</f>
        <v/>
      </c>
      <c r="AO17" s="17">
        <f>'Sales Forecast'!AO6*Assumptions!$C$13+'Sales Forecast'!AN6*Assumptions!$D$13+'Sales Forecast'!AM6*Assumptions!$E$13+'Sales Forecast'!AL6*Assumptions!$F$13+'Sales Forecast'!AK6*Assumptions!$G$13+'Sales Forecast'!AJ6*Assumptions!$H$13+'Sales Forecast'!AI6*Assumptions!$I$13</f>
        <v/>
      </c>
      <c r="AP17" s="17">
        <f>'Sales Forecast'!AP6*Assumptions!$C$13+'Sales Forecast'!AO6*Assumptions!$D$13+'Sales Forecast'!AN6*Assumptions!$E$13+'Sales Forecast'!AM6*Assumptions!$F$13+'Sales Forecast'!AL6*Assumptions!$G$13+'Sales Forecast'!AK6*Assumptions!$H$13+'Sales Forecast'!AJ6*Assumptions!$I$13</f>
        <v/>
      </c>
      <c r="AQ17" s="17">
        <f>'Sales Forecast'!AQ6*Assumptions!$C$13+'Sales Forecast'!AP6*Assumptions!$D$13+'Sales Forecast'!AO6*Assumptions!$E$13+'Sales Forecast'!AN6*Assumptions!$F$13+'Sales Forecast'!AM6*Assumptions!$G$13+'Sales Forecast'!AL6*Assumptions!$H$13+'Sales Forecast'!AK6*Assumptions!$I$13</f>
        <v/>
      </c>
      <c r="AR17" s="17">
        <f>'Sales Forecast'!AR6*Assumptions!$C$13+'Sales Forecast'!AQ6*Assumptions!$D$13+'Sales Forecast'!AP6*Assumptions!$E$13+'Sales Forecast'!AO6*Assumptions!$F$13+'Sales Forecast'!AN6*Assumptions!$G$13+'Sales Forecast'!AM6*Assumptions!$H$13+'Sales Forecast'!AL6*Assumptions!$I$13</f>
        <v/>
      </c>
      <c r="AS17" s="17">
        <f>'Sales Forecast'!AS6*Assumptions!$C$13+'Sales Forecast'!AR6*Assumptions!$D$13+'Sales Forecast'!AQ6*Assumptions!$E$13+'Sales Forecast'!AP6*Assumptions!$F$13+'Sales Forecast'!AO6*Assumptions!$G$13+'Sales Forecast'!AN6*Assumptions!$H$13+'Sales Forecast'!AM6*Assumptions!$I$13</f>
        <v/>
      </c>
      <c r="AT17" s="17">
        <f>'Sales Forecast'!AT6*Assumptions!$C$13+'Sales Forecast'!AS6*Assumptions!$D$13+'Sales Forecast'!AR6*Assumptions!$E$13+'Sales Forecast'!AQ6*Assumptions!$F$13+'Sales Forecast'!AP6*Assumptions!$G$13+'Sales Forecast'!AO6*Assumptions!$H$13+'Sales Forecast'!AN6*Assumptions!$I$13</f>
        <v/>
      </c>
      <c r="AU17" s="17">
        <f>'Sales Forecast'!AU6*Assumptions!$C$13+'Sales Forecast'!AT6*Assumptions!$D$13+'Sales Forecast'!AS6*Assumptions!$E$13+'Sales Forecast'!AR6*Assumptions!$F$13+'Sales Forecast'!AQ6*Assumptions!$G$13+'Sales Forecast'!AP6*Assumptions!$H$13+'Sales Forecast'!AO6*Assumptions!$I$13</f>
        <v/>
      </c>
      <c r="AV17" s="17">
        <f>'Sales Forecast'!AV6*Assumptions!$C$13+'Sales Forecast'!AU6*Assumptions!$D$13+'Sales Forecast'!AT6*Assumptions!$E$13+'Sales Forecast'!AS6*Assumptions!$F$13+'Sales Forecast'!AR6*Assumptions!$G$13+'Sales Forecast'!AQ6*Assumptions!$H$13+'Sales Forecast'!AP6*Assumptions!$I$13</f>
        <v/>
      </c>
      <c r="AW17" s="17">
        <f>'Sales Forecast'!AW6*Assumptions!$C$13+'Sales Forecast'!AV6*Assumptions!$D$13+'Sales Forecast'!AU6*Assumptions!$E$13+'Sales Forecast'!AT6*Assumptions!$F$13+'Sales Forecast'!AS6*Assumptions!$G$13+'Sales Forecast'!AR6*Assumptions!$H$13+'Sales Forecast'!AQ6*Assumptions!$I$13</f>
        <v/>
      </c>
      <c r="AX17" s="17">
        <f>'Sales Forecast'!AX6*Assumptions!$C$13+'Sales Forecast'!AW6*Assumptions!$D$13+'Sales Forecast'!AV6*Assumptions!$E$13+'Sales Forecast'!AU6*Assumptions!$F$13+'Sales Forecast'!AT6*Assumptions!$G$13+'Sales Forecast'!AS6*Assumptions!$H$13+'Sales Forecast'!AR6*Assumptions!$I$13</f>
        <v/>
      </c>
      <c r="AY17" s="17">
        <f>'Sales Forecast'!AY6*Assumptions!$C$13+'Sales Forecast'!AX6*Assumptions!$D$13+'Sales Forecast'!AW6*Assumptions!$E$13+'Sales Forecast'!AV6*Assumptions!$F$13+'Sales Forecast'!AU6*Assumptions!$G$13+'Sales Forecast'!AT6*Assumptions!$H$13+'Sales Forecast'!AS6*Assumptions!$I$13</f>
        <v/>
      </c>
    </row>
    <row r="18">
      <c r="B18" s="33" t="inlineStr">
        <is>
          <t xml:space="preserve">  404000 Retail Sales</t>
        </is>
      </c>
      <c r="D18" s="19" t="n">
        <v>3473</v>
      </c>
      <c r="E18" s="19" t="n">
        <v>2711</v>
      </c>
      <c r="F18" s="19" t="n">
        <v>2259</v>
      </c>
      <c r="G18" s="19" t="n">
        <v>2631</v>
      </c>
      <c r="H18" s="19" t="n">
        <v>2405</v>
      </c>
      <c r="I18" s="19" t="n">
        <v>4161</v>
      </c>
      <c r="J18" s="19" t="n">
        <v>2652</v>
      </c>
      <c r="K18" s="19" t="n">
        <v>2867</v>
      </c>
      <c r="L18" s="19" t="n">
        <v>2571</v>
      </c>
      <c r="M18" s="19" t="n">
        <v>1868</v>
      </c>
      <c r="N18" s="19" t="n">
        <v>1688</v>
      </c>
      <c r="O18" s="19" t="n">
        <v>2220</v>
      </c>
      <c r="P18" s="19" t="n">
        <v>2152</v>
      </c>
      <c r="Q18" s="19" t="n">
        <v>1414</v>
      </c>
      <c r="R18" s="19" t="n">
        <v>1104</v>
      </c>
      <c r="S18" s="19" t="n">
        <v>2254</v>
      </c>
      <c r="T18" s="84" t="n">
        <v>2098</v>
      </c>
      <c r="U18" s="20">
        <f>1731</f>
        <v/>
      </c>
      <c r="V18" s="20">
        <f>1731</f>
        <v/>
      </c>
      <c r="W18" s="20">
        <f>1731</f>
        <v/>
      </c>
      <c r="X18" s="20">
        <f>1731</f>
        <v/>
      </c>
      <c r="Y18" s="20">
        <f>1731</f>
        <v/>
      </c>
      <c r="Z18" s="20">
        <f>1731</f>
        <v/>
      </c>
      <c r="AA18" s="20">
        <f>1731</f>
        <v/>
      </c>
      <c r="AB18" s="20">
        <f>1731</f>
        <v/>
      </c>
      <c r="AC18" s="20">
        <f>1731</f>
        <v/>
      </c>
      <c r="AD18" s="20">
        <f>1731</f>
        <v/>
      </c>
      <c r="AE18" s="20">
        <f>1731</f>
        <v/>
      </c>
      <c r="AF18" s="20">
        <f>1731</f>
        <v/>
      </c>
      <c r="AG18" s="20">
        <f>1731</f>
        <v/>
      </c>
      <c r="AH18" s="20">
        <f>1731</f>
        <v/>
      </c>
      <c r="AI18" s="20">
        <f>1731</f>
        <v/>
      </c>
      <c r="AJ18" s="20">
        <f>1731</f>
        <v/>
      </c>
      <c r="AK18" s="20">
        <f>1731</f>
        <v/>
      </c>
      <c r="AL18" s="20">
        <f>1731</f>
        <v/>
      </c>
      <c r="AM18" s="20">
        <f>1731</f>
        <v/>
      </c>
      <c r="AN18" s="20">
        <f>1731</f>
        <v/>
      </c>
      <c r="AO18" s="20">
        <f>1731</f>
        <v/>
      </c>
      <c r="AP18" s="20">
        <f>1731</f>
        <v/>
      </c>
      <c r="AQ18" s="20">
        <f>1731</f>
        <v/>
      </c>
      <c r="AR18" s="20">
        <f>1731</f>
        <v/>
      </c>
      <c r="AS18" s="20">
        <f>1731</f>
        <v/>
      </c>
      <c r="AT18" s="20">
        <f>1731</f>
        <v/>
      </c>
      <c r="AU18" s="20">
        <f>1731</f>
        <v/>
      </c>
      <c r="AV18" s="20">
        <f>1731</f>
        <v/>
      </c>
      <c r="AW18" s="20">
        <f>1731</f>
        <v/>
      </c>
      <c r="AX18" s="20">
        <f>1731</f>
        <v/>
      </c>
      <c r="AY18" s="20">
        <f>1731</f>
        <v/>
      </c>
    </row>
    <row r="19">
      <c r="B19" s="33" t="inlineStr">
        <is>
          <t xml:space="preserve">  406000 Refunds</t>
        </is>
      </c>
      <c r="D19" s="19" t="n">
        <v>-3038</v>
      </c>
      <c r="E19" s="19" t="n">
        <v>-3570</v>
      </c>
      <c r="F19" s="19" t="n">
        <v>-4134</v>
      </c>
      <c r="G19" s="19" t="n">
        <v>-6153</v>
      </c>
      <c r="H19" s="19" t="n">
        <v>-2902</v>
      </c>
      <c r="I19" s="19" t="n">
        <v>-1475.01</v>
      </c>
      <c r="J19" s="19" t="n">
        <v>-1196</v>
      </c>
      <c r="K19" s="19" t="n">
        <v>-914.01</v>
      </c>
      <c r="L19" s="19" t="n">
        <v>-1970</v>
      </c>
      <c r="M19" s="19" t="n">
        <v>-1215</v>
      </c>
      <c r="N19" s="19" t="n">
        <v>-1510</v>
      </c>
      <c r="O19" s="19" t="n">
        <v>-3423</v>
      </c>
      <c r="P19" s="19" t="n">
        <v>3600</v>
      </c>
      <c r="Q19" s="19" t="n">
        <v>1510</v>
      </c>
      <c r="R19" s="19" t="n">
        <v>2088</v>
      </c>
      <c r="S19" s="19" t="n">
        <v>3980</v>
      </c>
      <c r="T19" s="84" t="n">
        <v>1700</v>
      </c>
      <c r="U19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Forecast'!P6*Assumptions!$H$13+1731)*Assumptions!$C$17</f>
        <v/>
      </c>
      <c r="V19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Forecast'!P6*Assumptions!$I$13+1731)*Assumptions!$C$17</f>
        <v/>
      </c>
      <c r="W19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Forecast'!Q6*Assumptions!$I$13+1731)*Assumptions!$C$17</f>
        <v/>
      </c>
      <c r="X19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Forecast'!R6*Assumptions!$I$13+1731)*Assumptions!$C$17</f>
        <v/>
      </c>
      <c r="Y19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Forecast'!S6*Assumptions!$I$13+1731)*Assumptions!$C$17</f>
        <v/>
      </c>
      <c r="Z19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Forecast'!T6*Assumptions!$I$13+1731)*Assumptions!$C$17</f>
        <v/>
      </c>
      <c r="AA19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Forecast'!U6*Assumptions!$I$13+1731)*Assumptions!$C$17</f>
        <v/>
      </c>
      <c r="AB19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Forecast'!V6*Assumptions!$I$13+1731)*Assumptions!$C$17</f>
        <v/>
      </c>
      <c r="AC19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Forecast'!W6*Assumptions!$I$13+1731)*Assumptions!$C$17</f>
        <v/>
      </c>
      <c r="AD19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Forecast'!X6*Assumptions!$I$13+1731)*Assumptions!$C$17</f>
        <v/>
      </c>
      <c r="AE19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Forecast'!Y6*Assumptions!$I$13+1731)*Assumptions!$C$17</f>
        <v/>
      </c>
      <c r="AF19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Forecast'!Z6*Assumptions!$I$13+1731)*Assumptions!$C$17</f>
        <v/>
      </c>
      <c r="AG19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Forecast'!AA6*Assumptions!$I$13+1731)*Assumptions!$C$17</f>
        <v/>
      </c>
      <c r="AH19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Forecast'!AB6*Assumptions!$I$13+1731)*Assumptions!$C$17</f>
        <v/>
      </c>
      <c r="AI19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Forecast'!AC6*Assumptions!$I$13+1731)*Assumptions!$C$17</f>
        <v/>
      </c>
      <c r="AJ19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Forecast'!AD6*Assumptions!$I$13+1731)*Assumptions!$C$17</f>
        <v/>
      </c>
      <c r="AK19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Forecast'!AE6*Assumptions!$I$13+1731)*Assumptions!$C$17</f>
        <v/>
      </c>
      <c r="AL19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Forecast'!AF6*Assumptions!$I$13+1731)*Assumptions!$C$17</f>
        <v/>
      </c>
      <c r="AM19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Forecast'!AG6*Assumptions!$I$13+1731)*Assumptions!$C$17</f>
        <v/>
      </c>
      <c r="AN19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Forecast'!AH6*Assumptions!$I$13+1731)*Assumptions!$C$17</f>
        <v/>
      </c>
      <c r="AO19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Forecast'!AI6*Assumptions!$I$13+1731)*Assumptions!$C$17</f>
        <v/>
      </c>
      <c r="AP19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Forecast'!AJ6*Assumptions!$I$13+1731)*Assumptions!$C$17</f>
        <v/>
      </c>
      <c r="AQ19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Forecast'!AK6*Assumptions!$I$13+1731)*Assumptions!$C$17</f>
        <v/>
      </c>
      <c r="AR19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Forecast'!AL6*Assumptions!$I$13+1731)*Assumptions!$C$17</f>
        <v/>
      </c>
      <c r="AS19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Forecast'!AM6*Assumptions!$I$13+1731)*Assumptions!$C$17</f>
        <v/>
      </c>
      <c r="AT19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Forecast'!AN6*Assumptions!$I$13+1731)*Assumptions!$C$17</f>
        <v/>
      </c>
      <c r="AU19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Forecast'!AO6*Assumptions!$I$13+1731)*Assumptions!$C$17</f>
        <v/>
      </c>
      <c r="AV19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Forecast'!AP6*Assumptions!$I$13+1731)*Assumptions!$C$17</f>
        <v/>
      </c>
      <c r="AW19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Forecast'!AQ6*Assumptions!$I$13+1731)*Assumptions!$C$17</f>
        <v/>
      </c>
      <c r="AX19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Forecast'!AR6*Assumptions!$I$13+1731)*Assumptions!$C$17</f>
        <v/>
      </c>
      <c r="AY19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Forecast'!AS6*Assumptions!$I$13+1731)*Assumptions!$C$17</f>
        <v/>
      </c>
    </row>
    <row r="20">
      <c r="B20" s="33" t="inlineStr">
        <is>
          <t xml:space="preserve">  407000 Discounts</t>
        </is>
      </c>
      <c r="D20" s="19" t="n">
        <v>-7378.7</v>
      </c>
      <c r="E20" s="19" t="n">
        <v>-4533.12</v>
      </c>
      <c r="F20" s="19" t="n">
        <v>-6389.54</v>
      </c>
      <c r="G20" s="19" t="n">
        <v>-5172.1</v>
      </c>
      <c r="H20" s="19" t="n">
        <v>-5087.8</v>
      </c>
      <c r="I20" s="19" t="n">
        <v>-7287.54</v>
      </c>
      <c r="J20" s="19" t="n">
        <v>-3691.2</v>
      </c>
      <c r="K20" s="19" t="n">
        <v>-5800.96</v>
      </c>
      <c r="L20" s="19" t="n">
        <v>-3071.62</v>
      </c>
      <c r="M20" s="19" t="n">
        <v>-3528.96</v>
      </c>
      <c r="N20" s="19" t="n">
        <v>-3664.12</v>
      </c>
      <c r="O20" s="19" t="n">
        <v>-2720.3</v>
      </c>
      <c r="P20" s="19" t="n">
        <v>7048.4</v>
      </c>
      <c r="Q20" s="19" t="n">
        <v>3527.26</v>
      </c>
      <c r="R20" s="19" t="n">
        <v>2111.8</v>
      </c>
      <c r="S20" s="19" t="n">
        <v>4735.7</v>
      </c>
      <c r="T20" s="84" t="n">
        <v>2292.2</v>
      </c>
      <c r="U20" s="20">
        <f>('Sales Forecast'!U6*Assumptions!$C$12+'Sales Forecast'!T6*Assumptions!$D$12+'Sales Forecast'!S6*Assumptions!$E$12+'Sales Forecast'!R6*Assumptions!$F$12+'Sales Forecast'!Q6*Assumptions!$G$12+'Sales Forecast'!P6*Assumptions!$H$12+'Sales Forecast'!U6*Assumptions!$C$13+'Sales Forecast'!T6*Assumptions!$D$13+'Sales Forecast'!S6*Assumptions!$E$13+'Sales Forecast'!R6*Assumptions!$F$13+'Sales Forecast'!Q6*Assumptions!$G$13+'Sales Forecast'!P6*Assumptions!$H$13+1731)*Assumptions!$C$18</f>
        <v/>
      </c>
      <c r="V20" s="20">
        <f>('Sales Forecast'!V6*Assumptions!$C$12+'Sales Forecast'!U6*Assumptions!$D$12+'Sales Forecast'!T6*Assumptions!$E$12+'Sales Forecast'!S6*Assumptions!$F$12+'Sales Forecast'!R6*Assumptions!$G$12+'Sales Forecast'!Q6*Assumptions!$H$12+'Sales Forecast'!P6*Assumptions!$I$12+'Sales Forecast'!V6*Assumptions!$C$13+'Sales Forecast'!U6*Assumptions!$D$13+'Sales Forecast'!T6*Assumptions!$E$13+'Sales Forecast'!S6*Assumptions!$F$13+'Sales Forecast'!R6*Assumptions!$G$13+'Sales Forecast'!Q6*Assumptions!$H$13+'Sales Forecast'!P6*Assumptions!$I$13+1731)*Assumptions!$C$18</f>
        <v/>
      </c>
      <c r="W20" s="20">
        <f>('Sales Forecast'!W6*Assumptions!$C$12+'Sales Forecast'!V6*Assumptions!$D$12+'Sales Forecast'!U6*Assumptions!$E$12+'Sales Forecast'!T6*Assumptions!$F$12+'Sales Forecast'!S6*Assumptions!$G$12+'Sales Forecast'!R6*Assumptions!$H$12+'Sales Forecast'!Q6*Assumptions!$I$12+'Sales Forecast'!W6*Assumptions!$C$13+'Sales Forecast'!V6*Assumptions!$D$13+'Sales Forecast'!U6*Assumptions!$E$13+'Sales Forecast'!T6*Assumptions!$F$13+'Sales Forecast'!S6*Assumptions!$G$13+'Sales Forecast'!R6*Assumptions!$H$13+'Sales Forecast'!Q6*Assumptions!$I$13+1731)*Assumptions!$C$18</f>
        <v/>
      </c>
      <c r="X20" s="20">
        <f>('Sales Forecast'!X6*Assumptions!$C$12+'Sales Forecast'!W6*Assumptions!$D$12+'Sales Forecast'!V6*Assumptions!$E$12+'Sales Forecast'!U6*Assumptions!$F$12+'Sales Forecast'!T6*Assumptions!$G$12+'Sales Forecast'!S6*Assumptions!$H$12+'Sales Forecast'!R6*Assumptions!$I$12+'Sales Forecast'!X6*Assumptions!$C$13+'Sales Forecast'!W6*Assumptions!$D$13+'Sales Forecast'!V6*Assumptions!$E$13+'Sales Forecast'!U6*Assumptions!$F$13+'Sales Forecast'!T6*Assumptions!$G$13+'Sales Forecast'!S6*Assumptions!$H$13+'Sales Forecast'!R6*Assumptions!$I$13+1731)*Assumptions!$C$18</f>
        <v/>
      </c>
      <c r="Y20" s="20">
        <f>('Sales Forecast'!Y6*Assumptions!$C$12+'Sales Forecast'!X6*Assumptions!$D$12+'Sales Forecast'!W6*Assumptions!$E$12+'Sales Forecast'!V6*Assumptions!$F$12+'Sales Forecast'!U6*Assumptions!$G$12+'Sales Forecast'!T6*Assumptions!$H$12+'Sales Forecast'!S6*Assumptions!$I$12+'Sales Forecast'!Y6*Assumptions!$C$13+'Sales Forecast'!X6*Assumptions!$D$13+'Sales Forecast'!W6*Assumptions!$E$13+'Sales Forecast'!V6*Assumptions!$F$13+'Sales Forecast'!U6*Assumptions!$G$13+'Sales Forecast'!T6*Assumptions!$H$13+'Sales Forecast'!S6*Assumptions!$I$13+1731)*Assumptions!$C$18</f>
        <v/>
      </c>
      <c r="Z20" s="20">
        <f>('Sales Forecast'!Z6*Assumptions!$C$12+'Sales Forecast'!Y6*Assumptions!$D$12+'Sales Forecast'!X6*Assumptions!$E$12+'Sales Forecast'!W6*Assumptions!$F$12+'Sales Forecast'!V6*Assumptions!$G$12+'Sales Forecast'!U6*Assumptions!$H$12+'Sales Forecast'!T6*Assumptions!$I$12+'Sales Forecast'!Z6*Assumptions!$C$13+'Sales Forecast'!Y6*Assumptions!$D$13+'Sales Forecast'!X6*Assumptions!$E$13+'Sales Forecast'!W6*Assumptions!$F$13+'Sales Forecast'!V6*Assumptions!$G$13+'Sales Forecast'!U6*Assumptions!$H$13+'Sales Forecast'!T6*Assumptions!$I$13+1731)*Assumptions!$C$18</f>
        <v/>
      </c>
      <c r="AA20" s="20">
        <f>('Sales Forecast'!AA6*Assumptions!$C$12+'Sales Forecast'!Z6*Assumptions!$D$12+'Sales Forecast'!Y6*Assumptions!$E$12+'Sales Forecast'!X6*Assumptions!$F$12+'Sales Forecast'!W6*Assumptions!$G$12+'Sales Forecast'!V6*Assumptions!$H$12+'Sales Forecast'!U6*Assumptions!$I$12+'Sales Forecast'!AA6*Assumptions!$C$13+'Sales Forecast'!Z6*Assumptions!$D$13+'Sales Forecast'!Y6*Assumptions!$E$13+'Sales Forecast'!X6*Assumptions!$F$13+'Sales Forecast'!W6*Assumptions!$G$13+'Sales Forecast'!V6*Assumptions!$H$13+'Sales Forecast'!U6*Assumptions!$I$13+1731)*Assumptions!$C$18</f>
        <v/>
      </c>
      <c r="AB20" s="20">
        <f>('Sales Forecast'!AB6*Assumptions!$C$12+'Sales Forecast'!AA6*Assumptions!$D$12+'Sales Forecast'!Z6*Assumptions!$E$12+'Sales Forecast'!Y6*Assumptions!$F$12+'Sales Forecast'!X6*Assumptions!$G$12+'Sales Forecast'!W6*Assumptions!$H$12+'Sales Forecast'!V6*Assumptions!$I$12+'Sales Forecast'!AB6*Assumptions!$C$13+'Sales Forecast'!AA6*Assumptions!$D$13+'Sales Forecast'!Z6*Assumptions!$E$13+'Sales Forecast'!Y6*Assumptions!$F$13+'Sales Forecast'!X6*Assumptions!$G$13+'Sales Forecast'!W6*Assumptions!$H$13+'Sales Forecast'!V6*Assumptions!$I$13+1731)*Assumptions!$C$18</f>
        <v/>
      </c>
      <c r="AC20" s="20">
        <f>('Sales Forecast'!AC6*Assumptions!$C$12+'Sales Forecast'!AB6*Assumptions!$D$12+'Sales Forecast'!AA6*Assumptions!$E$12+'Sales Forecast'!Z6*Assumptions!$F$12+'Sales Forecast'!Y6*Assumptions!$G$12+'Sales Forecast'!X6*Assumptions!$H$12+'Sales Forecast'!W6*Assumptions!$I$12+'Sales Forecast'!AC6*Assumptions!$C$13+'Sales Forecast'!AB6*Assumptions!$D$13+'Sales Forecast'!AA6*Assumptions!$E$13+'Sales Forecast'!Z6*Assumptions!$F$13+'Sales Forecast'!Y6*Assumptions!$G$13+'Sales Forecast'!X6*Assumptions!$H$13+'Sales Forecast'!W6*Assumptions!$I$13+1731)*Assumptions!$C$18</f>
        <v/>
      </c>
      <c r="AD20" s="20">
        <f>('Sales Forecast'!AD6*Assumptions!$C$12+'Sales Forecast'!AC6*Assumptions!$D$12+'Sales Forecast'!AB6*Assumptions!$E$12+'Sales Forecast'!AA6*Assumptions!$F$12+'Sales Forecast'!Z6*Assumptions!$G$12+'Sales Forecast'!Y6*Assumptions!$H$12+'Sales Forecast'!X6*Assumptions!$I$12+'Sales Forecast'!AD6*Assumptions!$C$13+'Sales Forecast'!AC6*Assumptions!$D$13+'Sales Forecast'!AB6*Assumptions!$E$13+'Sales Forecast'!AA6*Assumptions!$F$13+'Sales Forecast'!Z6*Assumptions!$G$13+'Sales Forecast'!Y6*Assumptions!$H$13+'Sales Forecast'!X6*Assumptions!$I$13+1731)*Assumptions!$C$18</f>
        <v/>
      </c>
      <c r="AE20" s="20">
        <f>('Sales Forecast'!AE6*Assumptions!$C$12+'Sales Forecast'!AD6*Assumptions!$D$12+'Sales Forecast'!AC6*Assumptions!$E$12+'Sales Forecast'!AB6*Assumptions!$F$12+'Sales Forecast'!AA6*Assumptions!$G$12+'Sales Forecast'!Z6*Assumptions!$H$12+'Sales Forecast'!Y6*Assumptions!$I$12+'Sales Forecast'!AE6*Assumptions!$C$13+'Sales Forecast'!AD6*Assumptions!$D$13+'Sales Forecast'!AC6*Assumptions!$E$13+'Sales Forecast'!AB6*Assumptions!$F$13+'Sales Forecast'!AA6*Assumptions!$G$13+'Sales Forecast'!Z6*Assumptions!$H$13+'Sales Forecast'!Y6*Assumptions!$I$13+1731)*Assumptions!$C$18</f>
        <v/>
      </c>
      <c r="AF20" s="20">
        <f>('Sales Forecast'!AF6*Assumptions!$C$12+'Sales Forecast'!AE6*Assumptions!$D$12+'Sales Forecast'!AD6*Assumptions!$E$12+'Sales Forecast'!AC6*Assumptions!$F$12+'Sales Forecast'!AB6*Assumptions!$G$12+'Sales Forecast'!AA6*Assumptions!$H$12+'Sales Forecast'!Z6*Assumptions!$I$12+'Sales Forecast'!AF6*Assumptions!$C$13+'Sales Forecast'!AE6*Assumptions!$D$13+'Sales Forecast'!AD6*Assumptions!$E$13+'Sales Forecast'!AC6*Assumptions!$F$13+'Sales Forecast'!AB6*Assumptions!$G$13+'Sales Forecast'!AA6*Assumptions!$H$13+'Sales Forecast'!Z6*Assumptions!$I$13+1731)*Assumptions!$C$18</f>
        <v/>
      </c>
      <c r="AG20" s="20">
        <f>('Sales Forecast'!AG6*Assumptions!$C$12+'Sales Forecast'!AF6*Assumptions!$D$12+'Sales Forecast'!AE6*Assumptions!$E$12+'Sales Forecast'!AD6*Assumptions!$F$12+'Sales Forecast'!AC6*Assumptions!$G$12+'Sales Forecast'!AB6*Assumptions!$H$12+'Sales Forecast'!AA6*Assumptions!$I$12+'Sales Forecast'!AG6*Assumptions!$C$13+'Sales Forecast'!AF6*Assumptions!$D$13+'Sales Forecast'!AE6*Assumptions!$E$13+'Sales Forecast'!AD6*Assumptions!$F$13+'Sales Forecast'!AC6*Assumptions!$G$13+'Sales Forecast'!AB6*Assumptions!$H$13+'Sales Forecast'!AA6*Assumptions!$I$13+1731)*Assumptions!$C$18</f>
        <v/>
      </c>
      <c r="AH20" s="20">
        <f>('Sales Forecast'!AH6*Assumptions!$C$12+'Sales Forecast'!AG6*Assumptions!$D$12+'Sales Forecast'!AF6*Assumptions!$E$12+'Sales Forecast'!AE6*Assumptions!$F$12+'Sales Forecast'!AD6*Assumptions!$G$12+'Sales Forecast'!AC6*Assumptions!$H$12+'Sales Forecast'!AB6*Assumptions!$I$12+'Sales Forecast'!AH6*Assumptions!$C$13+'Sales Forecast'!AG6*Assumptions!$D$13+'Sales Forecast'!AF6*Assumptions!$E$13+'Sales Forecast'!AE6*Assumptions!$F$13+'Sales Forecast'!AD6*Assumptions!$G$13+'Sales Forecast'!AC6*Assumptions!$H$13+'Sales Forecast'!AB6*Assumptions!$I$13+1731)*Assumptions!$C$18</f>
        <v/>
      </c>
      <c r="AI20" s="20">
        <f>('Sales Forecast'!AI6*Assumptions!$C$12+'Sales Forecast'!AH6*Assumptions!$D$12+'Sales Forecast'!AG6*Assumptions!$E$12+'Sales Forecast'!AF6*Assumptions!$F$12+'Sales Forecast'!AE6*Assumptions!$G$12+'Sales Forecast'!AD6*Assumptions!$H$12+'Sales Forecast'!AC6*Assumptions!$I$12+'Sales Forecast'!AI6*Assumptions!$C$13+'Sales Forecast'!AH6*Assumptions!$D$13+'Sales Forecast'!AG6*Assumptions!$E$13+'Sales Forecast'!AF6*Assumptions!$F$13+'Sales Forecast'!AE6*Assumptions!$G$13+'Sales Forecast'!AD6*Assumptions!$H$13+'Sales Forecast'!AC6*Assumptions!$I$13+1731)*Assumptions!$C$18</f>
        <v/>
      </c>
      <c r="AJ20" s="20">
        <f>('Sales Forecast'!AJ6*Assumptions!$C$12+'Sales Forecast'!AI6*Assumptions!$D$12+'Sales Forecast'!AH6*Assumptions!$E$12+'Sales Forecast'!AG6*Assumptions!$F$12+'Sales Forecast'!AF6*Assumptions!$G$12+'Sales Forecast'!AE6*Assumptions!$H$12+'Sales Forecast'!AD6*Assumptions!$I$12+'Sales Forecast'!AJ6*Assumptions!$C$13+'Sales Forecast'!AI6*Assumptions!$D$13+'Sales Forecast'!AH6*Assumptions!$E$13+'Sales Forecast'!AG6*Assumptions!$F$13+'Sales Forecast'!AF6*Assumptions!$G$13+'Sales Forecast'!AE6*Assumptions!$H$13+'Sales Forecast'!AD6*Assumptions!$I$13+1731)*Assumptions!$C$18</f>
        <v/>
      </c>
      <c r="AK20" s="20">
        <f>('Sales Forecast'!AK6*Assumptions!$C$12+'Sales Forecast'!AJ6*Assumptions!$D$12+'Sales Forecast'!AI6*Assumptions!$E$12+'Sales Forecast'!AH6*Assumptions!$F$12+'Sales Forecast'!AG6*Assumptions!$G$12+'Sales Forecast'!AF6*Assumptions!$H$12+'Sales Forecast'!AE6*Assumptions!$I$12+'Sales Forecast'!AK6*Assumptions!$C$13+'Sales Forecast'!AJ6*Assumptions!$D$13+'Sales Forecast'!AI6*Assumptions!$E$13+'Sales Forecast'!AH6*Assumptions!$F$13+'Sales Forecast'!AG6*Assumptions!$G$13+'Sales Forecast'!AF6*Assumptions!$H$13+'Sales Forecast'!AE6*Assumptions!$I$13+1731)*Assumptions!$C$18</f>
        <v/>
      </c>
      <c r="AL20" s="20">
        <f>('Sales Forecast'!AL6*Assumptions!$C$12+'Sales Forecast'!AK6*Assumptions!$D$12+'Sales Forecast'!AJ6*Assumptions!$E$12+'Sales Forecast'!AI6*Assumptions!$F$12+'Sales Forecast'!AH6*Assumptions!$G$12+'Sales Forecast'!AG6*Assumptions!$H$12+'Sales Forecast'!AF6*Assumptions!$I$12+'Sales Forecast'!AL6*Assumptions!$C$13+'Sales Forecast'!AK6*Assumptions!$D$13+'Sales Forecast'!AJ6*Assumptions!$E$13+'Sales Forecast'!AI6*Assumptions!$F$13+'Sales Forecast'!AH6*Assumptions!$G$13+'Sales Forecast'!AG6*Assumptions!$H$13+'Sales Forecast'!AF6*Assumptions!$I$13+1731)*Assumptions!$C$18</f>
        <v/>
      </c>
      <c r="AM20" s="20">
        <f>('Sales Forecast'!AM6*Assumptions!$C$12+'Sales Forecast'!AL6*Assumptions!$D$12+'Sales Forecast'!AK6*Assumptions!$E$12+'Sales Forecast'!AJ6*Assumptions!$F$12+'Sales Forecast'!AI6*Assumptions!$G$12+'Sales Forecast'!AH6*Assumptions!$H$12+'Sales Forecast'!AG6*Assumptions!$I$12+'Sales Forecast'!AM6*Assumptions!$C$13+'Sales Forecast'!AL6*Assumptions!$D$13+'Sales Forecast'!AK6*Assumptions!$E$13+'Sales Forecast'!AJ6*Assumptions!$F$13+'Sales Forecast'!AI6*Assumptions!$G$13+'Sales Forecast'!AH6*Assumptions!$H$13+'Sales Forecast'!AG6*Assumptions!$I$13+1731)*Assumptions!$C$18</f>
        <v/>
      </c>
      <c r="AN20" s="20">
        <f>('Sales Forecast'!AN6*Assumptions!$C$12+'Sales Forecast'!AM6*Assumptions!$D$12+'Sales Forecast'!AL6*Assumptions!$E$12+'Sales Forecast'!AK6*Assumptions!$F$12+'Sales Forecast'!AJ6*Assumptions!$G$12+'Sales Forecast'!AI6*Assumptions!$H$12+'Sales Forecast'!AH6*Assumptions!$I$12+'Sales Forecast'!AN6*Assumptions!$C$13+'Sales Forecast'!AM6*Assumptions!$D$13+'Sales Forecast'!AL6*Assumptions!$E$13+'Sales Forecast'!AK6*Assumptions!$F$13+'Sales Forecast'!AJ6*Assumptions!$G$13+'Sales Forecast'!AI6*Assumptions!$H$13+'Sales Forecast'!AH6*Assumptions!$I$13+1731)*Assumptions!$C$18</f>
        <v/>
      </c>
      <c r="AO20" s="20">
        <f>('Sales Forecast'!AO6*Assumptions!$C$12+'Sales Forecast'!AN6*Assumptions!$D$12+'Sales Forecast'!AM6*Assumptions!$E$12+'Sales Forecast'!AL6*Assumptions!$F$12+'Sales Forecast'!AK6*Assumptions!$G$12+'Sales Forecast'!AJ6*Assumptions!$H$12+'Sales Forecast'!AI6*Assumptions!$I$12+'Sales Forecast'!AO6*Assumptions!$C$13+'Sales Forecast'!AN6*Assumptions!$D$13+'Sales Forecast'!AM6*Assumptions!$E$13+'Sales Forecast'!AL6*Assumptions!$F$13+'Sales Forecast'!AK6*Assumptions!$G$13+'Sales Forecast'!AJ6*Assumptions!$H$13+'Sales Forecast'!AI6*Assumptions!$I$13+1731)*Assumptions!$C$18</f>
        <v/>
      </c>
      <c r="AP20" s="20">
        <f>('Sales Forecast'!AP6*Assumptions!$C$12+'Sales Forecast'!AO6*Assumptions!$D$12+'Sales Forecast'!AN6*Assumptions!$E$12+'Sales Forecast'!AM6*Assumptions!$F$12+'Sales Forecast'!AL6*Assumptions!$G$12+'Sales Forecast'!AK6*Assumptions!$H$12+'Sales Forecast'!AJ6*Assumptions!$I$12+'Sales Forecast'!AP6*Assumptions!$C$13+'Sales Forecast'!AO6*Assumptions!$D$13+'Sales Forecast'!AN6*Assumptions!$E$13+'Sales Forecast'!AM6*Assumptions!$F$13+'Sales Forecast'!AL6*Assumptions!$G$13+'Sales Forecast'!AK6*Assumptions!$H$13+'Sales Forecast'!AJ6*Assumptions!$I$13+1731)*Assumptions!$C$18</f>
        <v/>
      </c>
      <c r="AQ20" s="20">
        <f>('Sales Forecast'!AQ6*Assumptions!$C$12+'Sales Forecast'!AP6*Assumptions!$D$12+'Sales Forecast'!AO6*Assumptions!$E$12+'Sales Forecast'!AN6*Assumptions!$F$12+'Sales Forecast'!AM6*Assumptions!$G$12+'Sales Forecast'!AL6*Assumptions!$H$12+'Sales Forecast'!AK6*Assumptions!$I$12+'Sales Forecast'!AQ6*Assumptions!$C$13+'Sales Forecast'!AP6*Assumptions!$D$13+'Sales Forecast'!AO6*Assumptions!$E$13+'Sales Forecast'!AN6*Assumptions!$F$13+'Sales Forecast'!AM6*Assumptions!$G$13+'Sales Forecast'!AL6*Assumptions!$H$13+'Sales Forecast'!AK6*Assumptions!$I$13+1731)*Assumptions!$C$18</f>
        <v/>
      </c>
      <c r="AR20" s="20">
        <f>('Sales Forecast'!AR6*Assumptions!$C$12+'Sales Forecast'!AQ6*Assumptions!$D$12+'Sales Forecast'!AP6*Assumptions!$E$12+'Sales Forecast'!AO6*Assumptions!$F$12+'Sales Forecast'!AN6*Assumptions!$G$12+'Sales Forecast'!AM6*Assumptions!$H$12+'Sales Forecast'!AL6*Assumptions!$I$12+'Sales Forecast'!AR6*Assumptions!$C$13+'Sales Forecast'!AQ6*Assumptions!$D$13+'Sales Forecast'!AP6*Assumptions!$E$13+'Sales Forecast'!AO6*Assumptions!$F$13+'Sales Forecast'!AN6*Assumptions!$G$13+'Sales Forecast'!AM6*Assumptions!$H$13+'Sales Forecast'!AL6*Assumptions!$I$13+1731)*Assumptions!$C$18</f>
        <v/>
      </c>
      <c r="AS20" s="20">
        <f>('Sales Forecast'!AS6*Assumptions!$C$12+'Sales Forecast'!AR6*Assumptions!$D$12+'Sales Forecast'!AQ6*Assumptions!$E$12+'Sales Forecast'!AP6*Assumptions!$F$12+'Sales Forecast'!AO6*Assumptions!$G$12+'Sales Forecast'!AN6*Assumptions!$H$12+'Sales Forecast'!AM6*Assumptions!$I$12+'Sales Forecast'!AS6*Assumptions!$C$13+'Sales Forecast'!AR6*Assumptions!$D$13+'Sales Forecast'!AQ6*Assumptions!$E$13+'Sales Forecast'!AP6*Assumptions!$F$13+'Sales Forecast'!AO6*Assumptions!$G$13+'Sales Forecast'!AN6*Assumptions!$H$13+'Sales Forecast'!AM6*Assumptions!$I$13+1731)*Assumptions!$C$18</f>
        <v/>
      </c>
      <c r="AT20" s="20">
        <f>('Sales Forecast'!AT6*Assumptions!$C$12+'Sales Forecast'!AS6*Assumptions!$D$12+'Sales Forecast'!AR6*Assumptions!$E$12+'Sales Forecast'!AQ6*Assumptions!$F$12+'Sales Forecast'!AP6*Assumptions!$G$12+'Sales Forecast'!AO6*Assumptions!$H$12+'Sales Forecast'!AN6*Assumptions!$I$12+'Sales Forecast'!AT6*Assumptions!$C$13+'Sales Forecast'!AS6*Assumptions!$D$13+'Sales Forecast'!AR6*Assumptions!$E$13+'Sales Forecast'!AQ6*Assumptions!$F$13+'Sales Forecast'!AP6*Assumptions!$G$13+'Sales Forecast'!AO6*Assumptions!$H$13+'Sales Forecast'!AN6*Assumptions!$I$13+1731)*Assumptions!$C$18</f>
        <v/>
      </c>
      <c r="AU20" s="20">
        <f>('Sales Forecast'!AU6*Assumptions!$C$12+'Sales Forecast'!AT6*Assumptions!$D$12+'Sales Forecast'!AS6*Assumptions!$E$12+'Sales Forecast'!AR6*Assumptions!$F$12+'Sales Forecast'!AQ6*Assumptions!$G$12+'Sales Forecast'!AP6*Assumptions!$H$12+'Sales Forecast'!AO6*Assumptions!$I$12+'Sales Forecast'!AU6*Assumptions!$C$13+'Sales Forecast'!AT6*Assumptions!$D$13+'Sales Forecast'!AS6*Assumptions!$E$13+'Sales Forecast'!AR6*Assumptions!$F$13+'Sales Forecast'!AQ6*Assumptions!$G$13+'Sales Forecast'!AP6*Assumptions!$H$13+'Sales Forecast'!AO6*Assumptions!$I$13+1731)*Assumptions!$C$18</f>
        <v/>
      </c>
      <c r="AV20" s="20">
        <f>('Sales Forecast'!AV6*Assumptions!$C$12+'Sales Forecast'!AU6*Assumptions!$D$12+'Sales Forecast'!AT6*Assumptions!$E$12+'Sales Forecast'!AS6*Assumptions!$F$12+'Sales Forecast'!AR6*Assumptions!$G$12+'Sales Forecast'!AQ6*Assumptions!$H$12+'Sales Forecast'!AP6*Assumptions!$I$12+'Sales Forecast'!AV6*Assumptions!$C$13+'Sales Forecast'!AU6*Assumptions!$D$13+'Sales Forecast'!AT6*Assumptions!$E$13+'Sales Forecast'!AS6*Assumptions!$F$13+'Sales Forecast'!AR6*Assumptions!$G$13+'Sales Forecast'!AQ6*Assumptions!$H$13+'Sales Forecast'!AP6*Assumptions!$I$13+1731)*Assumptions!$C$18</f>
        <v/>
      </c>
      <c r="AW20" s="20">
        <f>('Sales Forecast'!AW6*Assumptions!$C$12+'Sales Forecast'!AV6*Assumptions!$D$12+'Sales Forecast'!AU6*Assumptions!$E$12+'Sales Forecast'!AT6*Assumptions!$F$12+'Sales Forecast'!AS6*Assumptions!$G$12+'Sales Forecast'!AR6*Assumptions!$H$12+'Sales Forecast'!AQ6*Assumptions!$I$12+'Sales Forecast'!AW6*Assumptions!$C$13+'Sales Forecast'!AV6*Assumptions!$D$13+'Sales Forecast'!AU6*Assumptions!$E$13+'Sales Forecast'!AT6*Assumptions!$F$13+'Sales Forecast'!AS6*Assumptions!$G$13+'Sales Forecast'!AR6*Assumptions!$H$13+'Sales Forecast'!AQ6*Assumptions!$I$13+1731)*Assumptions!$C$18</f>
        <v/>
      </c>
      <c r="AX20" s="20">
        <f>('Sales Forecast'!AX6*Assumptions!$C$12+'Sales Forecast'!AW6*Assumptions!$D$12+'Sales Forecast'!AV6*Assumptions!$E$12+'Sales Forecast'!AU6*Assumptions!$F$12+'Sales Forecast'!AT6*Assumptions!$G$12+'Sales Forecast'!AS6*Assumptions!$H$12+'Sales Forecast'!AR6*Assumptions!$I$12+'Sales Forecast'!AX6*Assumptions!$C$13+'Sales Forecast'!AW6*Assumptions!$D$13+'Sales Forecast'!AV6*Assumptions!$E$13+'Sales Forecast'!AU6*Assumptions!$F$13+'Sales Forecast'!AT6*Assumptions!$G$13+'Sales Forecast'!AS6*Assumptions!$H$13+'Sales Forecast'!AR6*Assumptions!$I$13+1731)*Assumptions!$C$18</f>
        <v/>
      </c>
      <c r="AY20" s="20">
        <f>('Sales Forecast'!AY6*Assumptions!$C$12+'Sales Forecast'!AX6*Assumptions!$D$12+'Sales Forecast'!AW6*Assumptions!$E$12+'Sales Forecast'!AV6*Assumptions!$F$12+'Sales Forecast'!AU6*Assumptions!$G$12+'Sales Forecast'!AT6*Assumptions!$H$12+'Sales Forecast'!AS6*Assumptions!$I$12+'Sales Forecast'!AY6*Assumptions!$C$13+'Sales Forecast'!AX6*Assumptions!$D$13+'Sales Forecast'!AW6*Assumptions!$E$13+'Sales Forecast'!AV6*Assumptions!$F$13+'Sales Forecast'!AU6*Assumptions!$G$13+'Sales Forecast'!AT6*Assumptions!$H$13+'Sales Forecast'!AS6*Assumptions!$I$13+1731)*Assumptions!$C$18</f>
        <v/>
      </c>
    </row>
    <row r="21">
      <c r="B21" s="32" t="inlineStr">
        <is>
          <t>TOTAL REVENUE</t>
        </is>
      </c>
      <c r="C21" s="34" t="n"/>
      <c r="D21" s="35" t="n">
        <v>102263.72</v>
      </c>
      <c r="E21" s="35" t="n">
        <v>108290.08</v>
      </c>
      <c r="F21" s="35" t="n">
        <v>118514.77</v>
      </c>
      <c r="G21" s="35" t="n">
        <v>113589.27</v>
      </c>
      <c r="H21" s="35" t="n">
        <v>119796.34</v>
      </c>
      <c r="I21" s="35" t="n">
        <v>114548.96</v>
      </c>
      <c r="J21" s="35" t="n">
        <v>115924.45</v>
      </c>
      <c r="K21" s="35" t="n">
        <v>121824.66</v>
      </c>
      <c r="L21" s="35" t="n">
        <v>127769.46</v>
      </c>
      <c r="M21" s="35" t="n">
        <v>112372.51</v>
      </c>
      <c r="N21" s="35" t="n">
        <v>125447.68</v>
      </c>
      <c r="O21" s="35" t="n">
        <v>122215.2</v>
      </c>
      <c r="P21" s="35" t="n">
        <v>133431.47</v>
      </c>
      <c r="Q21" s="35" t="n">
        <v>121763.45</v>
      </c>
      <c r="R21" s="35" t="n">
        <v>118550.95</v>
      </c>
      <c r="S21" s="35" t="n">
        <v>115306.67</v>
      </c>
      <c r="T21" s="85" t="n">
        <v>107273.19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1635</v>
      </c>
      <c r="E23" s="19" t="n">
        <v>1240.75</v>
      </c>
      <c r="F23" s="19" t="n">
        <v>1097.25</v>
      </c>
      <c r="G23" s="19" t="n">
        <v>1298.5</v>
      </c>
      <c r="H23" s="19" t="n">
        <v>1160.5</v>
      </c>
      <c r="I23" s="19" t="n">
        <v>1974.75</v>
      </c>
      <c r="J23" s="19" t="n">
        <v>1301</v>
      </c>
      <c r="K23" s="19" t="n">
        <v>1424.5</v>
      </c>
      <c r="L23" s="19" t="n">
        <v>1231</v>
      </c>
      <c r="M23" s="19" t="n">
        <v>896.5</v>
      </c>
      <c r="N23" s="19" t="n">
        <v>836.5</v>
      </c>
      <c r="O23" s="19" t="n">
        <v>1078</v>
      </c>
      <c r="P23" s="19" t="n">
        <v>1064.8</v>
      </c>
      <c r="Q23" s="19" t="n">
        <v>699.7</v>
      </c>
      <c r="R23" s="19" t="n">
        <v>552</v>
      </c>
      <c r="S23" s="19" t="n">
        <v>1117</v>
      </c>
      <c r="T23" s="84" t="n">
        <v>1037.7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3612.09</v>
      </c>
      <c r="E24" s="19" t="n">
        <v>3333.58</v>
      </c>
      <c r="F24" s="19" t="n">
        <v>3314.08</v>
      </c>
      <c r="G24" s="19" t="n">
        <v>3895.12</v>
      </c>
      <c r="H24" s="19" t="n">
        <v>2604.04</v>
      </c>
      <c r="I24" s="19" t="n">
        <v>2902.85</v>
      </c>
      <c r="J24" s="19" t="n">
        <v>2543.4</v>
      </c>
      <c r="K24" s="19" t="n">
        <v>3738.8</v>
      </c>
      <c r="L24" s="19" t="n">
        <v>2974.49</v>
      </c>
      <c r="M24" s="19" t="n">
        <v>2918.1</v>
      </c>
      <c r="N24" s="19" t="n">
        <v>2598.16</v>
      </c>
      <c r="O24" s="19" t="n">
        <v>2820.42</v>
      </c>
      <c r="P24" s="19" t="n">
        <v>3389.06</v>
      </c>
      <c r="Q24" s="19" t="n">
        <v>3622.31</v>
      </c>
      <c r="R24" s="19" t="n">
        <v>2884.21</v>
      </c>
      <c r="S24" s="19" t="n">
        <v>3288.71</v>
      </c>
      <c r="T24" s="84" t="n">
        <v>2178.41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5247.09</v>
      </c>
      <c r="E25" s="35" t="n">
        <v>4574.33</v>
      </c>
      <c r="F25" s="35" t="n">
        <v>4411.33</v>
      </c>
      <c r="G25" s="35" t="n">
        <v>5193.62</v>
      </c>
      <c r="H25" s="35" t="n">
        <v>3764.54</v>
      </c>
      <c r="I25" s="35" t="n">
        <v>4877.6</v>
      </c>
      <c r="J25" s="35" t="n">
        <v>3844.4</v>
      </c>
      <c r="K25" s="35" t="n">
        <v>5163.3</v>
      </c>
      <c r="L25" s="35" t="n">
        <v>4205.49</v>
      </c>
      <c r="M25" s="35" t="n">
        <v>3814.6</v>
      </c>
      <c r="N25" s="35" t="n">
        <v>3434.66</v>
      </c>
      <c r="O25" s="35" t="n">
        <v>5011.79</v>
      </c>
      <c r="P25" s="35" t="n">
        <v>4453.86</v>
      </c>
      <c r="Q25" s="35" t="n">
        <v>4322.01</v>
      </c>
      <c r="R25" s="35" t="n">
        <v>3436.21</v>
      </c>
      <c r="S25" s="35" t="n">
        <v>4405.71</v>
      </c>
      <c r="T25" s="85" t="n">
        <v>3216.11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97016.63</v>
      </c>
      <c r="E26" s="35" t="n">
        <v>103715.75</v>
      </c>
      <c r="F26" s="35" t="n">
        <v>114103.44</v>
      </c>
      <c r="G26" s="35" t="n">
        <v>108395.65</v>
      </c>
      <c r="H26" s="35" t="n">
        <v>116031.8</v>
      </c>
      <c r="I26" s="35" t="n">
        <v>109671.36</v>
      </c>
      <c r="J26" s="35" t="n">
        <v>112080.05</v>
      </c>
      <c r="K26" s="35" t="n">
        <v>116661.36</v>
      </c>
      <c r="L26" s="35" t="n">
        <v>123563.97</v>
      </c>
      <c r="M26" s="35" t="n">
        <v>108557.91</v>
      </c>
      <c r="N26" s="35" t="n">
        <v>122013.02</v>
      </c>
      <c r="O26" s="35" t="n">
        <v>117203.41</v>
      </c>
      <c r="P26" s="35" t="n">
        <v>128977.61</v>
      </c>
      <c r="Q26" s="35" t="n">
        <v>117441.44</v>
      </c>
      <c r="R26" s="35" t="n">
        <v>115114.74</v>
      </c>
      <c r="S26" s="35" t="n">
        <v>110900.96</v>
      </c>
      <c r="T26" s="85" t="n">
        <v>104057.08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1300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2407.42</v>
      </c>
      <c r="J28" s="19" t="n">
        <v>300</v>
      </c>
      <c r="K28" s="19" t="n">
        <v>0</v>
      </c>
      <c r="L28" s="19" t="n">
        <v>0</v>
      </c>
      <c r="M28" s="19" t="n">
        <v>0</v>
      </c>
      <c r="N28" s="19" t="n">
        <v>890.91</v>
      </c>
      <c r="O28" s="19" t="n">
        <v>607.27</v>
      </c>
      <c r="P28" s="19" t="n">
        <v>890.91</v>
      </c>
      <c r="Q28" s="19" t="n">
        <v>89.98999999999999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128.98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1300</v>
      </c>
      <c r="E33" s="35" t="n">
        <v>300</v>
      </c>
      <c r="F33" s="35" t="n">
        <v>0</v>
      </c>
      <c r="G33" s="35" t="n">
        <v>0</v>
      </c>
      <c r="H33" s="35" t="n">
        <v>0</v>
      </c>
      <c r="I33" s="35" t="n">
        <v>2407.42</v>
      </c>
      <c r="J33" s="35" t="n">
        <v>300</v>
      </c>
      <c r="K33" s="35" t="n">
        <v>0</v>
      </c>
      <c r="L33" s="35" t="n">
        <v>0</v>
      </c>
      <c r="M33" s="35" t="n">
        <v>0</v>
      </c>
      <c r="N33" s="35" t="n">
        <v>890.91</v>
      </c>
      <c r="O33" s="35" t="n">
        <v>736.25</v>
      </c>
      <c r="P33" s="35" t="n">
        <v>890.91</v>
      </c>
      <c r="Q33" s="35" t="n">
        <v>89.98999999999999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34343.42</v>
      </c>
      <c r="E34" s="19" t="n">
        <v>35495.95</v>
      </c>
      <c r="F34" s="19" t="n">
        <v>36875.91</v>
      </c>
      <c r="G34" s="19" t="n">
        <v>31272.57</v>
      </c>
      <c r="H34" s="19" t="n">
        <v>35386.68</v>
      </c>
      <c r="I34" s="19" t="n">
        <v>34209.55</v>
      </c>
      <c r="J34" s="19" t="n">
        <v>33486.1</v>
      </c>
      <c r="K34" s="19" t="n">
        <v>36620.89</v>
      </c>
      <c r="L34" s="19" t="n">
        <v>34907.82</v>
      </c>
      <c r="M34" s="19" t="n">
        <v>35061.25</v>
      </c>
      <c r="N34" s="19" t="n">
        <v>34827.27</v>
      </c>
      <c r="O34" s="19" t="n">
        <v>44487.69</v>
      </c>
      <c r="P34" s="19" t="n">
        <v>53569.86</v>
      </c>
      <c r="Q34" s="19" t="n">
        <v>45269.74</v>
      </c>
      <c r="R34" s="19" t="n">
        <v>50483.61</v>
      </c>
      <c r="S34" s="19" t="n">
        <v>48918.6</v>
      </c>
      <c r="T34" s="84" t="n">
        <v>46519.09</v>
      </c>
      <c r="U34" s="20" t="n">
        <v>43315.25</v>
      </c>
      <c r="V34" s="20" t="n">
        <v>38833.52</v>
      </c>
      <c r="W34" s="20" t="n">
        <v>41413.73</v>
      </c>
      <c r="X34" s="20" t="n">
        <v>43268.43</v>
      </c>
      <c r="Y34" s="20" t="n">
        <v>45285.75</v>
      </c>
      <c r="Z34" s="20" t="n">
        <v>47951.33</v>
      </c>
      <c r="AA34" s="20" t="n">
        <v>51055.88</v>
      </c>
      <c r="AB34" s="20" t="n">
        <v>40664.36</v>
      </c>
      <c r="AC34" s="20" t="n">
        <v>40625.33</v>
      </c>
      <c r="AD34" s="20" t="n">
        <v>34619.86</v>
      </c>
      <c r="AE34" s="20" t="n">
        <v>35938.11</v>
      </c>
      <c r="AF34" s="20" t="n">
        <v>42329.64</v>
      </c>
      <c r="AG34" s="20" t="n">
        <v>37828.54</v>
      </c>
      <c r="AH34" s="20" t="n">
        <v>34441.26</v>
      </c>
      <c r="AI34" s="20" t="n">
        <v>36324.13</v>
      </c>
      <c r="AJ34" s="20" t="n">
        <v>37477.66</v>
      </c>
      <c r="AK34" s="20" t="n">
        <v>39849.89</v>
      </c>
      <c r="AL34" s="20" t="n">
        <v>40707.25</v>
      </c>
      <c r="AM34" s="20" t="n">
        <v>44854.49</v>
      </c>
      <c r="AN34" s="20" t="n">
        <v>40664.36</v>
      </c>
      <c r="AO34" s="20" t="n">
        <v>40625.33</v>
      </c>
      <c r="AP34" s="20" t="n">
        <v>34619.86</v>
      </c>
      <c r="AQ34" s="20" t="n">
        <v>35938.11</v>
      </c>
      <c r="AR34" s="20" t="n">
        <v>42329.64</v>
      </c>
      <c r="AS34" s="20" t="n">
        <v>37828.54</v>
      </c>
      <c r="AT34" s="20" t="n">
        <v>34441.26</v>
      </c>
      <c r="AU34" s="20" t="n">
        <v>36324.13</v>
      </c>
      <c r="AV34" s="20" t="n">
        <v>37477.66</v>
      </c>
      <c r="AW34" s="20" t="n">
        <v>39849.89</v>
      </c>
      <c r="AX34" s="20" t="n">
        <v>40707.25</v>
      </c>
      <c r="AY34" s="20" t="n">
        <v>44854.49</v>
      </c>
    </row>
    <row r="35">
      <c r="B35" s="33" t="inlineStr">
        <is>
          <t xml:space="preserve">  602004 Payroll Taxes</t>
        </is>
      </c>
      <c r="D35" s="19" t="n">
        <v>5601.59</v>
      </c>
      <c r="E35" s="19" t="n">
        <v>4241.17</v>
      </c>
      <c r="F35" s="19" t="n">
        <v>4058.89</v>
      </c>
      <c r="G35" s="19" t="n">
        <v>3607.45</v>
      </c>
      <c r="H35" s="19" t="n">
        <v>3918.25</v>
      </c>
      <c r="I35" s="19" t="n">
        <v>3681.89</v>
      </c>
      <c r="J35" s="19" t="n">
        <v>3764.68</v>
      </c>
      <c r="K35" s="19" t="n">
        <v>4102.57</v>
      </c>
      <c r="L35" s="19" t="n">
        <v>3992.68</v>
      </c>
      <c r="M35" s="19" t="n">
        <v>3965.95</v>
      </c>
      <c r="N35" s="19" t="n">
        <v>4189.02</v>
      </c>
      <c r="O35" s="19" t="n">
        <v>4860.72</v>
      </c>
      <c r="P35" s="19" t="n">
        <v>8608.49</v>
      </c>
      <c r="Q35" s="19" t="n">
        <v>4671.71</v>
      </c>
      <c r="R35" s="19" t="n">
        <v>4875.87</v>
      </c>
      <c r="S35" s="19" t="n">
        <v>4083.91</v>
      </c>
      <c r="T35" s="84" t="n">
        <v>3866.81</v>
      </c>
      <c r="U35" s="20" t="n">
        <v>4859.37</v>
      </c>
      <c r="V35" s="20" t="n">
        <v>4356.58</v>
      </c>
      <c r="W35" s="20" t="n">
        <v>4646.05</v>
      </c>
      <c r="X35" s="20" t="n">
        <v>4854.12</v>
      </c>
      <c r="Y35" s="20" t="n">
        <v>5080.43</v>
      </c>
      <c r="Z35" s="20" t="n">
        <v>5379.47</v>
      </c>
      <c r="AA35" s="20" t="n">
        <v>5727.76</v>
      </c>
      <c r="AB35" s="20" t="n">
        <v>4561.98</v>
      </c>
      <c r="AC35" s="20" t="n">
        <v>4557.6</v>
      </c>
      <c r="AD35" s="20" t="n">
        <v>3883.87</v>
      </c>
      <c r="AE35" s="20" t="n">
        <v>4031.76</v>
      </c>
      <c r="AF35" s="20" t="n">
        <v>4748.8</v>
      </c>
      <c r="AG35" s="20" t="n">
        <v>4243.84</v>
      </c>
      <c r="AH35" s="20" t="n">
        <v>3863.83</v>
      </c>
      <c r="AI35" s="20" t="n">
        <v>4075.06</v>
      </c>
      <c r="AJ35" s="20" t="n">
        <v>4204.47</v>
      </c>
      <c r="AK35" s="20" t="n">
        <v>4470.6</v>
      </c>
      <c r="AL35" s="20" t="n">
        <v>4566.79</v>
      </c>
      <c r="AM35" s="20" t="n">
        <v>5032.05</v>
      </c>
      <c r="AN35" s="20" t="n">
        <v>4561.98</v>
      </c>
      <c r="AO35" s="20" t="n">
        <v>4557.6</v>
      </c>
      <c r="AP35" s="20" t="n">
        <v>3883.87</v>
      </c>
      <c r="AQ35" s="20" t="n">
        <v>4031.76</v>
      </c>
      <c r="AR35" s="20" t="n">
        <v>4748.8</v>
      </c>
      <c r="AS35" s="20" t="n">
        <v>4243.84</v>
      </c>
      <c r="AT35" s="20" t="n">
        <v>3863.83</v>
      </c>
      <c r="AU35" s="20" t="n">
        <v>4075.06</v>
      </c>
      <c r="AV35" s="20" t="n">
        <v>4204.47</v>
      </c>
      <c r="AW35" s="20" t="n">
        <v>4470.6</v>
      </c>
      <c r="AX35" s="20" t="n">
        <v>4566.79</v>
      </c>
      <c r="AY35" s="20" t="n">
        <v>5032.05</v>
      </c>
    </row>
    <row r="36">
      <c r="B36" s="33" t="inlineStr">
        <is>
          <t xml:space="preserve">  602005 Employee Benefits</t>
        </is>
      </c>
      <c r="D36" s="19" t="n">
        <v>1318.33</v>
      </c>
      <c r="E36" s="19" t="n">
        <v>1778.42</v>
      </c>
      <c r="F36" s="19" t="n">
        <v>7.8</v>
      </c>
      <c r="G36" s="19" t="n">
        <v>-899.08</v>
      </c>
      <c r="H36" s="19" t="n">
        <v>-1369.81</v>
      </c>
      <c r="I36" s="19" t="n">
        <v>319.78</v>
      </c>
      <c r="J36" s="19" t="n">
        <v>1066.69</v>
      </c>
      <c r="K36" s="19" t="n">
        <v>1575.46</v>
      </c>
      <c r="L36" s="19" t="n">
        <v>1590.26</v>
      </c>
      <c r="M36" s="19" t="n">
        <v>2472.71</v>
      </c>
      <c r="N36" s="19" t="n">
        <v>774.91</v>
      </c>
      <c r="O36" s="19" t="n">
        <v>281.72</v>
      </c>
      <c r="P36" s="19" t="n">
        <v>576.08</v>
      </c>
      <c r="Q36" s="19" t="n">
        <v>604.4299999999999</v>
      </c>
      <c r="R36" s="19" t="n">
        <v>788.96</v>
      </c>
      <c r="S36" s="19" t="n">
        <v>594.3200000000001</v>
      </c>
      <c r="T36" s="84" t="n">
        <v>505.23</v>
      </c>
      <c r="U36" s="20" t="n">
        <v>560.1799999999999</v>
      </c>
      <c r="V36" s="20" t="n">
        <v>502.22</v>
      </c>
      <c r="W36" s="20" t="n">
        <v>535.59</v>
      </c>
      <c r="X36" s="20" t="n">
        <v>559.58</v>
      </c>
      <c r="Y36" s="20" t="n">
        <v>585.66</v>
      </c>
      <c r="Z36" s="20" t="n">
        <v>620.14</v>
      </c>
      <c r="AA36" s="20" t="n">
        <v>660.29</v>
      </c>
      <c r="AB36" s="20" t="n">
        <v>525.9</v>
      </c>
      <c r="AC36" s="20" t="n">
        <v>525.39</v>
      </c>
      <c r="AD36" s="20" t="n">
        <v>447.73</v>
      </c>
      <c r="AE36" s="20" t="n">
        <v>464.77</v>
      </c>
      <c r="AF36" s="20" t="n">
        <v>547.4299999999999</v>
      </c>
      <c r="AG36" s="20" t="n">
        <v>489.22</v>
      </c>
      <c r="AH36" s="20" t="n">
        <v>445.42</v>
      </c>
      <c r="AI36" s="20" t="n">
        <v>469.77</v>
      </c>
      <c r="AJ36" s="20" t="n">
        <v>484.69</v>
      </c>
      <c r="AK36" s="20" t="n">
        <v>515.36</v>
      </c>
      <c r="AL36" s="20" t="n">
        <v>526.45</v>
      </c>
      <c r="AM36" s="20" t="n">
        <v>580.09</v>
      </c>
      <c r="AN36" s="20" t="n">
        <v>525.9</v>
      </c>
      <c r="AO36" s="20" t="n">
        <v>525.39</v>
      </c>
      <c r="AP36" s="20" t="n">
        <v>447.73</v>
      </c>
      <c r="AQ36" s="20" t="n">
        <v>464.77</v>
      </c>
      <c r="AR36" s="20" t="n">
        <v>547.4299999999999</v>
      </c>
      <c r="AS36" s="20" t="n">
        <v>489.22</v>
      </c>
      <c r="AT36" s="20" t="n">
        <v>445.42</v>
      </c>
      <c r="AU36" s="20" t="n">
        <v>469.77</v>
      </c>
      <c r="AV36" s="20" t="n">
        <v>484.69</v>
      </c>
      <c r="AW36" s="20" t="n">
        <v>515.36</v>
      </c>
      <c r="AX36" s="20" t="n">
        <v>526.45</v>
      </c>
      <c r="AY36" s="20" t="n">
        <v>580.09</v>
      </c>
    </row>
    <row r="37">
      <c r="B37" s="33" t="inlineStr">
        <is>
          <t xml:space="preserve">  602010 Payroll Processing Fees</t>
        </is>
      </c>
      <c r="D37" s="19" t="n">
        <v>862.9299999999999</v>
      </c>
      <c r="E37" s="19" t="n">
        <v>334.34</v>
      </c>
      <c r="F37" s="19" t="n">
        <v>331.49</v>
      </c>
      <c r="G37" s="19" t="n">
        <v>463.71</v>
      </c>
      <c r="H37" s="19" t="n">
        <v>345.74</v>
      </c>
      <c r="I37" s="19" t="n">
        <v>342.89</v>
      </c>
      <c r="J37" s="19" t="n">
        <v>342.89</v>
      </c>
      <c r="K37" s="19" t="n">
        <v>518.61</v>
      </c>
      <c r="L37" s="19" t="n">
        <v>351.44</v>
      </c>
      <c r="M37" s="19" t="n">
        <v>351.44</v>
      </c>
      <c r="N37" s="19" t="n">
        <v>357.14</v>
      </c>
      <c r="O37" s="19" t="n">
        <v>1458.02</v>
      </c>
      <c r="P37" s="19" t="n">
        <v>2263.63</v>
      </c>
      <c r="Q37" s="19" t="n">
        <v>2268.79</v>
      </c>
      <c r="R37" s="19" t="n">
        <v>3275.92</v>
      </c>
      <c r="S37" s="19" t="n">
        <v>2263.27</v>
      </c>
      <c r="T37" s="84" t="n">
        <v>2125.12</v>
      </c>
      <c r="U37" s="20" t="n">
        <v>2200.62</v>
      </c>
      <c r="V37" s="20" t="n">
        <v>1972.92</v>
      </c>
      <c r="W37" s="20" t="n">
        <v>2104.01</v>
      </c>
      <c r="X37" s="20" t="n">
        <v>2198.24</v>
      </c>
      <c r="Y37" s="20" t="n">
        <v>2300.73</v>
      </c>
      <c r="Z37" s="20" t="n">
        <v>2436.15</v>
      </c>
      <c r="AA37" s="20" t="n">
        <v>2593.88</v>
      </c>
      <c r="AB37" s="20" t="n">
        <v>2065.94</v>
      </c>
      <c r="AC37" s="20" t="n">
        <v>2063.96</v>
      </c>
      <c r="AD37" s="20" t="n">
        <v>1758.85</v>
      </c>
      <c r="AE37" s="20" t="n">
        <v>1825.82</v>
      </c>
      <c r="AF37" s="20" t="n">
        <v>2150.54</v>
      </c>
      <c r="AG37" s="20" t="n">
        <v>1921.87</v>
      </c>
      <c r="AH37" s="20" t="n">
        <v>1749.78</v>
      </c>
      <c r="AI37" s="20" t="n">
        <v>1845.44</v>
      </c>
      <c r="AJ37" s="20" t="n">
        <v>1904.04</v>
      </c>
      <c r="AK37" s="20" t="n">
        <v>2024.56</v>
      </c>
      <c r="AL37" s="20" t="n">
        <v>2068.12</v>
      </c>
      <c r="AM37" s="20" t="n">
        <v>2278.82</v>
      </c>
      <c r="AN37" s="20" t="n">
        <v>2065.94</v>
      </c>
      <c r="AO37" s="20" t="n">
        <v>2063.96</v>
      </c>
      <c r="AP37" s="20" t="n">
        <v>1758.85</v>
      </c>
      <c r="AQ37" s="20" t="n">
        <v>1825.82</v>
      </c>
      <c r="AR37" s="20" t="n">
        <v>2150.54</v>
      </c>
      <c r="AS37" s="20" t="n">
        <v>1921.87</v>
      </c>
      <c r="AT37" s="20" t="n">
        <v>1749.78</v>
      </c>
      <c r="AU37" s="20" t="n">
        <v>1845.44</v>
      </c>
      <c r="AV37" s="20" t="n">
        <v>1904.04</v>
      </c>
      <c r="AW37" s="20" t="n">
        <v>2024.56</v>
      </c>
      <c r="AX37" s="20" t="n">
        <v>2068.12</v>
      </c>
      <c r="AY37" s="20" t="n">
        <v>2278.82</v>
      </c>
    </row>
    <row r="38">
      <c r="B38" s="32" t="inlineStr">
        <is>
          <t>Total Payroll</t>
        </is>
      </c>
      <c r="C38" s="34" t="n"/>
      <c r="D38" s="35" t="n">
        <v>55306.44</v>
      </c>
      <c r="E38" s="35" t="n">
        <v>51485.18999999999</v>
      </c>
      <c r="F38" s="35" t="n">
        <v>56435.60000000001</v>
      </c>
      <c r="G38" s="35" t="n">
        <v>47706.41</v>
      </c>
      <c r="H38" s="35" t="n">
        <v>53233.19</v>
      </c>
      <c r="I38" s="35" t="n">
        <v>50750.47</v>
      </c>
      <c r="J38" s="35" t="n">
        <v>50784.82</v>
      </c>
      <c r="K38" s="35" t="n">
        <v>55687.65</v>
      </c>
      <c r="L38" s="35" t="n">
        <v>52430.8</v>
      </c>
      <c r="M38" s="35" t="n">
        <v>52739.82</v>
      </c>
      <c r="N38" s="35" t="n">
        <v>51997.08</v>
      </c>
      <c r="O38" s="35" t="n">
        <v>55295.41</v>
      </c>
      <c r="P38" s="35" t="n">
        <v>65018.06</v>
      </c>
      <c r="Q38" s="35" t="n">
        <v>52814.67</v>
      </c>
      <c r="R38" s="35" t="n">
        <v>59424.36</v>
      </c>
      <c r="S38" s="35" t="n">
        <v>55860.09999999999</v>
      </c>
      <c r="T38" s="85" t="n">
        <v>53016.25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789.62</v>
      </c>
      <c r="E39" s="19" t="n">
        <v>837.5</v>
      </c>
      <c r="F39" s="19" t="n">
        <v>595.3</v>
      </c>
      <c r="G39" s="19" t="n">
        <v>1222.24</v>
      </c>
      <c r="H39" s="19" t="n">
        <v>1287.99</v>
      </c>
      <c r="I39" s="19" t="n">
        <v>1042.77</v>
      </c>
      <c r="J39" s="19" t="n">
        <v>707.99</v>
      </c>
      <c r="K39" s="19" t="n">
        <v>1705.78</v>
      </c>
      <c r="L39" s="19" t="n">
        <v>626.99</v>
      </c>
      <c r="M39" s="19" t="n">
        <v>736.08</v>
      </c>
      <c r="N39" s="19" t="n">
        <v>831.09</v>
      </c>
      <c r="O39" s="19" t="n">
        <v>736.08</v>
      </c>
      <c r="P39" s="19" t="n">
        <v>790.53</v>
      </c>
      <c r="Q39" s="19" t="n">
        <v>1351.94</v>
      </c>
      <c r="R39" s="19" t="n">
        <v>737.08</v>
      </c>
      <c r="S39" s="19" t="n">
        <v>763.26</v>
      </c>
      <c r="T39" s="84" t="n">
        <v>762.26</v>
      </c>
      <c r="U39" s="20" t="n">
        <v>864.3099999999999</v>
      </c>
      <c r="V39" s="20" t="n">
        <v>864.3099999999999</v>
      </c>
      <c r="W39" s="20" t="n">
        <v>864.3099999999999</v>
      </c>
      <c r="X39" s="20" t="n">
        <v>864.3099999999999</v>
      </c>
      <c r="Y39" s="20" t="n">
        <v>864.3099999999999</v>
      </c>
      <c r="Z39" s="20" t="n">
        <v>864.3099999999999</v>
      </c>
      <c r="AA39" s="20" t="n">
        <v>864.3099999999999</v>
      </c>
      <c r="AB39" s="20" t="n">
        <v>864.3099999999999</v>
      </c>
      <c r="AC39" s="20" t="n">
        <v>864.3099999999999</v>
      </c>
      <c r="AD39" s="20" t="n">
        <v>864.3099999999999</v>
      </c>
      <c r="AE39" s="20" t="n">
        <v>864.3099999999999</v>
      </c>
      <c r="AF39" s="20" t="n">
        <v>864.3099999999999</v>
      </c>
      <c r="AG39" s="20" t="n">
        <v>864.3099999999999</v>
      </c>
      <c r="AH39" s="20" t="n">
        <v>864.3099999999999</v>
      </c>
      <c r="AI39" s="20" t="n">
        <v>864.3099999999999</v>
      </c>
      <c r="AJ39" s="20" t="n">
        <v>864.3099999999999</v>
      </c>
      <c r="AK39" s="20" t="n">
        <v>864.3099999999999</v>
      </c>
      <c r="AL39" s="20" t="n">
        <v>864.3099999999999</v>
      </c>
      <c r="AM39" s="20" t="n">
        <v>864.3099999999999</v>
      </c>
      <c r="AN39" s="20" t="n">
        <v>864.3099999999999</v>
      </c>
      <c r="AO39" s="20" t="n">
        <v>864.3099999999999</v>
      </c>
      <c r="AP39" s="20" t="n">
        <v>864.3099999999999</v>
      </c>
      <c r="AQ39" s="20" t="n">
        <v>864.3099999999999</v>
      </c>
      <c r="AR39" s="20" t="n">
        <v>864.3099999999999</v>
      </c>
      <c r="AS39" s="20" t="n">
        <v>864.3099999999999</v>
      </c>
      <c r="AT39" s="20" t="n">
        <v>864.3099999999999</v>
      </c>
      <c r="AU39" s="20" t="n">
        <v>864.3099999999999</v>
      </c>
      <c r="AV39" s="20" t="n">
        <v>864.3099999999999</v>
      </c>
      <c r="AW39" s="20" t="n">
        <v>864.3099999999999</v>
      </c>
      <c r="AX39" s="20" t="n">
        <v>864.3099999999999</v>
      </c>
      <c r="AY39" s="20" t="n">
        <v>864.3099999999999</v>
      </c>
    </row>
    <row r="40">
      <c r="B40" s="33" t="inlineStr">
        <is>
          <t xml:space="preserve">  608000 Insurance</t>
        </is>
      </c>
      <c r="D40" s="19" t="n">
        <v>239.07</v>
      </c>
      <c r="E40" s="19" t="n">
        <v>239.07</v>
      </c>
      <c r="F40" s="19" t="n">
        <v>239.07</v>
      </c>
      <c r="G40" s="19" t="n">
        <v>239.07</v>
      </c>
      <c r="H40" s="19" t="n">
        <v>239.07</v>
      </c>
      <c r="I40" s="19" t="n">
        <v>239.07</v>
      </c>
      <c r="J40" s="19" t="n">
        <v>239.07</v>
      </c>
      <c r="K40" s="19" t="n">
        <v>239.07</v>
      </c>
      <c r="L40" s="19" t="n">
        <v>239.07</v>
      </c>
      <c r="M40" s="19" t="n">
        <v>451.07</v>
      </c>
      <c r="N40" s="19" t="n">
        <v>451.07</v>
      </c>
      <c r="O40" s="19" t="n">
        <v>451.07</v>
      </c>
      <c r="P40" s="19" t="n">
        <v>94.62</v>
      </c>
      <c r="Q40" s="19" t="n">
        <v>94.62</v>
      </c>
      <c r="R40" s="19" t="n">
        <v>230.72</v>
      </c>
      <c r="S40" s="19" t="n">
        <v>230.72</v>
      </c>
      <c r="T40" s="84" t="n">
        <v>251.35</v>
      </c>
      <c r="U40" s="20" t="n">
        <v>154.38</v>
      </c>
      <c r="V40" s="20" t="n">
        <v>154.38</v>
      </c>
      <c r="W40" s="20" t="n">
        <v>154.38</v>
      </c>
      <c r="X40" s="20" t="n">
        <v>154.38</v>
      </c>
      <c r="Y40" s="20" t="n">
        <v>154.38</v>
      </c>
      <c r="Z40" s="20" t="n">
        <v>154.38</v>
      </c>
      <c r="AA40" s="20" t="n">
        <v>154.38</v>
      </c>
      <c r="AB40" s="20" t="n">
        <v>154.38</v>
      </c>
      <c r="AC40" s="20" t="n">
        <v>154.38</v>
      </c>
      <c r="AD40" s="20" t="n">
        <v>154.38</v>
      </c>
      <c r="AE40" s="20" t="n">
        <v>154.38</v>
      </c>
      <c r="AF40" s="20" t="n">
        <v>154.38</v>
      </c>
      <c r="AG40" s="20" t="n">
        <v>154.38</v>
      </c>
      <c r="AH40" s="20" t="n">
        <v>154.38</v>
      </c>
      <c r="AI40" s="20" t="n">
        <v>154.38</v>
      </c>
      <c r="AJ40" s="20" t="n">
        <v>154.38</v>
      </c>
      <c r="AK40" s="20" t="n">
        <v>154.38</v>
      </c>
      <c r="AL40" s="20" t="n">
        <v>154.38</v>
      </c>
      <c r="AM40" s="20" t="n">
        <v>154.38</v>
      </c>
      <c r="AN40" s="20" t="n">
        <v>154.38</v>
      </c>
      <c r="AO40" s="20" t="n">
        <v>154.38</v>
      </c>
      <c r="AP40" s="20" t="n">
        <v>154.38</v>
      </c>
      <c r="AQ40" s="20" t="n">
        <v>154.38</v>
      </c>
      <c r="AR40" s="20" t="n">
        <v>154.38</v>
      </c>
      <c r="AS40" s="20" t="n">
        <v>154.38</v>
      </c>
      <c r="AT40" s="20" t="n">
        <v>154.38</v>
      </c>
      <c r="AU40" s="20" t="n">
        <v>154.38</v>
      </c>
      <c r="AV40" s="20" t="n">
        <v>154.38</v>
      </c>
      <c r="AW40" s="20" t="n">
        <v>154.38</v>
      </c>
      <c r="AX40" s="20" t="n">
        <v>154.38</v>
      </c>
      <c r="AY40" s="20" t="n">
        <v>154.38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689.59</v>
      </c>
      <c r="Q41" s="19" t="n">
        <v>149.49</v>
      </c>
      <c r="R41" s="19" t="n">
        <v>768.45</v>
      </c>
      <c r="S41" s="19" t="n">
        <v>736.05</v>
      </c>
      <c r="T41" s="84" t="n">
        <v>0</v>
      </c>
      <c r="U41" s="20" t="n">
        <v>556.05</v>
      </c>
      <c r="V41" s="20" t="n">
        <v>556.05</v>
      </c>
      <c r="W41" s="20" t="n">
        <v>556.05</v>
      </c>
      <c r="X41" s="20" t="n">
        <v>556.05</v>
      </c>
      <c r="Y41" s="20" t="n">
        <v>556.05</v>
      </c>
      <c r="Z41" s="20" t="n">
        <v>556.05</v>
      </c>
      <c r="AA41" s="20" t="n">
        <v>556.05</v>
      </c>
      <c r="AB41" s="20" t="n">
        <v>556.05</v>
      </c>
      <c r="AC41" s="20" t="n">
        <v>556.05</v>
      </c>
      <c r="AD41" s="20" t="n">
        <v>556.05</v>
      </c>
      <c r="AE41" s="20" t="n">
        <v>556.05</v>
      </c>
      <c r="AF41" s="20" t="n">
        <v>556.05</v>
      </c>
      <c r="AG41" s="20" t="n">
        <v>556.05</v>
      </c>
      <c r="AH41" s="20" t="n">
        <v>556.05</v>
      </c>
      <c r="AI41" s="20" t="n">
        <v>556.05</v>
      </c>
      <c r="AJ41" s="20" t="n">
        <v>556.05</v>
      </c>
      <c r="AK41" s="20" t="n">
        <v>556.05</v>
      </c>
      <c r="AL41" s="20" t="n">
        <v>556.05</v>
      </c>
      <c r="AM41" s="20" t="n">
        <v>556.05</v>
      </c>
      <c r="AN41" s="20" t="n">
        <v>556.05</v>
      </c>
      <c r="AO41" s="20" t="n">
        <v>556.05</v>
      </c>
      <c r="AP41" s="20" t="n">
        <v>556.05</v>
      </c>
      <c r="AQ41" s="20" t="n">
        <v>556.05</v>
      </c>
      <c r="AR41" s="20" t="n">
        <v>556.05</v>
      </c>
      <c r="AS41" s="20" t="n">
        <v>556.05</v>
      </c>
      <c r="AT41" s="20" t="n">
        <v>556.05</v>
      </c>
      <c r="AU41" s="20" t="n">
        <v>556.05</v>
      </c>
      <c r="AV41" s="20" t="n">
        <v>556.05</v>
      </c>
      <c r="AW41" s="20" t="n">
        <v>556.05</v>
      </c>
      <c r="AX41" s="20" t="n">
        <v>556.05</v>
      </c>
      <c r="AY41" s="20" t="n">
        <v>556.05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143</v>
      </c>
      <c r="F44" s="19" t="n">
        <v>225.5</v>
      </c>
      <c r="G44" s="19" t="n">
        <v>45.5</v>
      </c>
      <c r="H44" s="19" t="n">
        <v>2095.5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0</v>
      </c>
      <c r="N44" s="19" t="n">
        <v>154.54</v>
      </c>
      <c r="O44" s="19" t="n">
        <v>101.6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0</v>
      </c>
      <c r="U44" s="20" t="n">
        <v>136.49</v>
      </c>
      <c r="V44" s="20" t="n">
        <v>136.49</v>
      </c>
      <c r="W44" s="20" t="n">
        <v>136.49</v>
      </c>
      <c r="X44" s="20" t="n">
        <v>136.49</v>
      </c>
      <c r="Y44" s="20" t="n">
        <v>136.49</v>
      </c>
      <c r="Z44" s="20" t="n">
        <v>136.49</v>
      </c>
      <c r="AA44" s="20" t="n">
        <v>136.49</v>
      </c>
      <c r="AB44" s="20" t="n">
        <v>136.49</v>
      </c>
      <c r="AC44" s="20" t="n">
        <v>136.49</v>
      </c>
      <c r="AD44" s="20" t="n">
        <v>136.49</v>
      </c>
      <c r="AE44" s="20" t="n">
        <v>136.49</v>
      </c>
      <c r="AF44" s="20" t="n">
        <v>136.49</v>
      </c>
      <c r="AG44" s="20" t="n">
        <v>136.49</v>
      </c>
      <c r="AH44" s="20" t="n">
        <v>136.49</v>
      </c>
      <c r="AI44" s="20" t="n">
        <v>136.49</v>
      </c>
      <c r="AJ44" s="20" t="n">
        <v>136.49</v>
      </c>
      <c r="AK44" s="20" t="n">
        <v>136.49</v>
      </c>
      <c r="AL44" s="20" t="n">
        <v>136.49</v>
      </c>
      <c r="AM44" s="20" t="n">
        <v>136.49</v>
      </c>
      <c r="AN44" s="20" t="n">
        <v>136.49</v>
      </c>
      <c r="AO44" s="20" t="n">
        <v>136.49</v>
      </c>
      <c r="AP44" s="20" t="n">
        <v>136.49</v>
      </c>
      <c r="AQ44" s="20" t="n">
        <v>136.49</v>
      </c>
      <c r="AR44" s="20" t="n">
        <v>136.49</v>
      </c>
      <c r="AS44" s="20" t="n">
        <v>136.49</v>
      </c>
      <c r="AT44" s="20" t="n">
        <v>136.49</v>
      </c>
      <c r="AU44" s="20" t="n">
        <v>136.49</v>
      </c>
      <c r="AV44" s="20" t="n">
        <v>136.49</v>
      </c>
      <c r="AW44" s="20" t="n">
        <v>136.49</v>
      </c>
      <c r="AX44" s="20" t="n">
        <v>136.49</v>
      </c>
      <c r="AY44" s="20" t="n">
        <v>136.49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0</v>
      </c>
      <c r="G45" s="19" t="n">
        <v>75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497.2</v>
      </c>
      <c r="P46" s="19" t="n">
        <v>517</v>
      </c>
      <c r="Q46" s="19" t="n">
        <v>517</v>
      </c>
      <c r="R46" s="19" t="n">
        <v>517</v>
      </c>
      <c r="S46" s="19" t="n">
        <v>517</v>
      </c>
      <c r="T46" s="84" t="n">
        <v>517</v>
      </c>
      <c r="U46" s="20" t="n">
        <v>380.51</v>
      </c>
      <c r="V46" s="20" t="n">
        <v>380.51</v>
      </c>
      <c r="W46" s="20" t="n">
        <v>380.51</v>
      </c>
      <c r="X46" s="20" t="n">
        <v>380.51</v>
      </c>
      <c r="Y46" s="20" t="n">
        <v>380.51</v>
      </c>
      <c r="Z46" s="20" t="n">
        <v>380.51</v>
      </c>
      <c r="AA46" s="20" t="n">
        <v>380.51</v>
      </c>
      <c r="AB46" s="20" t="n">
        <v>380.51</v>
      </c>
      <c r="AC46" s="20" t="n">
        <v>380.51</v>
      </c>
      <c r="AD46" s="20" t="n">
        <v>380.51</v>
      </c>
      <c r="AE46" s="20" t="n">
        <v>380.51</v>
      </c>
      <c r="AF46" s="20" t="n">
        <v>380.51</v>
      </c>
      <c r="AG46" s="20" t="n">
        <v>380.51</v>
      </c>
      <c r="AH46" s="20" t="n">
        <v>380.51</v>
      </c>
      <c r="AI46" s="20" t="n">
        <v>380.51</v>
      </c>
      <c r="AJ46" s="20" t="n">
        <v>380.51</v>
      </c>
      <c r="AK46" s="20" t="n">
        <v>380.51</v>
      </c>
      <c r="AL46" s="20" t="n">
        <v>380.51</v>
      </c>
      <c r="AM46" s="20" t="n">
        <v>380.51</v>
      </c>
      <c r="AN46" s="20" t="n">
        <v>380.51</v>
      </c>
      <c r="AO46" s="20" t="n">
        <v>380.51</v>
      </c>
      <c r="AP46" s="20" t="n">
        <v>380.51</v>
      </c>
      <c r="AQ46" s="20" t="n">
        <v>380.51</v>
      </c>
      <c r="AR46" s="20" t="n">
        <v>380.51</v>
      </c>
      <c r="AS46" s="20" t="n">
        <v>380.51</v>
      </c>
      <c r="AT46" s="20" t="n">
        <v>380.51</v>
      </c>
      <c r="AU46" s="20" t="n">
        <v>380.51</v>
      </c>
      <c r="AV46" s="20" t="n">
        <v>380.51</v>
      </c>
      <c r="AW46" s="20" t="n">
        <v>380.51</v>
      </c>
      <c r="AX46" s="20" t="n">
        <v>380.51</v>
      </c>
      <c r="AY46" s="20" t="n">
        <v>380.51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143</v>
      </c>
      <c r="F47" s="35" t="n">
        <v>445.5</v>
      </c>
      <c r="G47" s="35" t="n">
        <v>120.5</v>
      </c>
      <c r="H47" s="35" t="n">
        <v>2095.5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481</v>
      </c>
      <c r="N47" s="35" t="n">
        <v>635.54</v>
      </c>
      <c r="O47" s="35" t="n">
        <v>598.8</v>
      </c>
      <c r="P47" s="35" t="n">
        <v>517</v>
      </c>
      <c r="Q47" s="35" t="n">
        <v>818.8199999999999</v>
      </c>
      <c r="R47" s="35" t="n">
        <v>957</v>
      </c>
      <c r="S47" s="35" t="n">
        <v>517</v>
      </c>
      <c r="T47" s="85" t="n">
        <v>517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17.1</v>
      </c>
      <c r="Q48" s="19" t="n">
        <v>34</v>
      </c>
      <c r="R48" s="19" t="n">
        <v>6.02</v>
      </c>
      <c r="S48" s="19" t="n">
        <v>12.53</v>
      </c>
      <c r="T48" s="84" t="n">
        <v>0</v>
      </c>
      <c r="U48" s="20" t="n">
        <v>21.44</v>
      </c>
      <c r="V48" s="20" t="n">
        <v>21.44</v>
      </c>
      <c r="W48" s="20" t="n">
        <v>21.44</v>
      </c>
      <c r="X48" s="20" t="n">
        <v>21.44</v>
      </c>
      <c r="Y48" s="20" t="n">
        <v>21.44</v>
      </c>
      <c r="Z48" s="20" t="n">
        <v>21.44</v>
      </c>
      <c r="AA48" s="20" t="n">
        <v>21.44</v>
      </c>
      <c r="AB48" s="20" t="n">
        <v>21.44</v>
      </c>
      <c r="AC48" s="20" t="n">
        <v>21.44</v>
      </c>
      <c r="AD48" s="20" t="n">
        <v>21.44</v>
      </c>
      <c r="AE48" s="20" t="n">
        <v>21.44</v>
      </c>
      <c r="AF48" s="20" t="n">
        <v>21.44</v>
      </c>
      <c r="AG48" s="20" t="n">
        <v>21.44</v>
      </c>
      <c r="AH48" s="20" t="n">
        <v>21.44</v>
      </c>
      <c r="AI48" s="20" t="n">
        <v>21.44</v>
      </c>
      <c r="AJ48" s="20" t="n">
        <v>21.44</v>
      </c>
      <c r="AK48" s="20" t="n">
        <v>21.44</v>
      </c>
      <c r="AL48" s="20" t="n">
        <v>21.44</v>
      </c>
      <c r="AM48" s="20" t="n">
        <v>21.44</v>
      </c>
      <c r="AN48" s="20" t="n">
        <v>21.44</v>
      </c>
      <c r="AO48" s="20" t="n">
        <v>21.44</v>
      </c>
      <c r="AP48" s="20" t="n">
        <v>21.44</v>
      </c>
      <c r="AQ48" s="20" t="n">
        <v>21.44</v>
      </c>
      <c r="AR48" s="20" t="n">
        <v>21.44</v>
      </c>
      <c r="AS48" s="20" t="n">
        <v>21.44</v>
      </c>
      <c r="AT48" s="20" t="n">
        <v>21.44</v>
      </c>
      <c r="AU48" s="20" t="n">
        <v>21.44</v>
      </c>
      <c r="AV48" s="20" t="n">
        <v>21.44</v>
      </c>
      <c r="AW48" s="20" t="n">
        <v>21.44</v>
      </c>
      <c r="AX48" s="20" t="n">
        <v>21.44</v>
      </c>
      <c r="AY48" s="20" t="n">
        <v>21.44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93.28</v>
      </c>
      <c r="G49" s="19" t="n">
        <v>96.02</v>
      </c>
      <c r="H49" s="19" t="n">
        <v>0</v>
      </c>
      <c r="I49" s="19" t="n">
        <v>17.77</v>
      </c>
      <c r="J49" s="19" t="n">
        <v>0</v>
      </c>
      <c r="K49" s="19" t="n">
        <v>114.05</v>
      </c>
      <c r="L49" s="19" t="n">
        <v>280.75</v>
      </c>
      <c r="M49" s="19" t="n">
        <v>72.09</v>
      </c>
      <c r="N49" s="19" t="n">
        <v>357.66</v>
      </c>
      <c r="O49" s="19" t="n">
        <v>224.29</v>
      </c>
      <c r="P49" s="19" t="n">
        <v>122.32</v>
      </c>
      <c r="Q49" s="19" t="n">
        <v>90.59</v>
      </c>
      <c r="R49" s="19" t="n">
        <v>78.12</v>
      </c>
      <c r="S49" s="19" t="n">
        <v>92.19</v>
      </c>
      <c r="T49" s="84" t="n">
        <v>0</v>
      </c>
      <c r="U49" s="20" t="n">
        <v>117.98</v>
      </c>
      <c r="V49" s="20" t="n">
        <v>117.98</v>
      </c>
      <c r="W49" s="20" t="n">
        <v>117.98</v>
      </c>
      <c r="X49" s="20" t="n">
        <v>117.98</v>
      </c>
      <c r="Y49" s="20" t="n">
        <v>117.98</v>
      </c>
      <c r="Z49" s="20" t="n">
        <v>117.98</v>
      </c>
      <c r="AA49" s="20" t="n">
        <v>117.98</v>
      </c>
      <c r="AB49" s="20" t="n">
        <v>117.98</v>
      </c>
      <c r="AC49" s="20" t="n">
        <v>117.98</v>
      </c>
      <c r="AD49" s="20" t="n">
        <v>117.98</v>
      </c>
      <c r="AE49" s="20" t="n">
        <v>117.98</v>
      </c>
      <c r="AF49" s="20" t="n">
        <v>117.98</v>
      </c>
      <c r="AG49" s="20" t="n">
        <v>117.98</v>
      </c>
      <c r="AH49" s="20" t="n">
        <v>117.98</v>
      </c>
      <c r="AI49" s="20" t="n">
        <v>117.98</v>
      </c>
      <c r="AJ49" s="20" t="n">
        <v>117.98</v>
      </c>
      <c r="AK49" s="20" t="n">
        <v>117.98</v>
      </c>
      <c r="AL49" s="20" t="n">
        <v>117.98</v>
      </c>
      <c r="AM49" s="20" t="n">
        <v>117.98</v>
      </c>
      <c r="AN49" s="20" t="n">
        <v>117.98</v>
      </c>
      <c r="AO49" s="20" t="n">
        <v>117.98</v>
      </c>
      <c r="AP49" s="20" t="n">
        <v>117.98</v>
      </c>
      <c r="AQ49" s="20" t="n">
        <v>117.98</v>
      </c>
      <c r="AR49" s="20" t="n">
        <v>117.98</v>
      </c>
      <c r="AS49" s="20" t="n">
        <v>117.98</v>
      </c>
      <c r="AT49" s="20" t="n">
        <v>117.98</v>
      </c>
      <c r="AU49" s="20" t="n">
        <v>117.98</v>
      </c>
      <c r="AV49" s="20" t="n">
        <v>117.98</v>
      </c>
      <c r="AW49" s="20" t="n">
        <v>117.98</v>
      </c>
      <c r="AX49" s="20" t="n">
        <v>117.98</v>
      </c>
      <c r="AY49" s="20" t="n">
        <v>117.98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212.35</v>
      </c>
      <c r="Q52" s="19" t="n">
        <v>212.35</v>
      </c>
      <c r="R52" s="19" t="n">
        <v>212.35</v>
      </c>
      <c r="S52" s="19" t="n">
        <v>212.35</v>
      </c>
      <c r="T52" s="84" t="n">
        <v>0</v>
      </c>
      <c r="U52" s="20" t="n">
        <v>70.31999999999999</v>
      </c>
      <c r="V52" s="20" t="n">
        <v>70.31999999999999</v>
      </c>
      <c r="W52" s="20" t="n">
        <v>70.31999999999999</v>
      </c>
      <c r="X52" s="20" t="n">
        <v>70.31999999999999</v>
      </c>
      <c r="Y52" s="20" t="n">
        <v>70.31999999999999</v>
      </c>
      <c r="Z52" s="20" t="n">
        <v>70.31999999999999</v>
      </c>
      <c r="AA52" s="20" t="n">
        <v>70.31999999999999</v>
      </c>
      <c r="AB52" s="20" t="n">
        <v>70.31999999999999</v>
      </c>
      <c r="AC52" s="20" t="n">
        <v>70.31999999999999</v>
      </c>
      <c r="AD52" s="20" t="n">
        <v>70.31999999999999</v>
      </c>
      <c r="AE52" s="20" t="n">
        <v>70.31999999999999</v>
      </c>
      <c r="AF52" s="20" t="n">
        <v>70.31999999999999</v>
      </c>
      <c r="AG52" s="20" t="n">
        <v>70.31999999999999</v>
      </c>
      <c r="AH52" s="20" t="n">
        <v>70.31999999999999</v>
      </c>
      <c r="AI52" s="20" t="n">
        <v>70.31999999999999</v>
      </c>
      <c r="AJ52" s="20" t="n">
        <v>70.31999999999999</v>
      </c>
      <c r="AK52" s="20" t="n">
        <v>70.31999999999999</v>
      </c>
      <c r="AL52" s="20" t="n">
        <v>70.31999999999999</v>
      </c>
      <c r="AM52" s="20" t="n">
        <v>70.31999999999999</v>
      </c>
      <c r="AN52" s="20" t="n">
        <v>70.31999999999999</v>
      </c>
      <c r="AO52" s="20" t="n">
        <v>70.31999999999999</v>
      </c>
      <c r="AP52" s="20" t="n">
        <v>70.31999999999999</v>
      </c>
      <c r="AQ52" s="20" t="n">
        <v>70.31999999999999</v>
      </c>
      <c r="AR52" s="20" t="n">
        <v>70.31999999999999</v>
      </c>
      <c r="AS52" s="20" t="n">
        <v>70.31999999999999</v>
      </c>
      <c r="AT52" s="20" t="n">
        <v>70.31999999999999</v>
      </c>
      <c r="AU52" s="20" t="n">
        <v>70.31999999999999</v>
      </c>
      <c r="AV52" s="20" t="n">
        <v>70.31999999999999</v>
      </c>
      <c r="AW52" s="20" t="n">
        <v>70.31999999999999</v>
      </c>
      <c r="AX52" s="20" t="n">
        <v>70.31999999999999</v>
      </c>
      <c r="AY52" s="20" t="n">
        <v>70.31999999999999</v>
      </c>
    </row>
    <row r="53">
      <c r="B53" s="33" t="inlineStr">
        <is>
          <t xml:space="preserve">  616003 Phone service</t>
        </is>
      </c>
      <c r="D53" s="19" t="n">
        <v>107.21</v>
      </c>
      <c r="E53" s="19" t="n">
        <v>107.34</v>
      </c>
      <c r="F53" s="19" t="n">
        <v>107.34</v>
      </c>
      <c r="G53" s="19" t="n">
        <v>107.34</v>
      </c>
      <c r="H53" s="19" t="n">
        <v>107.12</v>
      </c>
      <c r="I53" s="19" t="n">
        <v>192.37</v>
      </c>
      <c r="J53" s="19" t="n">
        <v>107.12</v>
      </c>
      <c r="K53" s="19" t="n">
        <v>107.12</v>
      </c>
      <c r="L53" s="19" t="n">
        <v>107.12</v>
      </c>
      <c r="M53" s="19" t="n">
        <v>109.65</v>
      </c>
      <c r="N53" s="19" t="n">
        <v>109.7</v>
      </c>
      <c r="O53" s="19" t="n">
        <v>116.73</v>
      </c>
      <c r="P53" s="19" t="n">
        <v>116.81</v>
      </c>
      <c r="Q53" s="19" t="n">
        <v>2776.16</v>
      </c>
      <c r="R53" s="19" t="n">
        <v>116.75</v>
      </c>
      <c r="S53" s="19" t="n">
        <v>116.75</v>
      </c>
      <c r="T53" s="84" t="n">
        <v>116.73</v>
      </c>
      <c r="U53" s="20" t="n">
        <v>258.84</v>
      </c>
      <c r="V53" s="20" t="n">
        <v>258.84</v>
      </c>
      <c r="W53" s="20" t="n">
        <v>258.84</v>
      </c>
      <c r="X53" s="20" t="n">
        <v>258.84</v>
      </c>
      <c r="Y53" s="20" t="n">
        <v>258.84</v>
      </c>
      <c r="Z53" s="20" t="n">
        <v>258.84</v>
      </c>
      <c r="AA53" s="20" t="n">
        <v>258.84</v>
      </c>
      <c r="AB53" s="20" t="n">
        <v>258.84</v>
      </c>
      <c r="AC53" s="20" t="n">
        <v>258.84</v>
      </c>
      <c r="AD53" s="20" t="n">
        <v>258.84</v>
      </c>
      <c r="AE53" s="20" t="n">
        <v>258.84</v>
      </c>
      <c r="AF53" s="20" t="n">
        <v>258.84</v>
      </c>
      <c r="AG53" s="20" t="n">
        <v>258.84</v>
      </c>
      <c r="AH53" s="20" t="n">
        <v>258.84</v>
      </c>
      <c r="AI53" s="20" t="n">
        <v>258.84</v>
      </c>
      <c r="AJ53" s="20" t="n">
        <v>258.84</v>
      </c>
      <c r="AK53" s="20" t="n">
        <v>258.84</v>
      </c>
      <c r="AL53" s="20" t="n">
        <v>258.84</v>
      </c>
      <c r="AM53" s="20" t="n">
        <v>258.84</v>
      </c>
      <c r="AN53" s="20" t="n">
        <v>258.84</v>
      </c>
      <c r="AO53" s="20" t="n">
        <v>258.84</v>
      </c>
      <c r="AP53" s="20" t="n">
        <v>258.84</v>
      </c>
      <c r="AQ53" s="20" t="n">
        <v>258.84</v>
      </c>
      <c r="AR53" s="20" t="n">
        <v>258.84</v>
      </c>
      <c r="AS53" s="20" t="n">
        <v>258.84</v>
      </c>
      <c r="AT53" s="20" t="n">
        <v>258.84</v>
      </c>
      <c r="AU53" s="20" t="n">
        <v>258.84</v>
      </c>
      <c r="AV53" s="20" t="n">
        <v>258.84</v>
      </c>
      <c r="AW53" s="20" t="n">
        <v>258.84</v>
      </c>
      <c r="AX53" s="20" t="n">
        <v>258.84</v>
      </c>
      <c r="AY53" s="20" t="n">
        <v>258.84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107.21</v>
      </c>
      <c r="E56" s="35" t="n">
        <v>107.34</v>
      </c>
      <c r="F56" s="35" t="n">
        <v>107.34</v>
      </c>
      <c r="G56" s="35" t="n">
        <v>107.34</v>
      </c>
      <c r="H56" s="35" t="n">
        <v>107.12</v>
      </c>
      <c r="I56" s="35" t="n">
        <v>192.37</v>
      </c>
      <c r="J56" s="35" t="n">
        <v>107.12</v>
      </c>
      <c r="K56" s="35" t="n">
        <v>107.12</v>
      </c>
      <c r="L56" s="35" t="n">
        <v>107.12</v>
      </c>
      <c r="M56" s="35" t="n">
        <v>109.65</v>
      </c>
      <c r="N56" s="35" t="n">
        <v>109.7</v>
      </c>
      <c r="O56" s="35" t="n">
        <v>116.73</v>
      </c>
      <c r="P56" s="35" t="n">
        <v>329.16</v>
      </c>
      <c r="Q56" s="35" t="n">
        <v>2988.51</v>
      </c>
      <c r="R56" s="35" t="n">
        <v>329.1</v>
      </c>
      <c r="S56" s="35" t="n">
        <v>329.1</v>
      </c>
      <c r="T56" s="85" t="n">
        <v>329.08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6916.2</v>
      </c>
      <c r="E57" s="19" t="n">
        <v>6916.2</v>
      </c>
      <c r="F57" s="19" t="n">
        <v>6916.2</v>
      </c>
      <c r="G57" s="19" t="n">
        <v>6916.2</v>
      </c>
      <c r="H57" s="19" t="n">
        <v>6916.2</v>
      </c>
      <c r="I57" s="19" t="n">
        <v>6916.2</v>
      </c>
      <c r="J57" s="19" t="n">
        <v>6916.2</v>
      </c>
      <c r="K57" s="19" t="n">
        <v>6916.2</v>
      </c>
      <c r="L57" s="19" t="n">
        <v>6916.2</v>
      </c>
      <c r="M57" s="19" t="n">
        <v>6916.2</v>
      </c>
      <c r="N57" s="19" t="n">
        <v>6916.2</v>
      </c>
      <c r="O57" s="19" t="n">
        <v>6916.2</v>
      </c>
      <c r="P57" s="19" t="n">
        <v>6916.2</v>
      </c>
      <c r="Q57" s="19" t="n">
        <v>6916.2</v>
      </c>
      <c r="R57" s="19" t="n">
        <v>6916.2</v>
      </c>
      <c r="S57" s="19" t="n">
        <v>6916.2</v>
      </c>
      <c r="T57" s="84" t="n">
        <v>6916.2</v>
      </c>
      <c r="U57" s="20" t="n">
        <v>7077.57</v>
      </c>
      <c r="V57" s="20" t="n">
        <v>7077.57</v>
      </c>
      <c r="W57" s="20" t="n">
        <v>7077.57</v>
      </c>
      <c r="X57" s="20" t="n">
        <v>7077.57</v>
      </c>
      <c r="Y57" s="20" t="n">
        <v>7077.57</v>
      </c>
      <c r="Z57" s="20" t="n">
        <v>7077.57</v>
      </c>
      <c r="AA57" s="20" t="n">
        <v>7077.57</v>
      </c>
      <c r="AB57" s="20" t="n">
        <v>7077.57</v>
      </c>
      <c r="AC57" s="20" t="n">
        <v>7077.57</v>
      </c>
      <c r="AD57" s="20" t="n">
        <v>7077.57</v>
      </c>
      <c r="AE57" s="20" t="n">
        <v>7077.57</v>
      </c>
      <c r="AF57" s="20" t="n">
        <v>7077.57</v>
      </c>
      <c r="AG57" s="20" t="n">
        <v>7077.57</v>
      </c>
      <c r="AH57" s="20" t="n">
        <v>7077.57</v>
      </c>
      <c r="AI57" s="20" t="n">
        <v>7077.57</v>
      </c>
      <c r="AJ57" s="20" t="n">
        <v>7077.57</v>
      </c>
      <c r="AK57" s="20" t="n">
        <v>7077.57</v>
      </c>
      <c r="AL57" s="20" t="n">
        <v>7077.57</v>
      </c>
      <c r="AM57" s="20" t="n">
        <v>7077.57</v>
      </c>
      <c r="AN57" s="20" t="n">
        <v>7077.57</v>
      </c>
      <c r="AO57" s="20" t="n">
        <v>7077.57</v>
      </c>
      <c r="AP57" s="20" t="n">
        <v>7077.57</v>
      </c>
      <c r="AQ57" s="20" t="n">
        <v>7077.57</v>
      </c>
      <c r="AR57" s="20" t="n">
        <v>7077.57</v>
      </c>
      <c r="AS57" s="20" t="n">
        <v>7077.57</v>
      </c>
      <c r="AT57" s="20" t="n">
        <v>7077.57</v>
      </c>
      <c r="AU57" s="20" t="n">
        <v>7077.57</v>
      </c>
      <c r="AV57" s="20" t="n">
        <v>7077.57</v>
      </c>
      <c r="AW57" s="20" t="n">
        <v>7077.57</v>
      </c>
      <c r="AX57" s="20" t="n">
        <v>7077.57</v>
      </c>
      <c r="AY57" s="20" t="n">
        <v>7077.57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31.99</v>
      </c>
      <c r="G58" s="19" t="n">
        <v>31.99</v>
      </c>
      <c r="H58" s="19" t="n">
        <v>31.99</v>
      </c>
      <c r="I58" s="19" t="n">
        <v>31.99</v>
      </c>
      <c r="J58" s="19" t="n">
        <v>31.99</v>
      </c>
      <c r="K58" s="19" t="n">
        <v>31.99</v>
      </c>
      <c r="L58" s="19" t="n">
        <v>31.99</v>
      </c>
      <c r="M58" s="19" t="n">
        <v>31.99</v>
      </c>
      <c r="N58" s="19" t="n">
        <v>31.99</v>
      </c>
      <c r="O58" s="19" t="n">
        <v>34.99</v>
      </c>
      <c r="P58" s="19" t="n">
        <v>34.99</v>
      </c>
      <c r="Q58" s="19" t="n">
        <v>34.99</v>
      </c>
      <c r="R58" s="19" t="n">
        <v>34.99</v>
      </c>
      <c r="S58" s="19" t="n">
        <v>34.99</v>
      </c>
      <c r="T58" s="84" t="n">
        <v>34.99</v>
      </c>
      <c r="U58" s="20" t="n">
        <v>35.81</v>
      </c>
      <c r="V58" s="20" t="n">
        <v>35.81</v>
      </c>
      <c r="W58" s="20" t="n">
        <v>35.81</v>
      </c>
      <c r="X58" s="20" t="n">
        <v>35.81</v>
      </c>
      <c r="Y58" s="20" t="n">
        <v>35.81</v>
      </c>
      <c r="Z58" s="20" t="n">
        <v>35.81</v>
      </c>
      <c r="AA58" s="20" t="n">
        <v>35.81</v>
      </c>
      <c r="AB58" s="20" t="n">
        <v>35.81</v>
      </c>
      <c r="AC58" s="20" t="n">
        <v>35.81</v>
      </c>
      <c r="AD58" s="20" t="n">
        <v>35.81</v>
      </c>
      <c r="AE58" s="20" t="n">
        <v>35.81</v>
      </c>
      <c r="AF58" s="20" t="n">
        <v>35.81</v>
      </c>
      <c r="AG58" s="20" t="n">
        <v>35.81</v>
      </c>
      <c r="AH58" s="20" t="n">
        <v>35.81</v>
      </c>
      <c r="AI58" s="20" t="n">
        <v>35.81</v>
      </c>
      <c r="AJ58" s="20" t="n">
        <v>35.81</v>
      </c>
      <c r="AK58" s="20" t="n">
        <v>35.81</v>
      </c>
      <c r="AL58" s="20" t="n">
        <v>35.81</v>
      </c>
      <c r="AM58" s="20" t="n">
        <v>35.81</v>
      </c>
      <c r="AN58" s="20" t="n">
        <v>35.81</v>
      </c>
      <c r="AO58" s="20" t="n">
        <v>35.81</v>
      </c>
      <c r="AP58" s="20" t="n">
        <v>35.81</v>
      </c>
      <c r="AQ58" s="20" t="n">
        <v>35.81</v>
      </c>
      <c r="AR58" s="20" t="n">
        <v>35.81</v>
      </c>
      <c r="AS58" s="20" t="n">
        <v>35.81</v>
      </c>
      <c r="AT58" s="20" t="n">
        <v>35.81</v>
      </c>
      <c r="AU58" s="20" t="n">
        <v>35.81</v>
      </c>
      <c r="AV58" s="20" t="n">
        <v>35.81</v>
      </c>
      <c r="AW58" s="20" t="n">
        <v>35.81</v>
      </c>
      <c r="AX58" s="20" t="n">
        <v>35.81</v>
      </c>
      <c r="AY58" s="20" t="n">
        <v>35.81</v>
      </c>
    </row>
    <row r="59">
      <c r="B59" s="33" t="inlineStr">
        <is>
          <t xml:space="preserve">  703000 Cleaning</t>
        </is>
      </c>
      <c r="D59" s="19" t="n">
        <v>98.68000000000001</v>
      </c>
      <c r="E59" s="19" t="n">
        <v>0</v>
      </c>
      <c r="F59" s="19" t="n">
        <v>0</v>
      </c>
      <c r="G59" s="19" t="n">
        <v>0</v>
      </c>
      <c r="H59" s="19" t="n">
        <v>155.45</v>
      </c>
      <c r="I59" s="19" t="n">
        <v>122.39</v>
      </c>
      <c r="J59" s="19" t="n">
        <v>418.3</v>
      </c>
      <c r="K59" s="19" t="n">
        <v>93.40000000000001</v>
      </c>
      <c r="L59" s="19" t="n">
        <v>83.79000000000001</v>
      </c>
      <c r="M59" s="19" t="n">
        <v>199.79</v>
      </c>
      <c r="N59" s="19" t="n">
        <v>913.28</v>
      </c>
      <c r="O59" s="19" t="n">
        <v>223.88</v>
      </c>
      <c r="P59" s="19" t="n">
        <v>732.99</v>
      </c>
      <c r="Q59" s="19" t="n">
        <v>198.34</v>
      </c>
      <c r="R59" s="19" t="n">
        <v>743.55</v>
      </c>
      <c r="S59" s="19" t="n">
        <v>346.55</v>
      </c>
      <c r="T59" s="84" t="n">
        <v>246.89</v>
      </c>
      <c r="U59" s="20" t="n">
        <v>517.15</v>
      </c>
      <c r="V59" s="20" t="n">
        <v>517.15</v>
      </c>
      <c r="W59" s="20" t="n">
        <v>517.15</v>
      </c>
      <c r="X59" s="20" t="n">
        <v>517.15</v>
      </c>
      <c r="Y59" s="20" t="n">
        <v>517.15</v>
      </c>
      <c r="Z59" s="20" t="n">
        <v>517.15</v>
      </c>
      <c r="AA59" s="20" t="n">
        <v>517.15</v>
      </c>
      <c r="AB59" s="20" t="n">
        <v>517.15</v>
      </c>
      <c r="AC59" s="20" t="n">
        <v>517.15</v>
      </c>
      <c r="AD59" s="20" t="n">
        <v>517.15</v>
      </c>
      <c r="AE59" s="20" t="n">
        <v>517.15</v>
      </c>
      <c r="AF59" s="20" t="n">
        <v>517.15</v>
      </c>
      <c r="AG59" s="20" t="n">
        <v>517.15</v>
      </c>
      <c r="AH59" s="20" t="n">
        <v>517.15</v>
      </c>
      <c r="AI59" s="20" t="n">
        <v>517.15</v>
      </c>
      <c r="AJ59" s="20" t="n">
        <v>517.15</v>
      </c>
      <c r="AK59" s="20" t="n">
        <v>517.15</v>
      </c>
      <c r="AL59" s="20" t="n">
        <v>517.15</v>
      </c>
      <c r="AM59" s="20" t="n">
        <v>517.15</v>
      </c>
      <c r="AN59" s="20" t="n">
        <v>517.15</v>
      </c>
      <c r="AO59" s="20" t="n">
        <v>517.15</v>
      </c>
      <c r="AP59" s="20" t="n">
        <v>517.15</v>
      </c>
      <c r="AQ59" s="20" t="n">
        <v>517.15</v>
      </c>
      <c r="AR59" s="20" t="n">
        <v>517.15</v>
      </c>
      <c r="AS59" s="20" t="n">
        <v>517.15</v>
      </c>
      <c r="AT59" s="20" t="n">
        <v>517.15</v>
      </c>
      <c r="AU59" s="20" t="n">
        <v>517.15</v>
      </c>
      <c r="AV59" s="20" t="n">
        <v>517.15</v>
      </c>
      <c r="AW59" s="20" t="n">
        <v>517.15</v>
      </c>
      <c r="AX59" s="20" t="n">
        <v>517.15</v>
      </c>
      <c r="AY59" s="20" t="n">
        <v>517.15</v>
      </c>
    </row>
    <row r="60">
      <c r="B60" s="33" t="inlineStr">
        <is>
          <t xml:space="preserve">  705000 Property Maintenance</t>
        </is>
      </c>
      <c r="D60" s="19" t="n">
        <v>7602.49</v>
      </c>
      <c r="E60" s="19" t="n">
        <v>1203.41</v>
      </c>
      <c r="F60" s="19" t="n">
        <v>1203.41</v>
      </c>
      <c r="G60" s="19" t="n">
        <v>1203.41</v>
      </c>
      <c r="H60" s="19" t="n">
        <v>1203.41</v>
      </c>
      <c r="I60" s="19" t="n">
        <v>1203.41</v>
      </c>
      <c r="J60" s="19" t="n">
        <v>1203.41</v>
      </c>
      <c r="K60" s="19" t="n">
        <v>1203.41</v>
      </c>
      <c r="L60" s="19" t="n">
        <v>1203.41</v>
      </c>
      <c r="M60" s="19" t="n">
        <v>1203.41</v>
      </c>
      <c r="N60" s="19" t="n">
        <v>1203.41</v>
      </c>
      <c r="O60" s="19" t="n">
        <v>1203.41</v>
      </c>
      <c r="P60" s="19" t="n">
        <v>800</v>
      </c>
      <c r="Q60" s="19" t="n">
        <v>800</v>
      </c>
      <c r="R60" s="19" t="n">
        <v>800</v>
      </c>
      <c r="S60" s="19" t="n">
        <v>800</v>
      </c>
      <c r="T60" s="84" t="n">
        <v>800</v>
      </c>
      <c r="U60" s="20" t="n">
        <v>818.67</v>
      </c>
      <c r="V60" s="20" t="n">
        <v>818.67</v>
      </c>
      <c r="W60" s="20" t="n">
        <v>818.67</v>
      </c>
      <c r="X60" s="20" t="n">
        <v>818.67</v>
      </c>
      <c r="Y60" s="20" t="n">
        <v>818.67</v>
      </c>
      <c r="Z60" s="20" t="n">
        <v>818.67</v>
      </c>
      <c r="AA60" s="20" t="n">
        <v>818.67</v>
      </c>
      <c r="AB60" s="20" t="n">
        <v>818.67</v>
      </c>
      <c r="AC60" s="20" t="n">
        <v>818.67</v>
      </c>
      <c r="AD60" s="20" t="n">
        <v>818.67</v>
      </c>
      <c r="AE60" s="20" t="n">
        <v>818.67</v>
      </c>
      <c r="AF60" s="20" t="n">
        <v>818.67</v>
      </c>
      <c r="AG60" s="20" t="n">
        <v>818.67</v>
      </c>
      <c r="AH60" s="20" t="n">
        <v>818.67</v>
      </c>
      <c r="AI60" s="20" t="n">
        <v>818.67</v>
      </c>
      <c r="AJ60" s="20" t="n">
        <v>818.67</v>
      </c>
      <c r="AK60" s="20" t="n">
        <v>818.67</v>
      </c>
      <c r="AL60" s="20" t="n">
        <v>818.67</v>
      </c>
      <c r="AM60" s="20" t="n">
        <v>818.67</v>
      </c>
      <c r="AN60" s="20" t="n">
        <v>818.67</v>
      </c>
      <c r="AO60" s="20" t="n">
        <v>818.67</v>
      </c>
      <c r="AP60" s="20" t="n">
        <v>818.67</v>
      </c>
      <c r="AQ60" s="20" t="n">
        <v>818.67</v>
      </c>
      <c r="AR60" s="20" t="n">
        <v>818.67</v>
      </c>
      <c r="AS60" s="20" t="n">
        <v>818.67</v>
      </c>
      <c r="AT60" s="20" t="n">
        <v>818.67</v>
      </c>
      <c r="AU60" s="20" t="n">
        <v>818.67</v>
      </c>
      <c r="AV60" s="20" t="n">
        <v>818.67</v>
      </c>
      <c r="AW60" s="20" t="n">
        <v>818.67</v>
      </c>
      <c r="AX60" s="20" t="n">
        <v>818.67</v>
      </c>
      <c r="AY60" s="20" t="n">
        <v>818.67</v>
      </c>
    </row>
    <row r="61">
      <c r="B61" s="32" t="inlineStr">
        <is>
          <t>Total Property Costs</t>
        </is>
      </c>
      <c r="C61" s="34" t="n"/>
      <c r="D61" s="35" t="n">
        <v>14871.04</v>
      </c>
      <c r="E61" s="35" t="n">
        <v>8119.61</v>
      </c>
      <c r="F61" s="35" t="n">
        <v>8151.599999999999</v>
      </c>
      <c r="G61" s="35" t="n">
        <v>8151.599999999999</v>
      </c>
      <c r="H61" s="35" t="n">
        <v>8457.049999999999</v>
      </c>
      <c r="I61" s="35" t="n">
        <v>8373.99</v>
      </c>
      <c r="J61" s="35" t="n">
        <v>8569.9</v>
      </c>
      <c r="K61" s="35" t="n">
        <v>8805.07</v>
      </c>
      <c r="L61" s="35" t="n">
        <v>8235.389999999999</v>
      </c>
      <c r="M61" s="35" t="n">
        <v>8351.389999999999</v>
      </c>
      <c r="N61" s="35" t="n">
        <v>9064.879999999999</v>
      </c>
      <c r="O61" s="35" t="n">
        <v>8378.48</v>
      </c>
      <c r="P61" s="35" t="n">
        <v>8484.18</v>
      </c>
      <c r="Q61" s="35" t="n">
        <v>7949.53</v>
      </c>
      <c r="R61" s="35" t="n">
        <v>8494.74</v>
      </c>
      <c r="S61" s="35" t="n">
        <v>8097.74</v>
      </c>
      <c r="T61" s="85" t="n">
        <v>7998.08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75219.97</v>
      </c>
      <c r="E62" s="35" t="n">
        <v>63462.61999999998</v>
      </c>
      <c r="F62" s="35" t="n">
        <v>66987.79000000001</v>
      </c>
      <c r="G62" s="35" t="n">
        <v>58845.51999999999</v>
      </c>
      <c r="H62" s="35" t="n">
        <v>67706.89999999999</v>
      </c>
      <c r="I62" s="35" t="n">
        <v>64765.81</v>
      </c>
      <c r="J62" s="35" t="n">
        <v>66366.42999999999</v>
      </c>
      <c r="K62" s="35" t="n">
        <v>68959.91</v>
      </c>
      <c r="L62" s="35" t="n">
        <v>63501.45</v>
      </c>
      <c r="M62" s="35" t="n">
        <v>63626.39</v>
      </c>
      <c r="N62" s="35" t="n">
        <v>65482.4</v>
      </c>
      <c r="O62" s="35" t="n">
        <v>66951.07000000001</v>
      </c>
      <c r="P62" s="35" t="n">
        <v>76953.47</v>
      </c>
      <c r="Q62" s="35" t="n">
        <v>66382.16</v>
      </c>
      <c r="R62" s="35" t="n">
        <v>71025.59</v>
      </c>
      <c r="S62" s="35" t="n">
        <v>67335.39</v>
      </c>
      <c r="T62" s="85" t="n">
        <v>64099.98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21796.65999999999</v>
      </c>
      <c r="E63" s="35" t="n">
        <v>40253.13</v>
      </c>
      <c r="F63" s="35" t="n">
        <v>47115.65000000001</v>
      </c>
      <c r="G63" s="35" t="n">
        <v>49550.13</v>
      </c>
      <c r="H63" s="35" t="n">
        <v>48324.90000000002</v>
      </c>
      <c r="I63" s="35" t="n">
        <v>44905.55</v>
      </c>
      <c r="J63" s="35" t="n">
        <v>45713.62000000002</v>
      </c>
      <c r="K63" s="35" t="n">
        <v>47701.45</v>
      </c>
      <c r="L63" s="35" t="n">
        <v>60062.51999999999</v>
      </c>
      <c r="M63" s="35" t="n">
        <v>44931.51999999999</v>
      </c>
      <c r="N63" s="35" t="n">
        <v>56530.62000000002</v>
      </c>
      <c r="O63" s="35" t="n">
        <v>50252.34</v>
      </c>
      <c r="P63" s="35" t="n">
        <v>52024.14</v>
      </c>
      <c r="Q63" s="35" t="n">
        <v>51059.28000000001</v>
      </c>
      <c r="R63" s="35" t="n">
        <v>44089.15000000002</v>
      </c>
      <c r="S63" s="35" t="n">
        <v>43565.57000000001</v>
      </c>
      <c r="T63" s="85" t="n">
        <v>39957.1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1842.1</v>
      </c>
      <c r="E65" s="19" t="n">
        <v>1850.23</v>
      </c>
      <c r="F65" s="19" t="n">
        <v>1850.23</v>
      </c>
      <c r="G65" s="19" t="n">
        <v>1853.38</v>
      </c>
      <c r="H65" s="19" t="n">
        <v>1855.96</v>
      </c>
      <c r="I65" s="19" t="n">
        <v>1855.96</v>
      </c>
      <c r="J65" s="19" t="n">
        <v>1855.96</v>
      </c>
      <c r="K65" s="19" t="n">
        <v>1855.96</v>
      </c>
      <c r="L65" s="19" t="n">
        <v>1882.97</v>
      </c>
      <c r="M65" s="19" t="n">
        <v>1882.97</v>
      </c>
      <c r="N65" s="19" t="n">
        <v>1882.97</v>
      </c>
      <c r="O65" s="19" t="n">
        <v>1483.6</v>
      </c>
      <c r="P65" s="19" t="n">
        <v>1833.55</v>
      </c>
      <c r="Q65" s="19" t="n">
        <v>1833.55</v>
      </c>
      <c r="R65" s="19" t="n">
        <v>1833.55</v>
      </c>
      <c r="S65" s="19" t="n">
        <v>1833.55</v>
      </c>
      <c r="T65" s="84" t="n">
        <v>1833.55</v>
      </c>
      <c r="U65" s="20" t="n">
        <v>1833.55</v>
      </c>
      <c r="V65" s="20" t="n">
        <v>1833.55</v>
      </c>
      <c r="W65" s="20" t="n">
        <v>1833.55</v>
      </c>
      <c r="X65" s="20" t="n">
        <v>1833.55</v>
      </c>
      <c r="Y65" s="20" t="n">
        <v>1833.55</v>
      </c>
      <c r="Z65" s="20" t="n">
        <v>1833.55</v>
      </c>
      <c r="AA65" s="20" t="n">
        <v>1833.55</v>
      </c>
      <c r="AB65" s="20" t="n">
        <v>1833.55</v>
      </c>
      <c r="AC65" s="20" t="n">
        <v>1833.55</v>
      </c>
      <c r="AD65" s="20" t="n">
        <v>1833.55</v>
      </c>
      <c r="AE65" s="20" t="n">
        <v>1833.55</v>
      </c>
      <c r="AF65" s="20" t="n">
        <v>1833.55</v>
      </c>
      <c r="AG65" s="20" t="n">
        <v>1833.55</v>
      </c>
      <c r="AH65" s="20" t="n">
        <v>1833.55</v>
      </c>
      <c r="AI65" s="20" t="n">
        <v>1833.55</v>
      </c>
      <c r="AJ65" s="20" t="n">
        <v>1833.55</v>
      </c>
      <c r="AK65" s="20" t="n">
        <v>1833.55</v>
      </c>
      <c r="AL65" s="20" t="n">
        <v>1833.55</v>
      </c>
      <c r="AM65" s="20" t="n">
        <v>1833.55</v>
      </c>
      <c r="AN65" s="20">
        <f>AN69*0.929227</f>
        <v/>
      </c>
      <c r="AO65" s="20">
        <f>AO69*0.929227</f>
        <v/>
      </c>
      <c r="AP65" s="20">
        <f>AP69*0.929227</f>
        <v/>
      </c>
      <c r="AQ65" s="20">
        <f>AQ69*0.929227</f>
        <v/>
      </c>
      <c r="AR65" s="20">
        <f>AR69*0.929227</f>
        <v/>
      </c>
      <c r="AS65" s="20">
        <f>AS69*0.929227</f>
        <v/>
      </c>
      <c r="AT65" s="20">
        <f>AT69*0.929227</f>
        <v/>
      </c>
      <c r="AU65" s="20">
        <f>AU69*0.929227</f>
        <v/>
      </c>
      <c r="AV65" s="20">
        <f>AV69*0.929227</f>
        <v/>
      </c>
      <c r="AW65" s="20">
        <f>AW69*0.929227</f>
        <v/>
      </c>
      <c r="AX65" s="20">
        <f>AX69*0.929227</f>
        <v/>
      </c>
      <c r="AY65" s="20">
        <f>AY69*0.929227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558.6</v>
      </c>
      <c r="R67" s="19" t="n">
        <v>0</v>
      </c>
      <c r="S67" s="19" t="n">
        <v>0</v>
      </c>
      <c r="T67" s="84" t="n">
        <v>0</v>
      </c>
      <c r="U67" s="20">
        <f>U69*0.070773</f>
        <v/>
      </c>
      <c r="V67" s="20">
        <f>V69*0.070773</f>
        <v/>
      </c>
      <c r="W67" s="20">
        <f>W69*0.070773</f>
        <v/>
      </c>
      <c r="X67" s="20">
        <f>X69*0.070773</f>
        <v/>
      </c>
      <c r="Y67" s="20">
        <f>Y69*0.070773</f>
        <v/>
      </c>
      <c r="Z67" s="20">
        <f>Z69*0.070773</f>
        <v/>
      </c>
      <c r="AA67" s="20">
        <f>AA69*0.070773</f>
        <v/>
      </c>
      <c r="AB67" s="20">
        <f>AB69*0.070773</f>
        <v/>
      </c>
      <c r="AC67" s="20">
        <f>AC69*0.070773</f>
        <v/>
      </c>
      <c r="AD67" s="20">
        <f>AD69*0.070773</f>
        <v/>
      </c>
      <c r="AE67" s="20">
        <f>AE69*0.070773</f>
        <v/>
      </c>
      <c r="AF67" s="20">
        <f>AF69*0.070773</f>
        <v/>
      </c>
      <c r="AG67" s="20">
        <f>AG69*0.070773</f>
        <v/>
      </c>
      <c r="AH67" s="20">
        <f>AH69*0.070773</f>
        <v/>
      </c>
      <c r="AI67" s="20">
        <f>AI69*0.070773</f>
        <v/>
      </c>
      <c r="AJ67" s="20">
        <f>AJ69*0.070773</f>
        <v/>
      </c>
      <c r="AK67" s="20">
        <f>AK69*0.070773</f>
        <v/>
      </c>
      <c r="AL67" s="20">
        <f>AL69*0.070773</f>
        <v/>
      </c>
      <c r="AM67" s="20">
        <f>AM69*0.070773</f>
        <v/>
      </c>
      <c r="AN67" s="20">
        <f>AN69*0.070773</f>
        <v/>
      </c>
      <c r="AO67" s="20">
        <f>AO69*0.070773</f>
        <v/>
      </c>
      <c r="AP67" s="20">
        <f>AP69*0.070773</f>
        <v/>
      </c>
      <c r="AQ67" s="20">
        <f>AQ69*0.070773</f>
        <v/>
      </c>
      <c r="AR67" s="20">
        <f>AR69*0.070773</f>
        <v/>
      </c>
      <c r="AS67" s="20">
        <f>AS69*0.070773</f>
        <v/>
      </c>
      <c r="AT67" s="20">
        <f>AT69*0.070773</f>
        <v/>
      </c>
      <c r="AU67" s="20">
        <f>AU69*0.070773</f>
        <v/>
      </c>
      <c r="AV67" s="20">
        <f>AV69*0.070773</f>
        <v/>
      </c>
      <c r="AW67" s="20">
        <f>AW69*0.070773</f>
        <v/>
      </c>
      <c r="AX67" s="20">
        <f>AX69*0.070773</f>
        <v/>
      </c>
      <c r="AY67" s="20">
        <f>AY69*0.070773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366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1842.1</v>
      </c>
      <c r="E69" s="35" t="n">
        <v>1850.23</v>
      </c>
      <c r="F69" s="35" t="n">
        <v>1850.23</v>
      </c>
      <c r="G69" s="35" t="n">
        <v>2219.38</v>
      </c>
      <c r="H69" s="35" t="n">
        <v>1855.96</v>
      </c>
      <c r="I69" s="35" t="n">
        <v>1855.96</v>
      </c>
      <c r="J69" s="35" t="n">
        <v>1855.96</v>
      </c>
      <c r="K69" s="35" t="n">
        <v>1855.96</v>
      </c>
      <c r="L69" s="35" t="n">
        <v>1882.97</v>
      </c>
      <c r="M69" s="35" t="n">
        <v>1882.97</v>
      </c>
      <c r="N69" s="35" t="n">
        <v>1882.97</v>
      </c>
      <c r="O69" s="35" t="n">
        <v>1483.6</v>
      </c>
      <c r="P69" s="35" t="n">
        <v>1833.55</v>
      </c>
      <c r="Q69" s="35" t="n">
        <v>2392.15</v>
      </c>
      <c r="R69" s="35" t="n">
        <v>1833.55</v>
      </c>
      <c r="S69" s="35" t="n">
        <v>1833.55</v>
      </c>
      <c r="T69" s="85" t="n">
        <v>1833.55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19954.55999999999</v>
      </c>
      <c r="E70" s="35" t="n">
        <v>38402.9</v>
      </c>
      <c r="F70" s="35" t="n">
        <v>45265.42000000001</v>
      </c>
      <c r="G70" s="35" t="n">
        <v>47330.75000000001</v>
      </c>
      <c r="H70" s="35" t="n">
        <v>46468.94000000002</v>
      </c>
      <c r="I70" s="35" t="n">
        <v>43049.59</v>
      </c>
      <c r="J70" s="35" t="n">
        <v>43857.66000000003</v>
      </c>
      <c r="K70" s="35" t="n">
        <v>45845.49</v>
      </c>
      <c r="L70" s="35" t="n">
        <v>58179.54999999999</v>
      </c>
      <c r="M70" s="35" t="n">
        <v>43048.54999999999</v>
      </c>
      <c r="N70" s="35" t="n">
        <v>54647.65000000002</v>
      </c>
      <c r="O70" s="35" t="n">
        <v>48768.74</v>
      </c>
      <c r="P70" s="35" t="n">
        <v>50190.59</v>
      </c>
      <c r="Q70" s="35" t="n">
        <v>48667.13000000001</v>
      </c>
      <c r="R70" s="35" t="n">
        <v>42255.60000000002</v>
      </c>
      <c r="S70" s="35" t="n">
        <v>41732.02</v>
      </c>
      <c r="T70" s="85" t="n">
        <v>38123.55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X49" activePane="bottomRight" state="frozen"/>
      <selection pane="topRight" activeCell="A1" sqref="A1"/>
      <selection pane="bottomLeft" activeCell="A1" sqref="A1"/>
      <selection pane="bottomRight" activeCell="X65" sqref="X65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Culver City (CC)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42</v>
      </c>
      <c r="L7" s="19" t="n">
        <v>7077.37</v>
      </c>
      <c r="M7" s="19" t="n">
        <v>16280.87</v>
      </c>
      <c r="N7" s="19" t="n">
        <v>14326</v>
      </c>
      <c r="O7" s="19" t="n">
        <v>16551.11</v>
      </c>
      <c r="P7" s="19" t="n">
        <v>20397.9</v>
      </c>
      <c r="Q7" s="19" t="n">
        <v>19548.71</v>
      </c>
      <c r="R7" s="19" t="n">
        <v>20502.29</v>
      </c>
      <c r="S7" s="19" t="n">
        <v>17774.52</v>
      </c>
      <c r="T7" s="84" t="n">
        <v>16596.07</v>
      </c>
      <c r="U7" s="20">
        <f>U13*0.510234</f>
        <v/>
      </c>
      <c r="V7" s="20">
        <f>V13*0.510234</f>
        <v/>
      </c>
      <c r="W7" s="20">
        <f>W13*0.510234</f>
        <v/>
      </c>
      <c r="X7" s="20">
        <f>X13*0.510234</f>
        <v/>
      </c>
      <c r="Y7" s="20">
        <f>Y13*0.510234</f>
        <v/>
      </c>
      <c r="Z7" s="20">
        <f>Z13*0.510234</f>
        <v/>
      </c>
      <c r="AA7" s="20">
        <f>AA13*0.510234</f>
        <v/>
      </c>
      <c r="AB7" s="20">
        <f>AB13*0.510234</f>
        <v/>
      </c>
      <c r="AC7" s="20">
        <f>AC13*0.510234</f>
        <v/>
      </c>
      <c r="AD7" s="20">
        <f>AD13*0.510234</f>
        <v/>
      </c>
      <c r="AE7" s="20">
        <f>AE13*0.510234</f>
        <v/>
      </c>
      <c r="AF7" s="20">
        <f>AF13*0.510234</f>
        <v/>
      </c>
      <c r="AG7" s="20">
        <f>AG13*0.510234</f>
        <v/>
      </c>
      <c r="AH7" s="20">
        <f>AH13*0.510234</f>
        <v/>
      </c>
      <c r="AI7" s="20">
        <f>AI13*0.510234</f>
        <v/>
      </c>
      <c r="AJ7" s="20">
        <f>AJ13*0.510234</f>
        <v/>
      </c>
      <c r="AK7" s="20">
        <f>AK13*0.510234</f>
        <v/>
      </c>
      <c r="AL7" s="20">
        <f>AL13*0.510234</f>
        <v/>
      </c>
      <c r="AM7" s="20">
        <f>AM13*0.510234</f>
        <v/>
      </c>
      <c r="AN7" s="20">
        <f>AN13*0.510234</f>
        <v/>
      </c>
      <c r="AO7" s="20">
        <f>AO13*0.510234</f>
        <v/>
      </c>
      <c r="AP7" s="20">
        <f>AP13*0.510234</f>
        <v/>
      </c>
      <c r="AQ7" s="20">
        <f>AQ13*0.510234</f>
        <v/>
      </c>
      <c r="AR7" s="20">
        <f>AR13*0.510234</f>
        <v/>
      </c>
      <c r="AS7" s="20">
        <f>AS13*0.510234</f>
        <v/>
      </c>
      <c r="AT7" s="20">
        <f>AT13*0.510234</f>
        <v/>
      </c>
      <c r="AU7" s="20">
        <f>AU13*0.510234</f>
        <v/>
      </c>
      <c r="AV7" s="20">
        <f>AV13*0.510234</f>
        <v/>
      </c>
      <c r="AW7" s="20">
        <f>AW13*0.510234</f>
        <v/>
      </c>
      <c r="AX7" s="20">
        <f>AX13*0.510234</f>
        <v/>
      </c>
      <c r="AY7" s="20">
        <f>AY13*0.510234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415</v>
      </c>
      <c r="M8" s="19" t="n">
        <v>945</v>
      </c>
      <c r="N8" s="19" t="n">
        <v>860</v>
      </c>
      <c r="O8" s="19" t="n">
        <v>940</v>
      </c>
      <c r="P8" s="19" t="n">
        <v>1170</v>
      </c>
      <c r="Q8" s="19" t="n">
        <v>1512</v>
      </c>
      <c r="R8" s="19" t="n">
        <v>1002</v>
      </c>
      <c r="S8" s="19" t="n">
        <v>333</v>
      </c>
      <c r="T8" s="84" t="n">
        <v>628</v>
      </c>
      <c r="U8" s="20">
        <f>U13*0.026202</f>
        <v/>
      </c>
      <c r="V8" s="20">
        <f>V13*0.026202</f>
        <v/>
      </c>
      <c r="W8" s="20">
        <f>W13*0.026202</f>
        <v/>
      </c>
      <c r="X8" s="20">
        <f>X13*0.026202</f>
        <v/>
      </c>
      <c r="Y8" s="20">
        <f>Y13*0.026202</f>
        <v/>
      </c>
      <c r="Z8" s="20">
        <f>Z13*0.026202</f>
        <v/>
      </c>
      <c r="AA8" s="20">
        <f>AA13*0.026202</f>
        <v/>
      </c>
      <c r="AB8" s="20">
        <f>AB13*0.026202</f>
        <v/>
      </c>
      <c r="AC8" s="20">
        <f>AC13*0.026202</f>
        <v/>
      </c>
      <c r="AD8" s="20">
        <f>AD13*0.026202</f>
        <v/>
      </c>
      <c r="AE8" s="20">
        <f>AE13*0.026202</f>
        <v/>
      </c>
      <c r="AF8" s="20">
        <f>AF13*0.026202</f>
        <v/>
      </c>
      <c r="AG8" s="20">
        <f>AG13*0.026202</f>
        <v/>
      </c>
      <c r="AH8" s="20">
        <f>AH13*0.026202</f>
        <v/>
      </c>
      <c r="AI8" s="20">
        <f>AI13*0.026202</f>
        <v/>
      </c>
      <c r="AJ8" s="20">
        <f>AJ13*0.026202</f>
        <v/>
      </c>
      <c r="AK8" s="20">
        <f>AK13*0.026202</f>
        <v/>
      </c>
      <c r="AL8" s="20">
        <f>AL13*0.026202</f>
        <v/>
      </c>
      <c r="AM8" s="20">
        <f>AM13*0.026202</f>
        <v/>
      </c>
      <c r="AN8" s="20">
        <f>AN13*0.026202</f>
        <v/>
      </c>
      <c r="AO8" s="20">
        <f>AO13*0.026202</f>
        <v/>
      </c>
      <c r="AP8" s="20">
        <f>AP13*0.026202</f>
        <v/>
      </c>
      <c r="AQ8" s="20">
        <f>AQ13*0.026202</f>
        <v/>
      </c>
      <c r="AR8" s="20">
        <f>AR13*0.026202</f>
        <v/>
      </c>
      <c r="AS8" s="20">
        <f>AS13*0.026202</f>
        <v/>
      </c>
      <c r="AT8" s="20">
        <f>AT13*0.026202</f>
        <v/>
      </c>
      <c r="AU8" s="20">
        <f>AU13*0.026202</f>
        <v/>
      </c>
      <c r="AV8" s="20">
        <f>AV13*0.026202</f>
        <v/>
      </c>
      <c r="AW8" s="20">
        <f>AW13*0.026202</f>
        <v/>
      </c>
      <c r="AX8" s="20">
        <f>AX13*0.026202</f>
        <v/>
      </c>
      <c r="AY8" s="20">
        <f>AY13*0.026202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4370.27</v>
      </c>
      <c r="M9" s="19" t="n">
        <v>10831.25</v>
      </c>
      <c r="N9" s="19" t="n">
        <v>12060.69</v>
      </c>
      <c r="O9" s="19" t="n">
        <v>11638.45</v>
      </c>
      <c r="P9" s="19" t="n">
        <v>16587.97</v>
      </c>
      <c r="Q9" s="19" t="n">
        <v>15654.65</v>
      </c>
      <c r="R9" s="19" t="n">
        <v>18636.28</v>
      </c>
      <c r="S9" s="19" t="n">
        <v>15895</v>
      </c>
      <c r="T9" s="84" t="n">
        <v>15302.32</v>
      </c>
      <c r="U9" s="20">
        <f>U13*0.435551</f>
        <v/>
      </c>
      <c r="V9" s="20">
        <f>V13*0.435551</f>
        <v/>
      </c>
      <c r="W9" s="20">
        <f>W13*0.435551</f>
        <v/>
      </c>
      <c r="X9" s="20">
        <f>X13*0.435551</f>
        <v/>
      </c>
      <c r="Y9" s="20">
        <f>Y13*0.435551</f>
        <v/>
      </c>
      <c r="Z9" s="20">
        <f>Z13*0.435551</f>
        <v/>
      </c>
      <c r="AA9" s="20">
        <f>AA13*0.435551</f>
        <v/>
      </c>
      <c r="AB9" s="20">
        <f>AB13*0.435551</f>
        <v/>
      </c>
      <c r="AC9" s="20">
        <f>AC13*0.435551</f>
        <v/>
      </c>
      <c r="AD9" s="20">
        <f>AD13*0.435551</f>
        <v/>
      </c>
      <c r="AE9" s="20">
        <f>AE13*0.435551</f>
        <v/>
      </c>
      <c r="AF9" s="20">
        <f>AF13*0.435551</f>
        <v/>
      </c>
      <c r="AG9" s="20">
        <f>AG13*0.435551</f>
        <v/>
      </c>
      <c r="AH9" s="20">
        <f>AH13*0.435551</f>
        <v/>
      </c>
      <c r="AI9" s="20">
        <f>AI13*0.435551</f>
        <v/>
      </c>
      <c r="AJ9" s="20">
        <f>AJ13*0.435551</f>
        <v/>
      </c>
      <c r="AK9" s="20">
        <f>AK13*0.435551</f>
        <v/>
      </c>
      <c r="AL9" s="20">
        <f>AL13*0.435551</f>
        <v/>
      </c>
      <c r="AM9" s="20">
        <f>AM13*0.435551</f>
        <v/>
      </c>
      <c r="AN9" s="20">
        <f>AN13*0.435551</f>
        <v/>
      </c>
      <c r="AO9" s="20">
        <f>AO13*0.435551</f>
        <v/>
      </c>
      <c r="AP9" s="20">
        <f>AP13*0.435551</f>
        <v/>
      </c>
      <c r="AQ9" s="20">
        <f>AQ13*0.435551</f>
        <v/>
      </c>
      <c r="AR9" s="20">
        <f>AR13*0.435551</f>
        <v/>
      </c>
      <c r="AS9" s="20">
        <f>AS13*0.435551</f>
        <v/>
      </c>
      <c r="AT9" s="20">
        <f>AT13*0.435551</f>
        <v/>
      </c>
      <c r="AU9" s="20">
        <f>AU13*0.435551</f>
        <v/>
      </c>
      <c r="AV9" s="20">
        <f>AV13*0.435551</f>
        <v/>
      </c>
      <c r="AW9" s="20">
        <f>AW13*0.435551</f>
        <v/>
      </c>
      <c r="AX9" s="20">
        <f>AX13*0.435551</f>
        <v/>
      </c>
      <c r="AY9" s="20">
        <f>AY13*0.435551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1845.46</v>
      </c>
      <c r="R10" s="19" t="n">
        <v>961.04</v>
      </c>
      <c r="S10" s="19" t="n">
        <v>0</v>
      </c>
      <c r="T10" s="84" t="n">
        <v>0</v>
      </c>
      <c r="U10" s="20">
        <f>U13*0.018306</f>
        <v/>
      </c>
      <c r="V10" s="20">
        <f>V13*0.018306</f>
        <v/>
      </c>
      <c r="W10" s="20">
        <f>W13*0.018306</f>
        <v/>
      </c>
      <c r="X10" s="20">
        <f>X13*0.018306</f>
        <v/>
      </c>
      <c r="Y10" s="20">
        <f>Y13*0.018306</f>
        <v/>
      </c>
      <c r="Z10" s="20">
        <f>Z13*0.018306</f>
        <v/>
      </c>
      <c r="AA10" s="20">
        <f>AA13*0.018306</f>
        <v/>
      </c>
      <c r="AB10" s="20">
        <f>AB13*0.018306</f>
        <v/>
      </c>
      <c r="AC10" s="20">
        <f>AC13*0.018306</f>
        <v/>
      </c>
      <c r="AD10" s="20">
        <f>AD13*0.018306</f>
        <v/>
      </c>
      <c r="AE10" s="20">
        <f>AE13*0.018306</f>
        <v/>
      </c>
      <c r="AF10" s="20">
        <f>AF13*0.018306</f>
        <v/>
      </c>
      <c r="AG10" s="20">
        <f>AG13*0.018306</f>
        <v/>
      </c>
      <c r="AH10" s="20">
        <f>AH13*0.018306</f>
        <v/>
      </c>
      <c r="AI10" s="20">
        <f>AI13*0.018306</f>
        <v/>
      </c>
      <c r="AJ10" s="20">
        <f>AJ13*0.018306</f>
        <v/>
      </c>
      <c r="AK10" s="20">
        <f>AK13*0.018306</f>
        <v/>
      </c>
      <c r="AL10" s="20">
        <f>AL13*0.018306</f>
        <v/>
      </c>
      <c r="AM10" s="20">
        <f>AM13*0.018306</f>
        <v/>
      </c>
      <c r="AN10" s="20">
        <f>AN13*0.018306</f>
        <v/>
      </c>
      <c r="AO10" s="20">
        <f>AO13*0.018306</f>
        <v/>
      </c>
      <c r="AP10" s="20">
        <f>AP13*0.018306</f>
        <v/>
      </c>
      <c r="AQ10" s="20">
        <f>AQ13*0.018306</f>
        <v/>
      </c>
      <c r="AR10" s="20">
        <f>AR13*0.018306</f>
        <v/>
      </c>
      <c r="AS10" s="20">
        <f>AS13*0.018306</f>
        <v/>
      </c>
      <c r="AT10" s="20">
        <f>AT13*0.018306</f>
        <v/>
      </c>
      <c r="AU10" s="20">
        <f>AU13*0.018306</f>
        <v/>
      </c>
      <c r="AV10" s="20">
        <f>AV13*0.018306</f>
        <v/>
      </c>
      <c r="AW10" s="20">
        <f>AW13*0.018306</f>
        <v/>
      </c>
      <c r="AX10" s="20">
        <f>AX13*0.018306</f>
        <v/>
      </c>
      <c r="AY10" s="20">
        <f>AY13*0.018306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37.6</v>
      </c>
      <c r="T11" s="84" t="n">
        <v>65.22</v>
      </c>
      <c r="U11" s="20">
        <f>U13*0.000245</f>
        <v/>
      </c>
      <c r="V11" s="20">
        <f>V13*0.000245</f>
        <v/>
      </c>
      <c r="W11" s="20">
        <f>W13*0.000245</f>
        <v/>
      </c>
      <c r="X11" s="20">
        <f>X13*0.000245</f>
        <v/>
      </c>
      <c r="Y11" s="20">
        <f>Y13*0.000245</f>
        <v/>
      </c>
      <c r="Z11" s="20">
        <f>Z13*0.000245</f>
        <v/>
      </c>
      <c r="AA11" s="20">
        <f>AA13*0.000245</f>
        <v/>
      </c>
      <c r="AB11" s="20">
        <f>AB13*0.000245</f>
        <v/>
      </c>
      <c r="AC11" s="20">
        <f>AC13*0.000245</f>
        <v/>
      </c>
      <c r="AD11" s="20">
        <f>AD13*0.000245</f>
        <v/>
      </c>
      <c r="AE11" s="20">
        <f>AE13*0.000245</f>
        <v/>
      </c>
      <c r="AF11" s="20">
        <f>AF13*0.000245</f>
        <v/>
      </c>
      <c r="AG11" s="20">
        <f>AG13*0.000245</f>
        <v/>
      </c>
      <c r="AH11" s="20">
        <f>AH13*0.000245</f>
        <v/>
      </c>
      <c r="AI11" s="20">
        <f>AI13*0.000245</f>
        <v/>
      </c>
      <c r="AJ11" s="20">
        <f>AJ13*0.000245</f>
        <v/>
      </c>
      <c r="AK11" s="20">
        <f>AK13*0.000245</f>
        <v/>
      </c>
      <c r="AL11" s="20">
        <f>AL13*0.000245</f>
        <v/>
      </c>
      <c r="AM11" s="20">
        <f>AM13*0.000245</f>
        <v/>
      </c>
      <c r="AN11" s="20">
        <f>AN13*0.000245</f>
        <v/>
      </c>
      <c r="AO11" s="20">
        <f>AO13*0.000245</f>
        <v/>
      </c>
      <c r="AP11" s="20">
        <f>AP13*0.000245</f>
        <v/>
      </c>
      <c r="AQ11" s="20">
        <f>AQ13*0.000245</f>
        <v/>
      </c>
      <c r="AR11" s="20">
        <f>AR13*0.000245</f>
        <v/>
      </c>
      <c r="AS11" s="20">
        <f>AS13*0.000245</f>
        <v/>
      </c>
      <c r="AT11" s="20">
        <f>AT13*0.000245</f>
        <v/>
      </c>
      <c r="AU11" s="20">
        <f>AU13*0.000245</f>
        <v/>
      </c>
      <c r="AV11" s="20">
        <f>AV13*0.000245</f>
        <v/>
      </c>
      <c r="AW11" s="20">
        <f>AW13*0.000245</f>
        <v/>
      </c>
      <c r="AX11" s="20">
        <f>AX13*0.000245</f>
        <v/>
      </c>
      <c r="AY11" s="20">
        <f>AY13*0.000245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122.4</v>
      </c>
      <c r="P12" s="19" t="n">
        <v>336.6</v>
      </c>
      <c r="Q12" s="19" t="n">
        <v>367.2</v>
      </c>
      <c r="R12" s="19" t="n">
        <v>501.84</v>
      </c>
      <c r="S12" s="19" t="n">
        <v>244.8</v>
      </c>
      <c r="T12" s="84" t="n">
        <v>82.62</v>
      </c>
      <c r="U12" s="20">
        <f>U13*0.009461</f>
        <v/>
      </c>
      <c r="V12" s="20">
        <f>V13*0.009461</f>
        <v/>
      </c>
      <c r="W12" s="20">
        <f>W13*0.009461</f>
        <v/>
      </c>
      <c r="X12" s="20">
        <f>X13*0.009461</f>
        <v/>
      </c>
      <c r="Y12" s="20">
        <f>Y13*0.009461</f>
        <v/>
      </c>
      <c r="Z12" s="20">
        <f>Z13*0.009461</f>
        <v/>
      </c>
      <c r="AA12" s="20">
        <f>AA13*0.009461</f>
        <v/>
      </c>
      <c r="AB12" s="20">
        <f>AB13*0.009461</f>
        <v/>
      </c>
      <c r="AC12" s="20">
        <f>AC13*0.009461</f>
        <v/>
      </c>
      <c r="AD12" s="20">
        <f>AD13*0.009461</f>
        <v/>
      </c>
      <c r="AE12" s="20">
        <f>AE13*0.009461</f>
        <v/>
      </c>
      <c r="AF12" s="20">
        <f>AF13*0.009461</f>
        <v/>
      </c>
      <c r="AG12" s="20">
        <f>AG13*0.009461</f>
        <v/>
      </c>
      <c r="AH12" s="20">
        <f>AH13*0.009461</f>
        <v/>
      </c>
      <c r="AI12" s="20">
        <f>AI13*0.009461</f>
        <v/>
      </c>
      <c r="AJ12" s="20">
        <f>AJ13*0.009461</f>
        <v/>
      </c>
      <c r="AK12" s="20">
        <f>AK13*0.009461</f>
        <v/>
      </c>
      <c r="AL12" s="20">
        <f>AL13*0.009461</f>
        <v/>
      </c>
      <c r="AM12" s="20">
        <f>AM13*0.009461</f>
        <v/>
      </c>
      <c r="AN12" s="20">
        <f>AN13*0.009461</f>
        <v/>
      </c>
      <c r="AO12" s="20">
        <f>AO13*0.009461</f>
        <v/>
      </c>
      <c r="AP12" s="20">
        <f>AP13*0.009461</f>
        <v/>
      </c>
      <c r="AQ12" s="20">
        <f>AQ13*0.009461</f>
        <v/>
      </c>
      <c r="AR12" s="20">
        <f>AR13*0.009461</f>
        <v/>
      </c>
      <c r="AS12" s="20">
        <f>AS13*0.009461</f>
        <v/>
      </c>
      <c r="AT12" s="20">
        <f>AT13*0.009461</f>
        <v/>
      </c>
      <c r="AU12" s="20">
        <f>AU13*0.009461</f>
        <v/>
      </c>
      <c r="AV12" s="20">
        <f>AV13*0.009461</f>
        <v/>
      </c>
      <c r="AW12" s="20">
        <f>AW13*0.009461</f>
        <v/>
      </c>
      <c r="AX12" s="20">
        <f>AX13*0.009461</f>
        <v/>
      </c>
      <c r="AY12" s="20">
        <f>AY13*0.009461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42</v>
      </c>
      <c r="L13" s="35" t="n">
        <v>11862.64</v>
      </c>
      <c r="M13" s="35" t="n">
        <v>28057.12</v>
      </c>
      <c r="N13" s="35" t="n">
        <v>27246.69</v>
      </c>
      <c r="O13" s="35" t="n">
        <v>29251.96</v>
      </c>
      <c r="P13" s="35" t="n">
        <v>38492.47</v>
      </c>
      <c r="Q13" s="35" t="n">
        <v>38928.02</v>
      </c>
      <c r="R13" s="35" t="n">
        <v>41603.45</v>
      </c>
      <c r="S13" s="35" t="n">
        <v>34284.92</v>
      </c>
      <c r="T13" s="85" t="n">
        <v>32674.23</v>
      </c>
      <c r="U13" s="17">
        <f>'Sales Forecast'!U7*Assumptions!$C$12+'Sales Forecast'!T7*Assumptions!$D$12+'Sales Forecast'!S7*Assumptions!$E$12+'Sales Forecast'!R7*Assumptions!$F$12+'Sales Forecast'!Q7*Assumptions!$G$12+'Sales Forecast'!P7*Assumptions!$H$12+'Sales Forecast'!U103*Assumptions!$I$12</f>
        <v/>
      </c>
      <c r="V13" s="17">
        <f>'Sales Forecast'!V7*Assumptions!$C$12+'Sales Forecast'!U7*Assumptions!$D$12+'Sales Forecast'!T7*Assumptions!$E$12+'Sales Forecast'!S7*Assumptions!$F$12+'Sales Forecast'!R7*Assumptions!$G$12+'Sales Forecast'!Q7*Assumptions!$H$12+'Sales Forecast'!P7*Assumptions!$I$12</f>
        <v/>
      </c>
      <c r="W13" s="17">
        <f>'Sales Forecast'!W7*Assumptions!$C$12+'Sales Forecast'!V7*Assumptions!$D$12+'Sales Forecast'!U7*Assumptions!$E$12+'Sales Forecast'!T7*Assumptions!$F$12+'Sales Forecast'!S7*Assumptions!$G$12+'Sales Forecast'!R7*Assumptions!$H$12+'Sales Forecast'!Q7*Assumptions!$I$12</f>
        <v/>
      </c>
      <c r="X13" s="17">
        <f>'Sales Forecast'!X7*Assumptions!$C$12+'Sales Forecast'!W7*Assumptions!$D$12+'Sales Forecast'!V7*Assumptions!$E$12+'Sales Forecast'!U7*Assumptions!$F$12+'Sales Forecast'!T7*Assumptions!$G$12+'Sales Forecast'!S7*Assumptions!$H$12+'Sales Forecast'!R7*Assumptions!$I$12</f>
        <v/>
      </c>
      <c r="Y13" s="17">
        <f>'Sales Forecast'!Y7*Assumptions!$C$12+'Sales Forecast'!X7*Assumptions!$D$12+'Sales Forecast'!W7*Assumptions!$E$12+'Sales Forecast'!V7*Assumptions!$F$12+'Sales Forecast'!U7*Assumptions!$G$12+'Sales Forecast'!T7*Assumptions!$H$12+'Sales Forecast'!S7*Assumptions!$I$12</f>
        <v/>
      </c>
      <c r="Z13" s="17">
        <f>'Sales Forecast'!Z7*Assumptions!$C$12+'Sales Forecast'!Y7*Assumptions!$D$12+'Sales Forecast'!X7*Assumptions!$E$12+'Sales Forecast'!W7*Assumptions!$F$12+'Sales Forecast'!V7*Assumptions!$G$12+'Sales Forecast'!U7*Assumptions!$H$12+'Sales Forecast'!T7*Assumptions!$I$12</f>
        <v/>
      </c>
      <c r="AA13" s="17">
        <f>'Sales Forecast'!AA7*Assumptions!$C$12+'Sales Forecast'!Z7*Assumptions!$D$12+'Sales Forecast'!Y7*Assumptions!$E$12+'Sales Forecast'!X7*Assumptions!$F$12+'Sales Forecast'!W7*Assumptions!$G$12+'Sales Forecast'!V7*Assumptions!$H$12+'Sales Forecast'!U7*Assumptions!$I$12</f>
        <v/>
      </c>
      <c r="AB13" s="17">
        <f>'Sales Forecast'!AB7*Assumptions!$C$12+'Sales Forecast'!AA7*Assumptions!$D$12+'Sales Forecast'!Z7*Assumptions!$E$12+'Sales Forecast'!Y7*Assumptions!$F$12+'Sales Forecast'!X7*Assumptions!$G$12+'Sales Forecast'!W7*Assumptions!$H$12+'Sales Forecast'!V7*Assumptions!$I$12</f>
        <v/>
      </c>
      <c r="AC13" s="17">
        <f>'Sales Forecast'!AC7*Assumptions!$C$12+'Sales Forecast'!AB7*Assumptions!$D$12+'Sales Forecast'!AA7*Assumptions!$E$12+'Sales Forecast'!Z7*Assumptions!$F$12+'Sales Forecast'!Y7*Assumptions!$G$12+'Sales Forecast'!X7*Assumptions!$H$12+'Sales Forecast'!W7*Assumptions!$I$12</f>
        <v/>
      </c>
      <c r="AD13" s="17">
        <f>'Sales Forecast'!AD7*Assumptions!$C$12+'Sales Forecast'!AC7*Assumptions!$D$12+'Sales Forecast'!AB7*Assumptions!$E$12+'Sales Forecast'!AA7*Assumptions!$F$12+'Sales Forecast'!Z7*Assumptions!$G$12+'Sales Forecast'!Y7*Assumptions!$H$12+'Sales Forecast'!X7*Assumptions!$I$12</f>
        <v/>
      </c>
      <c r="AE13" s="17">
        <f>'Sales Forecast'!AE7*Assumptions!$C$12+'Sales Forecast'!AD7*Assumptions!$D$12+'Sales Forecast'!AC7*Assumptions!$E$12+'Sales Forecast'!AB7*Assumptions!$F$12+'Sales Forecast'!AA7*Assumptions!$G$12+'Sales Forecast'!Z7*Assumptions!$H$12+'Sales Forecast'!Y7*Assumptions!$I$12</f>
        <v/>
      </c>
      <c r="AF13" s="17">
        <f>'Sales Forecast'!AF7*Assumptions!$C$12+'Sales Forecast'!AE7*Assumptions!$D$12+'Sales Forecast'!AD7*Assumptions!$E$12+'Sales Forecast'!AC7*Assumptions!$F$12+'Sales Forecast'!AB7*Assumptions!$G$12+'Sales Forecast'!AA7*Assumptions!$H$12+'Sales Forecast'!Z7*Assumptions!$I$12</f>
        <v/>
      </c>
      <c r="AG13" s="17">
        <f>'Sales Forecast'!AG7*Assumptions!$C$12+'Sales Forecast'!AF7*Assumptions!$D$12+'Sales Forecast'!AE7*Assumptions!$E$12+'Sales Forecast'!AD7*Assumptions!$F$12+'Sales Forecast'!AC7*Assumptions!$G$12+'Sales Forecast'!AB7*Assumptions!$H$12+'Sales Forecast'!AA7*Assumptions!$I$12</f>
        <v/>
      </c>
      <c r="AH13" s="17">
        <f>'Sales Forecast'!AH7*Assumptions!$C$12+'Sales Forecast'!AG7*Assumptions!$D$12+'Sales Forecast'!AF7*Assumptions!$E$12+'Sales Forecast'!AE7*Assumptions!$F$12+'Sales Forecast'!AD7*Assumptions!$G$12+'Sales Forecast'!AC7*Assumptions!$H$12+'Sales Forecast'!AB7*Assumptions!$I$12</f>
        <v/>
      </c>
      <c r="AI13" s="17">
        <f>'Sales Forecast'!AI7*Assumptions!$C$12+'Sales Forecast'!AH7*Assumptions!$D$12+'Sales Forecast'!AG7*Assumptions!$E$12+'Sales Forecast'!AF7*Assumptions!$F$12+'Sales Forecast'!AE7*Assumptions!$G$12+'Sales Forecast'!AD7*Assumptions!$H$12+'Sales Forecast'!AC7*Assumptions!$I$12</f>
        <v/>
      </c>
      <c r="AJ13" s="17">
        <f>'Sales Forecast'!AJ7*Assumptions!$C$12+'Sales Forecast'!AI7*Assumptions!$D$12+'Sales Forecast'!AH7*Assumptions!$E$12+'Sales Forecast'!AG7*Assumptions!$F$12+'Sales Forecast'!AF7*Assumptions!$G$12+'Sales Forecast'!AE7*Assumptions!$H$12+'Sales Forecast'!AD7*Assumptions!$I$12</f>
        <v/>
      </c>
      <c r="AK13" s="17">
        <f>'Sales Forecast'!AK7*Assumptions!$C$12+'Sales Forecast'!AJ7*Assumptions!$D$12+'Sales Forecast'!AI7*Assumptions!$E$12+'Sales Forecast'!AH7*Assumptions!$F$12+'Sales Forecast'!AG7*Assumptions!$G$12+'Sales Forecast'!AF7*Assumptions!$H$12+'Sales Forecast'!AE7*Assumptions!$I$12</f>
        <v/>
      </c>
      <c r="AL13" s="17">
        <f>'Sales Forecast'!AL7*Assumptions!$C$12+'Sales Forecast'!AK7*Assumptions!$D$12+'Sales Forecast'!AJ7*Assumptions!$E$12+'Sales Forecast'!AI7*Assumptions!$F$12+'Sales Forecast'!AH7*Assumptions!$G$12+'Sales Forecast'!AG7*Assumptions!$H$12+'Sales Forecast'!AF7*Assumptions!$I$12</f>
        <v/>
      </c>
      <c r="AM13" s="17">
        <f>'Sales Forecast'!AM7*Assumptions!$C$12+'Sales Forecast'!AL7*Assumptions!$D$12+'Sales Forecast'!AK7*Assumptions!$E$12+'Sales Forecast'!AJ7*Assumptions!$F$12+'Sales Forecast'!AI7*Assumptions!$G$12+'Sales Forecast'!AH7*Assumptions!$H$12+'Sales Forecast'!AG7*Assumptions!$I$12</f>
        <v/>
      </c>
      <c r="AN13" s="17">
        <f>'Sales Forecast'!AN7*Assumptions!$C$12+'Sales Forecast'!AM7*Assumptions!$D$12+'Sales Forecast'!AL7*Assumptions!$E$12+'Sales Forecast'!AK7*Assumptions!$F$12+'Sales Forecast'!AJ7*Assumptions!$G$12+'Sales Forecast'!AI7*Assumptions!$H$12+'Sales Forecast'!AH7*Assumptions!$I$12</f>
        <v/>
      </c>
      <c r="AO13" s="17">
        <f>'Sales Forecast'!AO7*Assumptions!$C$12+'Sales Forecast'!AN7*Assumptions!$D$12+'Sales Forecast'!AM7*Assumptions!$E$12+'Sales Forecast'!AL7*Assumptions!$F$12+'Sales Forecast'!AK7*Assumptions!$G$12+'Sales Forecast'!AJ7*Assumptions!$H$12+'Sales Forecast'!AI7*Assumptions!$I$12</f>
        <v/>
      </c>
      <c r="AP13" s="17">
        <f>'Sales Forecast'!AP7*Assumptions!$C$12+'Sales Forecast'!AO7*Assumptions!$D$12+'Sales Forecast'!AN7*Assumptions!$E$12+'Sales Forecast'!AM7*Assumptions!$F$12+'Sales Forecast'!AL7*Assumptions!$G$12+'Sales Forecast'!AK7*Assumptions!$H$12+'Sales Forecast'!AJ7*Assumptions!$I$12</f>
        <v/>
      </c>
      <c r="AQ13" s="17">
        <f>'Sales Forecast'!AQ7*Assumptions!$C$12+'Sales Forecast'!AP7*Assumptions!$D$12+'Sales Forecast'!AO7*Assumptions!$E$12+'Sales Forecast'!AN7*Assumptions!$F$12+'Sales Forecast'!AM7*Assumptions!$G$12+'Sales Forecast'!AL7*Assumptions!$H$12+'Sales Forecast'!AK7*Assumptions!$I$12</f>
        <v/>
      </c>
      <c r="AR13" s="17">
        <f>'Sales Forecast'!AR7*Assumptions!$C$12+'Sales Forecast'!AQ7*Assumptions!$D$12+'Sales Forecast'!AP7*Assumptions!$E$12+'Sales Forecast'!AO7*Assumptions!$F$12+'Sales Forecast'!AN7*Assumptions!$G$12+'Sales Forecast'!AM7*Assumptions!$H$12+'Sales Forecast'!AL7*Assumptions!$I$12</f>
        <v/>
      </c>
      <c r="AS13" s="17">
        <f>'Sales Forecast'!AS7*Assumptions!$C$12+'Sales Forecast'!AR7*Assumptions!$D$12+'Sales Forecast'!AQ7*Assumptions!$E$12+'Sales Forecast'!AP7*Assumptions!$F$12+'Sales Forecast'!AO7*Assumptions!$G$12+'Sales Forecast'!AN7*Assumptions!$H$12+'Sales Forecast'!AM7*Assumptions!$I$12</f>
        <v/>
      </c>
      <c r="AT13" s="17">
        <f>'Sales Forecast'!AT7*Assumptions!$C$12+'Sales Forecast'!AS7*Assumptions!$D$12+'Sales Forecast'!AR7*Assumptions!$E$12+'Sales Forecast'!AQ7*Assumptions!$F$12+'Sales Forecast'!AP7*Assumptions!$G$12+'Sales Forecast'!AO7*Assumptions!$H$12+'Sales Forecast'!AN7*Assumptions!$I$12</f>
        <v/>
      </c>
      <c r="AU13" s="17">
        <f>'Sales Forecast'!AU7*Assumptions!$C$12+'Sales Forecast'!AT7*Assumptions!$D$12+'Sales Forecast'!AS7*Assumptions!$E$12+'Sales Forecast'!AR7*Assumptions!$F$12+'Sales Forecast'!AQ7*Assumptions!$G$12+'Sales Forecast'!AP7*Assumptions!$H$12+'Sales Forecast'!AO7*Assumptions!$I$12</f>
        <v/>
      </c>
      <c r="AV13" s="17">
        <f>'Sales Forecast'!AV7*Assumptions!$C$12+'Sales Forecast'!AU7*Assumptions!$D$12+'Sales Forecast'!AT7*Assumptions!$E$12+'Sales Forecast'!AS7*Assumptions!$F$12+'Sales Forecast'!AR7*Assumptions!$G$12+'Sales Forecast'!AQ7*Assumptions!$H$12+'Sales Forecast'!AP7*Assumptions!$I$12</f>
        <v/>
      </c>
      <c r="AW13" s="17">
        <f>'Sales Forecast'!AW7*Assumptions!$C$12+'Sales Forecast'!AV7*Assumptions!$D$12+'Sales Forecast'!AU7*Assumptions!$E$12+'Sales Forecast'!AT7*Assumptions!$F$12+'Sales Forecast'!AS7*Assumptions!$G$12+'Sales Forecast'!AR7*Assumptions!$H$12+'Sales Forecast'!AQ7*Assumptions!$I$12</f>
        <v/>
      </c>
      <c r="AX13" s="17">
        <f>'Sales Forecast'!AX7*Assumptions!$C$12+'Sales Forecast'!AW7*Assumptions!$D$12+'Sales Forecast'!AV7*Assumptions!$E$12+'Sales Forecast'!AU7*Assumptions!$F$12+'Sales Forecast'!AT7*Assumptions!$G$12+'Sales Forecast'!AS7*Assumptions!$H$12+'Sales Forecast'!AR7*Assumptions!$I$12</f>
        <v/>
      </c>
      <c r="AY13" s="17">
        <f>'Sales Forecast'!AY7*Assumptions!$C$12+'Sales Forecast'!AX7*Assumptions!$D$12+'Sales Forecast'!AW7*Assumptions!$E$12+'Sales Forecast'!AV7*Assumptions!$F$12+'Sales Forecast'!AU7*Assumptions!$G$12+'Sales Forecast'!AT7*Assumptions!$H$12+'Sales Forecast'!AS7*Assumptions!$I$12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251.2</v>
      </c>
      <c r="M14" s="19" t="n">
        <v>1268.4</v>
      </c>
      <c r="N14" s="19" t="n">
        <v>4314.82</v>
      </c>
      <c r="O14" s="19" t="n">
        <v>5585</v>
      </c>
      <c r="P14" s="19" t="n">
        <v>2890.72</v>
      </c>
      <c r="Q14" s="19" t="n">
        <v>4105.76</v>
      </c>
      <c r="R14" s="19" t="n">
        <v>2843.53</v>
      </c>
      <c r="S14" s="19" t="n">
        <v>4737.65</v>
      </c>
      <c r="T14" s="84" t="n">
        <v>4879.41</v>
      </c>
      <c r="U14" s="20">
        <f>U17*0.979836</f>
        <v/>
      </c>
      <c r="V14" s="20">
        <f>V17*0.979836</f>
        <v/>
      </c>
      <c r="W14" s="20">
        <f>W17*0.979836</f>
        <v/>
      </c>
      <c r="X14" s="20">
        <f>X17*0.979836</f>
        <v/>
      </c>
      <c r="Y14" s="20">
        <f>Y17*0.979836</f>
        <v/>
      </c>
      <c r="Z14" s="20">
        <f>Z17*0.979836</f>
        <v/>
      </c>
      <c r="AA14" s="20">
        <f>AA17*0.979836</f>
        <v/>
      </c>
      <c r="AB14" s="20">
        <f>AB17*0.979836</f>
        <v/>
      </c>
      <c r="AC14" s="20">
        <f>AC17*0.979836</f>
        <v/>
      </c>
      <c r="AD14" s="20">
        <f>AD17*0.979836</f>
        <v/>
      </c>
      <c r="AE14" s="20">
        <f>AE17*0.979836</f>
        <v/>
      </c>
      <c r="AF14" s="20">
        <f>AF17*0.979836</f>
        <v/>
      </c>
      <c r="AG14" s="20">
        <f>AG17*0.979836</f>
        <v/>
      </c>
      <c r="AH14" s="20">
        <f>AH17*0.979836</f>
        <v/>
      </c>
      <c r="AI14" s="20">
        <f>AI17*0.979836</f>
        <v/>
      </c>
      <c r="AJ14" s="20">
        <f>AJ17*0.979836</f>
        <v/>
      </c>
      <c r="AK14" s="20">
        <f>AK17*0.979836</f>
        <v/>
      </c>
      <c r="AL14" s="20">
        <f>AL17*0.979836</f>
        <v/>
      </c>
      <c r="AM14" s="20">
        <f>AM17*0.979836</f>
        <v/>
      </c>
      <c r="AN14" s="20">
        <f>AN17*0.979836</f>
        <v/>
      </c>
      <c r="AO14" s="20">
        <f>AO17*0.979836</f>
        <v/>
      </c>
      <c r="AP14" s="20">
        <f>AP17*0.979836</f>
        <v/>
      </c>
      <c r="AQ14" s="20">
        <f>AQ17*0.979836</f>
        <v/>
      </c>
      <c r="AR14" s="20">
        <f>AR17*0.979836</f>
        <v/>
      </c>
      <c r="AS14" s="20">
        <f>AS17*0.979836</f>
        <v/>
      </c>
      <c r="AT14" s="20">
        <f>AT17*0.979836</f>
        <v/>
      </c>
      <c r="AU14" s="20">
        <f>AU17*0.979836</f>
        <v/>
      </c>
      <c r="AV14" s="20">
        <f>AV17*0.979836</f>
        <v/>
      </c>
      <c r="AW14" s="20">
        <f>AW17*0.979836</f>
        <v/>
      </c>
      <c r="AX14" s="20">
        <f>AX17*0.979836</f>
        <v/>
      </c>
      <c r="AY14" s="20">
        <f>AY17*0.979836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595</v>
      </c>
      <c r="N15" s="19" t="n">
        <v>675</v>
      </c>
      <c r="O15" s="19" t="n">
        <v>785</v>
      </c>
      <c r="P15" s="19" t="n">
        <v>0</v>
      </c>
      <c r="Q15" s="19" t="n">
        <v>225</v>
      </c>
      <c r="R15" s="19" t="n">
        <v>0</v>
      </c>
      <c r="S15" s="19" t="n">
        <v>75</v>
      </c>
      <c r="T15" s="84" t="n">
        <v>230</v>
      </c>
      <c r="U15" s="20">
        <f>U17*0.020164</f>
        <v/>
      </c>
      <c r="V15" s="20">
        <f>V17*0.020164</f>
        <v/>
      </c>
      <c r="W15" s="20">
        <f>W17*0.020164</f>
        <v/>
      </c>
      <c r="X15" s="20">
        <f>X17*0.020164</f>
        <v/>
      </c>
      <c r="Y15" s="20">
        <f>Y17*0.020164</f>
        <v/>
      </c>
      <c r="Z15" s="20">
        <f>Z17*0.020164</f>
        <v/>
      </c>
      <c r="AA15" s="20">
        <f>AA17*0.020164</f>
        <v/>
      </c>
      <c r="AB15" s="20">
        <f>AB17*0.020164</f>
        <v/>
      </c>
      <c r="AC15" s="20">
        <f>AC17*0.020164</f>
        <v/>
      </c>
      <c r="AD15" s="20">
        <f>AD17*0.020164</f>
        <v/>
      </c>
      <c r="AE15" s="20">
        <f>AE17*0.020164</f>
        <v/>
      </c>
      <c r="AF15" s="20">
        <f>AF17*0.020164</f>
        <v/>
      </c>
      <c r="AG15" s="20">
        <f>AG17*0.020164</f>
        <v/>
      </c>
      <c r="AH15" s="20">
        <f>AH17*0.020164</f>
        <v/>
      </c>
      <c r="AI15" s="20">
        <f>AI17*0.020164</f>
        <v/>
      </c>
      <c r="AJ15" s="20">
        <f>AJ17*0.020164</f>
        <v/>
      </c>
      <c r="AK15" s="20">
        <f>AK17*0.020164</f>
        <v/>
      </c>
      <c r="AL15" s="20">
        <f>AL17*0.020164</f>
        <v/>
      </c>
      <c r="AM15" s="20">
        <f>AM17*0.020164</f>
        <v/>
      </c>
      <c r="AN15" s="20">
        <f>AN17*0.020164</f>
        <v/>
      </c>
      <c r="AO15" s="20">
        <f>AO17*0.020164</f>
        <v/>
      </c>
      <c r="AP15" s="20">
        <f>AP17*0.020164</f>
        <v/>
      </c>
      <c r="AQ15" s="20">
        <f>AQ17*0.020164</f>
        <v/>
      </c>
      <c r="AR15" s="20">
        <f>AR17*0.020164</f>
        <v/>
      </c>
      <c r="AS15" s="20">
        <f>AS17*0.020164</f>
        <v/>
      </c>
      <c r="AT15" s="20">
        <f>AT17*0.020164</f>
        <v/>
      </c>
      <c r="AU15" s="20">
        <f>AU17*0.020164</f>
        <v/>
      </c>
      <c r="AV15" s="20">
        <f>AV17*0.020164</f>
        <v/>
      </c>
      <c r="AW15" s="20">
        <f>AW17*0.020164</f>
        <v/>
      </c>
      <c r="AX15" s="20">
        <f>AX17*0.020164</f>
        <v/>
      </c>
      <c r="AY15" s="20">
        <f>AY17*0.020164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251.2</v>
      </c>
      <c r="M17" s="35" t="n">
        <v>1863.4</v>
      </c>
      <c r="N17" s="35" t="n">
        <v>4989.82</v>
      </c>
      <c r="O17" s="35" t="n">
        <v>6370</v>
      </c>
      <c r="P17" s="35" t="n">
        <v>2890.72</v>
      </c>
      <c r="Q17" s="35" t="n">
        <v>4330.76</v>
      </c>
      <c r="R17" s="35" t="n">
        <v>2843.53</v>
      </c>
      <c r="S17" s="35" t="n">
        <v>4812.65</v>
      </c>
      <c r="T17" s="85" t="n">
        <v>5109.41</v>
      </c>
      <c r="U17" s="17">
        <f>'Sales Forecast'!U7*Assumptions!$C$13+'Sales Forecast'!T7*Assumptions!$D$13+'Sales Forecast'!S7*Assumptions!$E$13+'Sales Forecast'!R7*Assumptions!$F$13+'Sales Forecast'!Q7*Assumptions!$G$13+'Sales Forecast'!P7*Assumptions!$H$13+'Sales Forecast'!U103*Assumptions!$I$13</f>
        <v/>
      </c>
      <c r="V17" s="17">
        <f>'Sales Forecast'!V7*Assumptions!$C$13+'Sales Forecast'!U7*Assumptions!$D$13+'Sales Forecast'!T7*Assumptions!$E$13+'Sales Forecast'!S7*Assumptions!$F$13+'Sales Forecast'!R7*Assumptions!$G$13+'Sales Forecast'!Q7*Assumptions!$H$13+'Sales Forecast'!P7*Assumptions!$I$13</f>
        <v/>
      </c>
      <c r="W17" s="17">
        <f>'Sales Forecast'!W7*Assumptions!$C$13+'Sales Forecast'!V7*Assumptions!$D$13+'Sales Forecast'!U7*Assumptions!$E$13+'Sales Forecast'!T7*Assumptions!$F$13+'Sales Forecast'!S7*Assumptions!$G$13+'Sales Forecast'!R7*Assumptions!$H$13+'Sales Forecast'!Q7*Assumptions!$I$13</f>
        <v/>
      </c>
      <c r="X17" s="17">
        <f>'Sales Forecast'!X7*Assumptions!$C$13+'Sales Forecast'!W7*Assumptions!$D$13+'Sales Forecast'!V7*Assumptions!$E$13+'Sales Forecast'!U7*Assumptions!$F$13+'Sales Forecast'!T7*Assumptions!$G$13+'Sales Forecast'!S7*Assumptions!$H$13+'Sales Forecast'!R7*Assumptions!$I$13</f>
        <v/>
      </c>
      <c r="Y17" s="17">
        <f>'Sales Forecast'!Y7*Assumptions!$C$13+'Sales Forecast'!X7*Assumptions!$D$13+'Sales Forecast'!W7*Assumptions!$E$13+'Sales Forecast'!V7*Assumptions!$F$13+'Sales Forecast'!U7*Assumptions!$G$13+'Sales Forecast'!T7*Assumptions!$H$13+'Sales Forecast'!S7*Assumptions!$I$13</f>
        <v/>
      </c>
      <c r="Z17" s="17">
        <f>'Sales Forecast'!Z7*Assumptions!$C$13+'Sales Forecast'!Y7*Assumptions!$D$13+'Sales Forecast'!X7*Assumptions!$E$13+'Sales Forecast'!W7*Assumptions!$F$13+'Sales Forecast'!V7*Assumptions!$G$13+'Sales Forecast'!U7*Assumptions!$H$13+'Sales Forecast'!T7*Assumptions!$I$13</f>
        <v/>
      </c>
      <c r="AA17" s="17">
        <f>'Sales Forecast'!AA7*Assumptions!$C$13+'Sales Forecast'!Z7*Assumptions!$D$13+'Sales Forecast'!Y7*Assumptions!$E$13+'Sales Forecast'!X7*Assumptions!$F$13+'Sales Forecast'!W7*Assumptions!$G$13+'Sales Forecast'!V7*Assumptions!$H$13+'Sales Forecast'!U7*Assumptions!$I$13</f>
        <v/>
      </c>
      <c r="AB17" s="17">
        <f>'Sales Forecast'!AB7*Assumptions!$C$13+'Sales Forecast'!AA7*Assumptions!$D$13+'Sales Forecast'!Z7*Assumptions!$E$13+'Sales Forecast'!Y7*Assumptions!$F$13+'Sales Forecast'!X7*Assumptions!$G$13+'Sales Forecast'!W7*Assumptions!$H$13+'Sales Forecast'!V7*Assumptions!$I$13</f>
        <v/>
      </c>
      <c r="AC17" s="17">
        <f>'Sales Forecast'!AC7*Assumptions!$C$13+'Sales Forecast'!AB7*Assumptions!$D$13+'Sales Forecast'!AA7*Assumptions!$E$13+'Sales Forecast'!Z7*Assumptions!$F$13+'Sales Forecast'!Y7*Assumptions!$G$13+'Sales Forecast'!X7*Assumptions!$H$13+'Sales Forecast'!W7*Assumptions!$I$13</f>
        <v/>
      </c>
      <c r="AD17" s="17">
        <f>'Sales Forecast'!AD7*Assumptions!$C$13+'Sales Forecast'!AC7*Assumptions!$D$13+'Sales Forecast'!AB7*Assumptions!$E$13+'Sales Forecast'!AA7*Assumptions!$F$13+'Sales Forecast'!Z7*Assumptions!$G$13+'Sales Forecast'!Y7*Assumptions!$H$13+'Sales Forecast'!X7*Assumptions!$I$13</f>
        <v/>
      </c>
      <c r="AE17" s="17">
        <f>'Sales Forecast'!AE7*Assumptions!$C$13+'Sales Forecast'!AD7*Assumptions!$D$13+'Sales Forecast'!AC7*Assumptions!$E$13+'Sales Forecast'!AB7*Assumptions!$F$13+'Sales Forecast'!AA7*Assumptions!$G$13+'Sales Forecast'!Z7*Assumptions!$H$13+'Sales Forecast'!Y7*Assumptions!$I$13</f>
        <v/>
      </c>
      <c r="AF17" s="17">
        <f>'Sales Forecast'!AF7*Assumptions!$C$13+'Sales Forecast'!AE7*Assumptions!$D$13+'Sales Forecast'!AD7*Assumptions!$E$13+'Sales Forecast'!AC7*Assumptions!$F$13+'Sales Forecast'!AB7*Assumptions!$G$13+'Sales Forecast'!AA7*Assumptions!$H$13+'Sales Forecast'!Z7*Assumptions!$I$13</f>
        <v/>
      </c>
      <c r="AG17" s="17">
        <f>'Sales Forecast'!AG7*Assumptions!$C$13+'Sales Forecast'!AF7*Assumptions!$D$13+'Sales Forecast'!AE7*Assumptions!$E$13+'Sales Forecast'!AD7*Assumptions!$F$13+'Sales Forecast'!AC7*Assumptions!$G$13+'Sales Forecast'!AB7*Assumptions!$H$13+'Sales Forecast'!AA7*Assumptions!$I$13</f>
        <v/>
      </c>
      <c r="AH17" s="17">
        <f>'Sales Forecast'!AH7*Assumptions!$C$13+'Sales Forecast'!AG7*Assumptions!$D$13+'Sales Forecast'!AF7*Assumptions!$E$13+'Sales Forecast'!AE7*Assumptions!$F$13+'Sales Forecast'!AD7*Assumptions!$G$13+'Sales Forecast'!AC7*Assumptions!$H$13+'Sales Forecast'!AB7*Assumptions!$I$13</f>
        <v/>
      </c>
      <c r="AI17" s="17">
        <f>'Sales Forecast'!AI7*Assumptions!$C$13+'Sales Forecast'!AH7*Assumptions!$D$13+'Sales Forecast'!AG7*Assumptions!$E$13+'Sales Forecast'!AF7*Assumptions!$F$13+'Sales Forecast'!AE7*Assumptions!$G$13+'Sales Forecast'!AD7*Assumptions!$H$13+'Sales Forecast'!AC7*Assumptions!$I$13</f>
        <v/>
      </c>
      <c r="AJ17" s="17">
        <f>'Sales Forecast'!AJ7*Assumptions!$C$13+'Sales Forecast'!AI7*Assumptions!$D$13+'Sales Forecast'!AH7*Assumptions!$E$13+'Sales Forecast'!AG7*Assumptions!$F$13+'Sales Forecast'!AF7*Assumptions!$G$13+'Sales Forecast'!AE7*Assumptions!$H$13+'Sales Forecast'!AD7*Assumptions!$I$13</f>
        <v/>
      </c>
      <c r="AK17" s="17">
        <f>'Sales Forecast'!AK7*Assumptions!$C$13+'Sales Forecast'!AJ7*Assumptions!$D$13+'Sales Forecast'!AI7*Assumptions!$E$13+'Sales Forecast'!AH7*Assumptions!$F$13+'Sales Forecast'!AG7*Assumptions!$G$13+'Sales Forecast'!AF7*Assumptions!$H$13+'Sales Forecast'!AE7*Assumptions!$I$13</f>
        <v/>
      </c>
      <c r="AL17" s="17">
        <f>'Sales Forecast'!AL7*Assumptions!$C$13+'Sales Forecast'!AK7*Assumptions!$D$13+'Sales Forecast'!AJ7*Assumptions!$E$13+'Sales Forecast'!AI7*Assumptions!$F$13+'Sales Forecast'!AH7*Assumptions!$G$13+'Sales Forecast'!AG7*Assumptions!$H$13+'Sales Forecast'!AF7*Assumptions!$I$13</f>
        <v/>
      </c>
      <c r="AM17" s="17">
        <f>'Sales Forecast'!AM7*Assumptions!$C$13+'Sales Forecast'!AL7*Assumptions!$D$13+'Sales Forecast'!AK7*Assumptions!$E$13+'Sales Forecast'!AJ7*Assumptions!$F$13+'Sales Forecast'!AI7*Assumptions!$G$13+'Sales Forecast'!AH7*Assumptions!$H$13+'Sales Forecast'!AG7*Assumptions!$I$13</f>
        <v/>
      </c>
      <c r="AN17" s="17">
        <f>'Sales Forecast'!AN7*Assumptions!$C$13+'Sales Forecast'!AM7*Assumptions!$D$13+'Sales Forecast'!AL7*Assumptions!$E$13+'Sales Forecast'!AK7*Assumptions!$F$13+'Sales Forecast'!AJ7*Assumptions!$G$13+'Sales Forecast'!AI7*Assumptions!$H$13+'Sales Forecast'!AH7*Assumptions!$I$13</f>
        <v/>
      </c>
      <c r="AO17" s="17">
        <f>'Sales Forecast'!AO7*Assumptions!$C$13+'Sales Forecast'!AN7*Assumptions!$D$13+'Sales Forecast'!AM7*Assumptions!$E$13+'Sales Forecast'!AL7*Assumptions!$F$13+'Sales Forecast'!AK7*Assumptions!$G$13+'Sales Forecast'!AJ7*Assumptions!$H$13+'Sales Forecast'!AI7*Assumptions!$I$13</f>
        <v/>
      </c>
      <c r="AP17" s="17">
        <f>'Sales Forecast'!AP7*Assumptions!$C$13+'Sales Forecast'!AO7*Assumptions!$D$13+'Sales Forecast'!AN7*Assumptions!$E$13+'Sales Forecast'!AM7*Assumptions!$F$13+'Sales Forecast'!AL7*Assumptions!$G$13+'Sales Forecast'!AK7*Assumptions!$H$13+'Sales Forecast'!AJ7*Assumptions!$I$13</f>
        <v/>
      </c>
      <c r="AQ17" s="17">
        <f>'Sales Forecast'!AQ7*Assumptions!$C$13+'Sales Forecast'!AP7*Assumptions!$D$13+'Sales Forecast'!AO7*Assumptions!$E$13+'Sales Forecast'!AN7*Assumptions!$F$13+'Sales Forecast'!AM7*Assumptions!$G$13+'Sales Forecast'!AL7*Assumptions!$H$13+'Sales Forecast'!AK7*Assumptions!$I$13</f>
        <v/>
      </c>
      <c r="AR17" s="17">
        <f>'Sales Forecast'!AR7*Assumptions!$C$13+'Sales Forecast'!AQ7*Assumptions!$D$13+'Sales Forecast'!AP7*Assumptions!$E$13+'Sales Forecast'!AO7*Assumptions!$F$13+'Sales Forecast'!AN7*Assumptions!$G$13+'Sales Forecast'!AM7*Assumptions!$H$13+'Sales Forecast'!AL7*Assumptions!$I$13</f>
        <v/>
      </c>
      <c r="AS17" s="17">
        <f>'Sales Forecast'!AS7*Assumptions!$C$13+'Sales Forecast'!AR7*Assumptions!$D$13+'Sales Forecast'!AQ7*Assumptions!$E$13+'Sales Forecast'!AP7*Assumptions!$F$13+'Sales Forecast'!AO7*Assumptions!$G$13+'Sales Forecast'!AN7*Assumptions!$H$13+'Sales Forecast'!AM7*Assumptions!$I$13</f>
        <v/>
      </c>
      <c r="AT17" s="17">
        <f>'Sales Forecast'!AT7*Assumptions!$C$13+'Sales Forecast'!AS7*Assumptions!$D$13+'Sales Forecast'!AR7*Assumptions!$E$13+'Sales Forecast'!AQ7*Assumptions!$F$13+'Sales Forecast'!AP7*Assumptions!$G$13+'Sales Forecast'!AO7*Assumptions!$H$13+'Sales Forecast'!AN7*Assumptions!$I$13</f>
        <v/>
      </c>
      <c r="AU17" s="17">
        <f>'Sales Forecast'!AU7*Assumptions!$C$13+'Sales Forecast'!AT7*Assumptions!$D$13+'Sales Forecast'!AS7*Assumptions!$E$13+'Sales Forecast'!AR7*Assumptions!$F$13+'Sales Forecast'!AQ7*Assumptions!$G$13+'Sales Forecast'!AP7*Assumptions!$H$13+'Sales Forecast'!AO7*Assumptions!$I$13</f>
        <v/>
      </c>
      <c r="AV17" s="17">
        <f>'Sales Forecast'!AV7*Assumptions!$C$13+'Sales Forecast'!AU7*Assumptions!$D$13+'Sales Forecast'!AT7*Assumptions!$E$13+'Sales Forecast'!AS7*Assumptions!$F$13+'Sales Forecast'!AR7*Assumptions!$G$13+'Sales Forecast'!AQ7*Assumptions!$H$13+'Sales Forecast'!AP7*Assumptions!$I$13</f>
        <v/>
      </c>
      <c r="AW17" s="17">
        <f>'Sales Forecast'!AW7*Assumptions!$C$13+'Sales Forecast'!AV7*Assumptions!$D$13+'Sales Forecast'!AU7*Assumptions!$E$13+'Sales Forecast'!AT7*Assumptions!$F$13+'Sales Forecast'!AS7*Assumptions!$G$13+'Sales Forecast'!AR7*Assumptions!$H$13+'Sales Forecast'!AQ7*Assumptions!$I$13</f>
        <v/>
      </c>
      <c r="AX17" s="17">
        <f>'Sales Forecast'!AX7*Assumptions!$C$13+'Sales Forecast'!AW7*Assumptions!$D$13+'Sales Forecast'!AV7*Assumptions!$E$13+'Sales Forecast'!AU7*Assumptions!$F$13+'Sales Forecast'!AT7*Assumptions!$G$13+'Sales Forecast'!AS7*Assumptions!$H$13+'Sales Forecast'!AR7*Assumptions!$I$13</f>
        <v/>
      </c>
      <c r="AY17" s="17">
        <f>'Sales Forecast'!AY7*Assumptions!$C$13+'Sales Forecast'!AX7*Assumptions!$D$13+'Sales Forecast'!AW7*Assumptions!$E$13+'Sales Forecast'!AV7*Assumptions!$F$13+'Sales Forecast'!AU7*Assumptions!$G$13+'Sales Forecast'!AT7*Assumptions!$H$13+'Sales Forecast'!AS7*Assumptions!$I$13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1068</v>
      </c>
      <c r="M18" s="19" t="n">
        <v>1968</v>
      </c>
      <c r="N18" s="19" t="n">
        <v>1402</v>
      </c>
      <c r="O18" s="19" t="n">
        <v>1200</v>
      </c>
      <c r="P18" s="19" t="n">
        <v>1794</v>
      </c>
      <c r="Q18" s="19" t="n">
        <v>1344</v>
      </c>
      <c r="R18" s="19" t="n">
        <v>1586</v>
      </c>
      <c r="S18" s="19" t="n">
        <v>946</v>
      </c>
      <c r="T18" s="84" t="n">
        <v>928</v>
      </c>
      <c r="U18" s="20">
        <f>1417.5</f>
        <v/>
      </c>
      <c r="V18" s="20">
        <f>1417.5</f>
        <v/>
      </c>
      <c r="W18" s="20">
        <f>1417.5</f>
        <v/>
      </c>
      <c r="X18" s="20">
        <f>1417.5</f>
        <v/>
      </c>
      <c r="Y18" s="20">
        <f>1417.5</f>
        <v/>
      </c>
      <c r="Z18" s="20">
        <f>1417.5</f>
        <v/>
      </c>
      <c r="AA18" s="20">
        <f>1417.5</f>
        <v/>
      </c>
      <c r="AB18" s="20">
        <f>1417.5</f>
        <v/>
      </c>
      <c r="AC18" s="20">
        <f>1417.5</f>
        <v/>
      </c>
      <c r="AD18" s="20">
        <f>1417.5</f>
        <v/>
      </c>
      <c r="AE18" s="20">
        <f>1417.5</f>
        <v/>
      </c>
      <c r="AF18" s="20">
        <f>1417.5</f>
        <v/>
      </c>
      <c r="AG18" s="20">
        <f>1417.5</f>
        <v/>
      </c>
      <c r="AH18" s="20">
        <f>1417.5</f>
        <v/>
      </c>
      <c r="AI18" s="20">
        <f>1417.5</f>
        <v/>
      </c>
      <c r="AJ18" s="20">
        <f>1417.5</f>
        <v/>
      </c>
      <c r="AK18" s="20">
        <f>1417.5</f>
        <v/>
      </c>
      <c r="AL18" s="20">
        <f>1417.5</f>
        <v/>
      </c>
      <c r="AM18" s="20">
        <f>1417.5</f>
        <v/>
      </c>
      <c r="AN18" s="20">
        <f>1417.5</f>
        <v/>
      </c>
      <c r="AO18" s="20">
        <f>1417.5</f>
        <v/>
      </c>
      <c r="AP18" s="20">
        <f>1417.5</f>
        <v/>
      </c>
      <c r="AQ18" s="20">
        <f>1417.5</f>
        <v/>
      </c>
      <c r="AR18" s="20">
        <f>1417.5</f>
        <v/>
      </c>
      <c r="AS18" s="20">
        <f>1417.5</f>
        <v/>
      </c>
      <c r="AT18" s="20">
        <f>1417.5</f>
        <v/>
      </c>
      <c r="AU18" s="20">
        <f>1417.5</f>
        <v/>
      </c>
      <c r="AV18" s="20">
        <f>1417.5</f>
        <v/>
      </c>
      <c r="AW18" s="20">
        <f>1417.5</f>
        <v/>
      </c>
      <c r="AX18" s="20">
        <f>1417.5</f>
        <v/>
      </c>
      <c r="AY18" s="20">
        <f>1417.5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-1110</v>
      </c>
      <c r="O19" s="19" t="n">
        <v>-414</v>
      </c>
      <c r="P19" s="19" t="n">
        <v>1048</v>
      </c>
      <c r="Q19" s="19" t="n">
        <v>740</v>
      </c>
      <c r="R19" s="19" t="n">
        <v>500</v>
      </c>
      <c r="S19" s="19" t="n">
        <v>245</v>
      </c>
      <c r="T19" s="84" t="n">
        <v>443</v>
      </c>
      <c r="U19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Forecast'!P7*Assumptions!$H$13+1417.5)*Assumptions!$C$17</f>
        <v/>
      </c>
      <c r="V19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Forecast'!P7*Assumptions!$I$13+1417.5)*Assumptions!$C$17</f>
        <v/>
      </c>
      <c r="W19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Forecast'!Q7*Assumptions!$I$13+1417.5)*Assumptions!$C$17</f>
        <v/>
      </c>
      <c r="X19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Forecast'!R7*Assumptions!$I$13+1417.5)*Assumptions!$C$17</f>
        <v/>
      </c>
      <c r="Y19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Forecast'!S7*Assumptions!$I$13+1417.5)*Assumptions!$C$17</f>
        <v/>
      </c>
      <c r="Z19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Forecast'!T7*Assumptions!$I$13+1417.5)*Assumptions!$C$17</f>
        <v/>
      </c>
      <c r="AA19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Forecast'!U7*Assumptions!$I$13+1417.5)*Assumptions!$C$17</f>
        <v/>
      </c>
      <c r="AB19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Forecast'!V7*Assumptions!$I$13+1417.5)*Assumptions!$C$17</f>
        <v/>
      </c>
      <c r="AC19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Forecast'!W7*Assumptions!$I$13+1417.5)*Assumptions!$C$17</f>
        <v/>
      </c>
      <c r="AD19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Forecast'!X7*Assumptions!$I$13+1417.5)*Assumptions!$C$17</f>
        <v/>
      </c>
      <c r="AE19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Forecast'!Y7*Assumptions!$I$13+1417.5)*Assumptions!$C$17</f>
        <v/>
      </c>
      <c r="AF19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Forecast'!Z7*Assumptions!$I$13+1417.5)*Assumptions!$C$17</f>
        <v/>
      </c>
      <c r="AG19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Forecast'!AA7*Assumptions!$I$13+1417.5)*Assumptions!$C$17</f>
        <v/>
      </c>
      <c r="AH19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Forecast'!AB7*Assumptions!$I$13+1417.5)*Assumptions!$C$17</f>
        <v/>
      </c>
      <c r="AI19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Forecast'!AC7*Assumptions!$I$13+1417.5)*Assumptions!$C$17</f>
        <v/>
      </c>
      <c r="AJ19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Forecast'!AD7*Assumptions!$I$13+1417.5)*Assumptions!$C$17</f>
        <v/>
      </c>
      <c r="AK19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Forecast'!AE7*Assumptions!$I$13+1417.5)*Assumptions!$C$17</f>
        <v/>
      </c>
      <c r="AL19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Forecast'!AF7*Assumptions!$I$13+1417.5)*Assumptions!$C$17</f>
        <v/>
      </c>
      <c r="AM19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Forecast'!AG7*Assumptions!$I$13+1417.5)*Assumptions!$C$17</f>
        <v/>
      </c>
      <c r="AN19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Forecast'!AH7*Assumptions!$I$13+1417.5)*Assumptions!$C$17</f>
        <v/>
      </c>
      <c r="AO19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Forecast'!AI7*Assumptions!$I$13+1417.5)*Assumptions!$C$17</f>
        <v/>
      </c>
      <c r="AP19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Forecast'!AJ7*Assumptions!$I$13+1417.5)*Assumptions!$C$17</f>
        <v/>
      </c>
      <c r="AQ19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Forecast'!AK7*Assumptions!$I$13+1417.5)*Assumptions!$C$17</f>
        <v/>
      </c>
      <c r="AR19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Forecast'!AL7*Assumptions!$I$13+1417.5)*Assumptions!$C$17</f>
        <v/>
      </c>
      <c r="AS19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Forecast'!AM7*Assumptions!$I$13+1417.5)*Assumptions!$C$17</f>
        <v/>
      </c>
      <c r="AT19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Forecast'!AN7*Assumptions!$I$13+1417.5)*Assumptions!$C$17</f>
        <v/>
      </c>
      <c r="AU19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Forecast'!AO7*Assumptions!$I$13+1417.5)*Assumptions!$C$17</f>
        <v/>
      </c>
      <c r="AV19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Forecast'!AP7*Assumptions!$I$13+1417.5)*Assumptions!$C$17</f>
        <v/>
      </c>
      <c r="AW19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Forecast'!AQ7*Assumptions!$I$13+1417.5)*Assumptions!$C$17</f>
        <v/>
      </c>
      <c r="AX19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Forecast'!AR7*Assumptions!$I$13+1417.5)*Assumptions!$C$17</f>
        <v/>
      </c>
      <c r="AY19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-635</v>
      </c>
      <c r="L20" s="19" t="n">
        <v>-7992.7</v>
      </c>
      <c r="M20" s="19" t="n">
        <v>-3983.8</v>
      </c>
      <c r="N20" s="19" t="n">
        <v>-6214.6</v>
      </c>
      <c r="O20" s="19" t="n">
        <v>-4542.6</v>
      </c>
      <c r="P20" s="19" t="n">
        <v>5079.6</v>
      </c>
      <c r="Q20" s="19" t="n">
        <v>2303.3</v>
      </c>
      <c r="R20" s="19" t="n">
        <v>2607.5</v>
      </c>
      <c r="S20" s="19" t="n">
        <v>2783.2</v>
      </c>
      <c r="T20" s="84" t="n">
        <v>1884.8</v>
      </c>
      <c r="U20" s="20">
        <f>('Sales Forecast'!U7*Assumptions!$C$12+'Sales Forecast'!T7*Assumptions!$D$12+'Sales Forecast'!S7*Assumptions!$E$12+'Sales Forecast'!R7*Assumptions!$F$12+'Sales Forecast'!Q7*Assumptions!$G$12+'Sales Forecast'!P7*Assumptions!$H$12+'Sales Forecast'!U7*Assumptions!$C$13+'Sales Forecast'!T7*Assumptions!$D$13+'Sales Forecast'!S7*Assumptions!$E$13+'Sales Forecast'!R7*Assumptions!$F$13+'Sales Forecast'!Q7*Assumptions!$G$13+'Sales Forecast'!P7*Assumptions!$H$13+1417.5)*Assumptions!$C$18</f>
        <v/>
      </c>
      <c r="V20" s="20">
        <f>('Sales Forecast'!V7*Assumptions!$C$12+'Sales Forecast'!U7*Assumptions!$D$12+'Sales Forecast'!T7*Assumptions!$E$12+'Sales Forecast'!S7*Assumptions!$F$12+'Sales Forecast'!R7*Assumptions!$G$12+'Sales Forecast'!Q7*Assumptions!$H$12+'Sales Forecast'!P7*Assumptions!$I$12+'Sales Forecast'!V7*Assumptions!$C$13+'Sales Forecast'!U7*Assumptions!$D$13+'Sales Forecast'!T7*Assumptions!$E$13+'Sales Forecast'!S7*Assumptions!$F$13+'Sales Forecast'!R7*Assumptions!$G$13+'Sales Forecast'!Q7*Assumptions!$H$13+'Sales Forecast'!P7*Assumptions!$I$13+1417.5)*Assumptions!$C$18</f>
        <v/>
      </c>
      <c r="W20" s="20">
        <f>('Sales Forecast'!W7*Assumptions!$C$12+'Sales Forecast'!V7*Assumptions!$D$12+'Sales Forecast'!U7*Assumptions!$E$12+'Sales Forecast'!T7*Assumptions!$F$12+'Sales Forecast'!S7*Assumptions!$G$12+'Sales Forecast'!R7*Assumptions!$H$12+'Sales Forecast'!Q7*Assumptions!$I$12+'Sales Forecast'!W7*Assumptions!$C$13+'Sales Forecast'!V7*Assumptions!$D$13+'Sales Forecast'!U7*Assumptions!$E$13+'Sales Forecast'!T7*Assumptions!$F$13+'Sales Forecast'!S7*Assumptions!$G$13+'Sales Forecast'!R7*Assumptions!$H$13+'Sales Forecast'!Q7*Assumptions!$I$13+1417.5)*Assumptions!$C$18</f>
        <v/>
      </c>
      <c r="X20" s="20">
        <f>('Sales Forecast'!X7*Assumptions!$C$12+'Sales Forecast'!W7*Assumptions!$D$12+'Sales Forecast'!V7*Assumptions!$E$12+'Sales Forecast'!U7*Assumptions!$F$12+'Sales Forecast'!T7*Assumptions!$G$12+'Sales Forecast'!S7*Assumptions!$H$12+'Sales Forecast'!R7*Assumptions!$I$12+'Sales Forecast'!X7*Assumptions!$C$13+'Sales Forecast'!W7*Assumptions!$D$13+'Sales Forecast'!V7*Assumptions!$E$13+'Sales Forecast'!U7*Assumptions!$F$13+'Sales Forecast'!T7*Assumptions!$G$13+'Sales Forecast'!S7*Assumptions!$H$13+'Sales Forecast'!R7*Assumptions!$I$13+1417.5)*Assumptions!$C$18</f>
        <v/>
      </c>
      <c r="Y20" s="20">
        <f>('Sales Forecast'!Y7*Assumptions!$C$12+'Sales Forecast'!X7*Assumptions!$D$12+'Sales Forecast'!W7*Assumptions!$E$12+'Sales Forecast'!V7*Assumptions!$F$12+'Sales Forecast'!U7*Assumptions!$G$12+'Sales Forecast'!T7*Assumptions!$H$12+'Sales Forecast'!S7*Assumptions!$I$12+'Sales Forecast'!Y7*Assumptions!$C$13+'Sales Forecast'!X7*Assumptions!$D$13+'Sales Forecast'!W7*Assumptions!$E$13+'Sales Forecast'!V7*Assumptions!$F$13+'Sales Forecast'!U7*Assumptions!$G$13+'Sales Forecast'!T7*Assumptions!$H$13+'Sales Forecast'!S7*Assumptions!$I$13+1417.5)*Assumptions!$C$18</f>
        <v/>
      </c>
      <c r="Z20" s="20">
        <f>('Sales Forecast'!Z7*Assumptions!$C$12+'Sales Forecast'!Y7*Assumptions!$D$12+'Sales Forecast'!X7*Assumptions!$E$12+'Sales Forecast'!W7*Assumptions!$F$12+'Sales Forecast'!V7*Assumptions!$G$12+'Sales Forecast'!U7*Assumptions!$H$12+'Sales Forecast'!T7*Assumptions!$I$12+'Sales Forecast'!Z7*Assumptions!$C$13+'Sales Forecast'!Y7*Assumptions!$D$13+'Sales Forecast'!X7*Assumptions!$E$13+'Sales Forecast'!W7*Assumptions!$F$13+'Sales Forecast'!V7*Assumptions!$G$13+'Sales Forecast'!U7*Assumptions!$H$13+'Sales Forecast'!T7*Assumptions!$I$13+1417.5)*Assumptions!$C$18</f>
        <v/>
      </c>
      <c r="AA20" s="20">
        <f>('Sales Forecast'!AA7*Assumptions!$C$12+'Sales Forecast'!Z7*Assumptions!$D$12+'Sales Forecast'!Y7*Assumptions!$E$12+'Sales Forecast'!X7*Assumptions!$F$12+'Sales Forecast'!W7*Assumptions!$G$12+'Sales Forecast'!V7*Assumptions!$H$12+'Sales Forecast'!U7*Assumptions!$I$12+'Sales Forecast'!AA7*Assumptions!$C$13+'Sales Forecast'!Z7*Assumptions!$D$13+'Sales Forecast'!Y7*Assumptions!$E$13+'Sales Forecast'!X7*Assumptions!$F$13+'Sales Forecast'!W7*Assumptions!$G$13+'Sales Forecast'!V7*Assumptions!$H$13+'Sales Forecast'!U7*Assumptions!$I$13+1417.5)*Assumptions!$C$18</f>
        <v/>
      </c>
      <c r="AB20" s="20">
        <f>('Sales Forecast'!AB7*Assumptions!$C$12+'Sales Forecast'!AA7*Assumptions!$D$12+'Sales Forecast'!Z7*Assumptions!$E$12+'Sales Forecast'!Y7*Assumptions!$F$12+'Sales Forecast'!X7*Assumptions!$G$12+'Sales Forecast'!W7*Assumptions!$H$12+'Sales Forecast'!V7*Assumptions!$I$12+'Sales Forecast'!AB7*Assumptions!$C$13+'Sales Forecast'!AA7*Assumptions!$D$13+'Sales Forecast'!Z7*Assumptions!$E$13+'Sales Forecast'!Y7*Assumptions!$F$13+'Sales Forecast'!X7*Assumptions!$G$13+'Sales Forecast'!W7*Assumptions!$H$13+'Sales Forecast'!V7*Assumptions!$I$13+1417.5)*Assumptions!$C$18</f>
        <v/>
      </c>
      <c r="AC20" s="20">
        <f>('Sales Forecast'!AC7*Assumptions!$C$12+'Sales Forecast'!AB7*Assumptions!$D$12+'Sales Forecast'!AA7*Assumptions!$E$12+'Sales Forecast'!Z7*Assumptions!$F$12+'Sales Forecast'!Y7*Assumptions!$G$12+'Sales Forecast'!X7*Assumptions!$H$12+'Sales Forecast'!W7*Assumptions!$I$12+'Sales Forecast'!AC7*Assumptions!$C$13+'Sales Forecast'!AB7*Assumptions!$D$13+'Sales Forecast'!AA7*Assumptions!$E$13+'Sales Forecast'!Z7*Assumptions!$F$13+'Sales Forecast'!Y7*Assumptions!$G$13+'Sales Forecast'!X7*Assumptions!$H$13+'Sales Forecast'!W7*Assumptions!$I$13+1417.5)*Assumptions!$C$18</f>
        <v/>
      </c>
      <c r="AD20" s="20">
        <f>('Sales Forecast'!AD7*Assumptions!$C$12+'Sales Forecast'!AC7*Assumptions!$D$12+'Sales Forecast'!AB7*Assumptions!$E$12+'Sales Forecast'!AA7*Assumptions!$F$12+'Sales Forecast'!Z7*Assumptions!$G$12+'Sales Forecast'!Y7*Assumptions!$H$12+'Sales Forecast'!X7*Assumptions!$I$12+'Sales Forecast'!AD7*Assumptions!$C$13+'Sales Forecast'!AC7*Assumptions!$D$13+'Sales Forecast'!AB7*Assumptions!$E$13+'Sales Forecast'!AA7*Assumptions!$F$13+'Sales Forecast'!Z7*Assumptions!$G$13+'Sales Forecast'!Y7*Assumptions!$H$13+'Sales Forecast'!X7*Assumptions!$I$13+1417.5)*Assumptions!$C$18</f>
        <v/>
      </c>
      <c r="AE20" s="20">
        <f>('Sales Forecast'!AE7*Assumptions!$C$12+'Sales Forecast'!AD7*Assumptions!$D$12+'Sales Forecast'!AC7*Assumptions!$E$12+'Sales Forecast'!AB7*Assumptions!$F$12+'Sales Forecast'!AA7*Assumptions!$G$12+'Sales Forecast'!Z7*Assumptions!$H$12+'Sales Forecast'!Y7*Assumptions!$I$12+'Sales Forecast'!AE7*Assumptions!$C$13+'Sales Forecast'!AD7*Assumptions!$D$13+'Sales Forecast'!AC7*Assumptions!$E$13+'Sales Forecast'!AB7*Assumptions!$F$13+'Sales Forecast'!AA7*Assumptions!$G$13+'Sales Forecast'!Z7*Assumptions!$H$13+'Sales Forecast'!Y7*Assumptions!$I$13+1417.5)*Assumptions!$C$18</f>
        <v/>
      </c>
      <c r="AF20" s="20">
        <f>('Sales Forecast'!AF7*Assumptions!$C$12+'Sales Forecast'!AE7*Assumptions!$D$12+'Sales Forecast'!AD7*Assumptions!$E$12+'Sales Forecast'!AC7*Assumptions!$F$12+'Sales Forecast'!AB7*Assumptions!$G$12+'Sales Forecast'!AA7*Assumptions!$H$12+'Sales Forecast'!Z7*Assumptions!$I$12+'Sales Forecast'!AF7*Assumptions!$C$13+'Sales Forecast'!AE7*Assumptions!$D$13+'Sales Forecast'!AD7*Assumptions!$E$13+'Sales Forecast'!AC7*Assumptions!$F$13+'Sales Forecast'!AB7*Assumptions!$G$13+'Sales Forecast'!AA7*Assumptions!$H$13+'Sales Forecast'!Z7*Assumptions!$I$13+1417.5)*Assumptions!$C$18</f>
        <v/>
      </c>
      <c r="AG20" s="20">
        <f>('Sales Forecast'!AG7*Assumptions!$C$12+'Sales Forecast'!AF7*Assumptions!$D$12+'Sales Forecast'!AE7*Assumptions!$E$12+'Sales Forecast'!AD7*Assumptions!$F$12+'Sales Forecast'!AC7*Assumptions!$G$12+'Sales Forecast'!AB7*Assumptions!$H$12+'Sales Forecast'!AA7*Assumptions!$I$12+'Sales Forecast'!AG7*Assumptions!$C$13+'Sales Forecast'!AF7*Assumptions!$D$13+'Sales Forecast'!AE7*Assumptions!$E$13+'Sales Forecast'!AD7*Assumptions!$F$13+'Sales Forecast'!AC7*Assumptions!$G$13+'Sales Forecast'!AB7*Assumptions!$H$13+'Sales Forecast'!AA7*Assumptions!$I$13+1417.5)*Assumptions!$C$18</f>
        <v/>
      </c>
      <c r="AH20" s="20">
        <f>('Sales Forecast'!AH7*Assumptions!$C$12+'Sales Forecast'!AG7*Assumptions!$D$12+'Sales Forecast'!AF7*Assumptions!$E$12+'Sales Forecast'!AE7*Assumptions!$F$12+'Sales Forecast'!AD7*Assumptions!$G$12+'Sales Forecast'!AC7*Assumptions!$H$12+'Sales Forecast'!AB7*Assumptions!$I$12+'Sales Forecast'!AH7*Assumptions!$C$13+'Sales Forecast'!AG7*Assumptions!$D$13+'Sales Forecast'!AF7*Assumptions!$E$13+'Sales Forecast'!AE7*Assumptions!$F$13+'Sales Forecast'!AD7*Assumptions!$G$13+'Sales Forecast'!AC7*Assumptions!$H$13+'Sales Forecast'!AB7*Assumptions!$I$13+1417.5)*Assumptions!$C$18</f>
        <v/>
      </c>
      <c r="AI20" s="20">
        <f>('Sales Forecast'!AI7*Assumptions!$C$12+'Sales Forecast'!AH7*Assumptions!$D$12+'Sales Forecast'!AG7*Assumptions!$E$12+'Sales Forecast'!AF7*Assumptions!$F$12+'Sales Forecast'!AE7*Assumptions!$G$12+'Sales Forecast'!AD7*Assumptions!$H$12+'Sales Forecast'!AC7*Assumptions!$I$12+'Sales Forecast'!AI7*Assumptions!$C$13+'Sales Forecast'!AH7*Assumptions!$D$13+'Sales Forecast'!AG7*Assumptions!$E$13+'Sales Forecast'!AF7*Assumptions!$F$13+'Sales Forecast'!AE7*Assumptions!$G$13+'Sales Forecast'!AD7*Assumptions!$H$13+'Sales Forecast'!AC7*Assumptions!$I$13+1417.5)*Assumptions!$C$18</f>
        <v/>
      </c>
      <c r="AJ20" s="20">
        <f>('Sales Forecast'!AJ7*Assumptions!$C$12+'Sales Forecast'!AI7*Assumptions!$D$12+'Sales Forecast'!AH7*Assumptions!$E$12+'Sales Forecast'!AG7*Assumptions!$F$12+'Sales Forecast'!AF7*Assumptions!$G$12+'Sales Forecast'!AE7*Assumptions!$H$12+'Sales Forecast'!AD7*Assumptions!$I$12+'Sales Forecast'!AJ7*Assumptions!$C$13+'Sales Forecast'!AI7*Assumptions!$D$13+'Sales Forecast'!AH7*Assumptions!$E$13+'Sales Forecast'!AG7*Assumptions!$F$13+'Sales Forecast'!AF7*Assumptions!$G$13+'Sales Forecast'!AE7*Assumptions!$H$13+'Sales Forecast'!AD7*Assumptions!$I$13+1417.5)*Assumptions!$C$18</f>
        <v/>
      </c>
      <c r="AK20" s="20">
        <f>('Sales Forecast'!AK7*Assumptions!$C$12+'Sales Forecast'!AJ7*Assumptions!$D$12+'Sales Forecast'!AI7*Assumptions!$E$12+'Sales Forecast'!AH7*Assumptions!$F$12+'Sales Forecast'!AG7*Assumptions!$G$12+'Sales Forecast'!AF7*Assumptions!$H$12+'Sales Forecast'!AE7*Assumptions!$I$12+'Sales Forecast'!AK7*Assumptions!$C$13+'Sales Forecast'!AJ7*Assumptions!$D$13+'Sales Forecast'!AI7*Assumptions!$E$13+'Sales Forecast'!AH7*Assumptions!$F$13+'Sales Forecast'!AG7*Assumptions!$G$13+'Sales Forecast'!AF7*Assumptions!$H$13+'Sales Forecast'!AE7*Assumptions!$I$13+1417.5)*Assumptions!$C$18</f>
        <v/>
      </c>
      <c r="AL20" s="20">
        <f>('Sales Forecast'!AL7*Assumptions!$C$12+'Sales Forecast'!AK7*Assumptions!$D$12+'Sales Forecast'!AJ7*Assumptions!$E$12+'Sales Forecast'!AI7*Assumptions!$F$12+'Sales Forecast'!AH7*Assumptions!$G$12+'Sales Forecast'!AG7*Assumptions!$H$12+'Sales Forecast'!AF7*Assumptions!$I$12+'Sales Forecast'!AL7*Assumptions!$C$13+'Sales Forecast'!AK7*Assumptions!$D$13+'Sales Forecast'!AJ7*Assumptions!$E$13+'Sales Forecast'!AI7*Assumptions!$F$13+'Sales Forecast'!AH7*Assumptions!$G$13+'Sales Forecast'!AG7*Assumptions!$H$13+'Sales Forecast'!AF7*Assumptions!$I$13+1417.5)*Assumptions!$C$18</f>
        <v/>
      </c>
      <c r="AM20" s="20">
        <f>('Sales Forecast'!AM7*Assumptions!$C$12+'Sales Forecast'!AL7*Assumptions!$D$12+'Sales Forecast'!AK7*Assumptions!$E$12+'Sales Forecast'!AJ7*Assumptions!$F$12+'Sales Forecast'!AI7*Assumptions!$G$12+'Sales Forecast'!AH7*Assumptions!$H$12+'Sales Forecast'!AG7*Assumptions!$I$12+'Sales Forecast'!AM7*Assumptions!$C$13+'Sales Forecast'!AL7*Assumptions!$D$13+'Sales Forecast'!AK7*Assumptions!$E$13+'Sales Forecast'!AJ7*Assumptions!$F$13+'Sales Forecast'!AI7*Assumptions!$G$13+'Sales Forecast'!AH7*Assumptions!$H$13+'Sales Forecast'!AG7*Assumptions!$I$13+1417.5)*Assumptions!$C$18</f>
        <v/>
      </c>
      <c r="AN20" s="20">
        <f>('Sales Forecast'!AN7*Assumptions!$C$12+'Sales Forecast'!AM7*Assumptions!$D$12+'Sales Forecast'!AL7*Assumptions!$E$12+'Sales Forecast'!AK7*Assumptions!$F$12+'Sales Forecast'!AJ7*Assumptions!$G$12+'Sales Forecast'!AI7*Assumptions!$H$12+'Sales Forecast'!AH7*Assumptions!$I$12+'Sales Forecast'!AN7*Assumptions!$C$13+'Sales Forecast'!AM7*Assumptions!$D$13+'Sales Forecast'!AL7*Assumptions!$E$13+'Sales Forecast'!AK7*Assumptions!$F$13+'Sales Forecast'!AJ7*Assumptions!$G$13+'Sales Forecast'!AI7*Assumptions!$H$13+'Sales Forecast'!AH7*Assumptions!$I$13+1417.5)*Assumptions!$C$18</f>
        <v/>
      </c>
      <c r="AO20" s="20">
        <f>('Sales Forecast'!AO7*Assumptions!$C$12+'Sales Forecast'!AN7*Assumptions!$D$12+'Sales Forecast'!AM7*Assumptions!$E$12+'Sales Forecast'!AL7*Assumptions!$F$12+'Sales Forecast'!AK7*Assumptions!$G$12+'Sales Forecast'!AJ7*Assumptions!$H$12+'Sales Forecast'!AI7*Assumptions!$I$12+'Sales Forecast'!AO7*Assumptions!$C$13+'Sales Forecast'!AN7*Assumptions!$D$13+'Sales Forecast'!AM7*Assumptions!$E$13+'Sales Forecast'!AL7*Assumptions!$F$13+'Sales Forecast'!AK7*Assumptions!$G$13+'Sales Forecast'!AJ7*Assumptions!$H$13+'Sales Forecast'!AI7*Assumptions!$I$13+1417.5)*Assumptions!$C$18</f>
        <v/>
      </c>
      <c r="AP20" s="20">
        <f>('Sales Forecast'!AP7*Assumptions!$C$12+'Sales Forecast'!AO7*Assumptions!$D$12+'Sales Forecast'!AN7*Assumptions!$E$12+'Sales Forecast'!AM7*Assumptions!$F$12+'Sales Forecast'!AL7*Assumptions!$G$12+'Sales Forecast'!AK7*Assumptions!$H$12+'Sales Forecast'!AJ7*Assumptions!$I$12+'Sales Forecast'!AP7*Assumptions!$C$13+'Sales Forecast'!AO7*Assumptions!$D$13+'Sales Forecast'!AN7*Assumptions!$E$13+'Sales Forecast'!AM7*Assumptions!$F$13+'Sales Forecast'!AL7*Assumptions!$G$13+'Sales Forecast'!AK7*Assumptions!$H$13+'Sales Forecast'!AJ7*Assumptions!$I$13+1417.5)*Assumptions!$C$18</f>
        <v/>
      </c>
      <c r="AQ20" s="20">
        <f>('Sales Forecast'!AQ7*Assumptions!$C$12+'Sales Forecast'!AP7*Assumptions!$D$12+'Sales Forecast'!AO7*Assumptions!$E$12+'Sales Forecast'!AN7*Assumptions!$F$12+'Sales Forecast'!AM7*Assumptions!$G$12+'Sales Forecast'!AL7*Assumptions!$H$12+'Sales Forecast'!AK7*Assumptions!$I$12+'Sales Forecast'!AQ7*Assumptions!$C$13+'Sales Forecast'!AP7*Assumptions!$D$13+'Sales Forecast'!AO7*Assumptions!$E$13+'Sales Forecast'!AN7*Assumptions!$F$13+'Sales Forecast'!AM7*Assumptions!$G$13+'Sales Forecast'!AL7*Assumptions!$H$13+'Sales Forecast'!AK7*Assumptions!$I$13+1417.5)*Assumptions!$C$18</f>
        <v/>
      </c>
      <c r="AR20" s="20">
        <f>('Sales Forecast'!AR7*Assumptions!$C$12+'Sales Forecast'!AQ7*Assumptions!$D$12+'Sales Forecast'!AP7*Assumptions!$E$12+'Sales Forecast'!AO7*Assumptions!$F$12+'Sales Forecast'!AN7*Assumptions!$G$12+'Sales Forecast'!AM7*Assumptions!$H$12+'Sales Forecast'!AL7*Assumptions!$I$12+'Sales Forecast'!AR7*Assumptions!$C$13+'Sales Forecast'!AQ7*Assumptions!$D$13+'Sales Forecast'!AP7*Assumptions!$E$13+'Sales Forecast'!AO7*Assumptions!$F$13+'Sales Forecast'!AN7*Assumptions!$G$13+'Sales Forecast'!AM7*Assumptions!$H$13+'Sales Forecast'!AL7*Assumptions!$I$13+1417.5)*Assumptions!$C$18</f>
        <v/>
      </c>
      <c r="AS20" s="20">
        <f>('Sales Forecast'!AS7*Assumptions!$C$12+'Sales Forecast'!AR7*Assumptions!$D$12+'Sales Forecast'!AQ7*Assumptions!$E$12+'Sales Forecast'!AP7*Assumptions!$F$12+'Sales Forecast'!AO7*Assumptions!$G$12+'Sales Forecast'!AN7*Assumptions!$H$12+'Sales Forecast'!AM7*Assumptions!$I$12+'Sales Forecast'!AS7*Assumptions!$C$13+'Sales Forecast'!AR7*Assumptions!$D$13+'Sales Forecast'!AQ7*Assumptions!$E$13+'Sales Forecast'!AP7*Assumptions!$F$13+'Sales Forecast'!AO7*Assumptions!$G$13+'Sales Forecast'!AN7*Assumptions!$H$13+'Sales Forecast'!AM7*Assumptions!$I$13+1417.5)*Assumptions!$C$18</f>
        <v/>
      </c>
      <c r="AT20" s="20">
        <f>('Sales Forecast'!AT7*Assumptions!$C$12+'Sales Forecast'!AS7*Assumptions!$D$12+'Sales Forecast'!AR7*Assumptions!$E$12+'Sales Forecast'!AQ7*Assumptions!$F$12+'Sales Forecast'!AP7*Assumptions!$G$12+'Sales Forecast'!AO7*Assumptions!$H$12+'Sales Forecast'!AN7*Assumptions!$I$12+'Sales Forecast'!AT7*Assumptions!$C$13+'Sales Forecast'!AS7*Assumptions!$D$13+'Sales Forecast'!AR7*Assumptions!$E$13+'Sales Forecast'!AQ7*Assumptions!$F$13+'Sales Forecast'!AP7*Assumptions!$G$13+'Sales Forecast'!AO7*Assumptions!$H$13+'Sales Forecast'!AN7*Assumptions!$I$13+1417.5)*Assumptions!$C$18</f>
        <v/>
      </c>
      <c r="AU20" s="20">
        <f>('Sales Forecast'!AU7*Assumptions!$C$12+'Sales Forecast'!AT7*Assumptions!$D$12+'Sales Forecast'!AS7*Assumptions!$E$12+'Sales Forecast'!AR7*Assumptions!$F$12+'Sales Forecast'!AQ7*Assumptions!$G$12+'Sales Forecast'!AP7*Assumptions!$H$12+'Sales Forecast'!AO7*Assumptions!$I$12+'Sales Forecast'!AU7*Assumptions!$C$13+'Sales Forecast'!AT7*Assumptions!$D$13+'Sales Forecast'!AS7*Assumptions!$E$13+'Sales Forecast'!AR7*Assumptions!$F$13+'Sales Forecast'!AQ7*Assumptions!$G$13+'Sales Forecast'!AP7*Assumptions!$H$13+'Sales Forecast'!AO7*Assumptions!$I$13+1417.5)*Assumptions!$C$18</f>
        <v/>
      </c>
      <c r="AV20" s="20">
        <f>('Sales Forecast'!AV7*Assumptions!$C$12+'Sales Forecast'!AU7*Assumptions!$D$12+'Sales Forecast'!AT7*Assumptions!$E$12+'Sales Forecast'!AS7*Assumptions!$F$12+'Sales Forecast'!AR7*Assumptions!$G$12+'Sales Forecast'!AQ7*Assumptions!$H$12+'Sales Forecast'!AP7*Assumptions!$I$12+'Sales Forecast'!AV7*Assumptions!$C$13+'Sales Forecast'!AU7*Assumptions!$D$13+'Sales Forecast'!AT7*Assumptions!$E$13+'Sales Forecast'!AS7*Assumptions!$F$13+'Sales Forecast'!AR7*Assumptions!$G$13+'Sales Forecast'!AQ7*Assumptions!$H$13+'Sales Forecast'!AP7*Assumptions!$I$13+1417.5)*Assumptions!$C$18</f>
        <v/>
      </c>
      <c r="AW20" s="20">
        <f>('Sales Forecast'!AW7*Assumptions!$C$12+'Sales Forecast'!AV7*Assumptions!$D$12+'Sales Forecast'!AU7*Assumptions!$E$12+'Sales Forecast'!AT7*Assumptions!$F$12+'Sales Forecast'!AS7*Assumptions!$G$12+'Sales Forecast'!AR7*Assumptions!$H$12+'Sales Forecast'!AQ7*Assumptions!$I$12+'Sales Forecast'!AW7*Assumptions!$C$13+'Sales Forecast'!AV7*Assumptions!$D$13+'Sales Forecast'!AU7*Assumptions!$E$13+'Sales Forecast'!AT7*Assumptions!$F$13+'Sales Forecast'!AS7*Assumptions!$G$13+'Sales Forecast'!AR7*Assumptions!$H$13+'Sales Forecast'!AQ7*Assumptions!$I$13+1417.5)*Assumptions!$C$18</f>
        <v/>
      </c>
      <c r="AX20" s="20">
        <f>('Sales Forecast'!AX7*Assumptions!$C$12+'Sales Forecast'!AW7*Assumptions!$D$12+'Sales Forecast'!AV7*Assumptions!$E$12+'Sales Forecast'!AU7*Assumptions!$F$12+'Sales Forecast'!AT7*Assumptions!$G$12+'Sales Forecast'!AS7*Assumptions!$H$12+'Sales Forecast'!AR7*Assumptions!$I$12+'Sales Forecast'!AX7*Assumptions!$C$13+'Sales Forecast'!AW7*Assumptions!$D$13+'Sales Forecast'!AV7*Assumptions!$E$13+'Sales Forecast'!AU7*Assumptions!$F$13+'Sales Forecast'!AT7*Assumptions!$G$13+'Sales Forecast'!AS7*Assumptions!$H$13+'Sales Forecast'!AR7*Assumptions!$I$13+1417.5)*Assumptions!$C$18</f>
        <v/>
      </c>
      <c r="AY20" s="20">
        <f>('Sales Forecast'!AY7*Assumptions!$C$12+'Sales Forecast'!AX7*Assumptions!$D$12+'Sales Forecast'!AW7*Assumptions!$E$12+'Sales Forecast'!AV7*Assumptions!$F$12+'Sales Forecast'!AU7*Assumptions!$G$12+'Sales Forecast'!AT7*Assumptions!$H$12+'Sales Forecast'!AS7*Assumptions!$I$12+'Sales Forecast'!AY7*Assumptions!$C$13+'Sales Forecast'!AX7*Assumptions!$D$13+'Sales Forecast'!AW7*Assumptions!$E$13+'Sales Forecast'!AV7*Assumptions!$F$13+'Sales Forecast'!AU7*Assumptions!$G$13+'Sales Forecast'!AT7*Assumptions!$H$13+'Sales Forecast'!AS7*Assumptions!$I$13+1417.5)*Assumptions!$C$18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-593</v>
      </c>
      <c r="L21" s="35" t="n">
        <v>5189.14</v>
      </c>
      <c r="M21" s="35" t="n">
        <v>27904.72</v>
      </c>
      <c r="N21" s="35" t="n">
        <v>26313.91</v>
      </c>
      <c r="O21" s="35" t="n">
        <v>31865.36000000001</v>
      </c>
      <c r="P21" s="35" t="n">
        <v>37049.59</v>
      </c>
      <c r="Q21" s="35" t="n">
        <v>41559.48</v>
      </c>
      <c r="R21" s="35" t="n">
        <v>42925.48</v>
      </c>
      <c r="S21" s="35" t="n">
        <v>37015.37</v>
      </c>
      <c r="T21" s="85" t="n">
        <v>36383.84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523.5</v>
      </c>
      <c r="M23" s="19" t="n">
        <v>966.1</v>
      </c>
      <c r="N23" s="19" t="n">
        <v>696</v>
      </c>
      <c r="O23" s="19" t="n">
        <v>590.1</v>
      </c>
      <c r="P23" s="19" t="n">
        <v>817.2</v>
      </c>
      <c r="Q23" s="19" t="n">
        <v>667.6</v>
      </c>
      <c r="R23" s="19" t="n">
        <v>782.7</v>
      </c>
      <c r="S23" s="19" t="n">
        <v>474.5</v>
      </c>
      <c r="T23" s="84" t="n">
        <v>464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1.41</v>
      </c>
      <c r="K24" s="19" t="n">
        <v>27.12</v>
      </c>
      <c r="L24" s="19" t="n">
        <v>586.97</v>
      </c>
      <c r="M24" s="19" t="n">
        <v>1101.43</v>
      </c>
      <c r="N24" s="19" t="n">
        <v>667.92</v>
      </c>
      <c r="O24" s="19" t="n">
        <v>901.09</v>
      </c>
      <c r="P24" s="19" t="n">
        <v>997.5599999999999</v>
      </c>
      <c r="Q24" s="19" t="n">
        <v>898.16</v>
      </c>
      <c r="R24" s="19" t="n">
        <v>1146.66</v>
      </c>
      <c r="S24" s="19" t="n">
        <v>855.58</v>
      </c>
      <c r="T24" s="84" t="n">
        <v>876.72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1.41</v>
      </c>
      <c r="K25" s="35" t="n">
        <v>27.12</v>
      </c>
      <c r="L25" s="35" t="n">
        <v>1110.47</v>
      </c>
      <c r="M25" s="35" t="n">
        <v>2067.53</v>
      </c>
      <c r="N25" s="35" t="n">
        <v>1363.92</v>
      </c>
      <c r="O25" s="35" t="n">
        <v>3864.81</v>
      </c>
      <c r="P25" s="35" t="n">
        <v>1814.76</v>
      </c>
      <c r="Q25" s="35" t="n">
        <v>1565.76</v>
      </c>
      <c r="R25" s="35" t="n">
        <v>1929.36</v>
      </c>
      <c r="S25" s="35" t="n">
        <v>1330.08</v>
      </c>
      <c r="T25" s="85" t="n">
        <v>1340.72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-1.41</v>
      </c>
      <c r="K26" s="35" t="n">
        <v>-620.12</v>
      </c>
      <c r="L26" s="35" t="n">
        <v>4078.67</v>
      </c>
      <c r="M26" s="35" t="n">
        <v>25837.19000000001</v>
      </c>
      <c r="N26" s="35" t="n">
        <v>24949.99000000001</v>
      </c>
      <c r="O26" s="35" t="n">
        <v>28000.55000000001</v>
      </c>
      <c r="P26" s="35" t="n">
        <v>35234.83</v>
      </c>
      <c r="Q26" s="35" t="n">
        <v>39993.71999999999</v>
      </c>
      <c r="R26" s="35" t="n">
        <v>40996.12</v>
      </c>
      <c r="S26" s="35" t="n">
        <v>35685.29</v>
      </c>
      <c r="T26" s="85" t="n">
        <v>35043.12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2508.98</v>
      </c>
      <c r="L28" s="19" t="n">
        <v>2301.77</v>
      </c>
      <c r="M28" s="19" t="n">
        <v>2373.48</v>
      </c>
      <c r="N28" s="19" t="n">
        <v>3126.18</v>
      </c>
      <c r="O28" s="19" t="n">
        <v>1853.28</v>
      </c>
      <c r="P28" s="19" t="n">
        <v>1338.08</v>
      </c>
      <c r="Q28" s="19" t="n">
        <v>1423.13</v>
      </c>
      <c r="R28" s="19" t="n">
        <v>557.1</v>
      </c>
      <c r="S28" s="19" t="n">
        <v>0</v>
      </c>
      <c r="T28" s="84" t="n">
        <v>0</v>
      </c>
      <c r="U28" s="20" t="n">
        <v>747.17</v>
      </c>
      <c r="V28" s="20" t="n">
        <v>747.17</v>
      </c>
      <c r="W28" s="20" t="n">
        <v>747.17</v>
      </c>
      <c r="X28" s="20" t="n">
        <v>747.17</v>
      </c>
      <c r="Y28" s="20" t="n">
        <v>747.17</v>
      </c>
      <c r="Z28" s="20" t="n">
        <v>747.17</v>
      </c>
      <c r="AA28" s="20" t="n">
        <v>747.17</v>
      </c>
      <c r="AB28" s="20" t="n">
        <v>747.17</v>
      </c>
      <c r="AC28" s="20" t="n">
        <v>747.17</v>
      </c>
      <c r="AD28" s="20" t="n">
        <v>747.17</v>
      </c>
      <c r="AE28" s="20" t="n">
        <v>747.17</v>
      </c>
      <c r="AF28" s="20" t="n">
        <v>747.17</v>
      </c>
      <c r="AG28" s="20" t="n">
        <v>747.17</v>
      </c>
      <c r="AH28" s="20" t="n">
        <v>747.17</v>
      </c>
      <c r="AI28" s="20" t="n">
        <v>747.17</v>
      </c>
      <c r="AJ28" s="20" t="n">
        <v>747.17</v>
      </c>
      <c r="AK28" s="20" t="n">
        <v>747.17</v>
      </c>
      <c r="AL28" s="20" t="n">
        <v>747.17</v>
      </c>
      <c r="AM28" s="20" t="n">
        <v>747.17</v>
      </c>
      <c r="AN28" s="20" t="n">
        <v>747.17</v>
      </c>
      <c r="AO28" s="20" t="n">
        <v>747.17</v>
      </c>
      <c r="AP28" s="20" t="n">
        <v>747.17</v>
      </c>
      <c r="AQ28" s="20" t="n">
        <v>747.17</v>
      </c>
      <c r="AR28" s="20" t="n">
        <v>747.17</v>
      </c>
      <c r="AS28" s="20" t="n">
        <v>747.17</v>
      </c>
      <c r="AT28" s="20" t="n">
        <v>747.17</v>
      </c>
      <c r="AU28" s="20" t="n">
        <v>747.17</v>
      </c>
      <c r="AV28" s="20" t="n">
        <v>747.17</v>
      </c>
      <c r="AW28" s="20" t="n">
        <v>747.17</v>
      </c>
      <c r="AX28" s="20" t="n">
        <v>747.17</v>
      </c>
      <c r="AY28" s="20" t="n">
        <v>747.17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1370.24</v>
      </c>
      <c r="M30" s="19" t="n">
        <v>189.72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2508.98</v>
      </c>
      <c r="L33" s="35" t="n">
        <v>3672.01</v>
      </c>
      <c r="M33" s="35" t="n">
        <v>2875.47</v>
      </c>
      <c r="N33" s="35" t="n">
        <v>3126.18</v>
      </c>
      <c r="O33" s="35" t="n">
        <v>2402.84</v>
      </c>
      <c r="P33" s="35" t="n">
        <v>1338.08</v>
      </c>
      <c r="Q33" s="35" t="n">
        <v>1423.13</v>
      </c>
      <c r="R33" s="35" t="n">
        <v>557.1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1885.71</v>
      </c>
      <c r="L34" s="19" t="n">
        <v>15103.08</v>
      </c>
      <c r="M34" s="19" t="n">
        <v>23363.57</v>
      </c>
      <c r="N34" s="19" t="n">
        <v>21188.67</v>
      </c>
      <c r="O34" s="19" t="n">
        <v>19923.59</v>
      </c>
      <c r="P34" s="19" t="n">
        <v>19792.41</v>
      </c>
      <c r="Q34" s="19" t="n">
        <v>21148.5</v>
      </c>
      <c r="R34" s="19" t="n">
        <v>23707.86</v>
      </c>
      <c r="S34" s="19" t="n">
        <v>21562.97</v>
      </c>
      <c r="T34" s="84" t="n">
        <v>20706.63</v>
      </c>
      <c r="U34" s="20" t="n">
        <v>20091.59</v>
      </c>
      <c r="V34" s="20" t="n">
        <v>21765.89</v>
      </c>
      <c r="W34" s="20" t="n">
        <v>19254.44</v>
      </c>
      <c r="X34" s="20" t="n">
        <v>20091.59</v>
      </c>
      <c r="Y34" s="20" t="n">
        <v>21765.89</v>
      </c>
      <c r="Z34" s="20" t="n">
        <v>22603.04</v>
      </c>
      <c r="AA34" s="20" t="n">
        <v>21765.89</v>
      </c>
      <c r="AB34" s="20" t="n">
        <v>21765.89</v>
      </c>
      <c r="AC34" s="20" t="n">
        <v>24277.34</v>
      </c>
      <c r="AD34" s="20" t="n">
        <v>22603.04</v>
      </c>
      <c r="AE34" s="20" t="n">
        <v>22022.61</v>
      </c>
      <c r="AF34" s="20" t="n">
        <v>21786.79</v>
      </c>
      <c r="AG34" s="20" t="n">
        <v>21760.62</v>
      </c>
      <c r="AH34" s="20" t="n">
        <v>25464.53</v>
      </c>
      <c r="AI34" s="20" t="n">
        <v>30068.98</v>
      </c>
      <c r="AJ34" s="20" t="n">
        <v>30715.76</v>
      </c>
      <c r="AK34" s="20" t="n">
        <v>29176.34</v>
      </c>
      <c r="AL34" s="20" t="n">
        <v>28512.63</v>
      </c>
      <c r="AM34" s="20" t="n">
        <v>28358.26</v>
      </c>
      <c r="AN34" s="20" t="n">
        <v>21765.89</v>
      </c>
      <c r="AO34" s="20" t="n">
        <v>24277.34</v>
      </c>
      <c r="AP34" s="20" t="n">
        <v>22603.04</v>
      </c>
      <c r="AQ34" s="20" t="n">
        <v>22022.61</v>
      </c>
      <c r="AR34" s="20" t="n">
        <v>21786.79</v>
      </c>
      <c r="AS34" s="20" t="n">
        <v>21760.62</v>
      </c>
      <c r="AT34" s="20" t="n">
        <v>25464.53</v>
      </c>
      <c r="AU34" s="20" t="n">
        <v>30068.98</v>
      </c>
      <c r="AV34" s="20" t="n">
        <v>30715.76</v>
      </c>
      <c r="AW34" s="20" t="n">
        <v>29176.34</v>
      </c>
      <c r="AX34" s="20" t="n">
        <v>28512.63</v>
      </c>
      <c r="AY34" s="20" t="n">
        <v>28358.26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221.57</v>
      </c>
      <c r="L35" s="19" t="n">
        <v>1916.96</v>
      </c>
      <c r="M35" s="19" t="n">
        <v>2799.78</v>
      </c>
      <c r="N35" s="19" t="n">
        <v>2538.32</v>
      </c>
      <c r="O35" s="19" t="n">
        <v>2445.34</v>
      </c>
      <c r="P35" s="19" t="n">
        <v>3244.47</v>
      </c>
      <c r="Q35" s="19" t="n">
        <v>2155.86</v>
      </c>
      <c r="R35" s="19" t="n">
        <v>2294.08</v>
      </c>
      <c r="S35" s="19" t="n">
        <v>2133.96</v>
      </c>
      <c r="T35" s="84" t="n">
        <v>1999.79</v>
      </c>
      <c r="U35" s="20" t="n">
        <v>2290.5</v>
      </c>
      <c r="V35" s="20" t="n">
        <v>2481.37</v>
      </c>
      <c r="W35" s="20" t="n">
        <v>2195.06</v>
      </c>
      <c r="X35" s="20" t="n">
        <v>2290.5</v>
      </c>
      <c r="Y35" s="20" t="n">
        <v>2481.37</v>
      </c>
      <c r="Z35" s="20" t="n">
        <v>2576.81</v>
      </c>
      <c r="AA35" s="20" t="n">
        <v>2481.37</v>
      </c>
      <c r="AB35" s="20" t="n">
        <v>2481.37</v>
      </c>
      <c r="AC35" s="20" t="n">
        <v>2767.68</v>
      </c>
      <c r="AD35" s="20" t="n">
        <v>2576.81</v>
      </c>
      <c r="AE35" s="20" t="n">
        <v>2510.64</v>
      </c>
      <c r="AF35" s="20" t="n">
        <v>2483.75</v>
      </c>
      <c r="AG35" s="20" t="n">
        <v>2480.77</v>
      </c>
      <c r="AH35" s="20" t="n">
        <v>2903.02</v>
      </c>
      <c r="AI35" s="20" t="n">
        <v>3427.94</v>
      </c>
      <c r="AJ35" s="20" t="n">
        <v>3501.68</v>
      </c>
      <c r="AK35" s="20" t="n">
        <v>3326.18</v>
      </c>
      <c r="AL35" s="20" t="n">
        <v>3250.52</v>
      </c>
      <c r="AM35" s="20" t="n">
        <v>3232.92</v>
      </c>
      <c r="AN35" s="20" t="n">
        <v>2481.37</v>
      </c>
      <c r="AO35" s="20" t="n">
        <v>2767.68</v>
      </c>
      <c r="AP35" s="20" t="n">
        <v>2576.81</v>
      </c>
      <c r="AQ35" s="20" t="n">
        <v>2510.64</v>
      </c>
      <c r="AR35" s="20" t="n">
        <v>2483.75</v>
      </c>
      <c r="AS35" s="20" t="n">
        <v>2480.77</v>
      </c>
      <c r="AT35" s="20" t="n">
        <v>2903.02</v>
      </c>
      <c r="AU35" s="20" t="n">
        <v>3427.94</v>
      </c>
      <c r="AV35" s="20" t="n">
        <v>3501.68</v>
      </c>
      <c r="AW35" s="20" t="n">
        <v>3326.18</v>
      </c>
      <c r="AX35" s="20" t="n">
        <v>3250.52</v>
      </c>
      <c r="AY35" s="20" t="n">
        <v>3232.92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360</v>
      </c>
      <c r="N36" s="19" t="n">
        <v>160</v>
      </c>
      <c r="O36" s="19" t="n">
        <v>-29.15</v>
      </c>
      <c r="P36" s="19" t="n">
        <v>362.04</v>
      </c>
      <c r="Q36" s="19" t="n">
        <v>867.02</v>
      </c>
      <c r="R36" s="19" t="n">
        <v>756.24</v>
      </c>
      <c r="S36" s="19" t="n">
        <v>567.73</v>
      </c>
      <c r="T36" s="84" t="n">
        <v>577.5</v>
      </c>
      <c r="U36" s="20" t="n">
        <v>594.98</v>
      </c>
      <c r="V36" s="20" t="n">
        <v>644.5599999999999</v>
      </c>
      <c r="W36" s="20" t="n">
        <v>570.1900000000001</v>
      </c>
      <c r="X36" s="20" t="n">
        <v>594.98</v>
      </c>
      <c r="Y36" s="20" t="n">
        <v>644.5599999999999</v>
      </c>
      <c r="Z36" s="20" t="n">
        <v>669.35</v>
      </c>
      <c r="AA36" s="20" t="n">
        <v>644.5599999999999</v>
      </c>
      <c r="AB36" s="20" t="n">
        <v>644.5599999999999</v>
      </c>
      <c r="AC36" s="20" t="n">
        <v>718.9400000000001</v>
      </c>
      <c r="AD36" s="20" t="n">
        <v>669.35</v>
      </c>
      <c r="AE36" s="20" t="n">
        <v>652.17</v>
      </c>
      <c r="AF36" s="20" t="n">
        <v>645.1799999999999</v>
      </c>
      <c r="AG36" s="20" t="n">
        <v>644.41</v>
      </c>
      <c r="AH36" s="20" t="n">
        <v>754.09</v>
      </c>
      <c r="AI36" s="20" t="n">
        <v>890.45</v>
      </c>
      <c r="AJ36" s="20" t="n">
        <v>909.6</v>
      </c>
      <c r="AK36" s="20" t="n">
        <v>864.01</v>
      </c>
      <c r="AL36" s="20" t="n">
        <v>844.36</v>
      </c>
      <c r="AM36" s="20" t="n">
        <v>839.79</v>
      </c>
      <c r="AN36" s="20" t="n">
        <v>644.5599999999999</v>
      </c>
      <c r="AO36" s="20" t="n">
        <v>718.9400000000001</v>
      </c>
      <c r="AP36" s="20" t="n">
        <v>669.35</v>
      </c>
      <c r="AQ36" s="20" t="n">
        <v>652.17</v>
      </c>
      <c r="AR36" s="20" t="n">
        <v>645.1799999999999</v>
      </c>
      <c r="AS36" s="20" t="n">
        <v>644.41</v>
      </c>
      <c r="AT36" s="20" t="n">
        <v>754.09</v>
      </c>
      <c r="AU36" s="20" t="n">
        <v>890.45</v>
      </c>
      <c r="AV36" s="20" t="n">
        <v>909.6</v>
      </c>
      <c r="AW36" s="20" t="n">
        <v>864.01</v>
      </c>
      <c r="AX36" s="20" t="n">
        <v>844.36</v>
      </c>
      <c r="AY36" s="20" t="n">
        <v>839.79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683.48</v>
      </c>
      <c r="M37" s="19" t="n">
        <v>618.5599999999999</v>
      </c>
      <c r="N37" s="19" t="n">
        <v>635.6799999999999</v>
      </c>
      <c r="O37" s="19" t="n">
        <v>774.21</v>
      </c>
      <c r="P37" s="19" t="n">
        <v>676.22</v>
      </c>
      <c r="Q37" s="19" t="n">
        <v>1136.79</v>
      </c>
      <c r="R37" s="19" t="n">
        <v>1540.85</v>
      </c>
      <c r="S37" s="19" t="n">
        <v>1035.47</v>
      </c>
      <c r="T37" s="84" t="n">
        <v>857.6799999999999</v>
      </c>
      <c r="U37" s="20" t="n">
        <v>1022.93</v>
      </c>
      <c r="V37" s="20" t="n">
        <v>1108.17</v>
      </c>
      <c r="W37" s="20" t="n">
        <v>980.3099999999999</v>
      </c>
      <c r="X37" s="20" t="n">
        <v>1022.93</v>
      </c>
      <c r="Y37" s="20" t="n">
        <v>1108.17</v>
      </c>
      <c r="Z37" s="20" t="n">
        <v>1150.8</v>
      </c>
      <c r="AA37" s="20" t="n">
        <v>1108.17</v>
      </c>
      <c r="AB37" s="20" t="n">
        <v>1108.17</v>
      </c>
      <c r="AC37" s="20" t="n">
        <v>1236.04</v>
      </c>
      <c r="AD37" s="20" t="n">
        <v>1150.8</v>
      </c>
      <c r="AE37" s="20" t="n">
        <v>1121.25</v>
      </c>
      <c r="AF37" s="20" t="n">
        <v>1109.24</v>
      </c>
      <c r="AG37" s="20" t="n">
        <v>1107.91</v>
      </c>
      <c r="AH37" s="20" t="n">
        <v>1296.48</v>
      </c>
      <c r="AI37" s="20" t="n">
        <v>1530.91</v>
      </c>
      <c r="AJ37" s="20" t="n">
        <v>1563.84</v>
      </c>
      <c r="AK37" s="20" t="n">
        <v>1485.47</v>
      </c>
      <c r="AL37" s="20" t="n">
        <v>1451.67</v>
      </c>
      <c r="AM37" s="20" t="n">
        <v>1443.81</v>
      </c>
      <c r="AN37" s="20" t="n">
        <v>1108.17</v>
      </c>
      <c r="AO37" s="20" t="n">
        <v>1236.04</v>
      </c>
      <c r="AP37" s="20" t="n">
        <v>1150.8</v>
      </c>
      <c r="AQ37" s="20" t="n">
        <v>1121.25</v>
      </c>
      <c r="AR37" s="20" t="n">
        <v>1109.24</v>
      </c>
      <c r="AS37" s="20" t="n">
        <v>1107.91</v>
      </c>
      <c r="AT37" s="20" t="n">
        <v>1296.48</v>
      </c>
      <c r="AU37" s="20" t="n">
        <v>1530.91</v>
      </c>
      <c r="AV37" s="20" t="n">
        <v>1563.84</v>
      </c>
      <c r="AW37" s="20" t="n">
        <v>1485.47</v>
      </c>
      <c r="AX37" s="20" t="n">
        <v>1451.67</v>
      </c>
      <c r="AY37" s="20" t="n">
        <v>1443.81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2107.28</v>
      </c>
      <c r="L38" s="35" t="n">
        <v>23080.28</v>
      </c>
      <c r="M38" s="35" t="n">
        <v>31197.11</v>
      </c>
      <c r="N38" s="35" t="n">
        <v>27596.68</v>
      </c>
      <c r="O38" s="35" t="n">
        <v>24342.34</v>
      </c>
      <c r="P38" s="35" t="n">
        <v>24075.14</v>
      </c>
      <c r="Q38" s="35" t="n">
        <v>25308.17</v>
      </c>
      <c r="R38" s="35" t="n">
        <v>28299.03</v>
      </c>
      <c r="S38" s="35" t="n">
        <v>25300.13</v>
      </c>
      <c r="T38" s="85" t="n">
        <v>24141.6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1228</v>
      </c>
      <c r="L39" s="19" t="n">
        <v>956.25</v>
      </c>
      <c r="M39" s="19" t="n">
        <v>769.89</v>
      </c>
      <c r="N39" s="19" t="n">
        <v>791.49</v>
      </c>
      <c r="O39" s="19" t="n">
        <v>948.6799999999999</v>
      </c>
      <c r="P39" s="19" t="n">
        <v>910.98</v>
      </c>
      <c r="Q39" s="19" t="n">
        <v>1253.44</v>
      </c>
      <c r="R39" s="19" t="n">
        <v>881.08</v>
      </c>
      <c r="S39" s="19" t="n">
        <v>840.0599999999999</v>
      </c>
      <c r="T39" s="84" t="n">
        <v>1223.66</v>
      </c>
      <c r="U39" s="20" t="n">
        <v>903.34</v>
      </c>
      <c r="V39" s="20" t="n">
        <v>903.34</v>
      </c>
      <c r="W39" s="20" t="n">
        <v>903.34</v>
      </c>
      <c r="X39" s="20" t="n">
        <v>903.34</v>
      </c>
      <c r="Y39" s="20" t="n">
        <v>903.34</v>
      </c>
      <c r="Z39" s="20" t="n">
        <v>903.34</v>
      </c>
      <c r="AA39" s="20" t="n">
        <v>903.34</v>
      </c>
      <c r="AB39" s="20" t="n">
        <v>903.34</v>
      </c>
      <c r="AC39" s="20" t="n">
        <v>903.34</v>
      </c>
      <c r="AD39" s="20" t="n">
        <v>903.34</v>
      </c>
      <c r="AE39" s="20" t="n">
        <v>903.34</v>
      </c>
      <c r="AF39" s="20" t="n">
        <v>903.34</v>
      </c>
      <c r="AG39" s="20" t="n">
        <v>903.34</v>
      </c>
      <c r="AH39" s="20" t="n">
        <v>903.34</v>
      </c>
      <c r="AI39" s="20" t="n">
        <v>903.34</v>
      </c>
      <c r="AJ39" s="20" t="n">
        <v>903.34</v>
      </c>
      <c r="AK39" s="20" t="n">
        <v>903.34</v>
      </c>
      <c r="AL39" s="20" t="n">
        <v>903.34</v>
      </c>
      <c r="AM39" s="20" t="n">
        <v>903.34</v>
      </c>
      <c r="AN39" s="20" t="n">
        <v>903.34</v>
      </c>
      <c r="AO39" s="20" t="n">
        <v>903.34</v>
      </c>
      <c r="AP39" s="20" t="n">
        <v>903.34</v>
      </c>
      <c r="AQ39" s="20" t="n">
        <v>903.34</v>
      </c>
      <c r="AR39" s="20" t="n">
        <v>903.34</v>
      </c>
      <c r="AS39" s="20" t="n">
        <v>903.34</v>
      </c>
      <c r="AT39" s="20" t="n">
        <v>903.34</v>
      </c>
      <c r="AU39" s="20" t="n">
        <v>903.34</v>
      </c>
      <c r="AV39" s="20" t="n">
        <v>903.34</v>
      </c>
      <c r="AW39" s="20" t="n">
        <v>903.34</v>
      </c>
      <c r="AX39" s="20" t="n">
        <v>903.34</v>
      </c>
      <c r="AY39" s="20" t="n">
        <v>903.34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363.58</v>
      </c>
      <c r="L40" s="19" t="n">
        <v>1526.84</v>
      </c>
      <c r="M40" s="19" t="n">
        <v>2684.45</v>
      </c>
      <c r="N40" s="19" t="n">
        <v>107.45</v>
      </c>
      <c r="O40" s="19" t="n">
        <v>107.45</v>
      </c>
      <c r="P40" s="19" t="n">
        <v>314.75</v>
      </c>
      <c r="Q40" s="19" t="n">
        <v>314.75</v>
      </c>
      <c r="R40" s="19" t="n">
        <v>612.95</v>
      </c>
      <c r="S40" s="19" t="n">
        <v>580.03</v>
      </c>
      <c r="T40" s="84" t="n">
        <v>431.04</v>
      </c>
      <c r="U40" s="20" t="n">
        <v>423.7</v>
      </c>
      <c r="V40" s="20" t="n">
        <v>423.7</v>
      </c>
      <c r="W40" s="20" t="n">
        <v>423.7</v>
      </c>
      <c r="X40" s="20" t="n">
        <v>423.7</v>
      </c>
      <c r="Y40" s="20" t="n">
        <v>423.7</v>
      </c>
      <c r="Z40" s="20" t="n">
        <v>423.7</v>
      </c>
      <c r="AA40" s="20" t="n">
        <v>423.7</v>
      </c>
      <c r="AB40" s="20" t="n">
        <v>423.7</v>
      </c>
      <c r="AC40" s="20" t="n">
        <v>423.7</v>
      </c>
      <c r="AD40" s="20" t="n">
        <v>423.7</v>
      </c>
      <c r="AE40" s="20" t="n">
        <v>423.7</v>
      </c>
      <c r="AF40" s="20" t="n">
        <v>423.7</v>
      </c>
      <c r="AG40" s="20" t="n">
        <v>423.7</v>
      </c>
      <c r="AH40" s="20" t="n">
        <v>423.7</v>
      </c>
      <c r="AI40" s="20" t="n">
        <v>423.7</v>
      </c>
      <c r="AJ40" s="20" t="n">
        <v>423.7</v>
      </c>
      <c r="AK40" s="20" t="n">
        <v>423.7</v>
      </c>
      <c r="AL40" s="20" t="n">
        <v>423.7</v>
      </c>
      <c r="AM40" s="20" t="n">
        <v>423.7</v>
      </c>
      <c r="AN40" s="20" t="n">
        <v>423.7</v>
      </c>
      <c r="AO40" s="20" t="n">
        <v>423.7</v>
      </c>
      <c r="AP40" s="20" t="n">
        <v>423.7</v>
      </c>
      <c r="AQ40" s="20" t="n">
        <v>423.7</v>
      </c>
      <c r="AR40" s="20" t="n">
        <v>423.7</v>
      </c>
      <c r="AS40" s="20" t="n">
        <v>423.7</v>
      </c>
      <c r="AT40" s="20" t="n">
        <v>423.7</v>
      </c>
      <c r="AU40" s="20" t="n">
        <v>423.7</v>
      </c>
      <c r="AV40" s="20" t="n">
        <v>423.7</v>
      </c>
      <c r="AW40" s="20" t="n">
        <v>423.7</v>
      </c>
      <c r="AX40" s="20" t="n">
        <v>423.7</v>
      </c>
      <c r="AY40" s="20" t="n">
        <v>423.7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601.0599999999999</v>
      </c>
      <c r="Q41" s="19" t="n">
        <v>153.33</v>
      </c>
      <c r="R41" s="19" t="n">
        <v>1031.56</v>
      </c>
      <c r="S41" s="19" t="n">
        <v>363.63</v>
      </c>
      <c r="T41" s="84" t="n">
        <v>0</v>
      </c>
      <c r="U41" s="20" t="n">
        <v>499.75</v>
      </c>
      <c r="V41" s="20" t="n">
        <v>499.75</v>
      </c>
      <c r="W41" s="20" t="n">
        <v>499.75</v>
      </c>
      <c r="X41" s="20" t="n">
        <v>499.75</v>
      </c>
      <c r="Y41" s="20" t="n">
        <v>499.75</v>
      </c>
      <c r="Z41" s="20" t="n">
        <v>499.75</v>
      </c>
      <c r="AA41" s="20" t="n">
        <v>499.75</v>
      </c>
      <c r="AB41" s="20" t="n">
        <v>499.75</v>
      </c>
      <c r="AC41" s="20" t="n">
        <v>499.75</v>
      </c>
      <c r="AD41" s="20" t="n">
        <v>499.75</v>
      </c>
      <c r="AE41" s="20" t="n">
        <v>499.75</v>
      </c>
      <c r="AF41" s="20" t="n">
        <v>499.75</v>
      </c>
      <c r="AG41" s="20" t="n">
        <v>499.75</v>
      </c>
      <c r="AH41" s="20" t="n">
        <v>499.75</v>
      </c>
      <c r="AI41" s="20" t="n">
        <v>499.75</v>
      </c>
      <c r="AJ41" s="20" t="n">
        <v>499.75</v>
      </c>
      <c r="AK41" s="20" t="n">
        <v>499.75</v>
      </c>
      <c r="AL41" s="20" t="n">
        <v>499.75</v>
      </c>
      <c r="AM41" s="20" t="n">
        <v>499.75</v>
      </c>
      <c r="AN41" s="20" t="n">
        <v>499.75</v>
      </c>
      <c r="AO41" s="20" t="n">
        <v>499.75</v>
      </c>
      <c r="AP41" s="20" t="n">
        <v>499.75</v>
      </c>
      <c r="AQ41" s="20" t="n">
        <v>499.75</v>
      </c>
      <c r="AR41" s="20" t="n">
        <v>499.75</v>
      </c>
      <c r="AS41" s="20" t="n">
        <v>499.75</v>
      </c>
      <c r="AT41" s="20" t="n">
        <v>499.75</v>
      </c>
      <c r="AU41" s="20" t="n">
        <v>499.75</v>
      </c>
      <c r="AV41" s="20" t="n">
        <v>499.75</v>
      </c>
      <c r="AW41" s="20" t="n">
        <v>499.75</v>
      </c>
      <c r="AX41" s="20" t="n">
        <v>499.75</v>
      </c>
      <c r="AY41" s="20" t="n">
        <v>499.75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800</v>
      </c>
      <c r="L44" s="19" t="n">
        <v>29.87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2870</v>
      </c>
      <c r="T44" s="84" t="n">
        <v>1116.82</v>
      </c>
      <c r="U44" s="20" t="n">
        <v>341.86</v>
      </c>
      <c r="V44" s="20" t="n">
        <v>341.86</v>
      </c>
      <c r="W44" s="20" t="n">
        <v>341.86</v>
      </c>
      <c r="X44" s="20" t="n">
        <v>341.86</v>
      </c>
      <c r="Y44" s="20" t="n">
        <v>341.86</v>
      </c>
      <c r="Z44" s="20" t="n">
        <v>341.86</v>
      </c>
      <c r="AA44" s="20" t="n">
        <v>341.86</v>
      </c>
      <c r="AB44" s="20" t="n">
        <v>341.86</v>
      </c>
      <c r="AC44" s="20" t="n">
        <v>341.86</v>
      </c>
      <c r="AD44" s="20" t="n">
        <v>341.86</v>
      </c>
      <c r="AE44" s="20" t="n">
        <v>341.86</v>
      </c>
      <c r="AF44" s="20" t="n">
        <v>341.86</v>
      </c>
      <c r="AG44" s="20" t="n">
        <v>341.86</v>
      </c>
      <c r="AH44" s="20" t="n">
        <v>341.86</v>
      </c>
      <c r="AI44" s="20" t="n">
        <v>341.86</v>
      </c>
      <c r="AJ44" s="20" t="n">
        <v>341.86</v>
      </c>
      <c r="AK44" s="20" t="n">
        <v>341.86</v>
      </c>
      <c r="AL44" s="20" t="n">
        <v>341.86</v>
      </c>
      <c r="AM44" s="20" t="n">
        <v>341.86</v>
      </c>
      <c r="AN44" s="20" t="n">
        <v>341.86</v>
      </c>
      <c r="AO44" s="20" t="n">
        <v>341.86</v>
      </c>
      <c r="AP44" s="20" t="n">
        <v>341.86</v>
      </c>
      <c r="AQ44" s="20" t="n">
        <v>341.86</v>
      </c>
      <c r="AR44" s="20" t="n">
        <v>341.86</v>
      </c>
      <c r="AS44" s="20" t="n">
        <v>341.86</v>
      </c>
      <c r="AT44" s="20" t="n">
        <v>341.86</v>
      </c>
      <c r="AU44" s="20" t="n">
        <v>341.86</v>
      </c>
      <c r="AV44" s="20" t="n">
        <v>341.86</v>
      </c>
      <c r="AW44" s="20" t="n">
        <v>341.86</v>
      </c>
      <c r="AX44" s="20" t="n">
        <v>341.86</v>
      </c>
      <c r="AY44" s="20" t="n">
        <v>341.86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481</v>
      </c>
      <c r="N46" s="19" t="n">
        <v>1093.5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174.14</v>
      </c>
      <c r="V46" s="20" t="n">
        <v>174.14</v>
      </c>
      <c r="W46" s="20" t="n">
        <v>174.14</v>
      </c>
      <c r="X46" s="20" t="n">
        <v>174.14</v>
      </c>
      <c r="Y46" s="20" t="n">
        <v>174.14</v>
      </c>
      <c r="Z46" s="20" t="n">
        <v>174.14</v>
      </c>
      <c r="AA46" s="20" t="n">
        <v>174.14</v>
      </c>
      <c r="AB46" s="20" t="n">
        <v>174.14</v>
      </c>
      <c r="AC46" s="20" t="n">
        <v>174.14</v>
      </c>
      <c r="AD46" s="20" t="n">
        <v>174.14</v>
      </c>
      <c r="AE46" s="20" t="n">
        <v>174.14</v>
      </c>
      <c r="AF46" s="20" t="n">
        <v>174.14</v>
      </c>
      <c r="AG46" s="20" t="n">
        <v>174.14</v>
      </c>
      <c r="AH46" s="20" t="n">
        <v>174.14</v>
      </c>
      <c r="AI46" s="20" t="n">
        <v>174.14</v>
      </c>
      <c r="AJ46" s="20" t="n">
        <v>174.14</v>
      </c>
      <c r="AK46" s="20" t="n">
        <v>174.14</v>
      </c>
      <c r="AL46" s="20" t="n">
        <v>174.14</v>
      </c>
      <c r="AM46" s="20" t="n">
        <v>174.14</v>
      </c>
      <c r="AN46" s="20" t="n">
        <v>174.14</v>
      </c>
      <c r="AO46" s="20" t="n">
        <v>174.14</v>
      </c>
      <c r="AP46" s="20" t="n">
        <v>174.14</v>
      </c>
      <c r="AQ46" s="20" t="n">
        <v>174.14</v>
      </c>
      <c r="AR46" s="20" t="n">
        <v>174.14</v>
      </c>
      <c r="AS46" s="20" t="n">
        <v>174.14</v>
      </c>
      <c r="AT46" s="20" t="n">
        <v>174.14</v>
      </c>
      <c r="AU46" s="20" t="n">
        <v>174.14</v>
      </c>
      <c r="AV46" s="20" t="n">
        <v>174.14</v>
      </c>
      <c r="AW46" s="20" t="n">
        <v>174.14</v>
      </c>
      <c r="AX46" s="20" t="n">
        <v>174.14</v>
      </c>
      <c r="AY46" s="20" t="n">
        <v>174.14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800</v>
      </c>
      <c r="L47" s="35" t="n">
        <v>29.87</v>
      </c>
      <c r="M47" s="35" t="n">
        <v>481</v>
      </c>
      <c r="N47" s="35" t="n">
        <v>1248.04</v>
      </c>
      <c r="O47" s="35" t="n">
        <v>598.77</v>
      </c>
      <c r="P47" s="35" t="n">
        <v>516</v>
      </c>
      <c r="Q47" s="35" t="n">
        <v>817.8199999999999</v>
      </c>
      <c r="R47" s="35" t="n">
        <v>1396</v>
      </c>
      <c r="S47" s="35" t="n">
        <v>3386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420.63</v>
      </c>
      <c r="Q48" s="19" t="n">
        <v>159.5</v>
      </c>
      <c r="R48" s="19" t="n">
        <v>271.5</v>
      </c>
      <c r="S48" s="19" t="n">
        <v>0</v>
      </c>
      <c r="T48" s="84" t="n">
        <v>0</v>
      </c>
      <c r="U48" s="20" t="n">
        <v>340.41</v>
      </c>
      <c r="V48" s="20" t="n">
        <v>340.41</v>
      </c>
      <c r="W48" s="20" t="n">
        <v>340.41</v>
      </c>
      <c r="X48" s="20" t="n">
        <v>340.41</v>
      </c>
      <c r="Y48" s="20" t="n">
        <v>340.41</v>
      </c>
      <c r="Z48" s="20" t="n">
        <v>340.41</v>
      </c>
      <c r="AA48" s="20" t="n">
        <v>340.41</v>
      </c>
      <c r="AB48" s="20" t="n">
        <v>340.41</v>
      </c>
      <c r="AC48" s="20" t="n">
        <v>340.41</v>
      </c>
      <c r="AD48" s="20" t="n">
        <v>340.41</v>
      </c>
      <c r="AE48" s="20" t="n">
        <v>340.41</v>
      </c>
      <c r="AF48" s="20" t="n">
        <v>340.41</v>
      </c>
      <c r="AG48" s="20" t="n">
        <v>340.41</v>
      </c>
      <c r="AH48" s="20" t="n">
        <v>340.41</v>
      </c>
      <c r="AI48" s="20" t="n">
        <v>340.41</v>
      </c>
      <c r="AJ48" s="20" t="n">
        <v>340.41</v>
      </c>
      <c r="AK48" s="20" t="n">
        <v>340.41</v>
      </c>
      <c r="AL48" s="20" t="n">
        <v>340.41</v>
      </c>
      <c r="AM48" s="20" t="n">
        <v>340.41</v>
      </c>
      <c r="AN48" s="20" t="n">
        <v>340.41</v>
      </c>
      <c r="AO48" s="20" t="n">
        <v>340.41</v>
      </c>
      <c r="AP48" s="20" t="n">
        <v>340.41</v>
      </c>
      <c r="AQ48" s="20" t="n">
        <v>340.41</v>
      </c>
      <c r="AR48" s="20" t="n">
        <v>340.41</v>
      </c>
      <c r="AS48" s="20" t="n">
        <v>340.41</v>
      </c>
      <c r="AT48" s="20" t="n">
        <v>340.41</v>
      </c>
      <c r="AU48" s="20" t="n">
        <v>340.41</v>
      </c>
      <c r="AV48" s="20" t="n">
        <v>340.41</v>
      </c>
      <c r="AW48" s="20" t="n">
        <v>340.41</v>
      </c>
      <c r="AX48" s="20" t="n">
        <v>340.41</v>
      </c>
      <c r="AY48" s="20" t="n">
        <v>340.41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150.32</v>
      </c>
      <c r="K49" s="19" t="n">
        <v>0</v>
      </c>
      <c r="L49" s="19" t="n">
        <v>1160.57</v>
      </c>
      <c r="M49" s="19" t="n">
        <v>276.56</v>
      </c>
      <c r="N49" s="19" t="n">
        <v>178.87</v>
      </c>
      <c r="O49" s="19" t="n">
        <v>771.91</v>
      </c>
      <c r="P49" s="19" t="n">
        <v>0</v>
      </c>
      <c r="Q49" s="19" t="n">
        <v>43.24</v>
      </c>
      <c r="R49" s="19" t="n">
        <v>141.74</v>
      </c>
      <c r="S49" s="19" t="n">
        <v>15.7</v>
      </c>
      <c r="T49" s="84" t="n">
        <v>63.02</v>
      </c>
      <c r="U49" s="20" t="n">
        <v>80.22</v>
      </c>
      <c r="V49" s="20" t="n">
        <v>80.22</v>
      </c>
      <c r="W49" s="20" t="n">
        <v>80.22</v>
      </c>
      <c r="X49" s="20" t="n">
        <v>80.22</v>
      </c>
      <c r="Y49" s="20" t="n">
        <v>80.22</v>
      </c>
      <c r="Z49" s="20" t="n">
        <v>80.22</v>
      </c>
      <c r="AA49" s="20" t="n">
        <v>80.22</v>
      </c>
      <c r="AB49" s="20" t="n">
        <v>80.22</v>
      </c>
      <c r="AC49" s="20" t="n">
        <v>80.22</v>
      </c>
      <c r="AD49" s="20" t="n">
        <v>80.22</v>
      </c>
      <c r="AE49" s="20" t="n">
        <v>80.22</v>
      </c>
      <c r="AF49" s="20" t="n">
        <v>80.22</v>
      </c>
      <c r="AG49" s="20" t="n">
        <v>80.22</v>
      </c>
      <c r="AH49" s="20" t="n">
        <v>80.22</v>
      </c>
      <c r="AI49" s="20" t="n">
        <v>80.22</v>
      </c>
      <c r="AJ49" s="20" t="n">
        <v>80.22</v>
      </c>
      <c r="AK49" s="20" t="n">
        <v>80.22</v>
      </c>
      <c r="AL49" s="20" t="n">
        <v>80.22</v>
      </c>
      <c r="AM49" s="20" t="n">
        <v>80.22</v>
      </c>
      <c r="AN49" s="20" t="n">
        <v>80.22</v>
      </c>
      <c r="AO49" s="20" t="n">
        <v>80.22</v>
      </c>
      <c r="AP49" s="20" t="n">
        <v>80.22</v>
      </c>
      <c r="AQ49" s="20" t="n">
        <v>80.22</v>
      </c>
      <c r="AR49" s="20" t="n">
        <v>80.22</v>
      </c>
      <c r="AS49" s="20" t="n">
        <v>80.22</v>
      </c>
      <c r="AT49" s="20" t="n">
        <v>80.22</v>
      </c>
      <c r="AU49" s="20" t="n">
        <v>80.22</v>
      </c>
      <c r="AV49" s="20" t="n">
        <v>80.22</v>
      </c>
      <c r="AW49" s="20" t="n">
        <v>80.22</v>
      </c>
      <c r="AX49" s="20" t="n">
        <v>80.22</v>
      </c>
      <c r="AY49" s="20" t="n">
        <v>80.22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1342.56</v>
      </c>
      <c r="M51" s="19" t="n">
        <v>330.08</v>
      </c>
      <c r="N51" s="19" t="n">
        <v>331.87</v>
      </c>
      <c r="O51" s="19" t="n">
        <v>324.32</v>
      </c>
      <c r="P51" s="19" t="n">
        <v>347.43</v>
      </c>
      <c r="Q51" s="19" t="n">
        <v>327.14</v>
      </c>
      <c r="R51" s="19" t="n">
        <v>449.57</v>
      </c>
      <c r="S51" s="19" t="n">
        <v>414.77</v>
      </c>
      <c r="T51" s="84" t="n">
        <v>384.52</v>
      </c>
      <c r="U51" s="20" t="n">
        <v>389.78</v>
      </c>
      <c r="V51" s="20" t="n">
        <v>389.78</v>
      </c>
      <c r="W51" s="20" t="n">
        <v>389.78</v>
      </c>
      <c r="X51" s="20" t="n">
        <v>389.78</v>
      </c>
      <c r="Y51" s="20" t="n">
        <v>389.78</v>
      </c>
      <c r="Z51" s="20" t="n">
        <v>389.78</v>
      </c>
      <c r="AA51" s="20" t="n">
        <v>389.78</v>
      </c>
      <c r="AB51" s="20" t="n">
        <v>389.78</v>
      </c>
      <c r="AC51" s="20" t="n">
        <v>389.78</v>
      </c>
      <c r="AD51" s="20" t="n">
        <v>389.78</v>
      </c>
      <c r="AE51" s="20" t="n">
        <v>389.78</v>
      </c>
      <c r="AF51" s="20" t="n">
        <v>389.78</v>
      </c>
      <c r="AG51" s="20" t="n">
        <v>389.78</v>
      </c>
      <c r="AH51" s="20" t="n">
        <v>389.78</v>
      </c>
      <c r="AI51" s="20" t="n">
        <v>389.78</v>
      </c>
      <c r="AJ51" s="20" t="n">
        <v>389.78</v>
      </c>
      <c r="AK51" s="20" t="n">
        <v>389.78</v>
      </c>
      <c r="AL51" s="20" t="n">
        <v>389.78</v>
      </c>
      <c r="AM51" s="20" t="n">
        <v>389.78</v>
      </c>
      <c r="AN51" s="20" t="n">
        <v>389.78</v>
      </c>
      <c r="AO51" s="20" t="n">
        <v>389.78</v>
      </c>
      <c r="AP51" s="20" t="n">
        <v>389.78</v>
      </c>
      <c r="AQ51" s="20" t="n">
        <v>389.78</v>
      </c>
      <c r="AR51" s="20" t="n">
        <v>389.78</v>
      </c>
      <c r="AS51" s="20" t="n">
        <v>389.78</v>
      </c>
      <c r="AT51" s="20" t="n">
        <v>389.78</v>
      </c>
      <c r="AU51" s="20" t="n">
        <v>389.78</v>
      </c>
      <c r="AV51" s="20" t="n">
        <v>389.78</v>
      </c>
      <c r="AW51" s="20" t="n">
        <v>389.78</v>
      </c>
      <c r="AX51" s="20" t="n">
        <v>389.78</v>
      </c>
      <c r="AY51" s="20" t="n">
        <v>389.78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81.25</v>
      </c>
      <c r="Q52" s="19" t="n">
        <v>93.09</v>
      </c>
      <c r="R52" s="19" t="n">
        <v>93.09</v>
      </c>
      <c r="S52" s="19" t="n">
        <v>93</v>
      </c>
      <c r="T52" s="84" t="n">
        <v>0</v>
      </c>
      <c r="U52" s="20" t="n">
        <v>91.29000000000001</v>
      </c>
      <c r="V52" s="20" t="n">
        <v>91.29000000000001</v>
      </c>
      <c r="W52" s="20" t="n">
        <v>91.29000000000001</v>
      </c>
      <c r="X52" s="20" t="n">
        <v>91.29000000000001</v>
      </c>
      <c r="Y52" s="20" t="n">
        <v>91.29000000000001</v>
      </c>
      <c r="Z52" s="20" t="n">
        <v>91.29000000000001</v>
      </c>
      <c r="AA52" s="20" t="n">
        <v>91.29000000000001</v>
      </c>
      <c r="AB52" s="20" t="n">
        <v>91.29000000000001</v>
      </c>
      <c r="AC52" s="20" t="n">
        <v>91.29000000000001</v>
      </c>
      <c r="AD52" s="20" t="n">
        <v>91.29000000000001</v>
      </c>
      <c r="AE52" s="20" t="n">
        <v>91.29000000000001</v>
      </c>
      <c r="AF52" s="20" t="n">
        <v>91.29000000000001</v>
      </c>
      <c r="AG52" s="20" t="n">
        <v>91.29000000000001</v>
      </c>
      <c r="AH52" s="20" t="n">
        <v>91.29000000000001</v>
      </c>
      <c r="AI52" s="20" t="n">
        <v>91.29000000000001</v>
      </c>
      <c r="AJ52" s="20" t="n">
        <v>91.29000000000001</v>
      </c>
      <c r="AK52" s="20" t="n">
        <v>91.29000000000001</v>
      </c>
      <c r="AL52" s="20" t="n">
        <v>91.29000000000001</v>
      </c>
      <c r="AM52" s="20" t="n">
        <v>91.29000000000001</v>
      </c>
      <c r="AN52" s="20" t="n">
        <v>91.29000000000001</v>
      </c>
      <c r="AO52" s="20" t="n">
        <v>91.29000000000001</v>
      </c>
      <c r="AP52" s="20" t="n">
        <v>91.29000000000001</v>
      </c>
      <c r="AQ52" s="20" t="n">
        <v>91.29000000000001</v>
      </c>
      <c r="AR52" s="20" t="n">
        <v>91.29000000000001</v>
      </c>
      <c r="AS52" s="20" t="n">
        <v>91.29000000000001</v>
      </c>
      <c r="AT52" s="20" t="n">
        <v>91.29000000000001</v>
      </c>
      <c r="AU52" s="20" t="n">
        <v>91.29000000000001</v>
      </c>
      <c r="AV52" s="20" t="n">
        <v>91.29000000000001</v>
      </c>
      <c r="AW52" s="20" t="n">
        <v>91.29000000000001</v>
      </c>
      <c r="AX52" s="20" t="n">
        <v>91.29000000000001</v>
      </c>
      <c r="AY52" s="20" t="n">
        <v>91.29000000000001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118.37</v>
      </c>
      <c r="N53" s="19" t="n">
        <v>118.38</v>
      </c>
      <c r="O53" s="19" t="n">
        <v>236.96</v>
      </c>
      <c r="P53" s="19" t="n">
        <v>150</v>
      </c>
      <c r="Q53" s="19" t="n">
        <v>149.97</v>
      </c>
      <c r="R53" s="19" t="n">
        <v>149.97</v>
      </c>
      <c r="S53" s="19" t="n">
        <v>150.52</v>
      </c>
      <c r="T53" s="84" t="n">
        <v>151.44</v>
      </c>
      <c r="U53" s="20" t="n">
        <v>152.09</v>
      </c>
      <c r="V53" s="20" t="n">
        <v>152.09</v>
      </c>
      <c r="W53" s="20" t="n">
        <v>152.09</v>
      </c>
      <c r="X53" s="20" t="n">
        <v>152.09</v>
      </c>
      <c r="Y53" s="20" t="n">
        <v>152.09</v>
      </c>
      <c r="Z53" s="20" t="n">
        <v>152.09</v>
      </c>
      <c r="AA53" s="20" t="n">
        <v>152.09</v>
      </c>
      <c r="AB53" s="20" t="n">
        <v>152.09</v>
      </c>
      <c r="AC53" s="20" t="n">
        <v>152.09</v>
      </c>
      <c r="AD53" s="20" t="n">
        <v>152.09</v>
      </c>
      <c r="AE53" s="20" t="n">
        <v>152.09</v>
      </c>
      <c r="AF53" s="20" t="n">
        <v>152.09</v>
      </c>
      <c r="AG53" s="20" t="n">
        <v>152.09</v>
      </c>
      <c r="AH53" s="20" t="n">
        <v>152.09</v>
      </c>
      <c r="AI53" s="20" t="n">
        <v>152.09</v>
      </c>
      <c r="AJ53" s="20" t="n">
        <v>152.09</v>
      </c>
      <c r="AK53" s="20" t="n">
        <v>152.09</v>
      </c>
      <c r="AL53" s="20" t="n">
        <v>152.09</v>
      </c>
      <c r="AM53" s="20" t="n">
        <v>152.09</v>
      </c>
      <c r="AN53" s="20" t="n">
        <v>152.09</v>
      </c>
      <c r="AO53" s="20" t="n">
        <v>152.09</v>
      </c>
      <c r="AP53" s="20" t="n">
        <v>152.09</v>
      </c>
      <c r="AQ53" s="20" t="n">
        <v>152.09</v>
      </c>
      <c r="AR53" s="20" t="n">
        <v>152.09</v>
      </c>
      <c r="AS53" s="20" t="n">
        <v>152.09</v>
      </c>
      <c r="AT53" s="20" t="n">
        <v>152.09</v>
      </c>
      <c r="AU53" s="20" t="n">
        <v>152.09</v>
      </c>
      <c r="AV53" s="20" t="n">
        <v>152.09</v>
      </c>
      <c r="AW53" s="20" t="n">
        <v>152.09</v>
      </c>
      <c r="AX53" s="20" t="n">
        <v>152.09</v>
      </c>
      <c r="AY53" s="20" t="n">
        <v>152.09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77.98</v>
      </c>
      <c r="O55" s="19" t="n">
        <v>77.98</v>
      </c>
      <c r="P55" s="19" t="n">
        <v>77.98</v>
      </c>
      <c r="Q55" s="19" t="n">
        <v>83.75</v>
      </c>
      <c r="R55" s="19" t="n">
        <v>91.59999999999999</v>
      </c>
      <c r="S55" s="19" t="n">
        <v>76.36</v>
      </c>
      <c r="T55" s="84" t="n">
        <v>70.14</v>
      </c>
      <c r="U55" s="20" t="n">
        <v>83.5</v>
      </c>
      <c r="V55" s="20" t="n">
        <v>83.5</v>
      </c>
      <c r="W55" s="20" t="n">
        <v>83.5</v>
      </c>
      <c r="X55" s="20" t="n">
        <v>83.5</v>
      </c>
      <c r="Y55" s="20" t="n">
        <v>83.5</v>
      </c>
      <c r="Z55" s="20" t="n">
        <v>83.5</v>
      </c>
      <c r="AA55" s="20" t="n">
        <v>83.5</v>
      </c>
      <c r="AB55" s="20" t="n">
        <v>83.5</v>
      </c>
      <c r="AC55" s="20" t="n">
        <v>83.5</v>
      </c>
      <c r="AD55" s="20" t="n">
        <v>83.5</v>
      </c>
      <c r="AE55" s="20" t="n">
        <v>83.5</v>
      </c>
      <c r="AF55" s="20" t="n">
        <v>83.5</v>
      </c>
      <c r="AG55" s="20" t="n">
        <v>83.5</v>
      </c>
      <c r="AH55" s="20" t="n">
        <v>83.5</v>
      </c>
      <c r="AI55" s="20" t="n">
        <v>83.5</v>
      </c>
      <c r="AJ55" s="20" t="n">
        <v>83.5</v>
      </c>
      <c r="AK55" s="20" t="n">
        <v>83.5</v>
      </c>
      <c r="AL55" s="20" t="n">
        <v>83.5</v>
      </c>
      <c r="AM55" s="20" t="n">
        <v>83.5</v>
      </c>
      <c r="AN55" s="20" t="n">
        <v>83.5</v>
      </c>
      <c r="AO55" s="20" t="n">
        <v>83.5</v>
      </c>
      <c r="AP55" s="20" t="n">
        <v>83.5</v>
      </c>
      <c r="AQ55" s="20" t="n">
        <v>83.5</v>
      </c>
      <c r="AR55" s="20" t="n">
        <v>83.5</v>
      </c>
      <c r="AS55" s="20" t="n">
        <v>83.5</v>
      </c>
      <c r="AT55" s="20" t="n">
        <v>83.5</v>
      </c>
      <c r="AU55" s="20" t="n">
        <v>83.5</v>
      </c>
      <c r="AV55" s="20" t="n">
        <v>83.5</v>
      </c>
      <c r="AW55" s="20" t="n">
        <v>83.5</v>
      </c>
      <c r="AX55" s="20" t="n">
        <v>83.5</v>
      </c>
      <c r="AY55" s="20" t="n">
        <v>83.5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1342.56</v>
      </c>
      <c r="M56" s="35" t="n">
        <v>448.45</v>
      </c>
      <c r="N56" s="35" t="n">
        <v>649.47</v>
      </c>
      <c r="O56" s="35" t="n">
        <v>780.51</v>
      </c>
      <c r="P56" s="35" t="n">
        <v>656.6600000000001</v>
      </c>
      <c r="Q56" s="35" t="n">
        <v>653.95</v>
      </c>
      <c r="R56" s="35" t="n">
        <v>784.23</v>
      </c>
      <c r="S56" s="35" t="n">
        <v>734.65</v>
      </c>
      <c r="T56" s="85" t="n">
        <v>699.1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8122.98</v>
      </c>
      <c r="N57" s="19" t="n">
        <v>8122.98</v>
      </c>
      <c r="O57" s="19" t="n">
        <v>8122.98</v>
      </c>
      <c r="P57" s="19" t="n">
        <v>8122.98</v>
      </c>
      <c r="Q57" s="19" t="n">
        <v>8122.98</v>
      </c>
      <c r="R57" s="19" t="n">
        <v>8122.98</v>
      </c>
      <c r="S57" s="19" t="n">
        <v>8122.98</v>
      </c>
      <c r="T57" s="84" t="n">
        <v>8122.98</v>
      </c>
      <c r="U57" s="20" t="n">
        <v>8028.77</v>
      </c>
      <c r="V57" s="20" t="n">
        <v>8028.77</v>
      </c>
      <c r="W57" s="20" t="n">
        <v>8028.77</v>
      </c>
      <c r="X57" s="20" t="n">
        <v>8028.77</v>
      </c>
      <c r="Y57" s="20" t="n">
        <v>8028.77</v>
      </c>
      <c r="Z57" s="20" t="n">
        <v>8028.77</v>
      </c>
      <c r="AA57" s="20" t="n">
        <v>8028.77</v>
      </c>
      <c r="AB57" s="20" t="n">
        <v>8028.77</v>
      </c>
      <c r="AC57" s="20" t="n">
        <v>8028.77</v>
      </c>
      <c r="AD57" s="20" t="n">
        <v>8028.77</v>
      </c>
      <c r="AE57" s="20" t="n">
        <v>8028.77</v>
      </c>
      <c r="AF57" s="20" t="n">
        <v>8028.77</v>
      </c>
      <c r="AG57" s="20" t="n">
        <v>8028.77</v>
      </c>
      <c r="AH57" s="20" t="n">
        <v>8028.77</v>
      </c>
      <c r="AI57" s="20" t="n">
        <v>8028.77</v>
      </c>
      <c r="AJ57" s="20" t="n">
        <v>8028.77</v>
      </c>
      <c r="AK57" s="20" t="n">
        <v>8028.77</v>
      </c>
      <c r="AL57" s="20" t="n">
        <v>8028.77</v>
      </c>
      <c r="AM57" s="20" t="n">
        <v>8028.77</v>
      </c>
      <c r="AN57" s="20" t="n">
        <v>8028.77</v>
      </c>
      <c r="AO57" s="20" t="n">
        <v>8028.77</v>
      </c>
      <c r="AP57" s="20" t="n">
        <v>8028.77</v>
      </c>
      <c r="AQ57" s="20" t="n">
        <v>8028.77</v>
      </c>
      <c r="AR57" s="20" t="n">
        <v>8028.77</v>
      </c>
      <c r="AS57" s="20" t="n">
        <v>8028.77</v>
      </c>
      <c r="AT57" s="20" t="n">
        <v>8028.77</v>
      </c>
      <c r="AU57" s="20" t="n">
        <v>8028.77</v>
      </c>
      <c r="AV57" s="20" t="n">
        <v>8028.77</v>
      </c>
      <c r="AW57" s="20" t="n">
        <v>8028.77</v>
      </c>
      <c r="AX57" s="20" t="n">
        <v>8028.77</v>
      </c>
      <c r="AY57" s="20" t="n">
        <v>8028.77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550.55</v>
      </c>
      <c r="M59" s="19" t="n">
        <v>69.3</v>
      </c>
      <c r="N59" s="19" t="n">
        <v>447.51</v>
      </c>
      <c r="O59" s="19" t="n">
        <v>205.15</v>
      </c>
      <c r="P59" s="19" t="n">
        <v>140.57</v>
      </c>
      <c r="Q59" s="19" t="n">
        <v>394.25</v>
      </c>
      <c r="R59" s="19" t="n">
        <v>414.89</v>
      </c>
      <c r="S59" s="19" t="n">
        <v>-0.45</v>
      </c>
      <c r="T59" s="84" t="n">
        <v>84.04000000000001</v>
      </c>
      <c r="U59" s="20" t="n">
        <v>234.78</v>
      </c>
      <c r="V59" s="20" t="n">
        <v>234.78</v>
      </c>
      <c r="W59" s="20" t="n">
        <v>234.78</v>
      </c>
      <c r="X59" s="20" t="n">
        <v>234.78</v>
      </c>
      <c r="Y59" s="20" t="n">
        <v>234.78</v>
      </c>
      <c r="Z59" s="20" t="n">
        <v>234.78</v>
      </c>
      <c r="AA59" s="20" t="n">
        <v>234.78</v>
      </c>
      <c r="AB59" s="20" t="n">
        <v>234.78</v>
      </c>
      <c r="AC59" s="20" t="n">
        <v>234.78</v>
      </c>
      <c r="AD59" s="20" t="n">
        <v>234.78</v>
      </c>
      <c r="AE59" s="20" t="n">
        <v>234.78</v>
      </c>
      <c r="AF59" s="20" t="n">
        <v>234.78</v>
      </c>
      <c r="AG59" s="20" t="n">
        <v>234.78</v>
      </c>
      <c r="AH59" s="20" t="n">
        <v>234.78</v>
      </c>
      <c r="AI59" s="20" t="n">
        <v>234.78</v>
      </c>
      <c r="AJ59" s="20" t="n">
        <v>234.78</v>
      </c>
      <c r="AK59" s="20" t="n">
        <v>234.78</v>
      </c>
      <c r="AL59" s="20" t="n">
        <v>234.78</v>
      </c>
      <c r="AM59" s="20" t="n">
        <v>234.78</v>
      </c>
      <c r="AN59" s="20" t="n">
        <v>234.78</v>
      </c>
      <c r="AO59" s="20" t="n">
        <v>234.78</v>
      </c>
      <c r="AP59" s="20" t="n">
        <v>234.78</v>
      </c>
      <c r="AQ59" s="20" t="n">
        <v>234.78</v>
      </c>
      <c r="AR59" s="20" t="n">
        <v>234.78</v>
      </c>
      <c r="AS59" s="20" t="n">
        <v>234.78</v>
      </c>
      <c r="AT59" s="20" t="n">
        <v>234.78</v>
      </c>
      <c r="AU59" s="20" t="n">
        <v>234.78</v>
      </c>
      <c r="AV59" s="20" t="n">
        <v>234.78</v>
      </c>
      <c r="AW59" s="20" t="n">
        <v>234.78</v>
      </c>
      <c r="AX59" s="20" t="n">
        <v>234.78</v>
      </c>
      <c r="AY59" s="20" t="n">
        <v>234.78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1505.17</v>
      </c>
      <c r="M61" s="35" t="n">
        <v>8192.279999999999</v>
      </c>
      <c r="N61" s="35" t="n">
        <v>8570.49</v>
      </c>
      <c r="O61" s="35" t="n">
        <v>8328.129999999999</v>
      </c>
      <c r="P61" s="35" t="n">
        <v>8263.549999999999</v>
      </c>
      <c r="Q61" s="35" t="n">
        <v>8517.23</v>
      </c>
      <c r="R61" s="35" t="n">
        <v>8537.869999999999</v>
      </c>
      <c r="S61" s="35" t="n">
        <v>8267.279999999999</v>
      </c>
      <c r="T61" s="85" t="n">
        <v>8207.02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9139.65</v>
      </c>
      <c r="J62" s="35" t="n">
        <v>2529.94</v>
      </c>
      <c r="K62" s="35" t="n">
        <v>9485.01</v>
      </c>
      <c r="L62" s="35" t="n">
        <v>46744.09999999999</v>
      </c>
      <c r="M62" s="35" t="n">
        <v>55681.87</v>
      </c>
      <c r="N62" s="35" t="n">
        <v>45333.77</v>
      </c>
      <c r="O62" s="35" t="n">
        <v>39843.74</v>
      </c>
      <c r="P62" s="35" t="n">
        <v>37096.85000000001</v>
      </c>
      <c r="Q62" s="35" t="n">
        <v>38680.31</v>
      </c>
      <c r="R62" s="35" t="n">
        <v>42513.06000000001</v>
      </c>
      <c r="S62" s="35" t="n">
        <v>42818.39999999999</v>
      </c>
      <c r="T62" s="85" t="n">
        <v>37822.43000000001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-9139.65</v>
      </c>
      <c r="J63" s="35" t="n">
        <v>-2531.349999999999</v>
      </c>
      <c r="K63" s="35" t="n">
        <v>-10105.13</v>
      </c>
      <c r="L63" s="35" t="n">
        <v>-42665.42999999999</v>
      </c>
      <c r="M63" s="35" t="n">
        <v>-29844.67999999999</v>
      </c>
      <c r="N63" s="35" t="n">
        <v>-20383.77999999999</v>
      </c>
      <c r="O63" s="35" t="n">
        <v>-11843.18999999999</v>
      </c>
      <c r="P63" s="35" t="n">
        <v>-1862.020000000004</v>
      </c>
      <c r="Q63" s="35" t="n">
        <v>1313.409999999989</v>
      </c>
      <c r="R63" s="35" t="n">
        <v>-1516.940000000017</v>
      </c>
      <c r="S63" s="35" t="n">
        <v>-7133.109999999986</v>
      </c>
      <c r="T63" s="85" t="n">
        <v>-2779.310000000012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1124.68</v>
      </c>
      <c r="L65" s="19" t="n">
        <v>4074.81</v>
      </c>
      <c r="M65" s="19" t="n">
        <v>4445.85</v>
      </c>
      <c r="N65" s="19" t="n">
        <v>4441.57</v>
      </c>
      <c r="O65" s="19" t="n">
        <v>1465.71</v>
      </c>
      <c r="P65" s="19" t="n">
        <v>4691.67</v>
      </c>
      <c r="Q65" s="19" t="n">
        <v>4691.67</v>
      </c>
      <c r="R65" s="19" t="n">
        <v>4691.67</v>
      </c>
      <c r="S65" s="19" t="n">
        <v>4691.67</v>
      </c>
      <c r="T65" s="84" t="n">
        <v>4691.67</v>
      </c>
      <c r="U65" s="20" t="n">
        <v>4691.67</v>
      </c>
      <c r="V65" s="20" t="n">
        <v>4691.67</v>
      </c>
      <c r="W65" s="20" t="n">
        <v>4691.67</v>
      </c>
      <c r="X65" s="20" t="n">
        <v>4691.67</v>
      </c>
      <c r="Y65" s="20" t="n">
        <v>4691.67</v>
      </c>
      <c r="Z65" s="20" t="n">
        <v>4691.67</v>
      </c>
      <c r="AA65" s="20" t="n">
        <v>4691.67</v>
      </c>
      <c r="AB65" s="20" t="n">
        <v>4691.67</v>
      </c>
      <c r="AC65" s="20" t="n">
        <v>4691.67</v>
      </c>
      <c r="AD65" s="20" t="n">
        <v>4691.67</v>
      </c>
      <c r="AE65" s="20" t="n">
        <v>4691.67</v>
      </c>
      <c r="AF65" s="20" t="n">
        <v>4691.67</v>
      </c>
      <c r="AG65" s="20" t="n">
        <v>4691.67</v>
      </c>
      <c r="AH65" s="20" t="n">
        <v>4691.67</v>
      </c>
      <c r="AI65" s="20" t="n">
        <v>4691.67</v>
      </c>
      <c r="AJ65" s="20" t="n">
        <v>4691.67</v>
      </c>
      <c r="AK65" s="20" t="n">
        <v>4691.67</v>
      </c>
      <c r="AL65" s="20" t="n">
        <v>4691.67</v>
      </c>
      <c r="AM65" s="20" t="n">
        <v>4691.67</v>
      </c>
      <c r="AN65" s="20">
        <f>AN69*0.979862</f>
        <v/>
      </c>
      <c r="AO65" s="20">
        <f>AO69*0.979862</f>
        <v/>
      </c>
      <c r="AP65" s="20">
        <f>AP69*0.979862</f>
        <v/>
      </c>
      <c r="AQ65" s="20">
        <f>AQ69*0.979862</f>
        <v/>
      </c>
      <c r="AR65" s="20">
        <f>AR69*0.979862</f>
        <v/>
      </c>
      <c r="AS65" s="20">
        <f>AS69*0.979862</f>
        <v/>
      </c>
      <c r="AT65" s="20">
        <f>AT69*0.979862</f>
        <v/>
      </c>
      <c r="AU65" s="20">
        <f>AU69*0.979862</f>
        <v/>
      </c>
      <c r="AV65" s="20">
        <f>AV69*0.979862</f>
        <v/>
      </c>
      <c r="AW65" s="20">
        <f>AW69*0.979862</f>
        <v/>
      </c>
      <c r="AX65" s="20">
        <f>AX69*0.979862</f>
        <v/>
      </c>
      <c r="AY65" s="20">
        <f>AY69*0.979862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385.69</v>
      </c>
      <c r="R67" s="19" t="n">
        <v>0</v>
      </c>
      <c r="S67" s="19" t="n">
        <v>0</v>
      </c>
      <c r="T67" s="84" t="n">
        <v>0</v>
      </c>
      <c r="U67" s="20">
        <f>U69*0.020138</f>
        <v/>
      </c>
      <c r="V67" s="20">
        <f>V69*0.020138</f>
        <v/>
      </c>
      <c r="W67" s="20">
        <f>W69*0.020138</f>
        <v/>
      </c>
      <c r="X67" s="20">
        <f>X69*0.020138</f>
        <v/>
      </c>
      <c r="Y67" s="20">
        <f>Y69*0.020138</f>
        <v/>
      </c>
      <c r="Z67" s="20">
        <f>Z69*0.020138</f>
        <v/>
      </c>
      <c r="AA67" s="20">
        <f>AA69*0.020138</f>
        <v/>
      </c>
      <c r="AB67" s="20">
        <f>AB69*0.020138</f>
        <v/>
      </c>
      <c r="AC67" s="20">
        <f>AC69*0.020138</f>
        <v/>
      </c>
      <c r="AD67" s="20">
        <f>AD69*0.020138</f>
        <v/>
      </c>
      <c r="AE67" s="20">
        <f>AE69*0.020138</f>
        <v/>
      </c>
      <c r="AF67" s="20">
        <f>AF69*0.020138</f>
        <v/>
      </c>
      <c r="AG67" s="20">
        <f>AG69*0.020138</f>
        <v/>
      </c>
      <c r="AH67" s="20">
        <f>AH69*0.020138</f>
        <v/>
      </c>
      <c r="AI67" s="20">
        <f>AI69*0.020138</f>
        <v/>
      </c>
      <c r="AJ67" s="20">
        <f>AJ69*0.020138</f>
        <v/>
      </c>
      <c r="AK67" s="20">
        <f>AK69*0.020138</f>
        <v/>
      </c>
      <c r="AL67" s="20">
        <f>AL69*0.020138</f>
        <v/>
      </c>
      <c r="AM67" s="20">
        <f>AM69*0.020138</f>
        <v/>
      </c>
      <c r="AN67" s="20">
        <f>AN69*0.020138</f>
        <v/>
      </c>
      <c r="AO67" s="20">
        <f>AO69*0.020138</f>
        <v/>
      </c>
      <c r="AP67" s="20">
        <f>AP69*0.020138</f>
        <v/>
      </c>
      <c r="AQ67" s="20">
        <f>AQ69*0.020138</f>
        <v/>
      </c>
      <c r="AR67" s="20">
        <f>AR69*0.020138</f>
        <v/>
      </c>
      <c r="AS67" s="20">
        <f>AS69*0.020138</f>
        <v/>
      </c>
      <c r="AT67" s="20">
        <f>AT69*0.020138</f>
        <v/>
      </c>
      <c r="AU67" s="20">
        <f>AU69*0.020138</f>
        <v/>
      </c>
      <c r="AV67" s="20">
        <f>AV69*0.020138</f>
        <v/>
      </c>
      <c r="AW67" s="20">
        <f>AW69*0.020138</f>
        <v/>
      </c>
      <c r="AX67" s="20">
        <f>AX69*0.020138</f>
        <v/>
      </c>
      <c r="AY67" s="20">
        <f>AY69*0.020138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1468.84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1124.68</v>
      </c>
      <c r="L69" s="35" t="n">
        <v>4074.81</v>
      </c>
      <c r="M69" s="35" t="n">
        <v>5914.690000000001</v>
      </c>
      <c r="N69" s="35" t="n">
        <v>4441.57</v>
      </c>
      <c r="O69" s="35" t="n">
        <v>1465.71</v>
      </c>
      <c r="P69" s="35" t="n">
        <v>4691.67</v>
      </c>
      <c r="Q69" s="35" t="n">
        <v>5077.36</v>
      </c>
      <c r="R69" s="35" t="n">
        <v>4691.67</v>
      </c>
      <c r="S69" s="35" t="n">
        <v>4691.67</v>
      </c>
      <c r="T69" s="85" t="n">
        <v>4691.67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-9139.65</v>
      </c>
      <c r="J70" s="35" t="n">
        <v>-2531.349999999999</v>
      </c>
      <c r="K70" s="35" t="n">
        <v>-11229.81</v>
      </c>
      <c r="L70" s="35" t="n">
        <v>-46740.23999999999</v>
      </c>
      <c r="M70" s="35" t="n">
        <v>-35759.36999999999</v>
      </c>
      <c r="N70" s="35" t="n">
        <v>-24825.34999999999</v>
      </c>
      <c r="O70" s="35" t="n">
        <v>-13308.89999999999</v>
      </c>
      <c r="P70" s="35" t="n">
        <v>-6553.690000000004</v>
      </c>
      <c r="Q70" s="35" t="n">
        <v>-3763.95000000001</v>
      </c>
      <c r="R70" s="35" t="n">
        <v>-6208.610000000017</v>
      </c>
      <c r="S70" s="35" t="n">
        <v>-11824.77999999999</v>
      </c>
      <c r="T70" s="85" t="n">
        <v>-7470.980000000012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Danville (DN)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4682.08</v>
      </c>
      <c r="J7" s="19" t="n">
        <v>9092.889999999999</v>
      </c>
      <c r="K7" s="19" t="n">
        <v>9461.98</v>
      </c>
      <c r="L7" s="19" t="n">
        <v>9645.77</v>
      </c>
      <c r="M7" s="19" t="n">
        <v>9782.799999999999</v>
      </c>
      <c r="N7" s="19" t="n">
        <v>8901.01</v>
      </c>
      <c r="O7" s="19" t="n">
        <v>9735.27</v>
      </c>
      <c r="P7" s="19" t="n">
        <v>13528.97</v>
      </c>
      <c r="Q7" s="19" t="n">
        <v>12132.96</v>
      </c>
      <c r="R7" s="19" t="n">
        <v>13736.52</v>
      </c>
      <c r="S7" s="19" t="n">
        <v>12829.22</v>
      </c>
      <c r="T7" s="84" t="n">
        <v>10784.93</v>
      </c>
      <c r="U7" s="20">
        <f>U13*0.654061</f>
        <v/>
      </c>
      <c r="V7" s="20">
        <f>V13*0.654061</f>
        <v/>
      </c>
      <c r="W7" s="20">
        <f>W13*0.654061</f>
        <v/>
      </c>
      <c r="X7" s="20">
        <f>X13*0.654061</f>
        <v/>
      </c>
      <c r="Y7" s="20">
        <f>Y13*0.654061</f>
        <v/>
      </c>
      <c r="Z7" s="20">
        <f>Z13*0.654061</f>
        <v/>
      </c>
      <c r="AA7" s="20">
        <f>AA13*0.654061</f>
        <v/>
      </c>
      <c r="AB7" s="20">
        <f>AB13*0.654061</f>
        <v/>
      </c>
      <c r="AC7" s="20">
        <f>AC13*0.654061</f>
        <v/>
      </c>
      <c r="AD7" s="20">
        <f>AD13*0.654061</f>
        <v/>
      </c>
      <c r="AE7" s="20">
        <f>AE13*0.654061</f>
        <v/>
      </c>
      <c r="AF7" s="20">
        <f>AF13*0.654061</f>
        <v/>
      </c>
      <c r="AG7" s="20">
        <f>AG13*0.654061</f>
        <v/>
      </c>
      <c r="AH7" s="20">
        <f>AH13*0.654061</f>
        <v/>
      </c>
      <c r="AI7" s="20">
        <f>AI13*0.654061</f>
        <v/>
      </c>
      <c r="AJ7" s="20">
        <f>AJ13*0.654061</f>
        <v/>
      </c>
      <c r="AK7" s="20">
        <f>AK13*0.654061</f>
        <v/>
      </c>
      <c r="AL7" s="20">
        <f>AL13*0.654061</f>
        <v/>
      </c>
      <c r="AM7" s="20">
        <f>AM13*0.654061</f>
        <v/>
      </c>
      <c r="AN7" s="20">
        <f>AN13*0.654061</f>
        <v/>
      </c>
      <c r="AO7" s="20">
        <f>AO13*0.654061</f>
        <v/>
      </c>
      <c r="AP7" s="20">
        <f>AP13*0.654061</f>
        <v/>
      </c>
      <c r="AQ7" s="20">
        <f>AQ13*0.654061</f>
        <v/>
      </c>
      <c r="AR7" s="20">
        <f>AR13*0.654061</f>
        <v/>
      </c>
      <c r="AS7" s="20">
        <f>AS13*0.654061</f>
        <v/>
      </c>
      <c r="AT7" s="20">
        <f>AT13*0.654061</f>
        <v/>
      </c>
      <c r="AU7" s="20">
        <f>AU13*0.654061</f>
        <v/>
      </c>
      <c r="AV7" s="20">
        <f>AV13*0.654061</f>
        <v/>
      </c>
      <c r="AW7" s="20">
        <f>AW13*0.654061</f>
        <v/>
      </c>
      <c r="AX7" s="20">
        <f>AX13*0.654061</f>
        <v/>
      </c>
      <c r="AY7" s="20">
        <f>AY13*0.654061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195</v>
      </c>
      <c r="K8" s="19" t="n">
        <v>0</v>
      </c>
      <c r="L8" s="19" t="n">
        <v>340</v>
      </c>
      <c r="M8" s="19" t="n">
        <v>345</v>
      </c>
      <c r="N8" s="19" t="n">
        <v>390</v>
      </c>
      <c r="O8" s="19" t="n">
        <v>150</v>
      </c>
      <c r="P8" s="19" t="n">
        <v>450</v>
      </c>
      <c r="Q8" s="19" t="n">
        <v>1593</v>
      </c>
      <c r="R8" s="19" t="n">
        <v>1977</v>
      </c>
      <c r="S8" s="19" t="n">
        <v>1360</v>
      </c>
      <c r="T8" s="84" t="n">
        <v>1031.67</v>
      </c>
      <c r="U8" s="20">
        <f>U13*0.067375</f>
        <v/>
      </c>
      <c r="V8" s="20">
        <f>V13*0.067375</f>
        <v/>
      </c>
      <c r="W8" s="20">
        <f>W13*0.067375</f>
        <v/>
      </c>
      <c r="X8" s="20">
        <f>X13*0.067375</f>
        <v/>
      </c>
      <c r="Y8" s="20">
        <f>Y13*0.067375</f>
        <v/>
      </c>
      <c r="Z8" s="20">
        <f>Z13*0.067375</f>
        <v/>
      </c>
      <c r="AA8" s="20">
        <f>AA13*0.067375</f>
        <v/>
      </c>
      <c r="AB8" s="20">
        <f>AB13*0.067375</f>
        <v/>
      </c>
      <c r="AC8" s="20">
        <f>AC13*0.067375</f>
        <v/>
      </c>
      <c r="AD8" s="20">
        <f>AD13*0.067375</f>
        <v/>
      </c>
      <c r="AE8" s="20">
        <f>AE13*0.067375</f>
        <v/>
      </c>
      <c r="AF8" s="20">
        <f>AF13*0.067375</f>
        <v/>
      </c>
      <c r="AG8" s="20">
        <f>AG13*0.067375</f>
        <v/>
      </c>
      <c r="AH8" s="20">
        <f>AH13*0.067375</f>
        <v/>
      </c>
      <c r="AI8" s="20">
        <f>AI13*0.067375</f>
        <v/>
      </c>
      <c r="AJ8" s="20">
        <f>AJ13*0.067375</f>
        <v/>
      </c>
      <c r="AK8" s="20">
        <f>AK13*0.067375</f>
        <v/>
      </c>
      <c r="AL8" s="20">
        <f>AL13*0.067375</f>
        <v/>
      </c>
      <c r="AM8" s="20">
        <f>AM13*0.067375</f>
        <v/>
      </c>
      <c r="AN8" s="20">
        <f>AN13*0.067375</f>
        <v/>
      </c>
      <c r="AO8" s="20">
        <f>AO13*0.067375</f>
        <v/>
      </c>
      <c r="AP8" s="20">
        <f>AP13*0.067375</f>
        <v/>
      </c>
      <c r="AQ8" s="20">
        <f>AQ13*0.067375</f>
        <v/>
      </c>
      <c r="AR8" s="20">
        <f>AR13*0.067375</f>
        <v/>
      </c>
      <c r="AS8" s="20">
        <f>AS13*0.067375</f>
        <v/>
      </c>
      <c r="AT8" s="20">
        <f>AT13*0.067375</f>
        <v/>
      </c>
      <c r="AU8" s="20">
        <f>AU13*0.067375</f>
        <v/>
      </c>
      <c r="AV8" s="20">
        <f>AV13*0.067375</f>
        <v/>
      </c>
      <c r="AW8" s="20">
        <f>AW13*0.067375</f>
        <v/>
      </c>
      <c r="AX8" s="20">
        <f>AX13*0.067375</f>
        <v/>
      </c>
      <c r="AY8" s="20">
        <f>AY13*0.067375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2163.02</v>
      </c>
      <c r="J9" s="19" t="n">
        <v>3892.93</v>
      </c>
      <c r="K9" s="19" t="n">
        <v>4512.7</v>
      </c>
      <c r="L9" s="19" t="n">
        <v>4015.15</v>
      </c>
      <c r="M9" s="19" t="n">
        <v>3752.59</v>
      </c>
      <c r="N9" s="19" t="n">
        <v>4624.94</v>
      </c>
      <c r="O9" s="19" t="n">
        <v>4853.91</v>
      </c>
      <c r="P9" s="19" t="n">
        <v>6572</v>
      </c>
      <c r="Q9" s="19" t="n">
        <v>5183.81</v>
      </c>
      <c r="R9" s="19" t="n">
        <v>5673.02</v>
      </c>
      <c r="S9" s="19" t="n">
        <v>4787</v>
      </c>
      <c r="T9" s="84" t="n">
        <v>4644.86</v>
      </c>
      <c r="U9" s="20">
        <f>U13*0.278215</f>
        <v/>
      </c>
      <c r="V9" s="20">
        <f>V13*0.278215</f>
        <v/>
      </c>
      <c r="W9" s="20">
        <f>W13*0.278215</f>
        <v/>
      </c>
      <c r="X9" s="20">
        <f>X13*0.278215</f>
        <v/>
      </c>
      <c r="Y9" s="20">
        <f>Y13*0.278215</f>
        <v/>
      </c>
      <c r="Z9" s="20">
        <f>Z13*0.278215</f>
        <v/>
      </c>
      <c r="AA9" s="20">
        <f>AA13*0.278215</f>
        <v/>
      </c>
      <c r="AB9" s="20">
        <f>AB13*0.278215</f>
        <v/>
      </c>
      <c r="AC9" s="20">
        <f>AC13*0.278215</f>
        <v/>
      </c>
      <c r="AD9" s="20">
        <f>AD13*0.278215</f>
        <v/>
      </c>
      <c r="AE9" s="20">
        <f>AE13*0.278215</f>
        <v/>
      </c>
      <c r="AF9" s="20">
        <f>AF13*0.278215</f>
        <v/>
      </c>
      <c r="AG9" s="20">
        <f>AG13*0.278215</f>
        <v/>
      </c>
      <c r="AH9" s="20">
        <f>AH13*0.278215</f>
        <v/>
      </c>
      <c r="AI9" s="20">
        <f>AI13*0.278215</f>
        <v/>
      </c>
      <c r="AJ9" s="20">
        <f>AJ13*0.278215</f>
        <v/>
      </c>
      <c r="AK9" s="20">
        <f>AK13*0.278215</f>
        <v/>
      </c>
      <c r="AL9" s="20">
        <f>AL13*0.278215</f>
        <v/>
      </c>
      <c r="AM9" s="20">
        <f>AM13*0.278215</f>
        <v/>
      </c>
      <c r="AN9" s="20">
        <f>AN13*0.278215</f>
        <v/>
      </c>
      <c r="AO9" s="20">
        <f>AO13*0.278215</f>
        <v/>
      </c>
      <c r="AP9" s="20">
        <f>AP13*0.278215</f>
        <v/>
      </c>
      <c r="AQ9" s="20">
        <f>AQ13*0.278215</f>
        <v/>
      </c>
      <c r="AR9" s="20">
        <f>AR13*0.278215</f>
        <v/>
      </c>
      <c r="AS9" s="20">
        <f>AS13*0.278215</f>
        <v/>
      </c>
      <c r="AT9" s="20">
        <f>AT13*0.278215</f>
        <v/>
      </c>
      <c r="AU9" s="20">
        <f>AU13*0.278215</f>
        <v/>
      </c>
      <c r="AV9" s="20">
        <f>AV13*0.278215</f>
        <v/>
      </c>
      <c r="AW9" s="20">
        <f>AW13*0.278215</f>
        <v/>
      </c>
      <c r="AX9" s="20">
        <f>AX13*0.278215</f>
        <v/>
      </c>
      <c r="AY9" s="20">
        <f>AY13*0.278215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35.45</v>
      </c>
      <c r="I11" s="19" t="n">
        <v>782.29</v>
      </c>
      <c r="J11" s="19" t="n">
        <v>1351.63</v>
      </c>
      <c r="K11" s="19" t="n">
        <v>876.91</v>
      </c>
      <c r="L11" s="19" t="n">
        <v>355.21</v>
      </c>
      <c r="M11" s="19" t="n">
        <v>303.51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0" t="n">
        <v>0</v>
      </c>
      <c r="AX11" s="20" t="n">
        <v>0</v>
      </c>
      <c r="AY11" s="20" t="n">
        <v>0</v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27.82</v>
      </c>
      <c r="S12" s="19" t="n">
        <v>0</v>
      </c>
      <c r="T12" s="84" t="n">
        <v>0</v>
      </c>
      <c r="U12" s="20">
        <f>U13*0.000348</f>
        <v/>
      </c>
      <c r="V12" s="20">
        <f>V13*0.000348</f>
        <v/>
      </c>
      <c r="W12" s="20">
        <f>W13*0.000348</f>
        <v/>
      </c>
      <c r="X12" s="20">
        <f>X13*0.000348</f>
        <v/>
      </c>
      <c r="Y12" s="20">
        <f>Y13*0.000348</f>
        <v/>
      </c>
      <c r="Z12" s="20">
        <f>Z13*0.000348</f>
        <v/>
      </c>
      <c r="AA12" s="20">
        <f>AA13*0.000348</f>
        <v/>
      </c>
      <c r="AB12" s="20">
        <f>AB13*0.000348</f>
        <v/>
      </c>
      <c r="AC12" s="20">
        <f>AC13*0.000348</f>
        <v/>
      </c>
      <c r="AD12" s="20">
        <f>AD13*0.000348</f>
        <v/>
      </c>
      <c r="AE12" s="20">
        <f>AE13*0.000348</f>
        <v/>
      </c>
      <c r="AF12" s="20">
        <f>AF13*0.000348</f>
        <v/>
      </c>
      <c r="AG12" s="20">
        <f>AG13*0.000348</f>
        <v/>
      </c>
      <c r="AH12" s="20">
        <f>AH13*0.000348</f>
        <v/>
      </c>
      <c r="AI12" s="20">
        <f>AI13*0.000348</f>
        <v/>
      </c>
      <c r="AJ12" s="20">
        <f>AJ13*0.000348</f>
        <v/>
      </c>
      <c r="AK12" s="20">
        <f>AK13*0.000348</f>
        <v/>
      </c>
      <c r="AL12" s="20">
        <f>AL13*0.000348</f>
        <v/>
      </c>
      <c r="AM12" s="20">
        <f>AM13*0.000348</f>
        <v/>
      </c>
      <c r="AN12" s="20">
        <f>AN13*0.000348</f>
        <v/>
      </c>
      <c r="AO12" s="20">
        <f>AO13*0.000348</f>
        <v/>
      </c>
      <c r="AP12" s="20">
        <f>AP13*0.000348</f>
        <v/>
      </c>
      <c r="AQ12" s="20">
        <f>AQ13*0.000348</f>
        <v/>
      </c>
      <c r="AR12" s="20">
        <f>AR13*0.000348</f>
        <v/>
      </c>
      <c r="AS12" s="20">
        <f>AS13*0.000348</f>
        <v/>
      </c>
      <c r="AT12" s="20">
        <f>AT13*0.000348</f>
        <v/>
      </c>
      <c r="AU12" s="20">
        <f>AU13*0.000348</f>
        <v/>
      </c>
      <c r="AV12" s="20">
        <f>AV13*0.000348</f>
        <v/>
      </c>
      <c r="AW12" s="20">
        <f>AW13*0.000348</f>
        <v/>
      </c>
      <c r="AX12" s="20">
        <f>AX13*0.000348</f>
        <v/>
      </c>
      <c r="AY12" s="20">
        <f>AY13*0.000348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35.45</v>
      </c>
      <c r="I13" s="35" t="n">
        <v>7627.39</v>
      </c>
      <c r="J13" s="35" t="n">
        <v>14532.45</v>
      </c>
      <c r="K13" s="35" t="n">
        <v>14851.59</v>
      </c>
      <c r="L13" s="35" t="n">
        <v>14356.13</v>
      </c>
      <c r="M13" s="35" t="n">
        <v>14183.9</v>
      </c>
      <c r="N13" s="35" t="n">
        <v>13915.95</v>
      </c>
      <c r="O13" s="35" t="n">
        <v>14739.18</v>
      </c>
      <c r="P13" s="35" t="n">
        <v>20550.97</v>
      </c>
      <c r="Q13" s="35" t="n">
        <v>18909.77</v>
      </c>
      <c r="R13" s="35" t="n">
        <v>21414.36</v>
      </c>
      <c r="S13" s="35" t="n">
        <v>18976.22</v>
      </c>
      <c r="T13" s="85" t="n">
        <v>16461.46</v>
      </c>
      <c r="U13" s="17">
        <f>'Sales Forecast'!U8*Assumptions!$C$12+'Sales Forecast'!T8*Assumptions!$D$12+'Sales Forecast'!S8*Assumptions!$E$12+'Sales Forecast'!R8*Assumptions!$F$12+'Sales Forecast'!Q8*Assumptions!$G$12+'Sales Forecast'!P8*Assumptions!$H$12+'Sales Forecast'!U104*Assumptions!$I$12</f>
        <v/>
      </c>
      <c r="V13" s="17">
        <f>'Sales Forecast'!V8*Assumptions!$C$12+'Sales Forecast'!U8*Assumptions!$D$12+'Sales Forecast'!T8*Assumptions!$E$12+'Sales Forecast'!S8*Assumptions!$F$12+'Sales Forecast'!R8*Assumptions!$G$12+'Sales Forecast'!Q8*Assumptions!$H$12+'Sales Forecast'!P8*Assumptions!$I$12</f>
        <v/>
      </c>
      <c r="W13" s="17">
        <f>'Sales Forecast'!W8*Assumptions!$C$12+'Sales Forecast'!V8*Assumptions!$D$12+'Sales Forecast'!U8*Assumptions!$E$12+'Sales Forecast'!T8*Assumptions!$F$12+'Sales Forecast'!S8*Assumptions!$G$12+'Sales Forecast'!R8*Assumptions!$H$12+'Sales Forecast'!Q8*Assumptions!$I$12</f>
        <v/>
      </c>
      <c r="X13" s="17">
        <f>'Sales Forecast'!X8*Assumptions!$C$12+'Sales Forecast'!W8*Assumptions!$D$12+'Sales Forecast'!V8*Assumptions!$E$12+'Sales Forecast'!U8*Assumptions!$F$12+'Sales Forecast'!T8*Assumptions!$G$12+'Sales Forecast'!S8*Assumptions!$H$12+'Sales Forecast'!R8*Assumptions!$I$12</f>
        <v/>
      </c>
      <c r="Y13" s="17">
        <f>'Sales Forecast'!Y8*Assumptions!$C$12+'Sales Forecast'!X8*Assumptions!$D$12+'Sales Forecast'!W8*Assumptions!$E$12+'Sales Forecast'!V8*Assumptions!$F$12+'Sales Forecast'!U8*Assumptions!$G$12+'Sales Forecast'!T8*Assumptions!$H$12+'Sales Forecast'!S8*Assumptions!$I$12</f>
        <v/>
      </c>
      <c r="Z13" s="17">
        <f>'Sales Forecast'!Z8*Assumptions!$C$12+'Sales Forecast'!Y8*Assumptions!$D$12+'Sales Forecast'!X8*Assumptions!$E$12+'Sales Forecast'!W8*Assumptions!$F$12+'Sales Forecast'!V8*Assumptions!$G$12+'Sales Forecast'!U8*Assumptions!$H$12+'Sales Forecast'!T8*Assumptions!$I$12</f>
        <v/>
      </c>
      <c r="AA13" s="17">
        <f>'Sales Forecast'!AA8*Assumptions!$C$12+'Sales Forecast'!Z8*Assumptions!$D$12+'Sales Forecast'!Y8*Assumptions!$E$12+'Sales Forecast'!X8*Assumptions!$F$12+'Sales Forecast'!W8*Assumptions!$G$12+'Sales Forecast'!V8*Assumptions!$H$12+'Sales Forecast'!U8*Assumptions!$I$12</f>
        <v/>
      </c>
      <c r="AB13" s="17">
        <f>'Sales Forecast'!AB8*Assumptions!$C$12+'Sales Forecast'!AA8*Assumptions!$D$12+'Sales Forecast'!Z8*Assumptions!$E$12+'Sales Forecast'!Y8*Assumptions!$F$12+'Sales Forecast'!X8*Assumptions!$G$12+'Sales Forecast'!W8*Assumptions!$H$12+'Sales Forecast'!V8*Assumptions!$I$12</f>
        <v/>
      </c>
      <c r="AC13" s="17">
        <f>'Sales Forecast'!AC8*Assumptions!$C$12+'Sales Forecast'!AB8*Assumptions!$D$12+'Sales Forecast'!AA8*Assumptions!$E$12+'Sales Forecast'!Z8*Assumptions!$F$12+'Sales Forecast'!Y8*Assumptions!$G$12+'Sales Forecast'!X8*Assumptions!$H$12+'Sales Forecast'!W8*Assumptions!$I$12</f>
        <v/>
      </c>
      <c r="AD13" s="17">
        <f>'Sales Forecast'!AD8*Assumptions!$C$12+'Sales Forecast'!AC8*Assumptions!$D$12+'Sales Forecast'!AB8*Assumptions!$E$12+'Sales Forecast'!AA8*Assumptions!$F$12+'Sales Forecast'!Z8*Assumptions!$G$12+'Sales Forecast'!Y8*Assumptions!$H$12+'Sales Forecast'!X8*Assumptions!$I$12</f>
        <v/>
      </c>
      <c r="AE13" s="17">
        <f>'Sales Forecast'!AE8*Assumptions!$C$12+'Sales Forecast'!AD8*Assumptions!$D$12+'Sales Forecast'!AC8*Assumptions!$E$12+'Sales Forecast'!AB8*Assumptions!$F$12+'Sales Forecast'!AA8*Assumptions!$G$12+'Sales Forecast'!Z8*Assumptions!$H$12+'Sales Forecast'!Y8*Assumptions!$I$12</f>
        <v/>
      </c>
      <c r="AF13" s="17">
        <f>'Sales Forecast'!AF8*Assumptions!$C$12+'Sales Forecast'!AE8*Assumptions!$D$12+'Sales Forecast'!AD8*Assumptions!$E$12+'Sales Forecast'!AC8*Assumptions!$F$12+'Sales Forecast'!AB8*Assumptions!$G$12+'Sales Forecast'!AA8*Assumptions!$H$12+'Sales Forecast'!Z8*Assumptions!$I$12</f>
        <v/>
      </c>
      <c r="AG13" s="17">
        <f>'Sales Forecast'!AG8*Assumptions!$C$12+'Sales Forecast'!AF8*Assumptions!$D$12+'Sales Forecast'!AE8*Assumptions!$E$12+'Sales Forecast'!AD8*Assumptions!$F$12+'Sales Forecast'!AC8*Assumptions!$G$12+'Sales Forecast'!AB8*Assumptions!$H$12+'Sales Forecast'!AA8*Assumptions!$I$12</f>
        <v/>
      </c>
      <c r="AH13" s="17">
        <f>'Sales Forecast'!AH8*Assumptions!$C$12+'Sales Forecast'!AG8*Assumptions!$D$12+'Sales Forecast'!AF8*Assumptions!$E$12+'Sales Forecast'!AE8*Assumptions!$F$12+'Sales Forecast'!AD8*Assumptions!$G$12+'Sales Forecast'!AC8*Assumptions!$H$12+'Sales Forecast'!AB8*Assumptions!$I$12</f>
        <v/>
      </c>
      <c r="AI13" s="17">
        <f>'Sales Forecast'!AI8*Assumptions!$C$12+'Sales Forecast'!AH8*Assumptions!$D$12+'Sales Forecast'!AG8*Assumptions!$E$12+'Sales Forecast'!AF8*Assumptions!$F$12+'Sales Forecast'!AE8*Assumptions!$G$12+'Sales Forecast'!AD8*Assumptions!$H$12+'Sales Forecast'!AC8*Assumptions!$I$12</f>
        <v/>
      </c>
      <c r="AJ13" s="17">
        <f>'Sales Forecast'!AJ8*Assumptions!$C$12+'Sales Forecast'!AI8*Assumptions!$D$12+'Sales Forecast'!AH8*Assumptions!$E$12+'Sales Forecast'!AG8*Assumptions!$F$12+'Sales Forecast'!AF8*Assumptions!$G$12+'Sales Forecast'!AE8*Assumptions!$H$12+'Sales Forecast'!AD8*Assumptions!$I$12</f>
        <v/>
      </c>
      <c r="AK13" s="17">
        <f>'Sales Forecast'!AK8*Assumptions!$C$12+'Sales Forecast'!AJ8*Assumptions!$D$12+'Sales Forecast'!AI8*Assumptions!$E$12+'Sales Forecast'!AH8*Assumptions!$F$12+'Sales Forecast'!AG8*Assumptions!$G$12+'Sales Forecast'!AF8*Assumptions!$H$12+'Sales Forecast'!AE8*Assumptions!$I$12</f>
        <v/>
      </c>
      <c r="AL13" s="17">
        <f>'Sales Forecast'!AL8*Assumptions!$C$12+'Sales Forecast'!AK8*Assumptions!$D$12+'Sales Forecast'!AJ8*Assumptions!$E$12+'Sales Forecast'!AI8*Assumptions!$F$12+'Sales Forecast'!AH8*Assumptions!$G$12+'Sales Forecast'!AG8*Assumptions!$H$12+'Sales Forecast'!AF8*Assumptions!$I$12</f>
        <v/>
      </c>
      <c r="AM13" s="17">
        <f>'Sales Forecast'!AM8*Assumptions!$C$12+'Sales Forecast'!AL8*Assumptions!$D$12+'Sales Forecast'!AK8*Assumptions!$E$12+'Sales Forecast'!AJ8*Assumptions!$F$12+'Sales Forecast'!AI8*Assumptions!$G$12+'Sales Forecast'!AH8*Assumptions!$H$12+'Sales Forecast'!AG8*Assumptions!$I$12</f>
        <v/>
      </c>
      <c r="AN13" s="17">
        <f>'Sales Forecast'!AN8*Assumptions!$C$12+'Sales Forecast'!AM8*Assumptions!$D$12+'Sales Forecast'!AL8*Assumptions!$E$12+'Sales Forecast'!AK8*Assumptions!$F$12+'Sales Forecast'!AJ8*Assumptions!$G$12+'Sales Forecast'!AI8*Assumptions!$H$12+'Sales Forecast'!AH8*Assumptions!$I$12</f>
        <v/>
      </c>
      <c r="AO13" s="17">
        <f>'Sales Forecast'!AO8*Assumptions!$C$12+'Sales Forecast'!AN8*Assumptions!$D$12+'Sales Forecast'!AM8*Assumptions!$E$12+'Sales Forecast'!AL8*Assumptions!$F$12+'Sales Forecast'!AK8*Assumptions!$G$12+'Sales Forecast'!AJ8*Assumptions!$H$12+'Sales Forecast'!AI8*Assumptions!$I$12</f>
        <v/>
      </c>
      <c r="AP13" s="17">
        <f>'Sales Forecast'!AP8*Assumptions!$C$12+'Sales Forecast'!AO8*Assumptions!$D$12+'Sales Forecast'!AN8*Assumptions!$E$12+'Sales Forecast'!AM8*Assumptions!$F$12+'Sales Forecast'!AL8*Assumptions!$G$12+'Sales Forecast'!AK8*Assumptions!$H$12+'Sales Forecast'!AJ8*Assumptions!$I$12</f>
        <v/>
      </c>
      <c r="AQ13" s="17">
        <f>'Sales Forecast'!AQ8*Assumptions!$C$12+'Sales Forecast'!AP8*Assumptions!$D$12+'Sales Forecast'!AO8*Assumptions!$E$12+'Sales Forecast'!AN8*Assumptions!$F$12+'Sales Forecast'!AM8*Assumptions!$G$12+'Sales Forecast'!AL8*Assumptions!$H$12+'Sales Forecast'!AK8*Assumptions!$I$12</f>
        <v/>
      </c>
      <c r="AR13" s="17">
        <f>'Sales Forecast'!AR8*Assumptions!$C$12+'Sales Forecast'!AQ8*Assumptions!$D$12+'Sales Forecast'!AP8*Assumptions!$E$12+'Sales Forecast'!AO8*Assumptions!$F$12+'Sales Forecast'!AN8*Assumptions!$G$12+'Sales Forecast'!AM8*Assumptions!$H$12+'Sales Forecast'!AL8*Assumptions!$I$12</f>
        <v/>
      </c>
      <c r="AS13" s="17">
        <f>'Sales Forecast'!AS8*Assumptions!$C$12+'Sales Forecast'!AR8*Assumptions!$D$12+'Sales Forecast'!AQ8*Assumptions!$E$12+'Sales Forecast'!AP8*Assumptions!$F$12+'Sales Forecast'!AO8*Assumptions!$G$12+'Sales Forecast'!AN8*Assumptions!$H$12+'Sales Forecast'!AM8*Assumptions!$I$12</f>
        <v/>
      </c>
      <c r="AT13" s="17">
        <f>'Sales Forecast'!AT8*Assumptions!$C$12+'Sales Forecast'!AS8*Assumptions!$D$12+'Sales Forecast'!AR8*Assumptions!$E$12+'Sales Forecast'!AQ8*Assumptions!$F$12+'Sales Forecast'!AP8*Assumptions!$G$12+'Sales Forecast'!AO8*Assumptions!$H$12+'Sales Forecast'!AN8*Assumptions!$I$12</f>
        <v/>
      </c>
      <c r="AU13" s="17">
        <f>'Sales Forecast'!AU8*Assumptions!$C$12+'Sales Forecast'!AT8*Assumptions!$D$12+'Sales Forecast'!AS8*Assumptions!$E$12+'Sales Forecast'!AR8*Assumptions!$F$12+'Sales Forecast'!AQ8*Assumptions!$G$12+'Sales Forecast'!AP8*Assumptions!$H$12+'Sales Forecast'!AO8*Assumptions!$I$12</f>
        <v/>
      </c>
      <c r="AV13" s="17">
        <f>'Sales Forecast'!AV8*Assumptions!$C$12+'Sales Forecast'!AU8*Assumptions!$D$12+'Sales Forecast'!AT8*Assumptions!$E$12+'Sales Forecast'!AS8*Assumptions!$F$12+'Sales Forecast'!AR8*Assumptions!$G$12+'Sales Forecast'!AQ8*Assumptions!$H$12+'Sales Forecast'!AP8*Assumptions!$I$12</f>
        <v/>
      </c>
      <c r="AW13" s="17">
        <f>'Sales Forecast'!AW8*Assumptions!$C$12+'Sales Forecast'!AV8*Assumptions!$D$12+'Sales Forecast'!AU8*Assumptions!$E$12+'Sales Forecast'!AT8*Assumptions!$F$12+'Sales Forecast'!AS8*Assumptions!$G$12+'Sales Forecast'!AR8*Assumptions!$H$12+'Sales Forecast'!AQ8*Assumptions!$I$12</f>
        <v/>
      </c>
      <c r="AX13" s="17">
        <f>'Sales Forecast'!AX8*Assumptions!$C$12+'Sales Forecast'!AW8*Assumptions!$D$12+'Sales Forecast'!AV8*Assumptions!$E$12+'Sales Forecast'!AU8*Assumptions!$F$12+'Sales Forecast'!AT8*Assumptions!$G$12+'Sales Forecast'!AS8*Assumptions!$H$12+'Sales Forecast'!AR8*Assumptions!$I$12</f>
        <v/>
      </c>
      <c r="AY13" s="17">
        <f>'Sales Forecast'!AY8*Assumptions!$C$12+'Sales Forecast'!AX8*Assumptions!$D$12+'Sales Forecast'!AW8*Assumptions!$E$12+'Sales Forecast'!AV8*Assumptions!$F$12+'Sales Forecast'!AU8*Assumptions!$G$12+'Sales Forecast'!AT8*Assumptions!$H$12+'Sales Forecast'!AS8*Assumptions!$I$12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42</v>
      </c>
      <c r="I14" s="19" t="n">
        <v>68.47</v>
      </c>
      <c r="J14" s="19" t="n">
        <v>884.9299999999999</v>
      </c>
      <c r="K14" s="19" t="n">
        <v>2563.2</v>
      </c>
      <c r="L14" s="19" t="n">
        <v>2945.07</v>
      </c>
      <c r="M14" s="19" t="n">
        <v>3639.53</v>
      </c>
      <c r="N14" s="19" t="n">
        <v>4154.15</v>
      </c>
      <c r="O14" s="19" t="n">
        <v>4618.26</v>
      </c>
      <c r="P14" s="19" t="n">
        <v>3417.25</v>
      </c>
      <c r="Q14" s="19" t="n">
        <v>3639.02</v>
      </c>
      <c r="R14" s="19" t="n">
        <v>3973.02</v>
      </c>
      <c r="S14" s="19" t="n">
        <v>3208.35</v>
      </c>
      <c r="T14" s="84" t="n">
        <v>4144.05</v>
      </c>
      <c r="U14" s="20">
        <f>U17*0.958916</f>
        <v/>
      </c>
      <c r="V14" s="20">
        <f>V17*0.958916</f>
        <v/>
      </c>
      <c r="W14" s="20">
        <f>W17*0.958916</f>
        <v/>
      </c>
      <c r="X14" s="20">
        <f>X17*0.958916</f>
        <v/>
      </c>
      <c r="Y14" s="20">
        <f>Y17*0.958916</f>
        <v/>
      </c>
      <c r="Z14" s="20">
        <f>Z17*0.958916</f>
        <v/>
      </c>
      <c r="AA14" s="20">
        <f>AA17*0.958916</f>
        <v/>
      </c>
      <c r="AB14" s="20">
        <f>AB17*0.958916</f>
        <v/>
      </c>
      <c r="AC14" s="20">
        <f>AC17*0.958916</f>
        <v/>
      </c>
      <c r="AD14" s="20">
        <f>AD17*0.958916</f>
        <v/>
      </c>
      <c r="AE14" s="20">
        <f>AE17*0.958916</f>
        <v/>
      </c>
      <c r="AF14" s="20">
        <f>AF17*0.958916</f>
        <v/>
      </c>
      <c r="AG14" s="20">
        <f>AG17*0.958916</f>
        <v/>
      </c>
      <c r="AH14" s="20">
        <f>AH17*0.958916</f>
        <v/>
      </c>
      <c r="AI14" s="20">
        <f>AI17*0.958916</f>
        <v/>
      </c>
      <c r="AJ14" s="20">
        <f>AJ17*0.958916</f>
        <v/>
      </c>
      <c r="AK14" s="20">
        <f>AK17*0.958916</f>
        <v/>
      </c>
      <c r="AL14" s="20">
        <f>AL17*0.958916</f>
        <v/>
      </c>
      <c r="AM14" s="20">
        <f>AM17*0.958916</f>
        <v/>
      </c>
      <c r="AN14" s="20">
        <f>AN17*0.958916</f>
        <v/>
      </c>
      <c r="AO14" s="20">
        <f>AO17*0.958916</f>
        <v/>
      </c>
      <c r="AP14" s="20">
        <f>AP17*0.958916</f>
        <v/>
      </c>
      <c r="AQ14" s="20">
        <f>AQ17*0.958916</f>
        <v/>
      </c>
      <c r="AR14" s="20">
        <f>AR17*0.958916</f>
        <v/>
      </c>
      <c r="AS14" s="20">
        <f>AS17*0.958916</f>
        <v/>
      </c>
      <c r="AT14" s="20">
        <f>AT17*0.958916</f>
        <v/>
      </c>
      <c r="AU14" s="20">
        <f>AU17*0.958916</f>
        <v/>
      </c>
      <c r="AV14" s="20">
        <f>AV17*0.958916</f>
        <v/>
      </c>
      <c r="AW14" s="20">
        <f>AW17*0.958916</f>
        <v/>
      </c>
      <c r="AX14" s="20">
        <f>AX17*0.958916</f>
        <v/>
      </c>
      <c r="AY14" s="20">
        <f>AY17*0.958916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375</v>
      </c>
      <c r="K15" s="19" t="n">
        <v>0</v>
      </c>
      <c r="L15" s="19" t="n">
        <v>0</v>
      </c>
      <c r="M15" s="19" t="n">
        <v>460</v>
      </c>
      <c r="N15" s="19" t="n">
        <v>0</v>
      </c>
      <c r="O15" s="19" t="n">
        <v>200</v>
      </c>
      <c r="P15" s="19" t="n">
        <v>0</v>
      </c>
      <c r="Q15" s="19" t="n">
        <v>150</v>
      </c>
      <c r="R15" s="19" t="n">
        <v>460</v>
      </c>
      <c r="S15" s="19" t="n">
        <v>0</v>
      </c>
      <c r="T15" s="84" t="n">
        <v>200</v>
      </c>
      <c r="U15" s="20">
        <f>U17*0.041084</f>
        <v/>
      </c>
      <c r="V15" s="20">
        <f>V17*0.041084</f>
        <v/>
      </c>
      <c r="W15" s="20">
        <f>W17*0.041084</f>
        <v/>
      </c>
      <c r="X15" s="20">
        <f>X17*0.041084</f>
        <v/>
      </c>
      <c r="Y15" s="20">
        <f>Y17*0.041084</f>
        <v/>
      </c>
      <c r="Z15" s="20">
        <f>Z17*0.041084</f>
        <v/>
      </c>
      <c r="AA15" s="20">
        <f>AA17*0.041084</f>
        <v/>
      </c>
      <c r="AB15" s="20">
        <f>AB17*0.041084</f>
        <v/>
      </c>
      <c r="AC15" s="20">
        <f>AC17*0.041084</f>
        <v/>
      </c>
      <c r="AD15" s="20">
        <f>AD17*0.041084</f>
        <v/>
      </c>
      <c r="AE15" s="20">
        <f>AE17*0.041084</f>
        <v/>
      </c>
      <c r="AF15" s="20">
        <f>AF17*0.041084</f>
        <v/>
      </c>
      <c r="AG15" s="20">
        <f>AG17*0.041084</f>
        <v/>
      </c>
      <c r="AH15" s="20">
        <f>AH17*0.041084</f>
        <v/>
      </c>
      <c r="AI15" s="20">
        <f>AI17*0.041084</f>
        <v/>
      </c>
      <c r="AJ15" s="20">
        <f>AJ17*0.041084</f>
        <v/>
      </c>
      <c r="AK15" s="20">
        <f>AK17*0.041084</f>
        <v/>
      </c>
      <c r="AL15" s="20">
        <f>AL17*0.041084</f>
        <v/>
      </c>
      <c r="AM15" s="20">
        <f>AM17*0.041084</f>
        <v/>
      </c>
      <c r="AN15" s="20">
        <f>AN17*0.041084</f>
        <v/>
      </c>
      <c r="AO15" s="20">
        <f>AO17*0.041084</f>
        <v/>
      </c>
      <c r="AP15" s="20">
        <f>AP17*0.041084</f>
        <v/>
      </c>
      <c r="AQ15" s="20">
        <f>AQ17*0.041084</f>
        <v/>
      </c>
      <c r="AR15" s="20">
        <f>AR17*0.041084</f>
        <v/>
      </c>
      <c r="AS15" s="20">
        <f>AS17*0.041084</f>
        <v/>
      </c>
      <c r="AT15" s="20">
        <f>AT17*0.041084</f>
        <v/>
      </c>
      <c r="AU15" s="20">
        <f>AU17*0.041084</f>
        <v/>
      </c>
      <c r="AV15" s="20">
        <f>AV17*0.041084</f>
        <v/>
      </c>
      <c r="AW15" s="20">
        <f>AW17*0.041084</f>
        <v/>
      </c>
      <c r="AX15" s="20">
        <f>AX17*0.041084</f>
        <v/>
      </c>
      <c r="AY15" s="20">
        <f>AY17*0.041084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42</v>
      </c>
      <c r="I17" s="35" t="n">
        <v>68.47</v>
      </c>
      <c r="J17" s="35" t="n">
        <v>1259.93</v>
      </c>
      <c r="K17" s="35" t="n">
        <v>2563.2</v>
      </c>
      <c r="L17" s="35" t="n">
        <v>2945.07</v>
      </c>
      <c r="M17" s="35" t="n">
        <v>4099.530000000001</v>
      </c>
      <c r="N17" s="35" t="n">
        <v>4154.15</v>
      </c>
      <c r="O17" s="35" t="n">
        <v>4818.26</v>
      </c>
      <c r="P17" s="35" t="n">
        <v>3417.25</v>
      </c>
      <c r="Q17" s="35" t="n">
        <v>3789.02</v>
      </c>
      <c r="R17" s="35" t="n">
        <v>4433.02</v>
      </c>
      <c r="S17" s="35" t="n">
        <v>3208.35</v>
      </c>
      <c r="T17" s="85" t="n">
        <v>4344.05</v>
      </c>
      <c r="U17" s="17">
        <f>'Sales Forecast'!U8*Assumptions!$C$13+'Sales Forecast'!T8*Assumptions!$D$13+'Sales Forecast'!S8*Assumptions!$E$13+'Sales Forecast'!R8*Assumptions!$F$13+'Sales Forecast'!Q8*Assumptions!$G$13+'Sales Forecast'!P8*Assumptions!$H$13+'Sales Forecast'!U104*Assumptions!$I$13</f>
        <v/>
      </c>
      <c r="V17" s="17">
        <f>'Sales Forecast'!V8*Assumptions!$C$13+'Sales Forecast'!U8*Assumptions!$D$13+'Sales Forecast'!T8*Assumptions!$E$13+'Sales Forecast'!S8*Assumptions!$F$13+'Sales Forecast'!R8*Assumptions!$G$13+'Sales Forecast'!Q8*Assumptions!$H$13+'Sales Forecast'!P8*Assumptions!$I$13</f>
        <v/>
      </c>
      <c r="W17" s="17">
        <f>'Sales Forecast'!W8*Assumptions!$C$13+'Sales Forecast'!V8*Assumptions!$D$13+'Sales Forecast'!U8*Assumptions!$E$13+'Sales Forecast'!T8*Assumptions!$F$13+'Sales Forecast'!S8*Assumptions!$G$13+'Sales Forecast'!R8*Assumptions!$H$13+'Sales Forecast'!Q8*Assumptions!$I$13</f>
        <v/>
      </c>
      <c r="X17" s="17">
        <f>'Sales Forecast'!X8*Assumptions!$C$13+'Sales Forecast'!W8*Assumptions!$D$13+'Sales Forecast'!V8*Assumptions!$E$13+'Sales Forecast'!U8*Assumptions!$F$13+'Sales Forecast'!T8*Assumptions!$G$13+'Sales Forecast'!S8*Assumptions!$H$13+'Sales Forecast'!R8*Assumptions!$I$13</f>
        <v/>
      </c>
      <c r="Y17" s="17">
        <f>'Sales Forecast'!Y8*Assumptions!$C$13+'Sales Forecast'!X8*Assumptions!$D$13+'Sales Forecast'!W8*Assumptions!$E$13+'Sales Forecast'!V8*Assumptions!$F$13+'Sales Forecast'!U8*Assumptions!$G$13+'Sales Forecast'!T8*Assumptions!$H$13+'Sales Forecast'!S8*Assumptions!$I$13</f>
        <v/>
      </c>
      <c r="Z17" s="17">
        <f>'Sales Forecast'!Z8*Assumptions!$C$13+'Sales Forecast'!Y8*Assumptions!$D$13+'Sales Forecast'!X8*Assumptions!$E$13+'Sales Forecast'!W8*Assumptions!$F$13+'Sales Forecast'!V8*Assumptions!$G$13+'Sales Forecast'!U8*Assumptions!$H$13+'Sales Forecast'!T8*Assumptions!$I$13</f>
        <v/>
      </c>
      <c r="AA17" s="17">
        <f>'Sales Forecast'!AA8*Assumptions!$C$13+'Sales Forecast'!Z8*Assumptions!$D$13+'Sales Forecast'!Y8*Assumptions!$E$13+'Sales Forecast'!X8*Assumptions!$F$13+'Sales Forecast'!W8*Assumptions!$G$13+'Sales Forecast'!V8*Assumptions!$H$13+'Sales Forecast'!U8*Assumptions!$I$13</f>
        <v/>
      </c>
      <c r="AB17" s="17">
        <f>'Sales Forecast'!AB8*Assumptions!$C$13+'Sales Forecast'!AA8*Assumptions!$D$13+'Sales Forecast'!Z8*Assumptions!$E$13+'Sales Forecast'!Y8*Assumptions!$F$13+'Sales Forecast'!X8*Assumptions!$G$13+'Sales Forecast'!W8*Assumptions!$H$13+'Sales Forecast'!V8*Assumptions!$I$13</f>
        <v/>
      </c>
      <c r="AC17" s="17">
        <f>'Sales Forecast'!AC8*Assumptions!$C$13+'Sales Forecast'!AB8*Assumptions!$D$13+'Sales Forecast'!AA8*Assumptions!$E$13+'Sales Forecast'!Z8*Assumptions!$F$13+'Sales Forecast'!Y8*Assumptions!$G$13+'Sales Forecast'!X8*Assumptions!$H$13+'Sales Forecast'!W8*Assumptions!$I$13</f>
        <v/>
      </c>
      <c r="AD17" s="17">
        <f>'Sales Forecast'!AD8*Assumptions!$C$13+'Sales Forecast'!AC8*Assumptions!$D$13+'Sales Forecast'!AB8*Assumptions!$E$13+'Sales Forecast'!AA8*Assumptions!$F$13+'Sales Forecast'!Z8*Assumptions!$G$13+'Sales Forecast'!Y8*Assumptions!$H$13+'Sales Forecast'!X8*Assumptions!$I$13</f>
        <v/>
      </c>
      <c r="AE17" s="17">
        <f>'Sales Forecast'!AE8*Assumptions!$C$13+'Sales Forecast'!AD8*Assumptions!$D$13+'Sales Forecast'!AC8*Assumptions!$E$13+'Sales Forecast'!AB8*Assumptions!$F$13+'Sales Forecast'!AA8*Assumptions!$G$13+'Sales Forecast'!Z8*Assumptions!$H$13+'Sales Forecast'!Y8*Assumptions!$I$13</f>
        <v/>
      </c>
      <c r="AF17" s="17">
        <f>'Sales Forecast'!AF8*Assumptions!$C$13+'Sales Forecast'!AE8*Assumptions!$D$13+'Sales Forecast'!AD8*Assumptions!$E$13+'Sales Forecast'!AC8*Assumptions!$F$13+'Sales Forecast'!AB8*Assumptions!$G$13+'Sales Forecast'!AA8*Assumptions!$H$13+'Sales Forecast'!Z8*Assumptions!$I$13</f>
        <v/>
      </c>
      <c r="AG17" s="17">
        <f>'Sales Forecast'!AG8*Assumptions!$C$13+'Sales Forecast'!AF8*Assumptions!$D$13+'Sales Forecast'!AE8*Assumptions!$E$13+'Sales Forecast'!AD8*Assumptions!$F$13+'Sales Forecast'!AC8*Assumptions!$G$13+'Sales Forecast'!AB8*Assumptions!$H$13+'Sales Forecast'!AA8*Assumptions!$I$13</f>
        <v/>
      </c>
      <c r="AH17" s="17">
        <f>'Sales Forecast'!AH8*Assumptions!$C$13+'Sales Forecast'!AG8*Assumptions!$D$13+'Sales Forecast'!AF8*Assumptions!$E$13+'Sales Forecast'!AE8*Assumptions!$F$13+'Sales Forecast'!AD8*Assumptions!$G$13+'Sales Forecast'!AC8*Assumptions!$H$13+'Sales Forecast'!AB8*Assumptions!$I$13</f>
        <v/>
      </c>
      <c r="AI17" s="17">
        <f>'Sales Forecast'!AI8*Assumptions!$C$13+'Sales Forecast'!AH8*Assumptions!$D$13+'Sales Forecast'!AG8*Assumptions!$E$13+'Sales Forecast'!AF8*Assumptions!$F$13+'Sales Forecast'!AE8*Assumptions!$G$13+'Sales Forecast'!AD8*Assumptions!$H$13+'Sales Forecast'!AC8*Assumptions!$I$13</f>
        <v/>
      </c>
      <c r="AJ17" s="17">
        <f>'Sales Forecast'!AJ8*Assumptions!$C$13+'Sales Forecast'!AI8*Assumptions!$D$13+'Sales Forecast'!AH8*Assumptions!$E$13+'Sales Forecast'!AG8*Assumptions!$F$13+'Sales Forecast'!AF8*Assumptions!$G$13+'Sales Forecast'!AE8*Assumptions!$H$13+'Sales Forecast'!AD8*Assumptions!$I$13</f>
        <v/>
      </c>
      <c r="AK17" s="17">
        <f>'Sales Forecast'!AK8*Assumptions!$C$13+'Sales Forecast'!AJ8*Assumptions!$D$13+'Sales Forecast'!AI8*Assumptions!$E$13+'Sales Forecast'!AH8*Assumptions!$F$13+'Sales Forecast'!AG8*Assumptions!$G$13+'Sales Forecast'!AF8*Assumptions!$H$13+'Sales Forecast'!AE8*Assumptions!$I$13</f>
        <v/>
      </c>
      <c r="AL17" s="17">
        <f>'Sales Forecast'!AL8*Assumptions!$C$13+'Sales Forecast'!AK8*Assumptions!$D$13+'Sales Forecast'!AJ8*Assumptions!$E$13+'Sales Forecast'!AI8*Assumptions!$F$13+'Sales Forecast'!AH8*Assumptions!$G$13+'Sales Forecast'!AG8*Assumptions!$H$13+'Sales Forecast'!AF8*Assumptions!$I$13</f>
        <v/>
      </c>
      <c r="AM17" s="17">
        <f>'Sales Forecast'!AM8*Assumptions!$C$13+'Sales Forecast'!AL8*Assumptions!$D$13+'Sales Forecast'!AK8*Assumptions!$E$13+'Sales Forecast'!AJ8*Assumptions!$F$13+'Sales Forecast'!AI8*Assumptions!$G$13+'Sales Forecast'!AH8*Assumptions!$H$13+'Sales Forecast'!AG8*Assumptions!$I$13</f>
        <v/>
      </c>
      <c r="AN17" s="17">
        <f>'Sales Forecast'!AN8*Assumptions!$C$13+'Sales Forecast'!AM8*Assumptions!$D$13+'Sales Forecast'!AL8*Assumptions!$E$13+'Sales Forecast'!AK8*Assumptions!$F$13+'Sales Forecast'!AJ8*Assumptions!$G$13+'Sales Forecast'!AI8*Assumptions!$H$13+'Sales Forecast'!AH8*Assumptions!$I$13</f>
        <v/>
      </c>
      <c r="AO17" s="17">
        <f>'Sales Forecast'!AO8*Assumptions!$C$13+'Sales Forecast'!AN8*Assumptions!$D$13+'Sales Forecast'!AM8*Assumptions!$E$13+'Sales Forecast'!AL8*Assumptions!$F$13+'Sales Forecast'!AK8*Assumptions!$G$13+'Sales Forecast'!AJ8*Assumptions!$H$13+'Sales Forecast'!AI8*Assumptions!$I$13</f>
        <v/>
      </c>
      <c r="AP17" s="17">
        <f>'Sales Forecast'!AP8*Assumptions!$C$13+'Sales Forecast'!AO8*Assumptions!$D$13+'Sales Forecast'!AN8*Assumptions!$E$13+'Sales Forecast'!AM8*Assumptions!$F$13+'Sales Forecast'!AL8*Assumptions!$G$13+'Sales Forecast'!AK8*Assumptions!$H$13+'Sales Forecast'!AJ8*Assumptions!$I$13</f>
        <v/>
      </c>
      <c r="AQ17" s="17">
        <f>'Sales Forecast'!AQ8*Assumptions!$C$13+'Sales Forecast'!AP8*Assumptions!$D$13+'Sales Forecast'!AO8*Assumptions!$E$13+'Sales Forecast'!AN8*Assumptions!$F$13+'Sales Forecast'!AM8*Assumptions!$G$13+'Sales Forecast'!AL8*Assumptions!$H$13+'Sales Forecast'!AK8*Assumptions!$I$13</f>
        <v/>
      </c>
      <c r="AR17" s="17">
        <f>'Sales Forecast'!AR8*Assumptions!$C$13+'Sales Forecast'!AQ8*Assumptions!$D$13+'Sales Forecast'!AP8*Assumptions!$E$13+'Sales Forecast'!AO8*Assumptions!$F$13+'Sales Forecast'!AN8*Assumptions!$G$13+'Sales Forecast'!AM8*Assumptions!$H$13+'Sales Forecast'!AL8*Assumptions!$I$13</f>
        <v/>
      </c>
      <c r="AS17" s="17">
        <f>'Sales Forecast'!AS8*Assumptions!$C$13+'Sales Forecast'!AR8*Assumptions!$D$13+'Sales Forecast'!AQ8*Assumptions!$E$13+'Sales Forecast'!AP8*Assumptions!$F$13+'Sales Forecast'!AO8*Assumptions!$G$13+'Sales Forecast'!AN8*Assumptions!$H$13+'Sales Forecast'!AM8*Assumptions!$I$13</f>
        <v/>
      </c>
      <c r="AT17" s="17">
        <f>'Sales Forecast'!AT8*Assumptions!$C$13+'Sales Forecast'!AS8*Assumptions!$D$13+'Sales Forecast'!AR8*Assumptions!$E$13+'Sales Forecast'!AQ8*Assumptions!$F$13+'Sales Forecast'!AP8*Assumptions!$G$13+'Sales Forecast'!AO8*Assumptions!$H$13+'Sales Forecast'!AN8*Assumptions!$I$13</f>
        <v/>
      </c>
      <c r="AU17" s="17">
        <f>'Sales Forecast'!AU8*Assumptions!$C$13+'Sales Forecast'!AT8*Assumptions!$D$13+'Sales Forecast'!AS8*Assumptions!$E$13+'Sales Forecast'!AR8*Assumptions!$F$13+'Sales Forecast'!AQ8*Assumptions!$G$13+'Sales Forecast'!AP8*Assumptions!$H$13+'Sales Forecast'!AO8*Assumptions!$I$13</f>
        <v/>
      </c>
      <c r="AV17" s="17">
        <f>'Sales Forecast'!AV8*Assumptions!$C$13+'Sales Forecast'!AU8*Assumptions!$D$13+'Sales Forecast'!AT8*Assumptions!$E$13+'Sales Forecast'!AS8*Assumptions!$F$13+'Sales Forecast'!AR8*Assumptions!$G$13+'Sales Forecast'!AQ8*Assumptions!$H$13+'Sales Forecast'!AP8*Assumptions!$I$13</f>
        <v/>
      </c>
      <c r="AW17" s="17">
        <f>'Sales Forecast'!AW8*Assumptions!$C$13+'Sales Forecast'!AV8*Assumptions!$D$13+'Sales Forecast'!AU8*Assumptions!$E$13+'Sales Forecast'!AT8*Assumptions!$F$13+'Sales Forecast'!AS8*Assumptions!$G$13+'Sales Forecast'!AR8*Assumptions!$H$13+'Sales Forecast'!AQ8*Assumptions!$I$13</f>
        <v/>
      </c>
      <c r="AX17" s="17">
        <f>'Sales Forecast'!AX8*Assumptions!$C$13+'Sales Forecast'!AW8*Assumptions!$D$13+'Sales Forecast'!AV8*Assumptions!$E$13+'Sales Forecast'!AU8*Assumptions!$F$13+'Sales Forecast'!AT8*Assumptions!$G$13+'Sales Forecast'!AS8*Assumptions!$H$13+'Sales Forecast'!AR8*Assumptions!$I$13</f>
        <v/>
      </c>
      <c r="AY17" s="17">
        <f>'Sales Forecast'!AY8*Assumptions!$C$13+'Sales Forecast'!AX8*Assumptions!$D$13+'Sales Forecast'!AW8*Assumptions!$E$13+'Sales Forecast'!AV8*Assumptions!$F$13+'Sales Forecast'!AU8*Assumptions!$G$13+'Sales Forecast'!AT8*Assumptions!$H$13+'Sales Forecast'!AS8*Assumptions!$I$13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1358</v>
      </c>
      <c r="J18" s="19" t="n">
        <v>1060</v>
      </c>
      <c r="K18" s="19" t="n">
        <v>1032</v>
      </c>
      <c r="L18" s="19" t="n">
        <v>686</v>
      </c>
      <c r="M18" s="19" t="n">
        <v>954</v>
      </c>
      <c r="N18" s="19" t="n">
        <v>687.2</v>
      </c>
      <c r="O18" s="19" t="n">
        <v>998</v>
      </c>
      <c r="P18" s="19" t="n">
        <v>768</v>
      </c>
      <c r="Q18" s="19" t="n">
        <v>416</v>
      </c>
      <c r="R18" s="19" t="n">
        <v>528</v>
      </c>
      <c r="S18" s="19" t="n">
        <v>598</v>
      </c>
      <c r="T18" s="84" t="n">
        <v>332</v>
      </c>
      <c r="U18" s="20">
        <f>577.5</f>
        <v/>
      </c>
      <c r="V18" s="20">
        <f>577.5</f>
        <v/>
      </c>
      <c r="W18" s="20">
        <f>577.5</f>
        <v/>
      </c>
      <c r="X18" s="20">
        <f>577.5</f>
        <v/>
      </c>
      <c r="Y18" s="20">
        <f>577.5</f>
        <v/>
      </c>
      <c r="Z18" s="20">
        <f>577.5</f>
        <v/>
      </c>
      <c r="AA18" s="20">
        <f>577.5</f>
        <v/>
      </c>
      <c r="AB18" s="20">
        <f>577.5</f>
        <v/>
      </c>
      <c r="AC18" s="20">
        <f>577.5</f>
        <v/>
      </c>
      <c r="AD18" s="20">
        <f>577.5</f>
        <v/>
      </c>
      <c r="AE18" s="20">
        <f>577.5</f>
        <v/>
      </c>
      <c r="AF18" s="20">
        <f>577.5</f>
        <v/>
      </c>
      <c r="AG18" s="20">
        <f>577.5</f>
        <v/>
      </c>
      <c r="AH18" s="20">
        <f>577.5</f>
        <v/>
      </c>
      <c r="AI18" s="20">
        <f>577.5</f>
        <v/>
      </c>
      <c r="AJ18" s="20">
        <f>577.5</f>
        <v/>
      </c>
      <c r="AK18" s="20">
        <f>577.5</f>
        <v/>
      </c>
      <c r="AL18" s="20">
        <f>577.5</f>
        <v/>
      </c>
      <c r="AM18" s="20">
        <f>577.5</f>
        <v/>
      </c>
      <c r="AN18" s="20">
        <f>577.5</f>
        <v/>
      </c>
      <c r="AO18" s="20">
        <f>577.5</f>
        <v/>
      </c>
      <c r="AP18" s="20">
        <f>577.5</f>
        <v/>
      </c>
      <c r="AQ18" s="20">
        <f>577.5</f>
        <v/>
      </c>
      <c r="AR18" s="20">
        <f>577.5</f>
        <v/>
      </c>
      <c r="AS18" s="20">
        <f>577.5</f>
        <v/>
      </c>
      <c r="AT18" s="20">
        <f>577.5</f>
        <v/>
      </c>
      <c r="AU18" s="20">
        <f>577.5</f>
        <v/>
      </c>
      <c r="AV18" s="20">
        <f>577.5</f>
        <v/>
      </c>
      <c r="AW18" s="20">
        <f>577.5</f>
        <v/>
      </c>
      <c r="AX18" s="20">
        <f>577.5</f>
        <v/>
      </c>
      <c r="AY18" s="20">
        <f>577.5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-89</v>
      </c>
      <c r="J19" s="19" t="n">
        <v>-133</v>
      </c>
      <c r="K19" s="19" t="n">
        <v>-542</v>
      </c>
      <c r="L19" s="19" t="n">
        <v>-685</v>
      </c>
      <c r="M19" s="19" t="n">
        <v>-245</v>
      </c>
      <c r="N19" s="19" t="n">
        <v>-99</v>
      </c>
      <c r="O19" s="19" t="n">
        <v>-834</v>
      </c>
      <c r="P19" s="19" t="n">
        <v>0</v>
      </c>
      <c r="Q19" s="19" t="n">
        <v>0</v>
      </c>
      <c r="R19" s="19" t="n">
        <v>245</v>
      </c>
      <c r="S19" s="19" t="n">
        <v>245</v>
      </c>
      <c r="T19" s="84" t="n">
        <v>245</v>
      </c>
      <c r="U19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Forecast'!P8*Assumptions!$H$13+577.5)*Assumptions!$C$17</f>
        <v/>
      </c>
      <c r="V19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Forecast'!P8*Assumptions!$I$13+577.5)*Assumptions!$C$17</f>
        <v/>
      </c>
      <c r="W19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Forecast'!Q8*Assumptions!$I$13+577.5)*Assumptions!$C$17</f>
        <v/>
      </c>
      <c r="X19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Forecast'!R8*Assumptions!$I$13+577.5)*Assumptions!$C$17</f>
        <v/>
      </c>
      <c r="Y19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Forecast'!S8*Assumptions!$I$13+577.5)*Assumptions!$C$17</f>
        <v/>
      </c>
      <c r="Z19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Forecast'!T8*Assumptions!$I$13+577.5)*Assumptions!$C$17</f>
        <v/>
      </c>
      <c r="AA19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Forecast'!U8*Assumptions!$I$13+577.5)*Assumptions!$C$17</f>
        <v/>
      </c>
      <c r="AB19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Forecast'!V8*Assumptions!$I$13+577.5)*Assumptions!$C$17</f>
        <v/>
      </c>
      <c r="AC19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Forecast'!W8*Assumptions!$I$13+577.5)*Assumptions!$C$17</f>
        <v/>
      </c>
      <c r="AD19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Forecast'!X8*Assumptions!$I$13+577.5)*Assumptions!$C$17</f>
        <v/>
      </c>
      <c r="AE19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Forecast'!Y8*Assumptions!$I$13+577.5)*Assumptions!$C$17</f>
        <v/>
      </c>
      <c r="AF19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Forecast'!Z8*Assumptions!$I$13+577.5)*Assumptions!$C$17</f>
        <v/>
      </c>
      <c r="AG19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Forecast'!AA8*Assumptions!$I$13+577.5)*Assumptions!$C$17</f>
        <v/>
      </c>
      <c r="AH19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Forecast'!AB8*Assumptions!$I$13+577.5)*Assumptions!$C$17</f>
        <v/>
      </c>
      <c r="AI19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Forecast'!AC8*Assumptions!$I$13+577.5)*Assumptions!$C$17</f>
        <v/>
      </c>
      <c r="AJ19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Forecast'!AD8*Assumptions!$I$13+577.5)*Assumptions!$C$17</f>
        <v/>
      </c>
      <c r="AK19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Forecast'!AE8*Assumptions!$I$13+577.5)*Assumptions!$C$17</f>
        <v/>
      </c>
      <c r="AL19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Forecast'!AF8*Assumptions!$I$13+577.5)*Assumptions!$C$17</f>
        <v/>
      </c>
      <c r="AM19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Forecast'!AG8*Assumptions!$I$13+577.5)*Assumptions!$C$17</f>
        <v/>
      </c>
      <c r="AN19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Forecast'!AH8*Assumptions!$I$13+577.5)*Assumptions!$C$17</f>
        <v/>
      </c>
      <c r="AO19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Forecast'!AI8*Assumptions!$I$13+577.5)*Assumptions!$C$17</f>
        <v/>
      </c>
      <c r="AP19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Forecast'!AJ8*Assumptions!$I$13+577.5)*Assumptions!$C$17</f>
        <v/>
      </c>
      <c r="AQ19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Forecast'!AK8*Assumptions!$I$13+577.5)*Assumptions!$C$17</f>
        <v/>
      </c>
      <c r="AR19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Forecast'!AL8*Assumptions!$I$13+577.5)*Assumptions!$C$17</f>
        <v/>
      </c>
      <c r="AS19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Forecast'!AM8*Assumptions!$I$13+577.5)*Assumptions!$C$17</f>
        <v/>
      </c>
      <c r="AT19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Forecast'!AN8*Assumptions!$I$13+577.5)*Assumptions!$C$17</f>
        <v/>
      </c>
      <c r="AU19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Forecast'!AO8*Assumptions!$I$13+577.5)*Assumptions!$C$17</f>
        <v/>
      </c>
      <c r="AV19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Forecast'!AP8*Assumptions!$I$13+577.5)*Assumptions!$C$17</f>
        <v/>
      </c>
      <c r="AW19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Forecast'!AQ8*Assumptions!$I$13+577.5)*Assumptions!$C$17</f>
        <v/>
      </c>
      <c r="AX19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Forecast'!AR8*Assumptions!$I$13+577.5)*Assumptions!$C$17</f>
        <v/>
      </c>
      <c r="AY19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-41</v>
      </c>
      <c r="H20" s="19" t="n">
        <v>-1665</v>
      </c>
      <c r="I20" s="19" t="n">
        <v>-2563.9</v>
      </c>
      <c r="J20" s="19" t="n">
        <v>-5845.7</v>
      </c>
      <c r="K20" s="19" t="n">
        <v>-993.8</v>
      </c>
      <c r="L20" s="19" t="n">
        <v>-5065.4</v>
      </c>
      <c r="M20" s="19" t="n">
        <v>-5130.2</v>
      </c>
      <c r="N20" s="19" t="n">
        <v>-1678.8</v>
      </c>
      <c r="O20" s="19" t="n">
        <v>-1947.2</v>
      </c>
      <c r="P20" s="19" t="n">
        <v>3930.1</v>
      </c>
      <c r="Q20" s="19" t="n">
        <v>2252.3</v>
      </c>
      <c r="R20" s="19" t="n">
        <v>2380.1</v>
      </c>
      <c r="S20" s="19" t="n">
        <v>1371.5</v>
      </c>
      <c r="T20" s="84" t="n">
        <v>1163</v>
      </c>
      <c r="U20" s="20">
        <f>('Sales Forecast'!U8*Assumptions!$C$12+'Sales Forecast'!T8*Assumptions!$D$12+'Sales Forecast'!S8*Assumptions!$E$12+'Sales Forecast'!R8*Assumptions!$F$12+'Sales Forecast'!Q8*Assumptions!$G$12+'Sales Forecast'!P8*Assumptions!$H$12+'Sales Forecast'!U8*Assumptions!$C$13+'Sales Forecast'!T8*Assumptions!$D$13+'Sales Forecast'!S8*Assumptions!$E$13+'Sales Forecast'!R8*Assumptions!$F$13+'Sales Forecast'!Q8*Assumptions!$G$13+'Sales Forecast'!P8*Assumptions!$H$13+577.5)*Assumptions!$C$18</f>
        <v/>
      </c>
      <c r="V20" s="20">
        <f>('Sales Forecast'!V8*Assumptions!$C$12+'Sales Forecast'!U8*Assumptions!$D$12+'Sales Forecast'!T8*Assumptions!$E$12+'Sales Forecast'!S8*Assumptions!$F$12+'Sales Forecast'!R8*Assumptions!$G$12+'Sales Forecast'!Q8*Assumptions!$H$12+'Sales Forecast'!P8*Assumptions!$I$12+'Sales Forecast'!V8*Assumptions!$C$13+'Sales Forecast'!U8*Assumptions!$D$13+'Sales Forecast'!T8*Assumptions!$E$13+'Sales Forecast'!S8*Assumptions!$F$13+'Sales Forecast'!R8*Assumptions!$G$13+'Sales Forecast'!Q8*Assumptions!$H$13+'Sales Forecast'!P8*Assumptions!$I$13+577.5)*Assumptions!$C$18</f>
        <v/>
      </c>
      <c r="W20" s="20">
        <f>('Sales Forecast'!W8*Assumptions!$C$12+'Sales Forecast'!V8*Assumptions!$D$12+'Sales Forecast'!U8*Assumptions!$E$12+'Sales Forecast'!T8*Assumptions!$F$12+'Sales Forecast'!S8*Assumptions!$G$12+'Sales Forecast'!R8*Assumptions!$H$12+'Sales Forecast'!Q8*Assumptions!$I$12+'Sales Forecast'!W8*Assumptions!$C$13+'Sales Forecast'!V8*Assumptions!$D$13+'Sales Forecast'!U8*Assumptions!$E$13+'Sales Forecast'!T8*Assumptions!$F$13+'Sales Forecast'!S8*Assumptions!$G$13+'Sales Forecast'!R8*Assumptions!$H$13+'Sales Forecast'!Q8*Assumptions!$I$13+577.5)*Assumptions!$C$18</f>
        <v/>
      </c>
      <c r="X20" s="20">
        <f>('Sales Forecast'!X8*Assumptions!$C$12+'Sales Forecast'!W8*Assumptions!$D$12+'Sales Forecast'!V8*Assumptions!$E$12+'Sales Forecast'!U8*Assumptions!$F$12+'Sales Forecast'!T8*Assumptions!$G$12+'Sales Forecast'!S8*Assumptions!$H$12+'Sales Forecast'!R8*Assumptions!$I$12+'Sales Forecast'!X8*Assumptions!$C$13+'Sales Forecast'!W8*Assumptions!$D$13+'Sales Forecast'!V8*Assumptions!$E$13+'Sales Forecast'!U8*Assumptions!$F$13+'Sales Forecast'!T8*Assumptions!$G$13+'Sales Forecast'!S8*Assumptions!$H$13+'Sales Forecast'!R8*Assumptions!$I$13+577.5)*Assumptions!$C$18</f>
        <v/>
      </c>
      <c r="Y20" s="20">
        <f>('Sales Forecast'!Y8*Assumptions!$C$12+'Sales Forecast'!X8*Assumptions!$D$12+'Sales Forecast'!W8*Assumptions!$E$12+'Sales Forecast'!V8*Assumptions!$F$12+'Sales Forecast'!U8*Assumptions!$G$12+'Sales Forecast'!T8*Assumptions!$H$12+'Sales Forecast'!S8*Assumptions!$I$12+'Sales Forecast'!Y8*Assumptions!$C$13+'Sales Forecast'!X8*Assumptions!$D$13+'Sales Forecast'!W8*Assumptions!$E$13+'Sales Forecast'!V8*Assumptions!$F$13+'Sales Forecast'!U8*Assumptions!$G$13+'Sales Forecast'!T8*Assumptions!$H$13+'Sales Forecast'!S8*Assumptions!$I$13+577.5)*Assumptions!$C$18</f>
        <v/>
      </c>
      <c r="Z20" s="20">
        <f>('Sales Forecast'!Z8*Assumptions!$C$12+'Sales Forecast'!Y8*Assumptions!$D$12+'Sales Forecast'!X8*Assumptions!$E$12+'Sales Forecast'!W8*Assumptions!$F$12+'Sales Forecast'!V8*Assumptions!$G$12+'Sales Forecast'!U8*Assumptions!$H$12+'Sales Forecast'!T8*Assumptions!$I$12+'Sales Forecast'!Z8*Assumptions!$C$13+'Sales Forecast'!Y8*Assumptions!$D$13+'Sales Forecast'!X8*Assumptions!$E$13+'Sales Forecast'!W8*Assumptions!$F$13+'Sales Forecast'!V8*Assumptions!$G$13+'Sales Forecast'!U8*Assumptions!$H$13+'Sales Forecast'!T8*Assumptions!$I$13+577.5)*Assumptions!$C$18</f>
        <v/>
      </c>
      <c r="AA20" s="20">
        <f>('Sales Forecast'!AA8*Assumptions!$C$12+'Sales Forecast'!Z8*Assumptions!$D$12+'Sales Forecast'!Y8*Assumptions!$E$12+'Sales Forecast'!X8*Assumptions!$F$12+'Sales Forecast'!W8*Assumptions!$G$12+'Sales Forecast'!V8*Assumptions!$H$12+'Sales Forecast'!U8*Assumptions!$I$12+'Sales Forecast'!AA8*Assumptions!$C$13+'Sales Forecast'!Z8*Assumptions!$D$13+'Sales Forecast'!Y8*Assumptions!$E$13+'Sales Forecast'!X8*Assumptions!$F$13+'Sales Forecast'!W8*Assumptions!$G$13+'Sales Forecast'!V8*Assumptions!$H$13+'Sales Forecast'!U8*Assumptions!$I$13+577.5)*Assumptions!$C$18</f>
        <v/>
      </c>
      <c r="AB20" s="20">
        <f>('Sales Forecast'!AB8*Assumptions!$C$12+'Sales Forecast'!AA8*Assumptions!$D$12+'Sales Forecast'!Z8*Assumptions!$E$12+'Sales Forecast'!Y8*Assumptions!$F$12+'Sales Forecast'!X8*Assumptions!$G$12+'Sales Forecast'!W8*Assumptions!$H$12+'Sales Forecast'!V8*Assumptions!$I$12+'Sales Forecast'!AB8*Assumptions!$C$13+'Sales Forecast'!AA8*Assumptions!$D$13+'Sales Forecast'!Z8*Assumptions!$E$13+'Sales Forecast'!Y8*Assumptions!$F$13+'Sales Forecast'!X8*Assumptions!$G$13+'Sales Forecast'!W8*Assumptions!$H$13+'Sales Forecast'!V8*Assumptions!$I$13+577.5)*Assumptions!$C$18</f>
        <v/>
      </c>
      <c r="AC20" s="20">
        <f>('Sales Forecast'!AC8*Assumptions!$C$12+'Sales Forecast'!AB8*Assumptions!$D$12+'Sales Forecast'!AA8*Assumptions!$E$12+'Sales Forecast'!Z8*Assumptions!$F$12+'Sales Forecast'!Y8*Assumptions!$G$12+'Sales Forecast'!X8*Assumptions!$H$12+'Sales Forecast'!W8*Assumptions!$I$12+'Sales Forecast'!AC8*Assumptions!$C$13+'Sales Forecast'!AB8*Assumptions!$D$13+'Sales Forecast'!AA8*Assumptions!$E$13+'Sales Forecast'!Z8*Assumptions!$F$13+'Sales Forecast'!Y8*Assumptions!$G$13+'Sales Forecast'!X8*Assumptions!$H$13+'Sales Forecast'!W8*Assumptions!$I$13+577.5)*Assumptions!$C$18</f>
        <v/>
      </c>
      <c r="AD20" s="20">
        <f>('Sales Forecast'!AD8*Assumptions!$C$12+'Sales Forecast'!AC8*Assumptions!$D$12+'Sales Forecast'!AB8*Assumptions!$E$12+'Sales Forecast'!AA8*Assumptions!$F$12+'Sales Forecast'!Z8*Assumptions!$G$12+'Sales Forecast'!Y8*Assumptions!$H$12+'Sales Forecast'!X8*Assumptions!$I$12+'Sales Forecast'!AD8*Assumptions!$C$13+'Sales Forecast'!AC8*Assumptions!$D$13+'Sales Forecast'!AB8*Assumptions!$E$13+'Sales Forecast'!AA8*Assumptions!$F$13+'Sales Forecast'!Z8*Assumptions!$G$13+'Sales Forecast'!Y8*Assumptions!$H$13+'Sales Forecast'!X8*Assumptions!$I$13+577.5)*Assumptions!$C$18</f>
        <v/>
      </c>
      <c r="AE20" s="20">
        <f>('Sales Forecast'!AE8*Assumptions!$C$12+'Sales Forecast'!AD8*Assumptions!$D$12+'Sales Forecast'!AC8*Assumptions!$E$12+'Sales Forecast'!AB8*Assumptions!$F$12+'Sales Forecast'!AA8*Assumptions!$G$12+'Sales Forecast'!Z8*Assumptions!$H$12+'Sales Forecast'!Y8*Assumptions!$I$12+'Sales Forecast'!AE8*Assumptions!$C$13+'Sales Forecast'!AD8*Assumptions!$D$13+'Sales Forecast'!AC8*Assumptions!$E$13+'Sales Forecast'!AB8*Assumptions!$F$13+'Sales Forecast'!AA8*Assumptions!$G$13+'Sales Forecast'!Z8*Assumptions!$H$13+'Sales Forecast'!Y8*Assumptions!$I$13+577.5)*Assumptions!$C$18</f>
        <v/>
      </c>
      <c r="AF20" s="20">
        <f>('Sales Forecast'!AF8*Assumptions!$C$12+'Sales Forecast'!AE8*Assumptions!$D$12+'Sales Forecast'!AD8*Assumptions!$E$12+'Sales Forecast'!AC8*Assumptions!$F$12+'Sales Forecast'!AB8*Assumptions!$G$12+'Sales Forecast'!AA8*Assumptions!$H$12+'Sales Forecast'!Z8*Assumptions!$I$12+'Sales Forecast'!AF8*Assumptions!$C$13+'Sales Forecast'!AE8*Assumptions!$D$13+'Sales Forecast'!AD8*Assumptions!$E$13+'Sales Forecast'!AC8*Assumptions!$F$13+'Sales Forecast'!AB8*Assumptions!$G$13+'Sales Forecast'!AA8*Assumptions!$H$13+'Sales Forecast'!Z8*Assumptions!$I$13+577.5)*Assumptions!$C$18</f>
        <v/>
      </c>
      <c r="AG20" s="20">
        <f>('Sales Forecast'!AG8*Assumptions!$C$12+'Sales Forecast'!AF8*Assumptions!$D$12+'Sales Forecast'!AE8*Assumptions!$E$12+'Sales Forecast'!AD8*Assumptions!$F$12+'Sales Forecast'!AC8*Assumptions!$G$12+'Sales Forecast'!AB8*Assumptions!$H$12+'Sales Forecast'!AA8*Assumptions!$I$12+'Sales Forecast'!AG8*Assumptions!$C$13+'Sales Forecast'!AF8*Assumptions!$D$13+'Sales Forecast'!AE8*Assumptions!$E$13+'Sales Forecast'!AD8*Assumptions!$F$13+'Sales Forecast'!AC8*Assumptions!$G$13+'Sales Forecast'!AB8*Assumptions!$H$13+'Sales Forecast'!AA8*Assumptions!$I$13+577.5)*Assumptions!$C$18</f>
        <v/>
      </c>
      <c r="AH20" s="20">
        <f>('Sales Forecast'!AH8*Assumptions!$C$12+'Sales Forecast'!AG8*Assumptions!$D$12+'Sales Forecast'!AF8*Assumptions!$E$12+'Sales Forecast'!AE8*Assumptions!$F$12+'Sales Forecast'!AD8*Assumptions!$G$12+'Sales Forecast'!AC8*Assumptions!$H$12+'Sales Forecast'!AB8*Assumptions!$I$12+'Sales Forecast'!AH8*Assumptions!$C$13+'Sales Forecast'!AG8*Assumptions!$D$13+'Sales Forecast'!AF8*Assumptions!$E$13+'Sales Forecast'!AE8*Assumptions!$F$13+'Sales Forecast'!AD8*Assumptions!$G$13+'Sales Forecast'!AC8*Assumptions!$H$13+'Sales Forecast'!AB8*Assumptions!$I$13+577.5)*Assumptions!$C$18</f>
        <v/>
      </c>
      <c r="AI20" s="20">
        <f>('Sales Forecast'!AI8*Assumptions!$C$12+'Sales Forecast'!AH8*Assumptions!$D$12+'Sales Forecast'!AG8*Assumptions!$E$12+'Sales Forecast'!AF8*Assumptions!$F$12+'Sales Forecast'!AE8*Assumptions!$G$12+'Sales Forecast'!AD8*Assumptions!$H$12+'Sales Forecast'!AC8*Assumptions!$I$12+'Sales Forecast'!AI8*Assumptions!$C$13+'Sales Forecast'!AH8*Assumptions!$D$13+'Sales Forecast'!AG8*Assumptions!$E$13+'Sales Forecast'!AF8*Assumptions!$F$13+'Sales Forecast'!AE8*Assumptions!$G$13+'Sales Forecast'!AD8*Assumptions!$H$13+'Sales Forecast'!AC8*Assumptions!$I$13+577.5)*Assumptions!$C$18</f>
        <v/>
      </c>
      <c r="AJ20" s="20">
        <f>('Sales Forecast'!AJ8*Assumptions!$C$12+'Sales Forecast'!AI8*Assumptions!$D$12+'Sales Forecast'!AH8*Assumptions!$E$12+'Sales Forecast'!AG8*Assumptions!$F$12+'Sales Forecast'!AF8*Assumptions!$G$12+'Sales Forecast'!AE8*Assumptions!$H$12+'Sales Forecast'!AD8*Assumptions!$I$12+'Sales Forecast'!AJ8*Assumptions!$C$13+'Sales Forecast'!AI8*Assumptions!$D$13+'Sales Forecast'!AH8*Assumptions!$E$13+'Sales Forecast'!AG8*Assumptions!$F$13+'Sales Forecast'!AF8*Assumptions!$G$13+'Sales Forecast'!AE8*Assumptions!$H$13+'Sales Forecast'!AD8*Assumptions!$I$13+577.5)*Assumptions!$C$18</f>
        <v/>
      </c>
      <c r="AK20" s="20">
        <f>('Sales Forecast'!AK8*Assumptions!$C$12+'Sales Forecast'!AJ8*Assumptions!$D$12+'Sales Forecast'!AI8*Assumptions!$E$12+'Sales Forecast'!AH8*Assumptions!$F$12+'Sales Forecast'!AG8*Assumptions!$G$12+'Sales Forecast'!AF8*Assumptions!$H$12+'Sales Forecast'!AE8*Assumptions!$I$12+'Sales Forecast'!AK8*Assumptions!$C$13+'Sales Forecast'!AJ8*Assumptions!$D$13+'Sales Forecast'!AI8*Assumptions!$E$13+'Sales Forecast'!AH8*Assumptions!$F$13+'Sales Forecast'!AG8*Assumptions!$G$13+'Sales Forecast'!AF8*Assumptions!$H$13+'Sales Forecast'!AE8*Assumptions!$I$13+577.5)*Assumptions!$C$18</f>
        <v/>
      </c>
      <c r="AL20" s="20">
        <f>('Sales Forecast'!AL8*Assumptions!$C$12+'Sales Forecast'!AK8*Assumptions!$D$12+'Sales Forecast'!AJ8*Assumptions!$E$12+'Sales Forecast'!AI8*Assumptions!$F$12+'Sales Forecast'!AH8*Assumptions!$G$12+'Sales Forecast'!AG8*Assumptions!$H$12+'Sales Forecast'!AF8*Assumptions!$I$12+'Sales Forecast'!AL8*Assumptions!$C$13+'Sales Forecast'!AK8*Assumptions!$D$13+'Sales Forecast'!AJ8*Assumptions!$E$13+'Sales Forecast'!AI8*Assumptions!$F$13+'Sales Forecast'!AH8*Assumptions!$G$13+'Sales Forecast'!AG8*Assumptions!$H$13+'Sales Forecast'!AF8*Assumptions!$I$13+577.5)*Assumptions!$C$18</f>
        <v/>
      </c>
      <c r="AM20" s="20">
        <f>('Sales Forecast'!AM8*Assumptions!$C$12+'Sales Forecast'!AL8*Assumptions!$D$12+'Sales Forecast'!AK8*Assumptions!$E$12+'Sales Forecast'!AJ8*Assumptions!$F$12+'Sales Forecast'!AI8*Assumptions!$G$12+'Sales Forecast'!AH8*Assumptions!$H$12+'Sales Forecast'!AG8*Assumptions!$I$12+'Sales Forecast'!AM8*Assumptions!$C$13+'Sales Forecast'!AL8*Assumptions!$D$13+'Sales Forecast'!AK8*Assumptions!$E$13+'Sales Forecast'!AJ8*Assumptions!$F$13+'Sales Forecast'!AI8*Assumptions!$G$13+'Sales Forecast'!AH8*Assumptions!$H$13+'Sales Forecast'!AG8*Assumptions!$I$13+577.5)*Assumptions!$C$18</f>
        <v/>
      </c>
      <c r="AN20" s="20">
        <f>('Sales Forecast'!AN8*Assumptions!$C$12+'Sales Forecast'!AM8*Assumptions!$D$12+'Sales Forecast'!AL8*Assumptions!$E$12+'Sales Forecast'!AK8*Assumptions!$F$12+'Sales Forecast'!AJ8*Assumptions!$G$12+'Sales Forecast'!AI8*Assumptions!$H$12+'Sales Forecast'!AH8*Assumptions!$I$12+'Sales Forecast'!AN8*Assumptions!$C$13+'Sales Forecast'!AM8*Assumptions!$D$13+'Sales Forecast'!AL8*Assumptions!$E$13+'Sales Forecast'!AK8*Assumptions!$F$13+'Sales Forecast'!AJ8*Assumptions!$G$13+'Sales Forecast'!AI8*Assumptions!$H$13+'Sales Forecast'!AH8*Assumptions!$I$13+577.5)*Assumptions!$C$18</f>
        <v/>
      </c>
      <c r="AO20" s="20">
        <f>('Sales Forecast'!AO8*Assumptions!$C$12+'Sales Forecast'!AN8*Assumptions!$D$12+'Sales Forecast'!AM8*Assumptions!$E$12+'Sales Forecast'!AL8*Assumptions!$F$12+'Sales Forecast'!AK8*Assumptions!$G$12+'Sales Forecast'!AJ8*Assumptions!$H$12+'Sales Forecast'!AI8*Assumptions!$I$12+'Sales Forecast'!AO8*Assumptions!$C$13+'Sales Forecast'!AN8*Assumptions!$D$13+'Sales Forecast'!AM8*Assumptions!$E$13+'Sales Forecast'!AL8*Assumptions!$F$13+'Sales Forecast'!AK8*Assumptions!$G$13+'Sales Forecast'!AJ8*Assumptions!$H$13+'Sales Forecast'!AI8*Assumptions!$I$13+577.5)*Assumptions!$C$18</f>
        <v/>
      </c>
      <c r="AP20" s="20">
        <f>('Sales Forecast'!AP8*Assumptions!$C$12+'Sales Forecast'!AO8*Assumptions!$D$12+'Sales Forecast'!AN8*Assumptions!$E$12+'Sales Forecast'!AM8*Assumptions!$F$12+'Sales Forecast'!AL8*Assumptions!$G$12+'Sales Forecast'!AK8*Assumptions!$H$12+'Sales Forecast'!AJ8*Assumptions!$I$12+'Sales Forecast'!AP8*Assumptions!$C$13+'Sales Forecast'!AO8*Assumptions!$D$13+'Sales Forecast'!AN8*Assumptions!$E$13+'Sales Forecast'!AM8*Assumptions!$F$13+'Sales Forecast'!AL8*Assumptions!$G$13+'Sales Forecast'!AK8*Assumptions!$H$13+'Sales Forecast'!AJ8*Assumptions!$I$13+577.5)*Assumptions!$C$18</f>
        <v/>
      </c>
      <c r="AQ20" s="20">
        <f>('Sales Forecast'!AQ8*Assumptions!$C$12+'Sales Forecast'!AP8*Assumptions!$D$12+'Sales Forecast'!AO8*Assumptions!$E$12+'Sales Forecast'!AN8*Assumptions!$F$12+'Sales Forecast'!AM8*Assumptions!$G$12+'Sales Forecast'!AL8*Assumptions!$H$12+'Sales Forecast'!AK8*Assumptions!$I$12+'Sales Forecast'!AQ8*Assumptions!$C$13+'Sales Forecast'!AP8*Assumptions!$D$13+'Sales Forecast'!AO8*Assumptions!$E$13+'Sales Forecast'!AN8*Assumptions!$F$13+'Sales Forecast'!AM8*Assumptions!$G$13+'Sales Forecast'!AL8*Assumptions!$H$13+'Sales Forecast'!AK8*Assumptions!$I$13+577.5)*Assumptions!$C$18</f>
        <v/>
      </c>
      <c r="AR20" s="20">
        <f>('Sales Forecast'!AR8*Assumptions!$C$12+'Sales Forecast'!AQ8*Assumptions!$D$12+'Sales Forecast'!AP8*Assumptions!$E$12+'Sales Forecast'!AO8*Assumptions!$F$12+'Sales Forecast'!AN8*Assumptions!$G$12+'Sales Forecast'!AM8*Assumptions!$H$12+'Sales Forecast'!AL8*Assumptions!$I$12+'Sales Forecast'!AR8*Assumptions!$C$13+'Sales Forecast'!AQ8*Assumptions!$D$13+'Sales Forecast'!AP8*Assumptions!$E$13+'Sales Forecast'!AO8*Assumptions!$F$13+'Sales Forecast'!AN8*Assumptions!$G$13+'Sales Forecast'!AM8*Assumptions!$H$13+'Sales Forecast'!AL8*Assumptions!$I$13+577.5)*Assumptions!$C$18</f>
        <v/>
      </c>
      <c r="AS20" s="20">
        <f>('Sales Forecast'!AS8*Assumptions!$C$12+'Sales Forecast'!AR8*Assumptions!$D$12+'Sales Forecast'!AQ8*Assumptions!$E$12+'Sales Forecast'!AP8*Assumptions!$F$12+'Sales Forecast'!AO8*Assumptions!$G$12+'Sales Forecast'!AN8*Assumptions!$H$12+'Sales Forecast'!AM8*Assumptions!$I$12+'Sales Forecast'!AS8*Assumptions!$C$13+'Sales Forecast'!AR8*Assumptions!$D$13+'Sales Forecast'!AQ8*Assumptions!$E$13+'Sales Forecast'!AP8*Assumptions!$F$13+'Sales Forecast'!AO8*Assumptions!$G$13+'Sales Forecast'!AN8*Assumptions!$H$13+'Sales Forecast'!AM8*Assumptions!$I$13+577.5)*Assumptions!$C$18</f>
        <v/>
      </c>
      <c r="AT20" s="20">
        <f>('Sales Forecast'!AT8*Assumptions!$C$12+'Sales Forecast'!AS8*Assumptions!$D$12+'Sales Forecast'!AR8*Assumptions!$E$12+'Sales Forecast'!AQ8*Assumptions!$F$12+'Sales Forecast'!AP8*Assumptions!$G$12+'Sales Forecast'!AO8*Assumptions!$H$12+'Sales Forecast'!AN8*Assumptions!$I$12+'Sales Forecast'!AT8*Assumptions!$C$13+'Sales Forecast'!AS8*Assumptions!$D$13+'Sales Forecast'!AR8*Assumptions!$E$13+'Sales Forecast'!AQ8*Assumptions!$F$13+'Sales Forecast'!AP8*Assumptions!$G$13+'Sales Forecast'!AO8*Assumptions!$H$13+'Sales Forecast'!AN8*Assumptions!$I$13+577.5)*Assumptions!$C$18</f>
        <v/>
      </c>
      <c r="AU20" s="20">
        <f>('Sales Forecast'!AU8*Assumptions!$C$12+'Sales Forecast'!AT8*Assumptions!$D$12+'Sales Forecast'!AS8*Assumptions!$E$12+'Sales Forecast'!AR8*Assumptions!$F$12+'Sales Forecast'!AQ8*Assumptions!$G$12+'Sales Forecast'!AP8*Assumptions!$H$12+'Sales Forecast'!AO8*Assumptions!$I$12+'Sales Forecast'!AU8*Assumptions!$C$13+'Sales Forecast'!AT8*Assumptions!$D$13+'Sales Forecast'!AS8*Assumptions!$E$13+'Sales Forecast'!AR8*Assumptions!$F$13+'Sales Forecast'!AQ8*Assumptions!$G$13+'Sales Forecast'!AP8*Assumptions!$H$13+'Sales Forecast'!AO8*Assumptions!$I$13+577.5)*Assumptions!$C$18</f>
        <v/>
      </c>
      <c r="AV20" s="20">
        <f>('Sales Forecast'!AV8*Assumptions!$C$12+'Sales Forecast'!AU8*Assumptions!$D$12+'Sales Forecast'!AT8*Assumptions!$E$12+'Sales Forecast'!AS8*Assumptions!$F$12+'Sales Forecast'!AR8*Assumptions!$G$12+'Sales Forecast'!AQ8*Assumptions!$H$12+'Sales Forecast'!AP8*Assumptions!$I$12+'Sales Forecast'!AV8*Assumptions!$C$13+'Sales Forecast'!AU8*Assumptions!$D$13+'Sales Forecast'!AT8*Assumptions!$E$13+'Sales Forecast'!AS8*Assumptions!$F$13+'Sales Forecast'!AR8*Assumptions!$G$13+'Sales Forecast'!AQ8*Assumptions!$H$13+'Sales Forecast'!AP8*Assumptions!$I$13+577.5)*Assumptions!$C$18</f>
        <v/>
      </c>
      <c r="AW20" s="20">
        <f>('Sales Forecast'!AW8*Assumptions!$C$12+'Sales Forecast'!AV8*Assumptions!$D$12+'Sales Forecast'!AU8*Assumptions!$E$12+'Sales Forecast'!AT8*Assumptions!$F$12+'Sales Forecast'!AS8*Assumptions!$G$12+'Sales Forecast'!AR8*Assumptions!$H$12+'Sales Forecast'!AQ8*Assumptions!$I$12+'Sales Forecast'!AW8*Assumptions!$C$13+'Sales Forecast'!AV8*Assumptions!$D$13+'Sales Forecast'!AU8*Assumptions!$E$13+'Sales Forecast'!AT8*Assumptions!$F$13+'Sales Forecast'!AS8*Assumptions!$G$13+'Sales Forecast'!AR8*Assumptions!$H$13+'Sales Forecast'!AQ8*Assumptions!$I$13+577.5)*Assumptions!$C$18</f>
        <v/>
      </c>
      <c r="AX20" s="20">
        <f>('Sales Forecast'!AX8*Assumptions!$C$12+'Sales Forecast'!AW8*Assumptions!$D$12+'Sales Forecast'!AV8*Assumptions!$E$12+'Sales Forecast'!AU8*Assumptions!$F$12+'Sales Forecast'!AT8*Assumptions!$G$12+'Sales Forecast'!AS8*Assumptions!$H$12+'Sales Forecast'!AR8*Assumptions!$I$12+'Sales Forecast'!AX8*Assumptions!$C$13+'Sales Forecast'!AW8*Assumptions!$D$13+'Sales Forecast'!AV8*Assumptions!$E$13+'Sales Forecast'!AU8*Assumptions!$F$13+'Sales Forecast'!AT8*Assumptions!$G$13+'Sales Forecast'!AS8*Assumptions!$H$13+'Sales Forecast'!AR8*Assumptions!$I$13+577.5)*Assumptions!$C$18</f>
        <v/>
      </c>
      <c r="AY20" s="20">
        <f>('Sales Forecast'!AY8*Assumptions!$C$12+'Sales Forecast'!AX8*Assumptions!$D$12+'Sales Forecast'!AW8*Assumptions!$E$12+'Sales Forecast'!AV8*Assumptions!$F$12+'Sales Forecast'!AU8*Assumptions!$G$12+'Sales Forecast'!AT8*Assumptions!$H$12+'Sales Forecast'!AS8*Assumptions!$I$12+'Sales Forecast'!AY8*Assumptions!$C$13+'Sales Forecast'!AX8*Assumptions!$D$13+'Sales Forecast'!AW8*Assumptions!$E$13+'Sales Forecast'!AV8*Assumptions!$F$13+'Sales Forecast'!AU8*Assumptions!$G$13+'Sales Forecast'!AT8*Assumptions!$H$13+'Sales Forecast'!AS8*Assumptions!$I$13+577.5)*Assumptions!$C$18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-41</v>
      </c>
      <c r="H21" s="35" t="n">
        <v>-1587.55</v>
      </c>
      <c r="I21" s="35" t="n">
        <v>6400.960000000001</v>
      </c>
      <c r="J21" s="35" t="n">
        <v>10873.68</v>
      </c>
      <c r="K21" s="35" t="n">
        <v>16910.99</v>
      </c>
      <c r="L21" s="35" t="n">
        <v>12236.8</v>
      </c>
      <c r="M21" s="35" t="n">
        <v>13862.23</v>
      </c>
      <c r="N21" s="35" t="n">
        <v>16979.5</v>
      </c>
      <c r="O21" s="35" t="n">
        <v>17774.24</v>
      </c>
      <c r="P21" s="35" t="n">
        <v>20806.12</v>
      </c>
      <c r="Q21" s="35" t="n">
        <v>20862.49</v>
      </c>
      <c r="R21" s="35" t="n">
        <v>23750.28</v>
      </c>
      <c r="S21" s="35" t="n">
        <v>21166.07</v>
      </c>
      <c r="T21" s="85" t="n">
        <v>19729.51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640</v>
      </c>
      <c r="J23" s="19" t="n">
        <v>508</v>
      </c>
      <c r="K23" s="19" t="n">
        <v>514.5</v>
      </c>
      <c r="L23" s="19" t="n">
        <v>336</v>
      </c>
      <c r="M23" s="19" t="n">
        <v>465.25</v>
      </c>
      <c r="N23" s="19" t="n">
        <v>341</v>
      </c>
      <c r="O23" s="19" t="n">
        <v>501.5</v>
      </c>
      <c r="P23" s="19" t="n">
        <v>384</v>
      </c>
      <c r="Q23" s="19" t="n">
        <v>208</v>
      </c>
      <c r="R23" s="19" t="n">
        <v>264</v>
      </c>
      <c r="S23" s="19" t="n">
        <v>297</v>
      </c>
      <c r="T23" s="84" t="n">
        <v>163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3.12</v>
      </c>
      <c r="H24" s="19" t="n">
        <v>52.42</v>
      </c>
      <c r="I24" s="19" t="n">
        <v>183.17</v>
      </c>
      <c r="J24" s="19" t="n">
        <v>489.7</v>
      </c>
      <c r="K24" s="19" t="n">
        <v>494.47</v>
      </c>
      <c r="L24" s="19" t="n">
        <v>593.58</v>
      </c>
      <c r="M24" s="19" t="n">
        <v>438.93</v>
      </c>
      <c r="N24" s="19" t="n">
        <v>438.23</v>
      </c>
      <c r="O24" s="19" t="n">
        <v>557.52</v>
      </c>
      <c r="P24" s="19" t="n">
        <v>678.49</v>
      </c>
      <c r="Q24" s="19" t="n">
        <v>641.48</v>
      </c>
      <c r="R24" s="19" t="n">
        <v>475.8</v>
      </c>
      <c r="S24" s="19" t="n">
        <v>545.99</v>
      </c>
      <c r="T24" s="84" t="n">
        <v>360.62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3.12</v>
      </c>
      <c r="H25" s="35" t="n">
        <v>52.42</v>
      </c>
      <c r="I25" s="35" t="n">
        <v>823.17</v>
      </c>
      <c r="J25" s="35" t="n">
        <v>997.7</v>
      </c>
      <c r="K25" s="35" t="n">
        <v>1008.97</v>
      </c>
      <c r="L25" s="35" t="n">
        <v>929.58</v>
      </c>
      <c r="M25" s="35" t="n">
        <v>904.1799999999999</v>
      </c>
      <c r="N25" s="35" t="n">
        <v>779.23</v>
      </c>
      <c r="O25" s="35" t="n">
        <v>3169.01</v>
      </c>
      <c r="P25" s="35" t="n">
        <v>1062.49</v>
      </c>
      <c r="Q25" s="35" t="n">
        <v>849.48</v>
      </c>
      <c r="R25" s="35" t="n">
        <v>739.8</v>
      </c>
      <c r="S25" s="35" t="n">
        <v>842.99</v>
      </c>
      <c r="T25" s="85" t="n">
        <v>523.62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-44.12</v>
      </c>
      <c r="H26" s="35" t="n">
        <v>-1639.97</v>
      </c>
      <c r="I26" s="35" t="n">
        <v>5577.790000000001</v>
      </c>
      <c r="J26" s="35" t="n">
        <v>9875.98</v>
      </c>
      <c r="K26" s="35" t="n">
        <v>15902.02</v>
      </c>
      <c r="L26" s="35" t="n">
        <v>11307.22</v>
      </c>
      <c r="M26" s="35" t="n">
        <v>12958.05</v>
      </c>
      <c r="N26" s="35" t="n">
        <v>16200.27</v>
      </c>
      <c r="O26" s="35" t="n">
        <v>14605.23</v>
      </c>
      <c r="P26" s="35" t="n">
        <v>19743.63</v>
      </c>
      <c r="Q26" s="35" t="n">
        <v>20013.01</v>
      </c>
      <c r="R26" s="35" t="n">
        <v>23010.48</v>
      </c>
      <c r="S26" s="35" t="n">
        <v>20323.08</v>
      </c>
      <c r="T26" s="85" t="n">
        <v>19205.89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539.55</v>
      </c>
      <c r="H28" s="19" t="n">
        <v>3058.85</v>
      </c>
      <c r="I28" s="19" t="n">
        <v>2836.13</v>
      </c>
      <c r="J28" s="19" t="n">
        <v>2599.12</v>
      </c>
      <c r="K28" s="19" t="n">
        <v>2256.05</v>
      </c>
      <c r="L28" s="19" t="n">
        <v>2130.06</v>
      </c>
      <c r="M28" s="19" t="n">
        <v>2563.52</v>
      </c>
      <c r="N28" s="19" t="n">
        <v>3025.04</v>
      </c>
      <c r="O28" s="19" t="n">
        <v>1955.75</v>
      </c>
      <c r="P28" s="19" t="n">
        <v>939</v>
      </c>
      <c r="Q28" s="19" t="n">
        <v>119.9</v>
      </c>
      <c r="R28" s="19" t="n">
        <v>0</v>
      </c>
      <c r="S28" s="19" t="n">
        <v>0</v>
      </c>
      <c r="T28" s="84" t="n">
        <v>0</v>
      </c>
      <c r="U28" s="20" t="n">
        <v>287.6</v>
      </c>
      <c r="V28" s="20" t="n">
        <v>287.6</v>
      </c>
      <c r="W28" s="20" t="n">
        <v>287.6</v>
      </c>
      <c r="X28" s="20" t="n">
        <v>287.6</v>
      </c>
      <c r="Y28" s="20" t="n">
        <v>287.6</v>
      </c>
      <c r="Z28" s="20" t="n">
        <v>287.6</v>
      </c>
      <c r="AA28" s="20" t="n">
        <v>287.6</v>
      </c>
      <c r="AB28" s="20" t="n">
        <v>287.6</v>
      </c>
      <c r="AC28" s="20" t="n">
        <v>287.6</v>
      </c>
      <c r="AD28" s="20" t="n">
        <v>287.6</v>
      </c>
      <c r="AE28" s="20" t="n">
        <v>287.6</v>
      </c>
      <c r="AF28" s="20" t="n">
        <v>287.6</v>
      </c>
      <c r="AG28" s="20" t="n">
        <v>287.6</v>
      </c>
      <c r="AH28" s="20" t="n">
        <v>287.6</v>
      </c>
      <c r="AI28" s="20" t="n">
        <v>287.6</v>
      </c>
      <c r="AJ28" s="20" t="n">
        <v>287.6</v>
      </c>
      <c r="AK28" s="20" t="n">
        <v>287.6</v>
      </c>
      <c r="AL28" s="20" t="n">
        <v>287.6</v>
      </c>
      <c r="AM28" s="20" t="n">
        <v>287.6</v>
      </c>
      <c r="AN28" s="20" t="n">
        <v>287.6</v>
      </c>
      <c r="AO28" s="20" t="n">
        <v>287.6</v>
      </c>
      <c r="AP28" s="20" t="n">
        <v>287.6</v>
      </c>
      <c r="AQ28" s="20" t="n">
        <v>287.6</v>
      </c>
      <c r="AR28" s="20" t="n">
        <v>287.6</v>
      </c>
      <c r="AS28" s="20" t="n">
        <v>287.6</v>
      </c>
      <c r="AT28" s="20" t="n">
        <v>287.6</v>
      </c>
      <c r="AU28" s="20" t="n">
        <v>287.6</v>
      </c>
      <c r="AV28" s="20" t="n">
        <v>287.6</v>
      </c>
      <c r="AW28" s="20" t="n">
        <v>287.6</v>
      </c>
      <c r="AX28" s="20" t="n">
        <v>287.6</v>
      </c>
      <c r="AY28" s="20" t="n">
        <v>287.6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103.29</v>
      </c>
      <c r="K30" s="19" t="n">
        <v>1201.21</v>
      </c>
      <c r="L30" s="19" t="n">
        <v>742</v>
      </c>
      <c r="M30" s="19" t="n">
        <v>3237.5</v>
      </c>
      <c r="N30" s="19" t="n">
        <v>700</v>
      </c>
      <c r="O30" s="19" t="n">
        <v>700</v>
      </c>
      <c r="P30" s="19" t="n">
        <v>700</v>
      </c>
      <c r="Q30" s="19" t="n">
        <v>700</v>
      </c>
      <c r="R30" s="19" t="n">
        <v>700</v>
      </c>
      <c r="S30" s="19" t="n">
        <v>700</v>
      </c>
      <c r="T30" s="84" t="n">
        <v>700</v>
      </c>
      <c r="U30" s="20" t="n">
        <v>760.49</v>
      </c>
      <c r="V30" s="20" t="n">
        <v>760.49</v>
      </c>
      <c r="W30" s="20" t="n">
        <v>760.49</v>
      </c>
      <c r="X30" s="20" t="n">
        <v>760.49</v>
      </c>
      <c r="Y30" s="20" t="n">
        <v>760.49</v>
      </c>
      <c r="Z30" s="20" t="n">
        <v>760.49</v>
      </c>
      <c r="AA30" s="20" t="n">
        <v>760.49</v>
      </c>
      <c r="AB30" s="20" t="n">
        <v>760.49</v>
      </c>
      <c r="AC30" s="20" t="n">
        <v>760.49</v>
      </c>
      <c r="AD30" s="20" t="n">
        <v>760.49</v>
      </c>
      <c r="AE30" s="20" t="n">
        <v>760.49</v>
      </c>
      <c r="AF30" s="20" t="n">
        <v>760.49</v>
      </c>
      <c r="AG30" s="20" t="n">
        <v>760.49</v>
      </c>
      <c r="AH30" s="20" t="n">
        <v>760.49</v>
      </c>
      <c r="AI30" s="20" t="n">
        <v>760.49</v>
      </c>
      <c r="AJ30" s="20" t="n">
        <v>760.49</v>
      </c>
      <c r="AK30" s="20" t="n">
        <v>760.49</v>
      </c>
      <c r="AL30" s="20" t="n">
        <v>760.49</v>
      </c>
      <c r="AM30" s="20" t="n">
        <v>760.49</v>
      </c>
      <c r="AN30" s="20" t="n">
        <v>760.49</v>
      </c>
      <c r="AO30" s="20" t="n">
        <v>760.49</v>
      </c>
      <c r="AP30" s="20" t="n">
        <v>760.49</v>
      </c>
      <c r="AQ30" s="20" t="n">
        <v>760.49</v>
      </c>
      <c r="AR30" s="20" t="n">
        <v>760.49</v>
      </c>
      <c r="AS30" s="20" t="n">
        <v>760.49</v>
      </c>
      <c r="AT30" s="20" t="n">
        <v>760.49</v>
      </c>
      <c r="AU30" s="20" t="n">
        <v>760.49</v>
      </c>
      <c r="AV30" s="20" t="n">
        <v>760.49</v>
      </c>
      <c r="AW30" s="20" t="n">
        <v>760.49</v>
      </c>
      <c r="AX30" s="20" t="n">
        <v>760.49</v>
      </c>
      <c r="AY30" s="20" t="n">
        <v>760.49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539.55</v>
      </c>
      <c r="H33" s="35" t="n">
        <v>3058.85</v>
      </c>
      <c r="I33" s="35" t="n">
        <v>2836.13</v>
      </c>
      <c r="J33" s="35" t="n">
        <v>2702.41</v>
      </c>
      <c r="K33" s="35" t="n">
        <v>3457.26</v>
      </c>
      <c r="L33" s="35" t="n">
        <v>3872.06</v>
      </c>
      <c r="M33" s="35" t="n">
        <v>5801.02</v>
      </c>
      <c r="N33" s="35" t="n">
        <v>3725.04</v>
      </c>
      <c r="O33" s="35" t="n">
        <v>2655.75</v>
      </c>
      <c r="P33" s="35" t="n">
        <v>1639</v>
      </c>
      <c r="Q33" s="35" t="n">
        <v>819.9</v>
      </c>
      <c r="R33" s="35" t="n">
        <v>700</v>
      </c>
      <c r="S33" s="35" t="n">
        <v>700</v>
      </c>
      <c r="T33" s="85" t="n">
        <v>700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3401.11</v>
      </c>
      <c r="I34" s="19" t="n">
        <v>20660.61</v>
      </c>
      <c r="J34" s="19" t="n">
        <v>21304.96</v>
      </c>
      <c r="K34" s="19" t="n">
        <v>20929.99</v>
      </c>
      <c r="L34" s="19" t="n">
        <v>18278.29</v>
      </c>
      <c r="M34" s="19" t="n">
        <v>16454.66</v>
      </c>
      <c r="N34" s="19" t="n">
        <v>14345.18</v>
      </c>
      <c r="O34" s="19" t="n">
        <v>15040.22</v>
      </c>
      <c r="P34" s="19" t="n">
        <v>12689.22</v>
      </c>
      <c r="Q34" s="19" t="n">
        <v>11932.17</v>
      </c>
      <c r="R34" s="19" t="n">
        <v>13130.37</v>
      </c>
      <c r="S34" s="19" t="n">
        <v>12113.96</v>
      </c>
      <c r="T34" s="84" t="n">
        <v>12729.83</v>
      </c>
      <c r="U34" s="20" t="n">
        <v>14097.87</v>
      </c>
      <c r="V34" s="20" t="n">
        <v>20824.18</v>
      </c>
      <c r="W34" s="20" t="n">
        <v>20862.76</v>
      </c>
      <c r="X34" s="20" t="n">
        <v>20848.92</v>
      </c>
      <c r="Y34" s="20" t="n">
        <v>20850.98</v>
      </c>
      <c r="Z34" s="20" t="n">
        <v>20858.7</v>
      </c>
      <c r="AA34" s="20" t="n">
        <v>20862.69</v>
      </c>
      <c r="AB34" s="20" t="n">
        <v>20863.38</v>
      </c>
      <c r="AC34" s="20" t="n">
        <v>20890.63</v>
      </c>
      <c r="AD34" s="20" t="n">
        <v>20901.89</v>
      </c>
      <c r="AE34" s="20" t="n">
        <v>20921.93</v>
      </c>
      <c r="AF34" s="20" t="n">
        <v>20929.06</v>
      </c>
      <c r="AG34" s="20" t="n">
        <v>20948.05</v>
      </c>
      <c r="AH34" s="20" t="n">
        <v>20955.14</v>
      </c>
      <c r="AI34" s="20" t="n">
        <v>20957.11</v>
      </c>
      <c r="AJ34" s="20" t="n">
        <v>20974.16</v>
      </c>
      <c r="AK34" s="20" t="n">
        <v>20981.24</v>
      </c>
      <c r="AL34" s="20" t="n">
        <v>20983.16</v>
      </c>
      <c r="AM34" s="20" t="n">
        <v>20983.22</v>
      </c>
      <c r="AN34" s="20" t="n">
        <v>20863.38</v>
      </c>
      <c r="AO34" s="20" t="n">
        <v>20890.63</v>
      </c>
      <c r="AP34" s="20" t="n">
        <v>20901.89</v>
      </c>
      <c r="AQ34" s="20" t="n">
        <v>20921.93</v>
      </c>
      <c r="AR34" s="20" t="n">
        <v>20929.06</v>
      </c>
      <c r="AS34" s="20" t="n">
        <v>20948.05</v>
      </c>
      <c r="AT34" s="20" t="n">
        <v>20955.14</v>
      </c>
      <c r="AU34" s="20" t="n">
        <v>20957.11</v>
      </c>
      <c r="AV34" s="20" t="n">
        <v>20974.16</v>
      </c>
      <c r="AW34" s="20" t="n">
        <v>20981.24</v>
      </c>
      <c r="AX34" s="20" t="n">
        <v>20983.16</v>
      </c>
      <c r="AY34" s="20" t="n">
        <v>20983.22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399.67</v>
      </c>
      <c r="I35" s="19" t="n">
        <v>2418.71</v>
      </c>
      <c r="J35" s="19" t="n">
        <v>2224.9</v>
      </c>
      <c r="K35" s="19" t="n">
        <v>2153.46</v>
      </c>
      <c r="L35" s="19" t="n">
        <v>1799</v>
      </c>
      <c r="M35" s="19" t="n">
        <v>1709.63</v>
      </c>
      <c r="N35" s="19" t="n">
        <v>1489.94</v>
      </c>
      <c r="O35" s="19" t="n">
        <v>1837.63</v>
      </c>
      <c r="P35" s="19" t="n">
        <v>2561.18</v>
      </c>
      <c r="Q35" s="19" t="n">
        <v>1437.75</v>
      </c>
      <c r="R35" s="19" t="n">
        <v>1373.4</v>
      </c>
      <c r="S35" s="19" t="n">
        <v>1235.26</v>
      </c>
      <c r="T35" s="84" t="n">
        <v>1196.14</v>
      </c>
      <c r="U35" s="20" t="n">
        <v>1868.08</v>
      </c>
      <c r="V35" s="20" t="n">
        <v>2759.36</v>
      </c>
      <c r="W35" s="20" t="n">
        <v>2764.48</v>
      </c>
      <c r="X35" s="20" t="n">
        <v>2762.64</v>
      </c>
      <c r="Y35" s="20" t="n">
        <v>2762.91</v>
      </c>
      <c r="Z35" s="20" t="n">
        <v>2763.94</v>
      </c>
      <c r="AA35" s="20" t="n">
        <v>2764.47</v>
      </c>
      <c r="AB35" s="20" t="n">
        <v>2764.56</v>
      </c>
      <c r="AC35" s="20" t="n">
        <v>2768.17</v>
      </c>
      <c r="AD35" s="20" t="n">
        <v>2769.66</v>
      </c>
      <c r="AE35" s="20" t="n">
        <v>2772.32</v>
      </c>
      <c r="AF35" s="20" t="n">
        <v>2773.26</v>
      </c>
      <c r="AG35" s="20" t="n">
        <v>2775.78</v>
      </c>
      <c r="AH35" s="20" t="n">
        <v>2776.72</v>
      </c>
      <c r="AI35" s="20" t="n">
        <v>2776.98</v>
      </c>
      <c r="AJ35" s="20" t="n">
        <v>2779.24</v>
      </c>
      <c r="AK35" s="20" t="n">
        <v>2780.18</v>
      </c>
      <c r="AL35" s="20" t="n">
        <v>2780.43</v>
      </c>
      <c r="AM35" s="20" t="n">
        <v>2780.44</v>
      </c>
      <c r="AN35" s="20" t="n">
        <v>2764.56</v>
      </c>
      <c r="AO35" s="20" t="n">
        <v>2768.17</v>
      </c>
      <c r="AP35" s="20" t="n">
        <v>2769.66</v>
      </c>
      <c r="AQ35" s="20" t="n">
        <v>2772.32</v>
      </c>
      <c r="AR35" s="20" t="n">
        <v>2773.26</v>
      </c>
      <c r="AS35" s="20" t="n">
        <v>2775.78</v>
      </c>
      <c r="AT35" s="20" t="n">
        <v>2776.72</v>
      </c>
      <c r="AU35" s="20" t="n">
        <v>2776.98</v>
      </c>
      <c r="AV35" s="20" t="n">
        <v>2779.24</v>
      </c>
      <c r="AW35" s="20" t="n">
        <v>2780.18</v>
      </c>
      <c r="AX35" s="20" t="n">
        <v>2780.43</v>
      </c>
      <c r="AY35" s="20" t="n">
        <v>2780.44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75</v>
      </c>
      <c r="K36" s="19" t="n">
        <v>485.49</v>
      </c>
      <c r="L36" s="19" t="n">
        <v>602.49</v>
      </c>
      <c r="M36" s="19" t="n">
        <v>80</v>
      </c>
      <c r="N36" s="19" t="n">
        <v>40</v>
      </c>
      <c r="O36" s="19" t="n">
        <v>40</v>
      </c>
      <c r="P36" s="19" t="n">
        <v>40</v>
      </c>
      <c r="Q36" s="19" t="n">
        <v>80</v>
      </c>
      <c r="R36" s="19" t="n">
        <v>62</v>
      </c>
      <c r="S36" s="19" t="n">
        <v>0</v>
      </c>
      <c r="T36" s="84" t="n">
        <v>0</v>
      </c>
      <c r="U36" s="20" t="n">
        <v>51.45</v>
      </c>
      <c r="V36" s="20" t="n">
        <v>76</v>
      </c>
      <c r="W36" s="20" t="n">
        <v>76.14</v>
      </c>
      <c r="X36" s="20" t="n">
        <v>76.09</v>
      </c>
      <c r="Y36" s="20" t="n">
        <v>76.09999999999999</v>
      </c>
      <c r="Z36" s="20" t="n">
        <v>76.13</v>
      </c>
      <c r="AA36" s="20" t="n">
        <v>76.14</v>
      </c>
      <c r="AB36" s="20" t="n">
        <v>76.15000000000001</v>
      </c>
      <c r="AC36" s="20" t="n">
        <v>76.25</v>
      </c>
      <c r="AD36" s="20" t="n">
        <v>76.29000000000001</v>
      </c>
      <c r="AE36" s="20" t="n">
        <v>76.36</v>
      </c>
      <c r="AF36" s="20" t="n">
        <v>76.39</v>
      </c>
      <c r="AG36" s="20" t="n">
        <v>76.45999999999999</v>
      </c>
      <c r="AH36" s="20" t="n">
        <v>76.48</v>
      </c>
      <c r="AI36" s="20" t="n">
        <v>76.48999999999999</v>
      </c>
      <c r="AJ36" s="20" t="n">
        <v>76.55</v>
      </c>
      <c r="AK36" s="20" t="n">
        <v>76.58</v>
      </c>
      <c r="AL36" s="20" t="n">
        <v>76.58</v>
      </c>
      <c r="AM36" s="20" t="n">
        <v>76.58</v>
      </c>
      <c r="AN36" s="20" t="n">
        <v>76.15000000000001</v>
      </c>
      <c r="AO36" s="20" t="n">
        <v>76.25</v>
      </c>
      <c r="AP36" s="20" t="n">
        <v>76.29000000000001</v>
      </c>
      <c r="AQ36" s="20" t="n">
        <v>76.36</v>
      </c>
      <c r="AR36" s="20" t="n">
        <v>76.39</v>
      </c>
      <c r="AS36" s="20" t="n">
        <v>76.45999999999999</v>
      </c>
      <c r="AT36" s="20" t="n">
        <v>76.48</v>
      </c>
      <c r="AU36" s="20" t="n">
        <v>76.48999999999999</v>
      </c>
      <c r="AV36" s="20" t="n">
        <v>76.55</v>
      </c>
      <c r="AW36" s="20" t="n">
        <v>76.58</v>
      </c>
      <c r="AX36" s="20" t="n">
        <v>76.58</v>
      </c>
      <c r="AY36" s="20" t="n">
        <v>76.58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135.96</v>
      </c>
      <c r="I37" s="19" t="n">
        <v>304.32</v>
      </c>
      <c r="J37" s="19" t="n">
        <v>357.52</v>
      </c>
      <c r="K37" s="19" t="n">
        <v>532.48</v>
      </c>
      <c r="L37" s="19" t="n">
        <v>178.76</v>
      </c>
      <c r="M37" s="19" t="n">
        <v>517.08</v>
      </c>
      <c r="N37" s="19" t="n">
        <v>404.72</v>
      </c>
      <c r="O37" s="19" t="n">
        <v>757.23</v>
      </c>
      <c r="P37" s="19" t="n">
        <v>587.3200000000001</v>
      </c>
      <c r="Q37" s="19" t="n">
        <v>571.91</v>
      </c>
      <c r="R37" s="19" t="n">
        <v>844.86</v>
      </c>
      <c r="S37" s="19" t="n">
        <v>562.35</v>
      </c>
      <c r="T37" s="84" t="n">
        <v>567</v>
      </c>
      <c r="U37" s="20" t="n">
        <v>725.58</v>
      </c>
      <c r="V37" s="20" t="n">
        <v>1071.76</v>
      </c>
      <c r="W37" s="20" t="n">
        <v>1073.74</v>
      </c>
      <c r="X37" s="20" t="n">
        <v>1073.03</v>
      </c>
      <c r="Y37" s="20" t="n">
        <v>1073.14</v>
      </c>
      <c r="Z37" s="20" t="n">
        <v>1073.54</v>
      </c>
      <c r="AA37" s="20" t="n">
        <v>1073.74</v>
      </c>
      <c r="AB37" s="20" t="n">
        <v>1073.78</v>
      </c>
      <c r="AC37" s="20" t="n">
        <v>1075.18</v>
      </c>
      <c r="AD37" s="20" t="n">
        <v>1075.76</v>
      </c>
      <c r="AE37" s="20" t="n">
        <v>1076.79</v>
      </c>
      <c r="AF37" s="20" t="n">
        <v>1077.16</v>
      </c>
      <c r="AG37" s="20" t="n">
        <v>1078.13</v>
      </c>
      <c r="AH37" s="20" t="n">
        <v>1078.5</v>
      </c>
      <c r="AI37" s="20" t="n">
        <v>1078.6</v>
      </c>
      <c r="AJ37" s="20" t="n">
        <v>1079.48</v>
      </c>
      <c r="AK37" s="20" t="n">
        <v>1079.84</v>
      </c>
      <c r="AL37" s="20" t="n">
        <v>1079.94</v>
      </c>
      <c r="AM37" s="20" t="n">
        <v>1079.94</v>
      </c>
      <c r="AN37" s="20" t="n">
        <v>1073.78</v>
      </c>
      <c r="AO37" s="20" t="n">
        <v>1075.18</v>
      </c>
      <c r="AP37" s="20" t="n">
        <v>1075.76</v>
      </c>
      <c r="AQ37" s="20" t="n">
        <v>1076.79</v>
      </c>
      <c r="AR37" s="20" t="n">
        <v>1077.16</v>
      </c>
      <c r="AS37" s="20" t="n">
        <v>1078.13</v>
      </c>
      <c r="AT37" s="20" t="n">
        <v>1078.5</v>
      </c>
      <c r="AU37" s="20" t="n">
        <v>1078.6</v>
      </c>
      <c r="AV37" s="20" t="n">
        <v>1079.48</v>
      </c>
      <c r="AW37" s="20" t="n">
        <v>1079.84</v>
      </c>
      <c r="AX37" s="20" t="n">
        <v>1079.94</v>
      </c>
      <c r="AY37" s="20" t="n">
        <v>1079.94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3936.74</v>
      </c>
      <c r="I38" s="35" t="n">
        <v>23622.21</v>
      </c>
      <c r="J38" s="35" t="n">
        <v>24612.38</v>
      </c>
      <c r="K38" s="35" t="n">
        <v>24687.85</v>
      </c>
      <c r="L38" s="35" t="n">
        <v>21756.9</v>
      </c>
      <c r="M38" s="35" t="n">
        <v>19813.41</v>
      </c>
      <c r="N38" s="35" t="n">
        <v>18039.47</v>
      </c>
      <c r="O38" s="35" t="n">
        <v>18553.32</v>
      </c>
      <c r="P38" s="35" t="n">
        <v>15877.72</v>
      </c>
      <c r="Q38" s="35" t="n">
        <v>14021.83</v>
      </c>
      <c r="R38" s="35" t="n">
        <v>15410.63</v>
      </c>
      <c r="S38" s="35" t="n">
        <v>13911.57</v>
      </c>
      <c r="T38" s="85" t="n">
        <v>14492.97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132.98</v>
      </c>
      <c r="F39" s="19" t="n">
        <v>0</v>
      </c>
      <c r="G39" s="19" t="n">
        <v>0</v>
      </c>
      <c r="H39" s="19" t="n">
        <v>1998.8</v>
      </c>
      <c r="I39" s="19" t="n">
        <v>1389.1</v>
      </c>
      <c r="J39" s="19" t="n">
        <v>791</v>
      </c>
      <c r="K39" s="19" t="n">
        <v>1743.79</v>
      </c>
      <c r="L39" s="19" t="n">
        <v>668</v>
      </c>
      <c r="M39" s="19" t="n">
        <v>777.09</v>
      </c>
      <c r="N39" s="19" t="n">
        <v>798.84</v>
      </c>
      <c r="O39" s="19" t="n">
        <v>777.09</v>
      </c>
      <c r="P39" s="19" t="n">
        <v>723.09</v>
      </c>
      <c r="Q39" s="19" t="n">
        <v>1181.45</v>
      </c>
      <c r="R39" s="19" t="n">
        <v>723.09</v>
      </c>
      <c r="S39" s="19" t="n">
        <v>748.27</v>
      </c>
      <c r="T39" s="84" t="n">
        <v>748.27</v>
      </c>
      <c r="U39" s="20" t="n">
        <v>654.75</v>
      </c>
      <c r="V39" s="20" t="n">
        <v>654.75</v>
      </c>
      <c r="W39" s="20" t="n">
        <v>654.75</v>
      </c>
      <c r="X39" s="20" t="n">
        <v>654.75</v>
      </c>
      <c r="Y39" s="20" t="n">
        <v>654.75</v>
      </c>
      <c r="Z39" s="20" t="n">
        <v>654.75</v>
      </c>
      <c r="AA39" s="20" t="n">
        <v>654.75</v>
      </c>
      <c r="AB39" s="20" t="n">
        <v>654.75</v>
      </c>
      <c r="AC39" s="20" t="n">
        <v>654.75</v>
      </c>
      <c r="AD39" s="20" t="n">
        <v>654.75</v>
      </c>
      <c r="AE39" s="20" t="n">
        <v>654.75</v>
      </c>
      <c r="AF39" s="20" t="n">
        <v>654.75</v>
      </c>
      <c r="AG39" s="20" t="n">
        <v>654.75</v>
      </c>
      <c r="AH39" s="20" t="n">
        <v>654.75</v>
      </c>
      <c r="AI39" s="20" t="n">
        <v>654.75</v>
      </c>
      <c r="AJ39" s="20" t="n">
        <v>654.75</v>
      </c>
      <c r="AK39" s="20" t="n">
        <v>654.75</v>
      </c>
      <c r="AL39" s="20" t="n">
        <v>654.75</v>
      </c>
      <c r="AM39" s="20" t="n">
        <v>654.75</v>
      </c>
      <c r="AN39" s="20" t="n">
        <v>654.75</v>
      </c>
      <c r="AO39" s="20" t="n">
        <v>654.75</v>
      </c>
      <c r="AP39" s="20" t="n">
        <v>654.75</v>
      </c>
      <c r="AQ39" s="20" t="n">
        <v>654.75</v>
      </c>
      <c r="AR39" s="20" t="n">
        <v>654.75</v>
      </c>
      <c r="AS39" s="20" t="n">
        <v>654.75</v>
      </c>
      <c r="AT39" s="20" t="n">
        <v>654.75</v>
      </c>
      <c r="AU39" s="20" t="n">
        <v>654.75</v>
      </c>
      <c r="AV39" s="20" t="n">
        <v>654.75</v>
      </c>
      <c r="AW39" s="20" t="n">
        <v>654.75</v>
      </c>
      <c r="AX39" s="20" t="n">
        <v>654.75</v>
      </c>
      <c r="AY39" s="20" t="n">
        <v>654.75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198.67</v>
      </c>
      <c r="H40" s="19" t="n">
        <v>198.67</v>
      </c>
      <c r="I40" s="19" t="n">
        <v>198.67</v>
      </c>
      <c r="J40" s="19" t="n">
        <v>198.67</v>
      </c>
      <c r="K40" s="19" t="n">
        <v>-15.85</v>
      </c>
      <c r="L40" s="19" t="n">
        <v>198.67</v>
      </c>
      <c r="M40" s="19" t="n">
        <v>476.27</v>
      </c>
      <c r="N40" s="19" t="n">
        <v>476.27</v>
      </c>
      <c r="O40" s="19" t="n">
        <v>277.6</v>
      </c>
      <c r="P40" s="19" t="n">
        <v>322.57</v>
      </c>
      <c r="Q40" s="19" t="n">
        <v>322.57</v>
      </c>
      <c r="R40" s="19" t="n">
        <v>500.79</v>
      </c>
      <c r="S40" s="19" t="n">
        <v>302.12</v>
      </c>
      <c r="T40" s="84" t="n">
        <v>298.04</v>
      </c>
      <c r="U40" s="20" t="n">
        <v>280.85</v>
      </c>
      <c r="V40" s="20" t="n">
        <v>280.85</v>
      </c>
      <c r="W40" s="20" t="n">
        <v>280.85</v>
      </c>
      <c r="X40" s="20" t="n">
        <v>280.85</v>
      </c>
      <c r="Y40" s="20" t="n">
        <v>280.85</v>
      </c>
      <c r="Z40" s="20" t="n">
        <v>280.85</v>
      </c>
      <c r="AA40" s="20" t="n">
        <v>280.85</v>
      </c>
      <c r="AB40" s="20" t="n">
        <v>280.85</v>
      </c>
      <c r="AC40" s="20" t="n">
        <v>280.85</v>
      </c>
      <c r="AD40" s="20" t="n">
        <v>280.85</v>
      </c>
      <c r="AE40" s="20" t="n">
        <v>280.85</v>
      </c>
      <c r="AF40" s="20" t="n">
        <v>280.85</v>
      </c>
      <c r="AG40" s="20" t="n">
        <v>280.85</v>
      </c>
      <c r="AH40" s="20" t="n">
        <v>280.85</v>
      </c>
      <c r="AI40" s="20" t="n">
        <v>280.85</v>
      </c>
      <c r="AJ40" s="20" t="n">
        <v>280.85</v>
      </c>
      <c r="AK40" s="20" t="n">
        <v>280.85</v>
      </c>
      <c r="AL40" s="20" t="n">
        <v>280.85</v>
      </c>
      <c r="AM40" s="20" t="n">
        <v>280.85</v>
      </c>
      <c r="AN40" s="20" t="n">
        <v>280.85</v>
      </c>
      <c r="AO40" s="20" t="n">
        <v>280.85</v>
      </c>
      <c r="AP40" s="20" t="n">
        <v>280.85</v>
      </c>
      <c r="AQ40" s="20" t="n">
        <v>280.85</v>
      </c>
      <c r="AR40" s="20" t="n">
        <v>280.85</v>
      </c>
      <c r="AS40" s="20" t="n">
        <v>280.85</v>
      </c>
      <c r="AT40" s="20" t="n">
        <v>280.85</v>
      </c>
      <c r="AU40" s="20" t="n">
        <v>280.85</v>
      </c>
      <c r="AV40" s="20" t="n">
        <v>280.85</v>
      </c>
      <c r="AW40" s="20" t="n">
        <v>280.85</v>
      </c>
      <c r="AX40" s="20" t="n">
        <v>280.85</v>
      </c>
      <c r="AY40" s="20" t="n">
        <v>280.85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87.8</v>
      </c>
      <c r="Q41" s="19" t="n">
        <v>146.81</v>
      </c>
      <c r="R41" s="19" t="n">
        <v>633.64</v>
      </c>
      <c r="S41" s="19" t="n">
        <v>151.95</v>
      </c>
      <c r="T41" s="84" t="n">
        <v>0</v>
      </c>
      <c r="U41" s="20" t="n">
        <v>197.87</v>
      </c>
      <c r="V41" s="20" t="n">
        <v>197.87</v>
      </c>
      <c r="W41" s="20" t="n">
        <v>197.87</v>
      </c>
      <c r="X41" s="20" t="n">
        <v>197.87</v>
      </c>
      <c r="Y41" s="20" t="n">
        <v>197.87</v>
      </c>
      <c r="Z41" s="20" t="n">
        <v>197.87</v>
      </c>
      <c r="AA41" s="20" t="n">
        <v>197.87</v>
      </c>
      <c r="AB41" s="20" t="n">
        <v>197.87</v>
      </c>
      <c r="AC41" s="20" t="n">
        <v>197.87</v>
      </c>
      <c r="AD41" s="20" t="n">
        <v>197.87</v>
      </c>
      <c r="AE41" s="20" t="n">
        <v>197.87</v>
      </c>
      <c r="AF41" s="20" t="n">
        <v>197.87</v>
      </c>
      <c r="AG41" s="20" t="n">
        <v>197.87</v>
      </c>
      <c r="AH41" s="20" t="n">
        <v>197.87</v>
      </c>
      <c r="AI41" s="20" t="n">
        <v>197.87</v>
      </c>
      <c r="AJ41" s="20" t="n">
        <v>197.87</v>
      </c>
      <c r="AK41" s="20" t="n">
        <v>197.87</v>
      </c>
      <c r="AL41" s="20" t="n">
        <v>197.87</v>
      </c>
      <c r="AM41" s="20" t="n">
        <v>197.87</v>
      </c>
      <c r="AN41" s="20" t="n">
        <v>197.87</v>
      </c>
      <c r="AO41" s="20" t="n">
        <v>197.87</v>
      </c>
      <c r="AP41" s="20" t="n">
        <v>197.87</v>
      </c>
      <c r="AQ41" s="20" t="n">
        <v>197.87</v>
      </c>
      <c r="AR41" s="20" t="n">
        <v>197.87</v>
      </c>
      <c r="AS41" s="20" t="n">
        <v>197.87</v>
      </c>
      <c r="AT41" s="20" t="n">
        <v>197.87</v>
      </c>
      <c r="AU41" s="20" t="n">
        <v>197.87</v>
      </c>
      <c r="AV41" s="20" t="n">
        <v>197.87</v>
      </c>
      <c r="AW41" s="20" t="n">
        <v>197.87</v>
      </c>
      <c r="AX41" s="20" t="n">
        <v>197.87</v>
      </c>
      <c r="AY41" s="20" t="n">
        <v>197.87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2286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2086.25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2286</v>
      </c>
      <c r="G47" s="35" t="n">
        <v>0</v>
      </c>
      <c r="H47" s="35" t="n">
        <v>0</v>
      </c>
      <c r="I47" s="35" t="n">
        <v>0</v>
      </c>
      <c r="J47" s="35" t="n">
        <v>479.1</v>
      </c>
      <c r="K47" s="35" t="n">
        <v>2565.35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573.11</v>
      </c>
      <c r="J49" s="19" t="n">
        <v>79.2</v>
      </c>
      <c r="K49" s="19" t="n">
        <v>204.06</v>
      </c>
      <c r="L49" s="19" t="n">
        <v>120.17</v>
      </c>
      <c r="M49" s="19" t="n">
        <v>145.52</v>
      </c>
      <c r="N49" s="19" t="n">
        <v>99.41</v>
      </c>
      <c r="O49" s="19" t="n">
        <v>0</v>
      </c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32.84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269.79</v>
      </c>
      <c r="J51" s="19" t="n">
        <v>134.22</v>
      </c>
      <c r="K51" s="19" t="n">
        <v>465.62</v>
      </c>
      <c r="L51" s="19" t="n">
        <v>356.93</v>
      </c>
      <c r="M51" s="19" t="n">
        <v>433.26</v>
      </c>
      <c r="N51" s="19" t="n">
        <v>163.79</v>
      </c>
      <c r="O51" s="19" t="n">
        <v>194.55</v>
      </c>
      <c r="P51" s="19" t="n">
        <v>116.98</v>
      </c>
      <c r="Q51" s="19" t="n">
        <v>105</v>
      </c>
      <c r="R51" s="19" t="n">
        <v>139.04</v>
      </c>
      <c r="S51" s="19" t="n">
        <v>83.53</v>
      </c>
      <c r="T51" s="84" t="n">
        <v>124.29</v>
      </c>
      <c r="U51" s="20" t="n">
        <v>112.01</v>
      </c>
      <c r="V51" s="20" t="n">
        <v>112.01</v>
      </c>
      <c r="W51" s="20" t="n">
        <v>112.01</v>
      </c>
      <c r="X51" s="20" t="n">
        <v>112.01</v>
      </c>
      <c r="Y51" s="20" t="n">
        <v>112.01</v>
      </c>
      <c r="Z51" s="20" t="n">
        <v>112.01</v>
      </c>
      <c r="AA51" s="20" t="n">
        <v>112.01</v>
      </c>
      <c r="AB51" s="20" t="n">
        <v>112.01</v>
      </c>
      <c r="AC51" s="20" t="n">
        <v>112.01</v>
      </c>
      <c r="AD51" s="20" t="n">
        <v>112.01</v>
      </c>
      <c r="AE51" s="20" t="n">
        <v>112.01</v>
      </c>
      <c r="AF51" s="20" t="n">
        <v>112.01</v>
      </c>
      <c r="AG51" s="20" t="n">
        <v>112.01</v>
      </c>
      <c r="AH51" s="20" t="n">
        <v>112.01</v>
      </c>
      <c r="AI51" s="20" t="n">
        <v>112.01</v>
      </c>
      <c r="AJ51" s="20" t="n">
        <v>112.01</v>
      </c>
      <c r="AK51" s="20" t="n">
        <v>112.01</v>
      </c>
      <c r="AL51" s="20" t="n">
        <v>112.01</v>
      </c>
      <c r="AM51" s="20" t="n">
        <v>112.01</v>
      </c>
      <c r="AN51" s="20" t="n">
        <v>112.01</v>
      </c>
      <c r="AO51" s="20" t="n">
        <v>112.01</v>
      </c>
      <c r="AP51" s="20" t="n">
        <v>112.01</v>
      </c>
      <c r="AQ51" s="20" t="n">
        <v>112.01</v>
      </c>
      <c r="AR51" s="20" t="n">
        <v>112.01</v>
      </c>
      <c r="AS51" s="20" t="n">
        <v>112.01</v>
      </c>
      <c r="AT51" s="20" t="n">
        <v>112.01</v>
      </c>
      <c r="AU51" s="20" t="n">
        <v>112.01</v>
      </c>
      <c r="AV51" s="20" t="n">
        <v>112.01</v>
      </c>
      <c r="AW51" s="20" t="n">
        <v>112.01</v>
      </c>
      <c r="AX51" s="20" t="n">
        <v>112.01</v>
      </c>
      <c r="AY51" s="20" t="n">
        <v>112.01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165.39</v>
      </c>
      <c r="Q52" s="19" t="n">
        <v>165.39</v>
      </c>
      <c r="R52" s="19" t="n">
        <v>165.39</v>
      </c>
      <c r="S52" s="19" t="n">
        <v>165.39</v>
      </c>
      <c r="T52" s="84" t="n">
        <v>0</v>
      </c>
      <c r="U52" s="20" t="n">
        <v>166.69</v>
      </c>
      <c r="V52" s="20" t="n">
        <v>166.69</v>
      </c>
      <c r="W52" s="20" t="n">
        <v>166.69</v>
      </c>
      <c r="X52" s="20" t="n">
        <v>166.69</v>
      </c>
      <c r="Y52" s="20" t="n">
        <v>166.69</v>
      </c>
      <c r="Z52" s="20" t="n">
        <v>166.69</v>
      </c>
      <c r="AA52" s="20" t="n">
        <v>166.69</v>
      </c>
      <c r="AB52" s="20" t="n">
        <v>166.69</v>
      </c>
      <c r="AC52" s="20" t="n">
        <v>166.69</v>
      </c>
      <c r="AD52" s="20" t="n">
        <v>166.69</v>
      </c>
      <c r="AE52" s="20" t="n">
        <v>166.69</v>
      </c>
      <c r="AF52" s="20" t="n">
        <v>166.69</v>
      </c>
      <c r="AG52" s="20" t="n">
        <v>166.69</v>
      </c>
      <c r="AH52" s="20" t="n">
        <v>166.69</v>
      </c>
      <c r="AI52" s="20" t="n">
        <v>166.69</v>
      </c>
      <c r="AJ52" s="20" t="n">
        <v>166.69</v>
      </c>
      <c r="AK52" s="20" t="n">
        <v>166.69</v>
      </c>
      <c r="AL52" s="20" t="n">
        <v>166.69</v>
      </c>
      <c r="AM52" s="20" t="n">
        <v>166.69</v>
      </c>
      <c r="AN52" s="20" t="n">
        <v>166.69</v>
      </c>
      <c r="AO52" s="20" t="n">
        <v>166.69</v>
      </c>
      <c r="AP52" s="20" t="n">
        <v>166.69</v>
      </c>
      <c r="AQ52" s="20" t="n">
        <v>166.69</v>
      </c>
      <c r="AR52" s="20" t="n">
        <v>166.69</v>
      </c>
      <c r="AS52" s="20" t="n">
        <v>166.69</v>
      </c>
      <c r="AT52" s="20" t="n">
        <v>166.69</v>
      </c>
      <c r="AU52" s="20" t="n">
        <v>166.69</v>
      </c>
      <c r="AV52" s="20" t="n">
        <v>166.69</v>
      </c>
      <c r="AW52" s="20" t="n">
        <v>166.69</v>
      </c>
      <c r="AX52" s="20" t="n">
        <v>166.69</v>
      </c>
      <c r="AY52" s="20" t="n">
        <v>166.69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288.29</v>
      </c>
      <c r="J53" s="19" t="n">
        <v>0</v>
      </c>
      <c r="K53" s="19" t="n">
        <v>137.27</v>
      </c>
      <c r="L53" s="19" t="n">
        <v>100.75</v>
      </c>
      <c r="M53" s="19" t="n">
        <v>105.77</v>
      </c>
      <c r="N53" s="19" t="n">
        <v>105.81</v>
      </c>
      <c r="O53" s="19" t="n">
        <v>215.62</v>
      </c>
      <c r="P53" s="19" t="n">
        <v>108.06</v>
      </c>
      <c r="Q53" s="19" t="n">
        <v>108.04</v>
      </c>
      <c r="R53" s="19" t="n">
        <v>108</v>
      </c>
      <c r="S53" s="19" t="n">
        <v>108.01</v>
      </c>
      <c r="T53" s="84" t="n">
        <v>108</v>
      </c>
      <c r="U53" s="20" t="n">
        <v>108.88</v>
      </c>
      <c r="V53" s="20" t="n">
        <v>108.88</v>
      </c>
      <c r="W53" s="20" t="n">
        <v>108.88</v>
      </c>
      <c r="X53" s="20" t="n">
        <v>108.88</v>
      </c>
      <c r="Y53" s="20" t="n">
        <v>108.88</v>
      </c>
      <c r="Z53" s="20" t="n">
        <v>108.88</v>
      </c>
      <c r="AA53" s="20" t="n">
        <v>108.88</v>
      </c>
      <c r="AB53" s="20" t="n">
        <v>108.88</v>
      </c>
      <c r="AC53" s="20" t="n">
        <v>108.88</v>
      </c>
      <c r="AD53" s="20" t="n">
        <v>108.88</v>
      </c>
      <c r="AE53" s="20" t="n">
        <v>108.88</v>
      </c>
      <c r="AF53" s="20" t="n">
        <v>108.88</v>
      </c>
      <c r="AG53" s="20" t="n">
        <v>108.88</v>
      </c>
      <c r="AH53" s="20" t="n">
        <v>108.88</v>
      </c>
      <c r="AI53" s="20" t="n">
        <v>108.88</v>
      </c>
      <c r="AJ53" s="20" t="n">
        <v>108.88</v>
      </c>
      <c r="AK53" s="20" t="n">
        <v>108.88</v>
      </c>
      <c r="AL53" s="20" t="n">
        <v>108.88</v>
      </c>
      <c r="AM53" s="20" t="n">
        <v>108.88</v>
      </c>
      <c r="AN53" s="20" t="n">
        <v>108.88</v>
      </c>
      <c r="AO53" s="20" t="n">
        <v>108.88</v>
      </c>
      <c r="AP53" s="20" t="n">
        <v>108.88</v>
      </c>
      <c r="AQ53" s="20" t="n">
        <v>108.88</v>
      </c>
      <c r="AR53" s="20" t="n">
        <v>108.88</v>
      </c>
      <c r="AS53" s="20" t="n">
        <v>108.88</v>
      </c>
      <c r="AT53" s="20" t="n">
        <v>108.88</v>
      </c>
      <c r="AU53" s="20" t="n">
        <v>108.88</v>
      </c>
      <c r="AV53" s="20" t="n">
        <v>108.88</v>
      </c>
      <c r="AW53" s="20" t="n">
        <v>108.88</v>
      </c>
      <c r="AX53" s="20" t="n">
        <v>108.88</v>
      </c>
      <c r="AY53" s="20" t="n">
        <v>108.88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362.25</v>
      </c>
      <c r="J55" s="19" t="n">
        <v>0</v>
      </c>
      <c r="K55" s="19" t="n">
        <v>362.25</v>
      </c>
      <c r="L55" s="19" t="n">
        <v>362.25</v>
      </c>
      <c r="M55" s="19" t="n">
        <v>362.25</v>
      </c>
      <c r="N55" s="19" t="n">
        <v>362.25</v>
      </c>
      <c r="O55" s="19" t="n">
        <v>362.25</v>
      </c>
      <c r="P55" s="19" t="n">
        <v>362.25</v>
      </c>
      <c r="Q55" s="19" t="n">
        <v>362.25</v>
      </c>
      <c r="R55" s="19" t="n">
        <v>362.25</v>
      </c>
      <c r="S55" s="19" t="n">
        <v>362.25</v>
      </c>
      <c r="T55" s="84" t="n">
        <v>362.25</v>
      </c>
      <c r="U55" s="20" t="n">
        <v>365.1</v>
      </c>
      <c r="V55" s="20" t="n">
        <v>365.1</v>
      </c>
      <c r="W55" s="20" t="n">
        <v>365.1</v>
      </c>
      <c r="X55" s="20" t="n">
        <v>365.1</v>
      </c>
      <c r="Y55" s="20" t="n">
        <v>365.1</v>
      </c>
      <c r="Z55" s="20" t="n">
        <v>365.1</v>
      </c>
      <c r="AA55" s="20" t="n">
        <v>365.1</v>
      </c>
      <c r="AB55" s="20" t="n">
        <v>365.1</v>
      </c>
      <c r="AC55" s="20" t="n">
        <v>365.1</v>
      </c>
      <c r="AD55" s="20" t="n">
        <v>365.1</v>
      </c>
      <c r="AE55" s="20" t="n">
        <v>365.1</v>
      </c>
      <c r="AF55" s="20" t="n">
        <v>365.1</v>
      </c>
      <c r="AG55" s="20" t="n">
        <v>365.1</v>
      </c>
      <c r="AH55" s="20" t="n">
        <v>365.1</v>
      </c>
      <c r="AI55" s="20" t="n">
        <v>365.1</v>
      </c>
      <c r="AJ55" s="20" t="n">
        <v>365.1</v>
      </c>
      <c r="AK55" s="20" t="n">
        <v>365.1</v>
      </c>
      <c r="AL55" s="20" t="n">
        <v>365.1</v>
      </c>
      <c r="AM55" s="20" t="n">
        <v>365.1</v>
      </c>
      <c r="AN55" s="20" t="n">
        <v>365.1</v>
      </c>
      <c r="AO55" s="20" t="n">
        <v>365.1</v>
      </c>
      <c r="AP55" s="20" t="n">
        <v>365.1</v>
      </c>
      <c r="AQ55" s="20" t="n">
        <v>365.1</v>
      </c>
      <c r="AR55" s="20" t="n">
        <v>365.1</v>
      </c>
      <c r="AS55" s="20" t="n">
        <v>365.1</v>
      </c>
      <c r="AT55" s="20" t="n">
        <v>365.1</v>
      </c>
      <c r="AU55" s="20" t="n">
        <v>365.1</v>
      </c>
      <c r="AV55" s="20" t="n">
        <v>365.1</v>
      </c>
      <c r="AW55" s="20" t="n">
        <v>365.1</v>
      </c>
      <c r="AX55" s="20" t="n">
        <v>365.1</v>
      </c>
      <c r="AY55" s="20" t="n">
        <v>365.1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1232.4</v>
      </c>
      <c r="J56" s="35" t="n">
        <v>296.34</v>
      </c>
      <c r="K56" s="35" t="n">
        <v>1127.26</v>
      </c>
      <c r="L56" s="35" t="n">
        <v>982.05</v>
      </c>
      <c r="M56" s="35" t="n">
        <v>1063.4</v>
      </c>
      <c r="N56" s="35" t="n">
        <v>793.97</v>
      </c>
      <c r="O56" s="35" t="n">
        <v>937.8099999999999</v>
      </c>
      <c r="P56" s="35" t="n">
        <v>752.6800000000001</v>
      </c>
      <c r="Q56" s="35" t="n">
        <v>740.6800000000001</v>
      </c>
      <c r="R56" s="35" t="n">
        <v>774.6799999999999</v>
      </c>
      <c r="S56" s="35" t="n">
        <v>719.1800000000001</v>
      </c>
      <c r="T56" s="85" t="n">
        <v>759.9300000000001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5932.56</v>
      </c>
      <c r="H57" s="19" t="n">
        <v>5932.56</v>
      </c>
      <c r="I57" s="19" t="n">
        <v>5932.56</v>
      </c>
      <c r="J57" s="19" t="n">
        <v>5932.56</v>
      </c>
      <c r="K57" s="19" t="n">
        <v>5932.56</v>
      </c>
      <c r="L57" s="19" t="n">
        <v>5932.56</v>
      </c>
      <c r="M57" s="19" t="n">
        <v>5932.56</v>
      </c>
      <c r="N57" s="19" t="n">
        <v>5932.56</v>
      </c>
      <c r="O57" s="19" t="n">
        <v>5932.56</v>
      </c>
      <c r="P57" s="19" t="n">
        <v>5932.56</v>
      </c>
      <c r="Q57" s="19" t="n">
        <v>5932.56</v>
      </c>
      <c r="R57" s="19" t="n">
        <v>5932.56</v>
      </c>
      <c r="S57" s="19" t="n">
        <v>5932.56</v>
      </c>
      <c r="T57" s="84" t="n">
        <v>5932.56</v>
      </c>
      <c r="U57" s="20" t="n">
        <v>5907.21</v>
      </c>
      <c r="V57" s="20" t="n">
        <v>5907.21</v>
      </c>
      <c r="W57" s="20" t="n">
        <v>5907.21</v>
      </c>
      <c r="X57" s="20" t="n">
        <v>5907.21</v>
      </c>
      <c r="Y57" s="20" t="n">
        <v>5907.21</v>
      </c>
      <c r="Z57" s="20" t="n">
        <v>5907.21</v>
      </c>
      <c r="AA57" s="20" t="n">
        <v>5907.21</v>
      </c>
      <c r="AB57" s="20" t="n">
        <v>5907.21</v>
      </c>
      <c r="AC57" s="20" t="n">
        <v>5907.21</v>
      </c>
      <c r="AD57" s="20" t="n">
        <v>5907.21</v>
      </c>
      <c r="AE57" s="20" t="n">
        <v>5907.21</v>
      </c>
      <c r="AF57" s="20" t="n">
        <v>5907.21</v>
      </c>
      <c r="AG57" s="20" t="n">
        <v>5907.21</v>
      </c>
      <c r="AH57" s="20" t="n">
        <v>5907.21</v>
      </c>
      <c r="AI57" s="20" t="n">
        <v>5907.21</v>
      </c>
      <c r="AJ57" s="20" t="n">
        <v>5907.21</v>
      </c>
      <c r="AK57" s="20" t="n">
        <v>5907.21</v>
      </c>
      <c r="AL57" s="20" t="n">
        <v>5907.21</v>
      </c>
      <c r="AM57" s="20" t="n">
        <v>5907.21</v>
      </c>
      <c r="AN57" s="20" t="n">
        <v>5907.21</v>
      </c>
      <c r="AO57" s="20" t="n">
        <v>5907.21</v>
      </c>
      <c r="AP57" s="20" t="n">
        <v>5907.21</v>
      </c>
      <c r="AQ57" s="20" t="n">
        <v>5907.21</v>
      </c>
      <c r="AR57" s="20" t="n">
        <v>5907.21</v>
      </c>
      <c r="AS57" s="20" t="n">
        <v>5907.21</v>
      </c>
      <c r="AT57" s="20" t="n">
        <v>5907.21</v>
      </c>
      <c r="AU57" s="20" t="n">
        <v>5907.21</v>
      </c>
      <c r="AV57" s="20" t="n">
        <v>5907.21</v>
      </c>
      <c r="AW57" s="20" t="n">
        <v>5907.21</v>
      </c>
      <c r="AX57" s="20" t="n">
        <v>5907.21</v>
      </c>
      <c r="AY57" s="20" t="n">
        <v>5907.21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58.71</v>
      </c>
      <c r="K59" s="19" t="n">
        <v>164.01</v>
      </c>
      <c r="L59" s="19" t="n">
        <v>0</v>
      </c>
      <c r="M59" s="19" t="n">
        <v>-492</v>
      </c>
      <c r="N59" s="19" t="n">
        <v>116.26</v>
      </c>
      <c r="O59" s="19" t="n">
        <v>53.29</v>
      </c>
      <c r="P59" s="19" t="n">
        <v>0</v>
      </c>
      <c r="Q59" s="19" t="n">
        <v>0</v>
      </c>
      <c r="R59" s="19" t="n">
        <v>134.84</v>
      </c>
      <c r="S59" s="19" t="n">
        <v>0</v>
      </c>
      <c r="T59" s="84" t="n">
        <v>79.75</v>
      </c>
      <c r="U59" s="20" t="n">
        <v>33.57</v>
      </c>
      <c r="V59" s="20" t="n">
        <v>33.57</v>
      </c>
      <c r="W59" s="20" t="n">
        <v>33.57</v>
      </c>
      <c r="X59" s="20" t="n">
        <v>33.57</v>
      </c>
      <c r="Y59" s="20" t="n">
        <v>33.57</v>
      </c>
      <c r="Z59" s="20" t="n">
        <v>33.57</v>
      </c>
      <c r="AA59" s="20" t="n">
        <v>33.57</v>
      </c>
      <c r="AB59" s="20" t="n">
        <v>33.57</v>
      </c>
      <c r="AC59" s="20" t="n">
        <v>33.57</v>
      </c>
      <c r="AD59" s="20" t="n">
        <v>33.57</v>
      </c>
      <c r="AE59" s="20" t="n">
        <v>33.57</v>
      </c>
      <c r="AF59" s="20" t="n">
        <v>33.57</v>
      </c>
      <c r="AG59" s="20" t="n">
        <v>33.57</v>
      </c>
      <c r="AH59" s="20" t="n">
        <v>33.57</v>
      </c>
      <c r="AI59" s="20" t="n">
        <v>33.57</v>
      </c>
      <c r="AJ59" s="20" t="n">
        <v>33.57</v>
      </c>
      <c r="AK59" s="20" t="n">
        <v>33.57</v>
      </c>
      <c r="AL59" s="20" t="n">
        <v>33.57</v>
      </c>
      <c r="AM59" s="20" t="n">
        <v>33.57</v>
      </c>
      <c r="AN59" s="20" t="n">
        <v>33.57</v>
      </c>
      <c r="AO59" s="20" t="n">
        <v>33.57</v>
      </c>
      <c r="AP59" s="20" t="n">
        <v>33.57</v>
      </c>
      <c r="AQ59" s="20" t="n">
        <v>33.57</v>
      </c>
      <c r="AR59" s="20" t="n">
        <v>33.57</v>
      </c>
      <c r="AS59" s="20" t="n">
        <v>33.57</v>
      </c>
      <c r="AT59" s="20" t="n">
        <v>33.57</v>
      </c>
      <c r="AU59" s="20" t="n">
        <v>33.57</v>
      </c>
      <c r="AV59" s="20" t="n">
        <v>33.57</v>
      </c>
      <c r="AW59" s="20" t="n">
        <v>33.57</v>
      </c>
      <c r="AX59" s="20" t="n">
        <v>33.57</v>
      </c>
      <c r="AY59" s="20" t="n">
        <v>33.57</v>
      </c>
    </row>
    <row r="60">
      <c r="B60" s="33" t="inlineStr">
        <is>
          <t xml:space="preserve">  705000 Property Maintenance</t>
        </is>
      </c>
      <c r="D60" s="19" t="n">
        <v>-198.25</v>
      </c>
      <c r="E60" s="19" t="n">
        <v>-198.25</v>
      </c>
      <c r="F60" s="19" t="n">
        <v>-198.25</v>
      </c>
      <c r="G60" s="19" t="n">
        <v>-198.25</v>
      </c>
      <c r="H60" s="19" t="n">
        <v>-198.25</v>
      </c>
      <c r="I60" s="19" t="n">
        <v>-198.25</v>
      </c>
      <c r="J60" s="19" t="n">
        <v>3455.84</v>
      </c>
      <c r="K60" s="19" t="n">
        <v>2038.95</v>
      </c>
      <c r="L60" s="19" t="n">
        <v>2038.95</v>
      </c>
      <c r="M60" s="19" t="n">
        <v>2038.95</v>
      </c>
      <c r="N60" s="19" t="n">
        <v>2038.95</v>
      </c>
      <c r="O60" s="19" t="n">
        <v>2038.96</v>
      </c>
      <c r="P60" s="19" t="n">
        <v>1923.06</v>
      </c>
      <c r="Q60" s="19" t="n">
        <v>1923.06</v>
      </c>
      <c r="R60" s="19" t="n">
        <v>1923.06</v>
      </c>
      <c r="S60" s="19" t="n">
        <v>1923.06</v>
      </c>
      <c r="T60" s="84" t="n">
        <v>1923.06</v>
      </c>
      <c r="U60" s="20" t="n">
        <v>1914.84</v>
      </c>
      <c r="V60" s="20" t="n">
        <v>1914.84</v>
      </c>
      <c r="W60" s="20" t="n">
        <v>1914.84</v>
      </c>
      <c r="X60" s="20" t="n">
        <v>1914.84</v>
      </c>
      <c r="Y60" s="20" t="n">
        <v>1914.84</v>
      </c>
      <c r="Z60" s="20" t="n">
        <v>1914.84</v>
      </c>
      <c r="AA60" s="20" t="n">
        <v>1914.84</v>
      </c>
      <c r="AB60" s="20" t="n">
        <v>1914.84</v>
      </c>
      <c r="AC60" s="20" t="n">
        <v>1914.84</v>
      </c>
      <c r="AD60" s="20" t="n">
        <v>1914.84</v>
      </c>
      <c r="AE60" s="20" t="n">
        <v>1914.84</v>
      </c>
      <c r="AF60" s="20" t="n">
        <v>1914.84</v>
      </c>
      <c r="AG60" s="20" t="n">
        <v>1914.84</v>
      </c>
      <c r="AH60" s="20" t="n">
        <v>1914.84</v>
      </c>
      <c r="AI60" s="20" t="n">
        <v>1914.84</v>
      </c>
      <c r="AJ60" s="20" t="n">
        <v>1914.84</v>
      </c>
      <c r="AK60" s="20" t="n">
        <v>1914.84</v>
      </c>
      <c r="AL60" s="20" t="n">
        <v>1914.84</v>
      </c>
      <c r="AM60" s="20" t="n">
        <v>1914.84</v>
      </c>
      <c r="AN60" s="20" t="n">
        <v>1914.84</v>
      </c>
      <c r="AO60" s="20" t="n">
        <v>1914.84</v>
      </c>
      <c r="AP60" s="20" t="n">
        <v>1914.84</v>
      </c>
      <c r="AQ60" s="20" t="n">
        <v>1914.84</v>
      </c>
      <c r="AR60" s="20" t="n">
        <v>1914.84</v>
      </c>
      <c r="AS60" s="20" t="n">
        <v>1914.84</v>
      </c>
      <c r="AT60" s="20" t="n">
        <v>1914.84</v>
      </c>
      <c r="AU60" s="20" t="n">
        <v>1914.84</v>
      </c>
      <c r="AV60" s="20" t="n">
        <v>1914.84</v>
      </c>
      <c r="AW60" s="20" t="n">
        <v>1914.84</v>
      </c>
      <c r="AX60" s="20" t="n">
        <v>1914.84</v>
      </c>
      <c r="AY60" s="20" t="n">
        <v>1914.84</v>
      </c>
    </row>
    <row r="61">
      <c r="B61" s="32" t="inlineStr">
        <is>
          <t>Total Property Costs</t>
        </is>
      </c>
      <c r="C61" s="34" t="n"/>
      <c r="D61" s="35" t="n">
        <v>-198.25</v>
      </c>
      <c r="E61" s="35" t="n">
        <v>-198.25</v>
      </c>
      <c r="F61" s="35" t="n">
        <v>-198.25</v>
      </c>
      <c r="G61" s="35" t="n">
        <v>5734.31</v>
      </c>
      <c r="H61" s="35" t="n">
        <v>5734.31</v>
      </c>
      <c r="I61" s="35" t="n">
        <v>6653.77</v>
      </c>
      <c r="J61" s="35" t="n">
        <v>9447.110000000001</v>
      </c>
      <c r="K61" s="35" t="n">
        <v>8135.52</v>
      </c>
      <c r="L61" s="35" t="n">
        <v>7971.51</v>
      </c>
      <c r="M61" s="35" t="n">
        <v>7479.51</v>
      </c>
      <c r="N61" s="35" t="n">
        <v>8157.77</v>
      </c>
      <c r="O61" s="35" t="n">
        <v>8024.81</v>
      </c>
      <c r="P61" s="35" t="n">
        <v>7855.620000000001</v>
      </c>
      <c r="Q61" s="35" t="n">
        <v>7855.620000000001</v>
      </c>
      <c r="R61" s="35" t="n">
        <v>7990.460000000001</v>
      </c>
      <c r="S61" s="35" t="n">
        <v>7855.620000000001</v>
      </c>
      <c r="T61" s="85" t="n">
        <v>7935.370000000001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-198.25</v>
      </c>
      <c r="E62" s="35" t="n">
        <v>-65.27000000000001</v>
      </c>
      <c r="F62" s="35" t="n">
        <v>2166.64</v>
      </c>
      <c r="G62" s="35" t="n">
        <v>6472.530000000001</v>
      </c>
      <c r="H62" s="35" t="n">
        <v>19271.13</v>
      </c>
      <c r="I62" s="35" t="n">
        <v>52525.63</v>
      </c>
      <c r="J62" s="35" t="n">
        <v>40882.53</v>
      </c>
      <c r="K62" s="35" t="n">
        <v>43592.21000000001</v>
      </c>
      <c r="L62" s="35" t="n">
        <v>37327.79</v>
      </c>
      <c r="M62" s="35" t="n">
        <v>36358.13</v>
      </c>
      <c r="N62" s="35" t="n">
        <v>33124.05</v>
      </c>
      <c r="O62" s="35" t="n">
        <v>32201.68</v>
      </c>
      <c r="P62" s="35" t="n">
        <v>27774.48</v>
      </c>
      <c r="Q62" s="35" t="n">
        <v>25912.92000000001</v>
      </c>
      <c r="R62" s="35" t="n">
        <v>27249.29</v>
      </c>
      <c r="S62" s="35" t="n">
        <v>24904.71</v>
      </c>
      <c r="T62" s="85" t="n">
        <v>27471.5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198.25</v>
      </c>
      <c r="E63" s="35" t="n">
        <v>65.27000000000001</v>
      </c>
      <c r="F63" s="35" t="n">
        <v>-2166.64</v>
      </c>
      <c r="G63" s="35" t="n">
        <v>-6516.650000000001</v>
      </c>
      <c r="H63" s="35" t="n">
        <v>-20911.1</v>
      </c>
      <c r="I63" s="35" t="n">
        <v>-46947.84</v>
      </c>
      <c r="J63" s="35" t="n">
        <v>-31006.55</v>
      </c>
      <c r="K63" s="35" t="n">
        <v>-27690.19</v>
      </c>
      <c r="L63" s="35" t="n">
        <v>-26020.57</v>
      </c>
      <c r="M63" s="35" t="n">
        <v>-23400.08000000001</v>
      </c>
      <c r="N63" s="35" t="n">
        <v>-16923.78</v>
      </c>
      <c r="O63" s="35" t="n">
        <v>-17596.45</v>
      </c>
      <c r="P63" s="35" t="n">
        <v>-8030.850000000002</v>
      </c>
      <c r="Q63" s="35" t="n">
        <v>-5899.910000000003</v>
      </c>
      <c r="R63" s="35" t="n">
        <v>-4238.809999999998</v>
      </c>
      <c r="S63" s="35" t="n">
        <v>-4581.630000000001</v>
      </c>
      <c r="T63" s="85" t="n">
        <v>-8265.610000000001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3539.61</v>
      </c>
      <c r="J65" s="19" t="n">
        <v>3629.04</v>
      </c>
      <c r="K65" s="19" t="n">
        <v>3519.23</v>
      </c>
      <c r="L65" s="19" t="n">
        <v>3552.17</v>
      </c>
      <c r="M65" s="19" t="n">
        <v>3587.95</v>
      </c>
      <c r="N65" s="19" t="n">
        <v>3599.54</v>
      </c>
      <c r="O65" s="19" t="n">
        <v>5647.2</v>
      </c>
      <c r="P65" s="19" t="n">
        <v>3615.45</v>
      </c>
      <c r="Q65" s="19" t="n">
        <v>3615.45</v>
      </c>
      <c r="R65" s="19" t="n">
        <v>3615.45</v>
      </c>
      <c r="S65" s="19" t="n">
        <v>3615.45</v>
      </c>
      <c r="T65" s="84" t="n">
        <v>3615.45</v>
      </c>
      <c r="U65" s="20" t="n">
        <v>3615.45</v>
      </c>
      <c r="V65" s="20" t="n">
        <v>3615.45</v>
      </c>
      <c r="W65" s="20" t="n">
        <v>3615.45</v>
      </c>
      <c r="X65" s="20" t="n">
        <v>3615.45</v>
      </c>
      <c r="Y65" s="20" t="n">
        <v>3615.45</v>
      </c>
      <c r="Z65" s="20" t="n">
        <v>3615.45</v>
      </c>
      <c r="AA65" s="20" t="n">
        <v>3615.45</v>
      </c>
      <c r="AB65" s="20" t="n">
        <v>3615.45</v>
      </c>
      <c r="AC65" s="20" t="n">
        <v>3615.45</v>
      </c>
      <c r="AD65" s="20" t="n">
        <v>3615.45</v>
      </c>
      <c r="AE65" s="20" t="n">
        <v>3615.45</v>
      </c>
      <c r="AF65" s="20" t="n">
        <v>3615.45</v>
      </c>
      <c r="AG65" s="20" t="n">
        <v>3615.45</v>
      </c>
      <c r="AH65" s="20" t="n">
        <v>3615.45</v>
      </c>
      <c r="AI65" s="20" t="n">
        <v>3615.45</v>
      </c>
      <c r="AJ65" s="20" t="n">
        <v>3615.45</v>
      </c>
      <c r="AK65" s="20" t="n">
        <v>3615.45</v>
      </c>
      <c r="AL65" s="20" t="n">
        <v>3615.45</v>
      </c>
      <c r="AM65" s="20" t="n">
        <v>3615.45</v>
      </c>
      <c r="AN65" s="20">
        <f>AN69*0.986539</f>
        <v/>
      </c>
      <c r="AO65" s="20">
        <f>AO69*0.986539</f>
        <v/>
      </c>
      <c r="AP65" s="20">
        <f>AP69*0.986539</f>
        <v/>
      </c>
      <c r="AQ65" s="20">
        <f>AQ69*0.986539</f>
        <v/>
      </c>
      <c r="AR65" s="20">
        <f>AR69*0.986539</f>
        <v/>
      </c>
      <c r="AS65" s="20">
        <f>AS69*0.986539</f>
        <v/>
      </c>
      <c r="AT65" s="20">
        <f>AT69*0.986539</f>
        <v/>
      </c>
      <c r="AU65" s="20">
        <f>AU69*0.986539</f>
        <v/>
      </c>
      <c r="AV65" s="20">
        <f>AV69*0.986539</f>
        <v/>
      </c>
      <c r="AW65" s="20">
        <f>AW69*0.986539</f>
        <v/>
      </c>
      <c r="AX65" s="20">
        <f>AX69*0.986539</f>
        <v/>
      </c>
      <c r="AY65" s="20">
        <f>AY69*0.986539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197.33</v>
      </c>
      <c r="R67" s="19" t="n">
        <v>0</v>
      </c>
      <c r="S67" s="19" t="n">
        <v>0</v>
      </c>
      <c r="T67" s="84" t="n">
        <v>0</v>
      </c>
      <c r="U67" s="20">
        <f>U69*0.013461</f>
        <v/>
      </c>
      <c r="V67" s="20">
        <f>V69*0.013461</f>
        <v/>
      </c>
      <c r="W67" s="20">
        <f>W69*0.013461</f>
        <v/>
      </c>
      <c r="X67" s="20">
        <f>X69*0.013461</f>
        <v/>
      </c>
      <c r="Y67" s="20">
        <f>Y69*0.013461</f>
        <v/>
      </c>
      <c r="Z67" s="20">
        <f>Z69*0.013461</f>
        <v/>
      </c>
      <c r="AA67" s="20">
        <f>AA69*0.013461</f>
        <v/>
      </c>
      <c r="AB67" s="20">
        <f>AB69*0.013461</f>
        <v/>
      </c>
      <c r="AC67" s="20">
        <f>AC69*0.013461</f>
        <v/>
      </c>
      <c r="AD67" s="20">
        <f>AD69*0.013461</f>
        <v/>
      </c>
      <c r="AE67" s="20">
        <f>AE69*0.013461</f>
        <v/>
      </c>
      <c r="AF67" s="20">
        <f>AF69*0.013461</f>
        <v/>
      </c>
      <c r="AG67" s="20">
        <f>AG69*0.013461</f>
        <v/>
      </c>
      <c r="AH67" s="20">
        <f>AH69*0.013461</f>
        <v/>
      </c>
      <c r="AI67" s="20">
        <f>AI69*0.013461</f>
        <v/>
      </c>
      <c r="AJ67" s="20">
        <f>AJ69*0.013461</f>
        <v/>
      </c>
      <c r="AK67" s="20">
        <f>AK69*0.013461</f>
        <v/>
      </c>
      <c r="AL67" s="20">
        <f>AL69*0.013461</f>
        <v/>
      </c>
      <c r="AM67" s="20">
        <f>AM69*0.013461</f>
        <v/>
      </c>
      <c r="AN67" s="20">
        <f>AN69*0.013461</f>
        <v/>
      </c>
      <c r="AO67" s="20">
        <f>AO69*0.013461</f>
        <v/>
      </c>
      <c r="AP67" s="20">
        <f>AP69*0.013461</f>
        <v/>
      </c>
      <c r="AQ67" s="20">
        <f>AQ69*0.013461</f>
        <v/>
      </c>
      <c r="AR67" s="20">
        <f>AR69*0.013461</f>
        <v/>
      </c>
      <c r="AS67" s="20">
        <f>AS69*0.013461</f>
        <v/>
      </c>
      <c r="AT67" s="20">
        <f>AT69*0.013461</f>
        <v/>
      </c>
      <c r="AU67" s="20">
        <f>AU69*0.013461</f>
        <v/>
      </c>
      <c r="AV67" s="20">
        <f>AV69*0.013461</f>
        <v/>
      </c>
      <c r="AW67" s="20">
        <f>AW69*0.013461</f>
        <v/>
      </c>
      <c r="AX67" s="20">
        <f>AX69*0.013461</f>
        <v/>
      </c>
      <c r="AY67" s="20">
        <f>AY69*0.013461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3539.61</v>
      </c>
      <c r="J69" s="35" t="n">
        <v>3629.04</v>
      </c>
      <c r="K69" s="35" t="n">
        <v>3519.23</v>
      </c>
      <c r="L69" s="35" t="n">
        <v>3552.17</v>
      </c>
      <c r="M69" s="35" t="n">
        <v>3587.95</v>
      </c>
      <c r="N69" s="35" t="n">
        <v>3599.54</v>
      </c>
      <c r="O69" s="35" t="n">
        <v>5647.2</v>
      </c>
      <c r="P69" s="35" t="n">
        <v>3615.45</v>
      </c>
      <c r="Q69" s="35" t="n">
        <v>3812.78</v>
      </c>
      <c r="R69" s="35" t="n">
        <v>3615.45</v>
      </c>
      <c r="S69" s="35" t="n">
        <v>3615.45</v>
      </c>
      <c r="T69" s="85" t="n">
        <v>3615.45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198.25</v>
      </c>
      <c r="E70" s="35" t="n">
        <v>65.27000000000001</v>
      </c>
      <c r="F70" s="35" t="n">
        <v>-2166.64</v>
      </c>
      <c r="G70" s="35" t="n">
        <v>-6516.650000000001</v>
      </c>
      <c r="H70" s="35" t="n">
        <v>-20911.1</v>
      </c>
      <c r="I70" s="35" t="n">
        <v>-50487.45</v>
      </c>
      <c r="J70" s="35" t="n">
        <v>-34635.59</v>
      </c>
      <c r="K70" s="35" t="n">
        <v>-31209.42</v>
      </c>
      <c r="L70" s="35" t="n">
        <v>-29572.74</v>
      </c>
      <c r="M70" s="35" t="n">
        <v>-26988.03000000001</v>
      </c>
      <c r="N70" s="35" t="n">
        <v>-20523.32</v>
      </c>
      <c r="O70" s="35" t="n">
        <v>-23243.65</v>
      </c>
      <c r="P70" s="35" t="n">
        <v>-11646.3</v>
      </c>
      <c r="Q70" s="35" t="n">
        <v>-9712.690000000002</v>
      </c>
      <c r="R70" s="35" t="n">
        <v>-7854.259999999997</v>
      </c>
      <c r="S70" s="35" t="n">
        <v>-8197.080000000002</v>
      </c>
      <c r="T70" s="85" t="n">
        <v>-11881.06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Lafayette (LF)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43151.82</v>
      </c>
      <c r="E7" s="19" t="n">
        <v>47419.54</v>
      </c>
      <c r="F7" s="19" t="n">
        <v>57007.59</v>
      </c>
      <c r="G7" s="19" t="n">
        <v>55456.25</v>
      </c>
      <c r="H7" s="19" t="n">
        <v>62450.75</v>
      </c>
      <c r="I7" s="19" t="n">
        <v>58847.59</v>
      </c>
      <c r="J7" s="19" t="n">
        <v>52441.82</v>
      </c>
      <c r="K7" s="19" t="n">
        <v>52783.33</v>
      </c>
      <c r="L7" s="19" t="n">
        <v>51328.58</v>
      </c>
      <c r="M7" s="19" t="n">
        <v>53566.52</v>
      </c>
      <c r="N7" s="19" t="n">
        <v>54483</v>
      </c>
      <c r="O7" s="19" t="n">
        <v>54399.41</v>
      </c>
      <c r="P7" s="19" t="n">
        <v>60615.29</v>
      </c>
      <c r="Q7" s="19" t="n">
        <v>55465.57</v>
      </c>
      <c r="R7" s="19" t="n">
        <v>61292.28</v>
      </c>
      <c r="S7" s="19" t="n">
        <v>56608.39</v>
      </c>
      <c r="T7" s="84" t="n">
        <v>60702.81</v>
      </c>
      <c r="U7" s="20">
        <f>U13*0.726851</f>
        <v/>
      </c>
      <c r="V7" s="20">
        <f>V13*0.726851</f>
        <v/>
      </c>
      <c r="W7" s="20">
        <f>W13*0.726851</f>
        <v/>
      </c>
      <c r="X7" s="20">
        <f>X13*0.726851</f>
        <v/>
      </c>
      <c r="Y7" s="20">
        <f>Y13*0.726851</f>
        <v/>
      </c>
      <c r="Z7" s="20">
        <f>Z13*0.726851</f>
        <v/>
      </c>
      <c r="AA7" s="20">
        <f>AA13*0.726851</f>
        <v/>
      </c>
      <c r="AB7" s="20">
        <f>AB13*0.726851</f>
        <v/>
      </c>
      <c r="AC7" s="20">
        <f>AC13*0.726851</f>
        <v/>
      </c>
      <c r="AD7" s="20">
        <f>AD13*0.726851</f>
        <v/>
      </c>
      <c r="AE7" s="20">
        <f>AE13*0.726851</f>
        <v/>
      </c>
      <c r="AF7" s="20">
        <f>AF13*0.726851</f>
        <v/>
      </c>
      <c r="AG7" s="20">
        <f>AG13*0.726851</f>
        <v/>
      </c>
      <c r="AH7" s="20">
        <f>AH13*0.726851</f>
        <v/>
      </c>
      <c r="AI7" s="20">
        <f>AI13*0.726851</f>
        <v/>
      </c>
      <c r="AJ7" s="20">
        <f>AJ13*0.726851</f>
        <v/>
      </c>
      <c r="AK7" s="20">
        <f>AK13*0.726851</f>
        <v/>
      </c>
      <c r="AL7" s="20">
        <f>AL13*0.726851</f>
        <v/>
      </c>
      <c r="AM7" s="20">
        <f>AM13*0.726851</f>
        <v/>
      </c>
      <c r="AN7" s="20">
        <f>AN13*0.726851</f>
        <v/>
      </c>
      <c r="AO7" s="20">
        <f>AO13*0.726851</f>
        <v/>
      </c>
      <c r="AP7" s="20">
        <f>AP13*0.726851</f>
        <v/>
      </c>
      <c r="AQ7" s="20">
        <f>AQ13*0.726851</f>
        <v/>
      </c>
      <c r="AR7" s="20">
        <f>AR13*0.726851</f>
        <v/>
      </c>
      <c r="AS7" s="20">
        <f>AS13*0.726851</f>
        <v/>
      </c>
      <c r="AT7" s="20">
        <f>AT13*0.726851</f>
        <v/>
      </c>
      <c r="AU7" s="20">
        <f>AU13*0.726851</f>
        <v/>
      </c>
      <c r="AV7" s="20">
        <f>AV13*0.726851</f>
        <v/>
      </c>
      <c r="AW7" s="20">
        <f>AW13*0.726851</f>
        <v/>
      </c>
      <c r="AX7" s="20">
        <f>AX13*0.726851</f>
        <v/>
      </c>
      <c r="AY7" s="20">
        <f>AY13*0.726851</f>
        <v/>
      </c>
    </row>
    <row r="8">
      <c r="B8" s="33" t="inlineStr">
        <is>
          <t xml:space="preserve">  401002 Private Pilates</t>
        </is>
      </c>
      <c r="D8" s="19" t="n">
        <v>2925</v>
      </c>
      <c r="E8" s="19" t="n">
        <v>4200</v>
      </c>
      <c r="F8" s="19" t="n">
        <v>3960</v>
      </c>
      <c r="G8" s="19" t="n">
        <v>3712.5</v>
      </c>
      <c r="H8" s="19" t="n">
        <v>4219.17</v>
      </c>
      <c r="I8" s="19" t="n">
        <v>4000</v>
      </c>
      <c r="J8" s="19" t="n">
        <v>3325</v>
      </c>
      <c r="K8" s="19" t="n">
        <v>3845</v>
      </c>
      <c r="L8" s="19" t="n">
        <v>3405</v>
      </c>
      <c r="M8" s="19" t="n">
        <v>3235</v>
      </c>
      <c r="N8" s="19" t="n">
        <v>2105</v>
      </c>
      <c r="O8" s="19" t="n">
        <v>2085</v>
      </c>
      <c r="P8" s="19" t="n">
        <v>2761</v>
      </c>
      <c r="Q8" s="19" t="n">
        <v>3375</v>
      </c>
      <c r="R8" s="19" t="n">
        <v>4874</v>
      </c>
      <c r="S8" s="19" t="n">
        <v>2940</v>
      </c>
      <c r="T8" s="84" t="n">
        <v>3589</v>
      </c>
      <c r="U8" s="20">
        <f>U13*0.043335</f>
        <v/>
      </c>
      <c r="V8" s="20">
        <f>V13*0.043335</f>
        <v/>
      </c>
      <c r="W8" s="20">
        <f>W13*0.043335</f>
        <v/>
      </c>
      <c r="X8" s="20">
        <f>X13*0.043335</f>
        <v/>
      </c>
      <c r="Y8" s="20">
        <f>Y13*0.043335</f>
        <v/>
      </c>
      <c r="Z8" s="20">
        <f>Z13*0.043335</f>
        <v/>
      </c>
      <c r="AA8" s="20">
        <f>AA13*0.043335</f>
        <v/>
      </c>
      <c r="AB8" s="20">
        <f>AB13*0.043335</f>
        <v/>
      </c>
      <c r="AC8" s="20">
        <f>AC13*0.043335</f>
        <v/>
      </c>
      <c r="AD8" s="20">
        <f>AD13*0.043335</f>
        <v/>
      </c>
      <c r="AE8" s="20">
        <f>AE13*0.043335</f>
        <v/>
      </c>
      <c r="AF8" s="20">
        <f>AF13*0.043335</f>
        <v/>
      </c>
      <c r="AG8" s="20">
        <f>AG13*0.043335</f>
        <v/>
      </c>
      <c r="AH8" s="20">
        <f>AH13*0.043335</f>
        <v/>
      </c>
      <c r="AI8" s="20">
        <f>AI13*0.043335</f>
        <v/>
      </c>
      <c r="AJ8" s="20">
        <f>AJ13*0.043335</f>
        <v/>
      </c>
      <c r="AK8" s="20">
        <f>AK13*0.043335</f>
        <v/>
      </c>
      <c r="AL8" s="20">
        <f>AL13*0.043335</f>
        <v/>
      </c>
      <c r="AM8" s="20">
        <f>AM13*0.043335</f>
        <v/>
      </c>
      <c r="AN8" s="20">
        <f>AN13*0.043335</f>
        <v/>
      </c>
      <c r="AO8" s="20">
        <f>AO13*0.043335</f>
        <v/>
      </c>
      <c r="AP8" s="20">
        <f>AP13*0.043335</f>
        <v/>
      </c>
      <c r="AQ8" s="20">
        <f>AQ13*0.043335</f>
        <v/>
      </c>
      <c r="AR8" s="20">
        <f>AR13*0.043335</f>
        <v/>
      </c>
      <c r="AS8" s="20">
        <f>AS13*0.043335</f>
        <v/>
      </c>
      <c r="AT8" s="20">
        <f>AT13*0.043335</f>
        <v/>
      </c>
      <c r="AU8" s="20">
        <f>AU13*0.043335</f>
        <v/>
      </c>
      <c r="AV8" s="20">
        <f>AV13*0.043335</f>
        <v/>
      </c>
      <c r="AW8" s="20">
        <f>AW13*0.043335</f>
        <v/>
      </c>
      <c r="AX8" s="20">
        <f>AX13*0.043335</f>
        <v/>
      </c>
      <c r="AY8" s="20">
        <f>AY13*0.043335</f>
        <v/>
      </c>
    </row>
    <row r="9">
      <c r="B9" s="33" t="inlineStr">
        <is>
          <t xml:space="preserve">  401003 Class Pass</t>
        </is>
      </c>
      <c r="D9" s="19" t="n">
        <v>11286.93</v>
      </c>
      <c r="E9" s="19" t="n">
        <v>9719.469999999999</v>
      </c>
      <c r="F9" s="19" t="n">
        <v>12905.89</v>
      </c>
      <c r="G9" s="19" t="n">
        <v>12576.41</v>
      </c>
      <c r="H9" s="19" t="n">
        <v>12618.59</v>
      </c>
      <c r="I9" s="19" t="n">
        <v>10385.23</v>
      </c>
      <c r="J9" s="19" t="n">
        <v>10921.08</v>
      </c>
      <c r="K9" s="19" t="n">
        <v>11454.02</v>
      </c>
      <c r="L9" s="19" t="n">
        <v>11685.34</v>
      </c>
      <c r="M9" s="19" t="n">
        <v>11581.92</v>
      </c>
      <c r="N9" s="19" t="n">
        <v>11538.37</v>
      </c>
      <c r="O9" s="19" t="n">
        <v>11343.15</v>
      </c>
      <c r="P9" s="19" t="n">
        <v>12346.11</v>
      </c>
      <c r="Q9" s="19" t="n">
        <v>11594.81</v>
      </c>
      <c r="R9" s="19" t="n">
        <v>12982.46</v>
      </c>
      <c r="S9" s="19" t="n">
        <v>11890</v>
      </c>
      <c r="T9" s="84" t="n">
        <v>12469.24</v>
      </c>
      <c r="U9" s="20">
        <f>U13*0.151636</f>
        <v/>
      </c>
      <c r="V9" s="20">
        <f>V13*0.151636</f>
        <v/>
      </c>
      <c r="W9" s="20">
        <f>W13*0.151636</f>
        <v/>
      </c>
      <c r="X9" s="20">
        <f>X13*0.151636</f>
        <v/>
      </c>
      <c r="Y9" s="20">
        <f>Y13*0.151636</f>
        <v/>
      </c>
      <c r="Z9" s="20">
        <f>Z13*0.151636</f>
        <v/>
      </c>
      <c r="AA9" s="20">
        <f>AA13*0.151636</f>
        <v/>
      </c>
      <c r="AB9" s="20">
        <f>AB13*0.151636</f>
        <v/>
      </c>
      <c r="AC9" s="20">
        <f>AC13*0.151636</f>
        <v/>
      </c>
      <c r="AD9" s="20">
        <f>AD13*0.151636</f>
        <v/>
      </c>
      <c r="AE9" s="20">
        <f>AE13*0.151636</f>
        <v/>
      </c>
      <c r="AF9" s="20">
        <f>AF13*0.151636</f>
        <v/>
      </c>
      <c r="AG9" s="20">
        <f>AG13*0.151636</f>
        <v/>
      </c>
      <c r="AH9" s="20">
        <f>AH13*0.151636</f>
        <v/>
      </c>
      <c r="AI9" s="20">
        <f>AI13*0.151636</f>
        <v/>
      </c>
      <c r="AJ9" s="20">
        <f>AJ13*0.151636</f>
        <v/>
      </c>
      <c r="AK9" s="20">
        <f>AK13*0.151636</f>
        <v/>
      </c>
      <c r="AL9" s="20">
        <f>AL13*0.151636</f>
        <v/>
      </c>
      <c r="AM9" s="20">
        <f>AM13*0.151636</f>
        <v/>
      </c>
      <c r="AN9" s="20">
        <f>AN13*0.151636</f>
        <v/>
      </c>
      <c r="AO9" s="20">
        <f>AO13*0.151636</f>
        <v/>
      </c>
      <c r="AP9" s="20">
        <f>AP13*0.151636</f>
        <v/>
      </c>
      <c r="AQ9" s="20">
        <f>AQ13*0.151636</f>
        <v/>
      </c>
      <c r="AR9" s="20">
        <f>AR13*0.151636</f>
        <v/>
      </c>
      <c r="AS9" s="20">
        <f>AS13*0.151636</f>
        <v/>
      </c>
      <c r="AT9" s="20">
        <f>AT13*0.151636</f>
        <v/>
      </c>
      <c r="AU9" s="20">
        <f>AU13*0.151636</f>
        <v/>
      </c>
      <c r="AV9" s="20">
        <f>AV13*0.151636</f>
        <v/>
      </c>
      <c r="AW9" s="20">
        <f>AW13*0.151636</f>
        <v/>
      </c>
      <c r="AX9" s="20">
        <f>AX13*0.151636</f>
        <v/>
      </c>
      <c r="AY9" s="20">
        <f>AY13*0.151636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500</v>
      </c>
      <c r="H10" s="19" t="n">
        <v>0</v>
      </c>
      <c r="I10" s="19" t="n">
        <v>4950</v>
      </c>
      <c r="J10" s="19" t="n">
        <v>66.67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15183.33</v>
      </c>
      <c r="Q10" s="19" t="n">
        <v>5620.98</v>
      </c>
      <c r="R10" s="19" t="n">
        <v>480.52</v>
      </c>
      <c r="S10" s="19" t="n">
        <v>0</v>
      </c>
      <c r="T10" s="84" t="n">
        <v>0</v>
      </c>
      <c r="U10" s="20">
        <f>U13*0.06612</f>
        <v/>
      </c>
      <c r="V10" s="20">
        <f>V13*0.06612</f>
        <v/>
      </c>
      <c r="W10" s="20">
        <f>W13*0.06612</f>
        <v/>
      </c>
      <c r="X10" s="20">
        <f>X13*0.06612</f>
        <v/>
      </c>
      <c r="Y10" s="20">
        <f>Y13*0.06612</f>
        <v/>
      </c>
      <c r="Z10" s="20">
        <f>Z13*0.06612</f>
        <v/>
      </c>
      <c r="AA10" s="20">
        <f>AA13*0.06612</f>
        <v/>
      </c>
      <c r="AB10" s="20">
        <f>AB13*0.06612</f>
        <v/>
      </c>
      <c r="AC10" s="20">
        <f>AC13*0.06612</f>
        <v/>
      </c>
      <c r="AD10" s="20">
        <f>AD13*0.06612</f>
        <v/>
      </c>
      <c r="AE10" s="20">
        <f>AE13*0.06612</f>
        <v/>
      </c>
      <c r="AF10" s="20">
        <f>AF13*0.06612</f>
        <v/>
      </c>
      <c r="AG10" s="20">
        <f>AG13*0.06612</f>
        <v/>
      </c>
      <c r="AH10" s="20">
        <f>AH13*0.06612</f>
        <v/>
      </c>
      <c r="AI10" s="20">
        <f>AI13*0.06612</f>
        <v/>
      </c>
      <c r="AJ10" s="20">
        <f>AJ13*0.06612</f>
        <v/>
      </c>
      <c r="AK10" s="20">
        <f>AK13*0.06612</f>
        <v/>
      </c>
      <c r="AL10" s="20">
        <f>AL13*0.06612</f>
        <v/>
      </c>
      <c r="AM10" s="20">
        <f>AM13*0.06612</f>
        <v/>
      </c>
      <c r="AN10" s="20">
        <f>AN13*0.06612</f>
        <v/>
      </c>
      <c r="AO10" s="20">
        <f>AO13*0.06612</f>
        <v/>
      </c>
      <c r="AP10" s="20">
        <f>AP13*0.06612</f>
        <v/>
      </c>
      <c r="AQ10" s="20">
        <f>AQ13*0.06612</f>
        <v/>
      </c>
      <c r="AR10" s="20">
        <f>AR13*0.06612</f>
        <v/>
      </c>
      <c r="AS10" s="20">
        <f>AS13*0.06612</f>
        <v/>
      </c>
      <c r="AT10" s="20">
        <f>AT13*0.06612</f>
        <v/>
      </c>
      <c r="AU10" s="20">
        <f>AU13*0.06612</f>
        <v/>
      </c>
      <c r="AV10" s="20">
        <f>AV13*0.06612</f>
        <v/>
      </c>
      <c r="AW10" s="20">
        <f>AW13*0.06612</f>
        <v/>
      </c>
      <c r="AX10" s="20">
        <f>AX13*0.06612</f>
        <v/>
      </c>
      <c r="AY10" s="20">
        <f>AY13*0.06612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39.8</v>
      </c>
      <c r="F11" s="19" t="n">
        <v>14</v>
      </c>
      <c r="G11" s="19" t="n">
        <v>0</v>
      </c>
      <c r="H11" s="19" t="n">
        <v>14</v>
      </c>
      <c r="I11" s="19" t="n">
        <v>309</v>
      </c>
      <c r="J11" s="19" t="n">
        <v>0</v>
      </c>
      <c r="K11" s="19" t="n">
        <v>275.8</v>
      </c>
      <c r="L11" s="19" t="n">
        <v>11.8</v>
      </c>
      <c r="M11" s="19" t="n">
        <v>14</v>
      </c>
      <c r="N11" s="19" t="n">
        <v>39.8</v>
      </c>
      <c r="O11" s="19" t="n">
        <v>309</v>
      </c>
      <c r="P11" s="19" t="n">
        <v>136.52</v>
      </c>
      <c r="Q11" s="19" t="n">
        <v>140.18</v>
      </c>
      <c r="R11" s="19" t="n">
        <v>96.72</v>
      </c>
      <c r="S11" s="19" t="n">
        <v>96.94</v>
      </c>
      <c r="T11" s="84" t="n">
        <v>157.92</v>
      </c>
      <c r="U11" s="20">
        <f>U13*0.001461</f>
        <v/>
      </c>
      <c r="V11" s="20">
        <f>V13*0.001461</f>
        <v/>
      </c>
      <c r="W11" s="20">
        <f>W13*0.001461</f>
        <v/>
      </c>
      <c r="X11" s="20">
        <f>X13*0.001461</f>
        <v/>
      </c>
      <c r="Y11" s="20">
        <f>Y13*0.001461</f>
        <v/>
      </c>
      <c r="Z11" s="20">
        <f>Z13*0.001461</f>
        <v/>
      </c>
      <c r="AA11" s="20">
        <f>AA13*0.001461</f>
        <v/>
      </c>
      <c r="AB11" s="20">
        <f>AB13*0.001461</f>
        <v/>
      </c>
      <c r="AC11" s="20">
        <f>AC13*0.001461</f>
        <v/>
      </c>
      <c r="AD11" s="20">
        <f>AD13*0.001461</f>
        <v/>
      </c>
      <c r="AE11" s="20">
        <f>AE13*0.001461</f>
        <v/>
      </c>
      <c r="AF11" s="20">
        <f>AF13*0.001461</f>
        <v/>
      </c>
      <c r="AG11" s="20">
        <f>AG13*0.001461</f>
        <v/>
      </c>
      <c r="AH11" s="20">
        <f>AH13*0.001461</f>
        <v/>
      </c>
      <c r="AI11" s="20">
        <f>AI13*0.001461</f>
        <v/>
      </c>
      <c r="AJ11" s="20">
        <f>AJ13*0.001461</f>
        <v/>
      </c>
      <c r="AK11" s="20">
        <f>AK13*0.001461</f>
        <v/>
      </c>
      <c r="AL11" s="20">
        <f>AL13*0.001461</f>
        <v/>
      </c>
      <c r="AM11" s="20">
        <f>AM13*0.001461</f>
        <v/>
      </c>
      <c r="AN11" s="20">
        <f>AN13*0.001461</f>
        <v/>
      </c>
      <c r="AO11" s="20">
        <f>AO13*0.001461</f>
        <v/>
      </c>
      <c r="AP11" s="20">
        <f>AP13*0.001461</f>
        <v/>
      </c>
      <c r="AQ11" s="20">
        <f>AQ13*0.001461</f>
        <v/>
      </c>
      <c r="AR11" s="20">
        <f>AR13*0.001461</f>
        <v/>
      </c>
      <c r="AS11" s="20">
        <f>AS13*0.001461</f>
        <v/>
      </c>
      <c r="AT11" s="20">
        <f>AT13*0.001461</f>
        <v/>
      </c>
      <c r="AU11" s="20">
        <f>AU13*0.001461</f>
        <v/>
      </c>
      <c r="AV11" s="20">
        <f>AV13*0.001461</f>
        <v/>
      </c>
      <c r="AW11" s="20">
        <f>AW13*0.001461</f>
        <v/>
      </c>
      <c r="AX11" s="20">
        <f>AX13*0.001461</f>
        <v/>
      </c>
      <c r="AY11" s="20">
        <f>AY13*0.001461</f>
        <v/>
      </c>
    </row>
    <row r="12">
      <c r="B12" s="33" t="inlineStr">
        <is>
          <t xml:space="preserve">  401006 Wellhub</t>
        </is>
      </c>
      <c r="D12" s="19" t="n">
        <v>1003.83</v>
      </c>
      <c r="E12" s="19" t="n">
        <v>867.91</v>
      </c>
      <c r="F12" s="19" t="n">
        <v>777.3</v>
      </c>
      <c r="G12" s="19" t="n">
        <v>1119.61</v>
      </c>
      <c r="H12" s="19" t="n">
        <v>810.02</v>
      </c>
      <c r="I12" s="19" t="n">
        <v>1119.61</v>
      </c>
      <c r="J12" s="19" t="n">
        <v>1258.05</v>
      </c>
      <c r="K12" s="19" t="n">
        <v>867.91</v>
      </c>
      <c r="L12" s="19" t="n">
        <v>1060.81</v>
      </c>
      <c r="M12" s="19" t="n">
        <v>860.36</v>
      </c>
      <c r="N12" s="19" t="n">
        <v>1016.87</v>
      </c>
      <c r="O12" s="19" t="n">
        <v>1011.38</v>
      </c>
      <c r="P12" s="19" t="n">
        <v>1041.13</v>
      </c>
      <c r="Q12" s="19" t="n">
        <v>750.0700000000001</v>
      </c>
      <c r="R12" s="19" t="n">
        <v>679.59</v>
      </c>
      <c r="S12" s="19" t="n">
        <v>940.45</v>
      </c>
      <c r="T12" s="84" t="n">
        <v>777.3</v>
      </c>
      <c r="U12" s="20">
        <f>U13*0.010597</f>
        <v/>
      </c>
      <c r="V12" s="20">
        <f>V13*0.010597</f>
        <v/>
      </c>
      <c r="W12" s="20">
        <f>W13*0.010597</f>
        <v/>
      </c>
      <c r="X12" s="20">
        <f>X13*0.010597</f>
        <v/>
      </c>
      <c r="Y12" s="20">
        <f>Y13*0.010597</f>
        <v/>
      </c>
      <c r="Z12" s="20">
        <f>Z13*0.010597</f>
        <v/>
      </c>
      <c r="AA12" s="20">
        <f>AA13*0.010597</f>
        <v/>
      </c>
      <c r="AB12" s="20">
        <f>AB13*0.010597</f>
        <v/>
      </c>
      <c r="AC12" s="20">
        <f>AC13*0.010597</f>
        <v/>
      </c>
      <c r="AD12" s="20">
        <f>AD13*0.010597</f>
        <v/>
      </c>
      <c r="AE12" s="20">
        <f>AE13*0.010597</f>
        <v/>
      </c>
      <c r="AF12" s="20">
        <f>AF13*0.010597</f>
        <v/>
      </c>
      <c r="AG12" s="20">
        <f>AG13*0.010597</f>
        <v/>
      </c>
      <c r="AH12" s="20">
        <f>AH13*0.010597</f>
        <v/>
      </c>
      <c r="AI12" s="20">
        <f>AI13*0.010597</f>
        <v/>
      </c>
      <c r="AJ12" s="20">
        <f>AJ13*0.010597</f>
        <v/>
      </c>
      <c r="AK12" s="20">
        <f>AK13*0.010597</f>
        <v/>
      </c>
      <c r="AL12" s="20">
        <f>AL13*0.010597</f>
        <v/>
      </c>
      <c r="AM12" s="20">
        <f>AM13*0.010597</f>
        <v/>
      </c>
      <c r="AN12" s="20">
        <f>AN13*0.010597</f>
        <v/>
      </c>
      <c r="AO12" s="20">
        <f>AO13*0.010597</f>
        <v/>
      </c>
      <c r="AP12" s="20">
        <f>AP13*0.010597</f>
        <v/>
      </c>
      <c r="AQ12" s="20">
        <f>AQ13*0.010597</f>
        <v/>
      </c>
      <c r="AR12" s="20">
        <f>AR13*0.010597</f>
        <v/>
      </c>
      <c r="AS12" s="20">
        <f>AS13*0.010597</f>
        <v/>
      </c>
      <c r="AT12" s="20">
        <f>AT13*0.010597</f>
        <v/>
      </c>
      <c r="AU12" s="20">
        <f>AU13*0.010597</f>
        <v/>
      </c>
      <c r="AV12" s="20">
        <f>AV13*0.010597</f>
        <v/>
      </c>
      <c r="AW12" s="20">
        <f>AW13*0.010597</f>
        <v/>
      </c>
      <c r="AX12" s="20">
        <f>AX13*0.010597</f>
        <v/>
      </c>
      <c r="AY12" s="20">
        <f>AY13*0.010597</f>
        <v/>
      </c>
    </row>
    <row r="13">
      <c r="B13" s="32" t="inlineStr">
        <is>
          <t>Total Sessions</t>
        </is>
      </c>
      <c r="C13" s="34" t="n"/>
      <c r="D13" s="35" t="n">
        <v>58367.58</v>
      </c>
      <c r="E13" s="35" t="n">
        <v>62246.72000000001</v>
      </c>
      <c r="F13" s="35" t="n">
        <v>74664.78</v>
      </c>
      <c r="G13" s="35" t="n">
        <v>73364.77</v>
      </c>
      <c r="H13" s="35" t="n">
        <v>80112.53</v>
      </c>
      <c r="I13" s="35" t="n">
        <v>79611.42999999999</v>
      </c>
      <c r="J13" s="35" t="n">
        <v>68012.62</v>
      </c>
      <c r="K13" s="35" t="n">
        <v>69226.06000000001</v>
      </c>
      <c r="L13" s="35" t="n">
        <v>67491.53</v>
      </c>
      <c r="M13" s="35" t="n">
        <v>69257.8</v>
      </c>
      <c r="N13" s="35" t="n">
        <v>69183.03999999999</v>
      </c>
      <c r="O13" s="35" t="n">
        <v>69147.94</v>
      </c>
      <c r="P13" s="35" t="n">
        <v>92083.38</v>
      </c>
      <c r="Q13" s="35" t="n">
        <v>76946.61</v>
      </c>
      <c r="R13" s="35" t="n">
        <v>80405.56999999999</v>
      </c>
      <c r="S13" s="35" t="n">
        <v>72475.78</v>
      </c>
      <c r="T13" s="85" t="n">
        <v>77696.27</v>
      </c>
      <c r="U13" s="17">
        <f>'Sales Forecast'!U9*Assumptions!$C$12+'Sales Forecast'!T9*Assumptions!$D$12+'Sales Forecast'!S9*Assumptions!$E$12+'Sales Forecast'!R9*Assumptions!$F$12+'Sales Forecast'!Q9*Assumptions!$G$12+'Sales Forecast'!P9*Assumptions!$H$12+'Sales Forecast'!U105*Assumptions!$I$12</f>
        <v/>
      </c>
      <c r="V13" s="17">
        <f>'Sales Forecast'!V9*Assumptions!$C$12+'Sales Forecast'!U9*Assumptions!$D$12+'Sales Forecast'!T9*Assumptions!$E$12+'Sales Forecast'!S9*Assumptions!$F$12+'Sales Forecast'!R9*Assumptions!$G$12+'Sales Forecast'!Q9*Assumptions!$H$12+'Sales Forecast'!P9*Assumptions!$I$12</f>
        <v/>
      </c>
      <c r="W13" s="17">
        <f>'Sales Forecast'!W9*Assumptions!$C$12+'Sales Forecast'!V9*Assumptions!$D$12+'Sales Forecast'!U9*Assumptions!$E$12+'Sales Forecast'!T9*Assumptions!$F$12+'Sales Forecast'!S9*Assumptions!$G$12+'Sales Forecast'!R9*Assumptions!$H$12+'Sales Forecast'!Q9*Assumptions!$I$12</f>
        <v/>
      </c>
      <c r="X13" s="17">
        <f>'Sales Forecast'!X9*Assumptions!$C$12+'Sales Forecast'!W9*Assumptions!$D$12+'Sales Forecast'!V9*Assumptions!$E$12+'Sales Forecast'!U9*Assumptions!$F$12+'Sales Forecast'!T9*Assumptions!$G$12+'Sales Forecast'!S9*Assumptions!$H$12+'Sales Forecast'!R9*Assumptions!$I$12</f>
        <v/>
      </c>
      <c r="Y13" s="17">
        <f>'Sales Forecast'!Y9*Assumptions!$C$12+'Sales Forecast'!X9*Assumptions!$D$12+'Sales Forecast'!W9*Assumptions!$E$12+'Sales Forecast'!V9*Assumptions!$F$12+'Sales Forecast'!U9*Assumptions!$G$12+'Sales Forecast'!T9*Assumptions!$H$12+'Sales Forecast'!S9*Assumptions!$I$12</f>
        <v/>
      </c>
      <c r="Z13" s="17">
        <f>'Sales Forecast'!Z9*Assumptions!$C$12+'Sales Forecast'!Y9*Assumptions!$D$12+'Sales Forecast'!X9*Assumptions!$E$12+'Sales Forecast'!W9*Assumptions!$F$12+'Sales Forecast'!V9*Assumptions!$G$12+'Sales Forecast'!U9*Assumptions!$H$12+'Sales Forecast'!T9*Assumptions!$I$12</f>
        <v/>
      </c>
      <c r="AA13" s="17">
        <f>'Sales Forecast'!AA9*Assumptions!$C$12+'Sales Forecast'!Z9*Assumptions!$D$12+'Sales Forecast'!Y9*Assumptions!$E$12+'Sales Forecast'!X9*Assumptions!$F$12+'Sales Forecast'!W9*Assumptions!$G$12+'Sales Forecast'!V9*Assumptions!$H$12+'Sales Forecast'!U9*Assumptions!$I$12</f>
        <v/>
      </c>
      <c r="AB13" s="17">
        <f>'Sales Forecast'!AB9*Assumptions!$C$12+'Sales Forecast'!AA9*Assumptions!$D$12+'Sales Forecast'!Z9*Assumptions!$E$12+'Sales Forecast'!Y9*Assumptions!$F$12+'Sales Forecast'!X9*Assumptions!$G$12+'Sales Forecast'!W9*Assumptions!$H$12+'Sales Forecast'!V9*Assumptions!$I$12</f>
        <v/>
      </c>
      <c r="AC13" s="17">
        <f>'Sales Forecast'!AC9*Assumptions!$C$12+'Sales Forecast'!AB9*Assumptions!$D$12+'Sales Forecast'!AA9*Assumptions!$E$12+'Sales Forecast'!Z9*Assumptions!$F$12+'Sales Forecast'!Y9*Assumptions!$G$12+'Sales Forecast'!X9*Assumptions!$H$12+'Sales Forecast'!W9*Assumptions!$I$12</f>
        <v/>
      </c>
      <c r="AD13" s="17">
        <f>'Sales Forecast'!AD9*Assumptions!$C$12+'Sales Forecast'!AC9*Assumptions!$D$12+'Sales Forecast'!AB9*Assumptions!$E$12+'Sales Forecast'!AA9*Assumptions!$F$12+'Sales Forecast'!Z9*Assumptions!$G$12+'Sales Forecast'!Y9*Assumptions!$H$12+'Sales Forecast'!X9*Assumptions!$I$12</f>
        <v/>
      </c>
      <c r="AE13" s="17">
        <f>'Sales Forecast'!AE9*Assumptions!$C$12+'Sales Forecast'!AD9*Assumptions!$D$12+'Sales Forecast'!AC9*Assumptions!$E$12+'Sales Forecast'!AB9*Assumptions!$F$12+'Sales Forecast'!AA9*Assumptions!$G$12+'Sales Forecast'!Z9*Assumptions!$H$12+'Sales Forecast'!Y9*Assumptions!$I$12</f>
        <v/>
      </c>
      <c r="AF13" s="17">
        <f>'Sales Forecast'!AF9*Assumptions!$C$12+'Sales Forecast'!AE9*Assumptions!$D$12+'Sales Forecast'!AD9*Assumptions!$E$12+'Sales Forecast'!AC9*Assumptions!$F$12+'Sales Forecast'!AB9*Assumptions!$G$12+'Sales Forecast'!AA9*Assumptions!$H$12+'Sales Forecast'!Z9*Assumptions!$I$12</f>
        <v/>
      </c>
      <c r="AG13" s="17">
        <f>'Sales Forecast'!AG9*Assumptions!$C$12+'Sales Forecast'!AF9*Assumptions!$D$12+'Sales Forecast'!AE9*Assumptions!$E$12+'Sales Forecast'!AD9*Assumptions!$F$12+'Sales Forecast'!AC9*Assumptions!$G$12+'Sales Forecast'!AB9*Assumptions!$H$12+'Sales Forecast'!AA9*Assumptions!$I$12</f>
        <v/>
      </c>
      <c r="AH13" s="17">
        <f>'Sales Forecast'!AH9*Assumptions!$C$12+'Sales Forecast'!AG9*Assumptions!$D$12+'Sales Forecast'!AF9*Assumptions!$E$12+'Sales Forecast'!AE9*Assumptions!$F$12+'Sales Forecast'!AD9*Assumptions!$G$12+'Sales Forecast'!AC9*Assumptions!$H$12+'Sales Forecast'!AB9*Assumptions!$I$12</f>
        <v/>
      </c>
      <c r="AI13" s="17">
        <f>'Sales Forecast'!AI9*Assumptions!$C$12+'Sales Forecast'!AH9*Assumptions!$D$12+'Sales Forecast'!AG9*Assumptions!$E$12+'Sales Forecast'!AF9*Assumptions!$F$12+'Sales Forecast'!AE9*Assumptions!$G$12+'Sales Forecast'!AD9*Assumptions!$H$12+'Sales Forecast'!AC9*Assumptions!$I$12</f>
        <v/>
      </c>
      <c r="AJ13" s="17">
        <f>'Sales Forecast'!AJ9*Assumptions!$C$12+'Sales Forecast'!AI9*Assumptions!$D$12+'Sales Forecast'!AH9*Assumptions!$E$12+'Sales Forecast'!AG9*Assumptions!$F$12+'Sales Forecast'!AF9*Assumptions!$G$12+'Sales Forecast'!AE9*Assumptions!$H$12+'Sales Forecast'!AD9*Assumptions!$I$12</f>
        <v/>
      </c>
      <c r="AK13" s="17">
        <f>'Sales Forecast'!AK9*Assumptions!$C$12+'Sales Forecast'!AJ9*Assumptions!$D$12+'Sales Forecast'!AI9*Assumptions!$E$12+'Sales Forecast'!AH9*Assumptions!$F$12+'Sales Forecast'!AG9*Assumptions!$G$12+'Sales Forecast'!AF9*Assumptions!$H$12+'Sales Forecast'!AE9*Assumptions!$I$12</f>
        <v/>
      </c>
      <c r="AL13" s="17">
        <f>'Sales Forecast'!AL9*Assumptions!$C$12+'Sales Forecast'!AK9*Assumptions!$D$12+'Sales Forecast'!AJ9*Assumptions!$E$12+'Sales Forecast'!AI9*Assumptions!$F$12+'Sales Forecast'!AH9*Assumptions!$G$12+'Sales Forecast'!AG9*Assumptions!$H$12+'Sales Forecast'!AF9*Assumptions!$I$12</f>
        <v/>
      </c>
      <c r="AM13" s="17">
        <f>'Sales Forecast'!AM9*Assumptions!$C$12+'Sales Forecast'!AL9*Assumptions!$D$12+'Sales Forecast'!AK9*Assumptions!$E$12+'Sales Forecast'!AJ9*Assumptions!$F$12+'Sales Forecast'!AI9*Assumptions!$G$12+'Sales Forecast'!AH9*Assumptions!$H$12+'Sales Forecast'!AG9*Assumptions!$I$12</f>
        <v/>
      </c>
      <c r="AN13" s="17">
        <f>'Sales Forecast'!AN9*Assumptions!$C$12+'Sales Forecast'!AM9*Assumptions!$D$12+'Sales Forecast'!AL9*Assumptions!$E$12+'Sales Forecast'!AK9*Assumptions!$F$12+'Sales Forecast'!AJ9*Assumptions!$G$12+'Sales Forecast'!AI9*Assumptions!$H$12+'Sales Forecast'!AH9*Assumptions!$I$12</f>
        <v/>
      </c>
      <c r="AO13" s="17">
        <f>'Sales Forecast'!AO9*Assumptions!$C$12+'Sales Forecast'!AN9*Assumptions!$D$12+'Sales Forecast'!AM9*Assumptions!$E$12+'Sales Forecast'!AL9*Assumptions!$F$12+'Sales Forecast'!AK9*Assumptions!$G$12+'Sales Forecast'!AJ9*Assumptions!$H$12+'Sales Forecast'!AI9*Assumptions!$I$12</f>
        <v/>
      </c>
      <c r="AP13" s="17">
        <f>'Sales Forecast'!AP9*Assumptions!$C$12+'Sales Forecast'!AO9*Assumptions!$D$12+'Sales Forecast'!AN9*Assumptions!$E$12+'Sales Forecast'!AM9*Assumptions!$F$12+'Sales Forecast'!AL9*Assumptions!$G$12+'Sales Forecast'!AK9*Assumptions!$H$12+'Sales Forecast'!AJ9*Assumptions!$I$12</f>
        <v/>
      </c>
      <c r="AQ13" s="17">
        <f>'Sales Forecast'!AQ9*Assumptions!$C$12+'Sales Forecast'!AP9*Assumptions!$D$12+'Sales Forecast'!AO9*Assumptions!$E$12+'Sales Forecast'!AN9*Assumptions!$F$12+'Sales Forecast'!AM9*Assumptions!$G$12+'Sales Forecast'!AL9*Assumptions!$H$12+'Sales Forecast'!AK9*Assumptions!$I$12</f>
        <v/>
      </c>
      <c r="AR13" s="17">
        <f>'Sales Forecast'!AR9*Assumptions!$C$12+'Sales Forecast'!AQ9*Assumptions!$D$12+'Sales Forecast'!AP9*Assumptions!$E$12+'Sales Forecast'!AO9*Assumptions!$F$12+'Sales Forecast'!AN9*Assumptions!$G$12+'Sales Forecast'!AM9*Assumptions!$H$12+'Sales Forecast'!AL9*Assumptions!$I$12</f>
        <v/>
      </c>
      <c r="AS13" s="17">
        <f>'Sales Forecast'!AS9*Assumptions!$C$12+'Sales Forecast'!AR9*Assumptions!$D$12+'Sales Forecast'!AQ9*Assumptions!$E$12+'Sales Forecast'!AP9*Assumptions!$F$12+'Sales Forecast'!AO9*Assumptions!$G$12+'Sales Forecast'!AN9*Assumptions!$H$12+'Sales Forecast'!AM9*Assumptions!$I$12</f>
        <v/>
      </c>
      <c r="AT13" s="17">
        <f>'Sales Forecast'!AT9*Assumptions!$C$12+'Sales Forecast'!AS9*Assumptions!$D$12+'Sales Forecast'!AR9*Assumptions!$E$12+'Sales Forecast'!AQ9*Assumptions!$F$12+'Sales Forecast'!AP9*Assumptions!$G$12+'Sales Forecast'!AO9*Assumptions!$H$12+'Sales Forecast'!AN9*Assumptions!$I$12</f>
        <v/>
      </c>
      <c r="AU13" s="17">
        <f>'Sales Forecast'!AU9*Assumptions!$C$12+'Sales Forecast'!AT9*Assumptions!$D$12+'Sales Forecast'!AS9*Assumptions!$E$12+'Sales Forecast'!AR9*Assumptions!$F$12+'Sales Forecast'!AQ9*Assumptions!$G$12+'Sales Forecast'!AP9*Assumptions!$H$12+'Sales Forecast'!AO9*Assumptions!$I$12</f>
        <v/>
      </c>
      <c r="AV13" s="17">
        <f>'Sales Forecast'!AV9*Assumptions!$C$12+'Sales Forecast'!AU9*Assumptions!$D$12+'Sales Forecast'!AT9*Assumptions!$E$12+'Sales Forecast'!AS9*Assumptions!$F$12+'Sales Forecast'!AR9*Assumptions!$G$12+'Sales Forecast'!AQ9*Assumptions!$H$12+'Sales Forecast'!AP9*Assumptions!$I$12</f>
        <v/>
      </c>
      <c r="AW13" s="17">
        <f>'Sales Forecast'!AW9*Assumptions!$C$12+'Sales Forecast'!AV9*Assumptions!$D$12+'Sales Forecast'!AU9*Assumptions!$E$12+'Sales Forecast'!AT9*Assumptions!$F$12+'Sales Forecast'!AS9*Assumptions!$G$12+'Sales Forecast'!AR9*Assumptions!$H$12+'Sales Forecast'!AQ9*Assumptions!$I$12</f>
        <v/>
      </c>
      <c r="AX13" s="17">
        <f>'Sales Forecast'!AX9*Assumptions!$C$12+'Sales Forecast'!AW9*Assumptions!$D$12+'Sales Forecast'!AV9*Assumptions!$E$12+'Sales Forecast'!AU9*Assumptions!$F$12+'Sales Forecast'!AT9*Assumptions!$G$12+'Sales Forecast'!AS9*Assumptions!$H$12+'Sales Forecast'!AR9*Assumptions!$I$12</f>
        <v/>
      </c>
      <c r="AY13" s="17">
        <f>'Sales Forecast'!AY9*Assumptions!$C$12+'Sales Forecast'!AX9*Assumptions!$D$12+'Sales Forecast'!AW9*Assumptions!$E$12+'Sales Forecast'!AV9*Assumptions!$F$12+'Sales Forecast'!AU9*Assumptions!$G$12+'Sales Forecast'!AT9*Assumptions!$H$12+'Sales Forecast'!AS9*Assumptions!$I$12</f>
        <v/>
      </c>
    </row>
    <row r="14">
      <c r="B14" s="33" t="inlineStr">
        <is>
          <t xml:space="preserve">  403001 Machine Breakage</t>
        </is>
      </c>
      <c r="D14" s="19" t="n">
        <v>9291.620000000001</v>
      </c>
      <c r="E14" s="19" t="n">
        <v>15252.61</v>
      </c>
      <c r="F14" s="19" t="n">
        <v>14273.32</v>
      </c>
      <c r="G14" s="19" t="n">
        <v>12002.23</v>
      </c>
      <c r="H14" s="19" t="n">
        <v>24288.08</v>
      </c>
      <c r="I14" s="19" t="n">
        <v>12711.39</v>
      </c>
      <c r="J14" s="19" t="n">
        <v>13629.15</v>
      </c>
      <c r="K14" s="19" t="n">
        <v>14900.47</v>
      </c>
      <c r="L14" s="19" t="n">
        <v>21340.38</v>
      </c>
      <c r="M14" s="19" t="n">
        <v>15733.55</v>
      </c>
      <c r="N14" s="19" t="n">
        <v>21841</v>
      </c>
      <c r="O14" s="19" t="n">
        <v>27204.4</v>
      </c>
      <c r="P14" s="19" t="n">
        <v>13400.43</v>
      </c>
      <c r="Q14" s="19" t="n">
        <v>15883.02</v>
      </c>
      <c r="R14" s="19" t="n">
        <v>12911.17</v>
      </c>
      <c r="S14" s="19" t="n">
        <v>13278.92</v>
      </c>
      <c r="T14" s="84" t="n">
        <v>12597.23</v>
      </c>
      <c r="U14" s="20">
        <f>U17*0.9552</f>
        <v/>
      </c>
      <c r="V14" s="20">
        <f>V17*0.9552</f>
        <v/>
      </c>
      <c r="W14" s="20">
        <f>W17*0.9552</f>
        <v/>
      </c>
      <c r="X14" s="20">
        <f>X17*0.9552</f>
        <v/>
      </c>
      <c r="Y14" s="20">
        <f>Y17*0.9552</f>
        <v/>
      </c>
      <c r="Z14" s="20">
        <f>Z17*0.9552</f>
        <v/>
      </c>
      <c r="AA14" s="20">
        <f>AA17*0.9552</f>
        <v/>
      </c>
      <c r="AB14" s="20">
        <f>AB17*0.9552</f>
        <v/>
      </c>
      <c r="AC14" s="20">
        <f>AC17*0.9552</f>
        <v/>
      </c>
      <c r="AD14" s="20">
        <f>AD17*0.9552</f>
        <v/>
      </c>
      <c r="AE14" s="20">
        <f>AE17*0.9552</f>
        <v/>
      </c>
      <c r="AF14" s="20">
        <f>AF17*0.9552</f>
        <v/>
      </c>
      <c r="AG14" s="20">
        <f>AG17*0.9552</f>
        <v/>
      </c>
      <c r="AH14" s="20">
        <f>AH17*0.9552</f>
        <v/>
      </c>
      <c r="AI14" s="20">
        <f>AI17*0.9552</f>
        <v/>
      </c>
      <c r="AJ14" s="20">
        <f>AJ17*0.9552</f>
        <v/>
      </c>
      <c r="AK14" s="20">
        <f>AK17*0.9552</f>
        <v/>
      </c>
      <c r="AL14" s="20">
        <f>AL17*0.9552</f>
        <v/>
      </c>
      <c r="AM14" s="20">
        <f>AM17*0.9552</f>
        <v/>
      </c>
      <c r="AN14" s="20">
        <f>AN17*0.9552</f>
        <v/>
      </c>
      <c r="AO14" s="20">
        <f>AO17*0.9552</f>
        <v/>
      </c>
      <c r="AP14" s="20">
        <f>AP17*0.9552</f>
        <v/>
      </c>
      <c r="AQ14" s="20">
        <f>AQ17*0.9552</f>
        <v/>
      </c>
      <c r="AR14" s="20">
        <f>AR17*0.9552</f>
        <v/>
      </c>
      <c r="AS14" s="20">
        <f>AS17*0.9552</f>
        <v/>
      </c>
      <c r="AT14" s="20">
        <f>AT17*0.9552</f>
        <v/>
      </c>
      <c r="AU14" s="20">
        <f>AU17*0.9552</f>
        <v/>
      </c>
      <c r="AV14" s="20">
        <f>AV17*0.9552</f>
        <v/>
      </c>
      <c r="AW14" s="20">
        <f>AW17*0.9552</f>
        <v/>
      </c>
      <c r="AX14" s="20">
        <f>AX17*0.9552</f>
        <v/>
      </c>
      <c r="AY14" s="20">
        <f>AY17*0.9552</f>
        <v/>
      </c>
    </row>
    <row r="15">
      <c r="B15" s="33" t="inlineStr">
        <is>
          <t xml:space="preserve">  403003 Private Pilates Breakage</t>
        </is>
      </c>
      <c r="D15" s="19" t="n">
        <v>450</v>
      </c>
      <c r="E15" s="19" t="n">
        <v>955</v>
      </c>
      <c r="F15" s="19" t="n">
        <v>3300</v>
      </c>
      <c r="G15" s="19" t="n">
        <v>1585</v>
      </c>
      <c r="H15" s="19" t="n">
        <v>1095</v>
      </c>
      <c r="I15" s="19" t="n">
        <v>913.33</v>
      </c>
      <c r="J15" s="19" t="n">
        <v>1625</v>
      </c>
      <c r="K15" s="19" t="n">
        <v>640</v>
      </c>
      <c r="L15" s="19" t="n">
        <v>720</v>
      </c>
      <c r="M15" s="19" t="n">
        <v>1335</v>
      </c>
      <c r="N15" s="19" t="n">
        <v>1210</v>
      </c>
      <c r="O15" s="19" t="n">
        <v>950</v>
      </c>
      <c r="P15" s="19" t="n">
        <v>115</v>
      </c>
      <c r="Q15" s="19" t="n">
        <v>340</v>
      </c>
      <c r="R15" s="19" t="n">
        <v>1260</v>
      </c>
      <c r="S15" s="19" t="n">
        <v>875</v>
      </c>
      <c r="T15" s="84" t="n">
        <v>375</v>
      </c>
      <c r="U15" s="20">
        <f>U17*0.044597</f>
        <v/>
      </c>
      <c r="V15" s="20">
        <f>V17*0.044597</f>
        <v/>
      </c>
      <c r="W15" s="20">
        <f>W17*0.044597</f>
        <v/>
      </c>
      <c r="X15" s="20">
        <f>X17*0.044597</f>
        <v/>
      </c>
      <c r="Y15" s="20">
        <f>Y17*0.044597</f>
        <v/>
      </c>
      <c r="Z15" s="20">
        <f>Z17*0.044597</f>
        <v/>
      </c>
      <c r="AA15" s="20">
        <f>AA17*0.044597</f>
        <v/>
      </c>
      <c r="AB15" s="20">
        <f>AB17*0.044597</f>
        <v/>
      </c>
      <c r="AC15" s="20">
        <f>AC17*0.044597</f>
        <v/>
      </c>
      <c r="AD15" s="20">
        <f>AD17*0.044597</f>
        <v/>
      </c>
      <c r="AE15" s="20">
        <f>AE17*0.044597</f>
        <v/>
      </c>
      <c r="AF15" s="20">
        <f>AF17*0.044597</f>
        <v/>
      </c>
      <c r="AG15" s="20">
        <f>AG17*0.044597</f>
        <v/>
      </c>
      <c r="AH15" s="20">
        <f>AH17*0.044597</f>
        <v/>
      </c>
      <c r="AI15" s="20">
        <f>AI17*0.044597</f>
        <v/>
      </c>
      <c r="AJ15" s="20">
        <f>AJ17*0.044597</f>
        <v/>
      </c>
      <c r="AK15" s="20">
        <f>AK17*0.044597</f>
        <v/>
      </c>
      <c r="AL15" s="20">
        <f>AL17*0.044597</f>
        <v/>
      </c>
      <c r="AM15" s="20">
        <f>AM17*0.044597</f>
        <v/>
      </c>
      <c r="AN15" s="20">
        <f>AN17*0.044597</f>
        <v/>
      </c>
      <c r="AO15" s="20">
        <f>AO17*0.044597</f>
        <v/>
      </c>
      <c r="AP15" s="20">
        <f>AP17*0.044597</f>
        <v/>
      </c>
      <c r="AQ15" s="20">
        <f>AQ17*0.044597</f>
        <v/>
      </c>
      <c r="AR15" s="20">
        <f>AR17*0.044597</f>
        <v/>
      </c>
      <c r="AS15" s="20">
        <f>AS17*0.044597</f>
        <v/>
      </c>
      <c r="AT15" s="20">
        <f>AT17*0.044597</f>
        <v/>
      </c>
      <c r="AU15" s="20">
        <f>AU17*0.044597</f>
        <v/>
      </c>
      <c r="AV15" s="20">
        <f>AV17*0.044597</f>
        <v/>
      </c>
      <c r="AW15" s="20">
        <f>AW17*0.044597</f>
        <v/>
      </c>
      <c r="AX15" s="20">
        <f>AX17*0.044597</f>
        <v/>
      </c>
      <c r="AY15" s="20">
        <f>AY17*0.044597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47.2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23.6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11.8</v>
      </c>
      <c r="R16" s="19" t="n">
        <v>0</v>
      </c>
      <c r="S16" s="19" t="n">
        <v>0</v>
      </c>
      <c r="T16" s="84" t="n">
        <v>0</v>
      </c>
      <c r="U16" s="20">
        <f>U17*0.000203</f>
        <v/>
      </c>
      <c r="V16" s="20">
        <f>V17*0.000203</f>
        <v/>
      </c>
      <c r="W16" s="20">
        <f>W17*0.000203</f>
        <v/>
      </c>
      <c r="X16" s="20">
        <f>X17*0.000203</f>
        <v/>
      </c>
      <c r="Y16" s="20">
        <f>Y17*0.000203</f>
        <v/>
      </c>
      <c r="Z16" s="20">
        <f>Z17*0.000203</f>
        <v/>
      </c>
      <c r="AA16" s="20">
        <f>AA17*0.000203</f>
        <v/>
      </c>
      <c r="AB16" s="20">
        <f>AB17*0.000203</f>
        <v/>
      </c>
      <c r="AC16" s="20">
        <f>AC17*0.000203</f>
        <v/>
      </c>
      <c r="AD16" s="20">
        <f>AD17*0.000203</f>
        <v/>
      </c>
      <c r="AE16" s="20">
        <f>AE17*0.000203</f>
        <v/>
      </c>
      <c r="AF16" s="20">
        <f>AF17*0.000203</f>
        <v/>
      </c>
      <c r="AG16" s="20">
        <f>AG17*0.000203</f>
        <v/>
      </c>
      <c r="AH16" s="20">
        <f>AH17*0.000203</f>
        <v/>
      </c>
      <c r="AI16" s="20">
        <f>AI17*0.000203</f>
        <v/>
      </c>
      <c r="AJ16" s="20">
        <f>AJ17*0.000203</f>
        <v/>
      </c>
      <c r="AK16" s="20">
        <f>AK17*0.000203</f>
        <v/>
      </c>
      <c r="AL16" s="20">
        <f>AL17*0.000203</f>
        <v/>
      </c>
      <c r="AM16" s="20">
        <f>AM17*0.000203</f>
        <v/>
      </c>
      <c r="AN16" s="20">
        <f>AN17*0.000203</f>
        <v/>
      </c>
      <c r="AO16" s="20">
        <f>AO17*0.000203</f>
        <v/>
      </c>
      <c r="AP16" s="20">
        <f>AP17*0.000203</f>
        <v/>
      </c>
      <c r="AQ16" s="20">
        <f>AQ17*0.000203</f>
        <v/>
      </c>
      <c r="AR16" s="20">
        <f>AR17*0.000203</f>
        <v/>
      </c>
      <c r="AS16" s="20">
        <f>AS17*0.000203</f>
        <v/>
      </c>
      <c r="AT16" s="20">
        <f>AT17*0.000203</f>
        <v/>
      </c>
      <c r="AU16" s="20">
        <f>AU17*0.000203</f>
        <v/>
      </c>
      <c r="AV16" s="20">
        <f>AV17*0.000203</f>
        <v/>
      </c>
      <c r="AW16" s="20">
        <f>AW17*0.000203</f>
        <v/>
      </c>
      <c r="AX16" s="20">
        <f>AX17*0.000203</f>
        <v/>
      </c>
      <c r="AY16" s="20">
        <f>AY17*0.000203</f>
        <v/>
      </c>
    </row>
    <row r="17">
      <c r="B17" s="32" t="inlineStr">
        <is>
          <t>Total Breakage Revenue</t>
        </is>
      </c>
      <c r="C17" s="34" t="n"/>
      <c r="D17" s="35" t="n">
        <v>9741.620000000001</v>
      </c>
      <c r="E17" s="35" t="n">
        <v>16207.61</v>
      </c>
      <c r="F17" s="35" t="n">
        <v>17620.52</v>
      </c>
      <c r="G17" s="35" t="n">
        <v>13587.23</v>
      </c>
      <c r="H17" s="35" t="n">
        <v>25383.08</v>
      </c>
      <c r="I17" s="35" t="n">
        <v>13624.72</v>
      </c>
      <c r="J17" s="35" t="n">
        <v>17434.15</v>
      </c>
      <c r="K17" s="35" t="n">
        <v>20720.47</v>
      </c>
      <c r="L17" s="35" t="n">
        <v>22083.98</v>
      </c>
      <c r="M17" s="35" t="n">
        <v>17068.55</v>
      </c>
      <c r="N17" s="35" t="n">
        <v>23551</v>
      </c>
      <c r="O17" s="35" t="n">
        <v>31137.73</v>
      </c>
      <c r="P17" s="35" t="n">
        <v>13515.43</v>
      </c>
      <c r="Q17" s="35" t="n">
        <v>16234.82</v>
      </c>
      <c r="R17" s="35" t="n">
        <v>14171.17</v>
      </c>
      <c r="S17" s="35" t="n">
        <v>14153.92</v>
      </c>
      <c r="T17" s="85" t="n">
        <v>12972.23</v>
      </c>
      <c r="U17" s="17">
        <f>'Sales Forecast'!U9*Assumptions!$C$13+'Sales Forecast'!T9*Assumptions!$D$13+'Sales Forecast'!S9*Assumptions!$E$13+'Sales Forecast'!R9*Assumptions!$F$13+'Sales Forecast'!Q9*Assumptions!$G$13+'Sales Forecast'!P9*Assumptions!$H$13+'Sales Forecast'!U105*Assumptions!$I$13</f>
        <v/>
      </c>
      <c r="V17" s="17">
        <f>'Sales Forecast'!V9*Assumptions!$C$13+'Sales Forecast'!U9*Assumptions!$D$13+'Sales Forecast'!T9*Assumptions!$E$13+'Sales Forecast'!S9*Assumptions!$F$13+'Sales Forecast'!R9*Assumptions!$G$13+'Sales Forecast'!Q9*Assumptions!$H$13+'Sales Forecast'!P9*Assumptions!$I$13</f>
        <v/>
      </c>
      <c r="W17" s="17">
        <f>'Sales Forecast'!W9*Assumptions!$C$13+'Sales Forecast'!V9*Assumptions!$D$13+'Sales Forecast'!U9*Assumptions!$E$13+'Sales Forecast'!T9*Assumptions!$F$13+'Sales Forecast'!S9*Assumptions!$G$13+'Sales Forecast'!R9*Assumptions!$H$13+'Sales Forecast'!Q9*Assumptions!$I$13</f>
        <v/>
      </c>
      <c r="X17" s="17">
        <f>'Sales Forecast'!X9*Assumptions!$C$13+'Sales Forecast'!W9*Assumptions!$D$13+'Sales Forecast'!V9*Assumptions!$E$13+'Sales Forecast'!U9*Assumptions!$F$13+'Sales Forecast'!T9*Assumptions!$G$13+'Sales Forecast'!S9*Assumptions!$H$13+'Sales Forecast'!R9*Assumptions!$I$13</f>
        <v/>
      </c>
      <c r="Y17" s="17">
        <f>'Sales Forecast'!Y9*Assumptions!$C$13+'Sales Forecast'!X9*Assumptions!$D$13+'Sales Forecast'!W9*Assumptions!$E$13+'Sales Forecast'!V9*Assumptions!$F$13+'Sales Forecast'!U9*Assumptions!$G$13+'Sales Forecast'!T9*Assumptions!$H$13+'Sales Forecast'!S9*Assumptions!$I$13</f>
        <v/>
      </c>
      <c r="Z17" s="17">
        <f>'Sales Forecast'!Z9*Assumptions!$C$13+'Sales Forecast'!Y9*Assumptions!$D$13+'Sales Forecast'!X9*Assumptions!$E$13+'Sales Forecast'!W9*Assumptions!$F$13+'Sales Forecast'!V9*Assumptions!$G$13+'Sales Forecast'!U9*Assumptions!$H$13+'Sales Forecast'!T9*Assumptions!$I$13</f>
        <v/>
      </c>
      <c r="AA17" s="17">
        <f>'Sales Forecast'!AA9*Assumptions!$C$13+'Sales Forecast'!Z9*Assumptions!$D$13+'Sales Forecast'!Y9*Assumptions!$E$13+'Sales Forecast'!X9*Assumptions!$F$13+'Sales Forecast'!W9*Assumptions!$G$13+'Sales Forecast'!V9*Assumptions!$H$13+'Sales Forecast'!U9*Assumptions!$I$13</f>
        <v/>
      </c>
      <c r="AB17" s="17">
        <f>'Sales Forecast'!AB9*Assumptions!$C$13+'Sales Forecast'!AA9*Assumptions!$D$13+'Sales Forecast'!Z9*Assumptions!$E$13+'Sales Forecast'!Y9*Assumptions!$F$13+'Sales Forecast'!X9*Assumptions!$G$13+'Sales Forecast'!W9*Assumptions!$H$13+'Sales Forecast'!V9*Assumptions!$I$13</f>
        <v/>
      </c>
      <c r="AC17" s="17">
        <f>'Sales Forecast'!AC9*Assumptions!$C$13+'Sales Forecast'!AB9*Assumptions!$D$13+'Sales Forecast'!AA9*Assumptions!$E$13+'Sales Forecast'!Z9*Assumptions!$F$13+'Sales Forecast'!Y9*Assumptions!$G$13+'Sales Forecast'!X9*Assumptions!$H$13+'Sales Forecast'!W9*Assumptions!$I$13</f>
        <v/>
      </c>
      <c r="AD17" s="17">
        <f>'Sales Forecast'!AD9*Assumptions!$C$13+'Sales Forecast'!AC9*Assumptions!$D$13+'Sales Forecast'!AB9*Assumptions!$E$13+'Sales Forecast'!AA9*Assumptions!$F$13+'Sales Forecast'!Z9*Assumptions!$G$13+'Sales Forecast'!Y9*Assumptions!$H$13+'Sales Forecast'!X9*Assumptions!$I$13</f>
        <v/>
      </c>
      <c r="AE17" s="17">
        <f>'Sales Forecast'!AE9*Assumptions!$C$13+'Sales Forecast'!AD9*Assumptions!$D$13+'Sales Forecast'!AC9*Assumptions!$E$13+'Sales Forecast'!AB9*Assumptions!$F$13+'Sales Forecast'!AA9*Assumptions!$G$13+'Sales Forecast'!Z9*Assumptions!$H$13+'Sales Forecast'!Y9*Assumptions!$I$13</f>
        <v/>
      </c>
      <c r="AF17" s="17">
        <f>'Sales Forecast'!AF9*Assumptions!$C$13+'Sales Forecast'!AE9*Assumptions!$D$13+'Sales Forecast'!AD9*Assumptions!$E$13+'Sales Forecast'!AC9*Assumptions!$F$13+'Sales Forecast'!AB9*Assumptions!$G$13+'Sales Forecast'!AA9*Assumptions!$H$13+'Sales Forecast'!Z9*Assumptions!$I$13</f>
        <v/>
      </c>
      <c r="AG17" s="17">
        <f>'Sales Forecast'!AG9*Assumptions!$C$13+'Sales Forecast'!AF9*Assumptions!$D$13+'Sales Forecast'!AE9*Assumptions!$E$13+'Sales Forecast'!AD9*Assumptions!$F$13+'Sales Forecast'!AC9*Assumptions!$G$13+'Sales Forecast'!AB9*Assumptions!$H$13+'Sales Forecast'!AA9*Assumptions!$I$13</f>
        <v/>
      </c>
      <c r="AH17" s="17">
        <f>'Sales Forecast'!AH9*Assumptions!$C$13+'Sales Forecast'!AG9*Assumptions!$D$13+'Sales Forecast'!AF9*Assumptions!$E$13+'Sales Forecast'!AE9*Assumptions!$F$13+'Sales Forecast'!AD9*Assumptions!$G$13+'Sales Forecast'!AC9*Assumptions!$H$13+'Sales Forecast'!AB9*Assumptions!$I$13</f>
        <v/>
      </c>
      <c r="AI17" s="17">
        <f>'Sales Forecast'!AI9*Assumptions!$C$13+'Sales Forecast'!AH9*Assumptions!$D$13+'Sales Forecast'!AG9*Assumptions!$E$13+'Sales Forecast'!AF9*Assumptions!$F$13+'Sales Forecast'!AE9*Assumptions!$G$13+'Sales Forecast'!AD9*Assumptions!$H$13+'Sales Forecast'!AC9*Assumptions!$I$13</f>
        <v/>
      </c>
      <c r="AJ17" s="17">
        <f>'Sales Forecast'!AJ9*Assumptions!$C$13+'Sales Forecast'!AI9*Assumptions!$D$13+'Sales Forecast'!AH9*Assumptions!$E$13+'Sales Forecast'!AG9*Assumptions!$F$13+'Sales Forecast'!AF9*Assumptions!$G$13+'Sales Forecast'!AE9*Assumptions!$H$13+'Sales Forecast'!AD9*Assumptions!$I$13</f>
        <v/>
      </c>
      <c r="AK17" s="17">
        <f>'Sales Forecast'!AK9*Assumptions!$C$13+'Sales Forecast'!AJ9*Assumptions!$D$13+'Sales Forecast'!AI9*Assumptions!$E$13+'Sales Forecast'!AH9*Assumptions!$F$13+'Sales Forecast'!AG9*Assumptions!$G$13+'Sales Forecast'!AF9*Assumptions!$H$13+'Sales Forecast'!AE9*Assumptions!$I$13</f>
        <v/>
      </c>
      <c r="AL17" s="17">
        <f>'Sales Forecast'!AL9*Assumptions!$C$13+'Sales Forecast'!AK9*Assumptions!$D$13+'Sales Forecast'!AJ9*Assumptions!$E$13+'Sales Forecast'!AI9*Assumptions!$F$13+'Sales Forecast'!AH9*Assumptions!$G$13+'Sales Forecast'!AG9*Assumptions!$H$13+'Sales Forecast'!AF9*Assumptions!$I$13</f>
        <v/>
      </c>
      <c r="AM17" s="17">
        <f>'Sales Forecast'!AM9*Assumptions!$C$13+'Sales Forecast'!AL9*Assumptions!$D$13+'Sales Forecast'!AK9*Assumptions!$E$13+'Sales Forecast'!AJ9*Assumptions!$F$13+'Sales Forecast'!AI9*Assumptions!$G$13+'Sales Forecast'!AH9*Assumptions!$H$13+'Sales Forecast'!AG9*Assumptions!$I$13</f>
        <v/>
      </c>
      <c r="AN17" s="17">
        <f>'Sales Forecast'!AN9*Assumptions!$C$13+'Sales Forecast'!AM9*Assumptions!$D$13+'Sales Forecast'!AL9*Assumptions!$E$13+'Sales Forecast'!AK9*Assumptions!$F$13+'Sales Forecast'!AJ9*Assumptions!$G$13+'Sales Forecast'!AI9*Assumptions!$H$13+'Sales Forecast'!AH9*Assumptions!$I$13</f>
        <v/>
      </c>
      <c r="AO17" s="17">
        <f>'Sales Forecast'!AO9*Assumptions!$C$13+'Sales Forecast'!AN9*Assumptions!$D$13+'Sales Forecast'!AM9*Assumptions!$E$13+'Sales Forecast'!AL9*Assumptions!$F$13+'Sales Forecast'!AK9*Assumptions!$G$13+'Sales Forecast'!AJ9*Assumptions!$H$13+'Sales Forecast'!AI9*Assumptions!$I$13</f>
        <v/>
      </c>
      <c r="AP17" s="17">
        <f>'Sales Forecast'!AP9*Assumptions!$C$13+'Sales Forecast'!AO9*Assumptions!$D$13+'Sales Forecast'!AN9*Assumptions!$E$13+'Sales Forecast'!AM9*Assumptions!$F$13+'Sales Forecast'!AL9*Assumptions!$G$13+'Sales Forecast'!AK9*Assumptions!$H$13+'Sales Forecast'!AJ9*Assumptions!$I$13</f>
        <v/>
      </c>
      <c r="AQ17" s="17">
        <f>'Sales Forecast'!AQ9*Assumptions!$C$13+'Sales Forecast'!AP9*Assumptions!$D$13+'Sales Forecast'!AO9*Assumptions!$E$13+'Sales Forecast'!AN9*Assumptions!$F$13+'Sales Forecast'!AM9*Assumptions!$G$13+'Sales Forecast'!AL9*Assumptions!$H$13+'Sales Forecast'!AK9*Assumptions!$I$13</f>
        <v/>
      </c>
      <c r="AR17" s="17">
        <f>'Sales Forecast'!AR9*Assumptions!$C$13+'Sales Forecast'!AQ9*Assumptions!$D$13+'Sales Forecast'!AP9*Assumptions!$E$13+'Sales Forecast'!AO9*Assumptions!$F$13+'Sales Forecast'!AN9*Assumptions!$G$13+'Sales Forecast'!AM9*Assumptions!$H$13+'Sales Forecast'!AL9*Assumptions!$I$13</f>
        <v/>
      </c>
      <c r="AS17" s="17">
        <f>'Sales Forecast'!AS9*Assumptions!$C$13+'Sales Forecast'!AR9*Assumptions!$D$13+'Sales Forecast'!AQ9*Assumptions!$E$13+'Sales Forecast'!AP9*Assumptions!$F$13+'Sales Forecast'!AO9*Assumptions!$G$13+'Sales Forecast'!AN9*Assumptions!$H$13+'Sales Forecast'!AM9*Assumptions!$I$13</f>
        <v/>
      </c>
      <c r="AT17" s="17">
        <f>'Sales Forecast'!AT9*Assumptions!$C$13+'Sales Forecast'!AS9*Assumptions!$D$13+'Sales Forecast'!AR9*Assumptions!$E$13+'Sales Forecast'!AQ9*Assumptions!$F$13+'Sales Forecast'!AP9*Assumptions!$G$13+'Sales Forecast'!AO9*Assumptions!$H$13+'Sales Forecast'!AN9*Assumptions!$I$13</f>
        <v/>
      </c>
      <c r="AU17" s="17">
        <f>'Sales Forecast'!AU9*Assumptions!$C$13+'Sales Forecast'!AT9*Assumptions!$D$13+'Sales Forecast'!AS9*Assumptions!$E$13+'Sales Forecast'!AR9*Assumptions!$F$13+'Sales Forecast'!AQ9*Assumptions!$G$13+'Sales Forecast'!AP9*Assumptions!$H$13+'Sales Forecast'!AO9*Assumptions!$I$13</f>
        <v/>
      </c>
      <c r="AV17" s="17">
        <f>'Sales Forecast'!AV9*Assumptions!$C$13+'Sales Forecast'!AU9*Assumptions!$D$13+'Sales Forecast'!AT9*Assumptions!$E$13+'Sales Forecast'!AS9*Assumptions!$F$13+'Sales Forecast'!AR9*Assumptions!$G$13+'Sales Forecast'!AQ9*Assumptions!$H$13+'Sales Forecast'!AP9*Assumptions!$I$13</f>
        <v/>
      </c>
      <c r="AW17" s="17">
        <f>'Sales Forecast'!AW9*Assumptions!$C$13+'Sales Forecast'!AV9*Assumptions!$D$13+'Sales Forecast'!AU9*Assumptions!$E$13+'Sales Forecast'!AT9*Assumptions!$F$13+'Sales Forecast'!AS9*Assumptions!$G$13+'Sales Forecast'!AR9*Assumptions!$H$13+'Sales Forecast'!AQ9*Assumptions!$I$13</f>
        <v/>
      </c>
      <c r="AX17" s="17">
        <f>'Sales Forecast'!AX9*Assumptions!$C$13+'Sales Forecast'!AW9*Assumptions!$D$13+'Sales Forecast'!AV9*Assumptions!$E$13+'Sales Forecast'!AU9*Assumptions!$F$13+'Sales Forecast'!AT9*Assumptions!$G$13+'Sales Forecast'!AS9*Assumptions!$H$13+'Sales Forecast'!AR9*Assumptions!$I$13</f>
        <v/>
      </c>
      <c r="AY17" s="17">
        <f>'Sales Forecast'!AY9*Assumptions!$C$13+'Sales Forecast'!AX9*Assumptions!$D$13+'Sales Forecast'!AW9*Assumptions!$E$13+'Sales Forecast'!AV9*Assumptions!$F$13+'Sales Forecast'!AU9*Assumptions!$G$13+'Sales Forecast'!AT9*Assumptions!$H$13+'Sales Forecast'!AS9*Assumptions!$I$13</f>
        <v/>
      </c>
    </row>
    <row r="18">
      <c r="B18" s="33" t="inlineStr">
        <is>
          <t xml:space="preserve">  404000 Retail Sales</t>
        </is>
      </c>
      <c r="D18" s="19" t="n">
        <v>1876</v>
      </c>
      <c r="E18" s="19" t="n">
        <v>2143</v>
      </c>
      <c r="F18" s="19" t="n">
        <v>1703</v>
      </c>
      <c r="G18" s="19" t="n">
        <v>2050</v>
      </c>
      <c r="H18" s="19" t="n">
        <v>2044</v>
      </c>
      <c r="I18" s="19" t="n">
        <v>1890</v>
      </c>
      <c r="J18" s="19" t="n">
        <v>1336</v>
      </c>
      <c r="K18" s="19" t="n">
        <v>996</v>
      </c>
      <c r="L18" s="19" t="n">
        <v>1757</v>
      </c>
      <c r="M18" s="19" t="n">
        <v>1649</v>
      </c>
      <c r="N18" s="19" t="n">
        <v>1241</v>
      </c>
      <c r="O18" s="19" t="n">
        <v>2198</v>
      </c>
      <c r="P18" s="19" t="n">
        <v>1702</v>
      </c>
      <c r="Q18" s="19" t="n">
        <v>2203</v>
      </c>
      <c r="R18" s="19" t="n">
        <v>1426</v>
      </c>
      <c r="S18" s="19" t="n">
        <v>1250</v>
      </c>
      <c r="T18" s="84" t="n">
        <v>1403</v>
      </c>
      <c r="U18" s="20">
        <f>1645.25</f>
        <v/>
      </c>
      <c r="V18" s="20">
        <f>1645.25</f>
        <v/>
      </c>
      <c r="W18" s="20">
        <f>1645.25</f>
        <v/>
      </c>
      <c r="X18" s="20">
        <f>1645.25</f>
        <v/>
      </c>
      <c r="Y18" s="20">
        <f>1645.25</f>
        <v/>
      </c>
      <c r="Z18" s="20">
        <f>1645.25</f>
        <v/>
      </c>
      <c r="AA18" s="20">
        <f>1645.25</f>
        <v/>
      </c>
      <c r="AB18" s="20">
        <f>1645.25</f>
        <v/>
      </c>
      <c r="AC18" s="20">
        <f>1645.25</f>
        <v/>
      </c>
      <c r="AD18" s="20">
        <f>1645.25</f>
        <v/>
      </c>
      <c r="AE18" s="20">
        <f>1645.25</f>
        <v/>
      </c>
      <c r="AF18" s="20">
        <f>1645.25</f>
        <v/>
      </c>
      <c r="AG18" s="20">
        <f>1645.25</f>
        <v/>
      </c>
      <c r="AH18" s="20">
        <f>1645.25</f>
        <v/>
      </c>
      <c r="AI18" s="20">
        <f>1645.25</f>
        <v/>
      </c>
      <c r="AJ18" s="20">
        <f>1645.25</f>
        <v/>
      </c>
      <c r="AK18" s="20">
        <f>1645.25</f>
        <v/>
      </c>
      <c r="AL18" s="20">
        <f>1645.25</f>
        <v/>
      </c>
      <c r="AM18" s="20">
        <f>1645.25</f>
        <v/>
      </c>
      <c r="AN18" s="20">
        <f>1645.25</f>
        <v/>
      </c>
      <c r="AO18" s="20">
        <f>1645.25</f>
        <v/>
      </c>
      <c r="AP18" s="20">
        <f>1645.25</f>
        <v/>
      </c>
      <c r="AQ18" s="20">
        <f>1645.25</f>
        <v/>
      </c>
      <c r="AR18" s="20">
        <f>1645.25</f>
        <v/>
      </c>
      <c r="AS18" s="20">
        <f>1645.25</f>
        <v/>
      </c>
      <c r="AT18" s="20">
        <f>1645.25</f>
        <v/>
      </c>
      <c r="AU18" s="20">
        <f>1645.25</f>
        <v/>
      </c>
      <c r="AV18" s="20">
        <f>1645.25</f>
        <v/>
      </c>
      <c r="AW18" s="20">
        <f>1645.25</f>
        <v/>
      </c>
      <c r="AX18" s="20">
        <f>1645.25</f>
        <v/>
      </c>
      <c r="AY18" s="20">
        <f>1645.25</f>
        <v/>
      </c>
    </row>
    <row r="19">
      <c r="B19" s="33" t="inlineStr">
        <is>
          <t xml:space="preserve">  406000 Refunds</t>
        </is>
      </c>
      <c r="D19" s="19" t="n">
        <v>-3594</v>
      </c>
      <c r="E19" s="19" t="n">
        <v>-295</v>
      </c>
      <c r="F19" s="19" t="n">
        <v>-636</v>
      </c>
      <c r="G19" s="19" t="n">
        <v>-610</v>
      </c>
      <c r="H19" s="19" t="n">
        <v>-311.01</v>
      </c>
      <c r="I19" s="19" t="n">
        <v>-524</v>
      </c>
      <c r="J19" s="19" t="n">
        <v>-1346.01</v>
      </c>
      <c r="K19" s="19" t="n">
        <v>-1098.01</v>
      </c>
      <c r="L19" s="19" t="n">
        <v>-1554</v>
      </c>
      <c r="M19" s="19" t="n">
        <v>-885</v>
      </c>
      <c r="N19" s="19" t="n">
        <v>-1542</v>
      </c>
      <c r="O19" s="19" t="n">
        <v>-455</v>
      </c>
      <c r="P19" s="19" t="n">
        <v>1110</v>
      </c>
      <c r="Q19" s="19" t="n">
        <v>330</v>
      </c>
      <c r="R19" s="19" t="n">
        <v>450</v>
      </c>
      <c r="S19" s="19" t="n">
        <v>812</v>
      </c>
      <c r="T19" s="84" t="n">
        <v>424</v>
      </c>
      <c r="U19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Forecast'!P9*Assumptions!$H$13+1645.25)*Assumptions!$C$17</f>
        <v/>
      </c>
      <c r="V19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Forecast'!P9*Assumptions!$I$13+1645.25)*Assumptions!$C$17</f>
        <v/>
      </c>
      <c r="W19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Forecast'!Q9*Assumptions!$I$13+1645.25)*Assumptions!$C$17</f>
        <v/>
      </c>
      <c r="X19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Forecast'!R9*Assumptions!$I$13+1645.25)*Assumptions!$C$17</f>
        <v/>
      </c>
      <c r="Y19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Forecast'!S9*Assumptions!$I$13+1645.25)*Assumptions!$C$17</f>
        <v/>
      </c>
      <c r="Z19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Forecast'!T9*Assumptions!$I$13+1645.25)*Assumptions!$C$17</f>
        <v/>
      </c>
      <c r="AA19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Forecast'!U9*Assumptions!$I$13+1645.25)*Assumptions!$C$17</f>
        <v/>
      </c>
      <c r="AB19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Forecast'!V9*Assumptions!$I$13+1645.25)*Assumptions!$C$17</f>
        <v/>
      </c>
      <c r="AC19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Forecast'!W9*Assumptions!$I$13+1645.25)*Assumptions!$C$17</f>
        <v/>
      </c>
      <c r="AD19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Forecast'!X9*Assumptions!$I$13+1645.25)*Assumptions!$C$17</f>
        <v/>
      </c>
      <c r="AE19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Forecast'!Y9*Assumptions!$I$13+1645.25)*Assumptions!$C$17</f>
        <v/>
      </c>
      <c r="AF19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Forecast'!Z9*Assumptions!$I$13+1645.25)*Assumptions!$C$17</f>
        <v/>
      </c>
      <c r="AG19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Forecast'!AA9*Assumptions!$I$13+1645.25)*Assumptions!$C$17</f>
        <v/>
      </c>
      <c r="AH19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Forecast'!AB9*Assumptions!$I$13+1645.25)*Assumptions!$C$17</f>
        <v/>
      </c>
      <c r="AI19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Forecast'!AC9*Assumptions!$I$13+1645.25)*Assumptions!$C$17</f>
        <v/>
      </c>
      <c r="AJ19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Forecast'!AD9*Assumptions!$I$13+1645.25)*Assumptions!$C$17</f>
        <v/>
      </c>
      <c r="AK19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Forecast'!AE9*Assumptions!$I$13+1645.25)*Assumptions!$C$17</f>
        <v/>
      </c>
      <c r="AL19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Forecast'!AF9*Assumptions!$I$13+1645.25)*Assumptions!$C$17</f>
        <v/>
      </c>
      <c r="AM19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Forecast'!AG9*Assumptions!$I$13+1645.25)*Assumptions!$C$17</f>
        <v/>
      </c>
      <c r="AN19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Forecast'!AH9*Assumptions!$I$13+1645.25)*Assumptions!$C$17</f>
        <v/>
      </c>
      <c r="AO19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Forecast'!AI9*Assumptions!$I$13+1645.25)*Assumptions!$C$17</f>
        <v/>
      </c>
      <c r="AP19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Forecast'!AJ9*Assumptions!$I$13+1645.25)*Assumptions!$C$17</f>
        <v/>
      </c>
      <c r="AQ19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Forecast'!AK9*Assumptions!$I$13+1645.25)*Assumptions!$C$17</f>
        <v/>
      </c>
      <c r="AR19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Forecast'!AL9*Assumptions!$I$13+1645.25)*Assumptions!$C$17</f>
        <v/>
      </c>
      <c r="AS19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Forecast'!AM9*Assumptions!$I$13+1645.25)*Assumptions!$C$17</f>
        <v/>
      </c>
      <c r="AT19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Forecast'!AN9*Assumptions!$I$13+1645.25)*Assumptions!$C$17</f>
        <v/>
      </c>
      <c r="AU19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Forecast'!AO9*Assumptions!$I$13+1645.25)*Assumptions!$C$17</f>
        <v/>
      </c>
      <c r="AV19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Forecast'!AP9*Assumptions!$I$13+1645.25)*Assumptions!$C$17</f>
        <v/>
      </c>
      <c r="AW19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Forecast'!AQ9*Assumptions!$I$13+1645.25)*Assumptions!$C$17</f>
        <v/>
      </c>
      <c r="AX19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Forecast'!AR9*Assumptions!$I$13+1645.25)*Assumptions!$C$17</f>
        <v/>
      </c>
      <c r="AY19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Forecast'!AS9*Assumptions!$I$13+1645.25)*Assumptions!$C$17</f>
        <v/>
      </c>
    </row>
    <row r="20">
      <c r="B20" s="33" t="inlineStr">
        <is>
          <t xml:space="preserve">  407000 Discounts</t>
        </is>
      </c>
      <c r="D20" s="19" t="n">
        <v>-7484.26</v>
      </c>
      <c r="E20" s="19" t="n">
        <v>-5545.16</v>
      </c>
      <c r="F20" s="19" t="n">
        <v>-5798.36</v>
      </c>
      <c r="G20" s="19" t="n">
        <v>-8259.959999999999</v>
      </c>
      <c r="H20" s="19" t="n">
        <v>-7102.98</v>
      </c>
      <c r="I20" s="19" t="n">
        <v>-4693.92</v>
      </c>
      <c r="J20" s="19" t="n">
        <v>-4233.36</v>
      </c>
      <c r="K20" s="19" t="n">
        <v>-4134.52</v>
      </c>
      <c r="L20" s="19" t="n">
        <v>-3938.2</v>
      </c>
      <c r="M20" s="19" t="n">
        <v>-4537.16</v>
      </c>
      <c r="N20" s="19" t="n">
        <v>-4159.5</v>
      </c>
      <c r="O20" s="19" t="n">
        <v>-4227.44</v>
      </c>
      <c r="P20" s="19" t="n">
        <v>5418.12</v>
      </c>
      <c r="Q20" s="19" t="n">
        <v>4627.69</v>
      </c>
      <c r="R20" s="19" t="n">
        <v>3450.62</v>
      </c>
      <c r="S20" s="19" t="n">
        <v>1711.84</v>
      </c>
      <c r="T20" s="84" t="n">
        <v>2900.5</v>
      </c>
      <c r="U20" s="20">
        <f>('Sales Forecast'!U9*Assumptions!$C$12+'Sales Forecast'!T9*Assumptions!$D$12+'Sales Forecast'!S9*Assumptions!$E$12+'Sales Forecast'!R9*Assumptions!$F$12+'Sales Forecast'!Q9*Assumptions!$G$12+'Sales Forecast'!P9*Assumptions!$H$12+'Sales Forecast'!U9*Assumptions!$C$13+'Sales Forecast'!T9*Assumptions!$D$13+'Sales Forecast'!S9*Assumptions!$E$13+'Sales Forecast'!R9*Assumptions!$F$13+'Sales Forecast'!Q9*Assumptions!$G$13+'Sales Forecast'!P9*Assumptions!$H$13+1645.25)*Assumptions!$C$18</f>
        <v/>
      </c>
      <c r="V20" s="20">
        <f>('Sales Forecast'!V9*Assumptions!$C$12+'Sales Forecast'!U9*Assumptions!$D$12+'Sales Forecast'!T9*Assumptions!$E$12+'Sales Forecast'!S9*Assumptions!$F$12+'Sales Forecast'!R9*Assumptions!$G$12+'Sales Forecast'!Q9*Assumptions!$H$12+'Sales Forecast'!P9*Assumptions!$I$12+'Sales Forecast'!V9*Assumptions!$C$13+'Sales Forecast'!U9*Assumptions!$D$13+'Sales Forecast'!T9*Assumptions!$E$13+'Sales Forecast'!S9*Assumptions!$F$13+'Sales Forecast'!R9*Assumptions!$G$13+'Sales Forecast'!Q9*Assumptions!$H$13+'Sales Forecast'!P9*Assumptions!$I$13+1645.25)*Assumptions!$C$18</f>
        <v/>
      </c>
      <c r="W20" s="20">
        <f>('Sales Forecast'!W9*Assumptions!$C$12+'Sales Forecast'!V9*Assumptions!$D$12+'Sales Forecast'!U9*Assumptions!$E$12+'Sales Forecast'!T9*Assumptions!$F$12+'Sales Forecast'!S9*Assumptions!$G$12+'Sales Forecast'!R9*Assumptions!$H$12+'Sales Forecast'!Q9*Assumptions!$I$12+'Sales Forecast'!W9*Assumptions!$C$13+'Sales Forecast'!V9*Assumptions!$D$13+'Sales Forecast'!U9*Assumptions!$E$13+'Sales Forecast'!T9*Assumptions!$F$13+'Sales Forecast'!S9*Assumptions!$G$13+'Sales Forecast'!R9*Assumptions!$H$13+'Sales Forecast'!Q9*Assumptions!$I$13+1645.25)*Assumptions!$C$18</f>
        <v/>
      </c>
      <c r="X20" s="20">
        <f>('Sales Forecast'!X9*Assumptions!$C$12+'Sales Forecast'!W9*Assumptions!$D$12+'Sales Forecast'!V9*Assumptions!$E$12+'Sales Forecast'!U9*Assumptions!$F$12+'Sales Forecast'!T9*Assumptions!$G$12+'Sales Forecast'!S9*Assumptions!$H$12+'Sales Forecast'!R9*Assumptions!$I$12+'Sales Forecast'!X9*Assumptions!$C$13+'Sales Forecast'!W9*Assumptions!$D$13+'Sales Forecast'!V9*Assumptions!$E$13+'Sales Forecast'!U9*Assumptions!$F$13+'Sales Forecast'!T9*Assumptions!$G$13+'Sales Forecast'!S9*Assumptions!$H$13+'Sales Forecast'!R9*Assumptions!$I$13+1645.25)*Assumptions!$C$18</f>
        <v/>
      </c>
      <c r="Y20" s="20">
        <f>('Sales Forecast'!Y9*Assumptions!$C$12+'Sales Forecast'!X9*Assumptions!$D$12+'Sales Forecast'!W9*Assumptions!$E$12+'Sales Forecast'!V9*Assumptions!$F$12+'Sales Forecast'!U9*Assumptions!$G$12+'Sales Forecast'!T9*Assumptions!$H$12+'Sales Forecast'!S9*Assumptions!$I$12+'Sales Forecast'!Y9*Assumptions!$C$13+'Sales Forecast'!X9*Assumptions!$D$13+'Sales Forecast'!W9*Assumptions!$E$13+'Sales Forecast'!V9*Assumptions!$F$13+'Sales Forecast'!U9*Assumptions!$G$13+'Sales Forecast'!T9*Assumptions!$H$13+'Sales Forecast'!S9*Assumptions!$I$13+1645.25)*Assumptions!$C$18</f>
        <v/>
      </c>
      <c r="Z20" s="20">
        <f>('Sales Forecast'!Z9*Assumptions!$C$12+'Sales Forecast'!Y9*Assumptions!$D$12+'Sales Forecast'!X9*Assumptions!$E$12+'Sales Forecast'!W9*Assumptions!$F$12+'Sales Forecast'!V9*Assumptions!$G$12+'Sales Forecast'!U9*Assumptions!$H$12+'Sales Forecast'!T9*Assumptions!$I$12+'Sales Forecast'!Z9*Assumptions!$C$13+'Sales Forecast'!Y9*Assumptions!$D$13+'Sales Forecast'!X9*Assumptions!$E$13+'Sales Forecast'!W9*Assumptions!$F$13+'Sales Forecast'!V9*Assumptions!$G$13+'Sales Forecast'!U9*Assumptions!$H$13+'Sales Forecast'!T9*Assumptions!$I$13+1645.25)*Assumptions!$C$18</f>
        <v/>
      </c>
      <c r="AA20" s="20">
        <f>('Sales Forecast'!AA9*Assumptions!$C$12+'Sales Forecast'!Z9*Assumptions!$D$12+'Sales Forecast'!Y9*Assumptions!$E$12+'Sales Forecast'!X9*Assumptions!$F$12+'Sales Forecast'!W9*Assumptions!$G$12+'Sales Forecast'!V9*Assumptions!$H$12+'Sales Forecast'!U9*Assumptions!$I$12+'Sales Forecast'!AA9*Assumptions!$C$13+'Sales Forecast'!Z9*Assumptions!$D$13+'Sales Forecast'!Y9*Assumptions!$E$13+'Sales Forecast'!X9*Assumptions!$F$13+'Sales Forecast'!W9*Assumptions!$G$13+'Sales Forecast'!V9*Assumptions!$H$13+'Sales Forecast'!U9*Assumptions!$I$13+1645.25)*Assumptions!$C$18</f>
        <v/>
      </c>
      <c r="AB20" s="20">
        <f>('Sales Forecast'!AB9*Assumptions!$C$12+'Sales Forecast'!AA9*Assumptions!$D$12+'Sales Forecast'!Z9*Assumptions!$E$12+'Sales Forecast'!Y9*Assumptions!$F$12+'Sales Forecast'!X9*Assumptions!$G$12+'Sales Forecast'!W9*Assumptions!$H$12+'Sales Forecast'!V9*Assumptions!$I$12+'Sales Forecast'!AB9*Assumptions!$C$13+'Sales Forecast'!AA9*Assumptions!$D$13+'Sales Forecast'!Z9*Assumptions!$E$13+'Sales Forecast'!Y9*Assumptions!$F$13+'Sales Forecast'!X9*Assumptions!$G$13+'Sales Forecast'!W9*Assumptions!$H$13+'Sales Forecast'!V9*Assumptions!$I$13+1645.25)*Assumptions!$C$18</f>
        <v/>
      </c>
      <c r="AC20" s="20">
        <f>('Sales Forecast'!AC9*Assumptions!$C$12+'Sales Forecast'!AB9*Assumptions!$D$12+'Sales Forecast'!AA9*Assumptions!$E$12+'Sales Forecast'!Z9*Assumptions!$F$12+'Sales Forecast'!Y9*Assumptions!$G$12+'Sales Forecast'!X9*Assumptions!$H$12+'Sales Forecast'!W9*Assumptions!$I$12+'Sales Forecast'!AC9*Assumptions!$C$13+'Sales Forecast'!AB9*Assumptions!$D$13+'Sales Forecast'!AA9*Assumptions!$E$13+'Sales Forecast'!Z9*Assumptions!$F$13+'Sales Forecast'!Y9*Assumptions!$G$13+'Sales Forecast'!X9*Assumptions!$H$13+'Sales Forecast'!W9*Assumptions!$I$13+1645.25)*Assumptions!$C$18</f>
        <v/>
      </c>
      <c r="AD20" s="20">
        <f>('Sales Forecast'!AD9*Assumptions!$C$12+'Sales Forecast'!AC9*Assumptions!$D$12+'Sales Forecast'!AB9*Assumptions!$E$12+'Sales Forecast'!AA9*Assumptions!$F$12+'Sales Forecast'!Z9*Assumptions!$G$12+'Sales Forecast'!Y9*Assumptions!$H$12+'Sales Forecast'!X9*Assumptions!$I$12+'Sales Forecast'!AD9*Assumptions!$C$13+'Sales Forecast'!AC9*Assumptions!$D$13+'Sales Forecast'!AB9*Assumptions!$E$13+'Sales Forecast'!AA9*Assumptions!$F$13+'Sales Forecast'!Z9*Assumptions!$G$13+'Sales Forecast'!Y9*Assumptions!$H$13+'Sales Forecast'!X9*Assumptions!$I$13+1645.25)*Assumptions!$C$18</f>
        <v/>
      </c>
      <c r="AE20" s="20">
        <f>('Sales Forecast'!AE9*Assumptions!$C$12+'Sales Forecast'!AD9*Assumptions!$D$12+'Sales Forecast'!AC9*Assumptions!$E$12+'Sales Forecast'!AB9*Assumptions!$F$12+'Sales Forecast'!AA9*Assumptions!$G$12+'Sales Forecast'!Z9*Assumptions!$H$12+'Sales Forecast'!Y9*Assumptions!$I$12+'Sales Forecast'!AE9*Assumptions!$C$13+'Sales Forecast'!AD9*Assumptions!$D$13+'Sales Forecast'!AC9*Assumptions!$E$13+'Sales Forecast'!AB9*Assumptions!$F$13+'Sales Forecast'!AA9*Assumptions!$G$13+'Sales Forecast'!Z9*Assumptions!$H$13+'Sales Forecast'!Y9*Assumptions!$I$13+1645.25)*Assumptions!$C$18</f>
        <v/>
      </c>
      <c r="AF20" s="20">
        <f>('Sales Forecast'!AF9*Assumptions!$C$12+'Sales Forecast'!AE9*Assumptions!$D$12+'Sales Forecast'!AD9*Assumptions!$E$12+'Sales Forecast'!AC9*Assumptions!$F$12+'Sales Forecast'!AB9*Assumptions!$G$12+'Sales Forecast'!AA9*Assumptions!$H$12+'Sales Forecast'!Z9*Assumptions!$I$12+'Sales Forecast'!AF9*Assumptions!$C$13+'Sales Forecast'!AE9*Assumptions!$D$13+'Sales Forecast'!AD9*Assumptions!$E$13+'Sales Forecast'!AC9*Assumptions!$F$13+'Sales Forecast'!AB9*Assumptions!$G$13+'Sales Forecast'!AA9*Assumptions!$H$13+'Sales Forecast'!Z9*Assumptions!$I$13+1645.25)*Assumptions!$C$18</f>
        <v/>
      </c>
      <c r="AG20" s="20">
        <f>('Sales Forecast'!AG9*Assumptions!$C$12+'Sales Forecast'!AF9*Assumptions!$D$12+'Sales Forecast'!AE9*Assumptions!$E$12+'Sales Forecast'!AD9*Assumptions!$F$12+'Sales Forecast'!AC9*Assumptions!$G$12+'Sales Forecast'!AB9*Assumptions!$H$12+'Sales Forecast'!AA9*Assumptions!$I$12+'Sales Forecast'!AG9*Assumptions!$C$13+'Sales Forecast'!AF9*Assumptions!$D$13+'Sales Forecast'!AE9*Assumptions!$E$13+'Sales Forecast'!AD9*Assumptions!$F$13+'Sales Forecast'!AC9*Assumptions!$G$13+'Sales Forecast'!AB9*Assumptions!$H$13+'Sales Forecast'!AA9*Assumptions!$I$13+1645.25)*Assumptions!$C$18</f>
        <v/>
      </c>
      <c r="AH20" s="20">
        <f>('Sales Forecast'!AH9*Assumptions!$C$12+'Sales Forecast'!AG9*Assumptions!$D$12+'Sales Forecast'!AF9*Assumptions!$E$12+'Sales Forecast'!AE9*Assumptions!$F$12+'Sales Forecast'!AD9*Assumptions!$G$12+'Sales Forecast'!AC9*Assumptions!$H$12+'Sales Forecast'!AB9*Assumptions!$I$12+'Sales Forecast'!AH9*Assumptions!$C$13+'Sales Forecast'!AG9*Assumptions!$D$13+'Sales Forecast'!AF9*Assumptions!$E$13+'Sales Forecast'!AE9*Assumptions!$F$13+'Sales Forecast'!AD9*Assumptions!$G$13+'Sales Forecast'!AC9*Assumptions!$H$13+'Sales Forecast'!AB9*Assumptions!$I$13+1645.25)*Assumptions!$C$18</f>
        <v/>
      </c>
      <c r="AI20" s="20">
        <f>('Sales Forecast'!AI9*Assumptions!$C$12+'Sales Forecast'!AH9*Assumptions!$D$12+'Sales Forecast'!AG9*Assumptions!$E$12+'Sales Forecast'!AF9*Assumptions!$F$12+'Sales Forecast'!AE9*Assumptions!$G$12+'Sales Forecast'!AD9*Assumptions!$H$12+'Sales Forecast'!AC9*Assumptions!$I$12+'Sales Forecast'!AI9*Assumptions!$C$13+'Sales Forecast'!AH9*Assumptions!$D$13+'Sales Forecast'!AG9*Assumptions!$E$13+'Sales Forecast'!AF9*Assumptions!$F$13+'Sales Forecast'!AE9*Assumptions!$G$13+'Sales Forecast'!AD9*Assumptions!$H$13+'Sales Forecast'!AC9*Assumptions!$I$13+1645.25)*Assumptions!$C$18</f>
        <v/>
      </c>
      <c r="AJ20" s="20">
        <f>('Sales Forecast'!AJ9*Assumptions!$C$12+'Sales Forecast'!AI9*Assumptions!$D$12+'Sales Forecast'!AH9*Assumptions!$E$12+'Sales Forecast'!AG9*Assumptions!$F$12+'Sales Forecast'!AF9*Assumptions!$G$12+'Sales Forecast'!AE9*Assumptions!$H$12+'Sales Forecast'!AD9*Assumptions!$I$12+'Sales Forecast'!AJ9*Assumptions!$C$13+'Sales Forecast'!AI9*Assumptions!$D$13+'Sales Forecast'!AH9*Assumptions!$E$13+'Sales Forecast'!AG9*Assumptions!$F$13+'Sales Forecast'!AF9*Assumptions!$G$13+'Sales Forecast'!AE9*Assumptions!$H$13+'Sales Forecast'!AD9*Assumptions!$I$13+1645.25)*Assumptions!$C$18</f>
        <v/>
      </c>
      <c r="AK20" s="20">
        <f>('Sales Forecast'!AK9*Assumptions!$C$12+'Sales Forecast'!AJ9*Assumptions!$D$12+'Sales Forecast'!AI9*Assumptions!$E$12+'Sales Forecast'!AH9*Assumptions!$F$12+'Sales Forecast'!AG9*Assumptions!$G$12+'Sales Forecast'!AF9*Assumptions!$H$12+'Sales Forecast'!AE9*Assumptions!$I$12+'Sales Forecast'!AK9*Assumptions!$C$13+'Sales Forecast'!AJ9*Assumptions!$D$13+'Sales Forecast'!AI9*Assumptions!$E$13+'Sales Forecast'!AH9*Assumptions!$F$13+'Sales Forecast'!AG9*Assumptions!$G$13+'Sales Forecast'!AF9*Assumptions!$H$13+'Sales Forecast'!AE9*Assumptions!$I$13+1645.25)*Assumptions!$C$18</f>
        <v/>
      </c>
      <c r="AL20" s="20">
        <f>('Sales Forecast'!AL9*Assumptions!$C$12+'Sales Forecast'!AK9*Assumptions!$D$12+'Sales Forecast'!AJ9*Assumptions!$E$12+'Sales Forecast'!AI9*Assumptions!$F$12+'Sales Forecast'!AH9*Assumptions!$G$12+'Sales Forecast'!AG9*Assumptions!$H$12+'Sales Forecast'!AF9*Assumptions!$I$12+'Sales Forecast'!AL9*Assumptions!$C$13+'Sales Forecast'!AK9*Assumptions!$D$13+'Sales Forecast'!AJ9*Assumptions!$E$13+'Sales Forecast'!AI9*Assumptions!$F$13+'Sales Forecast'!AH9*Assumptions!$G$13+'Sales Forecast'!AG9*Assumptions!$H$13+'Sales Forecast'!AF9*Assumptions!$I$13+1645.25)*Assumptions!$C$18</f>
        <v/>
      </c>
      <c r="AM20" s="20">
        <f>('Sales Forecast'!AM9*Assumptions!$C$12+'Sales Forecast'!AL9*Assumptions!$D$12+'Sales Forecast'!AK9*Assumptions!$E$12+'Sales Forecast'!AJ9*Assumptions!$F$12+'Sales Forecast'!AI9*Assumptions!$G$12+'Sales Forecast'!AH9*Assumptions!$H$12+'Sales Forecast'!AG9*Assumptions!$I$12+'Sales Forecast'!AM9*Assumptions!$C$13+'Sales Forecast'!AL9*Assumptions!$D$13+'Sales Forecast'!AK9*Assumptions!$E$13+'Sales Forecast'!AJ9*Assumptions!$F$13+'Sales Forecast'!AI9*Assumptions!$G$13+'Sales Forecast'!AH9*Assumptions!$H$13+'Sales Forecast'!AG9*Assumptions!$I$13+1645.25)*Assumptions!$C$18</f>
        <v/>
      </c>
      <c r="AN20" s="20">
        <f>('Sales Forecast'!AN9*Assumptions!$C$12+'Sales Forecast'!AM9*Assumptions!$D$12+'Sales Forecast'!AL9*Assumptions!$E$12+'Sales Forecast'!AK9*Assumptions!$F$12+'Sales Forecast'!AJ9*Assumptions!$G$12+'Sales Forecast'!AI9*Assumptions!$H$12+'Sales Forecast'!AH9*Assumptions!$I$12+'Sales Forecast'!AN9*Assumptions!$C$13+'Sales Forecast'!AM9*Assumptions!$D$13+'Sales Forecast'!AL9*Assumptions!$E$13+'Sales Forecast'!AK9*Assumptions!$F$13+'Sales Forecast'!AJ9*Assumptions!$G$13+'Sales Forecast'!AI9*Assumptions!$H$13+'Sales Forecast'!AH9*Assumptions!$I$13+1645.25)*Assumptions!$C$18</f>
        <v/>
      </c>
      <c r="AO20" s="20">
        <f>('Sales Forecast'!AO9*Assumptions!$C$12+'Sales Forecast'!AN9*Assumptions!$D$12+'Sales Forecast'!AM9*Assumptions!$E$12+'Sales Forecast'!AL9*Assumptions!$F$12+'Sales Forecast'!AK9*Assumptions!$G$12+'Sales Forecast'!AJ9*Assumptions!$H$12+'Sales Forecast'!AI9*Assumptions!$I$12+'Sales Forecast'!AO9*Assumptions!$C$13+'Sales Forecast'!AN9*Assumptions!$D$13+'Sales Forecast'!AM9*Assumptions!$E$13+'Sales Forecast'!AL9*Assumptions!$F$13+'Sales Forecast'!AK9*Assumptions!$G$13+'Sales Forecast'!AJ9*Assumptions!$H$13+'Sales Forecast'!AI9*Assumptions!$I$13+1645.25)*Assumptions!$C$18</f>
        <v/>
      </c>
      <c r="AP20" s="20">
        <f>('Sales Forecast'!AP9*Assumptions!$C$12+'Sales Forecast'!AO9*Assumptions!$D$12+'Sales Forecast'!AN9*Assumptions!$E$12+'Sales Forecast'!AM9*Assumptions!$F$12+'Sales Forecast'!AL9*Assumptions!$G$12+'Sales Forecast'!AK9*Assumptions!$H$12+'Sales Forecast'!AJ9*Assumptions!$I$12+'Sales Forecast'!AP9*Assumptions!$C$13+'Sales Forecast'!AO9*Assumptions!$D$13+'Sales Forecast'!AN9*Assumptions!$E$13+'Sales Forecast'!AM9*Assumptions!$F$13+'Sales Forecast'!AL9*Assumptions!$G$13+'Sales Forecast'!AK9*Assumptions!$H$13+'Sales Forecast'!AJ9*Assumptions!$I$13+1645.25)*Assumptions!$C$18</f>
        <v/>
      </c>
      <c r="AQ20" s="20">
        <f>('Sales Forecast'!AQ9*Assumptions!$C$12+'Sales Forecast'!AP9*Assumptions!$D$12+'Sales Forecast'!AO9*Assumptions!$E$12+'Sales Forecast'!AN9*Assumptions!$F$12+'Sales Forecast'!AM9*Assumptions!$G$12+'Sales Forecast'!AL9*Assumptions!$H$12+'Sales Forecast'!AK9*Assumptions!$I$12+'Sales Forecast'!AQ9*Assumptions!$C$13+'Sales Forecast'!AP9*Assumptions!$D$13+'Sales Forecast'!AO9*Assumptions!$E$13+'Sales Forecast'!AN9*Assumptions!$F$13+'Sales Forecast'!AM9*Assumptions!$G$13+'Sales Forecast'!AL9*Assumptions!$H$13+'Sales Forecast'!AK9*Assumptions!$I$13+1645.25)*Assumptions!$C$18</f>
        <v/>
      </c>
      <c r="AR20" s="20">
        <f>('Sales Forecast'!AR9*Assumptions!$C$12+'Sales Forecast'!AQ9*Assumptions!$D$12+'Sales Forecast'!AP9*Assumptions!$E$12+'Sales Forecast'!AO9*Assumptions!$F$12+'Sales Forecast'!AN9*Assumptions!$G$12+'Sales Forecast'!AM9*Assumptions!$H$12+'Sales Forecast'!AL9*Assumptions!$I$12+'Sales Forecast'!AR9*Assumptions!$C$13+'Sales Forecast'!AQ9*Assumptions!$D$13+'Sales Forecast'!AP9*Assumptions!$E$13+'Sales Forecast'!AO9*Assumptions!$F$13+'Sales Forecast'!AN9*Assumptions!$G$13+'Sales Forecast'!AM9*Assumptions!$H$13+'Sales Forecast'!AL9*Assumptions!$I$13+1645.25)*Assumptions!$C$18</f>
        <v/>
      </c>
      <c r="AS20" s="20">
        <f>('Sales Forecast'!AS9*Assumptions!$C$12+'Sales Forecast'!AR9*Assumptions!$D$12+'Sales Forecast'!AQ9*Assumptions!$E$12+'Sales Forecast'!AP9*Assumptions!$F$12+'Sales Forecast'!AO9*Assumptions!$G$12+'Sales Forecast'!AN9*Assumptions!$H$12+'Sales Forecast'!AM9*Assumptions!$I$12+'Sales Forecast'!AS9*Assumptions!$C$13+'Sales Forecast'!AR9*Assumptions!$D$13+'Sales Forecast'!AQ9*Assumptions!$E$13+'Sales Forecast'!AP9*Assumptions!$F$13+'Sales Forecast'!AO9*Assumptions!$G$13+'Sales Forecast'!AN9*Assumptions!$H$13+'Sales Forecast'!AM9*Assumptions!$I$13+1645.25)*Assumptions!$C$18</f>
        <v/>
      </c>
      <c r="AT20" s="20">
        <f>('Sales Forecast'!AT9*Assumptions!$C$12+'Sales Forecast'!AS9*Assumptions!$D$12+'Sales Forecast'!AR9*Assumptions!$E$12+'Sales Forecast'!AQ9*Assumptions!$F$12+'Sales Forecast'!AP9*Assumptions!$G$12+'Sales Forecast'!AO9*Assumptions!$H$12+'Sales Forecast'!AN9*Assumptions!$I$12+'Sales Forecast'!AT9*Assumptions!$C$13+'Sales Forecast'!AS9*Assumptions!$D$13+'Sales Forecast'!AR9*Assumptions!$E$13+'Sales Forecast'!AQ9*Assumptions!$F$13+'Sales Forecast'!AP9*Assumptions!$G$13+'Sales Forecast'!AO9*Assumptions!$H$13+'Sales Forecast'!AN9*Assumptions!$I$13+1645.25)*Assumptions!$C$18</f>
        <v/>
      </c>
      <c r="AU20" s="20">
        <f>('Sales Forecast'!AU9*Assumptions!$C$12+'Sales Forecast'!AT9*Assumptions!$D$12+'Sales Forecast'!AS9*Assumptions!$E$12+'Sales Forecast'!AR9*Assumptions!$F$12+'Sales Forecast'!AQ9*Assumptions!$G$12+'Sales Forecast'!AP9*Assumptions!$H$12+'Sales Forecast'!AO9*Assumptions!$I$12+'Sales Forecast'!AU9*Assumptions!$C$13+'Sales Forecast'!AT9*Assumptions!$D$13+'Sales Forecast'!AS9*Assumptions!$E$13+'Sales Forecast'!AR9*Assumptions!$F$13+'Sales Forecast'!AQ9*Assumptions!$G$13+'Sales Forecast'!AP9*Assumptions!$H$13+'Sales Forecast'!AO9*Assumptions!$I$13+1645.25)*Assumptions!$C$18</f>
        <v/>
      </c>
      <c r="AV20" s="20">
        <f>('Sales Forecast'!AV9*Assumptions!$C$12+'Sales Forecast'!AU9*Assumptions!$D$12+'Sales Forecast'!AT9*Assumptions!$E$12+'Sales Forecast'!AS9*Assumptions!$F$12+'Sales Forecast'!AR9*Assumptions!$G$12+'Sales Forecast'!AQ9*Assumptions!$H$12+'Sales Forecast'!AP9*Assumptions!$I$12+'Sales Forecast'!AV9*Assumptions!$C$13+'Sales Forecast'!AU9*Assumptions!$D$13+'Sales Forecast'!AT9*Assumptions!$E$13+'Sales Forecast'!AS9*Assumptions!$F$13+'Sales Forecast'!AR9*Assumptions!$G$13+'Sales Forecast'!AQ9*Assumptions!$H$13+'Sales Forecast'!AP9*Assumptions!$I$13+1645.25)*Assumptions!$C$18</f>
        <v/>
      </c>
      <c r="AW20" s="20">
        <f>('Sales Forecast'!AW9*Assumptions!$C$12+'Sales Forecast'!AV9*Assumptions!$D$12+'Sales Forecast'!AU9*Assumptions!$E$12+'Sales Forecast'!AT9*Assumptions!$F$12+'Sales Forecast'!AS9*Assumptions!$G$12+'Sales Forecast'!AR9*Assumptions!$H$12+'Sales Forecast'!AQ9*Assumptions!$I$12+'Sales Forecast'!AW9*Assumptions!$C$13+'Sales Forecast'!AV9*Assumptions!$D$13+'Sales Forecast'!AU9*Assumptions!$E$13+'Sales Forecast'!AT9*Assumptions!$F$13+'Sales Forecast'!AS9*Assumptions!$G$13+'Sales Forecast'!AR9*Assumptions!$H$13+'Sales Forecast'!AQ9*Assumptions!$I$13+1645.25)*Assumptions!$C$18</f>
        <v/>
      </c>
      <c r="AX20" s="20">
        <f>('Sales Forecast'!AX9*Assumptions!$C$12+'Sales Forecast'!AW9*Assumptions!$D$12+'Sales Forecast'!AV9*Assumptions!$E$12+'Sales Forecast'!AU9*Assumptions!$F$12+'Sales Forecast'!AT9*Assumptions!$G$12+'Sales Forecast'!AS9*Assumptions!$H$12+'Sales Forecast'!AR9*Assumptions!$I$12+'Sales Forecast'!AX9*Assumptions!$C$13+'Sales Forecast'!AW9*Assumptions!$D$13+'Sales Forecast'!AV9*Assumptions!$E$13+'Sales Forecast'!AU9*Assumptions!$F$13+'Sales Forecast'!AT9*Assumptions!$G$13+'Sales Forecast'!AS9*Assumptions!$H$13+'Sales Forecast'!AR9*Assumptions!$I$13+1645.25)*Assumptions!$C$18</f>
        <v/>
      </c>
      <c r="AY20" s="20">
        <f>('Sales Forecast'!AY9*Assumptions!$C$12+'Sales Forecast'!AX9*Assumptions!$D$12+'Sales Forecast'!AW9*Assumptions!$E$12+'Sales Forecast'!AV9*Assumptions!$F$12+'Sales Forecast'!AU9*Assumptions!$G$12+'Sales Forecast'!AT9*Assumptions!$H$12+'Sales Forecast'!AS9*Assumptions!$I$12+'Sales Forecast'!AY9*Assumptions!$C$13+'Sales Forecast'!AX9*Assumptions!$D$13+'Sales Forecast'!AW9*Assumptions!$E$13+'Sales Forecast'!AV9*Assumptions!$F$13+'Sales Forecast'!AU9*Assumptions!$G$13+'Sales Forecast'!AT9*Assumptions!$H$13+'Sales Forecast'!AS9*Assumptions!$I$13+1645.25)*Assumptions!$C$18</f>
        <v/>
      </c>
    </row>
    <row r="21">
      <c r="B21" s="32" t="inlineStr">
        <is>
          <t>TOTAL REVENUE</t>
        </is>
      </c>
      <c r="C21" s="34" t="n"/>
      <c r="D21" s="35" t="n">
        <v>84917.64</v>
      </c>
      <c r="E21" s="35" t="n">
        <v>87714.89</v>
      </c>
      <c r="F21" s="35" t="n">
        <v>95273.07000000001</v>
      </c>
      <c r="G21" s="35" t="n">
        <v>83842.64999999999</v>
      </c>
      <c r="H21" s="35" t="n">
        <v>102916.12</v>
      </c>
      <c r="I21" s="35" t="n">
        <v>90516.06</v>
      </c>
      <c r="J21" s="35" t="n">
        <v>81871.39999999999</v>
      </c>
      <c r="K21" s="35" t="n">
        <v>86069.17000000001</v>
      </c>
      <c r="L21" s="35" t="n">
        <v>86278.31</v>
      </c>
      <c r="M21" s="35" t="n">
        <v>82816.69</v>
      </c>
      <c r="N21" s="35" t="n">
        <v>88360.34</v>
      </c>
      <c r="O21" s="35" t="n">
        <v>97868.23</v>
      </c>
      <c r="P21" s="35" t="n">
        <v>100772.69</v>
      </c>
      <c r="Q21" s="35" t="n">
        <v>90426.73999999999</v>
      </c>
      <c r="R21" s="35" t="n">
        <v>92102.12</v>
      </c>
      <c r="S21" s="35" t="n">
        <v>85355.86</v>
      </c>
      <c r="T21" s="85" t="n">
        <v>88747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868</v>
      </c>
      <c r="E23" s="19" t="n">
        <v>1006</v>
      </c>
      <c r="F23" s="19" t="n">
        <v>757.5</v>
      </c>
      <c r="G23" s="19" t="n">
        <v>988.5</v>
      </c>
      <c r="H23" s="19" t="n">
        <v>943</v>
      </c>
      <c r="I23" s="19" t="n">
        <v>786</v>
      </c>
      <c r="J23" s="19" t="n">
        <v>652</v>
      </c>
      <c r="K23" s="19" t="n">
        <v>494.6</v>
      </c>
      <c r="L23" s="19" t="n">
        <v>779.85</v>
      </c>
      <c r="M23" s="19" t="n">
        <v>813.6</v>
      </c>
      <c r="N23" s="19" t="n">
        <v>612.35</v>
      </c>
      <c r="O23" s="19" t="n">
        <v>1083.1</v>
      </c>
      <c r="P23" s="19" t="n">
        <v>835</v>
      </c>
      <c r="Q23" s="19" t="n">
        <v>1074.6</v>
      </c>
      <c r="R23" s="19" t="n">
        <v>705.1</v>
      </c>
      <c r="S23" s="19" t="n">
        <v>624.5</v>
      </c>
      <c r="T23" s="84" t="n">
        <v>598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2780.1</v>
      </c>
      <c r="E24" s="19" t="n">
        <v>2587.14</v>
      </c>
      <c r="F24" s="19" t="n">
        <v>2646.78</v>
      </c>
      <c r="G24" s="19" t="n">
        <v>3783.05</v>
      </c>
      <c r="H24" s="19" t="n">
        <v>2303.02</v>
      </c>
      <c r="I24" s="19" t="n">
        <v>2415.42</v>
      </c>
      <c r="J24" s="19" t="n">
        <v>2043.91</v>
      </c>
      <c r="K24" s="19" t="n">
        <v>2963.76</v>
      </c>
      <c r="L24" s="19" t="n">
        <v>1918.86</v>
      </c>
      <c r="M24" s="19" t="n">
        <v>2196.94</v>
      </c>
      <c r="N24" s="19" t="n">
        <v>2544.83</v>
      </c>
      <c r="O24" s="19" t="n">
        <v>2269.22</v>
      </c>
      <c r="P24" s="19" t="n">
        <v>2579.82</v>
      </c>
      <c r="Q24" s="19" t="n">
        <v>3530.53</v>
      </c>
      <c r="R24" s="19" t="n">
        <v>2373.25</v>
      </c>
      <c r="S24" s="19" t="n">
        <v>2899.72</v>
      </c>
      <c r="T24" s="84" t="n">
        <v>1998.34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3648.1</v>
      </c>
      <c r="E25" s="35" t="n">
        <v>3593.14</v>
      </c>
      <c r="F25" s="35" t="n">
        <v>3404.28</v>
      </c>
      <c r="G25" s="35" t="n">
        <v>4771.55</v>
      </c>
      <c r="H25" s="35" t="n">
        <v>3246.02</v>
      </c>
      <c r="I25" s="35" t="n">
        <v>3201.42</v>
      </c>
      <c r="J25" s="35" t="n">
        <v>2695.91</v>
      </c>
      <c r="K25" s="35" t="n">
        <v>3458.36</v>
      </c>
      <c r="L25" s="35" t="n">
        <v>2698.71</v>
      </c>
      <c r="M25" s="35" t="n">
        <v>3010.54</v>
      </c>
      <c r="N25" s="35" t="n">
        <v>3157.18</v>
      </c>
      <c r="O25" s="35" t="n">
        <v>5675.209999999999</v>
      </c>
      <c r="P25" s="35" t="n">
        <v>3414.82</v>
      </c>
      <c r="Q25" s="35" t="n">
        <v>4605.13</v>
      </c>
      <c r="R25" s="35" t="n">
        <v>3078.35</v>
      </c>
      <c r="S25" s="35" t="n">
        <v>3524.22</v>
      </c>
      <c r="T25" s="85" t="n">
        <v>2596.34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81269.53999999999</v>
      </c>
      <c r="E26" s="35" t="n">
        <v>84121.75</v>
      </c>
      <c r="F26" s="35" t="n">
        <v>91868.78999999999</v>
      </c>
      <c r="G26" s="35" t="n">
        <v>79071.09999999999</v>
      </c>
      <c r="H26" s="35" t="n">
        <v>99670.10000000001</v>
      </c>
      <c r="I26" s="35" t="n">
        <v>87314.64</v>
      </c>
      <c r="J26" s="35" t="n">
        <v>79175.48999999999</v>
      </c>
      <c r="K26" s="35" t="n">
        <v>82610.81000000001</v>
      </c>
      <c r="L26" s="35" t="n">
        <v>83579.59999999999</v>
      </c>
      <c r="M26" s="35" t="n">
        <v>79806.15000000001</v>
      </c>
      <c r="N26" s="35" t="n">
        <v>85203.16</v>
      </c>
      <c r="O26" s="35" t="n">
        <v>92193.02000000002</v>
      </c>
      <c r="P26" s="35" t="n">
        <v>97357.87</v>
      </c>
      <c r="Q26" s="35" t="n">
        <v>85821.60999999999</v>
      </c>
      <c r="R26" s="35" t="n">
        <v>89023.76999999999</v>
      </c>
      <c r="S26" s="35" t="n">
        <v>81831.64</v>
      </c>
      <c r="T26" s="85" t="n">
        <v>86150.66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779.53</v>
      </c>
      <c r="I28" s="19" t="n">
        <v>5394.25</v>
      </c>
      <c r="J28" s="19" t="n">
        <v>2830.72</v>
      </c>
      <c r="K28" s="19" t="n">
        <v>3687.29</v>
      </c>
      <c r="L28" s="19" t="n">
        <v>2385.33</v>
      </c>
      <c r="M28" s="19" t="n">
        <v>2405.57</v>
      </c>
      <c r="N28" s="19" t="n">
        <v>3314.58</v>
      </c>
      <c r="O28" s="19" t="n">
        <v>1940.91</v>
      </c>
      <c r="P28" s="19" t="n">
        <v>1659.29</v>
      </c>
      <c r="Q28" s="19" t="n">
        <v>451.8</v>
      </c>
      <c r="R28" s="19" t="n">
        <v>0</v>
      </c>
      <c r="S28" s="19" t="n">
        <v>0</v>
      </c>
      <c r="T28" s="84" t="n">
        <v>0</v>
      </c>
      <c r="U28" s="20" t="n">
        <v>196.71</v>
      </c>
      <c r="V28" s="20" t="n">
        <v>196.71</v>
      </c>
      <c r="W28" s="20" t="n">
        <v>196.71</v>
      </c>
      <c r="X28" s="20" t="n">
        <v>196.71</v>
      </c>
      <c r="Y28" s="20" t="n">
        <v>196.71</v>
      </c>
      <c r="Z28" s="20" t="n">
        <v>196.71</v>
      </c>
      <c r="AA28" s="20" t="n">
        <v>196.71</v>
      </c>
      <c r="AB28" s="20" t="n">
        <v>196.71</v>
      </c>
      <c r="AC28" s="20" t="n">
        <v>196.71</v>
      </c>
      <c r="AD28" s="20" t="n">
        <v>196.71</v>
      </c>
      <c r="AE28" s="20" t="n">
        <v>196.71</v>
      </c>
      <c r="AF28" s="20" t="n">
        <v>196.71</v>
      </c>
      <c r="AG28" s="20" t="n">
        <v>196.71</v>
      </c>
      <c r="AH28" s="20" t="n">
        <v>196.71</v>
      </c>
      <c r="AI28" s="20" t="n">
        <v>196.71</v>
      </c>
      <c r="AJ28" s="20" t="n">
        <v>196.71</v>
      </c>
      <c r="AK28" s="20" t="n">
        <v>196.71</v>
      </c>
      <c r="AL28" s="20" t="n">
        <v>196.71</v>
      </c>
      <c r="AM28" s="20" t="n">
        <v>196.71</v>
      </c>
      <c r="AN28" s="20" t="n">
        <v>196.71</v>
      </c>
      <c r="AO28" s="20" t="n">
        <v>196.71</v>
      </c>
      <c r="AP28" s="20" t="n">
        <v>196.71</v>
      </c>
      <c r="AQ28" s="20" t="n">
        <v>196.71</v>
      </c>
      <c r="AR28" s="20" t="n">
        <v>196.71</v>
      </c>
      <c r="AS28" s="20" t="n">
        <v>196.71</v>
      </c>
      <c r="AT28" s="20" t="n">
        <v>196.71</v>
      </c>
      <c r="AU28" s="20" t="n">
        <v>196.71</v>
      </c>
      <c r="AV28" s="20" t="n">
        <v>196.71</v>
      </c>
      <c r="AW28" s="20" t="n">
        <v>196.71</v>
      </c>
      <c r="AX28" s="20" t="n">
        <v>196.71</v>
      </c>
      <c r="AY28" s="20" t="n">
        <v>196.71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107.64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3000</v>
      </c>
      <c r="O30" s="19" t="n">
        <v>1778.77</v>
      </c>
      <c r="P30" s="19" t="n">
        <v>1545</v>
      </c>
      <c r="Q30" s="19" t="n">
        <v>1545</v>
      </c>
      <c r="R30" s="19" t="n">
        <v>1545</v>
      </c>
      <c r="S30" s="19" t="n">
        <v>1500</v>
      </c>
      <c r="T30" s="84" t="n">
        <v>1545</v>
      </c>
      <c r="U30" s="20" t="n">
        <v>571.67</v>
      </c>
      <c r="V30" s="20" t="n">
        <v>571.67</v>
      </c>
      <c r="W30" s="20" t="n">
        <v>571.67</v>
      </c>
      <c r="X30" s="20" t="n">
        <v>571.67</v>
      </c>
      <c r="Y30" s="20" t="n">
        <v>571.67</v>
      </c>
      <c r="Z30" s="20" t="n">
        <v>571.67</v>
      </c>
      <c r="AA30" s="20" t="n">
        <v>571.67</v>
      </c>
      <c r="AB30" s="20" t="n">
        <v>571.67</v>
      </c>
      <c r="AC30" s="20" t="n">
        <v>571.67</v>
      </c>
      <c r="AD30" s="20" t="n">
        <v>571.67</v>
      </c>
      <c r="AE30" s="20" t="n">
        <v>571.67</v>
      </c>
      <c r="AF30" s="20" t="n">
        <v>571.67</v>
      </c>
      <c r="AG30" s="20" t="n">
        <v>571.67</v>
      </c>
      <c r="AH30" s="20" t="n">
        <v>571.67</v>
      </c>
      <c r="AI30" s="20" t="n">
        <v>571.67</v>
      </c>
      <c r="AJ30" s="20" t="n">
        <v>571.67</v>
      </c>
      <c r="AK30" s="20" t="n">
        <v>571.67</v>
      </c>
      <c r="AL30" s="20" t="n">
        <v>571.67</v>
      </c>
      <c r="AM30" s="20" t="n">
        <v>571.67</v>
      </c>
      <c r="AN30" s="20" t="n">
        <v>571.67</v>
      </c>
      <c r="AO30" s="20" t="n">
        <v>571.67</v>
      </c>
      <c r="AP30" s="20" t="n">
        <v>571.67</v>
      </c>
      <c r="AQ30" s="20" t="n">
        <v>571.67</v>
      </c>
      <c r="AR30" s="20" t="n">
        <v>571.67</v>
      </c>
      <c r="AS30" s="20" t="n">
        <v>571.67</v>
      </c>
      <c r="AT30" s="20" t="n">
        <v>571.67</v>
      </c>
      <c r="AU30" s="20" t="n">
        <v>571.67</v>
      </c>
      <c r="AV30" s="20" t="n">
        <v>571.67</v>
      </c>
      <c r="AW30" s="20" t="n">
        <v>571.67</v>
      </c>
      <c r="AX30" s="20" t="n">
        <v>571.67</v>
      </c>
      <c r="AY30" s="20" t="n">
        <v>571.67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407.64</v>
      </c>
      <c r="F33" s="35" t="n">
        <v>0</v>
      </c>
      <c r="G33" s="35" t="n">
        <v>0</v>
      </c>
      <c r="H33" s="35" t="n">
        <v>779.53</v>
      </c>
      <c r="I33" s="35" t="n">
        <v>5620.85</v>
      </c>
      <c r="J33" s="35" t="n">
        <v>2830.72</v>
      </c>
      <c r="K33" s="35" t="n">
        <v>3687.29</v>
      </c>
      <c r="L33" s="35" t="n">
        <v>2385.33</v>
      </c>
      <c r="M33" s="35" t="n">
        <v>2405.57</v>
      </c>
      <c r="N33" s="35" t="n">
        <v>6314.58</v>
      </c>
      <c r="O33" s="35" t="n">
        <v>3719.68</v>
      </c>
      <c r="P33" s="35" t="n">
        <v>3204.29</v>
      </c>
      <c r="Q33" s="35" t="n">
        <v>1996.8</v>
      </c>
      <c r="R33" s="35" t="n">
        <v>1545</v>
      </c>
      <c r="S33" s="35" t="n">
        <v>1500</v>
      </c>
      <c r="T33" s="85" t="n">
        <v>1545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29944.54</v>
      </c>
      <c r="E34" s="19" t="n">
        <v>26611.32</v>
      </c>
      <c r="F34" s="19" t="n">
        <v>27934.63</v>
      </c>
      <c r="G34" s="19" t="n">
        <v>24698.53</v>
      </c>
      <c r="H34" s="19" t="n">
        <v>30351.55</v>
      </c>
      <c r="I34" s="19" t="n">
        <v>32716.72</v>
      </c>
      <c r="J34" s="19" t="n">
        <v>37248.57</v>
      </c>
      <c r="K34" s="19" t="n">
        <v>35381.9</v>
      </c>
      <c r="L34" s="19" t="n">
        <v>51842.92</v>
      </c>
      <c r="M34" s="19" t="n">
        <v>36586.07</v>
      </c>
      <c r="N34" s="19" t="n">
        <v>34746.63</v>
      </c>
      <c r="O34" s="19" t="n">
        <v>20873.29</v>
      </c>
      <c r="P34" s="19" t="n">
        <v>21165.95</v>
      </c>
      <c r="Q34" s="19" t="n">
        <v>21061.06</v>
      </c>
      <c r="R34" s="19" t="n">
        <v>23273</v>
      </c>
      <c r="S34" s="19" t="n">
        <v>21721.66</v>
      </c>
      <c r="T34" s="84" t="n">
        <v>22022.2</v>
      </c>
      <c r="U34" s="20" t="n">
        <v>29266.9</v>
      </c>
      <c r="V34" s="20" t="n">
        <v>20907.65</v>
      </c>
      <c r="W34" s="20" t="n">
        <v>20892.82</v>
      </c>
      <c r="X34" s="20" t="n">
        <v>20893.15</v>
      </c>
      <c r="Y34" s="20" t="n">
        <v>25064.56</v>
      </c>
      <c r="Z34" s="20" t="n">
        <v>28427.82</v>
      </c>
      <c r="AA34" s="20" t="n">
        <v>33492.2</v>
      </c>
      <c r="AB34" s="20" t="n">
        <v>32207.21</v>
      </c>
      <c r="AC34" s="20" t="n">
        <v>34133.24</v>
      </c>
      <c r="AD34" s="20" t="n">
        <v>32209.54</v>
      </c>
      <c r="AE34" s="20" t="n">
        <v>32170.29</v>
      </c>
      <c r="AF34" s="20" t="n">
        <v>32385.91</v>
      </c>
      <c r="AG34" s="20" t="n">
        <v>32179.51</v>
      </c>
      <c r="AH34" s="20" t="n">
        <v>32132.91</v>
      </c>
      <c r="AI34" s="20" t="n">
        <v>32117.34</v>
      </c>
      <c r="AJ34" s="20" t="n">
        <v>32117.69</v>
      </c>
      <c r="AK34" s="20" t="n">
        <v>32132.37</v>
      </c>
      <c r="AL34" s="20" t="n">
        <v>32171.54</v>
      </c>
      <c r="AM34" s="20" t="n">
        <v>32339.7</v>
      </c>
      <c r="AN34" s="20" t="n">
        <v>32207.21</v>
      </c>
      <c r="AO34" s="20" t="n">
        <v>34133.24</v>
      </c>
      <c r="AP34" s="20" t="n">
        <v>32209.54</v>
      </c>
      <c r="AQ34" s="20" t="n">
        <v>32170.29</v>
      </c>
      <c r="AR34" s="20" t="n">
        <v>32385.91</v>
      </c>
      <c r="AS34" s="20" t="n">
        <v>32179.51</v>
      </c>
      <c r="AT34" s="20" t="n">
        <v>32132.91</v>
      </c>
      <c r="AU34" s="20" t="n">
        <v>32117.34</v>
      </c>
      <c r="AV34" s="20" t="n">
        <v>32117.69</v>
      </c>
      <c r="AW34" s="20" t="n">
        <v>32132.37</v>
      </c>
      <c r="AX34" s="20" t="n">
        <v>32171.54</v>
      </c>
      <c r="AY34" s="20" t="n">
        <v>32339.7</v>
      </c>
    </row>
    <row r="35">
      <c r="B35" s="33" t="inlineStr">
        <is>
          <t xml:space="preserve">  602004 Payroll Taxes</t>
        </is>
      </c>
      <c r="D35" s="19" t="n">
        <v>4485.5</v>
      </c>
      <c r="E35" s="19" t="n">
        <v>3456.78</v>
      </c>
      <c r="F35" s="19" t="n">
        <v>3436.32</v>
      </c>
      <c r="G35" s="19" t="n">
        <v>2833.52</v>
      </c>
      <c r="H35" s="19" t="n">
        <v>3415.37</v>
      </c>
      <c r="I35" s="19" t="n">
        <v>3375.32</v>
      </c>
      <c r="J35" s="19" t="n">
        <v>3803.23</v>
      </c>
      <c r="K35" s="19" t="n">
        <v>3476.16</v>
      </c>
      <c r="L35" s="19" t="n">
        <v>5147.97</v>
      </c>
      <c r="M35" s="19" t="n">
        <v>3575.57</v>
      </c>
      <c r="N35" s="19" t="n">
        <v>3408.19</v>
      </c>
      <c r="O35" s="19" t="n">
        <v>2232.48</v>
      </c>
      <c r="P35" s="19" t="n">
        <v>4835.4</v>
      </c>
      <c r="Q35" s="19" t="n">
        <v>2642.34</v>
      </c>
      <c r="R35" s="19" t="n">
        <v>2753.25</v>
      </c>
      <c r="S35" s="19" t="n">
        <v>2243.53</v>
      </c>
      <c r="T35" s="84" t="n">
        <v>2061.22</v>
      </c>
      <c r="U35" s="20" t="n">
        <v>4185.78</v>
      </c>
      <c r="V35" s="20" t="n">
        <v>2990.23</v>
      </c>
      <c r="W35" s="20" t="n">
        <v>2988.11</v>
      </c>
      <c r="X35" s="20" t="n">
        <v>2988.16</v>
      </c>
      <c r="Y35" s="20" t="n">
        <v>3584.76</v>
      </c>
      <c r="Z35" s="20" t="n">
        <v>4065.77</v>
      </c>
      <c r="AA35" s="20" t="n">
        <v>4790.08</v>
      </c>
      <c r="AB35" s="20" t="n">
        <v>4606.3</v>
      </c>
      <c r="AC35" s="20" t="n">
        <v>4881.77</v>
      </c>
      <c r="AD35" s="20" t="n">
        <v>4606.64</v>
      </c>
      <c r="AE35" s="20" t="n">
        <v>4601.02</v>
      </c>
      <c r="AF35" s="20" t="n">
        <v>4631.86</v>
      </c>
      <c r="AG35" s="20" t="n">
        <v>4602.34</v>
      </c>
      <c r="AH35" s="20" t="n">
        <v>4595.68</v>
      </c>
      <c r="AI35" s="20" t="n">
        <v>4593.45</v>
      </c>
      <c r="AJ35" s="20" t="n">
        <v>4593.5</v>
      </c>
      <c r="AK35" s="20" t="n">
        <v>4595.6</v>
      </c>
      <c r="AL35" s="20" t="n">
        <v>4601.2</v>
      </c>
      <c r="AM35" s="20" t="n">
        <v>4625.25</v>
      </c>
      <c r="AN35" s="20" t="n">
        <v>4606.3</v>
      </c>
      <c r="AO35" s="20" t="n">
        <v>4881.77</v>
      </c>
      <c r="AP35" s="20" t="n">
        <v>4606.64</v>
      </c>
      <c r="AQ35" s="20" t="n">
        <v>4601.02</v>
      </c>
      <c r="AR35" s="20" t="n">
        <v>4631.86</v>
      </c>
      <c r="AS35" s="20" t="n">
        <v>4602.34</v>
      </c>
      <c r="AT35" s="20" t="n">
        <v>4595.68</v>
      </c>
      <c r="AU35" s="20" t="n">
        <v>4593.45</v>
      </c>
      <c r="AV35" s="20" t="n">
        <v>4593.5</v>
      </c>
      <c r="AW35" s="20" t="n">
        <v>4595.6</v>
      </c>
      <c r="AX35" s="20" t="n">
        <v>4601.2</v>
      </c>
      <c r="AY35" s="20" t="n">
        <v>4625.25</v>
      </c>
    </row>
    <row r="36">
      <c r="B36" s="33" t="inlineStr">
        <is>
          <t xml:space="preserve">  602005 Employee Benefits</t>
        </is>
      </c>
      <c r="D36" s="19" t="n">
        <v>40</v>
      </c>
      <c r="E36" s="19" t="n">
        <v>-47.67</v>
      </c>
      <c r="F36" s="19" t="n">
        <v>420.7</v>
      </c>
      <c r="G36" s="19" t="n">
        <v>-1124.4</v>
      </c>
      <c r="H36" s="19" t="n">
        <v>-1332.33</v>
      </c>
      <c r="I36" s="19" t="n">
        <v>-1207.57</v>
      </c>
      <c r="J36" s="19" t="n">
        <v>785.1900000000001</v>
      </c>
      <c r="K36" s="19" t="n">
        <v>-882.28</v>
      </c>
      <c r="L36" s="19" t="n">
        <v>-720.7</v>
      </c>
      <c r="M36" s="19" t="n">
        <v>-86.95</v>
      </c>
      <c r="N36" s="19" t="n">
        <v>-5.36</v>
      </c>
      <c r="O36" s="19" t="n">
        <v>863.35</v>
      </c>
      <c r="P36" s="19" t="n">
        <v>634.33</v>
      </c>
      <c r="Q36" s="19" t="n">
        <v>206</v>
      </c>
      <c r="R36" s="19" t="n">
        <v>0</v>
      </c>
      <c r="S36" s="19" t="n">
        <v>0</v>
      </c>
      <c r="T36" s="84" t="n">
        <v>0</v>
      </c>
      <c r="U36" s="20" t="n">
        <v>281.97</v>
      </c>
      <c r="V36" s="20" t="n">
        <v>201.43</v>
      </c>
      <c r="W36" s="20" t="n">
        <v>201.29</v>
      </c>
      <c r="X36" s="20" t="n">
        <v>201.29</v>
      </c>
      <c r="Y36" s="20" t="n">
        <v>241.48</v>
      </c>
      <c r="Z36" s="20" t="n">
        <v>273.89</v>
      </c>
      <c r="AA36" s="20" t="n">
        <v>322.68</v>
      </c>
      <c r="AB36" s="20" t="n">
        <v>310.3</v>
      </c>
      <c r="AC36" s="20" t="n">
        <v>328.85</v>
      </c>
      <c r="AD36" s="20" t="n">
        <v>310.32</v>
      </c>
      <c r="AE36" s="20" t="n">
        <v>309.94</v>
      </c>
      <c r="AF36" s="20" t="n">
        <v>312.02</v>
      </c>
      <c r="AG36" s="20" t="n">
        <v>310.03</v>
      </c>
      <c r="AH36" s="20" t="n">
        <v>309.58</v>
      </c>
      <c r="AI36" s="20" t="n">
        <v>309.43</v>
      </c>
      <c r="AJ36" s="20" t="n">
        <v>309.44</v>
      </c>
      <c r="AK36" s="20" t="n">
        <v>309.58</v>
      </c>
      <c r="AL36" s="20" t="n">
        <v>309.95</v>
      </c>
      <c r="AM36" s="20" t="n">
        <v>311.57</v>
      </c>
      <c r="AN36" s="20" t="n">
        <v>310.3</v>
      </c>
      <c r="AO36" s="20" t="n">
        <v>328.85</v>
      </c>
      <c r="AP36" s="20" t="n">
        <v>310.32</v>
      </c>
      <c r="AQ36" s="20" t="n">
        <v>309.94</v>
      </c>
      <c r="AR36" s="20" t="n">
        <v>312.02</v>
      </c>
      <c r="AS36" s="20" t="n">
        <v>310.03</v>
      </c>
      <c r="AT36" s="20" t="n">
        <v>309.58</v>
      </c>
      <c r="AU36" s="20" t="n">
        <v>309.43</v>
      </c>
      <c r="AV36" s="20" t="n">
        <v>309.44</v>
      </c>
      <c r="AW36" s="20" t="n">
        <v>309.58</v>
      </c>
      <c r="AX36" s="20" t="n">
        <v>309.95</v>
      </c>
      <c r="AY36" s="20" t="n">
        <v>311.57</v>
      </c>
    </row>
    <row r="37">
      <c r="B37" s="33" t="inlineStr">
        <is>
          <t xml:space="preserve">  602010 Payroll Processing Fees</t>
        </is>
      </c>
      <c r="D37" s="19" t="n">
        <v>1024.36</v>
      </c>
      <c r="E37" s="19" t="n">
        <v>529.7</v>
      </c>
      <c r="F37" s="19" t="n">
        <v>522.12</v>
      </c>
      <c r="G37" s="19" t="n">
        <v>529.7</v>
      </c>
      <c r="H37" s="19" t="n">
        <v>522.12</v>
      </c>
      <c r="I37" s="19" t="n">
        <v>541.05</v>
      </c>
      <c r="J37" s="19" t="n">
        <v>537.27</v>
      </c>
      <c r="K37" s="19" t="n">
        <v>802.11</v>
      </c>
      <c r="L37" s="19" t="n">
        <v>548.63</v>
      </c>
      <c r="M37" s="19" t="n">
        <v>548.63</v>
      </c>
      <c r="N37" s="19" t="n">
        <v>560</v>
      </c>
      <c r="O37" s="19" t="n">
        <v>771.55</v>
      </c>
      <c r="P37" s="19" t="n">
        <v>818.09</v>
      </c>
      <c r="Q37" s="19" t="n">
        <v>1030.17</v>
      </c>
      <c r="R37" s="19" t="n">
        <v>1515.78</v>
      </c>
      <c r="S37" s="19" t="n">
        <v>997.83</v>
      </c>
      <c r="T37" s="84" t="n">
        <v>1015.54</v>
      </c>
      <c r="U37" s="20" t="n">
        <v>1463.61</v>
      </c>
      <c r="V37" s="20" t="n">
        <v>1045.57</v>
      </c>
      <c r="W37" s="20" t="n">
        <v>1044.83</v>
      </c>
      <c r="X37" s="20" t="n">
        <v>1044.85</v>
      </c>
      <c r="Y37" s="20" t="n">
        <v>1253.45</v>
      </c>
      <c r="Z37" s="20" t="n">
        <v>1421.65</v>
      </c>
      <c r="AA37" s="20" t="n">
        <v>1674.91</v>
      </c>
      <c r="AB37" s="20" t="n">
        <v>1610.65</v>
      </c>
      <c r="AC37" s="20" t="n">
        <v>1706.97</v>
      </c>
      <c r="AD37" s="20" t="n">
        <v>1610.77</v>
      </c>
      <c r="AE37" s="20" t="n">
        <v>1608.8</v>
      </c>
      <c r="AF37" s="20" t="n">
        <v>1619.59</v>
      </c>
      <c r="AG37" s="20" t="n">
        <v>1609.27</v>
      </c>
      <c r="AH37" s="20" t="n">
        <v>1606.94</v>
      </c>
      <c r="AI37" s="20" t="n">
        <v>1606.16</v>
      </c>
      <c r="AJ37" s="20" t="n">
        <v>1606.17</v>
      </c>
      <c r="AK37" s="20" t="n">
        <v>1606.91</v>
      </c>
      <c r="AL37" s="20" t="n">
        <v>1608.87</v>
      </c>
      <c r="AM37" s="20" t="n">
        <v>1617.28</v>
      </c>
      <c r="AN37" s="20" t="n">
        <v>1610.65</v>
      </c>
      <c r="AO37" s="20" t="n">
        <v>1706.97</v>
      </c>
      <c r="AP37" s="20" t="n">
        <v>1610.77</v>
      </c>
      <c r="AQ37" s="20" t="n">
        <v>1608.8</v>
      </c>
      <c r="AR37" s="20" t="n">
        <v>1619.59</v>
      </c>
      <c r="AS37" s="20" t="n">
        <v>1609.27</v>
      </c>
      <c r="AT37" s="20" t="n">
        <v>1606.94</v>
      </c>
      <c r="AU37" s="20" t="n">
        <v>1606.16</v>
      </c>
      <c r="AV37" s="20" t="n">
        <v>1606.17</v>
      </c>
      <c r="AW37" s="20" t="n">
        <v>1606.91</v>
      </c>
      <c r="AX37" s="20" t="n">
        <v>1608.87</v>
      </c>
      <c r="AY37" s="20" t="n">
        <v>1617.28</v>
      </c>
    </row>
    <row r="38">
      <c r="B38" s="32" t="inlineStr">
        <is>
          <t>Total Payroll</t>
        </is>
      </c>
      <c r="C38" s="34" t="n"/>
      <c r="D38" s="35" t="n">
        <v>44101.21</v>
      </c>
      <c r="E38" s="35" t="n">
        <v>38460.88</v>
      </c>
      <c r="F38" s="35" t="n">
        <v>40762.14</v>
      </c>
      <c r="G38" s="35" t="n">
        <v>34270.26999999999</v>
      </c>
      <c r="H38" s="35" t="n">
        <v>42400.06</v>
      </c>
      <c r="I38" s="35" t="n">
        <v>42574.16</v>
      </c>
      <c r="J38" s="35" t="n">
        <v>48436.8</v>
      </c>
      <c r="K38" s="35" t="n">
        <v>45545.54000000001</v>
      </c>
      <c r="L38" s="35" t="n">
        <v>66065.75</v>
      </c>
      <c r="M38" s="35" t="n">
        <v>46613.52</v>
      </c>
      <c r="N38" s="35" t="n">
        <v>44835.13</v>
      </c>
      <c r="O38" s="35" t="n">
        <v>26912.74</v>
      </c>
      <c r="P38" s="35" t="n">
        <v>27453.77</v>
      </c>
      <c r="Q38" s="35" t="n">
        <v>24939.57</v>
      </c>
      <c r="R38" s="35" t="n">
        <v>27542.03</v>
      </c>
      <c r="S38" s="35" t="n">
        <v>24963.02</v>
      </c>
      <c r="T38" s="85" t="n">
        <v>25098.96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773.87</v>
      </c>
      <c r="E39" s="19" t="n">
        <v>803.91</v>
      </c>
      <c r="F39" s="19" t="n">
        <v>593.3</v>
      </c>
      <c r="G39" s="19" t="n">
        <v>1237.3</v>
      </c>
      <c r="H39" s="19" t="n">
        <v>1228</v>
      </c>
      <c r="I39" s="19" t="n">
        <v>430.5</v>
      </c>
      <c r="J39" s="19" t="n">
        <v>854.87</v>
      </c>
      <c r="K39" s="19" t="n">
        <v>1719.77</v>
      </c>
      <c r="L39" s="19" t="n">
        <v>625.99</v>
      </c>
      <c r="M39" s="19" t="n">
        <v>735.08</v>
      </c>
      <c r="N39" s="19" t="n">
        <v>735.08</v>
      </c>
      <c r="O39" s="19" t="n">
        <v>735.08</v>
      </c>
      <c r="P39" s="19" t="n">
        <v>792.58</v>
      </c>
      <c r="Q39" s="19" t="n">
        <v>1366.94</v>
      </c>
      <c r="R39" s="19" t="n">
        <v>755.88</v>
      </c>
      <c r="S39" s="19" t="n">
        <v>770.66</v>
      </c>
      <c r="T39" s="84" t="n">
        <v>761.26</v>
      </c>
      <c r="U39" s="20" t="n">
        <v>759.13</v>
      </c>
      <c r="V39" s="20" t="n">
        <v>759.13</v>
      </c>
      <c r="W39" s="20" t="n">
        <v>759.13</v>
      </c>
      <c r="X39" s="20" t="n">
        <v>759.13</v>
      </c>
      <c r="Y39" s="20" t="n">
        <v>759.13</v>
      </c>
      <c r="Z39" s="20" t="n">
        <v>759.13</v>
      </c>
      <c r="AA39" s="20" t="n">
        <v>759.13</v>
      </c>
      <c r="AB39" s="20" t="n">
        <v>759.13</v>
      </c>
      <c r="AC39" s="20" t="n">
        <v>759.13</v>
      </c>
      <c r="AD39" s="20" t="n">
        <v>759.13</v>
      </c>
      <c r="AE39" s="20" t="n">
        <v>759.13</v>
      </c>
      <c r="AF39" s="20" t="n">
        <v>759.13</v>
      </c>
      <c r="AG39" s="20" t="n">
        <v>759.13</v>
      </c>
      <c r="AH39" s="20" t="n">
        <v>759.13</v>
      </c>
      <c r="AI39" s="20" t="n">
        <v>759.13</v>
      </c>
      <c r="AJ39" s="20" t="n">
        <v>759.13</v>
      </c>
      <c r="AK39" s="20" t="n">
        <v>759.13</v>
      </c>
      <c r="AL39" s="20" t="n">
        <v>759.13</v>
      </c>
      <c r="AM39" s="20" t="n">
        <v>759.13</v>
      </c>
      <c r="AN39" s="20" t="n">
        <v>759.13</v>
      </c>
      <c r="AO39" s="20" t="n">
        <v>759.13</v>
      </c>
      <c r="AP39" s="20" t="n">
        <v>759.13</v>
      </c>
      <c r="AQ39" s="20" t="n">
        <v>759.13</v>
      </c>
      <c r="AR39" s="20" t="n">
        <v>759.13</v>
      </c>
      <c r="AS39" s="20" t="n">
        <v>759.13</v>
      </c>
      <c r="AT39" s="20" t="n">
        <v>759.13</v>
      </c>
      <c r="AU39" s="20" t="n">
        <v>759.13</v>
      </c>
      <c r="AV39" s="20" t="n">
        <v>759.13</v>
      </c>
      <c r="AW39" s="20" t="n">
        <v>759.13</v>
      </c>
      <c r="AX39" s="20" t="n">
        <v>759.13</v>
      </c>
      <c r="AY39" s="20" t="n">
        <v>759.13</v>
      </c>
    </row>
    <row r="40">
      <c r="B40" s="33" t="inlineStr">
        <is>
          <t xml:space="preserve">  608000 Insurance</t>
        </is>
      </c>
      <c r="D40" s="19" t="n">
        <v>204.93</v>
      </c>
      <c r="E40" s="19" t="n">
        <v>204.93</v>
      </c>
      <c r="F40" s="19" t="n">
        <v>204.93</v>
      </c>
      <c r="G40" s="19" t="n">
        <v>204.93</v>
      </c>
      <c r="H40" s="19" t="n">
        <v>204.93</v>
      </c>
      <c r="I40" s="19" t="n">
        <v>204.93</v>
      </c>
      <c r="J40" s="19" t="n">
        <v>204.93</v>
      </c>
      <c r="K40" s="19" t="n">
        <v>204.93</v>
      </c>
      <c r="L40" s="19" t="n">
        <v>204.93</v>
      </c>
      <c r="M40" s="19" t="n">
        <v>356.16</v>
      </c>
      <c r="N40" s="19" t="n">
        <v>356.16</v>
      </c>
      <c r="O40" s="19" t="n">
        <v>356.16</v>
      </c>
      <c r="P40" s="19" t="n">
        <v>67.5</v>
      </c>
      <c r="Q40" s="19" t="n">
        <v>67.5</v>
      </c>
      <c r="R40" s="19" t="n">
        <v>164.59</v>
      </c>
      <c r="S40" s="19" t="n">
        <v>164.59</v>
      </c>
      <c r="T40" s="84" t="n">
        <v>208.1</v>
      </c>
      <c r="U40" s="20" t="n">
        <v>95.59999999999999</v>
      </c>
      <c r="V40" s="20" t="n">
        <v>95.59999999999999</v>
      </c>
      <c r="W40" s="20" t="n">
        <v>95.59999999999999</v>
      </c>
      <c r="X40" s="20" t="n">
        <v>95.59999999999999</v>
      </c>
      <c r="Y40" s="20" t="n">
        <v>95.59999999999999</v>
      </c>
      <c r="Z40" s="20" t="n">
        <v>95.59999999999999</v>
      </c>
      <c r="AA40" s="20" t="n">
        <v>95.59999999999999</v>
      </c>
      <c r="AB40" s="20" t="n">
        <v>95.59999999999999</v>
      </c>
      <c r="AC40" s="20" t="n">
        <v>95.59999999999999</v>
      </c>
      <c r="AD40" s="20" t="n">
        <v>95.59999999999999</v>
      </c>
      <c r="AE40" s="20" t="n">
        <v>95.59999999999999</v>
      </c>
      <c r="AF40" s="20" t="n">
        <v>95.59999999999999</v>
      </c>
      <c r="AG40" s="20" t="n">
        <v>95.59999999999999</v>
      </c>
      <c r="AH40" s="20" t="n">
        <v>95.59999999999999</v>
      </c>
      <c r="AI40" s="20" t="n">
        <v>95.59999999999999</v>
      </c>
      <c r="AJ40" s="20" t="n">
        <v>95.59999999999999</v>
      </c>
      <c r="AK40" s="20" t="n">
        <v>95.59999999999999</v>
      </c>
      <c r="AL40" s="20" t="n">
        <v>95.59999999999999</v>
      </c>
      <c r="AM40" s="20" t="n">
        <v>95.59999999999999</v>
      </c>
      <c r="AN40" s="20" t="n">
        <v>95.59999999999999</v>
      </c>
      <c r="AO40" s="20" t="n">
        <v>95.59999999999999</v>
      </c>
      <c r="AP40" s="20" t="n">
        <v>95.59999999999999</v>
      </c>
      <c r="AQ40" s="20" t="n">
        <v>95.59999999999999</v>
      </c>
      <c r="AR40" s="20" t="n">
        <v>95.59999999999999</v>
      </c>
      <c r="AS40" s="20" t="n">
        <v>95.59999999999999</v>
      </c>
      <c r="AT40" s="20" t="n">
        <v>95.59999999999999</v>
      </c>
      <c r="AU40" s="20" t="n">
        <v>95.59999999999999</v>
      </c>
      <c r="AV40" s="20" t="n">
        <v>95.59999999999999</v>
      </c>
      <c r="AW40" s="20" t="n">
        <v>95.59999999999999</v>
      </c>
      <c r="AX40" s="20" t="n">
        <v>95.59999999999999</v>
      </c>
      <c r="AY40" s="20" t="n">
        <v>95.59999999999999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532.15</v>
      </c>
      <c r="Q41" s="19" t="n">
        <v>145.94</v>
      </c>
      <c r="R41" s="19" t="n">
        <v>707.47</v>
      </c>
      <c r="S41" s="19" t="n">
        <v>1234.71</v>
      </c>
      <c r="T41" s="84" t="n">
        <v>0</v>
      </c>
      <c r="U41" s="20" t="n">
        <v>539.63</v>
      </c>
      <c r="V41" s="20" t="n">
        <v>539.63</v>
      </c>
      <c r="W41" s="20" t="n">
        <v>539.63</v>
      </c>
      <c r="X41" s="20" t="n">
        <v>539.63</v>
      </c>
      <c r="Y41" s="20" t="n">
        <v>539.63</v>
      </c>
      <c r="Z41" s="20" t="n">
        <v>539.63</v>
      </c>
      <c r="AA41" s="20" t="n">
        <v>539.63</v>
      </c>
      <c r="AB41" s="20" t="n">
        <v>539.63</v>
      </c>
      <c r="AC41" s="20" t="n">
        <v>539.63</v>
      </c>
      <c r="AD41" s="20" t="n">
        <v>539.63</v>
      </c>
      <c r="AE41" s="20" t="n">
        <v>539.63</v>
      </c>
      <c r="AF41" s="20" t="n">
        <v>539.63</v>
      </c>
      <c r="AG41" s="20" t="n">
        <v>539.63</v>
      </c>
      <c r="AH41" s="20" t="n">
        <v>539.63</v>
      </c>
      <c r="AI41" s="20" t="n">
        <v>539.63</v>
      </c>
      <c r="AJ41" s="20" t="n">
        <v>539.63</v>
      </c>
      <c r="AK41" s="20" t="n">
        <v>539.63</v>
      </c>
      <c r="AL41" s="20" t="n">
        <v>539.63</v>
      </c>
      <c r="AM41" s="20" t="n">
        <v>539.63</v>
      </c>
      <c r="AN41" s="20" t="n">
        <v>539.63</v>
      </c>
      <c r="AO41" s="20" t="n">
        <v>539.63</v>
      </c>
      <c r="AP41" s="20" t="n">
        <v>539.63</v>
      </c>
      <c r="AQ41" s="20" t="n">
        <v>539.63</v>
      </c>
      <c r="AR41" s="20" t="n">
        <v>539.63</v>
      </c>
      <c r="AS41" s="20" t="n">
        <v>539.63</v>
      </c>
      <c r="AT41" s="20" t="n">
        <v>539.63</v>
      </c>
      <c r="AU41" s="20" t="n">
        <v>539.63</v>
      </c>
      <c r="AV41" s="20" t="n">
        <v>539.63</v>
      </c>
      <c r="AW41" s="20" t="n">
        <v>539.63</v>
      </c>
      <c r="AX41" s="20" t="n">
        <v>539.63</v>
      </c>
      <c r="AY41" s="20" t="n">
        <v>539.63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127.5</v>
      </c>
      <c r="E44" s="19" t="n">
        <v>2047</v>
      </c>
      <c r="F44" s="19" t="n">
        <v>135</v>
      </c>
      <c r="G44" s="19" t="n">
        <v>22.5</v>
      </c>
      <c r="H44" s="19" t="n">
        <v>1272.5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483.62</v>
      </c>
      <c r="R44" s="19" t="n">
        <v>0</v>
      </c>
      <c r="S44" s="19" t="n">
        <v>0</v>
      </c>
      <c r="T44" s="84" t="n">
        <v>1116.82</v>
      </c>
      <c r="U44" s="20" t="n">
        <v>97.95</v>
      </c>
      <c r="V44" s="20" t="n">
        <v>97.95</v>
      </c>
      <c r="W44" s="20" t="n">
        <v>97.95</v>
      </c>
      <c r="X44" s="20" t="n">
        <v>97.95</v>
      </c>
      <c r="Y44" s="20" t="n">
        <v>97.95</v>
      </c>
      <c r="Z44" s="20" t="n">
        <v>97.95</v>
      </c>
      <c r="AA44" s="20" t="n">
        <v>97.95</v>
      </c>
      <c r="AB44" s="20" t="n">
        <v>97.95</v>
      </c>
      <c r="AC44" s="20" t="n">
        <v>97.95</v>
      </c>
      <c r="AD44" s="20" t="n">
        <v>97.95</v>
      </c>
      <c r="AE44" s="20" t="n">
        <v>97.95</v>
      </c>
      <c r="AF44" s="20" t="n">
        <v>97.95</v>
      </c>
      <c r="AG44" s="20" t="n">
        <v>97.95</v>
      </c>
      <c r="AH44" s="20" t="n">
        <v>97.95</v>
      </c>
      <c r="AI44" s="20" t="n">
        <v>97.95</v>
      </c>
      <c r="AJ44" s="20" t="n">
        <v>97.95</v>
      </c>
      <c r="AK44" s="20" t="n">
        <v>97.95</v>
      </c>
      <c r="AL44" s="20" t="n">
        <v>97.95</v>
      </c>
      <c r="AM44" s="20" t="n">
        <v>97.95</v>
      </c>
      <c r="AN44" s="20" t="n">
        <v>97.95</v>
      </c>
      <c r="AO44" s="20" t="n">
        <v>97.95</v>
      </c>
      <c r="AP44" s="20" t="n">
        <v>97.95</v>
      </c>
      <c r="AQ44" s="20" t="n">
        <v>97.95</v>
      </c>
      <c r="AR44" s="20" t="n">
        <v>97.95</v>
      </c>
      <c r="AS44" s="20" t="n">
        <v>97.95</v>
      </c>
      <c r="AT44" s="20" t="n">
        <v>97.95</v>
      </c>
      <c r="AU44" s="20" t="n">
        <v>97.95</v>
      </c>
      <c r="AV44" s="20" t="n">
        <v>97.95</v>
      </c>
      <c r="AW44" s="20" t="n">
        <v>97.95</v>
      </c>
      <c r="AX44" s="20" t="n">
        <v>97.95</v>
      </c>
      <c r="AY44" s="20" t="n">
        <v>97.95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564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418.05</v>
      </c>
      <c r="V46" s="20" t="n">
        <v>418.05</v>
      </c>
      <c r="W46" s="20" t="n">
        <v>418.05</v>
      </c>
      <c r="X46" s="20" t="n">
        <v>418.05</v>
      </c>
      <c r="Y46" s="20" t="n">
        <v>418.05</v>
      </c>
      <c r="Z46" s="20" t="n">
        <v>418.05</v>
      </c>
      <c r="AA46" s="20" t="n">
        <v>418.05</v>
      </c>
      <c r="AB46" s="20" t="n">
        <v>418.05</v>
      </c>
      <c r="AC46" s="20" t="n">
        <v>418.05</v>
      </c>
      <c r="AD46" s="20" t="n">
        <v>418.05</v>
      </c>
      <c r="AE46" s="20" t="n">
        <v>418.05</v>
      </c>
      <c r="AF46" s="20" t="n">
        <v>418.05</v>
      </c>
      <c r="AG46" s="20" t="n">
        <v>418.05</v>
      </c>
      <c r="AH46" s="20" t="n">
        <v>418.05</v>
      </c>
      <c r="AI46" s="20" t="n">
        <v>418.05</v>
      </c>
      <c r="AJ46" s="20" t="n">
        <v>418.05</v>
      </c>
      <c r="AK46" s="20" t="n">
        <v>418.05</v>
      </c>
      <c r="AL46" s="20" t="n">
        <v>418.05</v>
      </c>
      <c r="AM46" s="20" t="n">
        <v>418.05</v>
      </c>
      <c r="AN46" s="20" t="n">
        <v>418.05</v>
      </c>
      <c r="AO46" s="20" t="n">
        <v>418.05</v>
      </c>
      <c r="AP46" s="20" t="n">
        <v>418.05</v>
      </c>
      <c r="AQ46" s="20" t="n">
        <v>418.05</v>
      </c>
      <c r="AR46" s="20" t="n">
        <v>418.05</v>
      </c>
      <c r="AS46" s="20" t="n">
        <v>418.05</v>
      </c>
      <c r="AT46" s="20" t="n">
        <v>418.05</v>
      </c>
      <c r="AU46" s="20" t="n">
        <v>418.05</v>
      </c>
      <c r="AV46" s="20" t="n">
        <v>418.05</v>
      </c>
      <c r="AW46" s="20" t="n">
        <v>418.05</v>
      </c>
      <c r="AX46" s="20" t="n">
        <v>418.05</v>
      </c>
      <c r="AY46" s="20" t="n">
        <v>418.05</v>
      </c>
    </row>
    <row r="47">
      <c r="B47" s="32" t="inlineStr">
        <is>
          <t>Total Professional Fees</t>
        </is>
      </c>
      <c r="C47" s="34" t="n"/>
      <c r="D47" s="35" t="n">
        <v>127.5</v>
      </c>
      <c r="E47" s="35" t="n">
        <v>2047</v>
      </c>
      <c r="F47" s="35" t="n">
        <v>135</v>
      </c>
      <c r="G47" s="35" t="n">
        <v>586.5</v>
      </c>
      <c r="H47" s="35" t="n">
        <v>1272.5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999.62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44.04</v>
      </c>
      <c r="F49" s="19" t="n">
        <v>38.61</v>
      </c>
      <c r="G49" s="19" t="n">
        <v>0</v>
      </c>
      <c r="H49" s="19" t="n">
        <v>193.63</v>
      </c>
      <c r="I49" s="19" t="n">
        <v>12.5</v>
      </c>
      <c r="J49" s="19" t="n">
        <v>0</v>
      </c>
      <c r="K49" s="19" t="n">
        <v>32.09</v>
      </c>
      <c r="L49" s="19" t="n">
        <v>296.49</v>
      </c>
      <c r="M49" s="19" t="n">
        <v>47.71</v>
      </c>
      <c r="N49" s="19" t="n">
        <v>0</v>
      </c>
      <c r="O49" s="19" t="n">
        <v>30.79</v>
      </c>
      <c r="P49" s="19" t="n">
        <v>16.6</v>
      </c>
      <c r="Q49" s="19" t="n">
        <v>56.29</v>
      </c>
      <c r="R49" s="19" t="n">
        <v>154.91</v>
      </c>
      <c r="S49" s="19" t="n">
        <v>39.75</v>
      </c>
      <c r="T49" s="84" t="n">
        <v>106.43</v>
      </c>
      <c r="U49" s="20" t="n">
        <v>16.6</v>
      </c>
      <c r="V49" s="20" t="n">
        <v>16.6</v>
      </c>
      <c r="W49" s="20" t="n">
        <v>16.6</v>
      </c>
      <c r="X49" s="20" t="n">
        <v>16.6</v>
      </c>
      <c r="Y49" s="20" t="n">
        <v>16.6</v>
      </c>
      <c r="Z49" s="20" t="n">
        <v>16.6</v>
      </c>
      <c r="AA49" s="20" t="n">
        <v>16.6</v>
      </c>
      <c r="AB49" s="20" t="n">
        <v>16.6</v>
      </c>
      <c r="AC49" s="20" t="n">
        <v>16.6</v>
      </c>
      <c r="AD49" s="20" t="n">
        <v>16.6</v>
      </c>
      <c r="AE49" s="20" t="n">
        <v>16.6</v>
      </c>
      <c r="AF49" s="20" t="n">
        <v>16.6</v>
      </c>
      <c r="AG49" s="20" t="n">
        <v>16.6</v>
      </c>
      <c r="AH49" s="20" t="n">
        <v>16.6</v>
      </c>
      <c r="AI49" s="20" t="n">
        <v>16.6</v>
      </c>
      <c r="AJ49" s="20" t="n">
        <v>16.6</v>
      </c>
      <c r="AK49" s="20" t="n">
        <v>16.6</v>
      </c>
      <c r="AL49" s="20" t="n">
        <v>16.6</v>
      </c>
      <c r="AM49" s="20" t="n">
        <v>16.6</v>
      </c>
      <c r="AN49" s="20" t="n">
        <v>16.6</v>
      </c>
      <c r="AO49" s="20" t="n">
        <v>16.6</v>
      </c>
      <c r="AP49" s="20" t="n">
        <v>16.6</v>
      </c>
      <c r="AQ49" s="20" t="n">
        <v>16.6</v>
      </c>
      <c r="AR49" s="20" t="n">
        <v>16.6</v>
      </c>
      <c r="AS49" s="20" t="n">
        <v>16.6</v>
      </c>
      <c r="AT49" s="20" t="n">
        <v>16.6</v>
      </c>
      <c r="AU49" s="20" t="n">
        <v>16.6</v>
      </c>
      <c r="AV49" s="20" t="n">
        <v>16.6</v>
      </c>
      <c r="AW49" s="20" t="n">
        <v>16.6</v>
      </c>
      <c r="AX49" s="20" t="n">
        <v>16.6</v>
      </c>
      <c r="AY49" s="20" t="n">
        <v>16.6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495.07</v>
      </c>
      <c r="E51" s="19" t="n">
        <v>495.07</v>
      </c>
      <c r="F51" s="19" t="n">
        <v>510.48</v>
      </c>
      <c r="G51" s="19" t="n">
        <v>407.22</v>
      </c>
      <c r="H51" s="19" t="n">
        <v>422.2</v>
      </c>
      <c r="I51" s="19" t="n">
        <v>542.4400000000001</v>
      </c>
      <c r="J51" s="19" t="n">
        <v>584.33</v>
      </c>
      <c r="K51" s="19" t="n">
        <v>605.97</v>
      </c>
      <c r="L51" s="19" t="n">
        <v>1140.1</v>
      </c>
      <c r="M51" s="19" t="n">
        <v>552.11</v>
      </c>
      <c r="N51" s="19" t="n">
        <v>442.93</v>
      </c>
      <c r="O51" s="19" t="n">
        <v>448.87</v>
      </c>
      <c r="P51" s="19" t="n">
        <v>448.53</v>
      </c>
      <c r="Q51" s="19" t="n">
        <v>579.83</v>
      </c>
      <c r="R51" s="19" t="n">
        <v>441.58</v>
      </c>
      <c r="S51" s="19" t="n">
        <v>418.22</v>
      </c>
      <c r="T51" s="84" t="n">
        <v>387.4</v>
      </c>
      <c r="U51" s="20" t="n">
        <v>459.2</v>
      </c>
      <c r="V51" s="20" t="n">
        <v>459.2</v>
      </c>
      <c r="W51" s="20" t="n">
        <v>459.2</v>
      </c>
      <c r="X51" s="20" t="n">
        <v>459.2</v>
      </c>
      <c r="Y51" s="20" t="n">
        <v>459.2</v>
      </c>
      <c r="Z51" s="20" t="n">
        <v>459.2</v>
      </c>
      <c r="AA51" s="20" t="n">
        <v>459.2</v>
      </c>
      <c r="AB51" s="20" t="n">
        <v>459.2</v>
      </c>
      <c r="AC51" s="20" t="n">
        <v>459.2</v>
      </c>
      <c r="AD51" s="20" t="n">
        <v>459.2</v>
      </c>
      <c r="AE51" s="20" t="n">
        <v>459.2</v>
      </c>
      <c r="AF51" s="20" t="n">
        <v>459.2</v>
      </c>
      <c r="AG51" s="20" t="n">
        <v>459.2</v>
      </c>
      <c r="AH51" s="20" t="n">
        <v>459.2</v>
      </c>
      <c r="AI51" s="20" t="n">
        <v>459.2</v>
      </c>
      <c r="AJ51" s="20" t="n">
        <v>459.2</v>
      </c>
      <c r="AK51" s="20" t="n">
        <v>459.2</v>
      </c>
      <c r="AL51" s="20" t="n">
        <v>459.2</v>
      </c>
      <c r="AM51" s="20" t="n">
        <v>459.2</v>
      </c>
      <c r="AN51" s="20" t="n">
        <v>459.2</v>
      </c>
      <c r="AO51" s="20" t="n">
        <v>459.2</v>
      </c>
      <c r="AP51" s="20" t="n">
        <v>459.2</v>
      </c>
      <c r="AQ51" s="20" t="n">
        <v>459.2</v>
      </c>
      <c r="AR51" s="20" t="n">
        <v>459.2</v>
      </c>
      <c r="AS51" s="20" t="n">
        <v>459.2</v>
      </c>
      <c r="AT51" s="20" t="n">
        <v>459.2</v>
      </c>
      <c r="AU51" s="20" t="n">
        <v>459.2</v>
      </c>
      <c r="AV51" s="20" t="n">
        <v>459.2</v>
      </c>
      <c r="AW51" s="20" t="n">
        <v>459.2</v>
      </c>
      <c r="AX51" s="20" t="n">
        <v>459.2</v>
      </c>
      <c r="AY51" s="20" t="n">
        <v>459.2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306.79</v>
      </c>
      <c r="Q52" s="19" t="n">
        <v>306.79</v>
      </c>
      <c r="R52" s="19" t="n">
        <v>306.79</v>
      </c>
      <c r="S52" s="19" t="n">
        <v>306.79</v>
      </c>
      <c r="T52" s="84" t="n">
        <v>0</v>
      </c>
      <c r="U52" s="20" t="n">
        <v>298.45</v>
      </c>
      <c r="V52" s="20" t="n">
        <v>298.45</v>
      </c>
      <c r="W52" s="20" t="n">
        <v>298.45</v>
      </c>
      <c r="X52" s="20" t="n">
        <v>298.45</v>
      </c>
      <c r="Y52" s="20" t="n">
        <v>298.45</v>
      </c>
      <c r="Z52" s="20" t="n">
        <v>298.45</v>
      </c>
      <c r="AA52" s="20" t="n">
        <v>298.45</v>
      </c>
      <c r="AB52" s="20" t="n">
        <v>298.45</v>
      </c>
      <c r="AC52" s="20" t="n">
        <v>298.45</v>
      </c>
      <c r="AD52" s="20" t="n">
        <v>298.45</v>
      </c>
      <c r="AE52" s="20" t="n">
        <v>298.45</v>
      </c>
      <c r="AF52" s="20" t="n">
        <v>298.45</v>
      </c>
      <c r="AG52" s="20" t="n">
        <v>298.45</v>
      </c>
      <c r="AH52" s="20" t="n">
        <v>298.45</v>
      </c>
      <c r="AI52" s="20" t="n">
        <v>298.45</v>
      </c>
      <c r="AJ52" s="20" t="n">
        <v>298.45</v>
      </c>
      <c r="AK52" s="20" t="n">
        <v>298.45</v>
      </c>
      <c r="AL52" s="20" t="n">
        <v>298.45</v>
      </c>
      <c r="AM52" s="20" t="n">
        <v>298.45</v>
      </c>
      <c r="AN52" s="20" t="n">
        <v>298.45</v>
      </c>
      <c r="AO52" s="20" t="n">
        <v>298.45</v>
      </c>
      <c r="AP52" s="20" t="n">
        <v>298.45</v>
      </c>
      <c r="AQ52" s="20" t="n">
        <v>298.45</v>
      </c>
      <c r="AR52" s="20" t="n">
        <v>298.45</v>
      </c>
      <c r="AS52" s="20" t="n">
        <v>298.45</v>
      </c>
      <c r="AT52" s="20" t="n">
        <v>298.45</v>
      </c>
      <c r="AU52" s="20" t="n">
        <v>298.45</v>
      </c>
      <c r="AV52" s="20" t="n">
        <v>298.45</v>
      </c>
      <c r="AW52" s="20" t="n">
        <v>298.45</v>
      </c>
      <c r="AX52" s="20" t="n">
        <v>298.45</v>
      </c>
      <c r="AY52" s="20" t="n">
        <v>298.45</v>
      </c>
    </row>
    <row r="53">
      <c r="B53" s="33" t="inlineStr">
        <is>
          <t xml:space="preserve">  616003 Phone service</t>
        </is>
      </c>
      <c r="D53" s="19" t="n">
        <v>69.75</v>
      </c>
      <c r="E53" s="19" t="n">
        <v>69.75</v>
      </c>
      <c r="F53" s="19" t="n">
        <v>66.97</v>
      </c>
      <c r="G53" s="19" t="n">
        <v>66.95999999999999</v>
      </c>
      <c r="H53" s="19" t="n">
        <v>66.75</v>
      </c>
      <c r="I53" s="19" t="n">
        <v>66.75</v>
      </c>
      <c r="J53" s="19" t="n">
        <v>66.73999999999999</v>
      </c>
      <c r="K53" s="19" t="n">
        <v>66.73999999999999</v>
      </c>
      <c r="L53" s="19" t="n">
        <v>67.06999999999999</v>
      </c>
      <c r="M53" s="19" t="n">
        <v>67.09999999999999</v>
      </c>
      <c r="N53" s="19" t="n">
        <v>49.1</v>
      </c>
      <c r="O53" s="19" t="n">
        <v>89.15000000000001</v>
      </c>
      <c r="P53" s="19" t="n">
        <v>86.95</v>
      </c>
      <c r="Q53" s="19" t="n">
        <v>87.11</v>
      </c>
      <c r="R53" s="19" t="n">
        <v>86.36</v>
      </c>
      <c r="S53" s="19" t="n">
        <v>87.53</v>
      </c>
      <c r="T53" s="84" t="n">
        <v>81.05</v>
      </c>
      <c r="U53" s="20" t="n">
        <v>84.62</v>
      </c>
      <c r="V53" s="20" t="n">
        <v>84.62</v>
      </c>
      <c r="W53" s="20" t="n">
        <v>84.62</v>
      </c>
      <c r="X53" s="20" t="n">
        <v>84.62</v>
      </c>
      <c r="Y53" s="20" t="n">
        <v>84.62</v>
      </c>
      <c r="Z53" s="20" t="n">
        <v>84.62</v>
      </c>
      <c r="AA53" s="20" t="n">
        <v>84.62</v>
      </c>
      <c r="AB53" s="20" t="n">
        <v>84.62</v>
      </c>
      <c r="AC53" s="20" t="n">
        <v>84.62</v>
      </c>
      <c r="AD53" s="20" t="n">
        <v>84.62</v>
      </c>
      <c r="AE53" s="20" t="n">
        <v>84.62</v>
      </c>
      <c r="AF53" s="20" t="n">
        <v>84.62</v>
      </c>
      <c r="AG53" s="20" t="n">
        <v>84.62</v>
      </c>
      <c r="AH53" s="20" t="n">
        <v>84.62</v>
      </c>
      <c r="AI53" s="20" t="n">
        <v>84.62</v>
      </c>
      <c r="AJ53" s="20" t="n">
        <v>84.62</v>
      </c>
      <c r="AK53" s="20" t="n">
        <v>84.62</v>
      </c>
      <c r="AL53" s="20" t="n">
        <v>84.62</v>
      </c>
      <c r="AM53" s="20" t="n">
        <v>84.62</v>
      </c>
      <c r="AN53" s="20" t="n">
        <v>84.62</v>
      </c>
      <c r="AO53" s="20" t="n">
        <v>84.62</v>
      </c>
      <c r="AP53" s="20" t="n">
        <v>84.62</v>
      </c>
      <c r="AQ53" s="20" t="n">
        <v>84.62</v>
      </c>
      <c r="AR53" s="20" t="n">
        <v>84.62</v>
      </c>
      <c r="AS53" s="20" t="n">
        <v>84.62</v>
      </c>
      <c r="AT53" s="20" t="n">
        <v>84.62</v>
      </c>
      <c r="AU53" s="20" t="n">
        <v>84.62</v>
      </c>
      <c r="AV53" s="20" t="n">
        <v>84.62</v>
      </c>
      <c r="AW53" s="20" t="n">
        <v>84.62</v>
      </c>
      <c r="AX53" s="20" t="n">
        <v>84.62</v>
      </c>
      <c r="AY53" s="20" t="n">
        <v>84.62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390.15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362.25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705.65</v>
      </c>
      <c r="E56" s="35" t="n">
        <v>1178.46</v>
      </c>
      <c r="F56" s="35" t="n">
        <v>715.8900000000001</v>
      </c>
      <c r="G56" s="35" t="n">
        <v>767.48</v>
      </c>
      <c r="H56" s="35" t="n">
        <v>792.45</v>
      </c>
      <c r="I56" s="35" t="n">
        <v>912.6900000000001</v>
      </c>
      <c r="J56" s="35" t="n">
        <v>954.5700000000001</v>
      </c>
      <c r="K56" s="35" t="n">
        <v>976.21</v>
      </c>
      <c r="L56" s="35" t="n">
        <v>1510.67</v>
      </c>
      <c r="M56" s="35" t="n">
        <v>922.71</v>
      </c>
      <c r="N56" s="35" t="n">
        <v>1185.68</v>
      </c>
      <c r="O56" s="35" t="n">
        <v>841.52</v>
      </c>
      <c r="P56" s="35" t="n">
        <v>842.27</v>
      </c>
      <c r="Q56" s="35" t="n">
        <v>973.73</v>
      </c>
      <c r="R56" s="35" t="n">
        <v>834.73</v>
      </c>
      <c r="S56" s="35" t="n">
        <v>812.54</v>
      </c>
      <c r="T56" s="85" t="n">
        <v>775.24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7977.11</v>
      </c>
      <c r="E57" s="19" t="n">
        <v>7977.11</v>
      </c>
      <c r="F57" s="19" t="n">
        <v>7977.11</v>
      </c>
      <c r="G57" s="19" t="n">
        <v>7977.11</v>
      </c>
      <c r="H57" s="19" t="n">
        <v>7977.11</v>
      </c>
      <c r="I57" s="19" t="n">
        <v>7977.11</v>
      </c>
      <c r="J57" s="19" t="n">
        <v>7977.11</v>
      </c>
      <c r="K57" s="19" t="n">
        <v>7977.11</v>
      </c>
      <c r="L57" s="19" t="n">
        <v>7977.11</v>
      </c>
      <c r="M57" s="19" t="n">
        <v>7977.11</v>
      </c>
      <c r="N57" s="19" t="n">
        <v>7977.11</v>
      </c>
      <c r="O57" s="19" t="n">
        <v>7977.11</v>
      </c>
      <c r="P57" s="19" t="n">
        <v>7977.11</v>
      </c>
      <c r="Q57" s="19" t="n">
        <v>7977.11</v>
      </c>
      <c r="R57" s="19" t="n">
        <v>7977.11</v>
      </c>
      <c r="S57" s="19" t="n">
        <v>7977.11</v>
      </c>
      <c r="T57" s="84" t="n">
        <v>8175.32</v>
      </c>
      <c r="U57" s="20" t="n">
        <v>7745.76</v>
      </c>
      <c r="V57" s="20" t="n">
        <v>7745.76</v>
      </c>
      <c r="W57" s="20" t="n">
        <v>7745.76</v>
      </c>
      <c r="X57" s="20" t="n">
        <v>7745.76</v>
      </c>
      <c r="Y57" s="20" t="n">
        <v>7745.76</v>
      </c>
      <c r="Z57" s="20" t="n">
        <v>7745.76</v>
      </c>
      <c r="AA57" s="20" t="n">
        <v>7745.76</v>
      </c>
      <c r="AB57" s="20" t="n">
        <v>7745.76</v>
      </c>
      <c r="AC57" s="20" t="n">
        <v>7745.76</v>
      </c>
      <c r="AD57" s="20" t="n">
        <v>7745.76</v>
      </c>
      <c r="AE57" s="20" t="n">
        <v>7745.76</v>
      </c>
      <c r="AF57" s="20" t="n">
        <v>7745.76</v>
      </c>
      <c r="AG57" s="20" t="n">
        <v>7745.76</v>
      </c>
      <c r="AH57" s="20" t="n">
        <v>7745.76</v>
      </c>
      <c r="AI57" s="20" t="n">
        <v>7745.76</v>
      </c>
      <c r="AJ57" s="20" t="n">
        <v>7745.76</v>
      </c>
      <c r="AK57" s="20" t="n">
        <v>7745.76</v>
      </c>
      <c r="AL57" s="20" t="n">
        <v>7745.76</v>
      </c>
      <c r="AM57" s="20" t="n">
        <v>7745.76</v>
      </c>
      <c r="AN57" s="20" t="n">
        <v>7745.76</v>
      </c>
      <c r="AO57" s="20" t="n">
        <v>7745.76</v>
      </c>
      <c r="AP57" s="20" t="n">
        <v>7745.76</v>
      </c>
      <c r="AQ57" s="20" t="n">
        <v>7745.76</v>
      </c>
      <c r="AR57" s="20" t="n">
        <v>7745.76</v>
      </c>
      <c r="AS57" s="20" t="n">
        <v>7745.76</v>
      </c>
      <c r="AT57" s="20" t="n">
        <v>7745.76</v>
      </c>
      <c r="AU57" s="20" t="n">
        <v>7745.76</v>
      </c>
      <c r="AV57" s="20" t="n">
        <v>7745.76</v>
      </c>
      <c r="AW57" s="20" t="n">
        <v>7745.76</v>
      </c>
      <c r="AX57" s="20" t="n">
        <v>7745.76</v>
      </c>
      <c r="AY57" s="20" t="n">
        <v>7745.76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18.84</v>
      </c>
      <c r="E59" s="19" t="n">
        <v>0</v>
      </c>
      <c r="F59" s="19" t="n">
        <v>83</v>
      </c>
      <c r="G59" s="19" t="n">
        <v>0</v>
      </c>
      <c r="H59" s="19" t="n">
        <v>208.54</v>
      </c>
      <c r="I59" s="19" t="n">
        <v>32.44</v>
      </c>
      <c r="J59" s="19" t="n">
        <v>57.56</v>
      </c>
      <c r="K59" s="19" t="n">
        <v>148.23</v>
      </c>
      <c r="L59" s="19" t="n">
        <v>120.44</v>
      </c>
      <c r="M59" s="19" t="n">
        <v>179.17</v>
      </c>
      <c r="N59" s="19" t="n">
        <v>65.73999999999999</v>
      </c>
      <c r="O59" s="19" t="n">
        <v>127.19</v>
      </c>
      <c r="P59" s="19" t="n">
        <v>101.24</v>
      </c>
      <c r="Q59" s="19" t="n">
        <v>-3.41</v>
      </c>
      <c r="R59" s="19" t="n">
        <v>652.9299999999999</v>
      </c>
      <c r="S59" s="19" t="n">
        <v>434.78</v>
      </c>
      <c r="T59" s="84" t="n">
        <v>385.42</v>
      </c>
      <c r="U59" s="20" t="n">
        <v>289.44</v>
      </c>
      <c r="V59" s="20" t="n">
        <v>289.44</v>
      </c>
      <c r="W59" s="20" t="n">
        <v>289.44</v>
      </c>
      <c r="X59" s="20" t="n">
        <v>289.44</v>
      </c>
      <c r="Y59" s="20" t="n">
        <v>289.44</v>
      </c>
      <c r="Z59" s="20" t="n">
        <v>289.44</v>
      </c>
      <c r="AA59" s="20" t="n">
        <v>289.44</v>
      </c>
      <c r="AB59" s="20" t="n">
        <v>289.44</v>
      </c>
      <c r="AC59" s="20" t="n">
        <v>289.44</v>
      </c>
      <c r="AD59" s="20" t="n">
        <v>289.44</v>
      </c>
      <c r="AE59" s="20" t="n">
        <v>289.44</v>
      </c>
      <c r="AF59" s="20" t="n">
        <v>289.44</v>
      </c>
      <c r="AG59" s="20" t="n">
        <v>289.44</v>
      </c>
      <c r="AH59" s="20" t="n">
        <v>289.44</v>
      </c>
      <c r="AI59" s="20" t="n">
        <v>289.44</v>
      </c>
      <c r="AJ59" s="20" t="n">
        <v>289.44</v>
      </c>
      <c r="AK59" s="20" t="n">
        <v>289.44</v>
      </c>
      <c r="AL59" s="20" t="n">
        <v>289.44</v>
      </c>
      <c r="AM59" s="20" t="n">
        <v>289.44</v>
      </c>
      <c r="AN59" s="20" t="n">
        <v>289.44</v>
      </c>
      <c r="AO59" s="20" t="n">
        <v>289.44</v>
      </c>
      <c r="AP59" s="20" t="n">
        <v>289.44</v>
      </c>
      <c r="AQ59" s="20" t="n">
        <v>289.44</v>
      </c>
      <c r="AR59" s="20" t="n">
        <v>289.44</v>
      </c>
      <c r="AS59" s="20" t="n">
        <v>289.44</v>
      </c>
      <c r="AT59" s="20" t="n">
        <v>289.44</v>
      </c>
      <c r="AU59" s="20" t="n">
        <v>289.44</v>
      </c>
      <c r="AV59" s="20" t="n">
        <v>289.44</v>
      </c>
      <c r="AW59" s="20" t="n">
        <v>289.44</v>
      </c>
      <c r="AX59" s="20" t="n">
        <v>289.44</v>
      </c>
      <c r="AY59" s="20" t="n">
        <v>289.44</v>
      </c>
    </row>
    <row r="60">
      <c r="B60" s="33" t="inlineStr">
        <is>
          <t xml:space="preserve">  705000 Property Maintenance</t>
        </is>
      </c>
      <c r="D60" s="19" t="n">
        <v>8445.57</v>
      </c>
      <c r="E60" s="19" t="n">
        <v>2889.56</v>
      </c>
      <c r="F60" s="19" t="n">
        <v>2889.56</v>
      </c>
      <c r="G60" s="19" t="n">
        <v>2889.56</v>
      </c>
      <c r="H60" s="19" t="n">
        <v>3082.94</v>
      </c>
      <c r="I60" s="19" t="n">
        <v>2889.56</v>
      </c>
      <c r="J60" s="19" t="n">
        <v>2889.56</v>
      </c>
      <c r="K60" s="19" t="n">
        <v>3238.93</v>
      </c>
      <c r="L60" s="19" t="n">
        <v>2889.56</v>
      </c>
      <c r="M60" s="19" t="n">
        <v>2889.56</v>
      </c>
      <c r="N60" s="19" t="n">
        <v>2889.56</v>
      </c>
      <c r="O60" s="19" t="n">
        <v>2889.56</v>
      </c>
      <c r="P60" s="19" t="n">
        <v>2889.56</v>
      </c>
      <c r="Q60" s="19" t="n">
        <v>2889.56</v>
      </c>
      <c r="R60" s="19" t="n">
        <v>3151.05</v>
      </c>
      <c r="S60" s="19" t="n">
        <v>3151.05</v>
      </c>
      <c r="T60" s="84" t="n">
        <v>3151.05</v>
      </c>
      <c r="U60" s="20" t="n">
        <v>2932.71</v>
      </c>
      <c r="V60" s="20" t="n">
        <v>2932.71</v>
      </c>
      <c r="W60" s="20" t="n">
        <v>2932.71</v>
      </c>
      <c r="X60" s="20" t="n">
        <v>2932.71</v>
      </c>
      <c r="Y60" s="20" t="n">
        <v>2932.71</v>
      </c>
      <c r="Z60" s="20" t="n">
        <v>2932.71</v>
      </c>
      <c r="AA60" s="20" t="n">
        <v>2932.71</v>
      </c>
      <c r="AB60" s="20" t="n">
        <v>2932.71</v>
      </c>
      <c r="AC60" s="20" t="n">
        <v>2932.71</v>
      </c>
      <c r="AD60" s="20" t="n">
        <v>2932.71</v>
      </c>
      <c r="AE60" s="20" t="n">
        <v>2932.71</v>
      </c>
      <c r="AF60" s="20" t="n">
        <v>2932.71</v>
      </c>
      <c r="AG60" s="20" t="n">
        <v>2932.71</v>
      </c>
      <c r="AH60" s="20" t="n">
        <v>2932.71</v>
      </c>
      <c r="AI60" s="20" t="n">
        <v>2932.71</v>
      </c>
      <c r="AJ60" s="20" t="n">
        <v>2932.71</v>
      </c>
      <c r="AK60" s="20" t="n">
        <v>2932.71</v>
      </c>
      <c r="AL60" s="20" t="n">
        <v>2932.71</v>
      </c>
      <c r="AM60" s="20" t="n">
        <v>2932.71</v>
      </c>
      <c r="AN60" s="20" t="n">
        <v>2932.71</v>
      </c>
      <c r="AO60" s="20" t="n">
        <v>2932.71</v>
      </c>
      <c r="AP60" s="20" t="n">
        <v>2932.71</v>
      </c>
      <c r="AQ60" s="20" t="n">
        <v>2932.71</v>
      </c>
      <c r="AR60" s="20" t="n">
        <v>2932.71</v>
      </c>
      <c r="AS60" s="20" t="n">
        <v>2932.71</v>
      </c>
      <c r="AT60" s="20" t="n">
        <v>2932.71</v>
      </c>
      <c r="AU60" s="20" t="n">
        <v>2932.71</v>
      </c>
      <c r="AV60" s="20" t="n">
        <v>2932.71</v>
      </c>
      <c r="AW60" s="20" t="n">
        <v>2932.71</v>
      </c>
      <c r="AX60" s="20" t="n">
        <v>2932.71</v>
      </c>
      <c r="AY60" s="20" t="n">
        <v>2932.71</v>
      </c>
    </row>
    <row r="61">
      <c r="B61" s="32" t="inlineStr">
        <is>
          <t>Total Property Costs</t>
        </is>
      </c>
      <c r="C61" s="34" t="n"/>
      <c r="D61" s="35" t="n">
        <v>16441.52</v>
      </c>
      <c r="E61" s="35" t="n">
        <v>10866.67</v>
      </c>
      <c r="F61" s="35" t="n">
        <v>10949.67</v>
      </c>
      <c r="G61" s="35" t="n">
        <v>11061.51</v>
      </c>
      <c r="H61" s="35" t="n">
        <v>11268.59</v>
      </c>
      <c r="I61" s="35" t="n">
        <v>10899.11</v>
      </c>
      <c r="J61" s="35" t="n">
        <v>10924.23</v>
      </c>
      <c r="K61" s="35" t="n">
        <v>11750.48</v>
      </c>
      <c r="L61" s="35" t="n">
        <v>10987.11</v>
      </c>
      <c r="M61" s="35" t="n">
        <v>11045.84</v>
      </c>
      <c r="N61" s="35" t="n">
        <v>10932.41</v>
      </c>
      <c r="O61" s="35" t="n">
        <v>10993.86</v>
      </c>
      <c r="P61" s="35" t="n">
        <v>10967.91</v>
      </c>
      <c r="Q61" s="35" t="n">
        <v>10863.26</v>
      </c>
      <c r="R61" s="35" t="n">
        <v>11781.09</v>
      </c>
      <c r="S61" s="35" t="n">
        <v>11562.94</v>
      </c>
      <c r="T61" s="85" t="n">
        <v>11711.79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63363.81</v>
      </c>
      <c r="E62" s="35" t="n">
        <v>55183.9</v>
      </c>
      <c r="F62" s="35" t="n">
        <v>54273.73</v>
      </c>
      <c r="G62" s="35" t="n">
        <v>48952.3</v>
      </c>
      <c r="H62" s="35" t="n">
        <v>58679.31</v>
      </c>
      <c r="I62" s="35" t="n">
        <v>61128.18</v>
      </c>
      <c r="J62" s="35" t="n">
        <v>64992.52</v>
      </c>
      <c r="K62" s="35" t="n">
        <v>66587.66</v>
      </c>
      <c r="L62" s="35" t="n">
        <v>83147.96000000001</v>
      </c>
      <c r="M62" s="35" t="n">
        <v>63262.3</v>
      </c>
      <c r="N62" s="35" t="n">
        <v>65438.67</v>
      </c>
      <c r="O62" s="35" t="n">
        <v>45437.67999999999</v>
      </c>
      <c r="P62" s="35" t="n">
        <v>44393.07000000001</v>
      </c>
      <c r="Q62" s="35" t="n">
        <v>41425.24999999999</v>
      </c>
      <c r="R62" s="35" t="n">
        <v>44001.7</v>
      </c>
      <c r="S62" s="35" t="n">
        <v>41564.21</v>
      </c>
      <c r="T62" s="85" t="n">
        <v>42742.29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17905.73</v>
      </c>
      <c r="E63" s="35" t="n">
        <v>28937.85</v>
      </c>
      <c r="F63" s="35" t="n">
        <v>37595.06000000001</v>
      </c>
      <c r="G63" s="35" t="n">
        <v>30118.8</v>
      </c>
      <c r="H63" s="35" t="n">
        <v>40990.79000000001</v>
      </c>
      <c r="I63" s="35" t="n">
        <v>26186.46</v>
      </c>
      <c r="J63" s="35" t="n">
        <v>14182.96999999999</v>
      </c>
      <c r="K63" s="35" t="n">
        <v>16023.15000000001</v>
      </c>
      <c r="L63" s="35" t="n">
        <v>431.6399999999849</v>
      </c>
      <c r="M63" s="35" t="n">
        <v>16543.85000000001</v>
      </c>
      <c r="N63" s="35" t="n">
        <v>19764.49000000001</v>
      </c>
      <c r="O63" s="35" t="n">
        <v>46755.34000000003</v>
      </c>
      <c r="P63" s="35" t="n">
        <v>52964.79999999999</v>
      </c>
      <c r="Q63" s="35" t="n">
        <v>44396.35999999999</v>
      </c>
      <c r="R63" s="35" t="n">
        <v>45022.06999999999</v>
      </c>
      <c r="S63" s="35" t="n">
        <v>40267.43</v>
      </c>
      <c r="T63" s="85" t="n">
        <v>43408.37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5752.95</v>
      </c>
      <c r="E65" s="19" t="n">
        <v>5752.95</v>
      </c>
      <c r="F65" s="19" t="n">
        <v>5752.95</v>
      </c>
      <c r="G65" s="19" t="n">
        <v>5752.95</v>
      </c>
      <c r="H65" s="19" t="n">
        <v>5755.1</v>
      </c>
      <c r="I65" s="19" t="n">
        <v>5755.1</v>
      </c>
      <c r="J65" s="19" t="n">
        <v>5755.1</v>
      </c>
      <c r="K65" s="19" t="n">
        <v>5755.1</v>
      </c>
      <c r="L65" s="19" t="n">
        <v>5755.1</v>
      </c>
      <c r="M65" s="19" t="n">
        <v>5755.1</v>
      </c>
      <c r="N65" s="19" t="n">
        <v>5755.1</v>
      </c>
      <c r="O65" s="19" t="n">
        <v>-5630.1</v>
      </c>
      <c r="P65" s="19" t="n">
        <v>4879.31</v>
      </c>
      <c r="Q65" s="19" t="n">
        <v>4879.31</v>
      </c>
      <c r="R65" s="19" t="n">
        <v>4879.31</v>
      </c>
      <c r="S65" s="19" t="n">
        <v>4879.31</v>
      </c>
      <c r="T65" s="84" t="n">
        <v>4879.31</v>
      </c>
      <c r="U65" s="20" t="n">
        <v>4879.31</v>
      </c>
      <c r="V65" s="20" t="n">
        <v>4879.31</v>
      </c>
      <c r="W65" s="20" t="n">
        <v>4879.31</v>
      </c>
      <c r="X65" s="20" t="n">
        <v>4879.31</v>
      </c>
      <c r="Y65" s="20" t="n">
        <v>4879.31</v>
      </c>
      <c r="Z65" s="20" t="n">
        <v>4879.31</v>
      </c>
      <c r="AA65" s="20" t="n">
        <v>4879.31</v>
      </c>
      <c r="AB65" s="20" t="n">
        <v>4879.31</v>
      </c>
      <c r="AC65" s="20" t="n">
        <v>4879.31</v>
      </c>
      <c r="AD65" s="20" t="n">
        <v>4879.31</v>
      </c>
      <c r="AE65" s="20" t="n">
        <v>4879.31</v>
      </c>
      <c r="AF65" s="20" t="n">
        <v>4879.31</v>
      </c>
      <c r="AG65" s="20" t="n">
        <v>4879.31</v>
      </c>
      <c r="AH65" s="20" t="n">
        <v>4879.31</v>
      </c>
      <c r="AI65" s="20" t="n">
        <v>4879.31</v>
      </c>
      <c r="AJ65" s="20" t="n">
        <v>4879.31</v>
      </c>
      <c r="AK65" s="20" t="n">
        <v>4879.31</v>
      </c>
      <c r="AL65" s="20" t="n">
        <v>4879.31</v>
      </c>
      <c r="AM65" s="20" t="n">
        <v>4879.31</v>
      </c>
      <c r="AN65" s="20">
        <f>AN69*0.724626</f>
        <v/>
      </c>
      <c r="AO65" s="20">
        <f>AO69*0.724626</f>
        <v/>
      </c>
      <c r="AP65" s="20">
        <f>AP69*0.724626</f>
        <v/>
      </c>
      <c r="AQ65" s="20">
        <f>AQ69*0.724626</f>
        <v/>
      </c>
      <c r="AR65" s="20">
        <f>AR69*0.724626</f>
        <v/>
      </c>
      <c r="AS65" s="20">
        <f>AS69*0.724626</f>
        <v/>
      </c>
      <c r="AT65" s="20">
        <f>AT69*0.724626</f>
        <v/>
      </c>
      <c r="AU65" s="20">
        <f>AU69*0.724626</f>
        <v/>
      </c>
      <c r="AV65" s="20">
        <f>AV69*0.724626</f>
        <v/>
      </c>
      <c r="AW65" s="20">
        <f>AW69*0.724626</f>
        <v/>
      </c>
      <c r="AX65" s="20">
        <f>AX69*0.724626</f>
        <v/>
      </c>
      <c r="AY65" s="20">
        <f>AY69*0.724626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1397.63</v>
      </c>
      <c r="Q66" s="19" t="n">
        <v>1397.63</v>
      </c>
      <c r="R66" s="19" t="n">
        <v>1397.63</v>
      </c>
      <c r="S66" s="19" t="n">
        <v>2795.22</v>
      </c>
      <c r="T66" s="84" t="n">
        <v>0</v>
      </c>
      <c r="U66" s="20">
        <f>U69*0.259451</f>
        <v/>
      </c>
      <c r="V66" s="20">
        <f>V69*0.259451</f>
        <v/>
      </c>
      <c r="W66" s="20">
        <f>W69*0.259451</f>
        <v/>
      </c>
      <c r="X66" s="20">
        <f>X69*0.259451</f>
        <v/>
      </c>
      <c r="Y66" s="20">
        <f>Y69*0.259451</f>
        <v/>
      </c>
      <c r="Z66" s="20">
        <f>Z69*0.259451</f>
        <v/>
      </c>
      <c r="AA66" s="20">
        <f>AA69*0.259451</f>
        <v/>
      </c>
      <c r="AB66" s="20">
        <f>AB69*0.259451</f>
        <v/>
      </c>
      <c r="AC66" s="20">
        <f>AC69*0.259451</f>
        <v/>
      </c>
      <c r="AD66" s="20">
        <f>AD69*0.259451</f>
        <v/>
      </c>
      <c r="AE66" s="20">
        <f>AE69*0.259451</f>
        <v/>
      </c>
      <c r="AF66" s="20">
        <f>AF69*0.259451</f>
        <v/>
      </c>
      <c r="AG66" s="20">
        <f>AG69*0.259451</f>
        <v/>
      </c>
      <c r="AH66" s="20">
        <f>AH69*0.259451</f>
        <v/>
      </c>
      <c r="AI66" s="20">
        <f>AI69*0.259451</f>
        <v/>
      </c>
      <c r="AJ66" s="20">
        <f>AJ69*0.259451</f>
        <v/>
      </c>
      <c r="AK66" s="20">
        <f>AK69*0.259451</f>
        <v/>
      </c>
      <c r="AL66" s="20">
        <f>AL69*0.259451</f>
        <v/>
      </c>
      <c r="AM66" s="20">
        <f>AM69*0.259451</f>
        <v/>
      </c>
      <c r="AN66" s="20">
        <f>AN69*0.259451</f>
        <v/>
      </c>
      <c r="AO66" s="20">
        <f>AO69*0.259451</f>
        <v/>
      </c>
      <c r="AP66" s="20">
        <f>AP69*0.259451</f>
        <v/>
      </c>
      <c r="AQ66" s="20">
        <f>AQ69*0.259451</f>
        <v/>
      </c>
      <c r="AR66" s="20">
        <f>AR69*0.259451</f>
        <v/>
      </c>
      <c r="AS66" s="20">
        <f>AS69*0.259451</f>
        <v/>
      </c>
      <c r="AT66" s="20">
        <f>AT69*0.259451</f>
        <v/>
      </c>
      <c r="AU66" s="20">
        <f>AU69*0.259451</f>
        <v/>
      </c>
      <c r="AV66" s="20">
        <f>AV69*0.259451</f>
        <v/>
      </c>
      <c r="AW66" s="20">
        <f>AW69*0.259451</f>
        <v/>
      </c>
      <c r="AX66" s="20">
        <f>AX69*0.259451</f>
        <v/>
      </c>
      <c r="AY66" s="20">
        <f>AY69*0.259451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428.89</v>
      </c>
      <c r="R67" s="19" t="n">
        <v>0</v>
      </c>
      <c r="S67" s="19" t="n">
        <v>0</v>
      </c>
      <c r="T67" s="84" t="n">
        <v>0</v>
      </c>
      <c r="U67" s="20">
        <f>U69*0.015924</f>
        <v/>
      </c>
      <c r="V67" s="20">
        <f>V69*0.015924</f>
        <v/>
      </c>
      <c r="W67" s="20">
        <f>W69*0.015924</f>
        <v/>
      </c>
      <c r="X67" s="20">
        <f>X69*0.015924</f>
        <v/>
      </c>
      <c r="Y67" s="20">
        <f>Y69*0.015924</f>
        <v/>
      </c>
      <c r="Z67" s="20">
        <f>Z69*0.015924</f>
        <v/>
      </c>
      <c r="AA67" s="20">
        <f>AA69*0.015924</f>
        <v/>
      </c>
      <c r="AB67" s="20">
        <f>AB69*0.015924</f>
        <v/>
      </c>
      <c r="AC67" s="20">
        <f>AC69*0.015924</f>
        <v/>
      </c>
      <c r="AD67" s="20">
        <f>AD69*0.015924</f>
        <v/>
      </c>
      <c r="AE67" s="20">
        <f>AE69*0.015924</f>
        <v/>
      </c>
      <c r="AF67" s="20">
        <f>AF69*0.015924</f>
        <v/>
      </c>
      <c r="AG67" s="20">
        <f>AG69*0.015924</f>
        <v/>
      </c>
      <c r="AH67" s="20">
        <f>AH69*0.015924</f>
        <v/>
      </c>
      <c r="AI67" s="20">
        <f>AI69*0.015924</f>
        <v/>
      </c>
      <c r="AJ67" s="20">
        <f>AJ69*0.015924</f>
        <v/>
      </c>
      <c r="AK67" s="20">
        <f>AK69*0.015924</f>
        <v/>
      </c>
      <c r="AL67" s="20">
        <f>AL69*0.015924</f>
        <v/>
      </c>
      <c r="AM67" s="20">
        <f>AM69*0.015924</f>
        <v/>
      </c>
      <c r="AN67" s="20">
        <f>AN69*0.015924</f>
        <v/>
      </c>
      <c r="AO67" s="20">
        <f>AO69*0.015924</f>
        <v/>
      </c>
      <c r="AP67" s="20">
        <f>AP69*0.015924</f>
        <v/>
      </c>
      <c r="AQ67" s="20">
        <f>AQ69*0.015924</f>
        <v/>
      </c>
      <c r="AR67" s="20">
        <f>AR69*0.015924</f>
        <v/>
      </c>
      <c r="AS67" s="20">
        <f>AS69*0.015924</f>
        <v/>
      </c>
      <c r="AT67" s="20">
        <f>AT69*0.015924</f>
        <v/>
      </c>
      <c r="AU67" s="20">
        <f>AU69*0.015924</f>
        <v/>
      </c>
      <c r="AV67" s="20">
        <f>AV69*0.015924</f>
        <v/>
      </c>
      <c r="AW67" s="20">
        <f>AW69*0.015924</f>
        <v/>
      </c>
      <c r="AX67" s="20">
        <f>AX69*0.015924</f>
        <v/>
      </c>
      <c r="AY67" s="20">
        <f>AY69*0.015924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0</v>
      </c>
      <c r="J68" s="19" t="n">
        <v>0</v>
      </c>
      <c r="K68" s="19" t="n">
        <v>0</v>
      </c>
      <c r="L68" s="19" t="n">
        <v>0</v>
      </c>
      <c r="M68" s="19" t="n">
        <v>1016.12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5752.95</v>
      </c>
      <c r="E69" s="35" t="n">
        <v>5752.95</v>
      </c>
      <c r="F69" s="35" t="n">
        <v>5752.95</v>
      </c>
      <c r="G69" s="35" t="n">
        <v>5752.95</v>
      </c>
      <c r="H69" s="35" t="n">
        <v>5755.1</v>
      </c>
      <c r="I69" s="35" t="n">
        <v>5755.1</v>
      </c>
      <c r="J69" s="35" t="n">
        <v>5755.1</v>
      </c>
      <c r="K69" s="35" t="n">
        <v>5755.1</v>
      </c>
      <c r="L69" s="35" t="n">
        <v>5755.1</v>
      </c>
      <c r="M69" s="35" t="n">
        <v>8168.85</v>
      </c>
      <c r="N69" s="35" t="n">
        <v>7152.73</v>
      </c>
      <c r="O69" s="35" t="n">
        <v>-4232.47</v>
      </c>
      <c r="P69" s="35" t="n">
        <v>6276.940000000001</v>
      </c>
      <c r="Q69" s="35" t="n">
        <v>6705.830000000001</v>
      </c>
      <c r="R69" s="35" t="n">
        <v>6276.940000000001</v>
      </c>
      <c r="S69" s="35" t="n">
        <v>7674.530000000001</v>
      </c>
      <c r="T69" s="85" t="n">
        <v>4879.31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12152.78</v>
      </c>
      <c r="E70" s="35" t="n">
        <v>23184.9</v>
      </c>
      <c r="F70" s="35" t="n">
        <v>31842.11000000001</v>
      </c>
      <c r="G70" s="35" t="n">
        <v>24365.84999999999</v>
      </c>
      <c r="H70" s="35" t="n">
        <v>35235.69000000001</v>
      </c>
      <c r="I70" s="35" t="n">
        <v>20431.36</v>
      </c>
      <c r="J70" s="35" t="n">
        <v>8427.869999999986</v>
      </c>
      <c r="K70" s="35" t="n">
        <v>10268.05000000001</v>
      </c>
      <c r="L70" s="35" t="n">
        <v>-5323.460000000015</v>
      </c>
      <c r="M70" s="35" t="n">
        <v>8375.000000000005</v>
      </c>
      <c r="N70" s="35" t="n">
        <v>12611.76000000001</v>
      </c>
      <c r="O70" s="35" t="n">
        <v>50987.81000000003</v>
      </c>
      <c r="P70" s="35" t="n">
        <v>46687.85999999999</v>
      </c>
      <c r="Q70" s="35" t="n">
        <v>37690.52999999999</v>
      </c>
      <c r="R70" s="35" t="n">
        <v>38745.12999999999</v>
      </c>
      <c r="S70" s="35" t="n">
        <v>32592.9</v>
      </c>
      <c r="T70" s="85" t="n">
        <v>38529.06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D6" sqref="D6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Marin (MR)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41</v>
      </c>
      <c r="E7" s="19" t="n">
        <v>0</v>
      </c>
      <c r="F7" s="19" t="n">
        <v>0</v>
      </c>
      <c r="G7" s="19" t="n">
        <v>2253.89</v>
      </c>
      <c r="H7" s="19" t="n">
        <v>28861.02</v>
      </c>
      <c r="I7" s="19" t="n">
        <v>43872.6</v>
      </c>
      <c r="J7" s="19" t="n">
        <v>43488.24</v>
      </c>
      <c r="K7" s="19" t="n">
        <v>48689.39</v>
      </c>
      <c r="L7" s="19" t="n">
        <v>52237.45</v>
      </c>
      <c r="M7" s="19" t="n">
        <v>52310.79</v>
      </c>
      <c r="N7" s="19" t="n">
        <v>52232.59</v>
      </c>
      <c r="O7" s="19" t="n">
        <v>53926.73</v>
      </c>
      <c r="P7" s="19" t="n">
        <v>66390.10000000001</v>
      </c>
      <c r="Q7" s="19" t="n">
        <v>57638.22</v>
      </c>
      <c r="R7" s="19" t="n">
        <v>61907.98</v>
      </c>
      <c r="S7" s="19" t="n">
        <v>57698.67</v>
      </c>
      <c r="T7" s="84" t="n">
        <v>58826.6</v>
      </c>
      <c r="U7" s="20">
        <f>U13*0.654758</f>
        <v/>
      </c>
      <c r="V7" s="20">
        <f>V13*0.654758</f>
        <v/>
      </c>
      <c r="W7" s="20">
        <f>W13*0.654758</f>
        <v/>
      </c>
      <c r="X7" s="20">
        <f>X13*0.654758</f>
        <v/>
      </c>
      <c r="Y7" s="20">
        <f>Y13*0.654758</f>
        <v/>
      </c>
      <c r="Z7" s="20">
        <f>Z13*0.654758</f>
        <v/>
      </c>
      <c r="AA7" s="20">
        <f>AA13*0.654758</f>
        <v/>
      </c>
      <c r="AB7" s="20">
        <f>AB13*0.654758</f>
        <v/>
      </c>
      <c r="AC7" s="20">
        <f>AC13*0.654758</f>
        <v/>
      </c>
      <c r="AD7" s="20">
        <f>AD13*0.654758</f>
        <v/>
      </c>
      <c r="AE7" s="20">
        <f>AE13*0.654758</f>
        <v/>
      </c>
      <c r="AF7" s="20">
        <f>AF13*0.654758</f>
        <v/>
      </c>
      <c r="AG7" s="20">
        <f>AG13*0.654758</f>
        <v/>
      </c>
      <c r="AH7" s="20">
        <f>AH13*0.654758</f>
        <v/>
      </c>
      <c r="AI7" s="20">
        <f>AI13*0.654758</f>
        <v/>
      </c>
      <c r="AJ7" s="20">
        <f>AJ13*0.654758</f>
        <v/>
      </c>
      <c r="AK7" s="20">
        <f>AK13*0.654758</f>
        <v/>
      </c>
      <c r="AL7" s="20">
        <f>AL13*0.654758</f>
        <v/>
      </c>
      <c r="AM7" s="20">
        <f>AM13*0.654758</f>
        <v/>
      </c>
      <c r="AN7" s="20">
        <f>AN13*0.654758</f>
        <v/>
      </c>
      <c r="AO7" s="20">
        <f>AO13*0.654758</f>
        <v/>
      </c>
      <c r="AP7" s="20">
        <f>AP13*0.654758</f>
        <v/>
      </c>
      <c r="AQ7" s="20">
        <f>AQ13*0.654758</f>
        <v/>
      </c>
      <c r="AR7" s="20">
        <f>AR13*0.654758</f>
        <v/>
      </c>
      <c r="AS7" s="20">
        <f>AS13*0.654758</f>
        <v/>
      </c>
      <c r="AT7" s="20">
        <f>AT13*0.654758</f>
        <v/>
      </c>
      <c r="AU7" s="20">
        <f>AU13*0.654758</f>
        <v/>
      </c>
      <c r="AV7" s="20">
        <f>AV13*0.654758</f>
        <v/>
      </c>
      <c r="AW7" s="20">
        <f>AW13*0.654758</f>
        <v/>
      </c>
      <c r="AX7" s="20">
        <f>AX13*0.654758</f>
        <v/>
      </c>
      <c r="AY7" s="20">
        <f>AY13*0.654758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1482</v>
      </c>
      <c r="H8" s="19" t="n">
        <v>3928</v>
      </c>
      <c r="I8" s="19" t="n">
        <v>6650</v>
      </c>
      <c r="J8" s="19" t="n">
        <v>9431</v>
      </c>
      <c r="K8" s="19" t="n">
        <v>10491.11</v>
      </c>
      <c r="L8" s="19" t="n">
        <v>11501.74</v>
      </c>
      <c r="M8" s="19" t="n">
        <v>12151.47</v>
      </c>
      <c r="N8" s="19" t="n">
        <v>9104.370000000001</v>
      </c>
      <c r="O8" s="19" t="n">
        <v>9766</v>
      </c>
      <c r="P8" s="19" t="n">
        <v>13459.2</v>
      </c>
      <c r="Q8" s="19" t="n">
        <v>12282.8</v>
      </c>
      <c r="R8" s="19" t="n">
        <v>19346.2</v>
      </c>
      <c r="S8" s="19" t="n">
        <v>18371.4</v>
      </c>
      <c r="T8" s="84" t="n">
        <v>13628</v>
      </c>
      <c r="U8" s="20">
        <f>U13*0.170545</f>
        <v/>
      </c>
      <c r="V8" s="20">
        <f>V13*0.170545</f>
        <v/>
      </c>
      <c r="W8" s="20">
        <f>W13*0.170545</f>
        <v/>
      </c>
      <c r="X8" s="20">
        <f>X13*0.170545</f>
        <v/>
      </c>
      <c r="Y8" s="20">
        <f>Y13*0.170545</f>
        <v/>
      </c>
      <c r="Z8" s="20">
        <f>Z13*0.170545</f>
        <v/>
      </c>
      <c r="AA8" s="20">
        <f>AA13*0.170545</f>
        <v/>
      </c>
      <c r="AB8" s="20">
        <f>AB13*0.170545</f>
        <v/>
      </c>
      <c r="AC8" s="20">
        <f>AC13*0.170545</f>
        <v/>
      </c>
      <c r="AD8" s="20">
        <f>AD13*0.170545</f>
        <v/>
      </c>
      <c r="AE8" s="20">
        <f>AE13*0.170545</f>
        <v/>
      </c>
      <c r="AF8" s="20">
        <f>AF13*0.170545</f>
        <v/>
      </c>
      <c r="AG8" s="20">
        <f>AG13*0.170545</f>
        <v/>
      </c>
      <c r="AH8" s="20">
        <f>AH13*0.170545</f>
        <v/>
      </c>
      <c r="AI8" s="20">
        <f>AI13*0.170545</f>
        <v/>
      </c>
      <c r="AJ8" s="20">
        <f>AJ13*0.170545</f>
        <v/>
      </c>
      <c r="AK8" s="20">
        <f>AK13*0.170545</f>
        <v/>
      </c>
      <c r="AL8" s="20">
        <f>AL13*0.170545</f>
        <v/>
      </c>
      <c r="AM8" s="20">
        <f>AM13*0.170545</f>
        <v/>
      </c>
      <c r="AN8" s="20">
        <f>AN13*0.170545</f>
        <v/>
      </c>
      <c r="AO8" s="20">
        <f>AO13*0.170545</f>
        <v/>
      </c>
      <c r="AP8" s="20">
        <f>AP13*0.170545</f>
        <v/>
      </c>
      <c r="AQ8" s="20">
        <f>AQ13*0.170545</f>
        <v/>
      </c>
      <c r="AR8" s="20">
        <f>AR13*0.170545</f>
        <v/>
      </c>
      <c r="AS8" s="20">
        <f>AS13*0.170545</f>
        <v/>
      </c>
      <c r="AT8" s="20">
        <f>AT13*0.170545</f>
        <v/>
      </c>
      <c r="AU8" s="20">
        <f>AU13*0.170545</f>
        <v/>
      </c>
      <c r="AV8" s="20">
        <f>AV13*0.170545</f>
        <v/>
      </c>
      <c r="AW8" s="20">
        <f>AW13*0.170545</f>
        <v/>
      </c>
      <c r="AX8" s="20">
        <f>AX13*0.170545</f>
        <v/>
      </c>
      <c r="AY8" s="20">
        <f>AY13*0.170545</f>
        <v/>
      </c>
    </row>
    <row r="9">
      <c r="B9" s="33" t="inlineStr">
        <is>
          <t xml:space="preserve">  401003 Class Pass</t>
        </is>
      </c>
      <c r="D9" s="19" t="n">
        <v>14810.8</v>
      </c>
      <c r="E9" s="19" t="n">
        <v>13784.12</v>
      </c>
      <c r="F9" s="19" t="n">
        <v>15759.03</v>
      </c>
      <c r="G9" s="19" t="n">
        <v>12950.11</v>
      </c>
      <c r="H9" s="19" t="n">
        <v>15157.7</v>
      </c>
      <c r="I9" s="19" t="n">
        <v>13042.36</v>
      </c>
      <c r="J9" s="19" t="n">
        <v>13417.1</v>
      </c>
      <c r="K9" s="19" t="n">
        <v>13646.89</v>
      </c>
      <c r="L9" s="19" t="n">
        <v>13218.05</v>
      </c>
      <c r="M9" s="19" t="n">
        <v>14113.32</v>
      </c>
      <c r="N9" s="19" t="n">
        <v>13727.82</v>
      </c>
      <c r="O9" s="19" t="n">
        <v>13226.33</v>
      </c>
      <c r="P9" s="19" t="n">
        <v>16446.44</v>
      </c>
      <c r="Q9" s="19" t="n">
        <v>14096.07</v>
      </c>
      <c r="R9" s="19" t="n">
        <v>15599.46</v>
      </c>
      <c r="S9" s="19" t="n">
        <v>15734</v>
      </c>
      <c r="T9" s="84" t="n">
        <v>13231.37</v>
      </c>
      <c r="U9" s="20">
        <f>U13*0.166289</f>
        <v/>
      </c>
      <c r="V9" s="20">
        <f>V13*0.166289</f>
        <v/>
      </c>
      <c r="W9" s="20">
        <f>W13*0.166289</f>
        <v/>
      </c>
      <c r="X9" s="20">
        <f>X13*0.166289</f>
        <v/>
      </c>
      <c r="Y9" s="20">
        <f>Y13*0.166289</f>
        <v/>
      </c>
      <c r="Z9" s="20">
        <f>Z13*0.166289</f>
        <v/>
      </c>
      <c r="AA9" s="20">
        <f>AA13*0.166289</f>
        <v/>
      </c>
      <c r="AB9" s="20">
        <f>AB13*0.166289</f>
        <v/>
      </c>
      <c r="AC9" s="20">
        <f>AC13*0.166289</f>
        <v/>
      </c>
      <c r="AD9" s="20">
        <f>AD13*0.166289</f>
        <v/>
      </c>
      <c r="AE9" s="20">
        <f>AE13*0.166289</f>
        <v/>
      </c>
      <c r="AF9" s="20">
        <f>AF13*0.166289</f>
        <v/>
      </c>
      <c r="AG9" s="20">
        <f>AG13*0.166289</f>
        <v/>
      </c>
      <c r="AH9" s="20">
        <f>AH13*0.166289</f>
        <v/>
      </c>
      <c r="AI9" s="20">
        <f>AI13*0.166289</f>
        <v/>
      </c>
      <c r="AJ9" s="20">
        <f>AJ13*0.166289</f>
        <v/>
      </c>
      <c r="AK9" s="20">
        <f>AK13*0.166289</f>
        <v/>
      </c>
      <c r="AL9" s="20">
        <f>AL13*0.166289</f>
        <v/>
      </c>
      <c r="AM9" s="20">
        <f>AM13*0.166289</f>
        <v/>
      </c>
      <c r="AN9" s="20">
        <f>AN13*0.166289</f>
        <v/>
      </c>
      <c r="AO9" s="20">
        <f>AO13*0.166289</f>
        <v/>
      </c>
      <c r="AP9" s="20">
        <f>AP13*0.166289</f>
        <v/>
      </c>
      <c r="AQ9" s="20">
        <f>AQ13*0.166289</f>
        <v/>
      </c>
      <c r="AR9" s="20">
        <f>AR13*0.166289</f>
        <v/>
      </c>
      <c r="AS9" s="20">
        <f>AS13*0.166289</f>
        <v/>
      </c>
      <c r="AT9" s="20">
        <f>AT13*0.166289</f>
        <v/>
      </c>
      <c r="AU9" s="20">
        <f>AU13*0.166289</f>
        <v/>
      </c>
      <c r="AV9" s="20">
        <f>AV13*0.166289</f>
        <v/>
      </c>
      <c r="AW9" s="20">
        <f>AW13*0.166289</f>
        <v/>
      </c>
      <c r="AX9" s="20">
        <f>AX13*0.166289</f>
        <v/>
      </c>
      <c r="AY9" s="20">
        <f>AY13*0.166289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960</v>
      </c>
      <c r="I10" s="19" t="n">
        <v>1000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17744.69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0" t="n">
        <v>0</v>
      </c>
      <c r="AQ10" s="20" t="n">
        <v>0</v>
      </c>
      <c r="AR10" s="20" t="n">
        <v>0</v>
      </c>
      <c r="AS10" s="20" t="n">
        <v>0</v>
      </c>
      <c r="AT10" s="20" t="n">
        <v>0</v>
      </c>
      <c r="AU10" s="20" t="n">
        <v>0</v>
      </c>
      <c r="AV10" s="20" t="n">
        <v>0</v>
      </c>
      <c r="AW10" s="20" t="n">
        <v>0</v>
      </c>
      <c r="AX10" s="20" t="n">
        <v>0</v>
      </c>
      <c r="AY10" s="20" t="n">
        <v>0</v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241.29</v>
      </c>
      <c r="J11" s="19" t="n">
        <v>101.45</v>
      </c>
      <c r="K11" s="19" t="n">
        <v>57.59</v>
      </c>
      <c r="L11" s="19" t="n">
        <v>54.07</v>
      </c>
      <c r="M11" s="19" t="n">
        <v>16.13</v>
      </c>
      <c r="N11" s="19" t="n">
        <v>22.86</v>
      </c>
      <c r="O11" s="19" t="n">
        <v>30.18</v>
      </c>
      <c r="P11" s="19" t="n">
        <v>58.96</v>
      </c>
      <c r="Q11" s="19" t="n">
        <v>124.33</v>
      </c>
      <c r="R11" s="19" t="n">
        <v>48.89</v>
      </c>
      <c r="S11" s="19" t="n">
        <v>48.07</v>
      </c>
      <c r="T11" s="84" t="n">
        <v>35.16</v>
      </c>
      <c r="U11" s="20">
        <f>U13*0.000753</f>
        <v/>
      </c>
      <c r="V11" s="20">
        <f>V13*0.000753</f>
        <v/>
      </c>
      <c r="W11" s="20">
        <f>W13*0.000753</f>
        <v/>
      </c>
      <c r="X11" s="20">
        <f>X13*0.000753</f>
        <v/>
      </c>
      <c r="Y11" s="20">
        <f>Y13*0.000753</f>
        <v/>
      </c>
      <c r="Z11" s="20">
        <f>Z13*0.000753</f>
        <v/>
      </c>
      <c r="AA11" s="20">
        <f>AA13*0.000753</f>
        <v/>
      </c>
      <c r="AB11" s="20">
        <f>AB13*0.000753</f>
        <v/>
      </c>
      <c r="AC11" s="20">
        <f>AC13*0.000753</f>
        <v/>
      </c>
      <c r="AD11" s="20">
        <f>AD13*0.000753</f>
        <v/>
      </c>
      <c r="AE11" s="20">
        <f>AE13*0.000753</f>
        <v/>
      </c>
      <c r="AF11" s="20">
        <f>AF13*0.000753</f>
        <v/>
      </c>
      <c r="AG11" s="20">
        <f>AG13*0.000753</f>
        <v/>
      </c>
      <c r="AH11" s="20">
        <f>AH13*0.000753</f>
        <v/>
      </c>
      <c r="AI11" s="20">
        <f>AI13*0.000753</f>
        <v/>
      </c>
      <c r="AJ11" s="20">
        <f>AJ13*0.000753</f>
        <v/>
      </c>
      <c r="AK11" s="20">
        <f>AK13*0.000753</f>
        <v/>
      </c>
      <c r="AL11" s="20">
        <f>AL13*0.000753</f>
        <v/>
      </c>
      <c r="AM11" s="20">
        <f>AM13*0.000753</f>
        <v/>
      </c>
      <c r="AN11" s="20">
        <f>AN13*0.000753</f>
        <v/>
      </c>
      <c r="AO11" s="20">
        <f>AO13*0.000753</f>
        <v/>
      </c>
      <c r="AP11" s="20">
        <f>AP13*0.000753</f>
        <v/>
      </c>
      <c r="AQ11" s="20">
        <f>AQ13*0.000753</f>
        <v/>
      </c>
      <c r="AR11" s="20">
        <f>AR13*0.000753</f>
        <v/>
      </c>
      <c r="AS11" s="20">
        <f>AS13*0.000753</f>
        <v/>
      </c>
      <c r="AT11" s="20">
        <f>AT13*0.000753</f>
        <v/>
      </c>
      <c r="AU11" s="20">
        <f>AU13*0.000753</f>
        <v/>
      </c>
      <c r="AV11" s="20">
        <f>AV13*0.000753</f>
        <v/>
      </c>
      <c r="AW11" s="20">
        <f>AW13*0.000753</f>
        <v/>
      </c>
      <c r="AX11" s="20">
        <f>AX13*0.000753</f>
        <v/>
      </c>
      <c r="AY11" s="20">
        <f>AY13*0.000753</f>
        <v/>
      </c>
    </row>
    <row r="12">
      <c r="B12" s="33" t="inlineStr">
        <is>
          <t xml:space="preserve">  401006 Wellhub</t>
        </is>
      </c>
      <c r="D12" s="19" t="n">
        <v>511.88</v>
      </c>
      <c r="E12" s="19" t="n">
        <v>436.77</v>
      </c>
      <c r="F12" s="19" t="n">
        <v>612.02</v>
      </c>
      <c r="G12" s="19" t="n">
        <v>642.61</v>
      </c>
      <c r="H12" s="19" t="n">
        <v>556.4</v>
      </c>
      <c r="I12" s="19" t="n">
        <v>798.4299999999999</v>
      </c>
      <c r="J12" s="19" t="n">
        <v>575.87</v>
      </c>
      <c r="K12" s="19" t="n">
        <v>826.23</v>
      </c>
      <c r="L12" s="19" t="n">
        <v>826.25</v>
      </c>
      <c r="M12" s="19" t="n">
        <v>333.84</v>
      </c>
      <c r="N12" s="19" t="n">
        <v>445.12</v>
      </c>
      <c r="O12" s="19" t="n">
        <v>500.76</v>
      </c>
      <c r="P12" s="19" t="n">
        <v>973.6799999999999</v>
      </c>
      <c r="Q12" s="19" t="n">
        <v>603.6900000000001</v>
      </c>
      <c r="R12" s="19" t="n">
        <v>687.15</v>
      </c>
      <c r="S12" s="19" t="n">
        <v>584.2</v>
      </c>
      <c r="T12" s="84" t="n">
        <v>556.38</v>
      </c>
      <c r="U12" s="20">
        <f>U13*0.007656</f>
        <v/>
      </c>
      <c r="V12" s="20">
        <f>V13*0.007656</f>
        <v/>
      </c>
      <c r="W12" s="20">
        <f>W13*0.007656</f>
        <v/>
      </c>
      <c r="X12" s="20">
        <f>X13*0.007656</f>
        <v/>
      </c>
      <c r="Y12" s="20">
        <f>Y13*0.007656</f>
        <v/>
      </c>
      <c r="Z12" s="20">
        <f>Z13*0.007656</f>
        <v/>
      </c>
      <c r="AA12" s="20">
        <f>AA13*0.007656</f>
        <v/>
      </c>
      <c r="AB12" s="20">
        <f>AB13*0.007656</f>
        <v/>
      </c>
      <c r="AC12" s="20">
        <f>AC13*0.007656</f>
        <v/>
      </c>
      <c r="AD12" s="20">
        <f>AD13*0.007656</f>
        <v/>
      </c>
      <c r="AE12" s="20">
        <f>AE13*0.007656</f>
        <v/>
      </c>
      <c r="AF12" s="20">
        <f>AF13*0.007656</f>
        <v/>
      </c>
      <c r="AG12" s="20">
        <f>AG13*0.007656</f>
        <v/>
      </c>
      <c r="AH12" s="20">
        <f>AH13*0.007656</f>
        <v/>
      </c>
      <c r="AI12" s="20">
        <f>AI13*0.007656</f>
        <v/>
      </c>
      <c r="AJ12" s="20">
        <f>AJ13*0.007656</f>
        <v/>
      </c>
      <c r="AK12" s="20">
        <f>AK13*0.007656</f>
        <v/>
      </c>
      <c r="AL12" s="20">
        <f>AL13*0.007656</f>
        <v/>
      </c>
      <c r="AM12" s="20">
        <f>AM13*0.007656</f>
        <v/>
      </c>
      <c r="AN12" s="20">
        <f>AN13*0.007656</f>
        <v/>
      </c>
      <c r="AO12" s="20">
        <f>AO13*0.007656</f>
        <v/>
      </c>
      <c r="AP12" s="20">
        <f>AP13*0.007656</f>
        <v/>
      </c>
      <c r="AQ12" s="20">
        <f>AQ13*0.007656</f>
        <v/>
      </c>
      <c r="AR12" s="20">
        <f>AR13*0.007656</f>
        <v/>
      </c>
      <c r="AS12" s="20">
        <f>AS13*0.007656</f>
        <v/>
      </c>
      <c r="AT12" s="20">
        <f>AT13*0.007656</f>
        <v/>
      </c>
      <c r="AU12" s="20">
        <f>AU13*0.007656</f>
        <v/>
      </c>
      <c r="AV12" s="20">
        <f>AV13*0.007656</f>
        <v/>
      </c>
      <c r="AW12" s="20">
        <f>AW13*0.007656</f>
        <v/>
      </c>
      <c r="AX12" s="20">
        <f>AX13*0.007656</f>
        <v/>
      </c>
      <c r="AY12" s="20">
        <f>AY13*0.007656</f>
        <v/>
      </c>
    </row>
    <row r="13">
      <c r="B13" s="32" t="inlineStr">
        <is>
          <t>Total Sessions</t>
        </is>
      </c>
      <c r="C13" s="34" t="n"/>
      <c r="D13" s="35" t="n">
        <v>15363.68</v>
      </c>
      <c r="E13" s="35" t="n">
        <v>14220.89</v>
      </c>
      <c r="F13" s="35" t="n">
        <v>16371.05</v>
      </c>
      <c r="G13" s="35" t="n">
        <v>17328.61</v>
      </c>
      <c r="H13" s="35" t="n">
        <v>49463.12</v>
      </c>
      <c r="I13" s="35" t="n">
        <v>65604.67999999999</v>
      </c>
      <c r="J13" s="35" t="n">
        <v>67013.65999999999</v>
      </c>
      <c r="K13" s="35" t="n">
        <v>73711.20999999999</v>
      </c>
      <c r="L13" s="35" t="n">
        <v>77837.56</v>
      </c>
      <c r="M13" s="35" t="n">
        <v>78925.55</v>
      </c>
      <c r="N13" s="35" t="n">
        <v>75532.75999999999</v>
      </c>
      <c r="O13" s="35" t="n">
        <v>77449.99999999999</v>
      </c>
      <c r="P13" s="35" t="n">
        <v>97328.38</v>
      </c>
      <c r="Q13" s="35" t="n">
        <v>84745.11</v>
      </c>
      <c r="R13" s="35" t="n">
        <v>97589.68000000001</v>
      </c>
      <c r="S13" s="35" t="n">
        <v>92436.34</v>
      </c>
      <c r="T13" s="85" t="n">
        <v>104022.2</v>
      </c>
      <c r="U13" s="17">
        <f>'Sales Forecast'!U10*Assumptions!$C$12+'Sales Forecast'!T10*Assumptions!$D$12+'Sales Forecast'!S10*Assumptions!$E$12+'Sales Forecast'!R10*Assumptions!$F$12+'Sales Forecast'!Q10*Assumptions!$G$12+'Sales Forecast'!P10*Assumptions!$H$12+'Sales Forecast'!U106*Assumptions!$I$12</f>
        <v/>
      </c>
      <c r="V13" s="17">
        <f>'Sales Forecast'!V10*Assumptions!$C$12+'Sales Forecast'!U10*Assumptions!$D$12+'Sales Forecast'!T10*Assumptions!$E$12+'Sales Forecast'!S10*Assumptions!$F$12+'Sales Forecast'!R10*Assumptions!$G$12+'Sales Forecast'!Q10*Assumptions!$H$12+'Sales Forecast'!P10*Assumptions!$I$12</f>
        <v/>
      </c>
      <c r="W13" s="17">
        <f>'Sales Forecast'!W10*Assumptions!$C$12+'Sales Forecast'!V10*Assumptions!$D$12+'Sales Forecast'!U10*Assumptions!$E$12+'Sales Forecast'!T10*Assumptions!$F$12+'Sales Forecast'!S10*Assumptions!$G$12+'Sales Forecast'!R10*Assumptions!$H$12+'Sales Forecast'!Q10*Assumptions!$I$12</f>
        <v/>
      </c>
      <c r="X13" s="17">
        <f>'Sales Forecast'!X10*Assumptions!$C$12+'Sales Forecast'!W10*Assumptions!$D$12+'Sales Forecast'!V10*Assumptions!$E$12+'Sales Forecast'!U10*Assumptions!$F$12+'Sales Forecast'!T10*Assumptions!$G$12+'Sales Forecast'!S10*Assumptions!$H$12+'Sales Forecast'!R10*Assumptions!$I$12</f>
        <v/>
      </c>
      <c r="Y13" s="17">
        <f>'Sales Forecast'!Y10*Assumptions!$C$12+'Sales Forecast'!X10*Assumptions!$D$12+'Sales Forecast'!W10*Assumptions!$E$12+'Sales Forecast'!V10*Assumptions!$F$12+'Sales Forecast'!U10*Assumptions!$G$12+'Sales Forecast'!T10*Assumptions!$H$12+'Sales Forecast'!S10*Assumptions!$I$12</f>
        <v/>
      </c>
      <c r="Z13" s="17">
        <f>'Sales Forecast'!Z10*Assumptions!$C$12+'Sales Forecast'!Y10*Assumptions!$D$12+'Sales Forecast'!X10*Assumptions!$E$12+'Sales Forecast'!W10*Assumptions!$F$12+'Sales Forecast'!V10*Assumptions!$G$12+'Sales Forecast'!U10*Assumptions!$H$12+'Sales Forecast'!T10*Assumptions!$I$12</f>
        <v/>
      </c>
      <c r="AA13" s="17">
        <f>'Sales Forecast'!AA10*Assumptions!$C$12+'Sales Forecast'!Z10*Assumptions!$D$12+'Sales Forecast'!Y10*Assumptions!$E$12+'Sales Forecast'!X10*Assumptions!$F$12+'Sales Forecast'!W10*Assumptions!$G$12+'Sales Forecast'!V10*Assumptions!$H$12+'Sales Forecast'!U10*Assumptions!$I$12</f>
        <v/>
      </c>
      <c r="AB13" s="17">
        <f>'Sales Forecast'!AB10*Assumptions!$C$12+'Sales Forecast'!AA10*Assumptions!$D$12+'Sales Forecast'!Z10*Assumptions!$E$12+'Sales Forecast'!Y10*Assumptions!$F$12+'Sales Forecast'!X10*Assumptions!$G$12+'Sales Forecast'!W10*Assumptions!$H$12+'Sales Forecast'!V10*Assumptions!$I$12</f>
        <v/>
      </c>
      <c r="AC13" s="17">
        <f>'Sales Forecast'!AC10*Assumptions!$C$12+'Sales Forecast'!AB10*Assumptions!$D$12+'Sales Forecast'!AA10*Assumptions!$E$12+'Sales Forecast'!Z10*Assumptions!$F$12+'Sales Forecast'!Y10*Assumptions!$G$12+'Sales Forecast'!X10*Assumptions!$H$12+'Sales Forecast'!W10*Assumptions!$I$12</f>
        <v/>
      </c>
      <c r="AD13" s="17">
        <f>'Sales Forecast'!AD10*Assumptions!$C$12+'Sales Forecast'!AC10*Assumptions!$D$12+'Sales Forecast'!AB10*Assumptions!$E$12+'Sales Forecast'!AA10*Assumptions!$F$12+'Sales Forecast'!Z10*Assumptions!$G$12+'Sales Forecast'!Y10*Assumptions!$H$12+'Sales Forecast'!X10*Assumptions!$I$12</f>
        <v/>
      </c>
      <c r="AE13" s="17">
        <f>'Sales Forecast'!AE10*Assumptions!$C$12+'Sales Forecast'!AD10*Assumptions!$D$12+'Sales Forecast'!AC10*Assumptions!$E$12+'Sales Forecast'!AB10*Assumptions!$F$12+'Sales Forecast'!AA10*Assumptions!$G$12+'Sales Forecast'!Z10*Assumptions!$H$12+'Sales Forecast'!Y10*Assumptions!$I$12</f>
        <v/>
      </c>
      <c r="AF13" s="17">
        <f>'Sales Forecast'!AF10*Assumptions!$C$12+'Sales Forecast'!AE10*Assumptions!$D$12+'Sales Forecast'!AD10*Assumptions!$E$12+'Sales Forecast'!AC10*Assumptions!$F$12+'Sales Forecast'!AB10*Assumptions!$G$12+'Sales Forecast'!AA10*Assumptions!$H$12+'Sales Forecast'!Z10*Assumptions!$I$12</f>
        <v/>
      </c>
      <c r="AG13" s="17">
        <f>'Sales Forecast'!AG10*Assumptions!$C$12+'Sales Forecast'!AF10*Assumptions!$D$12+'Sales Forecast'!AE10*Assumptions!$E$12+'Sales Forecast'!AD10*Assumptions!$F$12+'Sales Forecast'!AC10*Assumptions!$G$12+'Sales Forecast'!AB10*Assumptions!$H$12+'Sales Forecast'!AA10*Assumptions!$I$12</f>
        <v/>
      </c>
      <c r="AH13" s="17">
        <f>'Sales Forecast'!AH10*Assumptions!$C$12+'Sales Forecast'!AG10*Assumptions!$D$12+'Sales Forecast'!AF10*Assumptions!$E$12+'Sales Forecast'!AE10*Assumptions!$F$12+'Sales Forecast'!AD10*Assumptions!$G$12+'Sales Forecast'!AC10*Assumptions!$H$12+'Sales Forecast'!AB10*Assumptions!$I$12</f>
        <v/>
      </c>
      <c r="AI13" s="17">
        <f>'Sales Forecast'!AI10*Assumptions!$C$12+'Sales Forecast'!AH10*Assumptions!$D$12+'Sales Forecast'!AG10*Assumptions!$E$12+'Sales Forecast'!AF10*Assumptions!$F$12+'Sales Forecast'!AE10*Assumptions!$G$12+'Sales Forecast'!AD10*Assumptions!$H$12+'Sales Forecast'!AC10*Assumptions!$I$12</f>
        <v/>
      </c>
      <c r="AJ13" s="17">
        <f>'Sales Forecast'!AJ10*Assumptions!$C$12+'Sales Forecast'!AI10*Assumptions!$D$12+'Sales Forecast'!AH10*Assumptions!$E$12+'Sales Forecast'!AG10*Assumptions!$F$12+'Sales Forecast'!AF10*Assumptions!$G$12+'Sales Forecast'!AE10*Assumptions!$H$12+'Sales Forecast'!AD10*Assumptions!$I$12</f>
        <v/>
      </c>
      <c r="AK13" s="17">
        <f>'Sales Forecast'!AK10*Assumptions!$C$12+'Sales Forecast'!AJ10*Assumptions!$D$12+'Sales Forecast'!AI10*Assumptions!$E$12+'Sales Forecast'!AH10*Assumptions!$F$12+'Sales Forecast'!AG10*Assumptions!$G$12+'Sales Forecast'!AF10*Assumptions!$H$12+'Sales Forecast'!AE10*Assumptions!$I$12</f>
        <v/>
      </c>
      <c r="AL13" s="17">
        <f>'Sales Forecast'!AL10*Assumptions!$C$12+'Sales Forecast'!AK10*Assumptions!$D$12+'Sales Forecast'!AJ10*Assumptions!$E$12+'Sales Forecast'!AI10*Assumptions!$F$12+'Sales Forecast'!AH10*Assumptions!$G$12+'Sales Forecast'!AG10*Assumptions!$H$12+'Sales Forecast'!AF10*Assumptions!$I$12</f>
        <v/>
      </c>
      <c r="AM13" s="17">
        <f>'Sales Forecast'!AM10*Assumptions!$C$12+'Sales Forecast'!AL10*Assumptions!$D$12+'Sales Forecast'!AK10*Assumptions!$E$12+'Sales Forecast'!AJ10*Assumptions!$F$12+'Sales Forecast'!AI10*Assumptions!$G$12+'Sales Forecast'!AH10*Assumptions!$H$12+'Sales Forecast'!AG10*Assumptions!$I$12</f>
        <v/>
      </c>
      <c r="AN13" s="17">
        <f>'Sales Forecast'!AN10*Assumptions!$C$12+'Sales Forecast'!AM10*Assumptions!$D$12+'Sales Forecast'!AL10*Assumptions!$E$12+'Sales Forecast'!AK10*Assumptions!$F$12+'Sales Forecast'!AJ10*Assumptions!$G$12+'Sales Forecast'!AI10*Assumptions!$H$12+'Sales Forecast'!AH10*Assumptions!$I$12</f>
        <v/>
      </c>
      <c r="AO13" s="17">
        <f>'Sales Forecast'!AO10*Assumptions!$C$12+'Sales Forecast'!AN10*Assumptions!$D$12+'Sales Forecast'!AM10*Assumptions!$E$12+'Sales Forecast'!AL10*Assumptions!$F$12+'Sales Forecast'!AK10*Assumptions!$G$12+'Sales Forecast'!AJ10*Assumptions!$H$12+'Sales Forecast'!AI10*Assumptions!$I$12</f>
        <v/>
      </c>
      <c r="AP13" s="17">
        <f>'Sales Forecast'!AP10*Assumptions!$C$12+'Sales Forecast'!AO10*Assumptions!$D$12+'Sales Forecast'!AN10*Assumptions!$E$12+'Sales Forecast'!AM10*Assumptions!$F$12+'Sales Forecast'!AL10*Assumptions!$G$12+'Sales Forecast'!AK10*Assumptions!$H$12+'Sales Forecast'!AJ10*Assumptions!$I$12</f>
        <v/>
      </c>
      <c r="AQ13" s="17">
        <f>'Sales Forecast'!AQ10*Assumptions!$C$12+'Sales Forecast'!AP10*Assumptions!$D$12+'Sales Forecast'!AO10*Assumptions!$E$12+'Sales Forecast'!AN10*Assumptions!$F$12+'Sales Forecast'!AM10*Assumptions!$G$12+'Sales Forecast'!AL10*Assumptions!$H$12+'Sales Forecast'!AK10*Assumptions!$I$12</f>
        <v/>
      </c>
      <c r="AR13" s="17">
        <f>'Sales Forecast'!AR10*Assumptions!$C$12+'Sales Forecast'!AQ10*Assumptions!$D$12+'Sales Forecast'!AP10*Assumptions!$E$12+'Sales Forecast'!AO10*Assumptions!$F$12+'Sales Forecast'!AN10*Assumptions!$G$12+'Sales Forecast'!AM10*Assumptions!$H$12+'Sales Forecast'!AL10*Assumptions!$I$12</f>
        <v/>
      </c>
      <c r="AS13" s="17">
        <f>'Sales Forecast'!AS10*Assumptions!$C$12+'Sales Forecast'!AR10*Assumptions!$D$12+'Sales Forecast'!AQ10*Assumptions!$E$12+'Sales Forecast'!AP10*Assumptions!$F$12+'Sales Forecast'!AO10*Assumptions!$G$12+'Sales Forecast'!AN10*Assumptions!$H$12+'Sales Forecast'!AM10*Assumptions!$I$12</f>
        <v/>
      </c>
      <c r="AT13" s="17">
        <f>'Sales Forecast'!AT10*Assumptions!$C$12+'Sales Forecast'!AS10*Assumptions!$D$12+'Sales Forecast'!AR10*Assumptions!$E$12+'Sales Forecast'!AQ10*Assumptions!$F$12+'Sales Forecast'!AP10*Assumptions!$G$12+'Sales Forecast'!AO10*Assumptions!$H$12+'Sales Forecast'!AN10*Assumptions!$I$12</f>
        <v/>
      </c>
      <c r="AU13" s="17">
        <f>'Sales Forecast'!AU10*Assumptions!$C$12+'Sales Forecast'!AT10*Assumptions!$D$12+'Sales Forecast'!AS10*Assumptions!$E$12+'Sales Forecast'!AR10*Assumptions!$F$12+'Sales Forecast'!AQ10*Assumptions!$G$12+'Sales Forecast'!AP10*Assumptions!$H$12+'Sales Forecast'!AO10*Assumptions!$I$12</f>
        <v/>
      </c>
      <c r="AV13" s="17">
        <f>'Sales Forecast'!AV10*Assumptions!$C$12+'Sales Forecast'!AU10*Assumptions!$D$12+'Sales Forecast'!AT10*Assumptions!$E$12+'Sales Forecast'!AS10*Assumptions!$F$12+'Sales Forecast'!AR10*Assumptions!$G$12+'Sales Forecast'!AQ10*Assumptions!$H$12+'Sales Forecast'!AP10*Assumptions!$I$12</f>
        <v/>
      </c>
      <c r="AW13" s="17">
        <f>'Sales Forecast'!AW10*Assumptions!$C$12+'Sales Forecast'!AV10*Assumptions!$D$12+'Sales Forecast'!AU10*Assumptions!$E$12+'Sales Forecast'!AT10*Assumptions!$F$12+'Sales Forecast'!AS10*Assumptions!$G$12+'Sales Forecast'!AR10*Assumptions!$H$12+'Sales Forecast'!AQ10*Assumptions!$I$12</f>
        <v/>
      </c>
      <c r="AX13" s="17">
        <f>'Sales Forecast'!AX10*Assumptions!$C$12+'Sales Forecast'!AW10*Assumptions!$D$12+'Sales Forecast'!AV10*Assumptions!$E$12+'Sales Forecast'!AU10*Assumptions!$F$12+'Sales Forecast'!AT10*Assumptions!$G$12+'Sales Forecast'!AS10*Assumptions!$H$12+'Sales Forecast'!AR10*Assumptions!$I$12</f>
        <v/>
      </c>
      <c r="AY13" s="17">
        <f>'Sales Forecast'!AY10*Assumptions!$C$12+'Sales Forecast'!AX10*Assumptions!$D$12+'Sales Forecast'!AW10*Assumptions!$E$12+'Sales Forecast'!AV10*Assumptions!$F$12+'Sales Forecast'!AU10*Assumptions!$G$12+'Sales Forecast'!AT10*Assumptions!$H$12+'Sales Forecast'!AS10*Assumptions!$I$12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1190</v>
      </c>
      <c r="G14" s="19" t="n">
        <v>780</v>
      </c>
      <c r="H14" s="19" t="n">
        <v>6079.59</v>
      </c>
      <c r="I14" s="19" t="n">
        <v>16686.83</v>
      </c>
      <c r="J14" s="19" t="n">
        <v>15403.58</v>
      </c>
      <c r="K14" s="19" t="n">
        <v>15353.83</v>
      </c>
      <c r="L14" s="19" t="n">
        <v>30305.34</v>
      </c>
      <c r="M14" s="19" t="n">
        <v>19086.85</v>
      </c>
      <c r="N14" s="19" t="n">
        <v>28614.27</v>
      </c>
      <c r="O14" s="19" t="n">
        <v>26723.09</v>
      </c>
      <c r="P14" s="19" t="n">
        <v>13301.42</v>
      </c>
      <c r="Q14" s="19" t="n">
        <v>17324.87</v>
      </c>
      <c r="R14" s="19" t="n">
        <v>11911.35</v>
      </c>
      <c r="S14" s="19" t="n">
        <v>14342.63</v>
      </c>
      <c r="T14" s="84" t="n">
        <v>14912.82</v>
      </c>
      <c r="U14" s="20">
        <f>U17*0.882312</f>
        <v/>
      </c>
      <c r="V14" s="20">
        <f>V17*0.882312</f>
        <v/>
      </c>
      <c r="W14" s="20">
        <f>W17*0.882312</f>
        <v/>
      </c>
      <c r="X14" s="20">
        <f>X17*0.882312</f>
        <v/>
      </c>
      <c r="Y14" s="20">
        <f>Y17*0.882312</f>
        <v/>
      </c>
      <c r="Z14" s="20">
        <f>Z17*0.882312</f>
        <v/>
      </c>
      <c r="AA14" s="20">
        <f>AA17*0.882312</f>
        <v/>
      </c>
      <c r="AB14" s="20">
        <f>AB17*0.882312</f>
        <v/>
      </c>
      <c r="AC14" s="20">
        <f>AC17*0.882312</f>
        <v/>
      </c>
      <c r="AD14" s="20">
        <f>AD17*0.882312</f>
        <v/>
      </c>
      <c r="AE14" s="20">
        <f>AE17*0.882312</f>
        <v/>
      </c>
      <c r="AF14" s="20">
        <f>AF17*0.882312</f>
        <v/>
      </c>
      <c r="AG14" s="20">
        <f>AG17*0.882312</f>
        <v/>
      </c>
      <c r="AH14" s="20">
        <f>AH17*0.882312</f>
        <v/>
      </c>
      <c r="AI14" s="20">
        <f>AI17*0.882312</f>
        <v/>
      </c>
      <c r="AJ14" s="20">
        <f>AJ17*0.882312</f>
        <v/>
      </c>
      <c r="AK14" s="20">
        <f>AK17*0.882312</f>
        <v/>
      </c>
      <c r="AL14" s="20">
        <f>AL17*0.882312</f>
        <v/>
      </c>
      <c r="AM14" s="20">
        <f>AM17*0.882312</f>
        <v/>
      </c>
      <c r="AN14" s="20">
        <f>AN17*0.882312</f>
        <v/>
      </c>
      <c r="AO14" s="20">
        <f>AO17*0.882312</f>
        <v/>
      </c>
      <c r="AP14" s="20">
        <f>AP17*0.882312</f>
        <v/>
      </c>
      <c r="AQ14" s="20">
        <f>AQ17*0.882312</f>
        <v/>
      </c>
      <c r="AR14" s="20">
        <f>AR17*0.882312</f>
        <v/>
      </c>
      <c r="AS14" s="20">
        <f>AS17*0.882312</f>
        <v/>
      </c>
      <c r="AT14" s="20">
        <f>AT17*0.882312</f>
        <v/>
      </c>
      <c r="AU14" s="20">
        <f>AU17*0.882312</f>
        <v/>
      </c>
      <c r="AV14" s="20">
        <f>AV17*0.882312</f>
        <v/>
      </c>
      <c r="AW14" s="20">
        <f>AW17*0.882312</f>
        <v/>
      </c>
      <c r="AX14" s="20">
        <f>AX17*0.882312</f>
        <v/>
      </c>
      <c r="AY14" s="20">
        <f>AY17*0.882312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660</v>
      </c>
      <c r="H15" s="19" t="n">
        <v>75</v>
      </c>
      <c r="I15" s="19" t="n">
        <v>2090</v>
      </c>
      <c r="J15" s="19" t="n">
        <v>1671</v>
      </c>
      <c r="K15" s="19" t="n">
        <v>2879</v>
      </c>
      <c r="L15" s="19" t="n">
        <v>2865.32</v>
      </c>
      <c r="M15" s="19" t="n">
        <v>4048</v>
      </c>
      <c r="N15" s="19" t="n">
        <v>5166</v>
      </c>
      <c r="O15" s="19" t="n">
        <v>8038</v>
      </c>
      <c r="P15" s="19" t="n">
        <v>1986</v>
      </c>
      <c r="Q15" s="19" t="n">
        <v>858</v>
      </c>
      <c r="R15" s="19" t="n">
        <v>1941</v>
      </c>
      <c r="S15" s="19" t="n">
        <v>2802</v>
      </c>
      <c r="T15" s="84" t="n">
        <v>1856</v>
      </c>
      <c r="U15" s="20">
        <f>U17*0.117688</f>
        <v/>
      </c>
      <c r="V15" s="20">
        <f>V17*0.117688</f>
        <v/>
      </c>
      <c r="W15" s="20">
        <f>W17*0.117688</f>
        <v/>
      </c>
      <c r="X15" s="20">
        <f>X17*0.117688</f>
        <v/>
      </c>
      <c r="Y15" s="20">
        <f>Y17*0.117688</f>
        <v/>
      </c>
      <c r="Z15" s="20">
        <f>Z17*0.117688</f>
        <v/>
      </c>
      <c r="AA15" s="20">
        <f>AA17*0.117688</f>
        <v/>
      </c>
      <c r="AB15" s="20">
        <f>AB17*0.117688</f>
        <v/>
      </c>
      <c r="AC15" s="20">
        <f>AC17*0.117688</f>
        <v/>
      </c>
      <c r="AD15" s="20">
        <f>AD17*0.117688</f>
        <v/>
      </c>
      <c r="AE15" s="20">
        <f>AE17*0.117688</f>
        <v/>
      </c>
      <c r="AF15" s="20">
        <f>AF17*0.117688</f>
        <v/>
      </c>
      <c r="AG15" s="20">
        <f>AG17*0.117688</f>
        <v/>
      </c>
      <c r="AH15" s="20">
        <f>AH17*0.117688</f>
        <v/>
      </c>
      <c r="AI15" s="20">
        <f>AI17*0.117688</f>
        <v/>
      </c>
      <c r="AJ15" s="20">
        <f>AJ17*0.117688</f>
        <v/>
      </c>
      <c r="AK15" s="20">
        <f>AK17*0.117688</f>
        <v/>
      </c>
      <c r="AL15" s="20">
        <f>AL17*0.117688</f>
        <v/>
      </c>
      <c r="AM15" s="20">
        <f>AM17*0.117688</f>
        <v/>
      </c>
      <c r="AN15" s="20">
        <f>AN17*0.117688</f>
        <v/>
      </c>
      <c r="AO15" s="20">
        <f>AO17*0.117688</f>
        <v/>
      </c>
      <c r="AP15" s="20">
        <f>AP17*0.117688</f>
        <v/>
      </c>
      <c r="AQ15" s="20">
        <f>AQ17*0.117688</f>
        <v/>
      </c>
      <c r="AR15" s="20">
        <f>AR17*0.117688</f>
        <v/>
      </c>
      <c r="AS15" s="20">
        <f>AS17*0.117688</f>
        <v/>
      </c>
      <c r="AT15" s="20">
        <f>AT17*0.117688</f>
        <v/>
      </c>
      <c r="AU15" s="20">
        <f>AU17*0.117688</f>
        <v/>
      </c>
      <c r="AV15" s="20">
        <f>AV17*0.117688</f>
        <v/>
      </c>
      <c r="AW15" s="20">
        <f>AW17*0.117688</f>
        <v/>
      </c>
      <c r="AX15" s="20">
        <f>AX17*0.117688</f>
        <v/>
      </c>
      <c r="AY15" s="20">
        <f>AY17*0.117688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1190</v>
      </c>
      <c r="G17" s="35" t="n">
        <v>1440</v>
      </c>
      <c r="H17" s="35" t="n">
        <v>6154.59</v>
      </c>
      <c r="I17" s="35" t="n">
        <v>18776.83</v>
      </c>
      <c r="J17" s="35" t="n">
        <v>17074.58</v>
      </c>
      <c r="K17" s="35" t="n">
        <v>18232.83</v>
      </c>
      <c r="L17" s="35" t="n">
        <v>33170.66</v>
      </c>
      <c r="M17" s="35" t="n">
        <v>23134.85</v>
      </c>
      <c r="N17" s="35" t="n">
        <v>38820.27</v>
      </c>
      <c r="O17" s="35" t="n">
        <v>40161.09</v>
      </c>
      <c r="P17" s="35" t="n">
        <v>15287.42</v>
      </c>
      <c r="Q17" s="35" t="n">
        <v>18182.87</v>
      </c>
      <c r="R17" s="35" t="n">
        <v>13852.35</v>
      </c>
      <c r="S17" s="35" t="n">
        <v>17144.63</v>
      </c>
      <c r="T17" s="85" t="n">
        <v>16768.82</v>
      </c>
      <c r="U17" s="17">
        <f>'Sales Forecast'!U10*Assumptions!$C$13+'Sales Forecast'!T10*Assumptions!$D$13+'Sales Forecast'!S10*Assumptions!$E$13+'Sales Forecast'!R10*Assumptions!$F$13+'Sales Forecast'!Q10*Assumptions!$G$13+'Sales Forecast'!P10*Assumptions!$H$13+'Sales Forecast'!U106*Assumptions!$I$13</f>
        <v/>
      </c>
      <c r="V17" s="17">
        <f>'Sales Forecast'!V10*Assumptions!$C$13+'Sales Forecast'!U10*Assumptions!$D$13+'Sales Forecast'!T10*Assumptions!$E$13+'Sales Forecast'!S10*Assumptions!$F$13+'Sales Forecast'!R10*Assumptions!$G$13+'Sales Forecast'!Q10*Assumptions!$H$13+'Sales Forecast'!P10*Assumptions!$I$13</f>
        <v/>
      </c>
      <c r="W17" s="17">
        <f>'Sales Forecast'!W10*Assumptions!$C$13+'Sales Forecast'!V10*Assumptions!$D$13+'Sales Forecast'!U10*Assumptions!$E$13+'Sales Forecast'!T10*Assumptions!$F$13+'Sales Forecast'!S10*Assumptions!$G$13+'Sales Forecast'!R10*Assumptions!$H$13+'Sales Forecast'!Q10*Assumptions!$I$13</f>
        <v/>
      </c>
      <c r="X17" s="17">
        <f>'Sales Forecast'!X10*Assumptions!$C$13+'Sales Forecast'!W10*Assumptions!$D$13+'Sales Forecast'!V10*Assumptions!$E$13+'Sales Forecast'!U10*Assumptions!$F$13+'Sales Forecast'!T10*Assumptions!$G$13+'Sales Forecast'!S10*Assumptions!$H$13+'Sales Forecast'!R10*Assumptions!$I$13</f>
        <v/>
      </c>
      <c r="Y17" s="17">
        <f>'Sales Forecast'!Y10*Assumptions!$C$13+'Sales Forecast'!X10*Assumptions!$D$13+'Sales Forecast'!W10*Assumptions!$E$13+'Sales Forecast'!V10*Assumptions!$F$13+'Sales Forecast'!U10*Assumptions!$G$13+'Sales Forecast'!T10*Assumptions!$H$13+'Sales Forecast'!S10*Assumptions!$I$13</f>
        <v/>
      </c>
      <c r="Z17" s="17">
        <f>'Sales Forecast'!Z10*Assumptions!$C$13+'Sales Forecast'!Y10*Assumptions!$D$13+'Sales Forecast'!X10*Assumptions!$E$13+'Sales Forecast'!W10*Assumptions!$F$13+'Sales Forecast'!V10*Assumptions!$G$13+'Sales Forecast'!U10*Assumptions!$H$13+'Sales Forecast'!T10*Assumptions!$I$13</f>
        <v/>
      </c>
      <c r="AA17" s="17">
        <f>'Sales Forecast'!AA10*Assumptions!$C$13+'Sales Forecast'!Z10*Assumptions!$D$13+'Sales Forecast'!Y10*Assumptions!$E$13+'Sales Forecast'!X10*Assumptions!$F$13+'Sales Forecast'!W10*Assumptions!$G$13+'Sales Forecast'!V10*Assumptions!$H$13+'Sales Forecast'!U10*Assumptions!$I$13</f>
        <v/>
      </c>
      <c r="AB17" s="17">
        <f>'Sales Forecast'!AB10*Assumptions!$C$13+'Sales Forecast'!AA10*Assumptions!$D$13+'Sales Forecast'!Z10*Assumptions!$E$13+'Sales Forecast'!Y10*Assumptions!$F$13+'Sales Forecast'!X10*Assumptions!$G$13+'Sales Forecast'!W10*Assumptions!$H$13+'Sales Forecast'!V10*Assumptions!$I$13</f>
        <v/>
      </c>
      <c r="AC17" s="17">
        <f>'Sales Forecast'!AC10*Assumptions!$C$13+'Sales Forecast'!AB10*Assumptions!$D$13+'Sales Forecast'!AA10*Assumptions!$E$13+'Sales Forecast'!Z10*Assumptions!$F$13+'Sales Forecast'!Y10*Assumptions!$G$13+'Sales Forecast'!X10*Assumptions!$H$13+'Sales Forecast'!W10*Assumptions!$I$13</f>
        <v/>
      </c>
      <c r="AD17" s="17">
        <f>'Sales Forecast'!AD10*Assumptions!$C$13+'Sales Forecast'!AC10*Assumptions!$D$13+'Sales Forecast'!AB10*Assumptions!$E$13+'Sales Forecast'!AA10*Assumptions!$F$13+'Sales Forecast'!Z10*Assumptions!$G$13+'Sales Forecast'!Y10*Assumptions!$H$13+'Sales Forecast'!X10*Assumptions!$I$13</f>
        <v/>
      </c>
      <c r="AE17" s="17">
        <f>'Sales Forecast'!AE10*Assumptions!$C$13+'Sales Forecast'!AD10*Assumptions!$D$13+'Sales Forecast'!AC10*Assumptions!$E$13+'Sales Forecast'!AB10*Assumptions!$F$13+'Sales Forecast'!AA10*Assumptions!$G$13+'Sales Forecast'!Z10*Assumptions!$H$13+'Sales Forecast'!Y10*Assumptions!$I$13</f>
        <v/>
      </c>
      <c r="AF17" s="17">
        <f>'Sales Forecast'!AF10*Assumptions!$C$13+'Sales Forecast'!AE10*Assumptions!$D$13+'Sales Forecast'!AD10*Assumptions!$E$13+'Sales Forecast'!AC10*Assumptions!$F$13+'Sales Forecast'!AB10*Assumptions!$G$13+'Sales Forecast'!AA10*Assumptions!$H$13+'Sales Forecast'!Z10*Assumptions!$I$13</f>
        <v/>
      </c>
      <c r="AG17" s="17">
        <f>'Sales Forecast'!AG10*Assumptions!$C$13+'Sales Forecast'!AF10*Assumptions!$D$13+'Sales Forecast'!AE10*Assumptions!$E$13+'Sales Forecast'!AD10*Assumptions!$F$13+'Sales Forecast'!AC10*Assumptions!$G$13+'Sales Forecast'!AB10*Assumptions!$H$13+'Sales Forecast'!AA10*Assumptions!$I$13</f>
        <v/>
      </c>
      <c r="AH17" s="17">
        <f>'Sales Forecast'!AH10*Assumptions!$C$13+'Sales Forecast'!AG10*Assumptions!$D$13+'Sales Forecast'!AF10*Assumptions!$E$13+'Sales Forecast'!AE10*Assumptions!$F$13+'Sales Forecast'!AD10*Assumptions!$G$13+'Sales Forecast'!AC10*Assumptions!$H$13+'Sales Forecast'!AB10*Assumptions!$I$13</f>
        <v/>
      </c>
      <c r="AI17" s="17">
        <f>'Sales Forecast'!AI10*Assumptions!$C$13+'Sales Forecast'!AH10*Assumptions!$D$13+'Sales Forecast'!AG10*Assumptions!$E$13+'Sales Forecast'!AF10*Assumptions!$F$13+'Sales Forecast'!AE10*Assumptions!$G$13+'Sales Forecast'!AD10*Assumptions!$H$13+'Sales Forecast'!AC10*Assumptions!$I$13</f>
        <v/>
      </c>
      <c r="AJ17" s="17">
        <f>'Sales Forecast'!AJ10*Assumptions!$C$13+'Sales Forecast'!AI10*Assumptions!$D$13+'Sales Forecast'!AH10*Assumptions!$E$13+'Sales Forecast'!AG10*Assumptions!$F$13+'Sales Forecast'!AF10*Assumptions!$G$13+'Sales Forecast'!AE10*Assumptions!$H$13+'Sales Forecast'!AD10*Assumptions!$I$13</f>
        <v/>
      </c>
      <c r="AK17" s="17">
        <f>'Sales Forecast'!AK10*Assumptions!$C$13+'Sales Forecast'!AJ10*Assumptions!$D$13+'Sales Forecast'!AI10*Assumptions!$E$13+'Sales Forecast'!AH10*Assumptions!$F$13+'Sales Forecast'!AG10*Assumptions!$G$13+'Sales Forecast'!AF10*Assumptions!$H$13+'Sales Forecast'!AE10*Assumptions!$I$13</f>
        <v/>
      </c>
      <c r="AL17" s="17">
        <f>'Sales Forecast'!AL10*Assumptions!$C$13+'Sales Forecast'!AK10*Assumptions!$D$13+'Sales Forecast'!AJ10*Assumptions!$E$13+'Sales Forecast'!AI10*Assumptions!$F$13+'Sales Forecast'!AH10*Assumptions!$G$13+'Sales Forecast'!AG10*Assumptions!$H$13+'Sales Forecast'!AF10*Assumptions!$I$13</f>
        <v/>
      </c>
      <c r="AM17" s="17">
        <f>'Sales Forecast'!AM10*Assumptions!$C$13+'Sales Forecast'!AL10*Assumptions!$D$13+'Sales Forecast'!AK10*Assumptions!$E$13+'Sales Forecast'!AJ10*Assumptions!$F$13+'Sales Forecast'!AI10*Assumptions!$G$13+'Sales Forecast'!AH10*Assumptions!$H$13+'Sales Forecast'!AG10*Assumptions!$I$13</f>
        <v/>
      </c>
      <c r="AN17" s="17">
        <f>'Sales Forecast'!AN10*Assumptions!$C$13+'Sales Forecast'!AM10*Assumptions!$D$13+'Sales Forecast'!AL10*Assumptions!$E$13+'Sales Forecast'!AK10*Assumptions!$F$13+'Sales Forecast'!AJ10*Assumptions!$G$13+'Sales Forecast'!AI10*Assumptions!$H$13+'Sales Forecast'!AH10*Assumptions!$I$13</f>
        <v/>
      </c>
      <c r="AO17" s="17">
        <f>'Sales Forecast'!AO10*Assumptions!$C$13+'Sales Forecast'!AN10*Assumptions!$D$13+'Sales Forecast'!AM10*Assumptions!$E$13+'Sales Forecast'!AL10*Assumptions!$F$13+'Sales Forecast'!AK10*Assumptions!$G$13+'Sales Forecast'!AJ10*Assumptions!$H$13+'Sales Forecast'!AI10*Assumptions!$I$13</f>
        <v/>
      </c>
      <c r="AP17" s="17">
        <f>'Sales Forecast'!AP10*Assumptions!$C$13+'Sales Forecast'!AO10*Assumptions!$D$13+'Sales Forecast'!AN10*Assumptions!$E$13+'Sales Forecast'!AM10*Assumptions!$F$13+'Sales Forecast'!AL10*Assumptions!$G$13+'Sales Forecast'!AK10*Assumptions!$H$13+'Sales Forecast'!AJ10*Assumptions!$I$13</f>
        <v/>
      </c>
      <c r="AQ17" s="17">
        <f>'Sales Forecast'!AQ10*Assumptions!$C$13+'Sales Forecast'!AP10*Assumptions!$D$13+'Sales Forecast'!AO10*Assumptions!$E$13+'Sales Forecast'!AN10*Assumptions!$F$13+'Sales Forecast'!AM10*Assumptions!$G$13+'Sales Forecast'!AL10*Assumptions!$H$13+'Sales Forecast'!AK10*Assumptions!$I$13</f>
        <v/>
      </c>
      <c r="AR17" s="17">
        <f>'Sales Forecast'!AR10*Assumptions!$C$13+'Sales Forecast'!AQ10*Assumptions!$D$13+'Sales Forecast'!AP10*Assumptions!$E$13+'Sales Forecast'!AO10*Assumptions!$F$13+'Sales Forecast'!AN10*Assumptions!$G$13+'Sales Forecast'!AM10*Assumptions!$H$13+'Sales Forecast'!AL10*Assumptions!$I$13</f>
        <v/>
      </c>
      <c r="AS17" s="17">
        <f>'Sales Forecast'!AS10*Assumptions!$C$13+'Sales Forecast'!AR10*Assumptions!$D$13+'Sales Forecast'!AQ10*Assumptions!$E$13+'Sales Forecast'!AP10*Assumptions!$F$13+'Sales Forecast'!AO10*Assumptions!$G$13+'Sales Forecast'!AN10*Assumptions!$H$13+'Sales Forecast'!AM10*Assumptions!$I$13</f>
        <v/>
      </c>
      <c r="AT17" s="17">
        <f>'Sales Forecast'!AT10*Assumptions!$C$13+'Sales Forecast'!AS10*Assumptions!$D$13+'Sales Forecast'!AR10*Assumptions!$E$13+'Sales Forecast'!AQ10*Assumptions!$F$13+'Sales Forecast'!AP10*Assumptions!$G$13+'Sales Forecast'!AO10*Assumptions!$H$13+'Sales Forecast'!AN10*Assumptions!$I$13</f>
        <v/>
      </c>
      <c r="AU17" s="17">
        <f>'Sales Forecast'!AU10*Assumptions!$C$13+'Sales Forecast'!AT10*Assumptions!$D$13+'Sales Forecast'!AS10*Assumptions!$E$13+'Sales Forecast'!AR10*Assumptions!$F$13+'Sales Forecast'!AQ10*Assumptions!$G$13+'Sales Forecast'!AP10*Assumptions!$H$13+'Sales Forecast'!AO10*Assumptions!$I$13</f>
        <v/>
      </c>
      <c r="AV17" s="17">
        <f>'Sales Forecast'!AV10*Assumptions!$C$13+'Sales Forecast'!AU10*Assumptions!$D$13+'Sales Forecast'!AT10*Assumptions!$E$13+'Sales Forecast'!AS10*Assumptions!$F$13+'Sales Forecast'!AR10*Assumptions!$G$13+'Sales Forecast'!AQ10*Assumptions!$H$13+'Sales Forecast'!AP10*Assumptions!$I$13</f>
        <v/>
      </c>
      <c r="AW17" s="17">
        <f>'Sales Forecast'!AW10*Assumptions!$C$13+'Sales Forecast'!AV10*Assumptions!$D$13+'Sales Forecast'!AU10*Assumptions!$E$13+'Sales Forecast'!AT10*Assumptions!$F$13+'Sales Forecast'!AS10*Assumptions!$G$13+'Sales Forecast'!AR10*Assumptions!$H$13+'Sales Forecast'!AQ10*Assumptions!$I$13</f>
        <v/>
      </c>
      <c r="AX17" s="17">
        <f>'Sales Forecast'!AX10*Assumptions!$C$13+'Sales Forecast'!AW10*Assumptions!$D$13+'Sales Forecast'!AV10*Assumptions!$E$13+'Sales Forecast'!AU10*Assumptions!$F$13+'Sales Forecast'!AT10*Assumptions!$G$13+'Sales Forecast'!AS10*Assumptions!$H$13+'Sales Forecast'!AR10*Assumptions!$I$13</f>
        <v/>
      </c>
      <c r="AY17" s="17">
        <f>'Sales Forecast'!AY10*Assumptions!$C$13+'Sales Forecast'!AX10*Assumptions!$D$13+'Sales Forecast'!AW10*Assumptions!$E$13+'Sales Forecast'!AV10*Assumptions!$F$13+'Sales Forecast'!AU10*Assumptions!$G$13+'Sales Forecast'!AT10*Assumptions!$H$13+'Sales Forecast'!AS10*Assumptions!$I$13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334</v>
      </c>
      <c r="H18" s="19" t="n">
        <v>1653</v>
      </c>
      <c r="I18" s="19" t="n">
        <v>2621</v>
      </c>
      <c r="J18" s="19" t="n">
        <v>2456</v>
      </c>
      <c r="K18" s="19" t="n">
        <v>2240</v>
      </c>
      <c r="L18" s="19" t="n">
        <v>2159.98</v>
      </c>
      <c r="M18" s="19" t="n">
        <v>2223</v>
      </c>
      <c r="N18" s="19" t="n">
        <v>3442</v>
      </c>
      <c r="O18" s="19" t="n">
        <v>1989</v>
      </c>
      <c r="P18" s="19" t="n">
        <v>2390</v>
      </c>
      <c r="Q18" s="19" t="n">
        <v>1878</v>
      </c>
      <c r="R18" s="19" t="n">
        <v>1668</v>
      </c>
      <c r="S18" s="19" t="n">
        <v>2116</v>
      </c>
      <c r="T18" s="84" t="n">
        <v>1433.81</v>
      </c>
      <c r="U18" s="20">
        <f>2013</f>
        <v/>
      </c>
      <c r="V18" s="20">
        <f>2013</f>
        <v/>
      </c>
      <c r="W18" s="20">
        <f>2013</f>
        <v/>
      </c>
      <c r="X18" s="20">
        <f>2013</f>
        <v/>
      </c>
      <c r="Y18" s="20">
        <f>2013</f>
        <v/>
      </c>
      <c r="Z18" s="20">
        <f>2013</f>
        <v/>
      </c>
      <c r="AA18" s="20">
        <f>2013</f>
        <v/>
      </c>
      <c r="AB18" s="20">
        <f>2013</f>
        <v/>
      </c>
      <c r="AC18" s="20">
        <f>2013</f>
        <v/>
      </c>
      <c r="AD18" s="20">
        <f>2013</f>
        <v/>
      </c>
      <c r="AE18" s="20">
        <f>2013</f>
        <v/>
      </c>
      <c r="AF18" s="20">
        <f>2013</f>
        <v/>
      </c>
      <c r="AG18" s="20">
        <f>2013</f>
        <v/>
      </c>
      <c r="AH18" s="20">
        <f>2013</f>
        <v/>
      </c>
      <c r="AI18" s="20">
        <f>2013</f>
        <v/>
      </c>
      <c r="AJ18" s="20">
        <f>2013</f>
        <v/>
      </c>
      <c r="AK18" s="20">
        <f>2013</f>
        <v/>
      </c>
      <c r="AL18" s="20">
        <f>2013</f>
        <v/>
      </c>
      <c r="AM18" s="20">
        <f>2013</f>
        <v/>
      </c>
      <c r="AN18" s="20">
        <f>2013</f>
        <v/>
      </c>
      <c r="AO18" s="20">
        <f>2013</f>
        <v/>
      </c>
      <c r="AP18" s="20">
        <f>2013</f>
        <v/>
      </c>
      <c r="AQ18" s="20">
        <f>2013</f>
        <v/>
      </c>
      <c r="AR18" s="20">
        <f>2013</f>
        <v/>
      </c>
      <c r="AS18" s="20">
        <f>2013</f>
        <v/>
      </c>
      <c r="AT18" s="20">
        <f>2013</f>
        <v/>
      </c>
      <c r="AU18" s="20">
        <f>2013</f>
        <v/>
      </c>
      <c r="AV18" s="20">
        <f>2013</f>
        <v/>
      </c>
      <c r="AW18" s="20">
        <f>2013</f>
        <v/>
      </c>
      <c r="AX18" s="20">
        <f>2013</f>
        <v/>
      </c>
      <c r="AY18" s="20">
        <f>2013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-597</v>
      </c>
      <c r="F19" s="19" t="n">
        <v>0</v>
      </c>
      <c r="G19" s="19" t="n">
        <v>-522.5</v>
      </c>
      <c r="H19" s="19" t="n">
        <v>-1576</v>
      </c>
      <c r="I19" s="19" t="n">
        <v>-1138</v>
      </c>
      <c r="J19" s="19" t="n">
        <v>-1174</v>
      </c>
      <c r="K19" s="19" t="n">
        <v>-2434.01</v>
      </c>
      <c r="L19" s="19" t="n">
        <v>-3460</v>
      </c>
      <c r="M19" s="19" t="n">
        <v>-5552</v>
      </c>
      <c r="N19" s="19" t="n">
        <v>-996.01</v>
      </c>
      <c r="O19" s="19" t="n">
        <v>-2607</v>
      </c>
      <c r="P19" s="19" t="n">
        <v>1329</v>
      </c>
      <c r="Q19" s="19" t="n">
        <v>2148</v>
      </c>
      <c r="R19" s="19" t="n">
        <v>1701</v>
      </c>
      <c r="S19" s="19" t="n">
        <v>956</v>
      </c>
      <c r="T19" s="84" t="n">
        <v>414.81</v>
      </c>
      <c r="U19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Forecast'!P10*Assumptions!$H$13+2013)*Assumptions!$C$17</f>
        <v/>
      </c>
      <c r="V19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Forecast'!P10*Assumptions!$I$13+2013)*Assumptions!$C$17</f>
        <v/>
      </c>
      <c r="W19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Forecast'!Q10*Assumptions!$I$13+2013)*Assumptions!$C$17</f>
        <v/>
      </c>
      <c r="X19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Forecast'!R10*Assumptions!$I$13+2013)*Assumptions!$C$17</f>
        <v/>
      </c>
      <c r="Y19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Forecast'!S10*Assumptions!$I$13+2013)*Assumptions!$C$17</f>
        <v/>
      </c>
      <c r="Z19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Forecast'!T10*Assumptions!$I$13+2013)*Assumptions!$C$17</f>
        <v/>
      </c>
      <c r="AA19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Forecast'!U10*Assumptions!$I$13+2013)*Assumptions!$C$17</f>
        <v/>
      </c>
      <c r="AB19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Forecast'!V10*Assumptions!$I$13+2013)*Assumptions!$C$17</f>
        <v/>
      </c>
      <c r="AC19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Forecast'!W10*Assumptions!$I$13+2013)*Assumptions!$C$17</f>
        <v/>
      </c>
      <c r="AD19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Forecast'!X10*Assumptions!$I$13+2013)*Assumptions!$C$17</f>
        <v/>
      </c>
      <c r="AE19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Forecast'!Y10*Assumptions!$I$13+2013)*Assumptions!$C$17</f>
        <v/>
      </c>
      <c r="AF19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Forecast'!Z10*Assumptions!$I$13+2013)*Assumptions!$C$17</f>
        <v/>
      </c>
      <c r="AG19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Forecast'!AA10*Assumptions!$I$13+2013)*Assumptions!$C$17</f>
        <v/>
      </c>
      <c r="AH19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Forecast'!AB10*Assumptions!$I$13+2013)*Assumptions!$C$17</f>
        <v/>
      </c>
      <c r="AI19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Forecast'!AC10*Assumptions!$I$13+2013)*Assumptions!$C$17</f>
        <v/>
      </c>
      <c r="AJ19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Forecast'!AD10*Assumptions!$I$13+2013)*Assumptions!$C$17</f>
        <v/>
      </c>
      <c r="AK19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Forecast'!AE10*Assumptions!$I$13+2013)*Assumptions!$C$17</f>
        <v/>
      </c>
      <c r="AL19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Forecast'!AF10*Assumptions!$I$13+2013)*Assumptions!$C$17</f>
        <v/>
      </c>
      <c r="AM19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Forecast'!AG10*Assumptions!$I$13+2013)*Assumptions!$C$17</f>
        <v/>
      </c>
      <c r="AN19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Forecast'!AH10*Assumptions!$I$13+2013)*Assumptions!$C$17</f>
        <v/>
      </c>
      <c r="AO19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Forecast'!AI10*Assumptions!$I$13+2013)*Assumptions!$C$17</f>
        <v/>
      </c>
      <c r="AP19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Forecast'!AJ10*Assumptions!$I$13+2013)*Assumptions!$C$17</f>
        <v/>
      </c>
      <c r="AQ19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Forecast'!AK10*Assumptions!$I$13+2013)*Assumptions!$C$17</f>
        <v/>
      </c>
      <c r="AR19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Forecast'!AL10*Assumptions!$I$13+2013)*Assumptions!$C$17</f>
        <v/>
      </c>
      <c r="AS19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Forecast'!AM10*Assumptions!$I$13+2013)*Assumptions!$C$17</f>
        <v/>
      </c>
      <c r="AT19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Forecast'!AN10*Assumptions!$I$13+2013)*Assumptions!$C$17</f>
        <v/>
      </c>
      <c r="AU19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Forecast'!AO10*Assumptions!$I$13+2013)*Assumptions!$C$17</f>
        <v/>
      </c>
      <c r="AV19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Forecast'!AP10*Assumptions!$I$13+2013)*Assumptions!$C$17</f>
        <v/>
      </c>
      <c r="AW19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Forecast'!AQ10*Assumptions!$I$13+2013)*Assumptions!$C$17</f>
        <v/>
      </c>
      <c r="AX19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Forecast'!AR10*Assumptions!$I$13+2013)*Assumptions!$C$17</f>
        <v/>
      </c>
      <c r="AY19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-1278.6</v>
      </c>
      <c r="H20" s="19" t="n">
        <v>-5291.36</v>
      </c>
      <c r="I20" s="19" t="n">
        <v>-8194.5</v>
      </c>
      <c r="J20" s="19" t="n">
        <v>-4160.12</v>
      </c>
      <c r="K20" s="19" t="n">
        <v>-4675.46</v>
      </c>
      <c r="L20" s="19" t="n">
        <v>-2806.52</v>
      </c>
      <c r="M20" s="19" t="n">
        <v>-3802.2</v>
      </c>
      <c r="N20" s="19" t="n">
        <v>-3118.72</v>
      </c>
      <c r="O20" s="19" t="n">
        <v>-3715.56</v>
      </c>
      <c r="P20" s="19" t="n">
        <v>6273.12</v>
      </c>
      <c r="Q20" s="19" t="n">
        <v>5689.39</v>
      </c>
      <c r="R20" s="19" t="n">
        <v>3614.58</v>
      </c>
      <c r="S20" s="19" t="n">
        <v>3156.57</v>
      </c>
      <c r="T20" s="84" t="n">
        <v>3166</v>
      </c>
      <c r="U20" s="20">
        <f>('Sales Forecast'!U10*Assumptions!$C$12+'Sales Forecast'!T10*Assumptions!$D$12+'Sales Forecast'!S10*Assumptions!$E$12+'Sales Forecast'!R10*Assumptions!$F$12+'Sales Forecast'!Q10*Assumptions!$G$12+'Sales Forecast'!P10*Assumptions!$H$12+'Sales Forecast'!U10*Assumptions!$C$13+'Sales Forecast'!T10*Assumptions!$D$13+'Sales Forecast'!S10*Assumptions!$E$13+'Sales Forecast'!R10*Assumptions!$F$13+'Sales Forecast'!Q10*Assumptions!$G$13+'Sales Forecast'!P10*Assumptions!$H$13+2013)*Assumptions!$C$18</f>
        <v/>
      </c>
      <c r="V20" s="20">
        <f>('Sales Forecast'!V10*Assumptions!$C$12+'Sales Forecast'!U10*Assumptions!$D$12+'Sales Forecast'!T10*Assumptions!$E$12+'Sales Forecast'!S10*Assumptions!$F$12+'Sales Forecast'!R10*Assumptions!$G$12+'Sales Forecast'!Q10*Assumptions!$H$12+'Sales Forecast'!P10*Assumptions!$I$12+'Sales Forecast'!V10*Assumptions!$C$13+'Sales Forecast'!U10*Assumptions!$D$13+'Sales Forecast'!T10*Assumptions!$E$13+'Sales Forecast'!S10*Assumptions!$F$13+'Sales Forecast'!R10*Assumptions!$G$13+'Sales Forecast'!Q10*Assumptions!$H$13+'Sales Forecast'!P10*Assumptions!$I$13+2013)*Assumptions!$C$18</f>
        <v/>
      </c>
      <c r="W20" s="20">
        <f>('Sales Forecast'!W10*Assumptions!$C$12+'Sales Forecast'!V10*Assumptions!$D$12+'Sales Forecast'!U10*Assumptions!$E$12+'Sales Forecast'!T10*Assumptions!$F$12+'Sales Forecast'!S10*Assumptions!$G$12+'Sales Forecast'!R10*Assumptions!$H$12+'Sales Forecast'!Q10*Assumptions!$I$12+'Sales Forecast'!W10*Assumptions!$C$13+'Sales Forecast'!V10*Assumptions!$D$13+'Sales Forecast'!U10*Assumptions!$E$13+'Sales Forecast'!T10*Assumptions!$F$13+'Sales Forecast'!S10*Assumptions!$G$13+'Sales Forecast'!R10*Assumptions!$H$13+'Sales Forecast'!Q10*Assumptions!$I$13+2013)*Assumptions!$C$18</f>
        <v/>
      </c>
      <c r="X20" s="20">
        <f>('Sales Forecast'!X10*Assumptions!$C$12+'Sales Forecast'!W10*Assumptions!$D$12+'Sales Forecast'!V10*Assumptions!$E$12+'Sales Forecast'!U10*Assumptions!$F$12+'Sales Forecast'!T10*Assumptions!$G$12+'Sales Forecast'!S10*Assumptions!$H$12+'Sales Forecast'!R10*Assumptions!$I$12+'Sales Forecast'!X10*Assumptions!$C$13+'Sales Forecast'!W10*Assumptions!$D$13+'Sales Forecast'!V10*Assumptions!$E$13+'Sales Forecast'!U10*Assumptions!$F$13+'Sales Forecast'!T10*Assumptions!$G$13+'Sales Forecast'!S10*Assumptions!$H$13+'Sales Forecast'!R10*Assumptions!$I$13+2013)*Assumptions!$C$18</f>
        <v/>
      </c>
      <c r="Y20" s="20">
        <f>('Sales Forecast'!Y10*Assumptions!$C$12+'Sales Forecast'!X10*Assumptions!$D$12+'Sales Forecast'!W10*Assumptions!$E$12+'Sales Forecast'!V10*Assumptions!$F$12+'Sales Forecast'!U10*Assumptions!$G$12+'Sales Forecast'!T10*Assumptions!$H$12+'Sales Forecast'!S10*Assumptions!$I$12+'Sales Forecast'!Y10*Assumptions!$C$13+'Sales Forecast'!X10*Assumptions!$D$13+'Sales Forecast'!W10*Assumptions!$E$13+'Sales Forecast'!V10*Assumptions!$F$13+'Sales Forecast'!U10*Assumptions!$G$13+'Sales Forecast'!T10*Assumptions!$H$13+'Sales Forecast'!S10*Assumptions!$I$13+2013)*Assumptions!$C$18</f>
        <v/>
      </c>
      <c r="Z20" s="20">
        <f>('Sales Forecast'!Z10*Assumptions!$C$12+'Sales Forecast'!Y10*Assumptions!$D$12+'Sales Forecast'!X10*Assumptions!$E$12+'Sales Forecast'!W10*Assumptions!$F$12+'Sales Forecast'!V10*Assumptions!$G$12+'Sales Forecast'!U10*Assumptions!$H$12+'Sales Forecast'!T10*Assumptions!$I$12+'Sales Forecast'!Z10*Assumptions!$C$13+'Sales Forecast'!Y10*Assumptions!$D$13+'Sales Forecast'!X10*Assumptions!$E$13+'Sales Forecast'!W10*Assumptions!$F$13+'Sales Forecast'!V10*Assumptions!$G$13+'Sales Forecast'!U10*Assumptions!$H$13+'Sales Forecast'!T10*Assumptions!$I$13+2013)*Assumptions!$C$18</f>
        <v/>
      </c>
      <c r="AA20" s="20">
        <f>('Sales Forecast'!AA10*Assumptions!$C$12+'Sales Forecast'!Z10*Assumptions!$D$12+'Sales Forecast'!Y10*Assumptions!$E$12+'Sales Forecast'!X10*Assumptions!$F$12+'Sales Forecast'!W10*Assumptions!$G$12+'Sales Forecast'!V10*Assumptions!$H$12+'Sales Forecast'!U10*Assumptions!$I$12+'Sales Forecast'!AA10*Assumptions!$C$13+'Sales Forecast'!Z10*Assumptions!$D$13+'Sales Forecast'!Y10*Assumptions!$E$13+'Sales Forecast'!X10*Assumptions!$F$13+'Sales Forecast'!W10*Assumptions!$G$13+'Sales Forecast'!V10*Assumptions!$H$13+'Sales Forecast'!U10*Assumptions!$I$13+2013)*Assumptions!$C$18</f>
        <v/>
      </c>
      <c r="AB20" s="20">
        <f>('Sales Forecast'!AB10*Assumptions!$C$12+'Sales Forecast'!AA10*Assumptions!$D$12+'Sales Forecast'!Z10*Assumptions!$E$12+'Sales Forecast'!Y10*Assumptions!$F$12+'Sales Forecast'!X10*Assumptions!$G$12+'Sales Forecast'!W10*Assumptions!$H$12+'Sales Forecast'!V10*Assumptions!$I$12+'Sales Forecast'!AB10*Assumptions!$C$13+'Sales Forecast'!AA10*Assumptions!$D$13+'Sales Forecast'!Z10*Assumptions!$E$13+'Sales Forecast'!Y10*Assumptions!$F$13+'Sales Forecast'!X10*Assumptions!$G$13+'Sales Forecast'!W10*Assumptions!$H$13+'Sales Forecast'!V10*Assumptions!$I$13+2013)*Assumptions!$C$18</f>
        <v/>
      </c>
      <c r="AC20" s="20">
        <f>('Sales Forecast'!AC10*Assumptions!$C$12+'Sales Forecast'!AB10*Assumptions!$D$12+'Sales Forecast'!AA10*Assumptions!$E$12+'Sales Forecast'!Z10*Assumptions!$F$12+'Sales Forecast'!Y10*Assumptions!$G$12+'Sales Forecast'!X10*Assumptions!$H$12+'Sales Forecast'!W10*Assumptions!$I$12+'Sales Forecast'!AC10*Assumptions!$C$13+'Sales Forecast'!AB10*Assumptions!$D$13+'Sales Forecast'!AA10*Assumptions!$E$13+'Sales Forecast'!Z10*Assumptions!$F$13+'Sales Forecast'!Y10*Assumptions!$G$13+'Sales Forecast'!X10*Assumptions!$H$13+'Sales Forecast'!W10*Assumptions!$I$13+2013)*Assumptions!$C$18</f>
        <v/>
      </c>
      <c r="AD20" s="20">
        <f>('Sales Forecast'!AD10*Assumptions!$C$12+'Sales Forecast'!AC10*Assumptions!$D$12+'Sales Forecast'!AB10*Assumptions!$E$12+'Sales Forecast'!AA10*Assumptions!$F$12+'Sales Forecast'!Z10*Assumptions!$G$12+'Sales Forecast'!Y10*Assumptions!$H$12+'Sales Forecast'!X10*Assumptions!$I$12+'Sales Forecast'!AD10*Assumptions!$C$13+'Sales Forecast'!AC10*Assumptions!$D$13+'Sales Forecast'!AB10*Assumptions!$E$13+'Sales Forecast'!AA10*Assumptions!$F$13+'Sales Forecast'!Z10*Assumptions!$G$13+'Sales Forecast'!Y10*Assumptions!$H$13+'Sales Forecast'!X10*Assumptions!$I$13+2013)*Assumptions!$C$18</f>
        <v/>
      </c>
      <c r="AE20" s="20">
        <f>('Sales Forecast'!AE10*Assumptions!$C$12+'Sales Forecast'!AD10*Assumptions!$D$12+'Sales Forecast'!AC10*Assumptions!$E$12+'Sales Forecast'!AB10*Assumptions!$F$12+'Sales Forecast'!AA10*Assumptions!$G$12+'Sales Forecast'!Z10*Assumptions!$H$12+'Sales Forecast'!Y10*Assumptions!$I$12+'Sales Forecast'!AE10*Assumptions!$C$13+'Sales Forecast'!AD10*Assumptions!$D$13+'Sales Forecast'!AC10*Assumptions!$E$13+'Sales Forecast'!AB10*Assumptions!$F$13+'Sales Forecast'!AA10*Assumptions!$G$13+'Sales Forecast'!Z10*Assumptions!$H$13+'Sales Forecast'!Y10*Assumptions!$I$13+2013)*Assumptions!$C$18</f>
        <v/>
      </c>
      <c r="AF20" s="20">
        <f>('Sales Forecast'!AF10*Assumptions!$C$12+'Sales Forecast'!AE10*Assumptions!$D$12+'Sales Forecast'!AD10*Assumptions!$E$12+'Sales Forecast'!AC10*Assumptions!$F$12+'Sales Forecast'!AB10*Assumptions!$G$12+'Sales Forecast'!AA10*Assumptions!$H$12+'Sales Forecast'!Z10*Assumptions!$I$12+'Sales Forecast'!AF10*Assumptions!$C$13+'Sales Forecast'!AE10*Assumptions!$D$13+'Sales Forecast'!AD10*Assumptions!$E$13+'Sales Forecast'!AC10*Assumptions!$F$13+'Sales Forecast'!AB10*Assumptions!$G$13+'Sales Forecast'!AA10*Assumptions!$H$13+'Sales Forecast'!Z10*Assumptions!$I$13+2013)*Assumptions!$C$18</f>
        <v/>
      </c>
      <c r="AG20" s="20">
        <f>('Sales Forecast'!AG10*Assumptions!$C$12+'Sales Forecast'!AF10*Assumptions!$D$12+'Sales Forecast'!AE10*Assumptions!$E$12+'Sales Forecast'!AD10*Assumptions!$F$12+'Sales Forecast'!AC10*Assumptions!$G$12+'Sales Forecast'!AB10*Assumptions!$H$12+'Sales Forecast'!AA10*Assumptions!$I$12+'Sales Forecast'!AG10*Assumptions!$C$13+'Sales Forecast'!AF10*Assumptions!$D$13+'Sales Forecast'!AE10*Assumptions!$E$13+'Sales Forecast'!AD10*Assumptions!$F$13+'Sales Forecast'!AC10*Assumptions!$G$13+'Sales Forecast'!AB10*Assumptions!$H$13+'Sales Forecast'!AA10*Assumptions!$I$13+2013)*Assumptions!$C$18</f>
        <v/>
      </c>
      <c r="AH20" s="20">
        <f>('Sales Forecast'!AH10*Assumptions!$C$12+'Sales Forecast'!AG10*Assumptions!$D$12+'Sales Forecast'!AF10*Assumptions!$E$12+'Sales Forecast'!AE10*Assumptions!$F$12+'Sales Forecast'!AD10*Assumptions!$G$12+'Sales Forecast'!AC10*Assumptions!$H$12+'Sales Forecast'!AB10*Assumptions!$I$12+'Sales Forecast'!AH10*Assumptions!$C$13+'Sales Forecast'!AG10*Assumptions!$D$13+'Sales Forecast'!AF10*Assumptions!$E$13+'Sales Forecast'!AE10*Assumptions!$F$13+'Sales Forecast'!AD10*Assumptions!$G$13+'Sales Forecast'!AC10*Assumptions!$H$13+'Sales Forecast'!AB10*Assumptions!$I$13+2013)*Assumptions!$C$18</f>
        <v/>
      </c>
      <c r="AI20" s="20">
        <f>('Sales Forecast'!AI10*Assumptions!$C$12+'Sales Forecast'!AH10*Assumptions!$D$12+'Sales Forecast'!AG10*Assumptions!$E$12+'Sales Forecast'!AF10*Assumptions!$F$12+'Sales Forecast'!AE10*Assumptions!$G$12+'Sales Forecast'!AD10*Assumptions!$H$12+'Sales Forecast'!AC10*Assumptions!$I$12+'Sales Forecast'!AI10*Assumptions!$C$13+'Sales Forecast'!AH10*Assumptions!$D$13+'Sales Forecast'!AG10*Assumptions!$E$13+'Sales Forecast'!AF10*Assumptions!$F$13+'Sales Forecast'!AE10*Assumptions!$G$13+'Sales Forecast'!AD10*Assumptions!$H$13+'Sales Forecast'!AC10*Assumptions!$I$13+2013)*Assumptions!$C$18</f>
        <v/>
      </c>
      <c r="AJ20" s="20">
        <f>('Sales Forecast'!AJ10*Assumptions!$C$12+'Sales Forecast'!AI10*Assumptions!$D$12+'Sales Forecast'!AH10*Assumptions!$E$12+'Sales Forecast'!AG10*Assumptions!$F$12+'Sales Forecast'!AF10*Assumptions!$G$12+'Sales Forecast'!AE10*Assumptions!$H$12+'Sales Forecast'!AD10*Assumptions!$I$12+'Sales Forecast'!AJ10*Assumptions!$C$13+'Sales Forecast'!AI10*Assumptions!$D$13+'Sales Forecast'!AH10*Assumptions!$E$13+'Sales Forecast'!AG10*Assumptions!$F$13+'Sales Forecast'!AF10*Assumptions!$G$13+'Sales Forecast'!AE10*Assumptions!$H$13+'Sales Forecast'!AD10*Assumptions!$I$13+2013)*Assumptions!$C$18</f>
        <v/>
      </c>
      <c r="AK20" s="20">
        <f>('Sales Forecast'!AK10*Assumptions!$C$12+'Sales Forecast'!AJ10*Assumptions!$D$12+'Sales Forecast'!AI10*Assumptions!$E$12+'Sales Forecast'!AH10*Assumptions!$F$12+'Sales Forecast'!AG10*Assumptions!$G$12+'Sales Forecast'!AF10*Assumptions!$H$12+'Sales Forecast'!AE10*Assumptions!$I$12+'Sales Forecast'!AK10*Assumptions!$C$13+'Sales Forecast'!AJ10*Assumptions!$D$13+'Sales Forecast'!AI10*Assumptions!$E$13+'Sales Forecast'!AH10*Assumptions!$F$13+'Sales Forecast'!AG10*Assumptions!$G$13+'Sales Forecast'!AF10*Assumptions!$H$13+'Sales Forecast'!AE10*Assumptions!$I$13+2013)*Assumptions!$C$18</f>
        <v/>
      </c>
      <c r="AL20" s="20">
        <f>('Sales Forecast'!AL10*Assumptions!$C$12+'Sales Forecast'!AK10*Assumptions!$D$12+'Sales Forecast'!AJ10*Assumptions!$E$12+'Sales Forecast'!AI10*Assumptions!$F$12+'Sales Forecast'!AH10*Assumptions!$G$12+'Sales Forecast'!AG10*Assumptions!$H$12+'Sales Forecast'!AF10*Assumptions!$I$12+'Sales Forecast'!AL10*Assumptions!$C$13+'Sales Forecast'!AK10*Assumptions!$D$13+'Sales Forecast'!AJ10*Assumptions!$E$13+'Sales Forecast'!AI10*Assumptions!$F$13+'Sales Forecast'!AH10*Assumptions!$G$13+'Sales Forecast'!AG10*Assumptions!$H$13+'Sales Forecast'!AF10*Assumptions!$I$13+2013)*Assumptions!$C$18</f>
        <v/>
      </c>
      <c r="AM20" s="20">
        <f>('Sales Forecast'!AM10*Assumptions!$C$12+'Sales Forecast'!AL10*Assumptions!$D$12+'Sales Forecast'!AK10*Assumptions!$E$12+'Sales Forecast'!AJ10*Assumptions!$F$12+'Sales Forecast'!AI10*Assumptions!$G$12+'Sales Forecast'!AH10*Assumptions!$H$12+'Sales Forecast'!AG10*Assumptions!$I$12+'Sales Forecast'!AM10*Assumptions!$C$13+'Sales Forecast'!AL10*Assumptions!$D$13+'Sales Forecast'!AK10*Assumptions!$E$13+'Sales Forecast'!AJ10*Assumptions!$F$13+'Sales Forecast'!AI10*Assumptions!$G$13+'Sales Forecast'!AH10*Assumptions!$H$13+'Sales Forecast'!AG10*Assumptions!$I$13+2013)*Assumptions!$C$18</f>
        <v/>
      </c>
      <c r="AN20" s="20">
        <f>('Sales Forecast'!AN10*Assumptions!$C$12+'Sales Forecast'!AM10*Assumptions!$D$12+'Sales Forecast'!AL10*Assumptions!$E$12+'Sales Forecast'!AK10*Assumptions!$F$12+'Sales Forecast'!AJ10*Assumptions!$G$12+'Sales Forecast'!AI10*Assumptions!$H$12+'Sales Forecast'!AH10*Assumptions!$I$12+'Sales Forecast'!AN10*Assumptions!$C$13+'Sales Forecast'!AM10*Assumptions!$D$13+'Sales Forecast'!AL10*Assumptions!$E$13+'Sales Forecast'!AK10*Assumptions!$F$13+'Sales Forecast'!AJ10*Assumptions!$G$13+'Sales Forecast'!AI10*Assumptions!$H$13+'Sales Forecast'!AH10*Assumptions!$I$13+2013)*Assumptions!$C$18</f>
        <v/>
      </c>
      <c r="AO20" s="20">
        <f>('Sales Forecast'!AO10*Assumptions!$C$12+'Sales Forecast'!AN10*Assumptions!$D$12+'Sales Forecast'!AM10*Assumptions!$E$12+'Sales Forecast'!AL10*Assumptions!$F$12+'Sales Forecast'!AK10*Assumptions!$G$12+'Sales Forecast'!AJ10*Assumptions!$H$12+'Sales Forecast'!AI10*Assumptions!$I$12+'Sales Forecast'!AO10*Assumptions!$C$13+'Sales Forecast'!AN10*Assumptions!$D$13+'Sales Forecast'!AM10*Assumptions!$E$13+'Sales Forecast'!AL10*Assumptions!$F$13+'Sales Forecast'!AK10*Assumptions!$G$13+'Sales Forecast'!AJ10*Assumptions!$H$13+'Sales Forecast'!AI10*Assumptions!$I$13+2013)*Assumptions!$C$18</f>
        <v/>
      </c>
      <c r="AP20" s="20">
        <f>('Sales Forecast'!AP10*Assumptions!$C$12+'Sales Forecast'!AO10*Assumptions!$D$12+'Sales Forecast'!AN10*Assumptions!$E$12+'Sales Forecast'!AM10*Assumptions!$F$12+'Sales Forecast'!AL10*Assumptions!$G$12+'Sales Forecast'!AK10*Assumptions!$H$12+'Sales Forecast'!AJ10*Assumptions!$I$12+'Sales Forecast'!AP10*Assumptions!$C$13+'Sales Forecast'!AO10*Assumptions!$D$13+'Sales Forecast'!AN10*Assumptions!$E$13+'Sales Forecast'!AM10*Assumptions!$F$13+'Sales Forecast'!AL10*Assumptions!$G$13+'Sales Forecast'!AK10*Assumptions!$H$13+'Sales Forecast'!AJ10*Assumptions!$I$13+2013)*Assumptions!$C$18</f>
        <v/>
      </c>
      <c r="AQ20" s="20">
        <f>('Sales Forecast'!AQ10*Assumptions!$C$12+'Sales Forecast'!AP10*Assumptions!$D$12+'Sales Forecast'!AO10*Assumptions!$E$12+'Sales Forecast'!AN10*Assumptions!$F$12+'Sales Forecast'!AM10*Assumptions!$G$12+'Sales Forecast'!AL10*Assumptions!$H$12+'Sales Forecast'!AK10*Assumptions!$I$12+'Sales Forecast'!AQ10*Assumptions!$C$13+'Sales Forecast'!AP10*Assumptions!$D$13+'Sales Forecast'!AO10*Assumptions!$E$13+'Sales Forecast'!AN10*Assumptions!$F$13+'Sales Forecast'!AM10*Assumptions!$G$13+'Sales Forecast'!AL10*Assumptions!$H$13+'Sales Forecast'!AK10*Assumptions!$I$13+2013)*Assumptions!$C$18</f>
        <v/>
      </c>
      <c r="AR20" s="20">
        <f>('Sales Forecast'!AR10*Assumptions!$C$12+'Sales Forecast'!AQ10*Assumptions!$D$12+'Sales Forecast'!AP10*Assumptions!$E$12+'Sales Forecast'!AO10*Assumptions!$F$12+'Sales Forecast'!AN10*Assumptions!$G$12+'Sales Forecast'!AM10*Assumptions!$H$12+'Sales Forecast'!AL10*Assumptions!$I$12+'Sales Forecast'!AR10*Assumptions!$C$13+'Sales Forecast'!AQ10*Assumptions!$D$13+'Sales Forecast'!AP10*Assumptions!$E$13+'Sales Forecast'!AO10*Assumptions!$F$13+'Sales Forecast'!AN10*Assumptions!$G$13+'Sales Forecast'!AM10*Assumptions!$H$13+'Sales Forecast'!AL10*Assumptions!$I$13+2013)*Assumptions!$C$18</f>
        <v/>
      </c>
      <c r="AS20" s="20">
        <f>('Sales Forecast'!AS10*Assumptions!$C$12+'Sales Forecast'!AR10*Assumptions!$D$12+'Sales Forecast'!AQ10*Assumptions!$E$12+'Sales Forecast'!AP10*Assumptions!$F$12+'Sales Forecast'!AO10*Assumptions!$G$12+'Sales Forecast'!AN10*Assumptions!$H$12+'Sales Forecast'!AM10*Assumptions!$I$12+'Sales Forecast'!AS10*Assumptions!$C$13+'Sales Forecast'!AR10*Assumptions!$D$13+'Sales Forecast'!AQ10*Assumptions!$E$13+'Sales Forecast'!AP10*Assumptions!$F$13+'Sales Forecast'!AO10*Assumptions!$G$13+'Sales Forecast'!AN10*Assumptions!$H$13+'Sales Forecast'!AM10*Assumptions!$I$13+2013)*Assumptions!$C$18</f>
        <v/>
      </c>
      <c r="AT20" s="20">
        <f>('Sales Forecast'!AT10*Assumptions!$C$12+'Sales Forecast'!AS10*Assumptions!$D$12+'Sales Forecast'!AR10*Assumptions!$E$12+'Sales Forecast'!AQ10*Assumptions!$F$12+'Sales Forecast'!AP10*Assumptions!$G$12+'Sales Forecast'!AO10*Assumptions!$H$12+'Sales Forecast'!AN10*Assumptions!$I$12+'Sales Forecast'!AT10*Assumptions!$C$13+'Sales Forecast'!AS10*Assumptions!$D$13+'Sales Forecast'!AR10*Assumptions!$E$13+'Sales Forecast'!AQ10*Assumptions!$F$13+'Sales Forecast'!AP10*Assumptions!$G$13+'Sales Forecast'!AO10*Assumptions!$H$13+'Sales Forecast'!AN10*Assumptions!$I$13+2013)*Assumptions!$C$18</f>
        <v/>
      </c>
      <c r="AU20" s="20">
        <f>('Sales Forecast'!AU10*Assumptions!$C$12+'Sales Forecast'!AT10*Assumptions!$D$12+'Sales Forecast'!AS10*Assumptions!$E$12+'Sales Forecast'!AR10*Assumptions!$F$12+'Sales Forecast'!AQ10*Assumptions!$G$12+'Sales Forecast'!AP10*Assumptions!$H$12+'Sales Forecast'!AO10*Assumptions!$I$12+'Sales Forecast'!AU10*Assumptions!$C$13+'Sales Forecast'!AT10*Assumptions!$D$13+'Sales Forecast'!AS10*Assumptions!$E$13+'Sales Forecast'!AR10*Assumptions!$F$13+'Sales Forecast'!AQ10*Assumptions!$G$13+'Sales Forecast'!AP10*Assumptions!$H$13+'Sales Forecast'!AO10*Assumptions!$I$13+2013)*Assumptions!$C$18</f>
        <v/>
      </c>
      <c r="AV20" s="20">
        <f>('Sales Forecast'!AV10*Assumptions!$C$12+'Sales Forecast'!AU10*Assumptions!$D$12+'Sales Forecast'!AT10*Assumptions!$E$12+'Sales Forecast'!AS10*Assumptions!$F$12+'Sales Forecast'!AR10*Assumptions!$G$12+'Sales Forecast'!AQ10*Assumptions!$H$12+'Sales Forecast'!AP10*Assumptions!$I$12+'Sales Forecast'!AV10*Assumptions!$C$13+'Sales Forecast'!AU10*Assumptions!$D$13+'Sales Forecast'!AT10*Assumptions!$E$13+'Sales Forecast'!AS10*Assumptions!$F$13+'Sales Forecast'!AR10*Assumptions!$G$13+'Sales Forecast'!AQ10*Assumptions!$H$13+'Sales Forecast'!AP10*Assumptions!$I$13+2013)*Assumptions!$C$18</f>
        <v/>
      </c>
      <c r="AW20" s="20">
        <f>('Sales Forecast'!AW10*Assumptions!$C$12+'Sales Forecast'!AV10*Assumptions!$D$12+'Sales Forecast'!AU10*Assumptions!$E$12+'Sales Forecast'!AT10*Assumptions!$F$12+'Sales Forecast'!AS10*Assumptions!$G$12+'Sales Forecast'!AR10*Assumptions!$H$12+'Sales Forecast'!AQ10*Assumptions!$I$12+'Sales Forecast'!AW10*Assumptions!$C$13+'Sales Forecast'!AV10*Assumptions!$D$13+'Sales Forecast'!AU10*Assumptions!$E$13+'Sales Forecast'!AT10*Assumptions!$F$13+'Sales Forecast'!AS10*Assumptions!$G$13+'Sales Forecast'!AR10*Assumptions!$H$13+'Sales Forecast'!AQ10*Assumptions!$I$13+2013)*Assumptions!$C$18</f>
        <v/>
      </c>
      <c r="AX20" s="20">
        <f>('Sales Forecast'!AX10*Assumptions!$C$12+'Sales Forecast'!AW10*Assumptions!$D$12+'Sales Forecast'!AV10*Assumptions!$E$12+'Sales Forecast'!AU10*Assumptions!$F$12+'Sales Forecast'!AT10*Assumptions!$G$12+'Sales Forecast'!AS10*Assumptions!$H$12+'Sales Forecast'!AR10*Assumptions!$I$12+'Sales Forecast'!AX10*Assumptions!$C$13+'Sales Forecast'!AW10*Assumptions!$D$13+'Sales Forecast'!AV10*Assumptions!$E$13+'Sales Forecast'!AU10*Assumptions!$F$13+'Sales Forecast'!AT10*Assumptions!$G$13+'Sales Forecast'!AS10*Assumptions!$H$13+'Sales Forecast'!AR10*Assumptions!$I$13+2013)*Assumptions!$C$18</f>
        <v/>
      </c>
      <c r="AY20" s="20">
        <f>('Sales Forecast'!AY10*Assumptions!$C$12+'Sales Forecast'!AX10*Assumptions!$D$12+'Sales Forecast'!AW10*Assumptions!$E$12+'Sales Forecast'!AV10*Assumptions!$F$12+'Sales Forecast'!AU10*Assumptions!$G$12+'Sales Forecast'!AT10*Assumptions!$H$12+'Sales Forecast'!AS10*Assumptions!$I$12+'Sales Forecast'!AY10*Assumptions!$C$13+'Sales Forecast'!AX10*Assumptions!$D$13+'Sales Forecast'!AW10*Assumptions!$E$13+'Sales Forecast'!AV10*Assumptions!$F$13+'Sales Forecast'!AU10*Assumptions!$G$13+'Sales Forecast'!AT10*Assumptions!$H$13+'Sales Forecast'!AS10*Assumptions!$I$13+2013)*Assumptions!$C$18</f>
        <v/>
      </c>
    </row>
    <row r="21">
      <c r="B21" s="32" t="inlineStr">
        <is>
          <t>TOTAL REVENUE</t>
        </is>
      </c>
      <c r="C21" s="34" t="n"/>
      <c r="D21" s="35" t="n">
        <v>15363.68</v>
      </c>
      <c r="E21" s="35" t="n">
        <v>13623.89</v>
      </c>
      <c r="F21" s="35" t="n">
        <v>17561.05</v>
      </c>
      <c r="G21" s="35" t="n">
        <v>17301.51</v>
      </c>
      <c r="H21" s="35" t="n">
        <v>50403.35000000001</v>
      </c>
      <c r="I21" s="35" t="n">
        <v>77670.00999999999</v>
      </c>
      <c r="J21" s="35" t="n">
        <v>81210.12</v>
      </c>
      <c r="K21" s="35" t="n">
        <v>87074.56999999999</v>
      </c>
      <c r="L21" s="35" t="n">
        <v>106901.68</v>
      </c>
      <c r="M21" s="35" t="n">
        <v>94929.2</v>
      </c>
      <c r="N21" s="35" t="n">
        <v>113680.3</v>
      </c>
      <c r="O21" s="35" t="n">
        <v>113277.53</v>
      </c>
      <c r="P21" s="35" t="n">
        <v>107403.68</v>
      </c>
      <c r="Q21" s="35" t="n">
        <v>96968.59</v>
      </c>
      <c r="R21" s="35" t="n">
        <v>107794.45</v>
      </c>
      <c r="S21" s="35" t="n">
        <v>107584.4</v>
      </c>
      <c r="T21" s="85" t="n">
        <v>118644.02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148</v>
      </c>
      <c r="H23" s="19" t="n">
        <v>722</v>
      </c>
      <c r="I23" s="19" t="n">
        <v>1152</v>
      </c>
      <c r="J23" s="19" t="n">
        <v>1039.25</v>
      </c>
      <c r="K23" s="19" t="n">
        <v>826</v>
      </c>
      <c r="L23" s="19" t="n">
        <v>903</v>
      </c>
      <c r="M23" s="19" t="n">
        <v>901</v>
      </c>
      <c r="N23" s="19" t="n">
        <v>1580.5</v>
      </c>
      <c r="O23" s="19" t="n">
        <v>884.25</v>
      </c>
      <c r="P23" s="19" t="n">
        <v>976</v>
      </c>
      <c r="Q23" s="19" t="n">
        <v>858.75</v>
      </c>
      <c r="R23" s="19" t="n">
        <v>742</v>
      </c>
      <c r="S23" s="19" t="n">
        <v>921</v>
      </c>
      <c r="T23" s="84" t="n">
        <v>660.25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4862.31</v>
      </c>
      <c r="E24" s="19" t="n">
        <v>3411.93</v>
      </c>
      <c r="F24" s="19" t="n">
        <v>4208.5</v>
      </c>
      <c r="G24" s="19" t="n">
        <v>5619.07</v>
      </c>
      <c r="H24" s="19" t="n">
        <v>4090.87</v>
      </c>
      <c r="I24" s="19" t="n">
        <v>4312.04</v>
      </c>
      <c r="J24" s="19" t="n">
        <v>3932.73</v>
      </c>
      <c r="K24" s="19" t="n">
        <v>5432.74</v>
      </c>
      <c r="L24" s="19" t="n">
        <v>4004.01</v>
      </c>
      <c r="M24" s="19" t="n">
        <v>4248.85</v>
      </c>
      <c r="N24" s="19" t="n">
        <v>2602.26</v>
      </c>
      <c r="O24" s="19" t="n">
        <v>2984.63</v>
      </c>
      <c r="P24" s="19" t="n">
        <v>2883.94</v>
      </c>
      <c r="Q24" s="19" t="n">
        <v>3492.89</v>
      </c>
      <c r="R24" s="19" t="n">
        <v>2723.17</v>
      </c>
      <c r="S24" s="19" t="n">
        <v>4195.19</v>
      </c>
      <c r="T24" s="84" t="n">
        <v>1898.15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4862.31</v>
      </c>
      <c r="E25" s="35" t="n">
        <v>3411.93</v>
      </c>
      <c r="F25" s="35" t="n">
        <v>4208.5</v>
      </c>
      <c r="G25" s="35" t="n">
        <v>5767.07</v>
      </c>
      <c r="H25" s="35" t="n">
        <v>4812.87</v>
      </c>
      <c r="I25" s="35" t="n">
        <v>5464.04</v>
      </c>
      <c r="J25" s="35" t="n">
        <v>4971.98</v>
      </c>
      <c r="K25" s="35" t="n">
        <v>6258.74</v>
      </c>
      <c r="L25" s="35" t="n">
        <v>4907.01</v>
      </c>
      <c r="M25" s="35" t="n">
        <v>5149.85</v>
      </c>
      <c r="N25" s="35" t="n">
        <v>4182.76</v>
      </c>
      <c r="O25" s="35" t="n">
        <v>5876.89</v>
      </c>
      <c r="P25" s="35" t="n">
        <v>3859.94</v>
      </c>
      <c r="Q25" s="35" t="n">
        <v>4351.639999999999</v>
      </c>
      <c r="R25" s="35" t="n">
        <v>3465.17</v>
      </c>
      <c r="S25" s="35" t="n">
        <v>5116.19</v>
      </c>
      <c r="T25" s="85" t="n">
        <v>2558.4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10501.37</v>
      </c>
      <c r="E26" s="35" t="n">
        <v>10211.96</v>
      </c>
      <c r="F26" s="35" t="n">
        <v>13352.55</v>
      </c>
      <c r="G26" s="35" t="n">
        <v>11534.44</v>
      </c>
      <c r="H26" s="35" t="n">
        <v>45590.48</v>
      </c>
      <c r="I26" s="35" t="n">
        <v>72205.97</v>
      </c>
      <c r="J26" s="35" t="n">
        <v>76238.14</v>
      </c>
      <c r="K26" s="35" t="n">
        <v>80815.82999999999</v>
      </c>
      <c r="L26" s="35" t="n">
        <v>101994.67</v>
      </c>
      <c r="M26" s="35" t="n">
        <v>89779.34999999999</v>
      </c>
      <c r="N26" s="35" t="n">
        <v>109497.54</v>
      </c>
      <c r="O26" s="35" t="n">
        <v>107400.64</v>
      </c>
      <c r="P26" s="35" t="n">
        <v>103543.74</v>
      </c>
      <c r="Q26" s="35" t="n">
        <v>92616.95</v>
      </c>
      <c r="R26" s="35" t="n">
        <v>104329.28</v>
      </c>
      <c r="S26" s="35" t="n">
        <v>102468.21</v>
      </c>
      <c r="T26" s="85" t="n">
        <v>116085.62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300</v>
      </c>
      <c r="F28" s="19" t="n">
        <v>0</v>
      </c>
      <c r="G28" s="19" t="n">
        <v>0</v>
      </c>
      <c r="H28" s="19" t="n">
        <v>0</v>
      </c>
      <c r="I28" s="19" t="n">
        <v>3050</v>
      </c>
      <c r="J28" s="19" t="n">
        <v>300</v>
      </c>
      <c r="K28" s="19" t="n">
        <v>1083.33</v>
      </c>
      <c r="L28" s="19" t="n">
        <v>2274.45</v>
      </c>
      <c r="M28" s="19" t="n">
        <v>2513.09</v>
      </c>
      <c r="N28" s="19" t="n">
        <v>3262.57</v>
      </c>
      <c r="O28" s="19" t="n">
        <v>1935.08</v>
      </c>
      <c r="P28" s="19" t="n">
        <v>1585.87</v>
      </c>
      <c r="Q28" s="19" t="n">
        <v>3576.18</v>
      </c>
      <c r="R28" s="19" t="n">
        <v>2381.63</v>
      </c>
      <c r="S28" s="19" t="n">
        <v>755.14</v>
      </c>
      <c r="T28" s="84" t="n">
        <v>747.4299999999999</v>
      </c>
      <c r="U28" s="20" t="n">
        <v>2000</v>
      </c>
      <c r="V28" s="20" t="n">
        <v>2000</v>
      </c>
      <c r="W28" s="20" t="n">
        <v>2000</v>
      </c>
      <c r="X28" s="20" t="n">
        <v>2000</v>
      </c>
      <c r="Y28" s="20" t="n">
        <v>2000</v>
      </c>
      <c r="Z28" s="20" t="n">
        <v>2000</v>
      </c>
      <c r="AA28" s="20" t="n">
        <v>2000</v>
      </c>
      <c r="AB28" s="20" t="n">
        <v>2000</v>
      </c>
      <c r="AC28" s="20" t="n">
        <v>2000</v>
      </c>
      <c r="AD28" s="20" t="n">
        <v>2000</v>
      </c>
      <c r="AE28" s="20" t="n">
        <v>2000</v>
      </c>
      <c r="AF28" s="20" t="n">
        <v>2000</v>
      </c>
      <c r="AG28" s="20" t="n">
        <v>2000</v>
      </c>
      <c r="AH28" s="20" t="n">
        <v>2000</v>
      </c>
      <c r="AI28" s="20" t="n">
        <v>2000</v>
      </c>
      <c r="AJ28" s="20" t="n">
        <v>2000</v>
      </c>
      <c r="AK28" s="20" t="n">
        <v>2000</v>
      </c>
      <c r="AL28" s="20" t="n">
        <v>2000</v>
      </c>
      <c r="AM28" s="20" t="n">
        <v>2000</v>
      </c>
      <c r="AN28" s="20" t="n">
        <v>2000</v>
      </c>
      <c r="AO28" s="20" t="n">
        <v>2000</v>
      </c>
      <c r="AP28" s="20" t="n">
        <v>2000</v>
      </c>
      <c r="AQ28" s="20" t="n">
        <v>2000</v>
      </c>
      <c r="AR28" s="20" t="n">
        <v>2000</v>
      </c>
      <c r="AS28" s="20" t="n">
        <v>2000</v>
      </c>
      <c r="AT28" s="20" t="n">
        <v>2000</v>
      </c>
      <c r="AU28" s="20" t="n">
        <v>2000</v>
      </c>
      <c r="AV28" s="20" t="n">
        <v>2000</v>
      </c>
      <c r="AW28" s="20" t="n">
        <v>2000</v>
      </c>
      <c r="AX28" s="20" t="n">
        <v>2000</v>
      </c>
      <c r="AY28" s="20" t="n">
        <v>2000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122.35</v>
      </c>
      <c r="I30" s="19" t="n">
        <v>0</v>
      </c>
      <c r="J30" s="19" t="n">
        <v>0</v>
      </c>
      <c r="K30" s="19" t="n">
        <v>109.69</v>
      </c>
      <c r="L30" s="19" t="n">
        <v>0</v>
      </c>
      <c r="M30" s="19" t="n">
        <v>0</v>
      </c>
      <c r="N30" s="19" t="n">
        <v>0</v>
      </c>
      <c r="O30" s="19" t="n">
        <v>127.81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300</v>
      </c>
      <c r="F33" s="35" t="n">
        <v>0</v>
      </c>
      <c r="G33" s="35" t="n">
        <v>0</v>
      </c>
      <c r="H33" s="35" t="n">
        <v>122.35</v>
      </c>
      <c r="I33" s="35" t="n">
        <v>3050</v>
      </c>
      <c r="J33" s="35" t="n">
        <v>300</v>
      </c>
      <c r="K33" s="35" t="n">
        <v>1193.02</v>
      </c>
      <c r="L33" s="35" t="n">
        <v>2274.45</v>
      </c>
      <c r="M33" s="35" t="n">
        <v>2513.09</v>
      </c>
      <c r="N33" s="35" t="n">
        <v>3262.57</v>
      </c>
      <c r="O33" s="35" t="n">
        <v>2062.89</v>
      </c>
      <c r="P33" s="35" t="n">
        <v>1585.87</v>
      </c>
      <c r="Q33" s="35" t="n">
        <v>3576.18</v>
      </c>
      <c r="R33" s="35" t="n">
        <v>2381.63</v>
      </c>
      <c r="S33" s="35" t="n">
        <v>755.14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33192.43</v>
      </c>
      <c r="E34" s="19" t="n">
        <v>30022.01</v>
      </c>
      <c r="F34" s="19" t="n">
        <v>39422.6</v>
      </c>
      <c r="G34" s="19" t="n">
        <v>35338.46</v>
      </c>
      <c r="H34" s="19" t="n">
        <v>36528.19</v>
      </c>
      <c r="I34" s="19" t="n">
        <v>32952.35</v>
      </c>
      <c r="J34" s="19" t="n">
        <v>34758.69</v>
      </c>
      <c r="K34" s="19" t="n">
        <v>35609.26</v>
      </c>
      <c r="L34" s="19" t="n">
        <v>20787.67</v>
      </c>
      <c r="M34" s="19" t="n">
        <v>41410.95</v>
      </c>
      <c r="N34" s="19" t="n">
        <v>34017.92</v>
      </c>
      <c r="O34" s="19" t="n">
        <v>55931.16</v>
      </c>
      <c r="P34" s="19" t="n">
        <v>65040.98</v>
      </c>
      <c r="Q34" s="19" t="n">
        <v>56557.6</v>
      </c>
      <c r="R34" s="19" t="n">
        <v>59612.66</v>
      </c>
      <c r="S34" s="19" t="n">
        <v>58991.83</v>
      </c>
      <c r="T34" s="84" t="n">
        <v>57110.28</v>
      </c>
      <c r="U34" s="20" t="n">
        <v>41367.13</v>
      </c>
      <c r="V34" s="20" t="n">
        <v>41190.5</v>
      </c>
      <c r="W34" s="20" t="n">
        <v>42718.28</v>
      </c>
      <c r="X34" s="20" t="n">
        <v>42078.82</v>
      </c>
      <c r="Y34" s="20" t="n">
        <v>42355.44</v>
      </c>
      <c r="Z34" s="20" t="n">
        <v>43854.28</v>
      </c>
      <c r="AA34" s="20" t="n">
        <v>44310.06</v>
      </c>
      <c r="AB34" s="20" t="n">
        <v>42694.48</v>
      </c>
      <c r="AC34" s="20" t="n">
        <v>43869.02</v>
      </c>
      <c r="AD34" s="20" t="n">
        <v>41469.19</v>
      </c>
      <c r="AE34" s="20" t="n">
        <v>42303.21</v>
      </c>
      <c r="AF34" s="20" t="n">
        <v>42048.64</v>
      </c>
      <c r="AG34" s="20" t="n">
        <v>41809.08</v>
      </c>
      <c r="AH34" s="20" t="n">
        <v>41623.62</v>
      </c>
      <c r="AI34" s="20" t="n">
        <v>44075.27</v>
      </c>
      <c r="AJ34" s="20" t="n">
        <v>42709.72</v>
      </c>
      <c r="AK34" s="20" t="n">
        <v>43000.18</v>
      </c>
      <c r="AL34" s="20" t="n">
        <v>46007.96</v>
      </c>
      <c r="AM34" s="20" t="n">
        <v>46490.59</v>
      </c>
      <c r="AN34" s="20" t="n">
        <v>42694.48</v>
      </c>
      <c r="AO34" s="20" t="n">
        <v>43869.02</v>
      </c>
      <c r="AP34" s="20" t="n">
        <v>41469.19</v>
      </c>
      <c r="AQ34" s="20" t="n">
        <v>42303.21</v>
      </c>
      <c r="AR34" s="20" t="n">
        <v>42048.64</v>
      </c>
      <c r="AS34" s="20" t="n">
        <v>41809.08</v>
      </c>
      <c r="AT34" s="20" t="n">
        <v>41623.62</v>
      </c>
      <c r="AU34" s="20" t="n">
        <v>44075.27</v>
      </c>
      <c r="AV34" s="20" t="n">
        <v>42709.72</v>
      </c>
      <c r="AW34" s="20" t="n">
        <v>43000.18</v>
      </c>
      <c r="AX34" s="20" t="n">
        <v>46007.96</v>
      </c>
      <c r="AY34" s="20" t="n">
        <v>46490.59</v>
      </c>
    </row>
    <row r="35">
      <c r="B35" s="33" t="inlineStr">
        <is>
          <t xml:space="preserve">  602004 Payroll Taxes</t>
        </is>
      </c>
      <c r="D35" s="19" t="n">
        <v>5050.15</v>
      </c>
      <c r="E35" s="19" t="n">
        <v>3793.11</v>
      </c>
      <c r="F35" s="19" t="n">
        <v>4458.8</v>
      </c>
      <c r="G35" s="19" t="n">
        <v>3762.66</v>
      </c>
      <c r="H35" s="19" t="n">
        <v>3996.17</v>
      </c>
      <c r="I35" s="19" t="n">
        <v>3656.38</v>
      </c>
      <c r="J35" s="19" t="n">
        <v>3815.03</v>
      </c>
      <c r="K35" s="19" t="n">
        <v>3728.36</v>
      </c>
      <c r="L35" s="19" t="n">
        <v>2095.35</v>
      </c>
      <c r="M35" s="19" t="n">
        <v>4374.39</v>
      </c>
      <c r="N35" s="19" t="n">
        <v>3788</v>
      </c>
      <c r="O35" s="19" t="n">
        <v>6441.1</v>
      </c>
      <c r="P35" s="19" t="n">
        <v>10305.19</v>
      </c>
      <c r="Q35" s="19" t="n">
        <v>5333.86</v>
      </c>
      <c r="R35" s="19" t="n">
        <v>5347.31</v>
      </c>
      <c r="S35" s="19" t="n">
        <v>5135.8</v>
      </c>
      <c r="T35" s="84" t="n">
        <v>4871.9</v>
      </c>
      <c r="U35" s="20" t="n">
        <v>4498.69</v>
      </c>
      <c r="V35" s="20" t="n">
        <v>4479.48</v>
      </c>
      <c r="W35" s="20" t="n">
        <v>4645.63</v>
      </c>
      <c r="X35" s="20" t="n">
        <v>4576.09</v>
      </c>
      <c r="Y35" s="20" t="n">
        <v>4606.17</v>
      </c>
      <c r="Z35" s="20" t="n">
        <v>4769.17</v>
      </c>
      <c r="AA35" s="20" t="n">
        <v>4818.73</v>
      </c>
      <c r="AB35" s="20" t="n">
        <v>4643.04</v>
      </c>
      <c r="AC35" s="20" t="n">
        <v>4770.77</v>
      </c>
      <c r="AD35" s="20" t="n">
        <v>4509.79</v>
      </c>
      <c r="AE35" s="20" t="n">
        <v>4600.49</v>
      </c>
      <c r="AF35" s="20" t="n">
        <v>4572.8</v>
      </c>
      <c r="AG35" s="20" t="n">
        <v>4546.75</v>
      </c>
      <c r="AH35" s="20" t="n">
        <v>4526.58</v>
      </c>
      <c r="AI35" s="20" t="n">
        <v>4793.2</v>
      </c>
      <c r="AJ35" s="20" t="n">
        <v>4644.7</v>
      </c>
      <c r="AK35" s="20" t="n">
        <v>4676.28</v>
      </c>
      <c r="AL35" s="20" t="n">
        <v>5003.38</v>
      </c>
      <c r="AM35" s="20" t="n">
        <v>5055.87</v>
      </c>
      <c r="AN35" s="20" t="n">
        <v>4643.04</v>
      </c>
      <c r="AO35" s="20" t="n">
        <v>4770.77</v>
      </c>
      <c r="AP35" s="20" t="n">
        <v>4509.79</v>
      </c>
      <c r="AQ35" s="20" t="n">
        <v>4600.49</v>
      </c>
      <c r="AR35" s="20" t="n">
        <v>4572.8</v>
      </c>
      <c r="AS35" s="20" t="n">
        <v>4546.75</v>
      </c>
      <c r="AT35" s="20" t="n">
        <v>4526.58</v>
      </c>
      <c r="AU35" s="20" t="n">
        <v>4793.2</v>
      </c>
      <c r="AV35" s="20" t="n">
        <v>4644.7</v>
      </c>
      <c r="AW35" s="20" t="n">
        <v>4676.28</v>
      </c>
      <c r="AX35" s="20" t="n">
        <v>5003.38</v>
      </c>
      <c r="AY35" s="20" t="n">
        <v>5055.87</v>
      </c>
    </row>
    <row r="36">
      <c r="B36" s="33" t="inlineStr">
        <is>
          <t xml:space="preserve">  602005 Employee Benefits</t>
        </is>
      </c>
      <c r="D36" s="19" t="n">
        <v>934.54</v>
      </c>
      <c r="E36" s="19" t="n">
        <v>1100.9</v>
      </c>
      <c r="F36" s="19" t="n">
        <v>1039.58</v>
      </c>
      <c r="G36" s="19" t="n">
        <v>1590.02</v>
      </c>
      <c r="H36" s="19" t="n">
        <v>1087.54</v>
      </c>
      <c r="I36" s="19" t="n">
        <v>579.71</v>
      </c>
      <c r="J36" s="19" t="n">
        <v>469.46</v>
      </c>
      <c r="K36" s="19" t="n">
        <v>469.46</v>
      </c>
      <c r="L36" s="19" t="n">
        <v>511.46</v>
      </c>
      <c r="M36" s="19" t="n">
        <v>434.46</v>
      </c>
      <c r="N36" s="19" t="n">
        <v>80</v>
      </c>
      <c r="O36" s="19" t="n">
        <v>-13.78</v>
      </c>
      <c r="P36" s="19" t="n">
        <v>323.31</v>
      </c>
      <c r="Q36" s="19" t="n">
        <v>280.41</v>
      </c>
      <c r="R36" s="19" t="n">
        <v>585.11</v>
      </c>
      <c r="S36" s="19" t="n">
        <v>292.96</v>
      </c>
      <c r="T36" s="84" t="n">
        <v>115.48</v>
      </c>
      <c r="U36" s="20" t="n">
        <v>255.19</v>
      </c>
      <c r="V36" s="20" t="n">
        <v>254.1</v>
      </c>
      <c r="W36" s="20" t="n">
        <v>263.53</v>
      </c>
      <c r="X36" s="20" t="n">
        <v>259.58</v>
      </c>
      <c r="Y36" s="20" t="n">
        <v>261.29</v>
      </c>
      <c r="Z36" s="20" t="n">
        <v>270.53</v>
      </c>
      <c r="AA36" s="20" t="n">
        <v>273.34</v>
      </c>
      <c r="AB36" s="20" t="n">
        <v>263.38</v>
      </c>
      <c r="AC36" s="20" t="n">
        <v>270.62</v>
      </c>
      <c r="AD36" s="20" t="n">
        <v>255.82</v>
      </c>
      <c r="AE36" s="20" t="n">
        <v>260.96</v>
      </c>
      <c r="AF36" s="20" t="n">
        <v>259.39</v>
      </c>
      <c r="AG36" s="20" t="n">
        <v>257.92</v>
      </c>
      <c r="AH36" s="20" t="n">
        <v>256.77</v>
      </c>
      <c r="AI36" s="20" t="n">
        <v>271.9</v>
      </c>
      <c r="AJ36" s="20" t="n">
        <v>263.47</v>
      </c>
      <c r="AK36" s="20" t="n">
        <v>265.26</v>
      </c>
      <c r="AL36" s="20" t="n">
        <v>283.82</v>
      </c>
      <c r="AM36" s="20" t="n">
        <v>286.8</v>
      </c>
      <c r="AN36" s="20" t="n">
        <v>263.38</v>
      </c>
      <c r="AO36" s="20" t="n">
        <v>270.62</v>
      </c>
      <c r="AP36" s="20" t="n">
        <v>255.82</v>
      </c>
      <c r="AQ36" s="20" t="n">
        <v>260.96</v>
      </c>
      <c r="AR36" s="20" t="n">
        <v>259.39</v>
      </c>
      <c r="AS36" s="20" t="n">
        <v>257.92</v>
      </c>
      <c r="AT36" s="20" t="n">
        <v>256.77</v>
      </c>
      <c r="AU36" s="20" t="n">
        <v>271.9</v>
      </c>
      <c r="AV36" s="20" t="n">
        <v>263.47</v>
      </c>
      <c r="AW36" s="20" t="n">
        <v>265.26</v>
      </c>
      <c r="AX36" s="20" t="n">
        <v>283.82</v>
      </c>
      <c r="AY36" s="20" t="n">
        <v>286.8</v>
      </c>
    </row>
    <row r="37">
      <c r="B37" s="33" t="inlineStr">
        <is>
          <t xml:space="preserve">  602010 Payroll Processing Fees</t>
        </is>
      </c>
      <c r="D37" s="19" t="n">
        <v>1275.79</v>
      </c>
      <c r="E37" s="19" t="n">
        <v>586.17</v>
      </c>
      <c r="F37" s="19" t="n">
        <v>563.67</v>
      </c>
      <c r="G37" s="19" t="n">
        <v>578.67</v>
      </c>
      <c r="H37" s="19" t="n">
        <v>586.17</v>
      </c>
      <c r="I37" s="19" t="n">
        <v>616.17</v>
      </c>
      <c r="J37" s="19" t="n">
        <v>604.92</v>
      </c>
      <c r="K37" s="19" t="n">
        <v>907.38</v>
      </c>
      <c r="L37" s="19" t="n">
        <v>612.42</v>
      </c>
      <c r="M37" s="19" t="n">
        <v>604.92</v>
      </c>
      <c r="N37" s="19" t="n">
        <v>597.42</v>
      </c>
      <c r="O37" s="19" t="n">
        <v>1816.04</v>
      </c>
      <c r="P37" s="19" t="n">
        <v>2835.3</v>
      </c>
      <c r="Q37" s="19" t="n">
        <v>2814.84</v>
      </c>
      <c r="R37" s="19" t="n">
        <v>3875.32</v>
      </c>
      <c r="S37" s="19" t="n">
        <v>2734.27</v>
      </c>
      <c r="T37" s="84" t="n">
        <v>2537.58</v>
      </c>
      <c r="U37" s="20" t="n">
        <v>2111.34</v>
      </c>
      <c r="V37" s="20" t="n">
        <v>2102.32</v>
      </c>
      <c r="W37" s="20" t="n">
        <v>2180.3</v>
      </c>
      <c r="X37" s="20" t="n">
        <v>2147.66</v>
      </c>
      <c r="Y37" s="20" t="n">
        <v>2161.78</v>
      </c>
      <c r="Z37" s="20" t="n">
        <v>2238.28</v>
      </c>
      <c r="AA37" s="20" t="n">
        <v>2261.54</v>
      </c>
      <c r="AB37" s="20" t="n">
        <v>2179.08</v>
      </c>
      <c r="AC37" s="20" t="n">
        <v>2239.03</v>
      </c>
      <c r="AD37" s="20" t="n">
        <v>2116.55</v>
      </c>
      <c r="AE37" s="20" t="n">
        <v>2159.11</v>
      </c>
      <c r="AF37" s="20" t="n">
        <v>2146.12</v>
      </c>
      <c r="AG37" s="20" t="n">
        <v>2133.89</v>
      </c>
      <c r="AH37" s="20" t="n">
        <v>2124.43</v>
      </c>
      <c r="AI37" s="20" t="n">
        <v>2249.56</v>
      </c>
      <c r="AJ37" s="20" t="n">
        <v>2179.86</v>
      </c>
      <c r="AK37" s="20" t="n">
        <v>2194.69</v>
      </c>
      <c r="AL37" s="20" t="n">
        <v>2348.2</v>
      </c>
      <c r="AM37" s="20" t="n">
        <v>2372.83</v>
      </c>
      <c r="AN37" s="20" t="n">
        <v>2179.08</v>
      </c>
      <c r="AO37" s="20" t="n">
        <v>2239.03</v>
      </c>
      <c r="AP37" s="20" t="n">
        <v>2116.55</v>
      </c>
      <c r="AQ37" s="20" t="n">
        <v>2159.11</v>
      </c>
      <c r="AR37" s="20" t="n">
        <v>2146.12</v>
      </c>
      <c r="AS37" s="20" t="n">
        <v>2133.89</v>
      </c>
      <c r="AT37" s="20" t="n">
        <v>2124.43</v>
      </c>
      <c r="AU37" s="20" t="n">
        <v>2249.56</v>
      </c>
      <c r="AV37" s="20" t="n">
        <v>2179.86</v>
      </c>
      <c r="AW37" s="20" t="n">
        <v>2194.69</v>
      </c>
      <c r="AX37" s="20" t="n">
        <v>2348.2</v>
      </c>
      <c r="AY37" s="20" t="n">
        <v>2372.83</v>
      </c>
    </row>
    <row r="38">
      <c r="B38" s="32" t="inlineStr">
        <is>
          <t>Total Payroll</t>
        </is>
      </c>
      <c r="C38" s="34" t="n"/>
      <c r="D38" s="35" t="n">
        <v>50159.92000000001</v>
      </c>
      <c r="E38" s="35" t="n">
        <v>43062.48</v>
      </c>
      <c r="F38" s="35" t="n">
        <v>54430.84</v>
      </c>
      <c r="G38" s="35" t="n">
        <v>48397.78</v>
      </c>
      <c r="H38" s="35" t="n">
        <v>51810.01</v>
      </c>
      <c r="I38" s="35" t="n">
        <v>46404.53999999999</v>
      </c>
      <c r="J38" s="35" t="n">
        <v>48413.25999999999</v>
      </c>
      <c r="K38" s="35" t="n">
        <v>49354.3</v>
      </c>
      <c r="L38" s="35" t="n">
        <v>28680.30999999999</v>
      </c>
      <c r="M38" s="35" t="n">
        <v>55639.53999999999</v>
      </c>
      <c r="N38" s="35" t="n">
        <v>47061.35999999999</v>
      </c>
      <c r="O38" s="35" t="n">
        <v>66965.18000000001</v>
      </c>
      <c r="P38" s="35" t="n">
        <v>78504.78</v>
      </c>
      <c r="Q38" s="35" t="n">
        <v>64986.71000000001</v>
      </c>
      <c r="R38" s="35" t="n">
        <v>69420.40000000001</v>
      </c>
      <c r="S38" s="35" t="n">
        <v>67154.86</v>
      </c>
      <c r="T38" s="85" t="n">
        <v>64635.24000000001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1456.64</v>
      </c>
      <c r="E39" s="19" t="n">
        <v>593.3</v>
      </c>
      <c r="F39" s="19" t="n">
        <v>1189.6</v>
      </c>
      <c r="G39" s="19" t="n">
        <v>1207.3</v>
      </c>
      <c r="H39" s="19" t="n">
        <v>1228</v>
      </c>
      <c r="I39" s="19" t="n">
        <v>430.5</v>
      </c>
      <c r="J39" s="19" t="n">
        <v>747.79</v>
      </c>
      <c r="K39" s="19" t="n">
        <v>1689.79</v>
      </c>
      <c r="L39" s="19" t="n">
        <v>614</v>
      </c>
      <c r="M39" s="19" t="n">
        <v>723.09</v>
      </c>
      <c r="N39" s="19" t="n">
        <v>723.09</v>
      </c>
      <c r="O39" s="19" t="n">
        <v>773.08</v>
      </c>
      <c r="P39" s="19" t="n">
        <v>870.24</v>
      </c>
      <c r="Q39" s="19" t="n">
        <v>1220.43</v>
      </c>
      <c r="R39" s="19" t="n">
        <v>723.09</v>
      </c>
      <c r="S39" s="19" t="n">
        <v>748.27</v>
      </c>
      <c r="T39" s="84" t="n">
        <v>748.27</v>
      </c>
      <c r="U39" s="20" t="n">
        <v>794.02</v>
      </c>
      <c r="V39" s="20" t="n">
        <v>794.02</v>
      </c>
      <c r="W39" s="20" t="n">
        <v>794.02</v>
      </c>
      <c r="X39" s="20" t="n">
        <v>794.02</v>
      </c>
      <c r="Y39" s="20" t="n">
        <v>794.02</v>
      </c>
      <c r="Z39" s="20" t="n">
        <v>794.02</v>
      </c>
      <c r="AA39" s="20" t="n">
        <v>794.02</v>
      </c>
      <c r="AB39" s="20" t="n">
        <v>794.02</v>
      </c>
      <c r="AC39" s="20" t="n">
        <v>794.02</v>
      </c>
      <c r="AD39" s="20" t="n">
        <v>794.02</v>
      </c>
      <c r="AE39" s="20" t="n">
        <v>794.02</v>
      </c>
      <c r="AF39" s="20" t="n">
        <v>794.02</v>
      </c>
      <c r="AG39" s="20" t="n">
        <v>794.02</v>
      </c>
      <c r="AH39" s="20" t="n">
        <v>794.02</v>
      </c>
      <c r="AI39" s="20" t="n">
        <v>794.02</v>
      </c>
      <c r="AJ39" s="20" t="n">
        <v>794.02</v>
      </c>
      <c r="AK39" s="20" t="n">
        <v>794.02</v>
      </c>
      <c r="AL39" s="20" t="n">
        <v>794.02</v>
      </c>
      <c r="AM39" s="20" t="n">
        <v>794.02</v>
      </c>
      <c r="AN39" s="20" t="n">
        <v>794.02</v>
      </c>
      <c r="AO39" s="20" t="n">
        <v>794.02</v>
      </c>
      <c r="AP39" s="20" t="n">
        <v>794.02</v>
      </c>
      <c r="AQ39" s="20" t="n">
        <v>794.02</v>
      </c>
      <c r="AR39" s="20" t="n">
        <v>794.02</v>
      </c>
      <c r="AS39" s="20" t="n">
        <v>794.02</v>
      </c>
      <c r="AT39" s="20" t="n">
        <v>794.02</v>
      </c>
      <c r="AU39" s="20" t="n">
        <v>794.02</v>
      </c>
      <c r="AV39" s="20" t="n">
        <v>794.02</v>
      </c>
      <c r="AW39" s="20" t="n">
        <v>794.02</v>
      </c>
      <c r="AX39" s="20" t="n">
        <v>794.02</v>
      </c>
      <c r="AY39" s="20" t="n">
        <v>794.02</v>
      </c>
    </row>
    <row r="40">
      <c r="B40" s="33" t="inlineStr">
        <is>
          <t xml:space="preserve">  608000 Insurance</t>
        </is>
      </c>
      <c r="D40" s="19" t="n">
        <v>252.85</v>
      </c>
      <c r="E40" s="19" t="n">
        <v>252.85</v>
      </c>
      <c r="F40" s="19" t="n">
        <v>252.85</v>
      </c>
      <c r="G40" s="19" t="n">
        <v>252.85</v>
      </c>
      <c r="H40" s="19" t="n">
        <v>252.85</v>
      </c>
      <c r="I40" s="19" t="n">
        <v>252.85</v>
      </c>
      <c r="J40" s="19" t="n">
        <v>252.85</v>
      </c>
      <c r="K40" s="19" t="n">
        <v>252.85</v>
      </c>
      <c r="L40" s="19" t="n">
        <v>252.85</v>
      </c>
      <c r="M40" s="19" t="n">
        <v>452.46</v>
      </c>
      <c r="N40" s="19" t="n">
        <v>452.46</v>
      </c>
      <c r="O40" s="19" t="n">
        <v>587.98</v>
      </c>
      <c r="P40" s="19" t="n">
        <v>224.61</v>
      </c>
      <c r="Q40" s="19" t="n">
        <v>89.09</v>
      </c>
      <c r="R40" s="19" t="n">
        <v>217.25</v>
      </c>
      <c r="S40" s="19" t="n">
        <v>217.25</v>
      </c>
      <c r="T40" s="84" t="n">
        <v>242.53</v>
      </c>
      <c r="U40" s="20" t="n">
        <v>166.78</v>
      </c>
      <c r="V40" s="20" t="n">
        <v>166.78</v>
      </c>
      <c r="W40" s="20" t="n">
        <v>166.78</v>
      </c>
      <c r="X40" s="20" t="n">
        <v>166.78</v>
      </c>
      <c r="Y40" s="20" t="n">
        <v>166.78</v>
      </c>
      <c r="Z40" s="20" t="n">
        <v>166.78</v>
      </c>
      <c r="AA40" s="20" t="n">
        <v>166.78</v>
      </c>
      <c r="AB40" s="20" t="n">
        <v>166.78</v>
      </c>
      <c r="AC40" s="20" t="n">
        <v>166.78</v>
      </c>
      <c r="AD40" s="20" t="n">
        <v>166.78</v>
      </c>
      <c r="AE40" s="20" t="n">
        <v>166.78</v>
      </c>
      <c r="AF40" s="20" t="n">
        <v>166.78</v>
      </c>
      <c r="AG40" s="20" t="n">
        <v>166.78</v>
      </c>
      <c r="AH40" s="20" t="n">
        <v>166.78</v>
      </c>
      <c r="AI40" s="20" t="n">
        <v>166.78</v>
      </c>
      <c r="AJ40" s="20" t="n">
        <v>166.78</v>
      </c>
      <c r="AK40" s="20" t="n">
        <v>166.78</v>
      </c>
      <c r="AL40" s="20" t="n">
        <v>166.78</v>
      </c>
      <c r="AM40" s="20" t="n">
        <v>166.78</v>
      </c>
      <c r="AN40" s="20" t="n">
        <v>166.78</v>
      </c>
      <c r="AO40" s="20" t="n">
        <v>166.78</v>
      </c>
      <c r="AP40" s="20" t="n">
        <v>166.78</v>
      </c>
      <c r="AQ40" s="20" t="n">
        <v>166.78</v>
      </c>
      <c r="AR40" s="20" t="n">
        <v>166.78</v>
      </c>
      <c r="AS40" s="20" t="n">
        <v>166.78</v>
      </c>
      <c r="AT40" s="20" t="n">
        <v>166.78</v>
      </c>
      <c r="AU40" s="20" t="n">
        <v>166.78</v>
      </c>
      <c r="AV40" s="20" t="n">
        <v>166.78</v>
      </c>
      <c r="AW40" s="20" t="n">
        <v>166.78</v>
      </c>
      <c r="AX40" s="20" t="n">
        <v>166.78</v>
      </c>
      <c r="AY40" s="20" t="n">
        <v>166.78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336.9</v>
      </c>
      <c r="Q41" s="19" t="n">
        <v>216.57</v>
      </c>
      <c r="R41" s="19" t="n">
        <v>1327.16</v>
      </c>
      <c r="S41" s="19" t="n">
        <v>232.04</v>
      </c>
      <c r="T41" s="84" t="n">
        <v>0</v>
      </c>
      <c r="U41" s="20" t="n">
        <v>470.94</v>
      </c>
      <c r="V41" s="20" t="n">
        <v>470.94</v>
      </c>
      <c r="W41" s="20" t="n">
        <v>470.94</v>
      </c>
      <c r="X41" s="20" t="n">
        <v>470.94</v>
      </c>
      <c r="Y41" s="20" t="n">
        <v>470.94</v>
      </c>
      <c r="Z41" s="20" t="n">
        <v>470.94</v>
      </c>
      <c r="AA41" s="20" t="n">
        <v>470.94</v>
      </c>
      <c r="AB41" s="20" t="n">
        <v>470.94</v>
      </c>
      <c r="AC41" s="20" t="n">
        <v>470.94</v>
      </c>
      <c r="AD41" s="20" t="n">
        <v>470.94</v>
      </c>
      <c r="AE41" s="20" t="n">
        <v>470.94</v>
      </c>
      <c r="AF41" s="20" t="n">
        <v>470.94</v>
      </c>
      <c r="AG41" s="20" t="n">
        <v>470.94</v>
      </c>
      <c r="AH41" s="20" t="n">
        <v>470.94</v>
      </c>
      <c r="AI41" s="20" t="n">
        <v>470.94</v>
      </c>
      <c r="AJ41" s="20" t="n">
        <v>470.94</v>
      </c>
      <c r="AK41" s="20" t="n">
        <v>470.94</v>
      </c>
      <c r="AL41" s="20" t="n">
        <v>470.94</v>
      </c>
      <c r="AM41" s="20" t="n">
        <v>470.94</v>
      </c>
      <c r="AN41" s="20" t="n">
        <v>470.94</v>
      </c>
      <c r="AO41" s="20" t="n">
        <v>470.94</v>
      </c>
      <c r="AP41" s="20" t="n">
        <v>470.94</v>
      </c>
      <c r="AQ41" s="20" t="n">
        <v>470.94</v>
      </c>
      <c r="AR41" s="20" t="n">
        <v>470.94</v>
      </c>
      <c r="AS41" s="20" t="n">
        <v>470.94</v>
      </c>
      <c r="AT41" s="20" t="n">
        <v>470.94</v>
      </c>
      <c r="AU41" s="20" t="n">
        <v>470.94</v>
      </c>
      <c r="AV41" s="20" t="n">
        <v>470.94</v>
      </c>
      <c r="AW41" s="20" t="n">
        <v>470.94</v>
      </c>
      <c r="AX41" s="20" t="n">
        <v>470.94</v>
      </c>
      <c r="AY41" s="20" t="n">
        <v>470.94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36</v>
      </c>
      <c r="H44" s="19" t="n">
        <v>1250</v>
      </c>
      <c r="I44" s="19" t="n">
        <v>0</v>
      </c>
      <c r="J44" s="19" t="n">
        <v>0</v>
      </c>
      <c r="K44" s="19" t="n">
        <v>906.25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1190.62</v>
      </c>
      <c r="R44" s="19" t="n">
        <v>0</v>
      </c>
      <c r="S44" s="19" t="n">
        <v>0</v>
      </c>
      <c r="T44" s="84" t="n">
        <v>1116.82</v>
      </c>
      <c r="U44" s="20" t="n">
        <v>188.77</v>
      </c>
      <c r="V44" s="20" t="n">
        <v>188.77</v>
      </c>
      <c r="W44" s="20" t="n">
        <v>188.77</v>
      </c>
      <c r="X44" s="20" t="n">
        <v>188.77</v>
      </c>
      <c r="Y44" s="20" t="n">
        <v>188.77</v>
      </c>
      <c r="Z44" s="20" t="n">
        <v>188.77</v>
      </c>
      <c r="AA44" s="20" t="n">
        <v>188.77</v>
      </c>
      <c r="AB44" s="20" t="n">
        <v>188.77</v>
      </c>
      <c r="AC44" s="20" t="n">
        <v>188.77</v>
      </c>
      <c r="AD44" s="20" t="n">
        <v>188.77</v>
      </c>
      <c r="AE44" s="20" t="n">
        <v>188.77</v>
      </c>
      <c r="AF44" s="20" t="n">
        <v>188.77</v>
      </c>
      <c r="AG44" s="20" t="n">
        <v>188.77</v>
      </c>
      <c r="AH44" s="20" t="n">
        <v>188.77</v>
      </c>
      <c r="AI44" s="20" t="n">
        <v>188.77</v>
      </c>
      <c r="AJ44" s="20" t="n">
        <v>188.77</v>
      </c>
      <c r="AK44" s="20" t="n">
        <v>188.77</v>
      </c>
      <c r="AL44" s="20" t="n">
        <v>188.77</v>
      </c>
      <c r="AM44" s="20" t="n">
        <v>188.77</v>
      </c>
      <c r="AN44" s="20" t="n">
        <v>188.77</v>
      </c>
      <c r="AO44" s="20" t="n">
        <v>188.77</v>
      </c>
      <c r="AP44" s="20" t="n">
        <v>188.77</v>
      </c>
      <c r="AQ44" s="20" t="n">
        <v>188.77</v>
      </c>
      <c r="AR44" s="20" t="n">
        <v>188.77</v>
      </c>
      <c r="AS44" s="20" t="n">
        <v>188.77</v>
      </c>
      <c r="AT44" s="20" t="n">
        <v>188.77</v>
      </c>
      <c r="AU44" s="20" t="n">
        <v>188.77</v>
      </c>
      <c r="AV44" s="20" t="n">
        <v>188.77</v>
      </c>
      <c r="AW44" s="20" t="n">
        <v>188.77</v>
      </c>
      <c r="AX44" s="20" t="n">
        <v>188.77</v>
      </c>
      <c r="AY44" s="20" t="n">
        <v>188.77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327.23</v>
      </c>
      <c r="V46" s="20" t="n">
        <v>327.23</v>
      </c>
      <c r="W46" s="20" t="n">
        <v>327.23</v>
      </c>
      <c r="X46" s="20" t="n">
        <v>327.23</v>
      </c>
      <c r="Y46" s="20" t="n">
        <v>327.23</v>
      </c>
      <c r="Z46" s="20" t="n">
        <v>327.23</v>
      </c>
      <c r="AA46" s="20" t="n">
        <v>327.23</v>
      </c>
      <c r="AB46" s="20" t="n">
        <v>327.23</v>
      </c>
      <c r="AC46" s="20" t="n">
        <v>327.23</v>
      </c>
      <c r="AD46" s="20" t="n">
        <v>327.23</v>
      </c>
      <c r="AE46" s="20" t="n">
        <v>327.23</v>
      </c>
      <c r="AF46" s="20" t="n">
        <v>327.23</v>
      </c>
      <c r="AG46" s="20" t="n">
        <v>327.23</v>
      </c>
      <c r="AH46" s="20" t="n">
        <v>327.23</v>
      </c>
      <c r="AI46" s="20" t="n">
        <v>327.23</v>
      </c>
      <c r="AJ46" s="20" t="n">
        <v>327.23</v>
      </c>
      <c r="AK46" s="20" t="n">
        <v>327.23</v>
      </c>
      <c r="AL46" s="20" t="n">
        <v>327.23</v>
      </c>
      <c r="AM46" s="20" t="n">
        <v>327.23</v>
      </c>
      <c r="AN46" s="20" t="n">
        <v>327.23</v>
      </c>
      <c r="AO46" s="20" t="n">
        <v>327.23</v>
      </c>
      <c r="AP46" s="20" t="n">
        <v>327.23</v>
      </c>
      <c r="AQ46" s="20" t="n">
        <v>327.23</v>
      </c>
      <c r="AR46" s="20" t="n">
        <v>327.23</v>
      </c>
      <c r="AS46" s="20" t="n">
        <v>327.23</v>
      </c>
      <c r="AT46" s="20" t="n">
        <v>327.23</v>
      </c>
      <c r="AU46" s="20" t="n">
        <v>327.23</v>
      </c>
      <c r="AV46" s="20" t="n">
        <v>327.23</v>
      </c>
      <c r="AW46" s="20" t="n">
        <v>327.23</v>
      </c>
      <c r="AX46" s="20" t="n">
        <v>327.23</v>
      </c>
      <c r="AY46" s="20" t="n">
        <v>327.23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36</v>
      </c>
      <c r="H47" s="35" t="n">
        <v>1250</v>
      </c>
      <c r="I47" s="35" t="n">
        <v>0</v>
      </c>
      <c r="J47" s="35" t="n">
        <v>479.1</v>
      </c>
      <c r="K47" s="35" t="n">
        <v>1385.35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1706.62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379.75</v>
      </c>
      <c r="Q48" s="19" t="n">
        <v>356.58</v>
      </c>
      <c r="R48" s="19" t="n">
        <v>322</v>
      </c>
      <c r="S48" s="19" t="n">
        <v>0</v>
      </c>
      <c r="T48" s="84" t="n">
        <v>0</v>
      </c>
      <c r="U48" s="20" t="n">
        <v>331.01</v>
      </c>
      <c r="V48" s="20" t="n">
        <v>331.01</v>
      </c>
      <c r="W48" s="20" t="n">
        <v>331.01</v>
      </c>
      <c r="X48" s="20" t="n">
        <v>331.01</v>
      </c>
      <c r="Y48" s="20" t="n">
        <v>331.01</v>
      </c>
      <c r="Z48" s="20" t="n">
        <v>331.01</v>
      </c>
      <c r="AA48" s="20" t="n">
        <v>331.01</v>
      </c>
      <c r="AB48" s="20" t="n">
        <v>331.01</v>
      </c>
      <c r="AC48" s="20" t="n">
        <v>331.01</v>
      </c>
      <c r="AD48" s="20" t="n">
        <v>331.01</v>
      </c>
      <c r="AE48" s="20" t="n">
        <v>331.01</v>
      </c>
      <c r="AF48" s="20" t="n">
        <v>331.01</v>
      </c>
      <c r="AG48" s="20" t="n">
        <v>331.01</v>
      </c>
      <c r="AH48" s="20" t="n">
        <v>331.01</v>
      </c>
      <c r="AI48" s="20" t="n">
        <v>331.01</v>
      </c>
      <c r="AJ48" s="20" t="n">
        <v>331.01</v>
      </c>
      <c r="AK48" s="20" t="n">
        <v>331.01</v>
      </c>
      <c r="AL48" s="20" t="n">
        <v>331.01</v>
      </c>
      <c r="AM48" s="20" t="n">
        <v>331.01</v>
      </c>
      <c r="AN48" s="20" t="n">
        <v>331.01</v>
      </c>
      <c r="AO48" s="20" t="n">
        <v>331.01</v>
      </c>
      <c r="AP48" s="20" t="n">
        <v>331.01</v>
      </c>
      <c r="AQ48" s="20" t="n">
        <v>331.01</v>
      </c>
      <c r="AR48" s="20" t="n">
        <v>331.01</v>
      </c>
      <c r="AS48" s="20" t="n">
        <v>331.01</v>
      </c>
      <c r="AT48" s="20" t="n">
        <v>331.01</v>
      </c>
      <c r="AU48" s="20" t="n">
        <v>331.01</v>
      </c>
      <c r="AV48" s="20" t="n">
        <v>331.01</v>
      </c>
      <c r="AW48" s="20" t="n">
        <v>331.01</v>
      </c>
      <c r="AX48" s="20" t="n">
        <v>331.01</v>
      </c>
      <c r="AY48" s="20" t="n">
        <v>331.01</v>
      </c>
    </row>
    <row r="49">
      <c r="B49" s="33" t="inlineStr">
        <is>
          <t xml:space="preserve">  606000 Meals</t>
        </is>
      </c>
      <c r="D49" s="19" t="n">
        <v>190.53</v>
      </c>
      <c r="E49" s="19" t="n">
        <v>511.56</v>
      </c>
      <c r="F49" s="19" t="n">
        <v>100</v>
      </c>
      <c r="G49" s="19" t="n">
        <v>0</v>
      </c>
      <c r="H49" s="19" t="n">
        <v>121.21</v>
      </c>
      <c r="I49" s="19" t="n">
        <v>100</v>
      </c>
      <c r="J49" s="19" t="n">
        <v>0</v>
      </c>
      <c r="K49" s="19" t="n">
        <v>0</v>
      </c>
      <c r="L49" s="19" t="n">
        <v>301.2</v>
      </c>
      <c r="M49" s="19" t="n">
        <v>0</v>
      </c>
      <c r="N49" s="19" t="n">
        <v>375.32</v>
      </c>
      <c r="O49" s="19" t="n">
        <v>127.19</v>
      </c>
      <c r="P49" s="19" t="n">
        <v>0</v>
      </c>
      <c r="Q49" s="19" t="n">
        <v>20</v>
      </c>
      <c r="R49" s="19" t="n">
        <v>135.83</v>
      </c>
      <c r="S49" s="19" t="n">
        <v>0</v>
      </c>
      <c r="T49" s="84" t="n">
        <v>70.55</v>
      </c>
      <c r="U49" s="20" t="n">
        <v>48.74</v>
      </c>
      <c r="V49" s="20" t="n">
        <v>48.74</v>
      </c>
      <c r="W49" s="20" t="n">
        <v>48.74</v>
      </c>
      <c r="X49" s="20" t="n">
        <v>48.74</v>
      </c>
      <c r="Y49" s="20" t="n">
        <v>48.74</v>
      </c>
      <c r="Z49" s="20" t="n">
        <v>48.74</v>
      </c>
      <c r="AA49" s="20" t="n">
        <v>48.74</v>
      </c>
      <c r="AB49" s="20" t="n">
        <v>48.74</v>
      </c>
      <c r="AC49" s="20" t="n">
        <v>48.74</v>
      </c>
      <c r="AD49" s="20" t="n">
        <v>48.74</v>
      </c>
      <c r="AE49" s="20" t="n">
        <v>48.74</v>
      </c>
      <c r="AF49" s="20" t="n">
        <v>48.74</v>
      </c>
      <c r="AG49" s="20" t="n">
        <v>48.74</v>
      </c>
      <c r="AH49" s="20" t="n">
        <v>48.74</v>
      </c>
      <c r="AI49" s="20" t="n">
        <v>48.74</v>
      </c>
      <c r="AJ49" s="20" t="n">
        <v>48.74</v>
      </c>
      <c r="AK49" s="20" t="n">
        <v>48.74</v>
      </c>
      <c r="AL49" s="20" t="n">
        <v>48.74</v>
      </c>
      <c r="AM49" s="20" t="n">
        <v>48.74</v>
      </c>
      <c r="AN49" s="20" t="n">
        <v>48.74</v>
      </c>
      <c r="AO49" s="20" t="n">
        <v>48.74</v>
      </c>
      <c r="AP49" s="20" t="n">
        <v>48.74</v>
      </c>
      <c r="AQ49" s="20" t="n">
        <v>48.74</v>
      </c>
      <c r="AR49" s="20" t="n">
        <v>48.74</v>
      </c>
      <c r="AS49" s="20" t="n">
        <v>48.74</v>
      </c>
      <c r="AT49" s="20" t="n">
        <v>48.74</v>
      </c>
      <c r="AU49" s="20" t="n">
        <v>48.74</v>
      </c>
      <c r="AV49" s="20" t="n">
        <v>48.74</v>
      </c>
      <c r="AW49" s="20" t="n">
        <v>48.74</v>
      </c>
      <c r="AX49" s="20" t="n">
        <v>48.74</v>
      </c>
      <c r="AY49" s="20" t="n">
        <v>48.74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85.59999999999999</v>
      </c>
      <c r="M53" s="19" t="n">
        <v>85.59999999999999</v>
      </c>
      <c r="N53" s="19" t="n">
        <v>229.21</v>
      </c>
      <c r="O53" s="19" t="n">
        <v>345.54</v>
      </c>
      <c r="P53" s="19" t="n">
        <v>178.32</v>
      </c>
      <c r="Q53" s="19" t="n">
        <v>172.71</v>
      </c>
      <c r="R53" s="19" t="n">
        <v>171.96</v>
      </c>
      <c r="S53" s="19" t="n">
        <v>173.13</v>
      </c>
      <c r="T53" s="84" t="n">
        <v>166.63</v>
      </c>
      <c r="U53" s="20" t="n">
        <v>178.32</v>
      </c>
      <c r="V53" s="20" t="n">
        <v>178.32</v>
      </c>
      <c r="W53" s="20" t="n">
        <v>178.32</v>
      </c>
      <c r="X53" s="20" t="n">
        <v>178.32</v>
      </c>
      <c r="Y53" s="20" t="n">
        <v>178.32</v>
      </c>
      <c r="Z53" s="20" t="n">
        <v>178.32</v>
      </c>
      <c r="AA53" s="20" t="n">
        <v>178.32</v>
      </c>
      <c r="AB53" s="20" t="n">
        <v>178.32</v>
      </c>
      <c r="AC53" s="20" t="n">
        <v>178.32</v>
      </c>
      <c r="AD53" s="20" t="n">
        <v>178.32</v>
      </c>
      <c r="AE53" s="20" t="n">
        <v>178.32</v>
      </c>
      <c r="AF53" s="20" t="n">
        <v>178.32</v>
      </c>
      <c r="AG53" s="20" t="n">
        <v>178.32</v>
      </c>
      <c r="AH53" s="20" t="n">
        <v>178.32</v>
      </c>
      <c r="AI53" s="20" t="n">
        <v>178.32</v>
      </c>
      <c r="AJ53" s="20" t="n">
        <v>178.32</v>
      </c>
      <c r="AK53" s="20" t="n">
        <v>178.32</v>
      </c>
      <c r="AL53" s="20" t="n">
        <v>178.32</v>
      </c>
      <c r="AM53" s="20" t="n">
        <v>178.32</v>
      </c>
      <c r="AN53" s="20" t="n">
        <v>178.32</v>
      </c>
      <c r="AO53" s="20" t="n">
        <v>178.32</v>
      </c>
      <c r="AP53" s="20" t="n">
        <v>178.32</v>
      </c>
      <c r="AQ53" s="20" t="n">
        <v>178.32</v>
      </c>
      <c r="AR53" s="20" t="n">
        <v>178.32</v>
      </c>
      <c r="AS53" s="20" t="n">
        <v>178.32</v>
      </c>
      <c r="AT53" s="20" t="n">
        <v>178.32</v>
      </c>
      <c r="AU53" s="20" t="n">
        <v>178.32</v>
      </c>
      <c r="AV53" s="20" t="n">
        <v>178.32</v>
      </c>
      <c r="AW53" s="20" t="n">
        <v>178.32</v>
      </c>
      <c r="AX53" s="20" t="n">
        <v>178.32</v>
      </c>
      <c r="AY53" s="20" t="n">
        <v>178.32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85.59999999999999</v>
      </c>
      <c r="E56" s="35" t="n">
        <v>85.59999999999999</v>
      </c>
      <c r="F56" s="35" t="n">
        <v>85.59999999999999</v>
      </c>
      <c r="G56" s="35" t="n">
        <v>85.59999999999999</v>
      </c>
      <c r="H56" s="35" t="n">
        <v>85.59999999999999</v>
      </c>
      <c r="I56" s="35" t="n">
        <v>85.59999999999999</v>
      </c>
      <c r="J56" s="35" t="n">
        <v>85.59999999999999</v>
      </c>
      <c r="K56" s="35" t="n">
        <v>85.59999999999999</v>
      </c>
      <c r="L56" s="35" t="n">
        <v>85.59999999999999</v>
      </c>
      <c r="M56" s="35" t="n">
        <v>85.59999999999999</v>
      </c>
      <c r="N56" s="35" t="n">
        <v>229.21</v>
      </c>
      <c r="O56" s="35" t="n">
        <v>345.54</v>
      </c>
      <c r="P56" s="35" t="n">
        <v>178.32</v>
      </c>
      <c r="Q56" s="35" t="n">
        <v>172.71</v>
      </c>
      <c r="R56" s="35" t="n">
        <v>171.96</v>
      </c>
      <c r="S56" s="35" t="n">
        <v>173.13</v>
      </c>
      <c r="T56" s="85" t="n">
        <v>166.63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12632.81</v>
      </c>
      <c r="E57" s="19" t="n">
        <v>12632.81</v>
      </c>
      <c r="F57" s="19" t="n">
        <v>12632.81</v>
      </c>
      <c r="G57" s="19" t="n">
        <v>12632.81</v>
      </c>
      <c r="H57" s="19" t="n">
        <v>12632.81</v>
      </c>
      <c r="I57" s="19" t="n">
        <v>12632.81</v>
      </c>
      <c r="J57" s="19" t="n">
        <v>12632.81</v>
      </c>
      <c r="K57" s="19" t="n">
        <v>12632.81</v>
      </c>
      <c r="L57" s="19" t="n">
        <v>12632.81</v>
      </c>
      <c r="M57" s="19" t="n">
        <v>12632.81</v>
      </c>
      <c r="N57" s="19" t="n">
        <v>12632.81</v>
      </c>
      <c r="O57" s="19" t="n">
        <v>12632.81</v>
      </c>
      <c r="P57" s="19" t="n">
        <v>12632.81</v>
      </c>
      <c r="Q57" s="19" t="n">
        <v>12632.81</v>
      </c>
      <c r="R57" s="19" t="n">
        <v>12632.81</v>
      </c>
      <c r="S57" s="19" t="n">
        <v>12632.81</v>
      </c>
      <c r="T57" s="84" t="n">
        <v>12632.81</v>
      </c>
      <c r="U57" s="20" t="n">
        <v>12268.43</v>
      </c>
      <c r="V57" s="20" t="n">
        <v>12268.43</v>
      </c>
      <c r="W57" s="20" t="n">
        <v>12268.43</v>
      </c>
      <c r="X57" s="20" t="n">
        <v>12268.43</v>
      </c>
      <c r="Y57" s="20" t="n">
        <v>12268.43</v>
      </c>
      <c r="Z57" s="20" t="n">
        <v>12268.43</v>
      </c>
      <c r="AA57" s="20" t="n">
        <v>12268.43</v>
      </c>
      <c r="AB57" s="20" t="n">
        <v>12268.43</v>
      </c>
      <c r="AC57" s="20" t="n">
        <v>12268.43</v>
      </c>
      <c r="AD57" s="20" t="n">
        <v>12268.43</v>
      </c>
      <c r="AE57" s="20" t="n">
        <v>12268.43</v>
      </c>
      <c r="AF57" s="20" t="n">
        <v>12268.43</v>
      </c>
      <c r="AG57" s="20" t="n">
        <v>12268.43</v>
      </c>
      <c r="AH57" s="20" t="n">
        <v>12268.43</v>
      </c>
      <c r="AI57" s="20" t="n">
        <v>12268.43</v>
      </c>
      <c r="AJ57" s="20" t="n">
        <v>12268.43</v>
      </c>
      <c r="AK57" s="20" t="n">
        <v>12268.43</v>
      </c>
      <c r="AL57" s="20" t="n">
        <v>12268.43</v>
      </c>
      <c r="AM57" s="20" t="n">
        <v>12268.43</v>
      </c>
      <c r="AN57" s="20" t="n">
        <v>12268.43</v>
      </c>
      <c r="AO57" s="20" t="n">
        <v>12268.43</v>
      </c>
      <c r="AP57" s="20" t="n">
        <v>12268.43</v>
      </c>
      <c r="AQ57" s="20" t="n">
        <v>12268.43</v>
      </c>
      <c r="AR57" s="20" t="n">
        <v>12268.43</v>
      </c>
      <c r="AS57" s="20" t="n">
        <v>12268.43</v>
      </c>
      <c r="AT57" s="20" t="n">
        <v>12268.43</v>
      </c>
      <c r="AU57" s="20" t="n">
        <v>12268.43</v>
      </c>
      <c r="AV57" s="20" t="n">
        <v>12268.43</v>
      </c>
      <c r="AW57" s="20" t="n">
        <v>12268.43</v>
      </c>
      <c r="AX57" s="20" t="n">
        <v>12268.43</v>
      </c>
      <c r="AY57" s="20" t="n">
        <v>12268.43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200</v>
      </c>
      <c r="G59" s="19" t="n">
        <v>389</v>
      </c>
      <c r="H59" s="19" t="n">
        <v>95.70999999999999</v>
      </c>
      <c r="I59" s="19" t="n">
        <v>589.58</v>
      </c>
      <c r="J59" s="19" t="n">
        <v>246.07</v>
      </c>
      <c r="K59" s="19" t="n">
        <v>365.53</v>
      </c>
      <c r="L59" s="19" t="n">
        <v>263.08</v>
      </c>
      <c r="M59" s="19" t="n">
        <v>285.79</v>
      </c>
      <c r="N59" s="19" t="n">
        <v>579.77</v>
      </c>
      <c r="O59" s="19" t="n">
        <v>603.7</v>
      </c>
      <c r="P59" s="19" t="n">
        <v>-3.41</v>
      </c>
      <c r="Q59" s="19" t="n">
        <v>200</v>
      </c>
      <c r="R59" s="19" t="n">
        <v>747.51</v>
      </c>
      <c r="S59" s="19" t="n">
        <v>200.83</v>
      </c>
      <c r="T59" s="84" t="n">
        <v>774.37</v>
      </c>
      <c r="U59" s="20" t="n">
        <v>279.63</v>
      </c>
      <c r="V59" s="20" t="n">
        <v>279.63</v>
      </c>
      <c r="W59" s="20" t="n">
        <v>279.63</v>
      </c>
      <c r="X59" s="20" t="n">
        <v>279.63</v>
      </c>
      <c r="Y59" s="20" t="n">
        <v>279.63</v>
      </c>
      <c r="Z59" s="20" t="n">
        <v>279.63</v>
      </c>
      <c r="AA59" s="20" t="n">
        <v>279.63</v>
      </c>
      <c r="AB59" s="20" t="n">
        <v>279.63</v>
      </c>
      <c r="AC59" s="20" t="n">
        <v>279.63</v>
      </c>
      <c r="AD59" s="20" t="n">
        <v>279.63</v>
      </c>
      <c r="AE59" s="20" t="n">
        <v>279.63</v>
      </c>
      <c r="AF59" s="20" t="n">
        <v>279.63</v>
      </c>
      <c r="AG59" s="20" t="n">
        <v>279.63</v>
      </c>
      <c r="AH59" s="20" t="n">
        <v>279.63</v>
      </c>
      <c r="AI59" s="20" t="n">
        <v>279.63</v>
      </c>
      <c r="AJ59" s="20" t="n">
        <v>279.63</v>
      </c>
      <c r="AK59" s="20" t="n">
        <v>279.63</v>
      </c>
      <c r="AL59" s="20" t="n">
        <v>279.63</v>
      </c>
      <c r="AM59" s="20" t="n">
        <v>279.63</v>
      </c>
      <c r="AN59" s="20" t="n">
        <v>279.63</v>
      </c>
      <c r="AO59" s="20" t="n">
        <v>279.63</v>
      </c>
      <c r="AP59" s="20" t="n">
        <v>279.63</v>
      </c>
      <c r="AQ59" s="20" t="n">
        <v>279.63</v>
      </c>
      <c r="AR59" s="20" t="n">
        <v>279.63</v>
      </c>
      <c r="AS59" s="20" t="n">
        <v>279.63</v>
      </c>
      <c r="AT59" s="20" t="n">
        <v>279.63</v>
      </c>
      <c r="AU59" s="20" t="n">
        <v>279.63</v>
      </c>
      <c r="AV59" s="20" t="n">
        <v>279.63</v>
      </c>
      <c r="AW59" s="20" t="n">
        <v>279.63</v>
      </c>
      <c r="AX59" s="20" t="n">
        <v>279.63</v>
      </c>
      <c r="AY59" s="20" t="n">
        <v>279.63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335</v>
      </c>
      <c r="O60" s="19" t="n">
        <v>0</v>
      </c>
      <c r="P60" s="19" t="n">
        <v>0</v>
      </c>
      <c r="Q60" s="19" t="n">
        <v>335</v>
      </c>
      <c r="R60" s="19" t="n">
        <v>0</v>
      </c>
      <c r="S60" s="19" t="n">
        <v>0</v>
      </c>
      <c r="T60" s="84" t="n">
        <v>335</v>
      </c>
      <c r="U60" s="20" t="n">
        <v>81.33</v>
      </c>
      <c r="V60" s="20" t="n">
        <v>81.33</v>
      </c>
      <c r="W60" s="20" t="n">
        <v>81.33</v>
      </c>
      <c r="X60" s="20" t="n">
        <v>81.33</v>
      </c>
      <c r="Y60" s="20" t="n">
        <v>81.33</v>
      </c>
      <c r="Z60" s="20" t="n">
        <v>81.33</v>
      </c>
      <c r="AA60" s="20" t="n">
        <v>81.33</v>
      </c>
      <c r="AB60" s="20" t="n">
        <v>81.33</v>
      </c>
      <c r="AC60" s="20" t="n">
        <v>81.33</v>
      </c>
      <c r="AD60" s="20" t="n">
        <v>81.33</v>
      </c>
      <c r="AE60" s="20" t="n">
        <v>81.33</v>
      </c>
      <c r="AF60" s="20" t="n">
        <v>81.33</v>
      </c>
      <c r="AG60" s="20" t="n">
        <v>81.33</v>
      </c>
      <c r="AH60" s="20" t="n">
        <v>81.33</v>
      </c>
      <c r="AI60" s="20" t="n">
        <v>81.33</v>
      </c>
      <c r="AJ60" s="20" t="n">
        <v>81.33</v>
      </c>
      <c r="AK60" s="20" t="n">
        <v>81.33</v>
      </c>
      <c r="AL60" s="20" t="n">
        <v>81.33</v>
      </c>
      <c r="AM60" s="20" t="n">
        <v>81.33</v>
      </c>
      <c r="AN60" s="20" t="n">
        <v>81.33</v>
      </c>
      <c r="AO60" s="20" t="n">
        <v>81.33</v>
      </c>
      <c r="AP60" s="20" t="n">
        <v>81.33</v>
      </c>
      <c r="AQ60" s="20" t="n">
        <v>81.33</v>
      </c>
      <c r="AR60" s="20" t="n">
        <v>81.33</v>
      </c>
      <c r="AS60" s="20" t="n">
        <v>81.33</v>
      </c>
      <c r="AT60" s="20" t="n">
        <v>81.33</v>
      </c>
      <c r="AU60" s="20" t="n">
        <v>81.33</v>
      </c>
      <c r="AV60" s="20" t="n">
        <v>81.33</v>
      </c>
      <c r="AW60" s="20" t="n">
        <v>81.33</v>
      </c>
      <c r="AX60" s="20" t="n">
        <v>81.33</v>
      </c>
      <c r="AY60" s="20" t="n">
        <v>81.33</v>
      </c>
    </row>
    <row r="61">
      <c r="B61" s="32" t="inlineStr">
        <is>
          <t>Total Property Costs</t>
        </is>
      </c>
      <c r="C61" s="34" t="n"/>
      <c r="D61" s="35" t="n">
        <v>12632.81</v>
      </c>
      <c r="E61" s="35" t="n">
        <v>12632.81</v>
      </c>
      <c r="F61" s="35" t="n">
        <v>12832.81</v>
      </c>
      <c r="G61" s="35" t="n">
        <v>13021.81</v>
      </c>
      <c r="H61" s="35" t="n">
        <v>12728.52</v>
      </c>
      <c r="I61" s="35" t="n">
        <v>13547.39</v>
      </c>
      <c r="J61" s="35" t="n">
        <v>12878.88</v>
      </c>
      <c r="K61" s="35" t="n">
        <v>14501.79</v>
      </c>
      <c r="L61" s="35" t="n">
        <v>13510.89</v>
      </c>
      <c r="M61" s="35" t="n">
        <v>12918.6</v>
      </c>
      <c r="N61" s="35" t="n">
        <v>13547.58</v>
      </c>
      <c r="O61" s="35" t="n">
        <v>13236.51</v>
      </c>
      <c r="P61" s="35" t="n">
        <v>12629.4</v>
      </c>
      <c r="Q61" s="35" t="n">
        <v>13167.81</v>
      </c>
      <c r="R61" s="35" t="n">
        <v>13380.32</v>
      </c>
      <c r="S61" s="35" t="n">
        <v>12833.64</v>
      </c>
      <c r="T61" s="85" t="n">
        <v>13742.18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66535.75999999999</v>
      </c>
      <c r="E62" s="35" t="n">
        <v>59601.66</v>
      </c>
      <c r="F62" s="35" t="n">
        <v>70536.41</v>
      </c>
      <c r="G62" s="35" t="n">
        <v>64426.59</v>
      </c>
      <c r="H62" s="35" t="n">
        <v>68082.12</v>
      </c>
      <c r="I62" s="35" t="n">
        <v>64646.90999999999</v>
      </c>
      <c r="J62" s="35" t="n">
        <v>63635.20999999999</v>
      </c>
      <c r="K62" s="35" t="n">
        <v>68840.59</v>
      </c>
      <c r="L62" s="35" t="n">
        <v>48053.75999999998</v>
      </c>
      <c r="M62" s="35" t="n">
        <v>74028.64</v>
      </c>
      <c r="N62" s="35" t="n">
        <v>66627.58999999998</v>
      </c>
      <c r="O62" s="35" t="n">
        <v>85147.46000000001</v>
      </c>
      <c r="P62" s="35" t="n">
        <v>95225.87</v>
      </c>
      <c r="Q62" s="35" t="n">
        <v>85813.75999999999</v>
      </c>
      <c r="R62" s="35" t="n">
        <v>88595.64000000001</v>
      </c>
      <c r="S62" s="35" t="n">
        <v>82630.33</v>
      </c>
      <c r="T62" s="85" t="n">
        <v>82907.53000000003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-56034.39</v>
      </c>
      <c r="E63" s="35" t="n">
        <v>-49389.7</v>
      </c>
      <c r="F63" s="35" t="n">
        <v>-57183.86</v>
      </c>
      <c r="G63" s="35" t="n">
        <v>-52892.14999999999</v>
      </c>
      <c r="H63" s="35" t="n">
        <v>-22491.63999999999</v>
      </c>
      <c r="I63" s="35" t="n">
        <v>7559.060000000012</v>
      </c>
      <c r="J63" s="35" t="n">
        <v>12602.93000000001</v>
      </c>
      <c r="K63" s="35" t="n">
        <v>11975.23999999999</v>
      </c>
      <c r="L63" s="35" t="n">
        <v>53940.91000000002</v>
      </c>
      <c r="M63" s="35" t="n">
        <v>15750.70999999999</v>
      </c>
      <c r="N63" s="35" t="n">
        <v>42869.95000000003</v>
      </c>
      <c r="O63" s="35" t="n">
        <v>22253.17999999998</v>
      </c>
      <c r="P63" s="35" t="n">
        <v>8317.87000000001</v>
      </c>
      <c r="Q63" s="35" t="n">
        <v>6803.190000000002</v>
      </c>
      <c r="R63" s="35" t="n">
        <v>15733.64</v>
      </c>
      <c r="S63" s="35" t="n">
        <v>19837.87999999999</v>
      </c>
      <c r="T63" s="85" t="n">
        <v>33178.09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2839.96</v>
      </c>
      <c r="E65" s="19" t="n">
        <v>2857.96</v>
      </c>
      <c r="F65" s="19" t="n">
        <v>2857.96</v>
      </c>
      <c r="G65" s="19" t="n">
        <v>2857.96</v>
      </c>
      <c r="H65" s="19" t="n">
        <v>2860.18</v>
      </c>
      <c r="I65" s="19" t="n">
        <v>2860.18</v>
      </c>
      <c r="J65" s="19" t="n">
        <v>2860.18</v>
      </c>
      <c r="K65" s="19" t="n">
        <v>2860.18</v>
      </c>
      <c r="L65" s="19" t="n">
        <v>2860.18</v>
      </c>
      <c r="M65" s="19" t="n">
        <v>2860.18</v>
      </c>
      <c r="N65" s="19" t="n">
        <v>2860.18</v>
      </c>
      <c r="O65" s="19" t="n">
        <v>1124.75</v>
      </c>
      <c r="P65" s="19" t="n">
        <v>2726.68</v>
      </c>
      <c r="Q65" s="19" t="n">
        <v>2726.68</v>
      </c>
      <c r="R65" s="19" t="n">
        <v>2726.68</v>
      </c>
      <c r="S65" s="19" t="n">
        <v>2726.68</v>
      </c>
      <c r="T65" s="84" t="n">
        <v>2726.68</v>
      </c>
      <c r="U65" s="20" t="n">
        <v>2726.68</v>
      </c>
      <c r="V65" s="20" t="n">
        <v>2726.68</v>
      </c>
      <c r="W65" s="20" t="n">
        <v>2726.68</v>
      </c>
      <c r="X65" s="20" t="n">
        <v>2726.68</v>
      </c>
      <c r="Y65" s="20" t="n">
        <v>2726.68</v>
      </c>
      <c r="Z65" s="20" t="n">
        <v>2726.68</v>
      </c>
      <c r="AA65" s="20" t="n">
        <v>2726.68</v>
      </c>
      <c r="AB65" s="20" t="n">
        <v>2726.68</v>
      </c>
      <c r="AC65" s="20" t="n">
        <v>2726.68</v>
      </c>
      <c r="AD65" s="20" t="n">
        <v>2726.68</v>
      </c>
      <c r="AE65" s="20" t="n">
        <v>2726.68</v>
      </c>
      <c r="AF65" s="20" t="n">
        <v>2726.68</v>
      </c>
      <c r="AG65" s="20" t="n">
        <v>2726.68</v>
      </c>
      <c r="AH65" s="20" t="n">
        <v>2726.68</v>
      </c>
      <c r="AI65" s="20" t="n">
        <v>2726.68</v>
      </c>
      <c r="AJ65" s="20" t="n">
        <v>2726.68</v>
      </c>
      <c r="AK65" s="20" t="n">
        <v>2726.68</v>
      </c>
      <c r="AL65" s="20" t="n">
        <v>2726.68</v>
      </c>
      <c r="AM65" s="20" t="n">
        <v>2726.68</v>
      </c>
      <c r="AN65" s="20">
        <f>AN69*0.573916</f>
        <v/>
      </c>
      <c r="AO65" s="20">
        <f>AO69*0.573916</f>
        <v/>
      </c>
      <c r="AP65" s="20">
        <f>AP69*0.573916</f>
        <v/>
      </c>
      <c r="AQ65" s="20">
        <f>AQ69*0.573916</f>
        <v/>
      </c>
      <c r="AR65" s="20">
        <f>AR69*0.573916</f>
        <v/>
      </c>
      <c r="AS65" s="20">
        <f>AS69*0.573916</f>
        <v/>
      </c>
      <c r="AT65" s="20">
        <f>AT69*0.573916</f>
        <v/>
      </c>
      <c r="AU65" s="20">
        <f>AU69*0.573916</f>
        <v/>
      </c>
      <c r="AV65" s="20">
        <f>AV69*0.573916</f>
        <v/>
      </c>
      <c r="AW65" s="20">
        <f>AW69*0.573916</f>
        <v/>
      </c>
      <c r="AX65" s="20">
        <f>AX69*0.573916</f>
        <v/>
      </c>
      <c r="AY65" s="20">
        <f>AY69*0.573916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1366.75</v>
      </c>
      <c r="Q66" s="19" t="n">
        <v>1366.75</v>
      </c>
      <c r="R66" s="19" t="n">
        <v>1366.75</v>
      </c>
      <c r="S66" s="19" t="n">
        <v>3416.87</v>
      </c>
      <c r="T66" s="84" t="n">
        <v>0</v>
      </c>
      <c r="U66" s="20">
        <f>U69*0.395554</f>
        <v/>
      </c>
      <c r="V66" s="20">
        <f>V69*0.395554</f>
        <v/>
      </c>
      <c r="W66" s="20">
        <f>W69*0.395554</f>
        <v/>
      </c>
      <c r="X66" s="20">
        <f>X69*0.395554</f>
        <v/>
      </c>
      <c r="Y66" s="20">
        <f>Y69*0.395554</f>
        <v/>
      </c>
      <c r="Z66" s="20">
        <f>Z69*0.395554</f>
        <v/>
      </c>
      <c r="AA66" s="20">
        <f>AA69*0.395554</f>
        <v/>
      </c>
      <c r="AB66" s="20">
        <f>AB69*0.395554</f>
        <v/>
      </c>
      <c r="AC66" s="20">
        <f>AC69*0.395554</f>
        <v/>
      </c>
      <c r="AD66" s="20">
        <f>AD69*0.395554</f>
        <v/>
      </c>
      <c r="AE66" s="20">
        <f>AE69*0.395554</f>
        <v/>
      </c>
      <c r="AF66" s="20">
        <f>AF69*0.395554</f>
        <v/>
      </c>
      <c r="AG66" s="20">
        <f>AG69*0.395554</f>
        <v/>
      </c>
      <c r="AH66" s="20">
        <f>AH69*0.395554</f>
        <v/>
      </c>
      <c r="AI66" s="20">
        <f>AI69*0.395554</f>
        <v/>
      </c>
      <c r="AJ66" s="20">
        <f>AJ69*0.395554</f>
        <v/>
      </c>
      <c r="AK66" s="20">
        <f>AK69*0.395554</f>
        <v/>
      </c>
      <c r="AL66" s="20">
        <f>AL69*0.395554</f>
        <v/>
      </c>
      <c r="AM66" s="20">
        <f>AM69*0.395554</f>
        <v/>
      </c>
      <c r="AN66" s="20">
        <f>AN69*0.395554</f>
        <v/>
      </c>
      <c r="AO66" s="20">
        <f>AO69*0.395554</f>
        <v/>
      </c>
      <c r="AP66" s="20">
        <f>AP69*0.395554</f>
        <v/>
      </c>
      <c r="AQ66" s="20">
        <f>AQ69*0.395554</f>
        <v/>
      </c>
      <c r="AR66" s="20">
        <f>AR69*0.395554</f>
        <v/>
      </c>
      <c r="AS66" s="20">
        <f>AS69*0.395554</f>
        <v/>
      </c>
      <c r="AT66" s="20">
        <f>AT69*0.395554</f>
        <v/>
      </c>
      <c r="AU66" s="20">
        <f>AU69*0.395554</f>
        <v/>
      </c>
      <c r="AV66" s="20">
        <f>AV69*0.395554</f>
        <v/>
      </c>
      <c r="AW66" s="20">
        <f>AW69*0.395554</f>
        <v/>
      </c>
      <c r="AX66" s="20">
        <f>AX69*0.395554</f>
        <v/>
      </c>
      <c r="AY66" s="20">
        <f>AY69*0.395554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580.1799999999999</v>
      </c>
      <c r="R67" s="19" t="n">
        <v>0</v>
      </c>
      <c r="S67" s="19" t="n">
        <v>0</v>
      </c>
      <c r="T67" s="84" t="n">
        <v>0</v>
      </c>
      <c r="U67" s="20">
        <f>U69*0.030529</f>
        <v/>
      </c>
      <c r="V67" s="20">
        <f>V69*0.030529</f>
        <v/>
      </c>
      <c r="W67" s="20">
        <f>W69*0.030529</f>
        <v/>
      </c>
      <c r="X67" s="20">
        <f>X69*0.030529</f>
        <v/>
      </c>
      <c r="Y67" s="20">
        <f>Y69*0.030529</f>
        <v/>
      </c>
      <c r="Z67" s="20">
        <f>Z69*0.030529</f>
        <v/>
      </c>
      <c r="AA67" s="20">
        <f>AA69*0.030529</f>
        <v/>
      </c>
      <c r="AB67" s="20">
        <f>AB69*0.030529</f>
        <v/>
      </c>
      <c r="AC67" s="20">
        <f>AC69*0.030529</f>
        <v/>
      </c>
      <c r="AD67" s="20">
        <f>AD69*0.030529</f>
        <v/>
      </c>
      <c r="AE67" s="20">
        <f>AE69*0.030529</f>
        <v/>
      </c>
      <c r="AF67" s="20">
        <f>AF69*0.030529</f>
        <v/>
      </c>
      <c r="AG67" s="20">
        <f>AG69*0.030529</f>
        <v/>
      </c>
      <c r="AH67" s="20">
        <f>AH69*0.030529</f>
        <v/>
      </c>
      <c r="AI67" s="20">
        <f>AI69*0.030529</f>
        <v/>
      </c>
      <c r="AJ67" s="20">
        <f>AJ69*0.030529</f>
        <v/>
      </c>
      <c r="AK67" s="20">
        <f>AK69*0.030529</f>
        <v/>
      </c>
      <c r="AL67" s="20">
        <f>AL69*0.030529</f>
        <v/>
      </c>
      <c r="AM67" s="20">
        <f>AM69*0.030529</f>
        <v/>
      </c>
      <c r="AN67" s="20">
        <f>AN69*0.030529</f>
        <v/>
      </c>
      <c r="AO67" s="20">
        <f>AO69*0.030529</f>
        <v/>
      </c>
      <c r="AP67" s="20">
        <f>AP69*0.030529</f>
        <v/>
      </c>
      <c r="AQ67" s="20">
        <f>AQ69*0.030529</f>
        <v/>
      </c>
      <c r="AR67" s="20">
        <f>AR69*0.030529</f>
        <v/>
      </c>
      <c r="AS67" s="20">
        <f>AS69*0.030529</f>
        <v/>
      </c>
      <c r="AT67" s="20">
        <f>AT69*0.030529</f>
        <v/>
      </c>
      <c r="AU67" s="20">
        <f>AU69*0.030529</f>
        <v/>
      </c>
      <c r="AV67" s="20">
        <f>AV69*0.030529</f>
        <v/>
      </c>
      <c r="AW67" s="20">
        <f>AW69*0.030529</f>
        <v/>
      </c>
      <c r="AX67" s="20">
        <f>AX69*0.030529</f>
        <v/>
      </c>
      <c r="AY67" s="20">
        <f>AY69*0.030529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2839.96</v>
      </c>
      <c r="E69" s="35" t="n">
        <v>2857.96</v>
      </c>
      <c r="F69" s="35" t="n">
        <v>2857.96</v>
      </c>
      <c r="G69" s="35" t="n">
        <v>2857.96</v>
      </c>
      <c r="H69" s="35" t="n">
        <v>2860.18</v>
      </c>
      <c r="I69" s="35" t="n">
        <v>2860.18</v>
      </c>
      <c r="J69" s="35" t="n">
        <v>2860.18</v>
      </c>
      <c r="K69" s="35" t="n">
        <v>2860.18</v>
      </c>
      <c r="L69" s="35" t="n">
        <v>2860.18</v>
      </c>
      <c r="M69" s="35" t="n">
        <v>3543.56</v>
      </c>
      <c r="N69" s="35" t="n">
        <v>4226.93</v>
      </c>
      <c r="O69" s="35" t="n">
        <v>2491.5</v>
      </c>
      <c r="P69" s="35" t="n">
        <v>4093.43</v>
      </c>
      <c r="Q69" s="35" t="n">
        <v>4673.61</v>
      </c>
      <c r="R69" s="35" t="n">
        <v>4093.43</v>
      </c>
      <c r="S69" s="35" t="n">
        <v>6143.549999999999</v>
      </c>
      <c r="T69" s="85" t="n">
        <v>2726.68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-58874.35</v>
      </c>
      <c r="E70" s="35" t="n">
        <v>-52247.66</v>
      </c>
      <c r="F70" s="35" t="n">
        <v>-60041.82</v>
      </c>
      <c r="G70" s="35" t="n">
        <v>-55750.10999999999</v>
      </c>
      <c r="H70" s="35" t="n">
        <v>-25351.81999999999</v>
      </c>
      <c r="I70" s="35" t="n">
        <v>4698.880000000012</v>
      </c>
      <c r="J70" s="35" t="n">
        <v>9742.750000000007</v>
      </c>
      <c r="K70" s="35" t="n">
        <v>9115.05999999999</v>
      </c>
      <c r="L70" s="35" t="n">
        <v>51080.73000000002</v>
      </c>
      <c r="M70" s="35" t="n">
        <v>12207.14999999999</v>
      </c>
      <c r="N70" s="35" t="n">
        <v>38643.02000000003</v>
      </c>
      <c r="O70" s="35" t="n">
        <v>19761.67999999998</v>
      </c>
      <c r="P70" s="35" t="n">
        <v>4224.44000000001</v>
      </c>
      <c r="Q70" s="35" t="n">
        <v>2129.580000000003</v>
      </c>
      <c r="R70" s="35" t="n">
        <v>11640.21</v>
      </c>
      <c r="S70" s="35" t="n">
        <v>13694.32999999999</v>
      </c>
      <c r="T70" s="85" t="n">
        <v>30451.41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Ocean Park (OP)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75</v>
      </c>
      <c r="F7" s="19" t="n">
        <v>70</v>
      </c>
      <c r="G7" s="19" t="n">
        <v>13776.77</v>
      </c>
      <c r="H7" s="19" t="n">
        <v>27877.3</v>
      </c>
      <c r="I7" s="19" t="n">
        <v>27699.66</v>
      </c>
      <c r="J7" s="19" t="n">
        <v>32751.01</v>
      </c>
      <c r="K7" s="19" t="n">
        <v>30364.82</v>
      </c>
      <c r="L7" s="19" t="n">
        <v>28592.1</v>
      </c>
      <c r="M7" s="19" t="n">
        <v>28413.88</v>
      </c>
      <c r="N7" s="19" t="n">
        <v>28743.73</v>
      </c>
      <c r="O7" s="19" t="n">
        <v>28190.46</v>
      </c>
      <c r="P7" s="19" t="n">
        <v>33656.75</v>
      </c>
      <c r="Q7" s="19" t="n">
        <v>30028.27</v>
      </c>
      <c r="R7" s="19" t="n">
        <v>31271</v>
      </c>
      <c r="S7" s="19" t="n">
        <v>31015.02</v>
      </c>
      <c r="T7" s="84" t="n">
        <v>37715.61</v>
      </c>
      <c r="U7" s="20">
        <f>U13*0.577355</f>
        <v/>
      </c>
      <c r="V7" s="20">
        <f>V13*0.577355</f>
        <v/>
      </c>
      <c r="W7" s="20">
        <f>W13*0.577355</f>
        <v/>
      </c>
      <c r="X7" s="20">
        <f>X13*0.577355</f>
        <v/>
      </c>
      <c r="Y7" s="20">
        <f>Y13*0.577355</f>
        <v/>
      </c>
      <c r="Z7" s="20">
        <f>Z13*0.577355</f>
        <v/>
      </c>
      <c r="AA7" s="20">
        <f>AA13*0.577355</f>
        <v/>
      </c>
      <c r="AB7" s="20">
        <f>AB13*0.577355</f>
        <v/>
      </c>
      <c r="AC7" s="20">
        <f>AC13*0.577355</f>
        <v/>
      </c>
      <c r="AD7" s="20">
        <f>AD13*0.577355</f>
        <v/>
      </c>
      <c r="AE7" s="20">
        <f>AE13*0.577355</f>
        <v/>
      </c>
      <c r="AF7" s="20">
        <f>AF13*0.577355</f>
        <v/>
      </c>
      <c r="AG7" s="20">
        <f>AG13*0.577355</f>
        <v/>
      </c>
      <c r="AH7" s="20">
        <f>AH13*0.577355</f>
        <v/>
      </c>
      <c r="AI7" s="20">
        <f>AI13*0.577355</f>
        <v/>
      </c>
      <c r="AJ7" s="20">
        <f>AJ13*0.577355</f>
        <v/>
      </c>
      <c r="AK7" s="20">
        <f>AK13*0.577355</f>
        <v/>
      </c>
      <c r="AL7" s="20">
        <f>AL13*0.577355</f>
        <v/>
      </c>
      <c r="AM7" s="20">
        <f>AM13*0.577355</f>
        <v/>
      </c>
      <c r="AN7" s="20">
        <f>AN13*0.577355</f>
        <v/>
      </c>
      <c r="AO7" s="20">
        <f>AO13*0.577355</f>
        <v/>
      </c>
      <c r="AP7" s="20">
        <f>AP13*0.577355</f>
        <v/>
      </c>
      <c r="AQ7" s="20">
        <f>AQ13*0.577355</f>
        <v/>
      </c>
      <c r="AR7" s="20">
        <f>AR13*0.577355</f>
        <v/>
      </c>
      <c r="AS7" s="20">
        <f>AS13*0.577355</f>
        <v/>
      </c>
      <c r="AT7" s="20">
        <f>AT13*0.577355</f>
        <v/>
      </c>
      <c r="AU7" s="20">
        <f>AU13*0.577355</f>
        <v/>
      </c>
      <c r="AV7" s="20">
        <f>AV13*0.577355</f>
        <v/>
      </c>
      <c r="AW7" s="20">
        <f>AW13*0.577355</f>
        <v/>
      </c>
      <c r="AX7" s="20">
        <f>AX13*0.577355</f>
        <v/>
      </c>
      <c r="AY7" s="20">
        <f>AY13*0.577355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1610</v>
      </c>
      <c r="H8" s="19" t="n">
        <v>4055</v>
      </c>
      <c r="I8" s="19" t="n">
        <v>5105</v>
      </c>
      <c r="J8" s="19" t="n">
        <v>5975</v>
      </c>
      <c r="K8" s="19" t="n">
        <v>7076.88</v>
      </c>
      <c r="L8" s="19" t="n">
        <v>5585</v>
      </c>
      <c r="M8" s="19" t="n">
        <v>4211.67</v>
      </c>
      <c r="N8" s="19" t="n">
        <v>4114.37</v>
      </c>
      <c r="O8" s="19" t="n">
        <v>3845.63</v>
      </c>
      <c r="P8" s="19" t="n">
        <v>5661.3</v>
      </c>
      <c r="Q8" s="19" t="n">
        <v>6470</v>
      </c>
      <c r="R8" s="19" t="n">
        <v>5699.46</v>
      </c>
      <c r="S8" s="19" t="n">
        <v>4246.88</v>
      </c>
      <c r="T8" s="84" t="n">
        <v>4943</v>
      </c>
      <c r="U8" s="20">
        <f>U13*0.101187</f>
        <v/>
      </c>
      <c r="V8" s="20">
        <f>V13*0.101187</f>
        <v/>
      </c>
      <c r="W8" s="20">
        <f>W13*0.101187</f>
        <v/>
      </c>
      <c r="X8" s="20">
        <f>X13*0.101187</f>
        <v/>
      </c>
      <c r="Y8" s="20">
        <f>Y13*0.101187</f>
        <v/>
      </c>
      <c r="Z8" s="20">
        <f>Z13*0.101187</f>
        <v/>
      </c>
      <c r="AA8" s="20">
        <f>AA13*0.101187</f>
        <v/>
      </c>
      <c r="AB8" s="20">
        <f>AB13*0.101187</f>
        <v/>
      </c>
      <c r="AC8" s="20">
        <f>AC13*0.101187</f>
        <v/>
      </c>
      <c r="AD8" s="20">
        <f>AD13*0.101187</f>
        <v/>
      </c>
      <c r="AE8" s="20">
        <f>AE13*0.101187</f>
        <v/>
      </c>
      <c r="AF8" s="20">
        <f>AF13*0.101187</f>
        <v/>
      </c>
      <c r="AG8" s="20">
        <f>AG13*0.101187</f>
        <v/>
      </c>
      <c r="AH8" s="20">
        <f>AH13*0.101187</f>
        <v/>
      </c>
      <c r="AI8" s="20">
        <f>AI13*0.101187</f>
        <v/>
      </c>
      <c r="AJ8" s="20">
        <f>AJ13*0.101187</f>
        <v/>
      </c>
      <c r="AK8" s="20">
        <f>AK13*0.101187</f>
        <v/>
      </c>
      <c r="AL8" s="20">
        <f>AL13*0.101187</f>
        <v/>
      </c>
      <c r="AM8" s="20">
        <f>AM13*0.101187</f>
        <v/>
      </c>
      <c r="AN8" s="20">
        <f>AN13*0.101187</f>
        <v/>
      </c>
      <c r="AO8" s="20">
        <f>AO13*0.101187</f>
        <v/>
      </c>
      <c r="AP8" s="20">
        <f>AP13*0.101187</f>
        <v/>
      </c>
      <c r="AQ8" s="20">
        <f>AQ13*0.101187</f>
        <v/>
      </c>
      <c r="AR8" s="20">
        <f>AR13*0.101187</f>
        <v/>
      </c>
      <c r="AS8" s="20">
        <f>AS13*0.101187</f>
        <v/>
      </c>
      <c r="AT8" s="20">
        <f>AT13*0.101187</f>
        <v/>
      </c>
      <c r="AU8" s="20">
        <f>AU13*0.101187</f>
        <v/>
      </c>
      <c r="AV8" s="20">
        <f>AV13*0.101187</f>
        <v/>
      </c>
      <c r="AW8" s="20">
        <f>AW13*0.101187</f>
        <v/>
      </c>
      <c r="AX8" s="20">
        <f>AX13*0.101187</f>
        <v/>
      </c>
      <c r="AY8" s="20">
        <f>AY13*0.101187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8128.28</v>
      </c>
      <c r="H9" s="19" t="n">
        <v>13624.22</v>
      </c>
      <c r="I9" s="19" t="n">
        <v>15749.1</v>
      </c>
      <c r="J9" s="19" t="n">
        <v>18156.56</v>
      </c>
      <c r="K9" s="19" t="n">
        <v>18214.66</v>
      </c>
      <c r="L9" s="19" t="n">
        <v>16575.67</v>
      </c>
      <c r="M9" s="19" t="n">
        <v>17352.08</v>
      </c>
      <c r="N9" s="19" t="n">
        <v>16819.48</v>
      </c>
      <c r="O9" s="19" t="n">
        <v>15032.09</v>
      </c>
      <c r="P9" s="19" t="n">
        <v>18924.97</v>
      </c>
      <c r="Q9" s="19" t="n">
        <v>15460.98</v>
      </c>
      <c r="R9" s="19" t="n">
        <v>18153.6</v>
      </c>
      <c r="S9" s="19" t="n">
        <v>16356</v>
      </c>
      <c r="T9" s="84" t="n">
        <v>14493.87</v>
      </c>
      <c r="U9" s="20">
        <f>U13*0.315765</f>
        <v/>
      </c>
      <c r="V9" s="20">
        <f>V13*0.315765</f>
        <v/>
      </c>
      <c r="W9" s="20">
        <f>W13*0.315765</f>
        <v/>
      </c>
      <c r="X9" s="20">
        <f>X13*0.315765</f>
        <v/>
      </c>
      <c r="Y9" s="20">
        <f>Y13*0.315765</f>
        <v/>
      </c>
      <c r="Z9" s="20">
        <f>Z13*0.315765</f>
        <v/>
      </c>
      <c r="AA9" s="20">
        <f>AA13*0.315765</f>
        <v/>
      </c>
      <c r="AB9" s="20">
        <f>AB13*0.315765</f>
        <v/>
      </c>
      <c r="AC9" s="20">
        <f>AC13*0.315765</f>
        <v/>
      </c>
      <c r="AD9" s="20">
        <f>AD13*0.315765</f>
        <v/>
      </c>
      <c r="AE9" s="20">
        <f>AE13*0.315765</f>
        <v/>
      </c>
      <c r="AF9" s="20">
        <f>AF13*0.315765</f>
        <v/>
      </c>
      <c r="AG9" s="20">
        <f>AG13*0.315765</f>
        <v/>
      </c>
      <c r="AH9" s="20">
        <f>AH13*0.315765</f>
        <v/>
      </c>
      <c r="AI9" s="20">
        <f>AI13*0.315765</f>
        <v/>
      </c>
      <c r="AJ9" s="20">
        <f>AJ13*0.315765</f>
        <v/>
      </c>
      <c r="AK9" s="20">
        <f>AK13*0.315765</f>
        <v/>
      </c>
      <c r="AL9" s="20">
        <f>AL13*0.315765</f>
        <v/>
      </c>
      <c r="AM9" s="20">
        <f>AM13*0.315765</f>
        <v/>
      </c>
      <c r="AN9" s="20">
        <f>AN13*0.315765</f>
        <v/>
      </c>
      <c r="AO9" s="20">
        <f>AO13*0.315765</f>
        <v/>
      </c>
      <c r="AP9" s="20">
        <f>AP13*0.315765</f>
        <v/>
      </c>
      <c r="AQ9" s="20">
        <f>AQ13*0.315765</f>
        <v/>
      </c>
      <c r="AR9" s="20">
        <f>AR13*0.315765</f>
        <v/>
      </c>
      <c r="AS9" s="20">
        <f>AS13*0.315765</f>
        <v/>
      </c>
      <c r="AT9" s="20">
        <f>AT13*0.315765</f>
        <v/>
      </c>
      <c r="AU9" s="20">
        <f>AU13*0.315765</f>
        <v/>
      </c>
      <c r="AV9" s="20">
        <f>AV13*0.315765</f>
        <v/>
      </c>
      <c r="AW9" s="20">
        <f>AW13*0.315765</f>
        <v/>
      </c>
      <c r="AX9" s="20">
        <f>AX13*0.315765</f>
        <v/>
      </c>
      <c r="AY9" s="20">
        <f>AY13*0.315765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500</v>
      </c>
      <c r="J10" s="19" t="n">
        <v>2013.33</v>
      </c>
      <c r="K10" s="19" t="n">
        <v>600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600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U13*0.00275</f>
        <v/>
      </c>
      <c r="V10" s="20">
        <f>V13*0.00275</f>
        <v/>
      </c>
      <c r="W10" s="20">
        <f>W13*0.00275</f>
        <v/>
      </c>
      <c r="X10" s="20">
        <f>X13*0.00275</f>
        <v/>
      </c>
      <c r="Y10" s="20">
        <f>Y13*0.00275</f>
        <v/>
      </c>
      <c r="Z10" s="20">
        <f>Z13*0.00275</f>
        <v/>
      </c>
      <c r="AA10" s="20">
        <f>AA13*0.00275</f>
        <v/>
      </c>
      <c r="AB10" s="20">
        <f>AB13*0.00275</f>
        <v/>
      </c>
      <c r="AC10" s="20">
        <f>AC13*0.00275</f>
        <v/>
      </c>
      <c r="AD10" s="20">
        <f>AD13*0.00275</f>
        <v/>
      </c>
      <c r="AE10" s="20">
        <f>AE13*0.00275</f>
        <v/>
      </c>
      <c r="AF10" s="20">
        <f>AF13*0.00275</f>
        <v/>
      </c>
      <c r="AG10" s="20">
        <f>AG13*0.00275</f>
        <v/>
      </c>
      <c r="AH10" s="20">
        <f>AH13*0.00275</f>
        <v/>
      </c>
      <c r="AI10" s="20">
        <f>AI13*0.00275</f>
        <v/>
      </c>
      <c r="AJ10" s="20">
        <f>AJ13*0.00275</f>
        <v/>
      </c>
      <c r="AK10" s="20">
        <f>AK13*0.00275</f>
        <v/>
      </c>
      <c r="AL10" s="20">
        <f>AL13*0.00275</f>
        <v/>
      </c>
      <c r="AM10" s="20">
        <f>AM13*0.00275</f>
        <v/>
      </c>
      <c r="AN10" s="20">
        <f>AN13*0.00275</f>
        <v/>
      </c>
      <c r="AO10" s="20">
        <f>AO13*0.00275</f>
        <v/>
      </c>
      <c r="AP10" s="20">
        <f>AP13*0.00275</f>
        <v/>
      </c>
      <c r="AQ10" s="20">
        <f>AQ13*0.00275</f>
        <v/>
      </c>
      <c r="AR10" s="20">
        <f>AR13*0.00275</f>
        <v/>
      </c>
      <c r="AS10" s="20">
        <f>AS13*0.00275</f>
        <v/>
      </c>
      <c r="AT10" s="20">
        <f>AT13*0.00275</f>
        <v/>
      </c>
      <c r="AU10" s="20">
        <f>AU13*0.00275</f>
        <v/>
      </c>
      <c r="AV10" s="20">
        <f>AV13*0.00275</f>
        <v/>
      </c>
      <c r="AW10" s="20">
        <f>AW13*0.00275</f>
        <v/>
      </c>
      <c r="AX10" s="20">
        <f>AX13*0.00275</f>
        <v/>
      </c>
      <c r="AY10" s="20">
        <f>AY13*0.00275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14</v>
      </c>
      <c r="O11" s="19" t="n">
        <v>0</v>
      </c>
      <c r="P11" s="19" t="n">
        <v>0</v>
      </c>
      <c r="Q11" s="19" t="n">
        <v>14</v>
      </c>
      <c r="R11" s="19" t="n">
        <v>75.33</v>
      </c>
      <c r="S11" s="19" t="n">
        <v>107.61</v>
      </c>
      <c r="T11" s="84" t="n">
        <v>182.4</v>
      </c>
      <c r="U11" s="20">
        <f>U13*0.000903</f>
        <v/>
      </c>
      <c r="V11" s="20">
        <f>V13*0.000903</f>
        <v/>
      </c>
      <c r="W11" s="20">
        <f>W13*0.000903</f>
        <v/>
      </c>
      <c r="X11" s="20">
        <f>X13*0.000903</f>
        <v/>
      </c>
      <c r="Y11" s="20">
        <f>Y13*0.000903</f>
        <v/>
      </c>
      <c r="Z11" s="20">
        <f>Z13*0.000903</f>
        <v/>
      </c>
      <c r="AA11" s="20">
        <f>AA13*0.000903</f>
        <v/>
      </c>
      <c r="AB11" s="20">
        <f>AB13*0.000903</f>
        <v/>
      </c>
      <c r="AC11" s="20">
        <f>AC13*0.000903</f>
        <v/>
      </c>
      <c r="AD11" s="20">
        <f>AD13*0.000903</f>
        <v/>
      </c>
      <c r="AE11" s="20">
        <f>AE13*0.000903</f>
        <v/>
      </c>
      <c r="AF11" s="20">
        <f>AF13*0.000903</f>
        <v/>
      </c>
      <c r="AG11" s="20">
        <f>AG13*0.000903</f>
        <v/>
      </c>
      <c r="AH11" s="20">
        <f>AH13*0.000903</f>
        <v/>
      </c>
      <c r="AI11" s="20">
        <f>AI13*0.000903</f>
        <v/>
      </c>
      <c r="AJ11" s="20">
        <f>AJ13*0.000903</f>
        <v/>
      </c>
      <c r="AK11" s="20">
        <f>AK13*0.000903</f>
        <v/>
      </c>
      <c r="AL11" s="20">
        <f>AL13*0.000903</f>
        <v/>
      </c>
      <c r="AM11" s="20">
        <f>AM13*0.000903</f>
        <v/>
      </c>
      <c r="AN11" s="20">
        <f>AN13*0.000903</f>
        <v/>
      </c>
      <c r="AO11" s="20">
        <f>AO13*0.000903</f>
        <v/>
      </c>
      <c r="AP11" s="20">
        <f>AP13*0.000903</f>
        <v/>
      </c>
      <c r="AQ11" s="20">
        <f>AQ13*0.000903</f>
        <v/>
      </c>
      <c r="AR11" s="20">
        <f>AR13*0.000903</f>
        <v/>
      </c>
      <c r="AS11" s="20">
        <f>AS13*0.000903</f>
        <v/>
      </c>
      <c r="AT11" s="20">
        <f>AT13*0.000903</f>
        <v/>
      </c>
      <c r="AU11" s="20">
        <f>AU13*0.000903</f>
        <v/>
      </c>
      <c r="AV11" s="20">
        <f>AV13*0.000903</f>
        <v/>
      </c>
      <c r="AW11" s="20">
        <f>AW13*0.000903</f>
        <v/>
      </c>
      <c r="AX11" s="20">
        <f>AX13*0.000903</f>
        <v/>
      </c>
      <c r="AY11" s="20">
        <f>AY13*0.000903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27.82</v>
      </c>
      <c r="H12" s="19" t="n">
        <v>111.28</v>
      </c>
      <c r="I12" s="19" t="n">
        <v>166.92</v>
      </c>
      <c r="J12" s="19" t="n">
        <v>139.1</v>
      </c>
      <c r="K12" s="19" t="n">
        <v>139.1</v>
      </c>
      <c r="L12" s="19" t="n">
        <v>242.03</v>
      </c>
      <c r="M12" s="19" t="n">
        <v>158.57</v>
      </c>
      <c r="N12" s="19" t="n">
        <v>166.92</v>
      </c>
      <c r="O12" s="19" t="n">
        <v>139.1</v>
      </c>
      <c r="P12" s="19" t="n">
        <v>111.28</v>
      </c>
      <c r="Q12" s="19" t="n">
        <v>55.64</v>
      </c>
      <c r="R12" s="19" t="n">
        <v>278.2</v>
      </c>
      <c r="S12" s="19" t="n">
        <v>0</v>
      </c>
      <c r="T12" s="84" t="n">
        <v>83.45999999999999</v>
      </c>
      <c r="U12" s="20">
        <f>U13*0.00204</f>
        <v/>
      </c>
      <c r="V12" s="20">
        <f>V13*0.00204</f>
        <v/>
      </c>
      <c r="W12" s="20">
        <f>W13*0.00204</f>
        <v/>
      </c>
      <c r="X12" s="20">
        <f>X13*0.00204</f>
        <v/>
      </c>
      <c r="Y12" s="20">
        <f>Y13*0.00204</f>
        <v/>
      </c>
      <c r="Z12" s="20">
        <f>Z13*0.00204</f>
        <v/>
      </c>
      <c r="AA12" s="20">
        <f>AA13*0.00204</f>
        <v/>
      </c>
      <c r="AB12" s="20">
        <f>AB13*0.00204</f>
        <v/>
      </c>
      <c r="AC12" s="20">
        <f>AC13*0.00204</f>
        <v/>
      </c>
      <c r="AD12" s="20">
        <f>AD13*0.00204</f>
        <v/>
      </c>
      <c r="AE12" s="20">
        <f>AE13*0.00204</f>
        <v/>
      </c>
      <c r="AF12" s="20">
        <f>AF13*0.00204</f>
        <v/>
      </c>
      <c r="AG12" s="20">
        <f>AG13*0.00204</f>
        <v/>
      </c>
      <c r="AH12" s="20">
        <f>AH13*0.00204</f>
        <v/>
      </c>
      <c r="AI12" s="20">
        <f>AI13*0.00204</f>
        <v/>
      </c>
      <c r="AJ12" s="20">
        <f>AJ13*0.00204</f>
        <v/>
      </c>
      <c r="AK12" s="20">
        <f>AK13*0.00204</f>
        <v/>
      </c>
      <c r="AL12" s="20">
        <f>AL13*0.00204</f>
        <v/>
      </c>
      <c r="AM12" s="20">
        <f>AM13*0.00204</f>
        <v/>
      </c>
      <c r="AN12" s="20">
        <f>AN13*0.00204</f>
        <v/>
      </c>
      <c r="AO12" s="20">
        <f>AO13*0.00204</f>
        <v/>
      </c>
      <c r="AP12" s="20">
        <f>AP13*0.00204</f>
        <v/>
      </c>
      <c r="AQ12" s="20">
        <f>AQ13*0.00204</f>
        <v/>
      </c>
      <c r="AR12" s="20">
        <f>AR13*0.00204</f>
        <v/>
      </c>
      <c r="AS12" s="20">
        <f>AS13*0.00204</f>
        <v/>
      </c>
      <c r="AT12" s="20">
        <f>AT13*0.00204</f>
        <v/>
      </c>
      <c r="AU12" s="20">
        <f>AU13*0.00204</f>
        <v/>
      </c>
      <c r="AV12" s="20">
        <f>AV13*0.00204</f>
        <v/>
      </c>
      <c r="AW12" s="20">
        <f>AW13*0.00204</f>
        <v/>
      </c>
      <c r="AX12" s="20">
        <f>AX13*0.00204</f>
        <v/>
      </c>
      <c r="AY12" s="20">
        <f>AY13*0.00204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75</v>
      </c>
      <c r="F13" s="35" t="n">
        <v>70</v>
      </c>
      <c r="G13" s="35" t="n">
        <v>23542.87</v>
      </c>
      <c r="H13" s="35" t="n">
        <v>45987.8</v>
      </c>
      <c r="I13" s="35" t="n">
        <v>49220.68</v>
      </c>
      <c r="J13" s="35" t="n">
        <v>59034.99999999999</v>
      </c>
      <c r="K13" s="35" t="n">
        <v>56395.46</v>
      </c>
      <c r="L13" s="35" t="n">
        <v>50994.8</v>
      </c>
      <c r="M13" s="35" t="n">
        <v>50136.2</v>
      </c>
      <c r="N13" s="35" t="n">
        <v>49858.5</v>
      </c>
      <c r="O13" s="35" t="n">
        <v>47207.28</v>
      </c>
      <c r="P13" s="35" t="n">
        <v>58954.3</v>
      </c>
      <c r="Q13" s="35" t="n">
        <v>52028.89</v>
      </c>
      <c r="R13" s="35" t="n">
        <v>55477.59</v>
      </c>
      <c r="S13" s="35" t="n">
        <v>51725.51</v>
      </c>
      <c r="T13" s="85" t="n">
        <v>57418.34</v>
      </c>
      <c r="U13" s="17">
        <f>'Sales Forecast'!U11*Assumptions!$C$12+'Sales Forecast'!T11*Assumptions!$D$12+'Sales Forecast'!S11*Assumptions!$E$12+'Sales Forecast'!R11*Assumptions!$F$12+'Sales Forecast'!Q11*Assumptions!$G$12+'Sales Forecast'!P11*Assumptions!$H$12+'Sales Forecast'!U107*Assumptions!$I$12</f>
        <v/>
      </c>
      <c r="V13" s="17">
        <f>'Sales Forecast'!V11*Assumptions!$C$12+'Sales Forecast'!U11*Assumptions!$D$12+'Sales Forecast'!T11*Assumptions!$E$12+'Sales Forecast'!S11*Assumptions!$F$12+'Sales Forecast'!R11*Assumptions!$G$12+'Sales Forecast'!Q11*Assumptions!$H$12+'Sales Forecast'!P11*Assumptions!$I$12</f>
        <v/>
      </c>
      <c r="W13" s="17">
        <f>'Sales Forecast'!W11*Assumptions!$C$12+'Sales Forecast'!V11*Assumptions!$D$12+'Sales Forecast'!U11*Assumptions!$E$12+'Sales Forecast'!T11*Assumptions!$F$12+'Sales Forecast'!S11*Assumptions!$G$12+'Sales Forecast'!R11*Assumptions!$H$12+'Sales Forecast'!Q11*Assumptions!$I$12</f>
        <v/>
      </c>
      <c r="X13" s="17">
        <f>'Sales Forecast'!X11*Assumptions!$C$12+'Sales Forecast'!W11*Assumptions!$D$12+'Sales Forecast'!V11*Assumptions!$E$12+'Sales Forecast'!U11*Assumptions!$F$12+'Sales Forecast'!T11*Assumptions!$G$12+'Sales Forecast'!S11*Assumptions!$H$12+'Sales Forecast'!R11*Assumptions!$I$12</f>
        <v/>
      </c>
      <c r="Y13" s="17">
        <f>'Sales Forecast'!Y11*Assumptions!$C$12+'Sales Forecast'!X11*Assumptions!$D$12+'Sales Forecast'!W11*Assumptions!$E$12+'Sales Forecast'!V11*Assumptions!$F$12+'Sales Forecast'!U11*Assumptions!$G$12+'Sales Forecast'!T11*Assumptions!$H$12+'Sales Forecast'!S11*Assumptions!$I$12</f>
        <v/>
      </c>
      <c r="Z13" s="17">
        <f>'Sales Forecast'!Z11*Assumptions!$C$12+'Sales Forecast'!Y11*Assumptions!$D$12+'Sales Forecast'!X11*Assumptions!$E$12+'Sales Forecast'!W11*Assumptions!$F$12+'Sales Forecast'!V11*Assumptions!$G$12+'Sales Forecast'!U11*Assumptions!$H$12+'Sales Forecast'!T11*Assumptions!$I$12</f>
        <v/>
      </c>
      <c r="AA13" s="17">
        <f>'Sales Forecast'!AA11*Assumptions!$C$12+'Sales Forecast'!Z11*Assumptions!$D$12+'Sales Forecast'!Y11*Assumptions!$E$12+'Sales Forecast'!X11*Assumptions!$F$12+'Sales Forecast'!W11*Assumptions!$G$12+'Sales Forecast'!V11*Assumptions!$H$12+'Sales Forecast'!U11*Assumptions!$I$12</f>
        <v/>
      </c>
      <c r="AB13" s="17">
        <f>'Sales Forecast'!AB11*Assumptions!$C$12+'Sales Forecast'!AA11*Assumptions!$D$12+'Sales Forecast'!Z11*Assumptions!$E$12+'Sales Forecast'!Y11*Assumptions!$F$12+'Sales Forecast'!X11*Assumptions!$G$12+'Sales Forecast'!W11*Assumptions!$H$12+'Sales Forecast'!V11*Assumptions!$I$12</f>
        <v/>
      </c>
      <c r="AC13" s="17">
        <f>'Sales Forecast'!AC11*Assumptions!$C$12+'Sales Forecast'!AB11*Assumptions!$D$12+'Sales Forecast'!AA11*Assumptions!$E$12+'Sales Forecast'!Z11*Assumptions!$F$12+'Sales Forecast'!Y11*Assumptions!$G$12+'Sales Forecast'!X11*Assumptions!$H$12+'Sales Forecast'!W11*Assumptions!$I$12</f>
        <v/>
      </c>
      <c r="AD13" s="17">
        <f>'Sales Forecast'!AD11*Assumptions!$C$12+'Sales Forecast'!AC11*Assumptions!$D$12+'Sales Forecast'!AB11*Assumptions!$E$12+'Sales Forecast'!AA11*Assumptions!$F$12+'Sales Forecast'!Z11*Assumptions!$G$12+'Sales Forecast'!Y11*Assumptions!$H$12+'Sales Forecast'!X11*Assumptions!$I$12</f>
        <v/>
      </c>
      <c r="AE13" s="17">
        <f>'Sales Forecast'!AE11*Assumptions!$C$12+'Sales Forecast'!AD11*Assumptions!$D$12+'Sales Forecast'!AC11*Assumptions!$E$12+'Sales Forecast'!AB11*Assumptions!$F$12+'Sales Forecast'!AA11*Assumptions!$G$12+'Sales Forecast'!Z11*Assumptions!$H$12+'Sales Forecast'!Y11*Assumptions!$I$12</f>
        <v/>
      </c>
      <c r="AF13" s="17">
        <f>'Sales Forecast'!AF11*Assumptions!$C$12+'Sales Forecast'!AE11*Assumptions!$D$12+'Sales Forecast'!AD11*Assumptions!$E$12+'Sales Forecast'!AC11*Assumptions!$F$12+'Sales Forecast'!AB11*Assumptions!$G$12+'Sales Forecast'!AA11*Assumptions!$H$12+'Sales Forecast'!Z11*Assumptions!$I$12</f>
        <v/>
      </c>
      <c r="AG13" s="17">
        <f>'Sales Forecast'!AG11*Assumptions!$C$12+'Sales Forecast'!AF11*Assumptions!$D$12+'Sales Forecast'!AE11*Assumptions!$E$12+'Sales Forecast'!AD11*Assumptions!$F$12+'Sales Forecast'!AC11*Assumptions!$G$12+'Sales Forecast'!AB11*Assumptions!$H$12+'Sales Forecast'!AA11*Assumptions!$I$12</f>
        <v/>
      </c>
      <c r="AH13" s="17">
        <f>'Sales Forecast'!AH11*Assumptions!$C$12+'Sales Forecast'!AG11*Assumptions!$D$12+'Sales Forecast'!AF11*Assumptions!$E$12+'Sales Forecast'!AE11*Assumptions!$F$12+'Sales Forecast'!AD11*Assumptions!$G$12+'Sales Forecast'!AC11*Assumptions!$H$12+'Sales Forecast'!AB11*Assumptions!$I$12</f>
        <v/>
      </c>
      <c r="AI13" s="17">
        <f>'Sales Forecast'!AI11*Assumptions!$C$12+'Sales Forecast'!AH11*Assumptions!$D$12+'Sales Forecast'!AG11*Assumptions!$E$12+'Sales Forecast'!AF11*Assumptions!$F$12+'Sales Forecast'!AE11*Assumptions!$G$12+'Sales Forecast'!AD11*Assumptions!$H$12+'Sales Forecast'!AC11*Assumptions!$I$12</f>
        <v/>
      </c>
      <c r="AJ13" s="17">
        <f>'Sales Forecast'!AJ11*Assumptions!$C$12+'Sales Forecast'!AI11*Assumptions!$D$12+'Sales Forecast'!AH11*Assumptions!$E$12+'Sales Forecast'!AG11*Assumptions!$F$12+'Sales Forecast'!AF11*Assumptions!$G$12+'Sales Forecast'!AE11*Assumptions!$H$12+'Sales Forecast'!AD11*Assumptions!$I$12</f>
        <v/>
      </c>
      <c r="AK13" s="17">
        <f>'Sales Forecast'!AK11*Assumptions!$C$12+'Sales Forecast'!AJ11*Assumptions!$D$12+'Sales Forecast'!AI11*Assumptions!$E$12+'Sales Forecast'!AH11*Assumptions!$F$12+'Sales Forecast'!AG11*Assumptions!$G$12+'Sales Forecast'!AF11*Assumptions!$H$12+'Sales Forecast'!AE11*Assumptions!$I$12</f>
        <v/>
      </c>
      <c r="AL13" s="17">
        <f>'Sales Forecast'!AL11*Assumptions!$C$12+'Sales Forecast'!AK11*Assumptions!$D$12+'Sales Forecast'!AJ11*Assumptions!$E$12+'Sales Forecast'!AI11*Assumptions!$F$12+'Sales Forecast'!AH11*Assumptions!$G$12+'Sales Forecast'!AG11*Assumptions!$H$12+'Sales Forecast'!AF11*Assumptions!$I$12</f>
        <v/>
      </c>
      <c r="AM13" s="17">
        <f>'Sales Forecast'!AM11*Assumptions!$C$12+'Sales Forecast'!AL11*Assumptions!$D$12+'Sales Forecast'!AK11*Assumptions!$E$12+'Sales Forecast'!AJ11*Assumptions!$F$12+'Sales Forecast'!AI11*Assumptions!$G$12+'Sales Forecast'!AH11*Assumptions!$H$12+'Sales Forecast'!AG11*Assumptions!$I$12</f>
        <v/>
      </c>
      <c r="AN13" s="17">
        <f>'Sales Forecast'!AN11*Assumptions!$C$12+'Sales Forecast'!AM11*Assumptions!$D$12+'Sales Forecast'!AL11*Assumptions!$E$12+'Sales Forecast'!AK11*Assumptions!$F$12+'Sales Forecast'!AJ11*Assumptions!$G$12+'Sales Forecast'!AI11*Assumptions!$H$12+'Sales Forecast'!AH11*Assumptions!$I$12</f>
        <v/>
      </c>
      <c r="AO13" s="17">
        <f>'Sales Forecast'!AO11*Assumptions!$C$12+'Sales Forecast'!AN11*Assumptions!$D$12+'Sales Forecast'!AM11*Assumptions!$E$12+'Sales Forecast'!AL11*Assumptions!$F$12+'Sales Forecast'!AK11*Assumptions!$G$12+'Sales Forecast'!AJ11*Assumptions!$H$12+'Sales Forecast'!AI11*Assumptions!$I$12</f>
        <v/>
      </c>
      <c r="AP13" s="17">
        <f>'Sales Forecast'!AP11*Assumptions!$C$12+'Sales Forecast'!AO11*Assumptions!$D$12+'Sales Forecast'!AN11*Assumptions!$E$12+'Sales Forecast'!AM11*Assumptions!$F$12+'Sales Forecast'!AL11*Assumptions!$G$12+'Sales Forecast'!AK11*Assumptions!$H$12+'Sales Forecast'!AJ11*Assumptions!$I$12</f>
        <v/>
      </c>
      <c r="AQ13" s="17">
        <f>'Sales Forecast'!AQ11*Assumptions!$C$12+'Sales Forecast'!AP11*Assumptions!$D$12+'Sales Forecast'!AO11*Assumptions!$E$12+'Sales Forecast'!AN11*Assumptions!$F$12+'Sales Forecast'!AM11*Assumptions!$G$12+'Sales Forecast'!AL11*Assumptions!$H$12+'Sales Forecast'!AK11*Assumptions!$I$12</f>
        <v/>
      </c>
      <c r="AR13" s="17">
        <f>'Sales Forecast'!AR11*Assumptions!$C$12+'Sales Forecast'!AQ11*Assumptions!$D$12+'Sales Forecast'!AP11*Assumptions!$E$12+'Sales Forecast'!AO11*Assumptions!$F$12+'Sales Forecast'!AN11*Assumptions!$G$12+'Sales Forecast'!AM11*Assumptions!$H$12+'Sales Forecast'!AL11*Assumptions!$I$12</f>
        <v/>
      </c>
      <c r="AS13" s="17">
        <f>'Sales Forecast'!AS11*Assumptions!$C$12+'Sales Forecast'!AR11*Assumptions!$D$12+'Sales Forecast'!AQ11*Assumptions!$E$12+'Sales Forecast'!AP11*Assumptions!$F$12+'Sales Forecast'!AO11*Assumptions!$G$12+'Sales Forecast'!AN11*Assumptions!$H$12+'Sales Forecast'!AM11*Assumptions!$I$12</f>
        <v/>
      </c>
      <c r="AT13" s="17">
        <f>'Sales Forecast'!AT11*Assumptions!$C$12+'Sales Forecast'!AS11*Assumptions!$D$12+'Sales Forecast'!AR11*Assumptions!$E$12+'Sales Forecast'!AQ11*Assumptions!$F$12+'Sales Forecast'!AP11*Assumptions!$G$12+'Sales Forecast'!AO11*Assumptions!$H$12+'Sales Forecast'!AN11*Assumptions!$I$12</f>
        <v/>
      </c>
      <c r="AU13" s="17">
        <f>'Sales Forecast'!AU11*Assumptions!$C$12+'Sales Forecast'!AT11*Assumptions!$D$12+'Sales Forecast'!AS11*Assumptions!$E$12+'Sales Forecast'!AR11*Assumptions!$F$12+'Sales Forecast'!AQ11*Assumptions!$G$12+'Sales Forecast'!AP11*Assumptions!$H$12+'Sales Forecast'!AO11*Assumptions!$I$12</f>
        <v/>
      </c>
      <c r="AV13" s="17">
        <f>'Sales Forecast'!AV11*Assumptions!$C$12+'Sales Forecast'!AU11*Assumptions!$D$12+'Sales Forecast'!AT11*Assumptions!$E$12+'Sales Forecast'!AS11*Assumptions!$F$12+'Sales Forecast'!AR11*Assumptions!$G$12+'Sales Forecast'!AQ11*Assumptions!$H$12+'Sales Forecast'!AP11*Assumptions!$I$12</f>
        <v/>
      </c>
      <c r="AW13" s="17">
        <f>'Sales Forecast'!AW11*Assumptions!$C$12+'Sales Forecast'!AV11*Assumptions!$D$12+'Sales Forecast'!AU11*Assumptions!$E$12+'Sales Forecast'!AT11*Assumptions!$F$12+'Sales Forecast'!AS11*Assumptions!$G$12+'Sales Forecast'!AR11*Assumptions!$H$12+'Sales Forecast'!AQ11*Assumptions!$I$12</f>
        <v/>
      </c>
      <c r="AX13" s="17">
        <f>'Sales Forecast'!AX11*Assumptions!$C$12+'Sales Forecast'!AW11*Assumptions!$D$12+'Sales Forecast'!AV11*Assumptions!$E$12+'Sales Forecast'!AU11*Assumptions!$F$12+'Sales Forecast'!AT11*Assumptions!$G$12+'Sales Forecast'!AS11*Assumptions!$H$12+'Sales Forecast'!AR11*Assumptions!$I$12</f>
        <v/>
      </c>
      <c r="AY13" s="17">
        <f>'Sales Forecast'!AY11*Assumptions!$C$12+'Sales Forecast'!AX11*Assumptions!$D$12+'Sales Forecast'!AW11*Assumptions!$E$12+'Sales Forecast'!AV11*Assumptions!$F$12+'Sales Forecast'!AU11*Assumptions!$G$12+'Sales Forecast'!AT11*Assumptions!$H$12+'Sales Forecast'!AS11*Assumptions!$I$12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99</v>
      </c>
      <c r="H14" s="19" t="n">
        <v>3800.92</v>
      </c>
      <c r="I14" s="19" t="n">
        <v>4451.12</v>
      </c>
      <c r="J14" s="19" t="n">
        <v>6788.27</v>
      </c>
      <c r="K14" s="19" t="n">
        <v>9331.309999999999</v>
      </c>
      <c r="L14" s="19" t="n">
        <v>7508.05</v>
      </c>
      <c r="M14" s="19" t="n">
        <v>8204.91</v>
      </c>
      <c r="N14" s="19" t="n">
        <v>8263.42</v>
      </c>
      <c r="O14" s="19" t="n">
        <v>13964.62</v>
      </c>
      <c r="P14" s="19" t="n">
        <v>9500.950000000001</v>
      </c>
      <c r="Q14" s="19" t="n">
        <v>7536.03</v>
      </c>
      <c r="R14" s="19" t="n">
        <v>6801.83</v>
      </c>
      <c r="S14" s="19" t="n">
        <v>6492.85</v>
      </c>
      <c r="T14" s="84" t="n">
        <v>10977.55</v>
      </c>
      <c r="U14" s="20">
        <f>U17*0.934564</f>
        <v/>
      </c>
      <c r="V14" s="20">
        <f>V17*0.934564</f>
        <v/>
      </c>
      <c r="W14" s="20">
        <f>W17*0.934564</f>
        <v/>
      </c>
      <c r="X14" s="20">
        <f>X17*0.934564</f>
        <v/>
      </c>
      <c r="Y14" s="20">
        <f>Y17*0.934564</f>
        <v/>
      </c>
      <c r="Z14" s="20">
        <f>Z17*0.934564</f>
        <v/>
      </c>
      <c r="AA14" s="20">
        <f>AA17*0.934564</f>
        <v/>
      </c>
      <c r="AB14" s="20">
        <f>AB17*0.934564</f>
        <v/>
      </c>
      <c r="AC14" s="20">
        <f>AC17*0.934564</f>
        <v/>
      </c>
      <c r="AD14" s="20">
        <f>AD17*0.934564</f>
        <v/>
      </c>
      <c r="AE14" s="20">
        <f>AE17*0.934564</f>
        <v/>
      </c>
      <c r="AF14" s="20">
        <f>AF17*0.934564</f>
        <v/>
      </c>
      <c r="AG14" s="20">
        <f>AG17*0.934564</f>
        <v/>
      </c>
      <c r="AH14" s="20">
        <f>AH17*0.934564</f>
        <v/>
      </c>
      <c r="AI14" s="20">
        <f>AI17*0.934564</f>
        <v/>
      </c>
      <c r="AJ14" s="20">
        <f>AJ17*0.934564</f>
        <v/>
      </c>
      <c r="AK14" s="20">
        <f>AK17*0.934564</f>
        <v/>
      </c>
      <c r="AL14" s="20">
        <f>AL17*0.934564</f>
        <v/>
      </c>
      <c r="AM14" s="20">
        <f>AM17*0.934564</f>
        <v/>
      </c>
      <c r="AN14" s="20">
        <f>AN17*0.934564</f>
        <v/>
      </c>
      <c r="AO14" s="20">
        <f>AO17*0.934564</f>
        <v/>
      </c>
      <c r="AP14" s="20">
        <f>AP17*0.934564</f>
        <v/>
      </c>
      <c r="AQ14" s="20">
        <f>AQ17*0.934564</f>
        <v/>
      </c>
      <c r="AR14" s="20">
        <f>AR17*0.934564</f>
        <v/>
      </c>
      <c r="AS14" s="20">
        <f>AS17*0.934564</f>
        <v/>
      </c>
      <c r="AT14" s="20">
        <f>AT17*0.934564</f>
        <v/>
      </c>
      <c r="AU14" s="20">
        <f>AU17*0.934564</f>
        <v/>
      </c>
      <c r="AV14" s="20">
        <f>AV17*0.934564</f>
        <v/>
      </c>
      <c r="AW14" s="20">
        <f>AW17*0.934564</f>
        <v/>
      </c>
      <c r="AX14" s="20">
        <f>AX17*0.934564</f>
        <v/>
      </c>
      <c r="AY14" s="20">
        <f>AY17*0.934564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510</v>
      </c>
      <c r="I15" s="19" t="n">
        <v>1460</v>
      </c>
      <c r="J15" s="19" t="n">
        <v>620</v>
      </c>
      <c r="K15" s="19" t="n">
        <v>380</v>
      </c>
      <c r="L15" s="19" t="n">
        <v>1003.13</v>
      </c>
      <c r="M15" s="19" t="n">
        <v>1730</v>
      </c>
      <c r="N15" s="19" t="n">
        <v>2243.96</v>
      </c>
      <c r="O15" s="19" t="n">
        <v>2610</v>
      </c>
      <c r="P15" s="19" t="n">
        <v>220</v>
      </c>
      <c r="Q15" s="19" t="n">
        <v>93.12</v>
      </c>
      <c r="R15" s="19" t="n">
        <v>1195</v>
      </c>
      <c r="S15" s="19" t="n">
        <v>615.63</v>
      </c>
      <c r="T15" s="84" t="n">
        <v>534.38</v>
      </c>
      <c r="U15" s="20">
        <f>U17*0.065436</f>
        <v/>
      </c>
      <c r="V15" s="20">
        <f>V17*0.065436</f>
        <v/>
      </c>
      <c r="W15" s="20">
        <f>W17*0.065436</f>
        <v/>
      </c>
      <c r="X15" s="20">
        <f>X17*0.065436</f>
        <v/>
      </c>
      <c r="Y15" s="20">
        <f>Y17*0.065436</f>
        <v/>
      </c>
      <c r="Z15" s="20">
        <f>Z17*0.065436</f>
        <v/>
      </c>
      <c r="AA15" s="20">
        <f>AA17*0.065436</f>
        <v/>
      </c>
      <c r="AB15" s="20">
        <f>AB17*0.065436</f>
        <v/>
      </c>
      <c r="AC15" s="20">
        <f>AC17*0.065436</f>
        <v/>
      </c>
      <c r="AD15" s="20">
        <f>AD17*0.065436</f>
        <v/>
      </c>
      <c r="AE15" s="20">
        <f>AE17*0.065436</f>
        <v/>
      </c>
      <c r="AF15" s="20">
        <f>AF17*0.065436</f>
        <v/>
      </c>
      <c r="AG15" s="20">
        <f>AG17*0.065436</f>
        <v/>
      </c>
      <c r="AH15" s="20">
        <f>AH17*0.065436</f>
        <v/>
      </c>
      <c r="AI15" s="20">
        <f>AI17*0.065436</f>
        <v/>
      </c>
      <c r="AJ15" s="20">
        <f>AJ17*0.065436</f>
        <v/>
      </c>
      <c r="AK15" s="20">
        <f>AK17*0.065436</f>
        <v/>
      </c>
      <c r="AL15" s="20">
        <f>AL17*0.065436</f>
        <v/>
      </c>
      <c r="AM15" s="20">
        <f>AM17*0.065436</f>
        <v/>
      </c>
      <c r="AN15" s="20">
        <f>AN17*0.065436</f>
        <v/>
      </c>
      <c r="AO15" s="20">
        <f>AO17*0.065436</f>
        <v/>
      </c>
      <c r="AP15" s="20">
        <f>AP17*0.065436</f>
        <v/>
      </c>
      <c r="AQ15" s="20">
        <f>AQ17*0.065436</f>
        <v/>
      </c>
      <c r="AR15" s="20">
        <f>AR17*0.065436</f>
        <v/>
      </c>
      <c r="AS15" s="20">
        <f>AS17*0.065436</f>
        <v/>
      </c>
      <c r="AT15" s="20">
        <f>AT17*0.065436</f>
        <v/>
      </c>
      <c r="AU15" s="20">
        <f>AU17*0.065436</f>
        <v/>
      </c>
      <c r="AV15" s="20">
        <f>AV17*0.065436</f>
        <v/>
      </c>
      <c r="AW15" s="20">
        <f>AW17*0.065436</f>
        <v/>
      </c>
      <c r="AX15" s="20">
        <f>AX17*0.065436</f>
        <v/>
      </c>
      <c r="AY15" s="20">
        <f>AY17*0.065436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99</v>
      </c>
      <c r="H17" s="35" t="n">
        <v>4310.92</v>
      </c>
      <c r="I17" s="35" t="n">
        <v>5911.12</v>
      </c>
      <c r="J17" s="35" t="n">
        <v>7408.27</v>
      </c>
      <c r="K17" s="35" t="n">
        <v>9711.309999999999</v>
      </c>
      <c r="L17" s="35" t="n">
        <v>8511.18</v>
      </c>
      <c r="M17" s="35" t="n">
        <v>9934.91</v>
      </c>
      <c r="N17" s="35" t="n">
        <v>10507.38</v>
      </c>
      <c r="O17" s="35" t="n">
        <v>17241.29</v>
      </c>
      <c r="P17" s="35" t="n">
        <v>9720.950000000001</v>
      </c>
      <c r="Q17" s="35" t="n">
        <v>7629.15</v>
      </c>
      <c r="R17" s="35" t="n">
        <v>7996.83</v>
      </c>
      <c r="S17" s="35" t="n">
        <v>7108.48</v>
      </c>
      <c r="T17" s="85" t="n">
        <v>11511.93</v>
      </c>
      <c r="U17" s="17">
        <f>'Sales Forecast'!U11*Assumptions!$C$13+'Sales Forecast'!T11*Assumptions!$D$13+'Sales Forecast'!S11*Assumptions!$E$13+'Sales Forecast'!R11*Assumptions!$F$13+'Sales Forecast'!Q11*Assumptions!$G$13+'Sales Forecast'!P11*Assumptions!$H$13+'Sales Forecast'!U107*Assumptions!$I$13</f>
        <v/>
      </c>
      <c r="V17" s="17">
        <f>'Sales Forecast'!V11*Assumptions!$C$13+'Sales Forecast'!U11*Assumptions!$D$13+'Sales Forecast'!T11*Assumptions!$E$13+'Sales Forecast'!S11*Assumptions!$F$13+'Sales Forecast'!R11*Assumptions!$G$13+'Sales Forecast'!Q11*Assumptions!$H$13+'Sales Forecast'!P11*Assumptions!$I$13</f>
        <v/>
      </c>
      <c r="W17" s="17">
        <f>'Sales Forecast'!W11*Assumptions!$C$13+'Sales Forecast'!V11*Assumptions!$D$13+'Sales Forecast'!U11*Assumptions!$E$13+'Sales Forecast'!T11*Assumptions!$F$13+'Sales Forecast'!S11*Assumptions!$G$13+'Sales Forecast'!R11*Assumptions!$H$13+'Sales Forecast'!Q11*Assumptions!$I$13</f>
        <v/>
      </c>
      <c r="X17" s="17">
        <f>'Sales Forecast'!X11*Assumptions!$C$13+'Sales Forecast'!W11*Assumptions!$D$13+'Sales Forecast'!V11*Assumptions!$E$13+'Sales Forecast'!U11*Assumptions!$F$13+'Sales Forecast'!T11*Assumptions!$G$13+'Sales Forecast'!S11*Assumptions!$H$13+'Sales Forecast'!R11*Assumptions!$I$13</f>
        <v/>
      </c>
      <c r="Y17" s="17">
        <f>'Sales Forecast'!Y11*Assumptions!$C$13+'Sales Forecast'!X11*Assumptions!$D$13+'Sales Forecast'!W11*Assumptions!$E$13+'Sales Forecast'!V11*Assumptions!$F$13+'Sales Forecast'!U11*Assumptions!$G$13+'Sales Forecast'!T11*Assumptions!$H$13+'Sales Forecast'!S11*Assumptions!$I$13</f>
        <v/>
      </c>
      <c r="Z17" s="17">
        <f>'Sales Forecast'!Z11*Assumptions!$C$13+'Sales Forecast'!Y11*Assumptions!$D$13+'Sales Forecast'!X11*Assumptions!$E$13+'Sales Forecast'!W11*Assumptions!$F$13+'Sales Forecast'!V11*Assumptions!$G$13+'Sales Forecast'!U11*Assumptions!$H$13+'Sales Forecast'!T11*Assumptions!$I$13</f>
        <v/>
      </c>
      <c r="AA17" s="17">
        <f>'Sales Forecast'!AA11*Assumptions!$C$13+'Sales Forecast'!Z11*Assumptions!$D$13+'Sales Forecast'!Y11*Assumptions!$E$13+'Sales Forecast'!X11*Assumptions!$F$13+'Sales Forecast'!W11*Assumptions!$G$13+'Sales Forecast'!V11*Assumptions!$H$13+'Sales Forecast'!U11*Assumptions!$I$13</f>
        <v/>
      </c>
      <c r="AB17" s="17">
        <f>'Sales Forecast'!AB11*Assumptions!$C$13+'Sales Forecast'!AA11*Assumptions!$D$13+'Sales Forecast'!Z11*Assumptions!$E$13+'Sales Forecast'!Y11*Assumptions!$F$13+'Sales Forecast'!X11*Assumptions!$G$13+'Sales Forecast'!W11*Assumptions!$H$13+'Sales Forecast'!V11*Assumptions!$I$13</f>
        <v/>
      </c>
      <c r="AC17" s="17">
        <f>'Sales Forecast'!AC11*Assumptions!$C$13+'Sales Forecast'!AB11*Assumptions!$D$13+'Sales Forecast'!AA11*Assumptions!$E$13+'Sales Forecast'!Z11*Assumptions!$F$13+'Sales Forecast'!Y11*Assumptions!$G$13+'Sales Forecast'!X11*Assumptions!$H$13+'Sales Forecast'!W11*Assumptions!$I$13</f>
        <v/>
      </c>
      <c r="AD17" s="17">
        <f>'Sales Forecast'!AD11*Assumptions!$C$13+'Sales Forecast'!AC11*Assumptions!$D$13+'Sales Forecast'!AB11*Assumptions!$E$13+'Sales Forecast'!AA11*Assumptions!$F$13+'Sales Forecast'!Z11*Assumptions!$G$13+'Sales Forecast'!Y11*Assumptions!$H$13+'Sales Forecast'!X11*Assumptions!$I$13</f>
        <v/>
      </c>
      <c r="AE17" s="17">
        <f>'Sales Forecast'!AE11*Assumptions!$C$13+'Sales Forecast'!AD11*Assumptions!$D$13+'Sales Forecast'!AC11*Assumptions!$E$13+'Sales Forecast'!AB11*Assumptions!$F$13+'Sales Forecast'!AA11*Assumptions!$G$13+'Sales Forecast'!Z11*Assumptions!$H$13+'Sales Forecast'!Y11*Assumptions!$I$13</f>
        <v/>
      </c>
      <c r="AF17" s="17">
        <f>'Sales Forecast'!AF11*Assumptions!$C$13+'Sales Forecast'!AE11*Assumptions!$D$13+'Sales Forecast'!AD11*Assumptions!$E$13+'Sales Forecast'!AC11*Assumptions!$F$13+'Sales Forecast'!AB11*Assumptions!$G$13+'Sales Forecast'!AA11*Assumptions!$H$13+'Sales Forecast'!Z11*Assumptions!$I$13</f>
        <v/>
      </c>
      <c r="AG17" s="17">
        <f>'Sales Forecast'!AG11*Assumptions!$C$13+'Sales Forecast'!AF11*Assumptions!$D$13+'Sales Forecast'!AE11*Assumptions!$E$13+'Sales Forecast'!AD11*Assumptions!$F$13+'Sales Forecast'!AC11*Assumptions!$G$13+'Sales Forecast'!AB11*Assumptions!$H$13+'Sales Forecast'!AA11*Assumptions!$I$13</f>
        <v/>
      </c>
      <c r="AH17" s="17">
        <f>'Sales Forecast'!AH11*Assumptions!$C$13+'Sales Forecast'!AG11*Assumptions!$D$13+'Sales Forecast'!AF11*Assumptions!$E$13+'Sales Forecast'!AE11*Assumptions!$F$13+'Sales Forecast'!AD11*Assumptions!$G$13+'Sales Forecast'!AC11*Assumptions!$H$13+'Sales Forecast'!AB11*Assumptions!$I$13</f>
        <v/>
      </c>
      <c r="AI17" s="17">
        <f>'Sales Forecast'!AI11*Assumptions!$C$13+'Sales Forecast'!AH11*Assumptions!$D$13+'Sales Forecast'!AG11*Assumptions!$E$13+'Sales Forecast'!AF11*Assumptions!$F$13+'Sales Forecast'!AE11*Assumptions!$G$13+'Sales Forecast'!AD11*Assumptions!$H$13+'Sales Forecast'!AC11*Assumptions!$I$13</f>
        <v/>
      </c>
      <c r="AJ17" s="17">
        <f>'Sales Forecast'!AJ11*Assumptions!$C$13+'Sales Forecast'!AI11*Assumptions!$D$13+'Sales Forecast'!AH11*Assumptions!$E$13+'Sales Forecast'!AG11*Assumptions!$F$13+'Sales Forecast'!AF11*Assumptions!$G$13+'Sales Forecast'!AE11*Assumptions!$H$13+'Sales Forecast'!AD11*Assumptions!$I$13</f>
        <v/>
      </c>
      <c r="AK17" s="17">
        <f>'Sales Forecast'!AK11*Assumptions!$C$13+'Sales Forecast'!AJ11*Assumptions!$D$13+'Sales Forecast'!AI11*Assumptions!$E$13+'Sales Forecast'!AH11*Assumptions!$F$13+'Sales Forecast'!AG11*Assumptions!$G$13+'Sales Forecast'!AF11*Assumptions!$H$13+'Sales Forecast'!AE11*Assumptions!$I$13</f>
        <v/>
      </c>
      <c r="AL17" s="17">
        <f>'Sales Forecast'!AL11*Assumptions!$C$13+'Sales Forecast'!AK11*Assumptions!$D$13+'Sales Forecast'!AJ11*Assumptions!$E$13+'Sales Forecast'!AI11*Assumptions!$F$13+'Sales Forecast'!AH11*Assumptions!$G$13+'Sales Forecast'!AG11*Assumptions!$H$13+'Sales Forecast'!AF11*Assumptions!$I$13</f>
        <v/>
      </c>
      <c r="AM17" s="17">
        <f>'Sales Forecast'!AM11*Assumptions!$C$13+'Sales Forecast'!AL11*Assumptions!$D$13+'Sales Forecast'!AK11*Assumptions!$E$13+'Sales Forecast'!AJ11*Assumptions!$F$13+'Sales Forecast'!AI11*Assumptions!$G$13+'Sales Forecast'!AH11*Assumptions!$H$13+'Sales Forecast'!AG11*Assumptions!$I$13</f>
        <v/>
      </c>
      <c r="AN17" s="17">
        <f>'Sales Forecast'!AN11*Assumptions!$C$13+'Sales Forecast'!AM11*Assumptions!$D$13+'Sales Forecast'!AL11*Assumptions!$E$13+'Sales Forecast'!AK11*Assumptions!$F$13+'Sales Forecast'!AJ11*Assumptions!$G$13+'Sales Forecast'!AI11*Assumptions!$H$13+'Sales Forecast'!AH11*Assumptions!$I$13</f>
        <v/>
      </c>
      <c r="AO17" s="17">
        <f>'Sales Forecast'!AO11*Assumptions!$C$13+'Sales Forecast'!AN11*Assumptions!$D$13+'Sales Forecast'!AM11*Assumptions!$E$13+'Sales Forecast'!AL11*Assumptions!$F$13+'Sales Forecast'!AK11*Assumptions!$G$13+'Sales Forecast'!AJ11*Assumptions!$H$13+'Sales Forecast'!AI11*Assumptions!$I$13</f>
        <v/>
      </c>
      <c r="AP17" s="17">
        <f>'Sales Forecast'!AP11*Assumptions!$C$13+'Sales Forecast'!AO11*Assumptions!$D$13+'Sales Forecast'!AN11*Assumptions!$E$13+'Sales Forecast'!AM11*Assumptions!$F$13+'Sales Forecast'!AL11*Assumptions!$G$13+'Sales Forecast'!AK11*Assumptions!$H$13+'Sales Forecast'!AJ11*Assumptions!$I$13</f>
        <v/>
      </c>
      <c r="AQ17" s="17">
        <f>'Sales Forecast'!AQ11*Assumptions!$C$13+'Sales Forecast'!AP11*Assumptions!$D$13+'Sales Forecast'!AO11*Assumptions!$E$13+'Sales Forecast'!AN11*Assumptions!$F$13+'Sales Forecast'!AM11*Assumptions!$G$13+'Sales Forecast'!AL11*Assumptions!$H$13+'Sales Forecast'!AK11*Assumptions!$I$13</f>
        <v/>
      </c>
      <c r="AR17" s="17">
        <f>'Sales Forecast'!AR11*Assumptions!$C$13+'Sales Forecast'!AQ11*Assumptions!$D$13+'Sales Forecast'!AP11*Assumptions!$E$13+'Sales Forecast'!AO11*Assumptions!$F$13+'Sales Forecast'!AN11*Assumptions!$G$13+'Sales Forecast'!AM11*Assumptions!$H$13+'Sales Forecast'!AL11*Assumptions!$I$13</f>
        <v/>
      </c>
      <c r="AS17" s="17">
        <f>'Sales Forecast'!AS11*Assumptions!$C$13+'Sales Forecast'!AR11*Assumptions!$D$13+'Sales Forecast'!AQ11*Assumptions!$E$13+'Sales Forecast'!AP11*Assumptions!$F$13+'Sales Forecast'!AO11*Assumptions!$G$13+'Sales Forecast'!AN11*Assumptions!$H$13+'Sales Forecast'!AM11*Assumptions!$I$13</f>
        <v/>
      </c>
      <c r="AT17" s="17">
        <f>'Sales Forecast'!AT11*Assumptions!$C$13+'Sales Forecast'!AS11*Assumptions!$D$13+'Sales Forecast'!AR11*Assumptions!$E$13+'Sales Forecast'!AQ11*Assumptions!$F$13+'Sales Forecast'!AP11*Assumptions!$G$13+'Sales Forecast'!AO11*Assumptions!$H$13+'Sales Forecast'!AN11*Assumptions!$I$13</f>
        <v/>
      </c>
      <c r="AU17" s="17">
        <f>'Sales Forecast'!AU11*Assumptions!$C$13+'Sales Forecast'!AT11*Assumptions!$D$13+'Sales Forecast'!AS11*Assumptions!$E$13+'Sales Forecast'!AR11*Assumptions!$F$13+'Sales Forecast'!AQ11*Assumptions!$G$13+'Sales Forecast'!AP11*Assumptions!$H$13+'Sales Forecast'!AO11*Assumptions!$I$13</f>
        <v/>
      </c>
      <c r="AV17" s="17">
        <f>'Sales Forecast'!AV11*Assumptions!$C$13+'Sales Forecast'!AU11*Assumptions!$D$13+'Sales Forecast'!AT11*Assumptions!$E$13+'Sales Forecast'!AS11*Assumptions!$F$13+'Sales Forecast'!AR11*Assumptions!$G$13+'Sales Forecast'!AQ11*Assumptions!$H$13+'Sales Forecast'!AP11*Assumptions!$I$13</f>
        <v/>
      </c>
      <c r="AW17" s="17">
        <f>'Sales Forecast'!AW11*Assumptions!$C$13+'Sales Forecast'!AV11*Assumptions!$D$13+'Sales Forecast'!AU11*Assumptions!$E$13+'Sales Forecast'!AT11*Assumptions!$F$13+'Sales Forecast'!AS11*Assumptions!$G$13+'Sales Forecast'!AR11*Assumptions!$H$13+'Sales Forecast'!AQ11*Assumptions!$I$13</f>
        <v/>
      </c>
      <c r="AX17" s="17">
        <f>'Sales Forecast'!AX11*Assumptions!$C$13+'Sales Forecast'!AW11*Assumptions!$D$13+'Sales Forecast'!AV11*Assumptions!$E$13+'Sales Forecast'!AU11*Assumptions!$F$13+'Sales Forecast'!AT11*Assumptions!$G$13+'Sales Forecast'!AS11*Assumptions!$H$13+'Sales Forecast'!AR11*Assumptions!$I$13</f>
        <v/>
      </c>
      <c r="AY17" s="17">
        <f>'Sales Forecast'!AY11*Assumptions!$C$13+'Sales Forecast'!AX11*Assumptions!$D$13+'Sales Forecast'!AW11*Assumptions!$E$13+'Sales Forecast'!AV11*Assumptions!$F$13+'Sales Forecast'!AU11*Assumptions!$G$13+'Sales Forecast'!AT11*Assumptions!$H$13+'Sales Forecast'!AS11*Assumptions!$I$13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2130</v>
      </c>
      <c r="H18" s="19" t="n">
        <v>2650</v>
      </c>
      <c r="I18" s="19" t="n">
        <v>2234</v>
      </c>
      <c r="J18" s="19" t="n">
        <v>2434</v>
      </c>
      <c r="K18" s="19" t="n">
        <v>2400</v>
      </c>
      <c r="L18" s="19" t="n">
        <v>1329</v>
      </c>
      <c r="M18" s="19" t="n">
        <v>1182</v>
      </c>
      <c r="N18" s="19" t="n">
        <v>2195</v>
      </c>
      <c r="O18" s="19" t="n">
        <v>1262</v>
      </c>
      <c r="P18" s="19" t="n">
        <v>1443</v>
      </c>
      <c r="Q18" s="19" t="n">
        <v>1360</v>
      </c>
      <c r="R18" s="19" t="n">
        <v>1184</v>
      </c>
      <c r="S18" s="19" t="n">
        <v>994</v>
      </c>
      <c r="T18" s="84" t="n">
        <v>1714</v>
      </c>
      <c r="U18" s="20">
        <f>1245.25</f>
        <v/>
      </c>
      <c r="V18" s="20">
        <f>1245.25</f>
        <v/>
      </c>
      <c r="W18" s="20">
        <f>1245.25</f>
        <v/>
      </c>
      <c r="X18" s="20">
        <f>1245.25</f>
        <v/>
      </c>
      <c r="Y18" s="20">
        <f>1245.25</f>
        <v/>
      </c>
      <c r="Z18" s="20">
        <f>1245.25</f>
        <v/>
      </c>
      <c r="AA18" s="20">
        <f>1245.25</f>
        <v/>
      </c>
      <c r="AB18" s="20">
        <f>1245.25</f>
        <v/>
      </c>
      <c r="AC18" s="20">
        <f>1245.25</f>
        <v/>
      </c>
      <c r="AD18" s="20">
        <f>1245.25</f>
        <v/>
      </c>
      <c r="AE18" s="20">
        <f>1245.25</f>
        <v/>
      </c>
      <c r="AF18" s="20">
        <f>1245.25</f>
        <v/>
      </c>
      <c r="AG18" s="20">
        <f>1245.25</f>
        <v/>
      </c>
      <c r="AH18" s="20">
        <f>1245.25</f>
        <v/>
      </c>
      <c r="AI18" s="20">
        <f>1245.25</f>
        <v/>
      </c>
      <c r="AJ18" s="20">
        <f>1245.25</f>
        <v/>
      </c>
      <c r="AK18" s="20">
        <f>1245.25</f>
        <v/>
      </c>
      <c r="AL18" s="20">
        <f>1245.25</f>
        <v/>
      </c>
      <c r="AM18" s="20">
        <f>1245.25</f>
        <v/>
      </c>
      <c r="AN18" s="20">
        <f>1245.25</f>
        <v/>
      </c>
      <c r="AO18" s="20">
        <f>1245.25</f>
        <v/>
      </c>
      <c r="AP18" s="20">
        <f>1245.25</f>
        <v/>
      </c>
      <c r="AQ18" s="20">
        <f>1245.25</f>
        <v/>
      </c>
      <c r="AR18" s="20">
        <f>1245.25</f>
        <v/>
      </c>
      <c r="AS18" s="20">
        <f>1245.25</f>
        <v/>
      </c>
      <c r="AT18" s="20">
        <f>1245.25</f>
        <v/>
      </c>
      <c r="AU18" s="20">
        <f>1245.25</f>
        <v/>
      </c>
      <c r="AV18" s="20">
        <f>1245.25</f>
        <v/>
      </c>
      <c r="AW18" s="20">
        <f>1245.25</f>
        <v/>
      </c>
      <c r="AX18" s="20">
        <f>1245.25</f>
        <v/>
      </c>
      <c r="AY18" s="20">
        <f>1245.25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-219.01</v>
      </c>
      <c r="I19" s="19" t="n">
        <v>-846</v>
      </c>
      <c r="J19" s="19" t="n">
        <v>-697</v>
      </c>
      <c r="K19" s="19" t="n">
        <v>0</v>
      </c>
      <c r="L19" s="19" t="n">
        <v>-245.01</v>
      </c>
      <c r="M19" s="19" t="n">
        <v>-509</v>
      </c>
      <c r="N19" s="19" t="n">
        <v>-1612</v>
      </c>
      <c r="O19" s="19" t="n">
        <v>-1447.21</v>
      </c>
      <c r="P19" s="19" t="n">
        <v>897.45</v>
      </c>
      <c r="Q19" s="19" t="n">
        <v>875</v>
      </c>
      <c r="R19" s="19" t="n">
        <v>1683.6</v>
      </c>
      <c r="S19" s="19" t="n">
        <v>2190</v>
      </c>
      <c r="T19" s="84" t="n">
        <v>160</v>
      </c>
      <c r="U19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Forecast'!P11*Assumptions!$H$13+1245.25)*Assumptions!$C$17</f>
        <v/>
      </c>
      <c r="V19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Forecast'!P11*Assumptions!$I$13+1245.25)*Assumptions!$C$17</f>
        <v/>
      </c>
      <c r="W19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Forecast'!Q11*Assumptions!$I$13+1245.25)*Assumptions!$C$17</f>
        <v/>
      </c>
      <c r="X19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Forecast'!R11*Assumptions!$I$13+1245.25)*Assumptions!$C$17</f>
        <v/>
      </c>
      <c r="Y19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Forecast'!S11*Assumptions!$I$13+1245.25)*Assumptions!$C$17</f>
        <v/>
      </c>
      <c r="Z19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Forecast'!T11*Assumptions!$I$13+1245.25)*Assumptions!$C$17</f>
        <v/>
      </c>
      <c r="AA19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Forecast'!U11*Assumptions!$I$13+1245.25)*Assumptions!$C$17</f>
        <v/>
      </c>
      <c r="AB19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Forecast'!V11*Assumptions!$I$13+1245.25)*Assumptions!$C$17</f>
        <v/>
      </c>
      <c r="AC19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Forecast'!W11*Assumptions!$I$13+1245.25)*Assumptions!$C$17</f>
        <v/>
      </c>
      <c r="AD19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Forecast'!X11*Assumptions!$I$13+1245.25)*Assumptions!$C$17</f>
        <v/>
      </c>
      <c r="AE19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Forecast'!Y11*Assumptions!$I$13+1245.25)*Assumptions!$C$17</f>
        <v/>
      </c>
      <c r="AF19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Forecast'!Z11*Assumptions!$I$13+1245.25)*Assumptions!$C$17</f>
        <v/>
      </c>
      <c r="AG19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Forecast'!AA11*Assumptions!$I$13+1245.25)*Assumptions!$C$17</f>
        <v/>
      </c>
      <c r="AH19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Forecast'!AB11*Assumptions!$I$13+1245.25)*Assumptions!$C$17</f>
        <v/>
      </c>
      <c r="AI19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Forecast'!AC11*Assumptions!$I$13+1245.25)*Assumptions!$C$17</f>
        <v/>
      </c>
      <c r="AJ19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Forecast'!AD11*Assumptions!$I$13+1245.25)*Assumptions!$C$17</f>
        <v/>
      </c>
      <c r="AK19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Forecast'!AE11*Assumptions!$I$13+1245.25)*Assumptions!$C$17</f>
        <v/>
      </c>
      <c r="AL19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Forecast'!AF11*Assumptions!$I$13+1245.25)*Assumptions!$C$17</f>
        <v/>
      </c>
      <c r="AM19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Forecast'!AG11*Assumptions!$I$13+1245.25)*Assumptions!$C$17</f>
        <v/>
      </c>
      <c r="AN19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Forecast'!AH11*Assumptions!$I$13+1245.25)*Assumptions!$C$17</f>
        <v/>
      </c>
      <c r="AO19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Forecast'!AI11*Assumptions!$I$13+1245.25)*Assumptions!$C$17</f>
        <v/>
      </c>
      <c r="AP19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Forecast'!AJ11*Assumptions!$I$13+1245.25)*Assumptions!$C$17</f>
        <v/>
      </c>
      <c r="AQ19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Forecast'!AK11*Assumptions!$I$13+1245.25)*Assumptions!$C$17</f>
        <v/>
      </c>
      <c r="AR19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Forecast'!AL11*Assumptions!$I$13+1245.25)*Assumptions!$C$17</f>
        <v/>
      </c>
      <c r="AS19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Forecast'!AM11*Assumptions!$I$13+1245.25)*Assumptions!$C$17</f>
        <v/>
      </c>
      <c r="AT19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Forecast'!AN11*Assumptions!$I$13+1245.25)*Assumptions!$C$17</f>
        <v/>
      </c>
      <c r="AU19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Forecast'!AO11*Assumptions!$I$13+1245.25)*Assumptions!$C$17</f>
        <v/>
      </c>
      <c r="AV19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Forecast'!AP11*Assumptions!$I$13+1245.25)*Assumptions!$C$17</f>
        <v/>
      </c>
      <c r="AW19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Forecast'!AQ11*Assumptions!$I$13+1245.25)*Assumptions!$C$17</f>
        <v/>
      </c>
      <c r="AX19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Forecast'!AR11*Assumptions!$I$13+1245.25)*Assumptions!$C$17</f>
        <v/>
      </c>
      <c r="AY19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-840</v>
      </c>
      <c r="G20" s="19" t="n">
        <v>-13162.85</v>
      </c>
      <c r="H20" s="19" t="n">
        <v>-11789.3</v>
      </c>
      <c r="I20" s="19" t="n">
        <v>-8132.8</v>
      </c>
      <c r="J20" s="19" t="n">
        <v>-11151</v>
      </c>
      <c r="K20" s="19" t="n">
        <v>-7268.6</v>
      </c>
      <c r="L20" s="19" t="n">
        <v>-4290.4</v>
      </c>
      <c r="M20" s="19" t="n">
        <v>-5537.9</v>
      </c>
      <c r="N20" s="19" t="n">
        <v>-5153.1</v>
      </c>
      <c r="O20" s="19" t="n">
        <v>-3651.5</v>
      </c>
      <c r="P20" s="19" t="n">
        <v>3636.6</v>
      </c>
      <c r="Q20" s="19" t="n">
        <v>4956.2</v>
      </c>
      <c r="R20" s="19" t="n">
        <v>3425.7</v>
      </c>
      <c r="S20" s="19" t="n">
        <v>8456.1</v>
      </c>
      <c r="T20" s="84" t="n">
        <v>3538.4</v>
      </c>
      <c r="U20" s="20">
        <f>('Sales Forecast'!U11*Assumptions!$C$12+'Sales Forecast'!T11*Assumptions!$D$12+'Sales Forecast'!S11*Assumptions!$E$12+'Sales Forecast'!R11*Assumptions!$F$12+'Sales Forecast'!Q11*Assumptions!$G$12+'Sales Forecast'!P11*Assumptions!$H$12+'Sales Forecast'!U11*Assumptions!$C$13+'Sales Forecast'!T11*Assumptions!$D$13+'Sales Forecast'!S11*Assumptions!$E$13+'Sales Forecast'!R11*Assumptions!$F$13+'Sales Forecast'!Q11*Assumptions!$G$13+'Sales Forecast'!P11*Assumptions!$H$13+1245.25)*Assumptions!$C$18</f>
        <v/>
      </c>
      <c r="V20" s="20">
        <f>('Sales Forecast'!V11*Assumptions!$C$12+'Sales Forecast'!U11*Assumptions!$D$12+'Sales Forecast'!T11*Assumptions!$E$12+'Sales Forecast'!S11*Assumptions!$F$12+'Sales Forecast'!R11*Assumptions!$G$12+'Sales Forecast'!Q11*Assumptions!$H$12+'Sales Forecast'!P11*Assumptions!$I$12+'Sales Forecast'!V11*Assumptions!$C$13+'Sales Forecast'!U11*Assumptions!$D$13+'Sales Forecast'!T11*Assumptions!$E$13+'Sales Forecast'!S11*Assumptions!$F$13+'Sales Forecast'!R11*Assumptions!$G$13+'Sales Forecast'!Q11*Assumptions!$H$13+'Sales Forecast'!P11*Assumptions!$I$13+1245.25)*Assumptions!$C$18</f>
        <v/>
      </c>
      <c r="W20" s="20">
        <f>('Sales Forecast'!W11*Assumptions!$C$12+'Sales Forecast'!V11*Assumptions!$D$12+'Sales Forecast'!U11*Assumptions!$E$12+'Sales Forecast'!T11*Assumptions!$F$12+'Sales Forecast'!S11*Assumptions!$G$12+'Sales Forecast'!R11*Assumptions!$H$12+'Sales Forecast'!Q11*Assumptions!$I$12+'Sales Forecast'!W11*Assumptions!$C$13+'Sales Forecast'!V11*Assumptions!$D$13+'Sales Forecast'!U11*Assumptions!$E$13+'Sales Forecast'!T11*Assumptions!$F$13+'Sales Forecast'!S11*Assumptions!$G$13+'Sales Forecast'!R11*Assumptions!$H$13+'Sales Forecast'!Q11*Assumptions!$I$13+1245.25)*Assumptions!$C$18</f>
        <v/>
      </c>
      <c r="X20" s="20">
        <f>('Sales Forecast'!X11*Assumptions!$C$12+'Sales Forecast'!W11*Assumptions!$D$12+'Sales Forecast'!V11*Assumptions!$E$12+'Sales Forecast'!U11*Assumptions!$F$12+'Sales Forecast'!T11*Assumptions!$G$12+'Sales Forecast'!S11*Assumptions!$H$12+'Sales Forecast'!R11*Assumptions!$I$12+'Sales Forecast'!X11*Assumptions!$C$13+'Sales Forecast'!W11*Assumptions!$D$13+'Sales Forecast'!V11*Assumptions!$E$13+'Sales Forecast'!U11*Assumptions!$F$13+'Sales Forecast'!T11*Assumptions!$G$13+'Sales Forecast'!S11*Assumptions!$H$13+'Sales Forecast'!R11*Assumptions!$I$13+1245.25)*Assumptions!$C$18</f>
        <v/>
      </c>
      <c r="Y20" s="20">
        <f>('Sales Forecast'!Y11*Assumptions!$C$12+'Sales Forecast'!X11*Assumptions!$D$12+'Sales Forecast'!W11*Assumptions!$E$12+'Sales Forecast'!V11*Assumptions!$F$12+'Sales Forecast'!U11*Assumptions!$G$12+'Sales Forecast'!T11*Assumptions!$H$12+'Sales Forecast'!S11*Assumptions!$I$12+'Sales Forecast'!Y11*Assumptions!$C$13+'Sales Forecast'!X11*Assumptions!$D$13+'Sales Forecast'!W11*Assumptions!$E$13+'Sales Forecast'!V11*Assumptions!$F$13+'Sales Forecast'!U11*Assumptions!$G$13+'Sales Forecast'!T11*Assumptions!$H$13+'Sales Forecast'!S11*Assumptions!$I$13+1245.25)*Assumptions!$C$18</f>
        <v/>
      </c>
      <c r="Z20" s="20">
        <f>('Sales Forecast'!Z11*Assumptions!$C$12+'Sales Forecast'!Y11*Assumptions!$D$12+'Sales Forecast'!X11*Assumptions!$E$12+'Sales Forecast'!W11*Assumptions!$F$12+'Sales Forecast'!V11*Assumptions!$G$12+'Sales Forecast'!U11*Assumptions!$H$12+'Sales Forecast'!T11*Assumptions!$I$12+'Sales Forecast'!Z11*Assumptions!$C$13+'Sales Forecast'!Y11*Assumptions!$D$13+'Sales Forecast'!X11*Assumptions!$E$13+'Sales Forecast'!W11*Assumptions!$F$13+'Sales Forecast'!V11*Assumptions!$G$13+'Sales Forecast'!U11*Assumptions!$H$13+'Sales Forecast'!T11*Assumptions!$I$13+1245.25)*Assumptions!$C$18</f>
        <v/>
      </c>
      <c r="AA20" s="20">
        <f>('Sales Forecast'!AA11*Assumptions!$C$12+'Sales Forecast'!Z11*Assumptions!$D$12+'Sales Forecast'!Y11*Assumptions!$E$12+'Sales Forecast'!X11*Assumptions!$F$12+'Sales Forecast'!W11*Assumptions!$G$12+'Sales Forecast'!V11*Assumptions!$H$12+'Sales Forecast'!U11*Assumptions!$I$12+'Sales Forecast'!AA11*Assumptions!$C$13+'Sales Forecast'!Z11*Assumptions!$D$13+'Sales Forecast'!Y11*Assumptions!$E$13+'Sales Forecast'!X11*Assumptions!$F$13+'Sales Forecast'!W11*Assumptions!$G$13+'Sales Forecast'!V11*Assumptions!$H$13+'Sales Forecast'!U11*Assumptions!$I$13+1245.25)*Assumptions!$C$18</f>
        <v/>
      </c>
      <c r="AB20" s="20">
        <f>('Sales Forecast'!AB11*Assumptions!$C$12+'Sales Forecast'!AA11*Assumptions!$D$12+'Sales Forecast'!Z11*Assumptions!$E$12+'Sales Forecast'!Y11*Assumptions!$F$12+'Sales Forecast'!X11*Assumptions!$G$12+'Sales Forecast'!W11*Assumptions!$H$12+'Sales Forecast'!V11*Assumptions!$I$12+'Sales Forecast'!AB11*Assumptions!$C$13+'Sales Forecast'!AA11*Assumptions!$D$13+'Sales Forecast'!Z11*Assumptions!$E$13+'Sales Forecast'!Y11*Assumptions!$F$13+'Sales Forecast'!X11*Assumptions!$G$13+'Sales Forecast'!W11*Assumptions!$H$13+'Sales Forecast'!V11*Assumptions!$I$13+1245.25)*Assumptions!$C$18</f>
        <v/>
      </c>
      <c r="AC20" s="20">
        <f>('Sales Forecast'!AC11*Assumptions!$C$12+'Sales Forecast'!AB11*Assumptions!$D$12+'Sales Forecast'!AA11*Assumptions!$E$12+'Sales Forecast'!Z11*Assumptions!$F$12+'Sales Forecast'!Y11*Assumptions!$G$12+'Sales Forecast'!X11*Assumptions!$H$12+'Sales Forecast'!W11*Assumptions!$I$12+'Sales Forecast'!AC11*Assumptions!$C$13+'Sales Forecast'!AB11*Assumptions!$D$13+'Sales Forecast'!AA11*Assumptions!$E$13+'Sales Forecast'!Z11*Assumptions!$F$13+'Sales Forecast'!Y11*Assumptions!$G$13+'Sales Forecast'!X11*Assumptions!$H$13+'Sales Forecast'!W11*Assumptions!$I$13+1245.25)*Assumptions!$C$18</f>
        <v/>
      </c>
      <c r="AD20" s="20">
        <f>('Sales Forecast'!AD11*Assumptions!$C$12+'Sales Forecast'!AC11*Assumptions!$D$12+'Sales Forecast'!AB11*Assumptions!$E$12+'Sales Forecast'!AA11*Assumptions!$F$12+'Sales Forecast'!Z11*Assumptions!$G$12+'Sales Forecast'!Y11*Assumptions!$H$12+'Sales Forecast'!X11*Assumptions!$I$12+'Sales Forecast'!AD11*Assumptions!$C$13+'Sales Forecast'!AC11*Assumptions!$D$13+'Sales Forecast'!AB11*Assumptions!$E$13+'Sales Forecast'!AA11*Assumptions!$F$13+'Sales Forecast'!Z11*Assumptions!$G$13+'Sales Forecast'!Y11*Assumptions!$H$13+'Sales Forecast'!X11*Assumptions!$I$13+1245.25)*Assumptions!$C$18</f>
        <v/>
      </c>
      <c r="AE20" s="20">
        <f>('Sales Forecast'!AE11*Assumptions!$C$12+'Sales Forecast'!AD11*Assumptions!$D$12+'Sales Forecast'!AC11*Assumptions!$E$12+'Sales Forecast'!AB11*Assumptions!$F$12+'Sales Forecast'!AA11*Assumptions!$G$12+'Sales Forecast'!Z11*Assumptions!$H$12+'Sales Forecast'!Y11*Assumptions!$I$12+'Sales Forecast'!AE11*Assumptions!$C$13+'Sales Forecast'!AD11*Assumptions!$D$13+'Sales Forecast'!AC11*Assumptions!$E$13+'Sales Forecast'!AB11*Assumptions!$F$13+'Sales Forecast'!AA11*Assumptions!$G$13+'Sales Forecast'!Z11*Assumptions!$H$13+'Sales Forecast'!Y11*Assumptions!$I$13+1245.25)*Assumptions!$C$18</f>
        <v/>
      </c>
      <c r="AF20" s="20">
        <f>('Sales Forecast'!AF11*Assumptions!$C$12+'Sales Forecast'!AE11*Assumptions!$D$12+'Sales Forecast'!AD11*Assumptions!$E$12+'Sales Forecast'!AC11*Assumptions!$F$12+'Sales Forecast'!AB11*Assumptions!$G$12+'Sales Forecast'!AA11*Assumptions!$H$12+'Sales Forecast'!Z11*Assumptions!$I$12+'Sales Forecast'!AF11*Assumptions!$C$13+'Sales Forecast'!AE11*Assumptions!$D$13+'Sales Forecast'!AD11*Assumptions!$E$13+'Sales Forecast'!AC11*Assumptions!$F$13+'Sales Forecast'!AB11*Assumptions!$G$13+'Sales Forecast'!AA11*Assumptions!$H$13+'Sales Forecast'!Z11*Assumptions!$I$13+1245.25)*Assumptions!$C$18</f>
        <v/>
      </c>
      <c r="AG20" s="20">
        <f>('Sales Forecast'!AG11*Assumptions!$C$12+'Sales Forecast'!AF11*Assumptions!$D$12+'Sales Forecast'!AE11*Assumptions!$E$12+'Sales Forecast'!AD11*Assumptions!$F$12+'Sales Forecast'!AC11*Assumptions!$G$12+'Sales Forecast'!AB11*Assumptions!$H$12+'Sales Forecast'!AA11*Assumptions!$I$12+'Sales Forecast'!AG11*Assumptions!$C$13+'Sales Forecast'!AF11*Assumptions!$D$13+'Sales Forecast'!AE11*Assumptions!$E$13+'Sales Forecast'!AD11*Assumptions!$F$13+'Sales Forecast'!AC11*Assumptions!$G$13+'Sales Forecast'!AB11*Assumptions!$H$13+'Sales Forecast'!AA11*Assumptions!$I$13+1245.25)*Assumptions!$C$18</f>
        <v/>
      </c>
      <c r="AH20" s="20">
        <f>('Sales Forecast'!AH11*Assumptions!$C$12+'Sales Forecast'!AG11*Assumptions!$D$12+'Sales Forecast'!AF11*Assumptions!$E$12+'Sales Forecast'!AE11*Assumptions!$F$12+'Sales Forecast'!AD11*Assumptions!$G$12+'Sales Forecast'!AC11*Assumptions!$H$12+'Sales Forecast'!AB11*Assumptions!$I$12+'Sales Forecast'!AH11*Assumptions!$C$13+'Sales Forecast'!AG11*Assumptions!$D$13+'Sales Forecast'!AF11*Assumptions!$E$13+'Sales Forecast'!AE11*Assumptions!$F$13+'Sales Forecast'!AD11*Assumptions!$G$13+'Sales Forecast'!AC11*Assumptions!$H$13+'Sales Forecast'!AB11*Assumptions!$I$13+1245.25)*Assumptions!$C$18</f>
        <v/>
      </c>
      <c r="AI20" s="20">
        <f>('Sales Forecast'!AI11*Assumptions!$C$12+'Sales Forecast'!AH11*Assumptions!$D$12+'Sales Forecast'!AG11*Assumptions!$E$12+'Sales Forecast'!AF11*Assumptions!$F$12+'Sales Forecast'!AE11*Assumptions!$G$12+'Sales Forecast'!AD11*Assumptions!$H$12+'Sales Forecast'!AC11*Assumptions!$I$12+'Sales Forecast'!AI11*Assumptions!$C$13+'Sales Forecast'!AH11*Assumptions!$D$13+'Sales Forecast'!AG11*Assumptions!$E$13+'Sales Forecast'!AF11*Assumptions!$F$13+'Sales Forecast'!AE11*Assumptions!$G$13+'Sales Forecast'!AD11*Assumptions!$H$13+'Sales Forecast'!AC11*Assumptions!$I$13+1245.25)*Assumptions!$C$18</f>
        <v/>
      </c>
      <c r="AJ20" s="20">
        <f>('Sales Forecast'!AJ11*Assumptions!$C$12+'Sales Forecast'!AI11*Assumptions!$D$12+'Sales Forecast'!AH11*Assumptions!$E$12+'Sales Forecast'!AG11*Assumptions!$F$12+'Sales Forecast'!AF11*Assumptions!$G$12+'Sales Forecast'!AE11*Assumptions!$H$12+'Sales Forecast'!AD11*Assumptions!$I$12+'Sales Forecast'!AJ11*Assumptions!$C$13+'Sales Forecast'!AI11*Assumptions!$D$13+'Sales Forecast'!AH11*Assumptions!$E$13+'Sales Forecast'!AG11*Assumptions!$F$13+'Sales Forecast'!AF11*Assumptions!$G$13+'Sales Forecast'!AE11*Assumptions!$H$13+'Sales Forecast'!AD11*Assumptions!$I$13+1245.25)*Assumptions!$C$18</f>
        <v/>
      </c>
      <c r="AK20" s="20">
        <f>('Sales Forecast'!AK11*Assumptions!$C$12+'Sales Forecast'!AJ11*Assumptions!$D$12+'Sales Forecast'!AI11*Assumptions!$E$12+'Sales Forecast'!AH11*Assumptions!$F$12+'Sales Forecast'!AG11*Assumptions!$G$12+'Sales Forecast'!AF11*Assumptions!$H$12+'Sales Forecast'!AE11*Assumptions!$I$12+'Sales Forecast'!AK11*Assumptions!$C$13+'Sales Forecast'!AJ11*Assumptions!$D$13+'Sales Forecast'!AI11*Assumptions!$E$13+'Sales Forecast'!AH11*Assumptions!$F$13+'Sales Forecast'!AG11*Assumptions!$G$13+'Sales Forecast'!AF11*Assumptions!$H$13+'Sales Forecast'!AE11*Assumptions!$I$13+1245.25)*Assumptions!$C$18</f>
        <v/>
      </c>
      <c r="AL20" s="20">
        <f>('Sales Forecast'!AL11*Assumptions!$C$12+'Sales Forecast'!AK11*Assumptions!$D$12+'Sales Forecast'!AJ11*Assumptions!$E$12+'Sales Forecast'!AI11*Assumptions!$F$12+'Sales Forecast'!AH11*Assumptions!$G$12+'Sales Forecast'!AG11*Assumptions!$H$12+'Sales Forecast'!AF11*Assumptions!$I$12+'Sales Forecast'!AL11*Assumptions!$C$13+'Sales Forecast'!AK11*Assumptions!$D$13+'Sales Forecast'!AJ11*Assumptions!$E$13+'Sales Forecast'!AI11*Assumptions!$F$13+'Sales Forecast'!AH11*Assumptions!$G$13+'Sales Forecast'!AG11*Assumptions!$H$13+'Sales Forecast'!AF11*Assumptions!$I$13+1245.25)*Assumptions!$C$18</f>
        <v/>
      </c>
      <c r="AM20" s="20">
        <f>('Sales Forecast'!AM11*Assumptions!$C$12+'Sales Forecast'!AL11*Assumptions!$D$12+'Sales Forecast'!AK11*Assumptions!$E$12+'Sales Forecast'!AJ11*Assumptions!$F$12+'Sales Forecast'!AI11*Assumptions!$G$12+'Sales Forecast'!AH11*Assumptions!$H$12+'Sales Forecast'!AG11*Assumptions!$I$12+'Sales Forecast'!AM11*Assumptions!$C$13+'Sales Forecast'!AL11*Assumptions!$D$13+'Sales Forecast'!AK11*Assumptions!$E$13+'Sales Forecast'!AJ11*Assumptions!$F$13+'Sales Forecast'!AI11*Assumptions!$G$13+'Sales Forecast'!AH11*Assumptions!$H$13+'Sales Forecast'!AG11*Assumptions!$I$13+1245.25)*Assumptions!$C$18</f>
        <v/>
      </c>
      <c r="AN20" s="20">
        <f>('Sales Forecast'!AN11*Assumptions!$C$12+'Sales Forecast'!AM11*Assumptions!$D$12+'Sales Forecast'!AL11*Assumptions!$E$12+'Sales Forecast'!AK11*Assumptions!$F$12+'Sales Forecast'!AJ11*Assumptions!$G$12+'Sales Forecast'!AI11*Assumptions!$H$12+'Sales Forecast'!AH11*Assumptions!$I$12+'Sales Forecast'!AN11*Assumptions!$C$13+'Sales Forecast'!AM11*Assumptions!$D$13+'Sales Forecast'!AL11*Assumptions!$E$13+'Sales Forecast'!AK11*Assumptions!$F$13+'Sales Forecast'!AJ11*Assumptions!$G$13+'Sales Forecast'!AI11*Assumptions!$H$13+'Sales Forecast'!AH11*Assumptions!$I$13+1245.25)*Assumptions!$C$18</f>
        <v/>
      </c>
      <c r="AO20" s="20">
        <f>('Sales Forecast'!AO11*Assumptions!$C$12+'Sales Forecast'!AN11*Assumptions!$D$12+'Sales Forecast'!AM11*Assumptions!$E$12+'Sales Forecast'!AL11*Assumptions!$F$12+'Sales Forecast'!AK11*Assumptions!$G$12+'Sales Forecast'!AJ11*Assumptions!$H$12+'Sales Forecast'!AI11*Assumptions!$I$12+'Sales Forecast'!AO11*Assumptions!$C$13+'Sales Forecast'!AN11*Assumptions!$D$13+'Sales Forecast'!AM11*Assumptions!$E$13+'Sales Forecast'!AL11*Assumptions!$F$13+'Sales Forecast'!AK11*Assumptions!$G$13+'Sales Forecast'!AJ11*Assumptions!$H$13+'Sales Forecast'!AI11*Assumptions!$I$13+1245.25)*Assumptions!$C$18</f>
        <v/>
      </c>
      <c r="AP20" s="20">
        <f>('Sales Forecast'!AP11*Assumptions!$C$12+'Sales Forecast'!AO11*Assumptions!$D$12+'Sales Forecast'!AN11*Assumptions!$E$12+'Sales Forecast'!AM11*Assumptions!$F$12+'Sales Forecast'!AL11*Assumptions!$G$12+'Sales Forecast'!AK11*Assumptions!$H$12+'Sales Forecast'!AJ11*Assumptions!$I$12+'Sales Forecast'!AP11*Assumptions!$C$13+'Sales Forecast'!AO11*Assumptions!$D$13+'Sales Forecast'!AN11*Assumptions!$E$13+'Sales Forecast'!AM11*Assumptions!$F$13+'Sales Forecast'!AL11*Assumptions!$G$13+'Sales Forecast'!AK11*Assumptions!$H$13+'Sales Forecast'!AJ11*Assumptions!$I$13+1245.25)*Assumptions!$C$18</f>
        <v/>
      </c>
      <c r="AQ20" s="20">
        <f>('Sales Forecast'!AQ11*Assumptions!$C$12+'Sales Forecast'!AP11*Assumptions!$D$12+'Sales Forecast'!AO11*Assumptions!$E$12+'Sales Forecast'!AN11*Assumptions!$F$12+'Sales Forecast'!AM11*Assumptions!$G$12+'Sales Forecast'!AL11*Assumptions!$H$12+'Sales Forecast'!AK11*Assumptions!$I$12+'Sales Forecast'!AQ11*Assumptions!$C$13+'Sales Forecast'!AP11*Assumptions!$D$13+'Sales Forecast'!AO11*Assumptions!$E$13+'Sales Forecast'!AN11*Assumptions!$F$13+'Sales Forecast'!AM11*Assumptions!$G$13+'Sales Forecast'!AL11*Assumptions!$H$13+'Sales Forecast'!AK11*Assumptions!$I$13+1245.25)*Assumptions!$C$18</f>
        <v/>
      </c>
      <c r="AR20" s="20">
        <f>('Sales Forecast'!AR11*Assumptions!$C$12+'Sales Forecast'!AQ11*Assumptions!$D$12+'Sales Forecast'!AP11*Assumptions!$E$12+'Sales Forecast'!AO11*Assumptions!$F$12+'Sales Forecast'!AN11*Assumptions!$G$12+'Sales Forecast'!AM11*Assumptions!$H$12+'Sales Forecast'!AL11*Assumptions!$I$12+'Sales Forecast'!AR11*Assumptions!$C$13+'Sales Forecast'!AQ11*Assumptions!$D$13+'Sales Forecast'!AP11*Assumptions!$E$13+'Sales Forecast'!AO11*Assumptions!$F$13+'Sales Forecast'!AN11*Assumptions!$G$13+'Sales Forecast'!AM11*Assumptions!$H$13+'Sales Forecast'!AL11*Assumptions!$I$13+1245.25)*Assumptions!$C$18</f>
        <v/>
      </c>
      <c r="AS20" s="20">
        <f>('Sales Forecast'!AS11*Assumptions!$C$12+'Sales Forecast'!AR11*Assumptions!$D$12+'Sales Forecast'!AQ11*Assumptions!$E$12+'Sales Forecast'!AP11*Assumptions!$F$12+'Sales Forecast'!AO11*Assumptions!$G$12+'Sales Forecast'!AN11*Assumptions!$H$12+'Sales Forecast'!AM11*Assumptions!$I$12+'Sales Forecast'!AS11*Assumptions!$C$13+'Sales Forecast'!AR11*Assumptions!$D$13+'Sales Forecast'!AQ11*Assumptions!$E$13+'Sales Forecast'!AP11*Assumptions!$F$13+'Sales Forecast'!AO11*Assumptions!$G$13+'Sales Forecast'!AN11*Assumptions!$H$13+'Sales Forecast'!AM11*Assumptions!$I$13+1245.25)*Assumptions!$C$18</f>
        <v/>
      </c>
      <c r="AT20" s="20">
        <f>('Sales Forecast'!AT11*Assumptions!$C$12+'Sales Forecast'!AS11*Assumptions!$D$12+'Sales Forecast'!AR11*Assumptions!$E$12+'Sales Forecast'!AQ11*Assumptions!$F$12+'Sales Forecast'!AP11*Assumptions!$G$12+'Sales Forecast'!AO11*Assumptions!$H$12+'Sales Forecast'!AN11*Assumptions!$I$12+'Sales Forecast'!AT11*Assumptions!$C$13+'Sales Forecast'!AS11*Assumptions!$D$13+'Sales Forecast'!AR11*Assumptions!$E$13+'Sales Forecast'!AQ11*Assumptions!$F$13+'Sales Forecast'!AP11*Assumptions!$G$13+'Sales Forecast'!AO11*Assumptions!$H$13+'Sales Forecast'!AN11*Assumptions!$I$13+1245.25)*Assumptions!$C$18</f>
        <v/>
      </c>
      <c r="AU20" s="20">
        <f>('Sales Forecast'!AU11*Assumptions!$C$12+'Sales Forecast'!AT11*Assumptions!$D$12+'Sales Forecast'!AS11*Assumptions!$E$12+'Sales Forecast'!AR11*Assumptions!$F$12+'Sales Forecast'!AQ11*Assumptions!$G$12+'Sales Forecast'!AP11*Assumptions!$H$12+'Sales Forecast'!AO11*Assumptions!$I$12+'Sales Forecast'!AU11*Assumptions!$C$13+'Sales Forecast'!AT11*Assumptions!$D$13+'Sales Forecast'!AS11*Assumptions!$E$13+'Sales Forecast'!AR11*Assumptions!$F$13+'Sales Forecast'!AQ11*Assumptions!$G$13+'Sales Forecast'!AP11*Assumptions!$H$13+'Sales Forecast'!AO11*Assumptions!$I$13+1245.25)*Assumptions!$C$18</f>
        <v/>
      </c>
      <c r="AV20" s="20">
        <f>('Sales Forecast'!AV11*Assumptions!$C$12+'Sales Forecast'!AU11*Assumptions!$D$12+'Sales Forecast'!AT11*Assumptions!$E$12+'Sales Forecast'!AS11*Assumptions!$F$12+'Sales Forecast'!AR11*Assumptions!$G$12+'Sales Forecast'!AQ11*Assumptions!$H$12+'Sales Forecast'!AP11*Assumptions!$I$12+'Sales Forecast'!AV11*Assumptions!$C$13+'Sales Forecast'!AU11*Assumptions!$D$13+'Sales Forecast'!AT11*Assumptions!$E$13+'Sales Forecast'!AS11*Assumptions!$F$13+'Sales Forecast'!AR11*Assumptions!$G$13+'Sales Forecast'!AQ11*Assumptions!$H$13+'Sales Forecast'!AP11*Assumptions!$I$13+1245.25)*Assumptions!$C$18</f>
        <v/>
      </c>
      <c r="AW20" s="20">
        <f>('Sales Forecast'!AW11*Assumptions!$C$12+'Sales Forecast'!AV11*Assumptions!$D$12+'Sales Forecast'!AU11*Assumptions!$E$12+'Sales Forecast'!AT11*Assumptions!$F$12+'Sales Forecast'!AS11*Assumptions!$G$12+'Sales Forecast'!AR11*Assumptions!$H$12+'Sales Forecast'!AQ11*Assumptions!$I$12+'Sales Forecast'!AW11*Assumptions!$C$13+'Sales Forecast'!AV11*Assumptions!$D$13+'Sales Forecast'!AU11*Assumptions!$E$13+'Sales Forecast'!AT11*Assumptions!$F$13+'Sales Forecast'!AS11*Assumptions!$G$13+'Sales Forecast'!AR11*Assumptions!$H$13+'Sales Forecast'!AQ11*Assumptions!$I$13+1245.25)*Assumptions!$C$18</f>
        <v/>
      </c>
      <c r="AX20" s="20">
        <f>('Sales Forecast'!AX11*Assumptions!$C$12+'Sales Forecast'!AW11*Assumptions!$D$12+'Sales Forecast'!AV11*Assumptions!$E$12+'Sales Forecast'!AU11*Assumptions!$F$12+'Sales Forecast'!AT11*Assumptions!$G$12+'Sales Forecast'!AS11*Assumptions!$H$12+'Sales Forecast'!AR11*Assumptions!$I$12+'Sales Forecast'!AX11*Assumptions!$C$13+'Sales Forecast'!AW11*Assumptions!$D$13+'Sales Forecast'!AV11*Assumptions!$E$13+'Sales Forecast'!AU11*Assumptions!$F$13+'Sales Forecast'!AT11*Assumptions!$G$13+'Sales Forecast'!AS11*Assumptions!$H$13+'Sales Forecast'!AR11*Assumptions!$I$13+1245.25)*Assumptions!$C$18</f>
        <v/>
      </c>
      <c r="AY20" s="20">
        <f>('Sales Forecast'!AY11*Assumptions!$C$12+'Sales Forecast'!AX11*Assumptions!$D$12+'Sales Forecast'!AW11*Assumptions!$E$12+'Sales Forecast'!AV11*Assumptions!$F$12+'Sales Forecast'!AU11*Assumptions!$G$12+'Sales Forecast'!AT11*Assumptions!$H$12+'Sales Forecast'!AS11*Assumptions!$I$12+'Sales Forecast'!AY11*Assumptions!$C$13+'Sales Forecast'!AX11*Assumptions!$D$13+'Sales Forecast'!AW11*Assumptions!$E$13+'Sales Forecast'!AV11*Assumptions!$F$13+'Sales Forecast'!AU11*Assumptions!$G$13+'Sales Forecast'!AT11*Assumptions!$H$13+'Sales Forecast'!AS11*Assumptions!$I$13+1245.25)*Assumptions!$C$18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75</v>
      </c>
      <c r="F21" s="35" t="n">
        <v>-770</v>
      </c>
      <c r="G21" s="35" t="n">
        <v>12609.02</v>
      </c>
      <c r="H21" s="35" t="n">
        <v>40940.40999999999</v>
      </c>
      <c r="I21" s="35" t="n">
        <v>48387</v>
      </c>
      <c r="J21" s="35" t="n">
        <v>57029.26999999999</v>
      </c>
      <c r="K21" s="35" t="n">
        <v>61238.17000000001</v>
      </c>
      <c r="L21" s="35" t="n">
        <v>56299.56999999999</v>
      </c>
      <c r="M21" s="35" t="n">
        <v>55206.21</v>
      </c>
      <c r="N21" s="35" t="n">
        <v>55795.78000000001</v>
      </c>
      <c r="O21" s="35" t="n">
        <v>60611.86000000001</v>
      </c>
      <c r="P21" s="35" t="n">
        <v>65584.2</v>
      </c>
      <c r="Q21" s="35" t="n">
        <v>55186.84</v>
      </c>
      <c r="R21" s="35" t="n">
        <v>59549.12</v>
      </c>
      <c r="S21" s="35" t="n">
        <v>49181.89000000001</v>
      </c>
      <c r="T21" s="85" t="n">
        <v>66945.87000000001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961</v>
      </c>
      <c r="H23" s="19" t="n">
        <v>1153.25</v>
      </c>
      <c r="I23" s="19" t="n">
        <v>855</v>
      </c>
      <c r="J23" s="19" t="n">
        <v>1077</v>
      </c>
      <c r="K23" s="19" t="n">
        <v>1059.75</v>
      </c>
      <c r="L23" s="19" t="n">
        <v>594.75</v>
      </c>
      <c r="M23" s="19" t="n">
        <v>540.5</v>
      </c>
      <c r="N23" s="19" t="n">
        <v>940</v>
      </c>
      <c r="O23" s="19" t="n">
        <v>611</v>
      </c>
      <c r="P23" s="19" t="n">
        <v>677</v>
      </c>
      <c r="Q23" s="19" t="n">
        <v>658</v>
      </c>
      <c r="R23" s="19" t="n">
        <v>539.5</v>
      </c>
      <c r="S23" s="19" t="n">
        <v>447.5</v>
      </c>
      <c r="T23" s="84" t="n">
        <v>812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9.359999999999999</v>
      </c>
      <c r="G24" s="19" t="n">
        <v>724.24</v>
      </c>
      <c r="H24" s="19" t="n">
        <v>953.4</v>
      </c>
      <c r="I24" s="19" t="n">
        <v>1344.54</v>
      </c>
      <c r="J24" s="19" t="n">
        <v>1510.61</v>
      </c>
      <c r="K24" s="19" t="n">
        <v>1497.09</v>
      </c>
      <c r="L24" s="19" t="n">
        <v>1372.01</v>
      </c>
      <c r="M24" s="19" t="n">
        <v>1207.66</v>
      </c>
      <c r="N24" s="19" t="n">
        <v>1492.23</v>
      </c>
      <c r="O24" s="19" t="n">
        <v>1412.28</v>
      </c>
      <c r="P24" s="19" t="n">
        <v>1715.61</v>
      </c>
      <c r="Q24" s="19" t="n">
        <v>1406.78</v>
      </c>
      <c r="R24" s="19" t="n">
        <v>2075.29</v>
      </c>
      <c r="S24" s="19" t="n">
        <v>1857.48</v>
      </c>
      <c r="T24" s="84" t="n">
        <v>1479.56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9.359999999999999</v>
      </c>
      <c r="G25" s="35" t="n">
        <v>1685.24</v>
      </c>
      <c r="H25" s="35" t="n">
        <v>2106.65</v>
      </c>
      <c r="I25" s="35" t="n">
        <v>2199.54</v>
      </c>
      <c r="J25" s="35" t="n">
        <v>2587.61</v>
      </c>
      <c r="K25" s="35" t="n">
        <v>2556.84</v>
      </c>
      <c r="L25" s="35" t="n">
        <v>1966.76</v>
      </c>
      <c r="M25" s="35" t="n">
        <v>1748.16</v>
      </c>
      <c r="N25" s="35" t="n">
        <v>2432.23</v>
      </c>
      <c r="O25" s="35" t="n">
        <v>4189.1</v>
      </c>
      <c r="P25" s="35" t="n">
        <v>2392.61</v>
      </c>
      <c r="Q25" s="35" t="n">
        <v>2064.78</v>
      </c>
      <c r="R25" s="35" t="n">
        <v>2614.79</v>
      </c>
      <c r="S25" s="35" t="n">
        <v>2304.98</v>
      </c>
      <c r="T25" s="85" t="n">
        <v>2291.56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75</v>
      </c>
      <c r="F26" s="35" t="n">
        <v>-779.36</v>
      </c>
      <c r="G26" s="35" t="n">
        <v>10923.78</v>
      </c>
      <c r="H26" s="35" t="n">
        <v>38833.75999999999</v>
      </c>
      <c r="I26" s="35" t="n">
        <v>46187.46</v>
      </c>
      <c r="J26" s="35" t="n">
        <v>54441.65999999999</v>
      </c>
      <c r="K26" s="35" t="n">
        <v>58681.33</v>
      </c>
      <c r="L26" s="35" t="n">
        <v>54332.80999999999</v>
      </c>
      <c r="M26" s="35" t="n">
        <v>53458.05</v>
      </c>
      <c r="N26" s="35" t="n">
        <v>53363.55</v>
      </c>
      <c r="O26" s="35" t="n">
        <v>56422.76000000001</v>
      </c>
      <c r="P26" s="35" t="n">
        <v>63191.59</v>
      </c>
      <c r="Q26" s="35" t="n">
        <v>53122.06</v>
      </c>
      <c r="R26" s="35" t="n">
        <v>56934.33</v>
      </c>
      <c r="S26" s="35" t="n">
        <v>46876.91</v>
      </c>
      <c r="T26" s="85" t="n">
        <v>64654.31000000001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1725.84</v>
      </c>
      <c r="G28" s="19" t="n">
        <v>2925.87</v>
      </c>
      <c r="H28" s="19" t="n">
        <v>1641.09</v>
      </c>
      <c r="I28" s="19" t="n">
        <v>5557.44</v>
      </c>
      <c r="J28" s="19" t="n">
        <v>3065.41</v>
      </c>
      <c r="K28" s="19" t="n">
        <v>4177.75</v>
      </c>
      <c r="L28" s="19" t="n">
        <v>2780.35</v>
      </c>
      <c r="M28" s="19" t="n">
        <v>2878.99</v>
      </c>
      <c r="N28" s="19" t="n">
        <v>3452.7</v>
      </c>
      <c r="O28" s="19" t="n">
        <v>2268.97</v>
      </c>
      <c r="P28" s="19" t="n">
        <v>1336.21</v>
      </c>
      <c r="Q28" s="19" t="n">
        <v>3470.63</v>
      </c>
      <c r="R28" s="19" t="n">
        <v>2384.28</v>
      </c>
      <c r="S28" s="19" t="n">
        <v>755.11</v>
      </c>
      <c r="T28" s="84" t="n">
        <v>747.4299999999999</v>
      </c>
      <c r="U28" s="20" t="n">
        <v>745.3</v>
      </c>
      <c r="V28" s="20" t="n">
        <v>745.3</v>
      </c>
      <c r="W28" s="20" t="n">
        <v>745.3</v>
      </c>
      <c r="X28" s="20" t="n">
        <v>745.3</v>
      </c>
      <c r="Y28" s="20" t="n">
        <v>745.3</v>
      </c>
      <c r="Z28" s="20" t="n">
        <v>745.3</v>
      </c>
      <c r="AA28" s="20" t="n">
        <v>745.3</v>
      </c>
      <c r="AB28" s="20" t="n">
        <v>745.3</v>
      </c>
      <c r="AC28" s="20" t="n">
        <v>745.3</v>
      </c>
      <c r="AD28" s="20" t="n">
        <v>745.3</v>
      </c>
      <c r="AE28" s="20" t="n">
        <v>745.3</v>
      </c>
      <c r="AF28" s="20" t="n">
        <v>745.3</v>
      </c>
      <c r="AG28" s="20" t="n">
        <v>745.3</v>
      </c>
      <c r="AH28" s="20" t="n">
        <v>745.3</v>
      </c>
      <c r="AI28" s="20" t="n">
        <v>745.3</v>
      </c>
      <c r="AJ28" s="20" t="n">
        <v>745.3</v>
      </c>
      <c r="AK28" s="20" t="n">
        <v>745.3</v>
      </c>
      <c r="AL28" s="20" t="n">
        <v>745.3</v>
      </c>
      <c r="AM28" s="20" t="n">
        <v>745.3</v>
      </c>
      <c r="AN28" s="20" t="n">
        <v>745.3</v>
      </c>
      <c r="AO28" s="20" t="n">
        <v>745.3</v>
      </c>
      <c r="AP28" s="20" t="n">
        <v>745.3</v>
      </c>
      <c r="AQ28" s="20" t="n">
        <v>745.3</v>
      </c>
      <c r="AR28" s="20" t="n">
        <v>745.3</v>
      </c>
      <c r="AS28" s="20" t="n">
        <v>745.3</v>
      </c>
      <c r="AT28" s="20" t="n">
        <v>745.3</v>
      </c>
      <c r="AU28" s="20" t="n">
        <v>745.3</v>
      </c>
      <c r="AV28" s="20" t="n">
        <v>745.3</v>
      </c>
      <c r="AW28" s="20" t="n">
        <v>745.3</v>
      </c>
      <c r="AX28" s="20" t="n">
        <v>745.3</v>
      </c>
      <c r="AY28" s="20" t="n">
        <v>745.3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144.63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236.99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1725.84</v>
      </c>
      <c r="G33" s="35" t="n">
        <v>2925.87</v>
      </c>
      <c r="H33" s="35" t="n">
        <v>1785.72</v>
      </c>
      <c r="I33" s="35" t="n">
        <v>5557.44</v>
      </c>
      <c r="J33" s="35" t="n">
        <v>3065.41</v>
      </c>
      <c r="K33" s="35" t="n">
        <v>4177.75</v>
      </c>
      <c r="L33" s="35" t="n">
        <v>2780.35</v>
      </c>
      <c r="M33" s="35" t="n">
        <v>2878.99</v>
      </c>
      <c r="N33" s="35" t="n">
        <v>3452.7</v>
      </c>
      <c r="O33" s="35" t="n">
        <v>2505.96</v>
      </c>
      <c r="P33" s="35" t="n">
        <v>1336.21</v>
      </c>
      <c r="Q33" s="35" t="n">
        <v>3470.63</v>
      </c>
      <c r="R33" s="35" t="n">
        <v>2384.28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1127.14</v>
      </c>
      <c r="F34" s="19" t="n">
        <v>3090.03</v>
      </c>
      <c r="G34" s="19" t="n">
        <v>20278.52</v>
      </c>
      <c r="H34" s="19" t="n">
        <v>33057.68</v>
      </c>
      <c r="I34" s="19" t="n">
        <v>34887.56</v>
      </c>
      <c r="J34" s="19" t="n">
        <v>36645.33</v>
      </c>
      <c r="K34" s="19" t="n">
        <v>36152.79</v>
      </c>
      <c r="L34" s="19" t="n">
        <v>33589.98</v>
      </c>
      <c r="M34" s="19" t="n">
        <v>33415.57</v>
      </c>
      <c r="N34" s="19" t="n">
        <v>30722.44</v>
      </c>
      <c r="O34" s="19" t="n">
        <v>32232.28</v>
      </c>
      <c r="P34" s="19" t="n">
        <v>35409.42</v>
      </c>
      <c r="Q34" s="19" t="n">
        <v>26156.73</v>
      </c>
      <c r="R34" s="19" t="n">
        <v>25492.34</v>
      </c>
      <c r="S34" s="19" t="n">
        <v>27833.95</v>
      </c>
      <c r="T34" s="84" t="n">
        <v>30773.52</v>
      </c>
      <c r="U34" s="20" t="n">
        <v>30886.04</v>
      </c>
      <c r="V34" s="20" t="n">
        <v>33432.44</v>
      </c>
      <c r="W34" s="20" t="n">
        <v>30881.22</v>
      </c>
      <c r="X34" s="20" t="n">
        <v>29201.96</v>
      </c>
      <c r="Y34" s="20" t="n">
        <v>34241.29</v>
      </c>
      <c r="Z34" s="20" t="n">
        <v>35953</v>
      </c>
      <c r="AA34" s="20" t="n">
        <v>30883.16</v>
      </c>
      <c r="AB34" s="20" t="n">
        <v>32745.81</v>
      </c>
      <c r="AC34" s="20" t="n">
        <v>32741.88</v>
      </c>
      <c r="AD34" s="20" t="n">
        <v>32750.16</v>
      </c>
      <c r="AE34" s="20" t="n">
        <v>32842.24</v>
      </c>
      <c r="AF34" s="20" t="n">
        <v>32796.73</v>
      </c>
      <c r="AG34" s="20" t="n">
        <v>32772.32</v>
      </c>
      <c r="AH34" s="20" t="n">
        <v>32822.6</v>
      </c>
      <c r="AI34" s="20" t="n">
        <v>32767.26</v>
      </c>
      <c r="AJ34" s="20" t="n">
        <v>32760.01</v>
      </c>
      <c r="AK34" s="20" t="n">
        <v>32788.91</v>
      </c>
      <c r="AL34" s="20" t="n">
        <v>32835.21</v>
      </c>
      <c r="AM34" s="20" t="n">
        <v>32769.3</v>
      </c>
      <c r="AN34" s="20" t="n">
        <v>32745.81</v>
      </c>
      <c r="AO34" s="20" t="n">
        <v>32741.88</v>
      </c>
      <c r="AP34" s="20" t="n">
        <v>32750.16</v>
      </c>
      <c r="AQ34" s="20" t="n">
        <v>32842.24</v>
      </c>
      <c r="AR34" s="20" t="n">
        <v>32796.73</v>
      </c>
      <c r="AS34" s="20" t="n">
        <v>32772.32</v>
      </c>
      <c r="AT34" s="20" t="n">
        <v>32822.6</v>
      </c>
      <c r="AU34" s="20" t="n">
        <v>32767.26</v>
      </c>
      <c r="AV34" s="20" t="n">
        <v>32760.01</v>
      </c>
      <c r="AW34" s="20" t="n">
        <v>32788.91</v>
      </c>
      <c r="AX34" s="20" t="n">
        <v>32835.21</v>
      </c>
      <c r="AY34" s="20" t="n">
        <v>32769.3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132.44</v>
      </c>
      <c r="F35" s="19" t="n">
        <v>363.09</v>
      </c>
      <c r="G35" s="19" t="n">
        <v>2648.05</v>
      </c>
      <c r="H35" s="19" t="n">
        <v>4135.13</v>
      </c>
      <c r="I35" s="19" t="n">
        <v>4325.51</v>
      </c>
      <c r="J35" s="19" t="n">
        <v>4447.71</v>
      </c>
      <c r="K35" s="19" t="n">
        <v>4220.95</v>
      </c>
      <c r="L35" s="19" t="n">
        <v>3771.52</v>
      </c>
      <c r="M35" s="19" t="n">
        <v>3570.24</v>
      </c>
      <c r="N35" s="19" t="n">
        <v>3282.15</v>
      </c>
      <c r="O35" s="19" t="n">
        <v>3811.68</v>
      </c>
      <c r="P35" s="19" t="n">
        <v>6729.67</v>
      </c>
      <c r="Q35" s="19" t="n">
        <v>2781.43</v>
      </c>
      <c r="R35" s="19" t="n">
        <v>2571.2</v>
      </c>
      <c r="S35" s="19" t="n">
        <v>2506.64</v>
      </c>
      <c r="T35" s="84" t="n">
        <v>2814.04</v>
      </c>
      <c r="U35" s="20" t="n">
        <v>3921.88</v>
      </c>
      <c r="V35" s="20" t="n">
        <v>4245.22</v>
      </c>
      <c r="W35" s="20" t="n">
        <v>3921.27</v>
      </c>
      <c r="X35" s="20" t="n">
        <v>3708.04</v>
      </c>
      <c r="Y35" s="20" t="n">
        <v>4347.93</v>
      </c>
      <c r="Z35" s="20" t="n">
        <v>4565.28</v>
      </c>
      <c r="AA35" s="20" t="n">
        <v>3921.52</v>
      </c>
      <c r="AB35" s="20" t="n">
        <v>4158.03</v>
      </c>
      <c r="AC35" s="20" t="n">
        <v>4157.54</v>
      </c>
      <c r="AD35" s="20" t="n">
        <v>4158.59</v>
      </c>
      <c r="AE35" s="20" t="n">
        <v>4170.28</v>
      </c>
      <c r="AF35" s="20" t="n">
        <v>4164.5</v>
      </c>
      <c r="AG35" s="20" t="n">
        <v>4161.4</v>
      </c>
      <c r="AH35" s="20" t="n">
        <v>4167.78</v>
      </c>
      <c r="AI35" s="20" t="n">
        <v>4160.76</v>
      </c>
      <c r="AJ35" s="20" t="n">
        <v>4159.84</v>
      </c>
      <c r="AK35" s="20" t="n">
        <v>4163.51</v>
      </c>
      <c r="AL35" s="20" t="n">
        <v>4169.39</v>
      </c>
      <c r="AM35" s="20" t="n">
        <v>4161.02</v>
      </c>
      <c r="AN35" s="20" t="n">
        <v>4158.03</v>
      </c>
      <c r="AO35" s="20" t="n">
        <v>4157.54</v>
      </c>
      <c r="AP35" s="20" t="n">
        <v>4158.59</v>
      </c>
      <c r="AQ35" s="20" t="n">
        <v>4170.28</v>
      </c>
      <c r="AR35" s="20" t="n">
        <v>4164.5</v>
      </c>
      <c r="AS35" s="20" t="n">
        <v>4161.4</v>
      </c>
      <c r="AT35" s="20" t="n">
        <v>4167.78</v>
      </c>
      <c r="AU35" s="20" t="n">
        <v>4160.76</v>
      </c>
      <c r="AV35" s="20" t="n">
        <v>4159.84</v>
      </c>
      <c r="AW35" s="20" t="n">
        <v>4163.51</v>
      </c>
      <c r="AX35" s="20" t="n">
        <v>4169.39</v>
      </c>
      <c r="AY35" s="20" t="n">
        <v>4161.02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40</v>
      </c>
      <c r="I36" s="19" t="n">
        <v>-287</v>
      </c>
      <c r="J36" s="19" t="n">
        <v>-388.25</v>
      </c>
      <c r="K36" s="19" t="n">
        <v>-428.26</v>
      </c>
      <c r="L36" s="19" t="n">
        <v>-118.15</v>
      </c>
      <c r="M36" s="19" t="n">
        <v>-22.76</v>
      </c>
      <c r="N36" s="19" t="n">
        <v>72.34</v>
      </c>
      <c r="O36" s="19" t="n">
        <v>-28.05</v>
      </c>
      <c r="P36" s="19" t="n">
        <v>239.97</v>
      </c>
      <c r="Q36" s="19" t="n">
        <v>826.6799999999999</v>
      </c>
      <c r="R36" s="19" t="n">
        <v>372.93</v>
      </c>
      <c r="S36" s="19" t="n">
        <v>609.11</v>
      </c>
      <c r="T36" s="84" t="n">
        <v>183.39</v>
      </c>
      <c r="U36" s="20" t="n">
        <v>550.74</v>
      </c>
      <c r="V36" s="20" t="n">
        <v>596.15</v>
      </c>
      <c r="W36" s="20" t="n">
        <v>550.65</v>
      </c>
      <c r="X36" s="20" t="n">
        <v>520.71</v>
      </c>
      <c r="Y36" s="20" t="n">
        <v>610.5700000000001</v>
      </c>
      <c r="Z36" s="20" t="n">
        <v>641.09</v>
      </c>
      <c r="AA36" s="20" t="n">
        <v>550.6900000000001</v>
      </c>
      <c r="AB36" s="20" t="n">
        <v>583.9</v>
      </c>
      <c r="AC36" s="20" t="n">
        <v>583.83</v>
      </c>
      <c r="AD36" s="20" t="n">
        <v>583.98</v>
      </c>
      <c r="AE36" s="20" t="n">
        <v>585.62</v>
      </c>
      <c r="AF36" s="20" t="n">
        <v>584.8099999999999</v>
      </c>
      <c r="AG36" s="20" t="n">
        <v>584.38</v>
      </c>
      <c r="AH36" s="20" t="n">
        <v>585.27</v>
      </c>
      <c r="AI36" s="20" t="n">
        <v>584.29</v>
      </c>
      <c r="AJ36" s="20" t="n">
        <v>584.16</v>
      </c>
      <c r="AK36" s="20" t="n">
        <v>584.67</v>
      </c>
      <c r="AL36" s="20" t="n">
        <v>585.5</v>
      </c>
      <c r="AM36" s="20" t="n">
        <v>584.3200000000001</v>
      </c>
      <c r="AN36" s="20" t="n">
        <v>583.9</v>
      </c>
      <c r="AO36" s="20" t="n">
        <v>583.83</v>
      </c>
      <c r="AP36" s="20" t="n">
        <v>583.98</v>
      </c>
      <c r="AQ36" s="20" t="n">
        <v>585.62</v>
      </c>
      <c r="AR36" s="20" t="n">
        <v>584.8099999999999</v>
      </c>
      <c r="AS36" s="20" t="n">
        <v>584.38</v>
      </c>
      <c r="AT36" s="20" t="n">
        <v>585.27</v>
      </c>
      <c r="AU36" s="20" t="n">
        <v>584.29</v>
      </c>
      <c r="AV36" s="20" t="n">
        <v>584.16</v>
      </c>
      <c r="AW36" s="20" t="n">
        <v>584.67</v>
      </c>
      <c r="AX36" s="20" t="n">
        <v>585.5</v>
      </c>
      <c r="AY36" s="20" t="n">
        <v>584.3200000000001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234.56</v>
      </c>
      <c r="F37" s="19" t="n">
        <v>451.12</v>
      </c>
      <c r="G37" s="19" t="n">
        <v>543.12</v>
      </c>
      <c r="H37" s="19" t="n">
        <v>647.12</v>
      </c>
      <c r="I37" s="19" t="n">
        <v>32</v>
      </c>
      <c r="J37" s="19" t="n">
        <v>32</v>
      </c>
      <c r="K37" s="19" t="n">
        <v>32</v>
      </c>
      <c r="L37" s="19" t="n">
        <v>32</v>
      </c>
      <c r="M37" s="19" t="n">
        <v>691.12</v>
      </c>
      <c r="N37" s="19" t="n">
        <v>691.12</v>
      </c>
      <c r="O37" s="19" t="n">
        <v>1075.4</v>
      </c>
      <c r="P37" s="19" t="n">
        <v>1522.1</v>
      </c>
      <c r="Q37" s="19" t="n">
        <v>1389.44</v>
      </c>
      <c r="R37" s="19" t="n">
        <v>1686.84</v>
      </c>
      <c r="S37" s="19" t="n">
        <v>1273.04</v>
      </c>
      <c r="T37" s="84" t="n">
        <v>1396.67</v>
      </c>
      <c r="U37" s="20" t="n">
        <v>1578.39</v>
      </c>
      <c r="V37" s="20" t="n">
        <v>1708.52</v>
      </c>
      <c r="W37" s="20" t="n">
        <v>1578.14</v>
      </c>
      <c r="X37" s="20" t="n">
        <v>1492.33</v>
      </c>
      <c r="Y37" s="20" t="n">
        <v>1749.85</v>
      </c>
      <c r="Z37" s="20" t="n">
        <v>1837.33</v>
      </c>
      <c r="AA37" s="20" t="n">
        <v>1578.24</v>
      </c>
      <c r="AB37" s="20" t="n">
        <v>1673.43</v>
      </c>
      <c r="AC37" s="20" t="n">
        <v>1673.23</v>
      </c>
      <c r="AD37" s="20" t="n">
        <v>1673.65</v>
      </c>
      <c r="AE37" s="20" t="n">
        <v>1678.36</v>
      </c>
      <c r="AF37" s="20" t="n">
        <v>1676.03</v>
      </c>
      <c r="AG37" s="20" t="n">
        <v>1674.78</v>
      </c>
      <c r="AH37" s="20" t="n">
        <v>1677.35</v>
      </c>
      <c r="AI37" s="20" t="n">
        <v>1674.53</v>
      </c>
      <c r="AJ37" s="20" t="n">
        <v>1674.16</v>
      </c>
      <c r="AK37" s="20" t="n">
        <v>1675.63</v>
      </c>
      <c r="AL37" s="20" t="n">
        <v>1678</v>
      </c>
      <c r="AM37" s="20" t="n">
        <v>1674.63</v>
      </c>
      <c r="AN37" s="20" t="n">
        <v>1673.43</v>
      </c>
      <c r="AO37" s="20" t="n">
        <v>1673.23</v>
      </c>
      <c r="AP37" s="20" t="n">
        <v>1673.65</v>
      </c>
      <c r="AQ37" s="20" t="n">
        <v>1678.36</v>
      </c>
      <c r="AR37" s="20" t="n">
        <v>1676.03</v>
      </c>
      <c r="AS37" s="20" t="n">
        <v>1674.78</v>
      </c>
      <c r="AT37" s="20" t="n">
        <v>1677.35</v>
      </c>
      <c r="AU37" s="20" t="n">
        <v>1674.53</v>
      </c>
      <c r="AV37" s="20" t="n">
        <v>1674.16</v>
      </c>
      <c r="AW37" s="20" t="n">
        <v>1675.63</v>
      </c>
      <c r="AX37" s="20" t="n">
        <v>1678</v>
      </c>
      <c r="AY37" s="20" t="n">
        <v>1674.63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2494.14</v>
      </c>
      <c r="F38" s="35" t="n">
        <v>7729.530000000001</v>
      </c>
      <c r="G38" s="35" t="n">
        <v>29320.21</v>
      </c>
      <c r="H38" s="35" t="n">
        <v>44883.52</v>
      </c>
      <c r="I38" s="35" t="n">
        <v>45170.51</v>
      </c>
      <c r="J38" s="35" t="n">
        <v>47957.17</v>
      </c>
      <c r="K38" s="35" t="n">
        <v>46692.41</v>
      </c>
      <c r="L38" s="35" t="n">
        <v>43187.29</v>
      </c>
      <c r="M38" s="35" t="n">
        <v>43174.38</v>
      </c>
      <c r="N38" s="35" t="n">
        <v>39921.24</v>
      </c>
      <c r="O38" s="35" t="n">
        <v>38902.00999999999</v>
      </c>
      <c r="P38" s="35" t="n">
        <v>43901.16</v>
      </c>
      <c r="Q38" s="35" t="n">
        <v>31154.28</v>
      </c>
      <c r="R38" s="35" t="n">
        <v>30123.31</v>
      </c>
      <c r="S38" s="35" t="n">
        <v>32222.74</v>
      </c>
      <c r="T38" s="85" t="n">
        <v>35167.62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2346.58</v>
      </c>
      <c r="G39" s="19" t="n">
        <v>1165</v>
      </c>
      <c r="H39" s="19" t="n">
        <v>1239.99</v>
      </c>
      <c r="I39" s="19" t="n">
        <v>1351.25</v>
      </c>
      <c r="J39" s="19" t="n">
        <v>704.99</v>
      </c>
      <c r="K39" s="19" t="n">
        <v>1847.15</v>
      </c>
      <c r="L39" s="19" t="n">
        <v>625.99</v>
      </c>
      <c r="M39" s="19" t="n">
        <v>743.48</v>
      </c>
      <c r="N39" s="19" t="n">
        <v>881</v>
      </c>
      <c r="O39" s="19" t="n">
        <v>778.8200000000001</v>
      </c>
      <c r="P39" s="19" t="n">
        <v>743.08</v>
      </c>
      <c r="Q39" s="19" t="n">
        <v>1330.01</v>
      </c>
      <c r="R39" s="19" t="n">
        <v>1227.37</v>
      </c>
      <c r="S39" s="19" t="n">
        <v>792.25</v>
      </c>
      <c r="T39" s="84" t="n">
        <v>770.26</v>
      </c>
      <c r="U39" s="20" t="n">
        <v>607.87</v>
      </c>
      <c r="V39" s="20" t="n">
        <v>607.87</v>
      </c>
      <c r="W39" s="20" t="n">
        <v>607.87</v>
      </c>
      <c r="X39" s="20" t="n">
        <v>607.87</v>
      </c>
      <c r="Y39" s="20" t="n">
        <v>607.87</v>
      </c>
      <c r="Z39" s="20" t="n">
        <v>607.87</v>
      </c>
      <c r="AA39" s="20" t="n">
        <v>607.87</v>
      </c>
      <c r="AB39" s="20" t="n">
        <v>607.87</v>
      </c>
      <c r="AC39" s="20" t="n">
        <v>607.87</v>
      </c>
      <c r="AD39" s="20" t="n">
        <v>607.87</v>
      </c>
      <c r="AE39" s="20" t="n">
        <v>607.87</v>
      </c>
      <c r="AF39" s="20" t="n">
        <v>607.87</v>
      </c>
      <c r="AG39" s="20" t="n">
        <v>607.87</v>
      </c>
      <c r="AH39" s="20" t="n">
        <v>607.87</v>
      </c>
      <c r="AI39" s="20" t="n">
        <v>607.87</v>
      </c>
      <c r="AJ39" s="20" t="n">
        <v>607.87</v>
      </c>
      <c r="AK39" s="20" t="n">
        <v>607.87</v>
      </c>
      <c r="AL39" s="20" t="n">
        <v>607.87</v>
      </c>
      <c r="AM39" s="20" t="n">
        <v>607.87</v>
      </c>
      <c r="AN39" s="20" t="n">
        <v>607.87</v>
      </c>
      <c r="AO39" s="20" t="n">
        <v>607.87</v>
      </c>
      <c r="AP39" s="20" t="n">
        <v>607.87</v>
      </c>
      <c r="AQ39" s="20" t="n">
        <v>607.87</v>
      </c>
      <c r="AR39" s="20" t="n">
        <v>607.87</v>
      </c>
      <c r="AS39" s="20" t="n">
        <v>607.87</v>
      </c>
      <c r="AT39" s="20" t="n">
        <v>607.87</v>
      </c>
      <c r="AU39" s="20" t="n">
        <v>607.87</v>
      </c>
      <c r="AV39" s="20" t="n">
        <v>607.87</v>
      </c>
      <c r="AW39" s="20" t="n">
        <v>607.87</v>
      </c>
      <c r="AX39" s="20" t="n">
        <v>607.87</v>
      </c>
      <c r="AY39" s="20" t="n">
        <v>607.87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583.98</v>
      </c>
      <c r="M40" s="19" t="n">
        <v>306.16</v>
      </c>
      <c r="N40" s="19" t="n">
        <v>306.16</v>
      </c>
      <c r="O40" s="19" t="n">
        <v>306.16</v>
      </c>
      <c r="P40" s="19" t="n">
        <v>163.59</v>
      </c>
      <c r="Q40" s="19" t="n">
        <v>163.59</v>
      </c>
      <c r="R40" s="19" t="n">
        <v>328.9</v>
      </c>
      <c r="S40" s="19" t="n">
        <v>280.23</v>
      </c>
      <c r="T40" s="84" t="n">
        <v>283.72</v>
      </c>
      <c r="U40" s="20" t="n">
        <v>139.06</v>
      </c>
      <c r="V40" s="20" t="n">
        <v>139.06</v>
      </c>
      <c r="W40" s="20" t="n">
        <v>139.06</v>
      </c>
      <c r="X40" s="20" t="n">
        <v>139.06</v>
      </c>
      <c r="Y40" s="20" t="n">
        <v>139.06</v>
      </c>
      <c r="Z40" s="20" t="n">
        <v>139.06</v>
      </c>
      <c r="AA40" s="20" t="n">
        <v>139.06</v>
      </c>
      <c r="AB40" s="20" t="n">
        <v>139.06</v>
      </c>
      <c r="AC40" s="20" t="n">
        <v>139.06</v>
      </c>
      <c r="AD40" s="20" t="n">
        <v>139.06</v>
      </c>
      <c r="AE40" s="20" t="n">
        <v>139.06</v>
      </c>
      <c r="AF40" s="20" t="n">
        <v>139.06</v>
      </c>
      <c r="AG40" s="20" t="n">
        <v>139.06</v>
      </c>
      <c r="AH40" s="20" t="n">
        <v>139.06</v>
      </c>
      <c r="AI40" s="20" t="n">
        <v>139.06</v>
      </c>
      <c r="AJ40" s="20" t="n">
        <v>139.06</v>
      </c>
      <c r="AK40" s="20" t="n">
        <v>139.06</v>
      </c>
      <c r="AL40" s="20" t="n">
        <v>139.06</v>
      </c>
      <c r="AM40" s="20" t="n">
        <v>139.06</v>
      </c>
      <c r="AN40" s="20" t="n">
        <v>139.06</v>
      </c>
      <c r="AO40" s="20" t="n">
        <v>139.06</v>
      </c>
      <c r="AP40" s="20" t="n">
        <v>139.06</v>
      </c>
      <c r="AQ40" s="20" t="n">
        <v>139.06</v>
      </c>
      <c r="AR40" s="20" t="n">
        <v>139.06</v>
      </c>
      <c r="AS40" s="20" t="n">
        <v>139.06</v>
      </c>
      <c r="AT40" s="20" t="n">
        <v>139.06</v>
      </c>
      <c r="AU40" s="20" t="n">
        <v>139.06</v>
      </c>
      <c r="AV40" s="20" t="n">
        <v>139.06</v>
      </c>
      <c r="AW40" s="20" t="n">
        <v>139.06</v>
      </c>
      <c r="AX40" s="20" t="n">
        <v>139.06</v>
      </c>
      <c r="AY40" s="20" t="n">
        <v>139.06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233.76</v>
      </c>
      <c r="Q41" s="19" t="n">
        <v>447.77</v>
      </c>
      <c r="R41" s="19" t="n">
        <v>1246.09</v>
      </c>
      <c r="S41" s="19" t="n">
        <v>734.62</v>
      </c>
      <c r="T41" s="84" t="n">
        <v>0</v>
      </c>
      <c r="U41" s="20" t="n">
        <v>395.41</v>
      </c>
      <c r="V41" s="20" t="n">
        <v>395.41</v>
      </c>
      <c r="W41" s="20" t="n">
        <v>395.41</v>
      </c>
      <c r="X41" s="20" t="n">
        <v>395.41</v>
      </c>
      <c r="Y41" s="20" t="n">
        <v>395.41</v>
      </c>
      <c r="Z41" s="20" t="n">
        <v>395.41</v>
      </c>
      <c r="AA41" s="20" t="n">
        <v>395.41</v>
      </c>
      <c r="AB41" s="20" t="n">
        <v>395.41</v>
      </c>
      <c r="AC41" s="20" t="n">
        <v>395.41</v>
      </c>
      <c r="AD41" s="20" t="n">
        <v>395.41</v>
      </c>
      <c r="AE41" s="20" t="n">
        <v>395.41</v>
      </c>
      <c r="AF41" s="20" t="n">
        <v>395.41</v>
      </c>
      <c r="AG41" s="20" t="n">
        <v>395.41</v>
      </c>
      <c r="AH41" s="20" t="n">
        <v>395.41</v>
      </c>
      <c r="AI41" s="20" t="n">
        <v>395.41</v>
      </c>
      <c r="AJ41" s="20" t="n">
        <v>395.41</v>
      </c>
      <c r="AK41" s="20" t="n">
        <v>395.41</v>
      </c>
      <c r="AL41" s="20" t="n">
        <v>395.41</v>
      </c>
      <c r="AM41" s="20" t="n">
        <v>395.41</v>
      </c>
      <c r="AN41" s="20" t="n">
        <v>395.41</v>
      </c>
      <c r="AO41" s="20" t="n">
        <v>395.41</v>
      </c>
      <c r="AP41" s="20" t="n">
        <v>395.41</v>
      </c>
      <c r="AQ41" s="20" t="n">
        <v>395.41</v>
      </c>
      <c r="AR41" s="20" t="n">
        <v>395.41</v>
      </c>
      <c r="AS41" s="20" t="n">
        <v>395.41</v>
      </c>
      <c r="AT41" s="20" t="n">
        <v>395.41</v>
      </c>
      <c r="AU41" s="20" t="n">
        <v>395.41</v>
      </c>
      <c r="AV41" s="20" t="n">
        <v>395.41</v>
      </c>
      <c r="AW41" s="20" t="n">
        <v>395.41</v>
      </c>
      <c r="AX41" s="20" t="n">
        <v>395.41</v>
      </c>
      <c r="AY41" s="20" t="n">
        <v>395.41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850</v>
      </c>
      <c r="H44" s="19" t="n">
        <v>320</v>
      </c>
      <c r="I44" s="19" t="n">
        <v>0</v>
      </c>
      <c r="J44" s="19" t="n">
        <v>0</v>
      </c>
      <c r="K44" s="19" t="n">
        <v>1706.25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879.1</v>
      </c>
      <c r="L46" s="19" t="n">
        <v>479.1</v>
      </c>
      <c r="M46" s="19" t="n">
        <v>481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850</v>
      </c>
      <c r="H47" s="35" t="n">
        <v>320</v>
      </c>
      <c r="I47" s="35" t="n">
        <v>0</v>
      </c>
      <c r="J47" s="35" t="n">
        <v>479.1</v>
      </c>
      <c r="K47" s="35" t="n">
        <v>2585.35</v>
      </c>
      <c r="L47" s="35" t="n">
        <v>479.1</v>
      </c>
      <c r="M47" s="35" t="n">
        <v>481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262.32</v>
      </c>
      <c r="H49" s="19" t="n">
        <v>1700.75</v>
      </c>
      <c r="I49" s="19" t="n">
        <v>16.54</v>
      </c>
      <c r="J49" s="19" t="n">
        <v>244.89</v>
      </c>
      <c r="K49" s="19" t="n">
        <v>34.66</v>
      </c>
      <c r="L49" s="19" t="n">
        <v>185.79</v>
      </c>
      <c r="M49" s="19" t="n">
        <v>112.74</v>
      </c>
      <c r="N49" s="19" t="n">
        <v>108.89</v>
      </c>
      <c r="O49" s="19" t="n">
        <v>72.27</v>
      </c>
      <c r="P49" s="19" t="n">
        <v>31.2</v>
      </c>
      <c r="Q49" s="19" t="n">
        <v>277.42</v>
      </c>
      <c r="R49" s="19" t="n">
        <v>36.73</v>
      </c>
      <c r="S49" s="19" t="n">
        <v>269.26</v>
      </c>
      <c r="T49" s="84" t="n">
        <v>-15.6</v>
      </c>
      <c r="U49" s="20" t="n">
        <v>15.6</v>
      </c>
      <c r="V49" s="20" t="n">
        <v>15.6</v>
      </c>
      <c r="W49" s="20" t="n">
        <v>15.6</v>
      </c>
      <c r="X49" s="20" t="n">
        <v>15.6</v>
      </c>
      <c r="Y49" s="20" t="n">
        <v>15.6</v>
      </c>
      <c r="Z49" s="20" t="n">
        <v>15.6</v>
      </c>
      <c r="AA49" s="20" t="n">
        <v>15.6</v>
      </c>
      <c r="AB49" s="20" t="n">
        <v>15.6</v>
      </c>
      <c r="AC49" s="20" t="n">
        <v>15.6</v>
      </c>
      <c r="AD49" s="20" t="n">
        <v>15.6</v>
      </c>
      <c r="AE49" s="20" t="n">
        <v>15.6</v>
      </c>
      <c r="AF49" s="20" t="n">
        <v>15.6</v>
      </c>
      <c r="AG49" s="20" t="n">
        <v>15.6</v>
      </c>
      <c r="AH49" s="20" t="n">
        <v>15.6</v>
      </c>
      <c r="AI49" s="20" t="n">
        <v>15.6</v>
      </c>
      <c r="AJ49" s="20" t="n">
        <v>15.6</v>
      </c>
      <c r="AK49" s="20" t="n">
        <v>15.6</v>
      </c>
      <c r="AL49" s="20" t="n">
        <v>15.6</v>
      </c>
      <c r="AM49" s="20" t="n">
        <v>15.6</v>
      </c>
      <c r="AN49" s="20" t="n">
        <v>15.6</v>
      </c>
      <c r="AO49" s="20" t="n">
        <v>15.6</v>
      </c>
      <c r="AP49" s="20" t="n">
        <v>15.6</v>
      </c>
      <c r="AQ49" s="20" t="n">
        <v>15.6</v>
      </c>
      <c r="AR49" s="20" t="n">
        <v>15.6</v>
      </c>
      <c r="AS49" s="20" t="n">
        <v>15.6</v>
      </c>
      <c r="AT49" s="20" t="n">
        <v>15.6</v>
      </c>
      <c r="AU49" s="20" t="n">
        <v>15.6</v>
      </c>
      <c r="AV49" s="20" t="n">
        <v>15.6</v>
      </c>
      <c r="AW49" s="20" t="n">
        <v>15.6</v>
      </c>
      <c r="AX49" s="20" t="n">
        <v>15.6</v>
      </c>
      <c r="AY49" s="20" t="n">
        <v>15.6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202.24</v>
      </c>
      <c r="G51" s="19" t="n">
        <v>0</v>
      </c>
      <c r="H51" s="19" t="n">
        <v>848.61</v>
      </c>
      <c r="I51" s="19" t="n">
        <v>711.88</v>
      </c>
      <c r="J51" s="19" t="n">
        <v>639.22</v>
      </c>
      <c r="K51" s="19" t="n">
        <v>604.61</v>
      </c>
      <c r="L51" s="19" t="n">
        <v>670.6799999999999</v>
      </c>
      <c r="M51" s="19" t="n">
        <v>424.72</v>
      </c>
      <c r="N51" s="19" t="n">
        <v>321.89</v>
      </c>
      <c r="O51" s="19" t="n">
        <v>229.32</v>
      </c>
      <c r="P51" s="19" t="n">
        <v>213.53</v>
      </c>
      <c r="Q51" s="19" t="n">
        <v>246.19</v>
      </c>
      <c r="R51" s="19" t="n">
        <v>249.32</v>
      </c>
      <c r="S51" s="19" t="n">
        <v>293.03</v>
      </c>
      <c r="T51" s="84" t="n">
        <v>306.85</v>
      </c>
      <c r="U51" s="20" t="n">
        <v>170.07</v>
      </c>
      <c r="V51" s="20" t="n">
        <v>170.07</v>
      </c>
      <c r="W51" s="20" t="n">
        <v>170.07</v>
      </c>
      <c r="X51" s="20" t="n">
        <v>170.07</v>
      </c>
      <c r="Y51" s="20" t="n">
        <v>170.07</v>
      </c>
      <c r="Z51" s="20" t="n">
        <v>170.07</v>
      </c>
      <c r="AA51" s="20" t="n">
        <v>170.07</v>
      </c>
      <c r="AB51" s="20" t="n">
        <v>170.07</v>
      </c>
      <c r="AC51" s="20" t="n">
        <v>170.07</v>
      </c>
      <c r="AD51" s="20" t="n">
        <v>170.07</v>
      </c>
      <c r="AE51" s="20" t="n">
        <v>170.07</v>
      </c>
      <c r="AF51" s="20" t="n">
        <v>170.07</v>
      </c>
      <c r="AG51" s="20" t="n">
        <v>170.07</v>
      </c>
      <c r="AH51" s="20" t="n">
        <v>170.07</v>
      </c>
      <c r="AI51" s="20" t="n">
        <v>170.07</v>
      </c>
      <c r="AJ51" s="20" t="n">
        <v>170.07</v>
      </c>
      <c r="AK51" s="20" t="n">
        <v>170.07</v>
      </c>
      <c r="AL51" s="20" t="n">
        <v>170.07</v>
      </c>
      <c r="AM51" s="20" t="n">
        <v>170.07</v>
      </c>
      <c r="AN51" s="20" t="n">
        <v>170.07</v>
      </c>
      <c r="AO51" s="20" t="n">
        <v>170.07</v>
      </c>
      <c r="AP51" s="20" t="n">
        <v>170.07</v>
      </c>
      <c r="AQ51" s="20" t="n">
        <v>170.07</v>
      </c>
      <c r="AR51" s="20" t="n">
        <v>170.07</v>
      </c>
      <c r="AS51" s="20" t="n">
        <v>170.07</v>
      </c>
      <c r="AT51" s="20" t="n">
        <v>170.07</v>
      </c>
      <c r="AU51" s="20" t="n">
        <v>170.07</v>
      </c>
      <c r="AV51" s="20" t="n">
        <v>170.07</v>
      </c>
      <c r="AW51" s="20" t="n">
        <v>170.07</v>
      </c>
      <c r="AX51" s="20" t="n">
        <v>170.07</v>
      </c>
      <c r="AY51" s="20" t="n">
        <v>170.07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106.24</v>
      </c>
      <c r="Q52" s="19" t="n">
        <v>106.24</v>
      </c>
      <c r="R52" s="19" t="n">
        <v>140.78</v>
      </c>
      <c r="S52" s="19" t="n">
        <v>140.78</v>
      </c>
      <c r="T52" s="84" t="n">
        <v>0</v>
      </c>
      <c r="U52" s="20" t="n">
        <v>83.84999999999999</v>
      </c>
      <c r="V52" s="20" t="n">
        <v>83.84999999999999</v>
      </c>
      <c r="W52" s="20" t="n">
        <v>83.84999999999999</v>
      </c>
      <c r="X52" s="20" t="n">
        <v>83.84999999999999</v>
      </c>
      <c r="Y52" s="20" t="n">
        <v>83.84999999999999</v>
      </c>
      <c r="Z52" s="20" t="n">
        <v>83.84999999999999</v>
      </c>
      <c r="AA52" s="20" t="n">
        <v>83.84999999999999</v>
      </c>
      <c r="AB52" s="20" t="n">
        <v>83.84999999999999</v>
      </c>
      <c r="AC52" s="20" t="n">
        <v>83.84999999999999</v>
      </c>
      <c r="AD52" s="20" t="n">
        <v>83.84999999999999</v>
      </c>
      <c r="AE52" s="20" t="n">
        <v>83.84999999999999</v>
      </c>
      <c r="AF52" s="20" t="n">
        <v>83.84999999999999</v>
      </c>
      <c r="AG52" s="20" t="n">
        <v>83.84999999999999</v>
      </c>
      <c r="AH52" s="20" t="n">
        <v>83.84999999999999</v>
      </c>
      <c r="AI52" s="20" t="n">
        <v>83.84999999999999</v>
      </c>
      <c r="AJ52" s="20" t="n">
        <v>83.84999999999999</v>
      </c>
      <c r="AK52" s="20" t="n">
        <v>83.84999999999999</v>
      </c>
      <c r="AL52" s="20" t="n">
        <v>83.84999999999999</v>
      </c>
      <c r="AM52" s="20" t="n">
        <v>83.84999999999999</v>
      </c>
      <c r="AN52" s="20" t="n">
        <v>83.84999999999999</v>
      </c>
      <c r="AO52" s="20" t="n">
        <v>83.84999999999999</v>
      </c>
      <c r="AP52" s="20" t="n">
        <v>83.84999999999999</v>
      </c>
      <c r="AQ52" s="20" t="n">
        <v>83.84999999999999</v>
      </c>
      <c r="AR52" s="20" t="n">
        <v>83.84999999999999</v>
      </c>
      <c r="AS52" s="20" t="n">
        <v>83.84999999999999</v>
      </c>
      <c r="AT52" s="20" t="n">
        <v>83.84999999999999</v>
      </c>
      <c r="AU52" s="20" t="n">
        <v>83.84999999999999</v>
      </c>
      <c r="AV52" s="20" t="n">
        <v>83.84999999999999</v>
      </c>
      <c r="AW52" s="20" t="n">
        <v>83.84999999999999</v>
      </c>
      <c r="AX52" s="20" t="n">
        <v>83.84999999999999</v>
      </c>
      <c r="AY52" s="20" t="n">
        <v>83.84999999999999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115.38</v>
      </c>
      <c r="F53" s="19" t="n">
        <v>115.46</v>
      </c>
      <c r="G53" s="19" t="n">
        <v>115.46</v>
      </c>
      <c r="H53" s="19" t="n">
        <v>115.45</v>
      </c>
      <c r="I53" s="19" t="n">
        <v>115.23</v>
      </c>
      <c r="J53" s="19" t="n">
        <v>115.23</v>
      </c>
      <c r="K53" s="19" t="n">
        <v>115.2</v>
      </c>
      <c r="L53" s="19" t="n">
        <v>115.2</v>
      </c>
      <c r="M53" s="19" t="n">
        <v>118.6</v>
      </c>
      <c r="N53" s="19" t="n">
        <v>283.81</v>
      </c>
      <c r="O53" s="19" t="n">
        <v>259.93</v>
      </c>
      <c r="P53" s="19" t="n">
        <v>113.82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63.61</v>
      </c>
      <c r="V53" s="20" t="n">
        <v>63.61</v>
      </c>
      <c r="W53" s="20" t="n">
        <v>63.61</v>
      </c>
      <c r="X53" s="20" t="n">
        <v>63.61</v>
      </c>
      <c r="Y53" s="20" t="n">
        <v>63.61</v>
      </c>
      <c r="Z53" s="20" t="n">
        <v>63.61</v>
      </c>
      <c r="AA53" s="20" t="n">
        <v>63.61</v>
      </c>
      <c r="AB53" s="20" t="n">
        <v>63.61</v>
      </c>
      <c r="AC53" s="20" t="n">
        <v>63.61</v>
      </c>
      <c r="AD53" s="20" t="n">
        <v>63.61</v>
      </c>
      <c r="AE53" s="20" t="n">
        <v>63.61</v>
      </c>
      <c r="AF53" s="20" t="n">
        <v>63.61</v>
      </c>
      <c r="AG53" s="20" t="n">
        <v>63.61</v>
      </c>
      <c r="AH53" s="20" t="n">
        <v>63.61</v>
      </c>
      <c r="AI53" s="20" t="n">
        <v>63.61</v>
      </c>
      <c r="AJ53" s="20" t="n">
        <v>63.61</v>
      </c>
      <c r="AK53" s="20" t="n">
        <v>63.61</v>
      </c>
      <c r="AL53" s="20" t="n">
        <v>63.61</v>
      </c>
      <c r="AM53" s="20" t="n">
        <v>63.61</v>
      </c>
      <c r="AN53" s="20" t="n">
        <v>63.61</v>
      </c>
      <c r="AO53" s="20" t="n">
        <v>63.61</v>
      </c>
      <c r="AP53" s="20" t="n">
        <v>63.61</v>
      </c>
      <c r="AQ53" s="20" t="n">
        <v>63.61</v>
      </c>
      <c r="AR53" s="20" t="n">
        <v>63.61</v>
      </c>
      <c r="AS53" s="20" t="n">
        <v>63.61</v>
      </c>
      <c r="AT53" s="20" t="n">
        <v>63.61</v>
      </c>
      <c r="AU53" s="20" t="n">
        <v>63.61</v>
      </c>
      <c r="AV53" s="20" t="n">
        <v>63.61</v>
      </c>
      <c r="AW53" s="20" t="n">
        <v>63.61</v>
      </c>
      <c r="AX53" s="20" t="n">
        <v>63.61</v>
      </c>
      <c r="AY53" s="20" t="n">
        <v>63.61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469</v>
      </c>
      <c r="G54" s="19" t="n">
        <v>431.6</v>
      </c>
      <c r="H54" s="19" t="n">
        <v>738.59</v>
      </c>
      <c r="I54" s="19" t="n">
        <v>207.67</v>
      </c>
      <c r="J54" s="19" t="n">
        <v>102.4</v>
      </c>
      <c r="K54" s="19" t="n">
        <v>325.4</v>
      </c>
      <c r="L54" s="19" t="n">
        <v>0</v>
      </c>
      <c r="M54" s="19" t="n">
        <v>345.31</v>
      </c>
      <c r="N54" s="19" t="n">
        <v>345.31</v>
      </c>
      <c r="O54" s="19" t="n">
        <v>0</v>
      </c>
      <c r="P54" s="19" t="n">
        <v>341.91</v>
      </c>
      <c r="Q54" s="19" t="n">
        <v>341.91</v>
      </c>
      <c r="R54" s="19" t="n">
        <v>0</v>
      </c>
      <c r="S54" s="19" t="n">
        <v>0</v>
      </c>
      <c r="T54" s="84" t="n">
        <v>0</v>
      </c>
      <c r="U54" s="20" t="n">
        <v>116.06</v>
      </c>
      <c r="V54" s="20" t="n">
        <v>116.06</v>
      </c>
      <c r="W54" s="20" t="n">
        <v>116.06</v>
      </c>
      <c r="X54" s="20" t="n">
        <v>116.06</v>
      </c>
      <c r="Y54" s="20" t="n">
        <v>116.06</v>
      </c>
      <c r="Z54" s="20" t="n">
        <v>116.06</v>
      </c>
      <c r="AA54" s="20" t="n">
        <v>116.06</v>
      </c>
      <c r="AB54" s="20" t="n">
        <v>116.06</v>
      </c>
      <c r="AC54" s="20" t="n">
        <v>116.06</v>
      </c>
      <c r="AD54" s="20" t="n">
        <v>116.06</v>
      </c>
      <c r="AE54" s="20" t="n">
        <v>116.06</v>
      </c>
      <c r="AF54" s="20" t="n">
        <v>116.06</v>
      </c>
      <c r="AG54" s="20" t="n">
        <v>116.06</v>
      </c>
      <c r="AH54" s="20" t="n">
        <v>116.06</v>
      </c>
      <c r="AI54" s="20" t="n">
        <v>116.06</v>
      </c>
      <c r="AJ54" s="20" t="n">
        <v>116.06</v>
      </c>
      <c r="AK54" s="20" t="n">
        <v>116.06</v>
      </c>
      <c r="AL54" s="20" t="n">
        <v>116.06</v>
      </c>
      <c r="AM54" s="20" t="n">
        <v>116.06</v>
      </c>
      <c r="AN54" s="20" t="n">
        <v>116.06</v>
      </c>
      <c r="AO54" s="20" t="n">
        <v>116.06</v>
      </c>
      <c r="AP54" s="20" t="n">
        <v>116.06</v>
      </c>
      <c r="AQ54" s="20" t="n">
        <v>116.06</v>
      </c>
      <c r="AR54" s="20" t="n">
        <v>116.06</v>
      </c>
      <c r="AS54" s="20" t="n">
        <v>116.06</v>
      </c>
      <c r="AT54" s="20" t="n">
        <v>116.06</v>
      </c>
      <c r="AU54" s="20" t="n">
        <v>116.06</v>
      </c>
      <c r="AV54" s="20" t="n">
        <v>116.06</v>
      </c>
      <c r="AW54" s="20" t="n">
        <v>116.06</v>
      </c>
      <c r="AX54" s="20" t="n">
        <v>116.06</v>
      </c>
      <c r="AY54" s="20" t="n">
        <v>116.06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115.38</v>
      </c>
      <c r="F56" s="35" t="n">
        <v>996.9400000000001</v>
      </c>
      <c r="G56" s="35" t="n">
        <v>653.3</v>
      </c>
      <c r="H56" s="35" t="n">
        <v>1808.89</v>
      </c>
      <c r="I56" s="35" t="n">
        <v>1141.02</v>
      </c>
      <c r="J56" s="35" t="n">
        <v>963.09</v>
      </c>
      <c r="K56" s="35" t="n">
        <v>1151.45</v>
      </c>
      <c r="L56" s="35" t="n">
        <v>892.12</v>
      </c>
      <c r="M56" s="35" t="n">
        <v>994.87</v>
      </c>
      <c r="N56" s="35" t="n">
        <v>1057.25</v>
      </c>
      <c r="O56" s="35" t="n">
        <v>595.49</v>
      </c>
      <c r="P56" s="35" t="n">
        <v>775.5</v>
      </c>
      <c r="Q56" s="35" t="n">
        <v>781.45</v>
      </c>
      <c r="R56" s="35" t="n">
        <v>476.46</v>
      </c>
      <c r="S56" s="35" t="n">
        <v>521.3399999999999</v>
      </c>
      <c r="T56" s="85" t="n">
        <v>528.66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1950.89</v>
      </c>
      <c r="F57" s="19" t="n">
        <v>12524.29</v>
      </c>
      <c r="G57" s="19" t="n">
        <v>12524.29</v>
      </c>
      <c r="H57" s="19" t="n">
        <v>12524.29</v>
      </c>
      <c r="I57" s="19" t="n">
        <v>12524.29</v>
      </c>
      <c r="J57" s="19" t="n">
        <v>12524.29</v>
      </c>
      <c r="K57" s="19" t="n">
        <v>12524.29</v>
      </c>
      <c r="L57" s="19" t="n">
        <v>12524.29</v>
      </c>
      <c r="M57" s="19" t="n">
        <v>12524.29</v>
      </c>
      <c r="N57" s="19" t="n">
        <v>12524.29</v>
      </c>
      <c r="O57" s="19" t="n">
        <v>12524.29</v>
      </c>
      <c r="P57" s="19" t="n">
        <v>12524.29</v>
      </c>
      <c r="Q57" s="19" t="n">
        <v>12524.29</v>
      </c>
      <c r="R57" s="19" t="n">
        <v>12524.29</v>
      </c>
      <c r="S57" s="19" t="n">
        <v>12524.29</v>
      </c>
      <c r="T57" s="84" t="n">
        <v>12524.29</v>
      </c>
      <c r="U57" s="20" t="n">
        <v>12349.67</v>
      </c>
      <c r="V57" s="20" t="n">
        <v>12349.67</v>
      </c>
      <c r="W57" s="20" t="n">
        <v>12349.67</v>
      </c>
      <c r="X57" s="20" t="n">
        <v>12349.67</v>
      </c>
      <c r="Y57" s="20" t="n">
        <v>12349.67</v>
      </c>
      <c r="Z57" s="20" t="n">
        <v>12349.67</v>
      </c>
      <c r="AA57" s="20" t="n">
        <v>12349.67</v>
      </c>
      <c r="AB57" s="20" t="n">
        <v>12349.67</v>
      </c>
      <c r="AC57" s="20" t="n">
        <v>12349.67</v>
      </c>
      <c r="AD57" s="20" t="n">
        <v>12349.67</v>
      </c>
      <c r="AE57" s="20" t="n">
        <v>12349.67</v>
      </c>
      <c r="AF57" s="20" t="n">
        <v>12349.67</v>
      </c>
      <c r="AG57" s="20" t="n">
        <v>12349.67</v>
      </c>
      <c r="AH57" s="20" t="n">
        <v>12349.67</v>
      </c>
      <c r="AI57" s="20" t="n">
        <v>12349.67</v>
      </c>
      <c r="AJ57" s="20" t="n">
        <v>12349.67</v>
      </c>
      <c r="AK57" s="20" t="n">
        <v>12349.67</v>
      </c>
      <c r="AL57" s="20" t="n">
        <v>12349.67</v>
      </c>
      <c r="AM57" s="20" t="n">
        <v>12349.67</v>
      </c>
      <c r="AN57" s="20" t="n">
        <v>12349.67</v>
      </c>
      <c r="AO57" s="20" t="n">
        <v>12349.67</v>
      </c>
      <c r="AP57" s="20" t="n">
        <v>12349.67</v>
      </c>
      <c r="AQ57" s="20" t="n">
        <v>12349.67</v>
      </c>
      <c r="AR57" s="20" t="n">
        <v>12349.67</v>
      </c>
      <c r="AS57" s="20" t="n">
        <v>12349.67</v>
      </c>
      <c r="AT57" s="20" t="n">
        <v>12349.67</v>
      </c>
      <c r="AU57" s="20" t="n">
        <v>12349.67</v>
      </c>
      <c r="AV57" s="20" t="n">
        <v>12349.67</v>
      </c>
      <c r="AW57" s="20" t="n">
        <v>12349.67</v>
      </c>
      <c r="AX57" s="20" t="n">
        <v>12349.67</v>
      </c>
      <c r="AY57" s="20" t="n">
        <v>12349.67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22.09</v>
      </c>
      <c r="I59" s="19" t="n">
        <v>70.17</v>
      </c>
      <c r="J59" s="19" t="n">
        <v>89.42</v>
      </c>
      <c r="K59" s="19" t="n">
        <v>322.12</v>
      </c>
      <c r="L59" s="19" t="n">
        <v>26.56</v>
      </c>
      <c r="M59" s="19" t="n">
        <v>679.5700000000001</v>
      </c>
      <c r="N59" s="19" t="n">
        <v>480.04</v>
      </c>
      <c r="O59" s="19" t="n">
        <v>335.75</v>
      </c>
      <c r="P59" s="19" t="n">
        <v>202.66</v>
      </c>
      <c r="Q59" s="19" t="n">
        <v>202.66</v>
      </c>
      <c r="R59" s="19" t="n">
        <v>651.03</v>
      </c>
      <c r="S59" s="19" t="n">
        <v>474.11</v>
      </c>
      <c r="T59" s="84" t="n">
        <v>392.58</v>
      </c>
      <c r="U59" s="20" t="n">
        <v>377.28</v>
      </c>
      <c r="V59" s="20" t="n">
        <v>377.28</v>
      </c>
      <c r="W59" s="20" t="n">
        <v>377.28</v>
      </c>
      <c r="X59" s="20" t="n">
        <v>377.28</v>
      </c>
      <c r="Y59" s="20" t="n">
        <v>377.28</v>
      </c>
      <c r="Z59" s="20" t="n">
        <v>377.28</v>
      </c>
      <c r="AA59" s="20" t="n">
        <v>377.28</v>
      </c>
      <c r="AB59" s="20" t="n">
        <v>377.28</v>
      </c>
      <c r="AC59" s="20" t="n">
        <v>377.28</v>
      </c>
      <c r="AD59" s="20" t="n">
        <v>377.28</v>
      </c>
      <c r="AE59" s="20" t="n">
        <v>377.28</v>
      </c>
      <c r="AF59" s="20" t="n">
        <v>377.28</v>
      </c>
      <c r="AG59" s="20" t="n">
        <v>377.28</v>
      </c>
      <c r="AH59" s="20" t="n">
        <v>377.28</v>
      </c>
      <c r="AI59" s="20" t="n">
        <v>377.28</v>
      </c>
      <c r="AJ59" s="20" t="n">
        <v>377.28</v>
      </c>
      <c r="AK59" s="20" t="n">
        <v>377.28</v>
      </c>
      <c r="AL59" s="20" t="n">
        <v>377.28</v>
      </c>
      <c r="AM59" s="20" t="n">
        <v>377.28</v>
      </c>
      <c r="AN59" s="20" t="n">
        <v>377.28</v>
      </c>
      <c r="AO59" s="20" t="n">
        <v>377.28</v>
      </c>
      <c r="AP59" s="20" t="n">
        <v>377.28</v>
      </c>
      <c r="AQ59" s="20" t="n">
        <v>377.28</v>
      </c>
      <c r="AR59" s="20" t="n">
        <v>377.28</v>
      </c>
      <c r="AS59" s="20" t="n">
        <v>377.28</v>
      </c>
      <c r="AT59" s="20" t="n">
        <v>377.28</v>
      </c>
      <c r="AU59" s="20" t="n">
        <v>377.28</v>
      </c>
      <c r="AV59" s="20" t="n">
        <v>377.28</v>
      </c>
      <c r="AW59" s="20" t="n">
        <v>377.28</v>
      </c>
      <c r="AX59" s="20" t="n">
        <v>377.28</v>
      </c>
      <c r="AY59" s="20" t="n">
        <v>377.28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1950.89</v>
      </c>
      <c r="F61" s="35" t="n">
        <v>12524.29</v>
      </c>
      <c r="G61" s="35" t="n">
        <v>12524.29</v>
      </c>
      <c r="H61" s="35" t="n">
        <v>12783.1</v>
      </c>
      <c r="I61" s="35" t="n">
        <v>13225.22</v>
      </c>
      <c r="J61" s="35" t="n">
        <v>12613.71</v>
      </c>
      <c r="K61" s="35" t="n">
        <v>12867.43</v>
      </c>
      <c r="L61" s="35" t="n">
        <v>12681.96</v>
      </c>
      <c r="M61" s="35" t="n">
        <v>13203.86</v>
      </c>
      <c r="N61" s="35" t="n">
        <v>13004.33</v>
      </c>
      <c r="O61" s="35" t="n">
        <v>12860.04</v>
      </c>
      <c r="P61" s="35" t="n">
        <v>12726.95</v>
      </c>
      <c r="Q61" s="35" t="n">
        <v>12726.95</v>
      </c>
      <c r="R61" s="35" t="n">
        <v>13175.32</v>
      </c>
      <c r="S61" s="35" t="n">
        <v>12998.4</v>
      </c>
      <c r="T61" s="85" t="n">
        <v>12916.87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719.87</v>
      </c>
      <c r="E62" s="35" t="n">
        <v>5189.830000000001</v>
      </c>
      <c r="F62" s="35" t="n">
        <v>27247.86</v>
      </c>
      <c r="G62" s="35" t="n">
        <v>59138.26</v>
      </c>
      <c r="H62" s="35" t="n">
        <v>68713.60000000001</v>
      </c>
      <c r="I62" s="35" t="n">
        <v>68926.75</v>
      </c>
      <c r="J62" s="35" t="n">
        <v>68220.29999999999</v>
      </c>
      <c r="K62" s="35" t="n">
        <v>73220.25</v>
      </c>
      <c r="L62" s="35" t="n">
        <v>63893.45</v>
      </c>
      <c r="M62" s="35" t="n">
        <v>64195.18</v>
      </c>
      <c r="N62" s="35" t="n">
        <v>61639.17</v>
      </c>
      <c r="O62" s="35" t="n">
        <v>58434.50999999999</v>
      </c>
      <c r="P62" s="35" t="n">
        <v>61891.42</v>
      </c>
      <c r="Q62" s="35" t="n">
        <v>53082.83999999998</v>
      </c>
      <c r="R62" s="35" t="n">
        <v>50964.46</v>
      </c>
      <c r="S62" s="35" t="n">
        <v>50550.10000000001</v>
      </c>
      <c r="T62" s="85" t="n">
        <v>54630.61000000001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-719.87</v>
      </c>
      <c r="E63" s="35" t="n">
        <v>-5114.830000000001</v>
      </c>
      <c r="F63" s="35" t="n">
        <v>-28027.22</v>
      </c>
      <c r="G63" s="35" t="n">
        <v>-48214.48</v>
      </c>
      <c r="H63" s="35" t="n">
        <v>-29879.84000000002</v>
      </c>
      <c r="I63" s="35" t="n">
        <v>-22739.29</v>
      </c>
      <c r="J63" s="35" t="n">
        <v>-13778.64</v>
      </c>
      <c r="K63" s="35" t="n">
        <v>-14538.92</v>
      </c>
      <c r="L63" s="35" t="n">
        <v>-9560.640000000009</v>
      </c>
      <c r="M63" s="35" t="n">
        <v>-10737.13</v>
      </c>
      <c r="N63" s="35" t="n">
        <v>-8275.619999999995</v>
      </c>
      <c r="O63" s="35" t="n">
        <v>-2011.749999999978</v>
      </c>
      <c r="P63" s="35" t="n">
        <v>1300.169999999998</v>
      </c>
      <c r="Q63" s="35" t="n">
        <v>39.22000000002299</v>
      </c>
      <c r="R63" s="35" t="n">
        <v>5969.870000000003</v>
      </c>
      <c r="S63" s="35" t="n">
        <v>-3673.190000000002</v>
      </c>
      <c r="T63" s="85" t="n">
        <v>10023.7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2084.22</v>
      </c>
      <c r="H65" s="19" t="n">
        <v>2089.47</v>
      </c>
      <c r="I65" s="19" t="n">
        <v>2112.72</v>
      </c>
      <c r="J65" s="19" t="n">
        <v>2062.49</v>
      </c>
      <c r="K65" s="19" t="n">
        <v>2104.17</v>
      </c>
      <c r="L65" s="19" t="n">
        <v>2105.9</v>
      </c>
      <c r="M65" s="19" t="n">
        <v>2095.37</v>
      </c>
      <c r="N65" s="19" t="n">
        <v>2105.9</v>
      </c>
      <c r="O65" s="19" t="n">
        <v>2023.81</v>
      </c>
      <c r="P65" s="19" t="n">
        <v>1996.64</v>
      </c>
      <c r="Q65" s="19" t="n">
        <v>1996.64</v>
      </c>
      <c r="R65" s="19" t="n">
        <v>1996.64</v>
      </c>
      <c r="S65" s="19" t="n">
        <v>1996.64</v>
      </c>
      <c r="T65" s="84" t="n">
        <v>1996.64</v>
      </c>
      <c r="U65" s="20" t="n">
        <v>1996.64</v>
      </c>
      <c r="V65" s="20" t="n">
        <v>1996.64</v>
      </c>
      <c r="W65" s="20" t="n">
        <v>1996.64</v>
      </c>
      <c r="X65" s="20" t="n">
        <v>1996.64</v>
      </c>
      <c r="Y65" s="20" t="n">
        <v>1996.64</v>
      </c>
      <c r="Z65" s="20" t="n">
        <v>1996.64</v>
      </c>
      <c r="AA65" s="20" t="n">
        <v>1996.64</v>
      </c>
      <c r="AB65" s="20" t="n">
        <v>1996.64</v>
      </c>
      <c r="AC65" s="20" t="n">
        <v>1996.64</v>
      </c>
      <c r="AD65" s="20" t="n">
        <v>1996.64</v>
      </c>
      <c r="AE65" s="20" t="n">
        <v>1996.64</v>
      </c>
      <c r="AF65" s="20" t="n">
        <v>1996.64</v>
      </c>
      <c r="AG65" s="20" t="n">
        <v>1996.64</v>
      </c>
      <c r="AH65" s="20" t="n">
        <v>1996.64</v>
      </c>
      <c r="AI65" s="20" t="n">
        <v>1996.64</v>
      </c>
      <c r="AJ65" s="20" t="n">
        <v>1996.64</v>
      </c>
      <c r="AK65" s="20" t="n">
        <v>1996.64</v>
      </c>
      <c r="AL65" s="20" t="n">
        <v>1996.64</v>
      </c>
      <c r="AM65" s="20" t="n">
        <v>1996.64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2084.22</v>
      </c>
      <c r="H69" s="35" t="n">
        <v>2089.47</v>
      </c>
      <c r="I69" s="35" t="n">
        <v>2112.72</v>
      </c>
      <c r="J69" s="35" t="n">
        <v>2062.49</v>
      </c>
      <c r="K69" s="35" t="n">
        <v>2104.17</v>
      </c>
      <c r="L69" s="35" t="n">
        <v>2105.9</v>
      </c>
      <c r="M69" s="35" t="n">
        <v>2095.37</v>
      </c>
      <c r="N69" s="35" t="n">
        <v>2105.9</v>
      </c>
      <c r="O69" s="35" t="n">
        <v>2023.81</v>
      </c>
      <c r="P69" s="35" t="n">
        <v>1996.64</v>
      </c>
      <c r="Q69" s="35" t="n">
        <v>1996.64</v>
      </c>
      <c r="R69" s="35" t="n">
        <v>1996.64</v>
      </c>
      <c r="S69" s="35" t="n">
        <v>1996.64</v>
      </c>
      <c r="T69" s="85" t="n">
        <v>1996.64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-719.87</v>
      </c>
      <c r="E70" s="35" t="n">
        <v>-5114.830000000001</v>
      </c>
      <c r="F70" s="35" t="n">
        <v>-28027.22</v>
      </c>
      <c r="G70" s="35" t="n">
        <v>-50298.7</v>
      </c>
      <c r="H70" s="35" t="n">
        <v>-31969.31000000002</v>
      </c>
      <c r="I70" s="35" t="n">
        <v>-24852.01</v>
      </c>
      <c r="J70" s="35" t="n">
        <v>-15841.13</v>
      </c>
      <c r="K70" s="35" t="n">
        <v>-16643.09</v>
      </c>
      <c r="L70" s="35" t="n">
        <v>-11666.54000000001</v>
      </c>
      <c r="M70" s="35" t="n">
        <v>-12832.5</v>
      </c>
      <c r="N70" s="35" t="n">
        <v>-10381.52</v>
      </c>
      <c r="O70" s="35" t="n">
        <v>-4035.559999999978</v>
      </c>
      <c r="P70" s="35" t="n">
        <v>-696.4700000000018</v>
      </c>
      <c r="Q70" s="35" t="n">
        <v>-1957.419999999977</v>
      </c>
      <c r="R70" s="35" t="n">
        <v>3973.230000000002</v>
      </c>
      <c r="S70" s="35" t="n">
        <v>-5669.830000000003</v>
      </c>
      <c r="T70" s="85" t="n">
        <v>8027.060000000004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9" activePane="bottomRight" state="frozen"/>
      <selection pane="topRight" activeCell="A1" sqref="A1"/>
      <selection pane="bottomLeft" activeCell="A1" sqref="A1"/>
      <selection pane="bottomRight" activeCell="K63" sqref="K63: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Presidio Heights (PH)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108612.82</v>
      </c>
      <c r="E7" s="19" t="n">
        <v>121396.9</v>
      </c>
      <c r="F7" s="19" t="n">
        <v>145502.53</v>
      </c>
      <c r="G7" s="19" t="n">
        <v>135243.93</v>
      </c>
      <c r="H7" s="19" t="n">
        <v>121180.99</v>
      </c>
      <c r="I7" s="19" t="n">
        <v>107394.6</v>
      </c>
      <c r="J7" s="19" t="n">
        <v>81107.35000000001</v>
      </c>
      <c r="K7" s="19" t="n">
        <v>89385.37</v>
      </c>
      <c r="L7" s="19" t="n">
        <v>91441.91</v>
      </c>
      <c r="M7" s="19" t="n">
        <v>92019.48</v>
      </c>
      <c r="N7" s="19" t="n">
        <v>86227.21000000001</v>
      </c>
      <c r="O7" s="19" t="n">
        <v>77109.3</v>
      </c>
      <c r="P7" s="19" t="n">
        <v>94875.78999999999</v>
      </c>
      <c r="Q7" s="19" t="n">
        <v>90071.06</v>
      </c>
      <c r="R7" s="19" t="n">
        <v>94637.59</v>
      </c>
      <c r="S7" s="19" t="n">
        <v>88446.17999999999</v>
      </c>
      <c r="T7" s="84" t="n">
        <v>86849.96000000001</v>
      </c>
      <c r="U7" s="20">
        <f>U13*0.662204</f>
        <v/>
      </c>
      <c r="V7" s="20">
        <f>V13*0.662204</f>
        <v/>
      </c>
      <c r="W7" s="20">
        <f>W13*0.662204</f>
        <v/>
      </c>
      <c r="X7" s="20">
        <f>X13*0.662204</f>
        <v/>
      </c>
      <c r="Y7" s="20">
        <f>Y13*0.662204</f>
        <v/>
      </c>
      <c r="Z7" s="20">
        <f>Z13*0.662204</f>
        <v/>
      </c>
      <c r="AA7" s="20">
        <f>AA13*0.662204</f>
        <v/>
      </c>
      <c r="AB7" s="20">
        <f>AB13*0.662204</f>
        <v/>
      </c>
      <c r="AC7" s="20">
        <f>AC13*0.662204</f>
        <v/>
      </c>
      <c r="AD7" s="20">
        <f>AD13*0.662204</f>
        <v/>
      </c>
      <c r="AE7" s="20">
        <f>AE13*0.662204</f>
        <v/>
      </c>
      <c r="AF7" s="20">
        <f>AF13*0.662204</f>
        <v/>
      </c>
      <c r="AG7" s="20">
        <f>AG13*0.662204</f>
        <v/>
      </c>
      <c r="AH7" s="20">
        <f>AH13*0.662204</f>
        <v/>
      </c>
      <c r="AI7" s="20">
        <f>AI13*0.662204</f>
        <v/>
      </c>
      <c r="AJ7" s="20">
        <f>AJ13*0.662204</f>
        <v/>
      </c>
      <c r="AK7" s="20">
        <f>AK13*0.662204</f>
        <v/>
      </c>
      <c r="AL7" s="20">
        <f>AL13*0.662204</f>
        <v/>
      </c>
      <c r="AM7" s="20">
        <f>AM13*0.662204</f>
        <v/>
      </c>
      <c r="AN7" s="20">
        <f>AN13*0.662204</f>
        <v/>
      </c>
      <c r="AO7" s="20">
        <f>AO13*0.662204</f>
        <v/>
      </c>
      <c r="AP7" s="20">
        <f>AP13*0.662204</f>
        <v/>
      </c>
      <c r="AQ7" s="20">
        <f>AQ13*0.662204</f>
        <v/>
      </c>
      <c r="AR7" s="20">
        <f>AR13*0.662204</f>
        <v/>
      </c>
      <c r="AS7" s="20">
        <f>AS13*0.662204</f>
        <v/>
      </c>
      <c r="AT7" s="20">
        <f>AT13*0.662204</f>
        <v/>
      </c>
      <c r="AU7" s="20">
        <f>AU13*0.662204</f>
        <v/>
      </c>
      <c r="AV7" s="20">
        <f>AV13*0.662204</f>
        <v/>
      </c>
      <c r="AW7" s="20">
        <f>AW13*0.662204</f>
        <v/>
      </c>
      <c r="AX7" s="20">
        <f>AX13*0.662204</f>
        <v/>
      </c>
      <c r="AY7" s="20">
        <f>AY13*0.662204</f>
        <v/>
      </c>
    </row>
    <row r="8">
      <c r="B8" s="33" t="inlineStr">
        <is>
          <t xml:space="preserve">  401002 Private Pilates</t>
        </is>
      </c>
      <c r="D8" s="19" t="n">
        <v>14430.5</v>
      </c>
      <c r="E8" s="19" t="n">
        <v>16687.5</v>
      </c>
      <c r="F8" s="19" t="n">
        <v>21714</v>
      </c>
      <c r="G8" s="19" t="n">
        <v>22889</v>
      </c>
      <c r="H8" s="19" t="n">
        <v>15965</v>
      </c>
      <c r="I8" s="19" t="n">
        <v>11290</v>
      </c>
      <c r="J8" s="19" t="n">
        <v>7310.22</v>
      </c>
      <c r="K8" s="19" t="n">
        <v>8288.469999999999</v>
      </c>
      <c r="L8" s="19" t="n">
        <v>8184.83</v>
      </c>
      <c r="M8" s="19" t="n">
        <v>9139.110000000001</v>
      </c>
      <c r="N8" s="19" t="n">
        <v>5071</v>
      </c>
      <c r="O8" s="19" t="n">
        <v>5917.5</v>
      </c>
      <c r="P8" s="19" t="n">
        <v>7294.5</v>
      </c>
      <c r="Q8" s="19" t="n">
        <v>8852</v>
      </c>
      <c r="R8" s="19" t="n">
        <v>7516.6</v>
      </c>
      <c r="S8" s="19" t="n">
        <v>6803.2</v>
      </c>
      <c r="T8" s="84" t="n">
        <v>7098.06</v>
      </c>
      <c r="U8" s="20">
        <f>U13*0.054819</f>
        <v/>
      </c>
      <c r="V8" s="20">
        <f>V13*0.054819</f>
        <v/>
      </c>
      <c r="W8" s="20">
        <f>W13*0.054819</f>
        <v/>
      </c>
      <c r="X8" s="20">
        <f>X13*0.054819</f>
        <v/>
      </c>
      <c r="Y8" s="20">
        <f>Y13*0.054819</f>
        <v/>
      </c>
      <c r="Z8" s="20">
        <f>Z13*0.054819</f>
        <v/>
      </c>
      <c r="AA8" s="20">
        <f>AA13*0.054819</f>
        <v/>
      </c>
      <c r="AB8" s="20">
        <f>AB13*0.054819</f>
        <v/>
      </c>
      <c r="AC8" s="20">
        <f>AC13*0.054819</f>
        <v/>
      </c>
      <c r="AD8" s="20">
        <f>AD13*0.054819</f>
        <v/>
      </c>
      <c r="AE8" s="20">
        <f>AE13*0.054819</f>
        <v/>
      </c>
      <c r="AF8" s="20">
        <f>AF13*0.054819</f>
        <v/>
      </c>
      <c r="AG8" s="20">
        <f>AG13*0.054819</f>
        <v/>
      </c>
      <c r="AH8" s="20">
        <f>AH13*0.054819</f>
        <v/>
      </c>
      <c r="AI8" s="20">
        <f>AI13*0.054819</f>
        <v/>
      </c>
      <c r="AJ8" s="20">
        <f>AJ13*0.054819</f>
        <v/>
      </c>
      <c r="AK8" s="20">
        <f>AK13*0.054819</f>
        <v/>
      </c>
      <c r="AL8" s="20">
        <f>AL13*0.054819</f>
        <v/>
      </c>
      <c r="AM8" s="20">
        <f>AM13*0.054819</f>
        <v/>
      </c>
      <c r="AN8" s="20">
        <f>AN13*0.054819</f>
        <v/>
      </c>
      <c r="AO8" s="20">
        <f>AO13*0.054819</f>
        <v/>
      </c>
      <c r="AP8" s="20">
        <f>AP13*0.054819</f>
        <v/>
      </c>
      <c r="AQ8" s="20">
        <f>AQ13*0.054819</f>
        <v/>
      </c>
      <c r="AR8" s="20">
        <f>AR13*0.054819</f>
        <v/>
      </c>
      <c r="AS8" s="20">
        <f>AS13*0.054819</f>
        <v/>
      </c>
      <c r="AT8" s="20">
        <f>AT13*0.054819</f>
        <v/>
      </c>
      <c r="AU8" s="20">
        <f>AU13*0.054819</f>
        <v/>
      </c>
      <c r="AV8" s="20">
        <f>AV13*0.054819</f>
        <v/>
      </c>
      <c r="AW8" s="20">
        <f>AW13*0.054819</f>
        <v/>
      </c>
      <c r="AX8" s="20">
        <f>AX13*0.054819</f>
        <v/>
      </c>
      <c r="AY8" s="20">
        <f>AY13*0.054819</f>
        <v/>
      </c>
    </row>
    <row r="9">
      <c r="B9" s="33" t="inlineStr">
        <is>
          <t xml:space="preserve">  401003 Class Pass</t>
        </is>
      </c>
      <c r="D9" s="19" t="n">
        <v>6706.19</v>
      </c>
      <c r="E9" s="19" t="n">
        <v>7881.09</v>
      </c>
      <c r="F9" s="19" t="n">
        <v>10700.77</v>
      </c>
      <c r="G9" s="19" t="n">
        <v>11779.51</v>
      </c>
      <c r="H9" s="19" t="n">
        <v>9311.790000000001</v>
      </c>
      <c r="I9" s="19" t="n">
        <v>11135.65</v>
      </c>
      <c r="J9" s="19" t="n">
        <v>10157.26</v>
      </c>
      <c r="K9" s="19" t="n">
        <v>12755.06</v>
      </c>
      <c r="L9" s="19" t="n">
        <v>13514.07</v>
      </c>
      <c r="M9" s="19" t="n">
        <v>14586.96</v>
      </c>
      <c r="N9" s="19" t="n">
        <v>15677.31</v>
      </c>
      <c r="O9" s="19" t="n">
        <v>15148</v>
      </c>
      <c r="P9" s="19" t="n">
        <v>19124.53</v>
      </c>
      <c r="Q9" s="19" t="n">
        <v>17656.36</v>
      </c>
      <c r="R9" s="19" t="n">
        <v>21495.08</v>
      </c>
      <c r="S9" s="19" t="n">
        <v>21146</v>
      </c>
      <c r="T9" s="84" t="n">
        <v>20464.52</v>
      </c>
      <c r="U9" s="20">
        <f>U13*0.142905</f>
        <v/>
      </c>
      <c r="V9" s="20">
        <f>V13*0.142905</f>
        <v/>
      </c>
      <c r="W9" s="20">
        <f>W13*0.142905</f>
        <v/>
      </c>
      <c r="X9" s="20">
        <f>X13*0.142905</f>
        <v/>
      </c>
      <c r="Y9" s="20">
        <f>Y13*0.142905</f>
        <v/>
      </c>
      <c r="Z9" s="20">
        <f>Z13*0.142905</f>
        <v/>
      </c>
      <c r="AA9" s="20">
        <f>AA13*0.142905</f>
        <v/>
      </c>
      <c r="AB9" s="20">
        <f>AB13*0.142905</f>
        <v/>
      </c>
      <c r="AC9" s="20">
        <f>AC13*0.142905</f>
        <v/>
      </c>
      <c r="AD9" s="20">
        <f>AD13*0.142905</f>
        <v/>
      </c>
      <c r="AE9" s="20">
        <f>AE13*0.142905</f>
        <v/>
      </c>
      <c r="AF9" s="20">
        <f>AF13*0.142905</f>
        <v/>
      </c>
      <c r="AG9" s="20">
        <f>AG13*0.142905</f>
        <v/>
      </c>
      <c r="AH9" s="20">
        <f>AH13*0.142905</f>
        <v/>
      </c>
      <c r="AI9" s="20">
        <f>AI13*0.142905</f>
        <v/>
      </c>
      <c r="AJ9" s="20">
        <f>AJ13*0.142905</f>
        <v/>
      </c>
      <c r="AK9" s="20">
        <f>AK13*0.142905</f>
        <v/>
      </c>
      <c r="AL9" s="20">
        <f>AL13*0.142905</f>
        <v/>
      </c>
      <c r="AM9" s="20">
        <f>AM13*0.142905</f>
        <v/>
      </c>
      <c r="AN9" s="20">
        <f>AN13*0.142905</f>
        <v/>
      </c>
      <c r="AO9" s="20">
        <f>AO13*0.142905</f>
        <v/>
      </c>
      <c r="AP9" s="20">
        <f>AP13*0.142905</f>
        <v/>
      </c>
      <c r="AQ9" s="20">
        <f>AQ13*0.142905</f>
        <v/>
      </c>
      <c r="AR9" s="20">
        <f>AR13*0.142905</f>
        <v/>
      </c>
      <c r="AS9" s="20">
        <f>AS13*0.142905</f>
        <v/>
      </c>
      <c r="AT9" s="20">
        <f>AT13*0.142905</f>
        <v/>
      </c>
      <c r="AU9" s="20">
        <f>AU13*0.142905</f>
        <v/>
      </c>
      <c r="AV9" s="20">
        <f>AV13*0.142905</f>
        <v/>
      </c>
      <c r="AW9" s="20">
        <f>AW13*0.142905</f>
        <v/>
      </c>
      <c r="AX9" s="20">
        <f>AX13*0.142905</f>
        <v/>
      </c>
      <c r="AY9" s="20">
        <f>AY13*0.142905</f>
        <v/>
      </c>
    </row>
    <row r="10">
      <c r="B10" s="33" t="inlineStr">
        <is>
          <t xml:space="preserve">  401004 Mighty Teacher Training</t>
        </is>
      </c>
      <c r="D10" s="19" t="n">
        <v>2240</v>
      </c>
      <c r="E10" s="19" t="n">
        <v>960</v>
      </c>
      <c r="F10" s="19" t="n">
        <v>0</v>
      </c>
      <c r="G10" s="19" t="n">
        <v>0</v>
      </c>
      <c r="H10" s="19" t="n">
        <v>320</v>
      </c>
      <c r="I10" s="19" t="n">
        <v>1500</v>
      </c>
      <c r="J10" s="19" t="n">
        <v>4080</v>
      </c>
      <c r="K10" s="19" t="n">
        <v>640</v>
      </c>
      <c r="L10" s="19" t="n">
        <v>320</v>
      </c>
      <c r="M10" s="19" t="n">
        <v>160</v>
      </c>
      <c r="N10" s="19" t="n">
        <v>0</v>
      </c>
      <c r="O10" s="19" t="n">
        <v>0</v>
      </c>
      <c r="P10" s="19" t="n">
        <v>53914</v>
      </c>
      <c r="Q10" s="19" t="n">
        <v>14854.17</v>
      </c>
      <c r="R10" s="19" t="n">
        <v>270.83</v>
      </c>
      <c r="S10" s="19" t="n">
        <v>0</v>
      </c>
      <c r="T10" s="84" t="n">
        <v>0</v>
      </c>
      <c r="U10" s="20">
        <f>U13*0.124223</f>
        <v/>
      </c>
      <c r="V10" s="20">
        <f>V13*0.124223</f>
        <v/>
      </c>
      <c r="W10" s="20">
        <f>W13*0.124223</f>
        <v/>
      </c>
      <c r="X10" s="20">
        <f>X13*0.124223</f>
        <v/>
      </c>
      <c r="Y10" s="20">
        <f>Y13*0.124223</f>
        <v/>
      </c>
      <c r="Z10" s="20">
        <f>Z13*0.124223</f>
        <v/>
      </c>
      <c r="AA10" s="20">
        <f>AA13*0.124223</f>
        <v/>
      </c>
      <c r="AB10" s="20">
        <f>AB13*0.124223</f>
        <v/>
      </c>
      <c r="AC10" s="20">
        <f>AC13*0.124223</f>
        <v/>
      </c>
      <c r="AD10" s="20">
        <f>AD13*0.124223</f>
        <v/>
      </c>
      <c r="AE10" s="20">
        <f>AE13*0.124223</f>
        <v/>
      </c>
      <c r="AF10" s="20">
        <f>AF13*0.124223</f>
        <v/>
      </c>
      <c r="AG10" s="20">
        <f>AG13*0.124223</f>
        <v/>
      </c>
      <c r="AH10" s="20">
        <f>AH13*0.124223</f>
        <v/>
      </c>
      <c r="AI10" s="20">
        <f>AI13*0.124223</f>
        <v/>
      </c>
      <c r="AJ10" s="20">
        <f>AJ13*0.124223</f>
        <v/>
      </c>
      <c r="AK10" s="20">
        <f>AK13*0.124223</f>
        <v/>
      </c>
      <c r="AL10" s="20">
        <f>AL13*0.124223</f>
        <v/>
      </c>
      <c r="AM10" s="20">
        <f>AM13*0.124223</f>
        <v/>
      </c>
      <c r="AN10" s="20">
        <f>AN13*0.124223</f>
        <v/>
      </c>
      <c r="AO10" s="20">
        <f>AO13*0.124223</f>
        <v/>
      </c>
      <c r="AP10" s="20">
        <f>AP13*0.124223</f>
        <v/>
      </c>
      <c r="AQ10" s="20">
        <f>AQ13*0.124223</f>
        <v/>
      </c>
      <c r="AR10" s="20">
        <f>AR13*0.124223</f>
        <v/>
      </c>
      <c r="AS10" s="20">
        <f>AS13*0.124223</f>
        <v/>
      </c>
      <c r="AT10" s="20">
        <f>AT13*0.124223</f>
        <v/>
      </c>
      <c r="AU10" s="20">
        <f>AU13*0.124223</f>
        <v/>
      </c>
      <c r="AV10" s="20">
        <f>AV13*0.124223</f>
        <v/>
      </c>
      <c r="AW10" s="20">
        <f>AW13*0.124223</f>
        <v/>
      </c>
      <c r="AX10" s="20">
        <f>AX13*0.124223</f>
        <v/>
      </c>
      <c r="AY10" s="20">
        <f>AY13*0.124223</f>
        <v/>
      </c>
    </row>
    <row r="11">
      <c r="B11" s="33" t="inlineStr">
        <is>
          <t xml:space="preserve">  401005 Livestream Classes</t>
        </is>
      </c>
      <c r="D11" s="19" t="n">
        <v>1196.41</v>
      </c>
      <c r="E11" s="19" t="n">
        <v>934.02</v>
      </c>
      <c r="F11" s="19" t="n">
        <v>971</v>
      </c>
      <c r="G11" s="19" t="n">
        <v>790.86</v>
      </c>
      <c r="H11" s="19" t="n">
        <v>779.6</v>
      </c>
      <c r="I11" s="19" t="n">
        <v>747.34</v>
      </c>
      <c r="J11" s="19" t="n">
        <v>774.02</v>
      </c>
      <c r="K11" s="19" t="n">
        <v>930.26</v>
      </c>
      <c r="L11" s="19" t="n">
        <v>623.0599999999999</v>
      </c>
      <c r="M11" s="19" t="n">
        <v>446.54</v>
      </c>
      <c r="N11" s="19" t="n">
        <v>424.05</v>
      </c>
      <c r="O11" s="19" t="n">
        <v>498.36</v>
      </c>
      <c r="P11" s="19" t="n">
        <v>478.66</v>
      </c>
      <c r="Q11" s="19" t="n">
        <v>402.78</v>
      </c>
      <c r="R11" s="19" t="n">
        <v>434.62</v>
      </c>
      <c r="S11" s="19" t="n">
        <v>431.28</v>
      </c>
      <c r="T11" s="84" t="n">
        <v>419.47</v>
      </c>
      <c r="U11" s="20">
        <f>U13*0.003144</f>
        <v/>
      </c>
      <c r="V11" s="20">
        <f>V13*0.003144</f>
        <v/>
      </c>
      <c r="W11" s="20">
        <f>W13*0.003144</f>
        <v/>
      </c>
      <c r="X11" s="20">
        <f>X13*0.003144</f>
        <v/>
      </c>
      <c r="Y11" s="20">
        <f>Y13*0.003144</f>
        <v/>
      </c>
      <c r="Z11" s="20">
        <f>Z13*0.003144</f>
        <v/>
      </c>
      <c r="AA11" s="20">
        <f>AA13*0.003144</f>
        <v/>
      </c>
      <c r="AB11" s="20">
        <f>AB13*0.003144</f>
        <v/>
      </c>
      <c r="AC11" s="20">
        <f>AC13*0.003144</f>
        <v/>
      </c>
      <c r="AD11" s="20">
        <f>AD13*0.003144</f>
        <v/>
      </c>
      <c r="AE11" s="20">
        <f>AE13*0.003144</f>
        <v/>
      </c>
      <c r="AF11" s="20">
        <f>AF13*0.003144</f>
        <v/>
      </c>
      <c r="AG11" s="20">
        <f>AG13*0.003144</f>
        <v/>
      </c>
      <c r="AH11" s="20">
        <f>AH13*0.003144</f>
        <v/>
      </c>
      <c r="AI11" s="20">
        <f>AI13*0.003144</f>
        <v/>
      </c>
      <c r="AJ11" s="20">
        <f>AJ13*0.003144</f>
        <v/>
      </c>
      <c r="AK11" s="20">
        <f>AK13*0.003144</f>
        <v/>
      </c>
      <c r="AL11" s="20">
        <f>AL13*0.003144</f>
        <v/>
      </c>
      <c r="AM11" s="20">
        <f>AM13*0.003144</f>
        <v/>
      </c>
      <c r="AN11" s="20">
        <f>AN13*0.003144</f>
        <v/>
      </c>
      <c r="AO11" s="20">
        <f>AO13*0.003144</f>
        <v/>
      </c>
      <c r="AP11" s="20">
        <f>AP13*0.003144</f>
        <v/>
      </c>
      <c r="AQ11" s="20">
        <f>AQ13*0.003144</f>
        <v/>
      </c>
      <c r="AR11" s="20">
        <f>AR13*0.003144</f>
        <v/>
      </c>
      <c r="AS11" s="20">
        <f>AS13*0.003144</f>
        <v/>
      </c>
      <c r="AT11" s="20">
        <f>AT13*0.003144</f>
        <v/>
      </c>
      <c r="AU11" s="20">
        <f>AU13*0.003144</f>
        <v/>
      </c>
      <c r="AV11" s="20">
        <f>AV13*0.003144</f>
        <v/>
      </c>
      <c r="AW11" s="20">
        <f>AW13*0.003144</f>
        <v/>
      </c>
      <c r="AX11" s="20">
        <f>AX13*0.003144</f>
        <v/>
      </c>
      <c r="AY11" s="20">
        <f>AY13*0.003144</f>
        <v/>
      </c>
    </row>
    <row r="12">
      <c r="B12" s="33" t="inlineStr">
        <is>
          <t xml:space="preserve">  401006 Wellhub</t>
        </is>
      </c>
      <c r="D12" s="19" t="n">
        <v>2706.85</v>
      </c>
      <c r="E12" s="19" t="n">
        <v>2826.44</v>
      </c>
      <c r="F12" s="19" t="n">
        <v>3686.01</v>
      </c>
      <c r="G12" s="19" t="n">
        <v>2840.33</v>
      </c>
      <c r="H12" s="19" t="n">
        <v>2094.79</v>
      </c>
      <c r="I12" s="19" t="n">
        <v>2278.41</v>
      </c>
      <c r="J12" s="19" t="n">
        <v>2092.04</v>
      </c>
      <c r="K12" s="19" t="n">
        <v>2592.8</v>
      </c>
      <c r="L12" s="19" t="n">
        <v>2041.96</v>
      </c>
      <c r="M12" s="19" t="n">
        <v>2172.73</v>
      </c>
      <c r="N12" s="19" t="n">
        <v>2061.45</v>
      </c>
      <c r="O12" s="19" t="n">
        <v>1493.93</v>
      </c>
      <c r="P12" s="19" t="n">
        <v>2016.91</v>
      </c>
      <c r="Q12" s="19" t="n">
        <v>920.83</v>
      </c>
      <c r="R12" s="19" t="n">
        <v>1855.57</v>
      </c>
      <c r="S12" s="19" t="n">
        <v>2267.29</v>
      </c>
      <c r="T12" s="84" t="n">
        <v>2108.74</v>
      </c>
      <c r="U12" s="20">
        <f>U13*0.012704</f>
        <v/>
      </c>
      <c r="V12" s="20">
        <f>V13*0.012704</f>
        <v/>
      </c>
      <c r="W12" s="20">
        <f>W13*0.012704</f>
        <v/>
      </c>
      <c r="X12" s="20">
        <f>X13*0.012704</f>
        <v/>
      </c>
      <c r="Y12" s="20">
        <f>Y13*0.012704</f>
        <v/>
      </c>
      <c r="Z12" s="20">
        <f>Z13*0.012704</f>
        <v/>
      </c>
      <c r="AA12" s="20">
        <f>AA13*0.012704</f>
        <v/>
      </c>
      <c r="AB12" s="20">
        <f>AB13*0.012704</f>
        <v/>
      </c>
      <c r="AC12" s="20">
        <f>AC13*0.012704</f>
        <v/>
      </c>
      <c r="AD12" s="20">
        <f>AD13*0.012704</f>
        <v/>
      </c>
      <c r="AE12" s="20">
        <f>AE13*0.012704</f>
        <v/>
      </c>
      <c r="AF12" s="20">
        <f>AF13*0.012704</f>
        <v/>
      </c>
      <c r="AG12" s="20">
        <f>AG13*0.012704</f>
        <v/>
      </c>
      <c r="AH12" s="20">
        <f>AH13*0.012704</f>
        <v/>
      </c>
      <c r="AI12" s="20">
        <f>AI13*0.012704</f>
        <v/>
      </c>
      <c r="AJ12" s="20">
        <f>AJ13*0.012704</f>
        <v/>
      </c>
      <c r="AK12" s="20">
        <f>AK13*0.012704</f>
        <v/>
      </c>
      <c r="AL12" s="20">
        <f>AL13*0.012704</f>
        <v/>
      </c>
      <c r="AM12" s="20">
        <f>AM13*0.012704</f>
        <v/>
      </c>
      <c r="AN12" s="20">
        <f>AN13*0.012704</f>
        <v/>
      </c>
      <c r="AO12" s="20">
        <f>AO13*0.012704</f>
        <v/>
      </c>
      <c r="AP12" s="20">
        <f>AP13*0.012704</f>
        <v/>
      </c>
      <c r="AQ12" s="20">
        <f>AQ13*0.012704</f>
        <v/>
      </c>
      <c r="AR12" s="20">
        <f>AR13*0.012704</f>
        <v/>
      </c>
      <c r="AS12" s="20">
        <f>AS13*0.012704</f>
        <v/>
      </c>
      <c r="AT12" s="20">
        <f>AT13*0.012704</f>
        <v/>
      </c>
      <c r="AU12" s="20">
        <f>AU13*0.012704</f>
        <v/>
      </c>
      <c r="AV12" s="20">
        <f>AV13*0.012704</f>
        <v/>
      </c>
      <c r="AW12" s="20">
        <f>AW13*0.012704</f>
        <v/>
      </c>
      <c r="AX12" s="20">
        <f>AX13*0.012704</f>
        <v/>
      </c>
      <c r="AY12" s="20">
        <f>AY13*0.012704</f>
        <v/>
      </c>
    </row>
    <row r="13">
      <c r="B13" s="32" t="inlineStr">
        <is>
          <t>Total Sessions</t>
        </is>
      </c>
      <c r="C13" s="34" t="n"/>
      <c r="D13" s="35" t="n">
        <v>135892.77</v>
      </c>
      <c r="E13" s="35" t="n">
        <v>150685.95</v>
      </c>
      <c r="F13" s="35" t="n">
        <v>182574.31</v>
      </c>
      <c r="G13" s="35" t="n">
        <v>173543.63</v>
      </c>
      <c r="H13" s="35" t="n">
        <v>149652.17</v>
      </c>
      <c r="I13" s="35" t="n">
        <v>134346</v>
      </c>
      <c r="J13" s="35" t="n">
        <v>105520.89</v>
      </c>
      <c r="K13" s="35" t="n">
        <v>114591.96</v>
      </c>
      <c r="L13" s="35" t="n">
        <v>116125.83</v>
      </c>
      <c r="M13" s="35" t="n">
        <v>118524.82</v>
      </c>
      <c r="N13" s="35" t="n">
        <v>109461.02</v>
      </c>
      <c r="O13" s="35" t="n">
        <v>100167.09</v>
      </c>
      <c r="P13" s="35" t="n">
        <v>177704.39</v>
      </c>
      <c r="Q13" s="35" t="n">
        <v>132757.2</v>
      </c>
      <c r="R13" s="35" t="n">
        <v>126210.29</v>
      </c>
      <c r="S13" s="35" t="n">
        <v>119093.95</v>
      </c>
      <c r="T13" s="85" t="n">
        <v>116940.75</v>
      </c>
      <c r="U13" s="17">
        <f>'Sales Forecast'!U12*Assumptions!$C$12+'Sales Forecast'!T12*Assumptions!$D$12+'Sales Forecast'!S12*Assumptions!$E$12+'Sales Forecast'!R12*Assumptions!$F$12+'Sales Forecast'!Q12*Assumptions!$G$12+'Sales Forecast'!P12*Assumptions!$H$12+'Sales Forecast'!U108*Assumptions!$I$12</f>
        <v/>
      </c>
      <c r="V13" s="17">
        <f>'Sales Forecast'!V12*Assumptions!$C$12+'Sales Forecast'!U12*Assumptions!$D$12+'Sales Forecast'!T12*Assumptions!$E$12+'Sales Forecast'!S12*Assumptions!$F$12+'Sales Forecast'!R12*Assumptions!$G$12+'Sales Forecast'!Q12*Assumptions!$H$12+'Sales Forecast'!P12*Assumptions!$I$12</f>
        <v/>
      </c>
      <c r="W13" s="17">
        <f>'Sales Forecast'!W12*Assumptions!$C$12+'Sales Forecast'!V12*Assumptions!$D$12+'Sales Forecast'!U12*Assumptions!$E$12+'Sales Forecast'!T12*Assumptions!$F$12+'Sales Forecast'!S12*Assumptions!$G$12+'Sales Forecast'!R12*Assumptions!$H$12+'Sales Forecast'!Q12*Assumptions!$I$12</f>
        <v/>
      </c>
      <c r="X13" s="17">
        <f>'Sales Forecast'!X12*Assumptions!$C$12+'Sales Forecast'!W12*Assumptions!$D$12+'Sales Forecast'!V12*Assumptions!$E$12+'Sales Forecast'!U12*Assumptions!$F$12+'Sales Forecast'!T12*Assumptions!$G$12+'Sales Forecast'!S12*Assumptions!$H$12+'Sales Forecast'!R12*Assumptions!$I$12</f>
        <v/>
      </c>
      <c r="Y13" s="17">
        <f>'Sales Forecast'!Y12*Assumptions!$C$12+'Sales Forecast'!X12*Assumptions!$D$12+'Sales Forecast'!W12*Assumptions!$E$12+'Sales Forecast'!V12*Assumptions!$F$12+'Sales Forecast'!U12*Assumptions!$G$12+'Sales Forecast'!T12*Assumptions!$H$12+'Sales Forecast'!S12*Assumptions!$I$12</f>
        <v/>
      </c>
      <c r="Z13" s="17">
        <f>'Sales Forecast'!Z12*Assumptions!$C$12+'Sales Forecast'!Y12*Assumptions!$D$12+'Sales Forecast'!X12*Assumptions!$E$12+'Sales Forecast'!W12*Assumptions!$F$12+'Sales Forecast'!V12*Assumptions!$G$12+'Sales Forecast'!U12*Assumptions!$H$12+'Sales Forecast'!T12*Assumptions!$I$12</f>
        <v/>
      </c>
      <c r="AA13" s="17">
        <f>'Sales Forecast'!AA12*Assumptions!$C$12+'Sales Forecast'!Z12*Assumptions!$D$12+'Sales Forecast'!Y12*Assumptions!$E$12+'Sales Forecast'!X12*Assumptions!$F$12+'Sales Forecast'!W12*Assumptions!$G$12+'Sales Forecast'!V12*Assumptions!$H$12+'Sales Forecast'!U12*Assumptions!$I$12</f>
        <v/>
      </c>
      <c r="AB13" s="17">
        <f>'Sales Forecast'!AB12*Assumptions!$C$12+'Sales Forecast'!AA12*Assumptions!$D$12+'Sales Forecast'!Z12*Assumptions!$E$12+'Sales Forecast'!Y12*Assumptions!$F$12+'Sales Forecast'!X12*Assumptions!$G$12+'Sales Forecast'!W12*Assumptions!$H$12+'Sales Forecast'!V12*Assumptions!$I$12</f>
        <v/>
      </c>
      <c r="AC13" s="17">
        <f>'Sales Forecast'!AC12*Assumptions!$C$12+'Sales Forecast'!AB12*Assumptions!$D$12+'Sales Forecast'!AA12*Assumptions!$E$12+'Sales Forecast'!Z12*Assumptions!$F$12+'Sales Forecast'!Y12*Assumptions!$G$12+'Sales Forecast'!X12*Assumptions!$H$12+'Sales Forecast'!W12*Assumptions!$I$12</f>
        <v/>
      </c>
      <c r="AD13" s="17">
        <f>'Sales Forecast'!AD12*Assumptions!$C$12+'Sales Forecast'!AC12*Assumptions!$D$12+'Sales Forecast'!AB12*Assumptions!$E$12+'Sales Forecast'!AA12*Assumptions!$F$12+'Sales Forecast'!Z12*Assumptions!$G$12+'Sales Forecast'!Y12*Assumptions!$H$12+'Sales Forecast'!X12*Assumptions!$I$12</f>
        <v/>
      </c>
      <c r="AE13" s="17">
        <f>'Sales Forecast'!AE12*Assumptions!$C$12+'Sales Forecast'!AD12*Assumptions!$D$12+'Sales Forecast'!AC12*Assumptions!$E$12+'Sales Forecast'!AB12*Assumptions!$F$12+'Sales Forecast'!AA12*Assumptions!$G$12+'Sales Forecast'!Z12*Assumptions!$H$12+'Sales Forecast'!Y12*Assumptions!$I$12</f>
        <v/>
      </c>
      <c r="AF13" s="17">
        <f>'Sales Forecast'!AF12*Assumptions!$C$12+'Sales Forecast'!AE12*Assumptions!$D$12+'Sales Forecast'!AD12*Assumptions!$E$12+'Sales Forecast'!AC12*Assumptions!$F$12+'Sales Forecast'!AB12*Assumptions!$G$12+'Sales Forecast'!AA12*Assumptions!$H$12+'Sales Forecast'!Z12*Assumptions!$I$12</f>
        <v/>
      </c>
      <c r="AG13" s="17">
        <f>'Sales Forecast'!AG12*Assumptions!$C$12+'Sales Forecast'!AF12*Assumptions!$D$12+'Sales Forecast'!AE12*Assumptions!$E$12+'Sales Forecast'!AD12*Assumptions!$F$12+'Sales Forecast'!AC12*Assumptions!$G$12+'Sales Forecast'!AB12*Assumptions!$H$12+'Sales Forecast'!AA12*Assumptions!$I$12</f>
        <v/>
      </c>
      <c r="AH13" s="17">
        <f>'Sales Forecast'!AH12*Assumptions!$C$12+'Sales Forecast'!AG12*Assumptions!$D$12+'Sales Forecast'!AF12*Assumptions!$E$12+'Sales Forecast'!AE12*Assumptions!$F$12+'Sales Forecast'!AD12*Assumptions!$G$12+'Sales Forecast'!AC12*Assumptions!$H$12+'Sales Forecast'!AB12*Assumptions!$I$12</f>
        <v/>
      </c>
      <c r="AI13" s="17">
        <f>'Sales Forecast'!AI12*Assumptions!$C$12+'Sales Forecast'!AH12*Assumptions!$D$12+'Sales Forecast'!AG12*Assumptions!$E$12+'Sales Forecast'!AF12*Assumptions!$F$12+'Sales Forecast'!AE12*Assumptions!$G$12+'Sales Forecast'!AD12*Assumptions!$H$12+'Sales Forecast'!AC12*Assumptions!$I$12</f>
        <v/>
      </c>
      <c r="AJ13" s="17">
        <f>'Sales Forecast'!AJ12*Assumptions!$C$12+'Sales Forecast'!AI12*Assumptions!$D$12+'Sales Forecast'!AH12*Assumptions!$E$12+'Sales Forecast'!AG12*Assumptions!$F$12+'Sales Forecast'!AF12*Assumptions!$G$12+'Sales Forecast'!AE12*Assumptions!$H$12+'Sales Forecast'!AD12*Assumptions!$I$12</f>
        <v/>
      </c>
      <c r="AK13" s="17">
        <f>'Sales Forecast'!AK12*Assumptions!$C$12+'Sales Forecast'!AJ12*Assumptions!$D$12+'Sales Forecast'!AI12*Assumptions!$E$12+'Sales Forecast'!AH12*Assumptions!$F$12+'Sales Forecast'!AG12*Assumptions!$G$12+'Sales Forecast'!AF12*Assumptions!$H$12+'Sales Forecast'!AE12*Assumptions!$I$12</f>
        <v/>
      </c>
      <c r="AL13" s="17">
        <f>'Sales Forecast'!AL12*Assumptions!$C$12+'Sales Forecast'!AK12*Assumptions!$D$12+'Sales Forecast'!AJ12*Assumptions!$E$12+'Sales Forecast'!AI12*Assumptions!$F$12+'Sales Forecast'!AH12*Assumptions!$G$12+'Sales Forecast'!AG12*Assumptions!$H$12+'Sales Forecast'!AF12*Assumptions!$I$12</f>
        <v/>
      </c>
      <c r="AM13" s="17">
        <f>'Sales Forecast'!AM12*Assumptions!$C$12+'Sales Forecast'!AL12*Assumptions!$D$12+'Sales Forecast'!AK12*Assumptions!$E$12+'Sales Forecast'!AJ12*Assumptions!$F$12+'Sales Forecast'!AI12*Assumptions!$G$12+'Sales Forecast'!AH12*Assumptions!$H$12+'Sales Forecast'!AG12*Assumptions!$I$12</f>
        <v/>
      </c>
      <c r="AN13" s="17">
        <f>'Sales Forecast'!AN12*Assumptions!$C$12+'Sales Forecast'!AM12*Assumptions!$D$12+'Sales Forecast'!AL12*Assumptions!$E$12+'Sales Forecast'!AK12*Assumptions!$F$12+'Sales Forecast'!AJ12*Assumptions!$G$12+'Sales Forecast'!AI12*Assumptions!$H$12+'Sales Forecast'!AH12*Assumptions!$I$12</f>
        <v/>
      </c>
      <c r="AO13" s="17">
        <f>'Sales Forecast'!AO12*Assumptions!$C$12+'Sales Forecast'!AN12*Assumptions!$D$12+'Sales Forecast'!AM12*Assumptions!$E$12+'Sales Forecast'!AL12*Assumptions!$F$12+'Sales Forecast'!AK12*Assumptions!$G$12+'Sales Forecast'!AJ12*Assumptions!$H$12+'Sales Forecast'!AI12*Assumptions!$I$12</f>
        <v/>
      </c>
      <c r="AP13" s="17">
        <f>'Sales Forecast'!AP12*Assumptions!$C$12+'Sales Forecast'!AO12*Assumptions!$D$12+'Sales Forecast'!AN12*Assumptions!$E$12+'Sales Forecast'!AM12*Assumptions!$F$12+'Sales Forecast'!AL12*Assumptions!$G$12+'Sales Forecast'!AK12*Assumptions!$H$12+'Sales Forecast'!AJ12*Assumptions!$I$12</f>
        <v/>
      </c>
      <c r="AQ13" s="17">
        <f>'Sales Forecast'!AQ12*Assumptions!$C$12+'Sales Forecast'!AP12*Assumptions!$D$12+'Sales Forecast'!AO12*Assumptions!$E$12+'Sales Forecast'!AN12*Assumptions!$F$12+'Sales Forecast'!AM12*Assumptions!$G$12+'Sales Forecast'!AL12*Assumptions!$H$12+'Sales Forecast'!AK12*Assumptions!$I$12</f>
        <v/>
      </c>
      <c r="AR13" s="17">
        <f>'Sales Forecast'!AR12*Assumptions!$C$12+'Sales Forecast'!AQ12*Assumptions!$D$12+'Sales Forecast'!AP12*Assumptions!$E$12+'Sales Forecast'!AO12*Assumptions!$F$12+'Sales Forecast'!AN12*Assumptions!$G$12+'Sales Forecast'!AM12*Assumptions!$H$12+'Sales Forecast'!AL12*Assumptions!$I$12</f>
        <v/>
      </c>
      <c r="AS13" s="17">
        <f>'Sales Forecast'!AS12*Assumptions!$C$12+'Sales Forecast'!AR12*Assumptions!$D$12+'Sales Forecast'!AQ12*Assumptions!$E$12+'Sales Forecast'!AP12*Assumptions!$F$12+'Sales Forecast'!AO12*Assumptions!$G$12+'Sales Forecast'!AN12*Assumptions!$H$12+'Sales Forecast'!AM12*Assumptions!$I$12</f>
        <v/>
      </c>
      <c r="AT13" s="17">
        <f>'Sales Forecast'!AT12*Assumptions!$C$12+'Sales Forecast'!AS12*Assumptions!$D$12+'Sales Forecast'!AR12*Assumptions!$E$12+'Sales Forecast'!AQ12*Assumptions!$F$12+'Sales Forecast'!AP12*Assumptions!$G$12+'Sales Forecast'!AO12*Assumptions!$H$12+'Sales Forecast'!AN12*Assumptions!$I$12</f>
        <v/>
      </c>
      <c r="AU13" s="17">
        <f>'Sales Forecast'!AU12*Assumptions!$C$12+'Sales Forecast'!AT12*Assumptions!$D$12+'Sales Forecast'!AS12*Assumptions!$E$12+'Sales Forecast'!AR12*Assumptions!$F$12+'Sales Forecast'!AQ12*Assumptions!$G$12+'Sales Forecast'!AP12*Assumptions!$H$12+'Sales Forecast'!AO12*Assumptions!$I$12</f>
        <v/>
      </c>
      <c r="AV13" s="17">
        <f>'Sales Forecast'!AV12*Assumptions!$C$12+'Sales Forecast'!AU12*Assumptions!$D$12+'Sales Forecast'!AT12*Assumptions!$E$12+'Sales Forecast'!AS12*Assumptions!$F$12+'Sales Forecast'!AR12*Assumptions!$G$12+'Sales Forecast'!AQ12*Assumptions!$H$12+'Sales Forecast'!AP12*Assumptions!$I$12</f>
        <v/>
      </c>
      <c r="AW13" s="17">
        <f>'Sales Forecast'!AW12*Assumptions!$C$12+'Sales Forecast'!AV12*Assumptions!$D$12+'Sales Forecast'!AU12*Assumptions!$E$12+'Sales Forecast'!AT12*Assumptions!$F$12+'Sales Forecast'!AS12*Assumptions!$G$12+'Sales Forecast'!AR12*Assumptions!$H$12+'Sales Forecast'!AQ12*Assumptions!$I$12</f>
        <v/>
      </c>
      <c r="AX13" s="17">
        <f>'Sales Forecast'!AX12*Assumptions!$C$12+'Sales Forecast'!AW12*Assumptions!$D$12+'Sales Forecast'!AV12*Assumptions!$E$12+'Sales Forecast'!AU12*Assumptions!$F$12+'Sales Forecast'!AT12*Assumptions!$G$12+'Sales Forecast'!AS12*Assumptions!$H$12+'Sales Forecast'!AR12*Assumptions!$I$12</f>
        <v/>
      </c>
      <c r="AY13" s="17">
        <f>'Sales Forecast'!AY12*Assumptions!$C$12+'Sales Forecast'!AX12*Assumptions!$D$12+'Sales Forecast'!AW12*Assumptions!$E$12+'Sales Forecast'!AV12*Assumptions!$F$12+'Sales Forecast'!AU12*Assumptions!$G$12+'Sales Forecast'!AT12*Assumptions!$H$12+'Sales Forecast'!AS12*Assumptions!$I$12</f>
        <v/>
      </c>
    </row>
    <row r="14">
      <c r="B14" s="33" t="inlineStr">
        <is>
          <t xml:space="preserve">  403001 Machine Breakage</t>
        </is>
      </c>
      <c r="D14" s="19" t="n">
        <v>26052.42</v>
      </c>
      <c r="E14" s="19" t="n">
        <v>33426.68</v>
      </c>
      <c r="F14" s="19" t="n">
        <v>42033.67</v>
      </c>
      <c r="G14" s="19" t="n">
        <v>39838.56</v>
      </c>
      <c r="H14" s="19" t="n">
        <v>56368.79</v>
      </c>
      <c r="I14" s="19" t="n">
        <v>21114.07</v>
      </c>
      <c r="J14" s="19" t="n">
        <v>19741.14</v>
      </c>
      <c r="K14" s="19" t="n">
        <v>20496.73</v>
      </c>
      <c r="L14" s="19" t="n">
        <v>48446.86</v>
      </c>
      <c r="M14" s="19" t="n">
        <v>23971.63</v>
      </c>
      <c r="N14" s="19" t="n">
        <v>43753.14</v>
      </c>
      <c r="O14" s="19" t="n">
        <v>40568.98</v>
      </c>
      <c r="P14" s="19" t="n">
        <v>15436.25</v>
      </c>
      <c r="Q14" s="19" t="n">
        <v>26948.87</v>
      </c>
      <c r="R14" s="19" t="n">
        <v>17902.42</v>
      </c>
      <c r="S14" s="19" t="n">
        <v>22292.98</v>
      </c>
      <c r="T14" s="84" t="n">
        <v>17920.73</v>
      </c>
      <c r="U14" s="20">
        <f>U17*0.90148</f>
        <v/>
      </c>
      <c r="V14" s="20">
        <f>V17*0.90148</f>
        <v/>
      </c>
      <c r="W14" s="20">
        <f>W17*0.90148</f>
        <v/>
      </c>
      <c r="X14" s="20">
        <f>X17*0.90148</f>
        <v/>
      </c>
      <c r="Y14" s="20">
        <f>Y17*0.90148</f>
        <v/>
      </c>
      <c r="Z14" s="20">
        <f>Z17*0.90148</f>
        <v/>
      </c>
      <c r="AA14" s="20">
        <f>AA17*0.90148</f>
        <v/>
      </c>
      <c r="AB14" s="20">
        <f>AB17*0.90148</f>
        <v/>
      </c>
      <c r="AC14" s="20">
        <f>AC17*0.90148</f>
        <v/>
      </c>
      <c r="AD14" s="20">
        <f>AD17*0.90148</f>
        <v/>
      </c>
      <c r="AE14" s="20">
        <f>AE17*0.90148</f>
        <v/>
      </c>
      <c r="AF14" s="20">
        <f>AF17*0.90148</f>
        <v/>
      </c>
      <c r="AG14" s="20">
        <f>AG17*0.90148</f>
        <v/>
      </c>
      <c r="AH14" s="20">
        <f>AH17*0.90148</f>
        <v/>
      </c>
      <c r="AI14" s="20">
        <f>AI17*0.90148</f>
        <v/>
      </c>
      <c r="AJ14" s="20">
        <f>AJ17*0.90148</f>
        <v/>
      </c>
      <c r="AK14" s="20">
        <f>AK17*0.90148</f>
        <v/>
      </c>
      <c r="AL14" s="20">
        <f>AL17*0.90148</f>
        <v/>
      </c>
      <c r="AM14" s="20">
        <f>AM17*0.90148</f>
        <v/>
      </c>
      <c r="AN14" s="20">
        <f>AN17*0.90148</f>
        <v/>
      </c>
      <c r="AO14" s="20">
        <f>AO17*0.90148</f>
        <v/>
      </c>
      <c r="AP14" s="20">
        <f>AP17*0.90148</f>
        <v/>
      </c>
      <c r="AQ14" s="20">
        <f>AQ17*0.90148</f>
        <v/>
      </c>
      <c r="AR14" s="20">
        <f>AR17*0.90148</f>
        <v/>
      </c>
      <c r="AS14" s="20">
        <f>AS17*0.90148</f>
        <v/>
      </c>
      <c r="AT14" s="20">
        <f>AT17*0.90148</f>
        <v/>
      </c>
      <c r="AU14" s="20">
        <f>AU17*0.90148</f>
        <v/>
      </c>
      <c r="AV14" s="20">
        <f>AV17*0.90148</f>
        <v/>
      </c>
      <c r="AW14" s="20">
        <f>AW17*0.90148</f>
        <v/>
      </c>
      <c r="AX14" s="20">
        <f>AX17*0.90148</f>
        <v/>
      </c>
      <c r="AY14" s="20">
        <f>AY17*0.90148</f>
        <v/>
      </c>
    </row>
    <row r="15">
      <c r="B15" s="33" t="inlineStr">
        <is>
          <t xml:space="preserve">  403003 Private Pilates Breakage</t>
        </is>
      </c>
      <c r="D15" s="19" t="n">
        <v>2297</v>
      </c>
      <c r="E15" s="19" t="n">
        <v>5063</v>
      </c>
      <c r="F15" s="19" t="n">
        <v>5768</v>
      </c>
      <c r="G15" s="19" t="n">
        <v>7109</v>
      </c>
      <c r="H15" s="19" t="n">
        <v>4954</v>
      </c>
      <c r="I15" s="19" t="n">
        <v>2964</v>
      </c>
      <c r="J15" s="19" t="n">
        <v>2042.11</v>
      </c>
      <c r="K15" s="19" t="n">
        <v>2230.5</v>
      </c>
      <c r="L15" s="19" t="n">
        <v>838</v>
      </c>
      <c r="M15" s="19" t="n">
        <v>4985</v>
      </c>
      <c r="N15" s="19" t="n">
        <v>5215</v>
      </c>
      <c r="O15" s="19" t="n">
        <v>1558</v>
      </c>
      <c r="P15" s="19" t="n">
        <v>1382</v>
      </c>
      <c r="Q15" s="19" t="n">
        <v>1380</v>
      </c>
      <c r="R15" s="19" t="n">
        <v>3105</v>
      </c>
      <c r="S15" s="19" t="n">
        <v>3041</v>
      </c>
      <c r="T15" s="84" t="n">
        <v>610</v>
      </c>
      <c r="U15" s="20">
        <f>U17*0.097243</f>
        <v/>
      </c>
      <c r="V15" s="20">
        <f>V17*0.097243</f>
        <v/>
      </c>
      <c r="W15" s="20">
        <f>W17*0.097243</f>
        <v/>
      </c>
      <c r="X15" s="20">
        <f>X17*0.097243</f>
        <v/>
      </c>
      <c r="Y15" s="20">
        <f>Y17*0.097243</f>
        <v/>
      </c>
      <c r="Z15" s="20">
        <f>Z17*0.097243</f>
        <v/>
      </c>
      <c r="AA15" s="20">
        <f>AA17*0.097243</f>
        <v/>
      </c>
      <c r="AB15" s="20">
        <f>AB17*0.097243</f>
        <v/>
      </c>
      <c r="AC15" s="20">
        <f>AC17*0.097243</f>
        <v/>
      </c>
      <c r="AD15" s="20">
        <f>AD17*0.097243</f>
        <v/>
      </c>
      <c r="AE15" s="20">
        <f>AE17*0.097243</f>
        <v/>
      </c>
      <c r="AF15" s="20">
        <f>AF17*0.097243</f>
        <v/>
      </c>
      <c r="AG15" s="20">
        <f>AG17*0.097243</f>
        <v/>
      </c>
      <c r="AH15" s="20">
        <f>AH17*0.097243</f>
        <v/>
      </c>
      <c r="AI15" s="20">
        <f>AI17*0.097243</f>
        <v/>
      </c>
      <c r="AJ15" s="20">
        <f>AJ17*0.097243</f>
        <v/>
      </c>
      <c r="AK15" s="20">
        <f>AK17*0.097243</f>
        <v/>
      </c>
      <c r="AL15" s="20">
        <f>AL17*0.097243</f>
        <v/>
      </c>
      <c r="AM15" s="20">
        <f>AM17*0.097243</f>
        <v/>
      </c>
      <c r="AN15" s="20">
        <f>AN17*0.097243</f>
        <v/>
      </c>
      <c r="AO15" s="20">
        <f>AO17*0.097243</f>
        <v/>
      </c>
      <c r="AP15" s="20">
        <f>AP17*0.097243</f>
        <v/>
      </c>
      <c r="AQ15" s="20">
        <f>AQ17*0.097243</f>
        <v/>
      </c>
      <c r="AR15" s="20">
        <f>AR17*0.097243</f>
        <v/>
      </c>
      <c r="AS15" s="20">
        <f>AS17*0.097243</f>
        <v/>
      </c>
      <c r="AT15" s="20">
        <f>AT17*0.097243</f>
        <v/>
      </c>
      <c r="AU15" s="20">
        <f>AU17*0.097243</f>
        <v/>
      </c>
      <c r="AV15" s="20">
        <f>AV17*0.097243</f>
        <v/>
      </c>
      <c r="AW15" s="20">
        <f>AW17*0.097243</f>
        <v/>
      </c>
      <c r="AX15" s="20">
        <f>AX17*0.097243</f>
        <v/>
      </c>
      <c r="AY15" s="20">
        <f>AY17*0.097243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117</v>
      </c>
      <c r="T16" s="84" t="n">
        <v>0</v>
      </c>
      <c r="U16" s="20">
        <f>U17*0.001277</f>
        <v/>
      </c>
      <c r="V16" s="20">
        <f>V17*0.001277</f>
        <v/>
      </c>
      <c r="W16" s="20">
        <f>W17*0.001277</f>
        <v/>
      </c>
      <c r="X16" s="20">
        <f>X17*0.001277</f>
        <v/>
      </c>
      <c r="Y16" s="20">
        <f>Y17*0.001277</f>
        <v/>
      </c>
      <c r="Z16" s="20">
        <f>Z17*0.001277</f>
        <v/>
      </c>
      <c r="AA16" s="20">
        <f>AA17*0.001277</f>
        <v/>
      </c>
      <c r="AB16" s="20">
        <f>AB17*0.001277</f>
        <v/>
      </c>
      <c r="AC16" s="20">
        <f>AC17*0.001277</f>
        <v/>
      </c>
      <c r="AD16" s="20">
        <f>AD17*0.001277</f>
        <v/>
      </c>
      <c r="AE16" s="20">
        <f>AE17*0.001277</f>
        <v/>
      </c>
      <c r="AF16" s="20">
        <f>AF17*0.001277</f>
        <v/>
      </c>
      <c r="AG16" s="20">
        <f>AG17*0.001277</f>
        <v/>
      </c>
      <c r="AH16" s="20">
        <f>AH17*0.001277</f>
        <v/>
      </c>
      <c r="AI16" s="20">
        <f>AI17*0.001277</f>
        <v/>
      </c>
      <c r="AJ16" s="20">
        <f>AJ17*0.001277</f>
        <v/>
      </c>
      <c r="AK16" s="20">
        <f>AK17*0.001277</f>
        <v/>
      </c>
      <c r="AL16" s="20">
        <f>AL17*0.001277</f>
        <v/>
      </c>
      <c r="AM16" s="20">
        <f>AM17*0.001277</f>
        <v/>
      </c>
      <c r="AN16" s="20">
        <f>AN17*0.001277</f>
        <v/>
      </c>
      <c r="AO16" s="20">
        <f>AO17*0.001277</f>
        <v/>
      </c>
      <c r="AP16" s="20">
        <f>AP17*0.001277</f>
        <v/>
      </c>
      <c r="AQ16" s="20">
        <f>AQ17*0.001277</f>
        <v/>
      </c>
      <c r="AR16" s="20">
        <f>AR17*0.001277</f>
        <v/>
      </c>
      <c r="AS16" s="20">
        <f>AS17*0.001277</f>
        <v/>
      </c>
      <c r="AT16" s="20">
        <f>AT17*0.001277</f>
        <v/>
      </c>
      <c r="AU16" s="20">
        <f>AU17*0.001277</f>
        <v/>
      </c>
      <c r="AV16" s="20">
        <f>AV17*0.001277</f>
        <v/>
      </c>
      <c r="AW16" s="20">
        <f>AW17*0.001277</f>
        <v/>
      </c>
      <c r="AX16" s="20">
        <f>AX17*0.001277</f>
        <v/>
      </c>
      <c r="AY16" s="20">
        <f>AY17*0.001277</f>
        <v/>
      </c>
    </row>
    <row r="17">
      <c r="B17" s="32" t="inlineStr">
        <is>
          <t>Total Breakage Revenue</t>
        </is>
      </c>
      <c r="C17" s="34" t="n"/>
      <c r="D17" s="35" t="n">
        <v>28349.42</v>
      </c>
      <c r="E17" s="35" t="n">
        <v>38489.68</v>
      </c>
      <c r="F17" s="35" t="n">
        <v>47801.67</v>
      </c>
      <c r="G17" s="35" t="n">
        <v>46947.56</v>
      </c>
      <c r="H17" s="35" t="n">
        <v>61322.79</v>
      </c>
      <c r="I17" s="35" t="n">
        <v>27078.07</v>
      </c>
      <c r="J17" s="35" t="n">
        <v>37223.25</v>
      </c>
      <c r="K17" s="35" t="n">
        <v>46087.23</v>
      </c>
      <c r="L17" s="35" t="n">
        <v>49284.86</v>
      </c>
      <c r="M17" s="35" t="n">
        <v>29756.63</v>
      </c>
      <c r="N17" s="35" t="n">
        <v>49468.14</v>
      </c>
      <c r="O17" s="35" t="n">
        <v>42126.98</v>
      </c>
      <c r="P17" s="35" t="n">
        <v>16818.25</v>
      </c>
      <c r="Q17" s="35" t="n">
        <v>28328.87</v>
      </c>
      <c r="R17" s="35" t="n">
        <v>21007.42</v>
      </c>
      <c r="S17" s="35" t="n">
        <v>25450.98</v>
      </c>
      <c r="T17" s="85" t="n">
        <v>18530.73</v>
      </c>
      <c r="U17" s="17">
        <f>'Sales Forecast'!U12*Assumptions!$C$13+'Sales Forecast'!T12*Assumptions!$D$13+'Sales Forecast'!S12*Assumptions!$E$13+'Sales Forecast'!R12*Assumptions!$F$13+'Sales Forecast'!Q12*Assumptions!$G$13+'Sales Forecast'!P12*Assumptions!$H$13+'Sales Forecast'!U108*Assumptions!$I$13</f>
        <v/>
      </c>
      <c r="V17" s="17">
        <f>'Sales Forecast'!V12*Assumptions!$C$13+'Sales Forecast'!U12*Assumptions!$D$13+'Sales Forecast'!T12*Assumptions!$E$13+'Sales Forecast'!S12*Assumptions!$F$13+'Sales Forecast'!R12*Assumptions!$G$13+'Sales Forecast'!Q12*Assumptions!$H$13+'Sales Forecast'!P12*Assumptions!$I$13</f>
        <v/>
      </c>
      <c r="W17" s="17">
        <f>'Sales Forecast'!W12*Assumptions!$C$13+'Sales Forecast'!V12*Assumptions!$D$13+'Sales Forecast'!U12*Assumptions!$E$13+'Sales Forecast'!T12*Assumptions!$F$13+'Sales Forecast'!S12*Assumptions!$G$13+'Sales Forecast'!R12*Assumptions!$H$13+'Sales Forecast'!Q12*Assumptions!$I$13</f>
        <v/>
      </c>
      <c r="X17" s="17">
        <f>'Sales Forecast'!X12*Assumptions!$C$13+'Sales Forecast'!W12*Assumptions!$D$13+'Sales Forecast'!V12*Assumptions!$E$13+'Sales Forecast'!U12*Assumptions!$F$13+'Sales Forecast'!T12*Assumptions!$G$13+'Sales Forecast'!S12*Assumptions!$H$13+'Sales Forecast'!R12*Assumptions!$I$13</f>
        <v/>
      </c>
      <c r="Y17" s="17">
        <f>'Sales Forecast'!Y12*Assumptions!$C$13+'Sales Forecast'!X12*Assumptions!$D$13+'Sales Forecast'!W12*Assumptions!$E$13+'Sales Forecast'!V12*Assumptions!$F$13+'Sales Forecast'!U12*Assumptions!$G$13+'Sales Forecast'!T12*Assumptions!$H$13+'Sales Forecast'!S12*Assumptions!$I$13</f>
        <v/>
      </c>
      <c r="Z17" s="17">
        <f>'Sales Forecast'!Z12*Assumptions!$C$13+'Sales Forecast'!Y12*Assumptions!$D$13+'Sales Forecast'!X12*Assumptions!$E$13+'Sales Forecast'!W12*Assumptions!$F$13+'Sales Forecast'!V12*Assumptions!$G$13+'Sales Forecast'!U12*Assumptions!$H$13+'Sales Forecast'!T12*Assumptions!$I$13</f>
        <v/>
      </c>
      <c r="AA17" s="17">
        <f>'Sales Forecast'!AA12*Assumptions!$C$13+'Sales Forecast'!Z12*Assumptions!$D$13+'Sales Forecast'!Y12*Assumptions!$E$13+'Sales Forecast'!X12*Assumptions!$F$13+'Sales Forecast'!W12*Assumptions!$G$13+'Sales Forecast'!V12*Assumptions!$H$13+'Sales Forecast'!U12*Assumptions!$I$13</f>
        <v/>
      </c>
      <c r="AB17" s="17">
        <f>'Sales Forecast'!AB12*Assumptions!$C$13+'Sales Forecast'!AA12*Assumptions!$D$13+'Sales Forecast'!Z12*Assumptions!$E$13+'Sales Forecast'!Y12*Assumptions!$F$13+'Sales Forecast'!X12*Assumptions!$G$13+'Sales Forecast'!W12*Assumptions!$H$13+'Sales Forecast'!V12*Assumptions!$I$13</f>
        <v/>
      </c>
      <c r="AC17" s="17">
        <f>'Sales Forecast'!AC12*Assumptions!$C$13+'Sales Forecast'!AB12*Assumptions!$D$13+'Sales Forecast'!AA12*Assumptions!$E$13+'Sales Forecast'!Z12*Assumptions!$F$13+'Sales Forecast'!Y12*Assumptions!$G$13+'Sales Forecast'!X12*Assumptions!$H$13+'Sales Forecast'!W12*Assumptions!$I$13</f>
        <v/>
      </c>
      <c r="AD17" s="17">
        <f>'Sales Forecast'!AD12*Assumptions!$C$13+'Sales Forecast'!AC12*Assumptions!$D$13+'Sales Forecast'!AB12*Assumptions!$E$13+'Sales Forecast'!AA12*Assumptions!$F$13+'Sales Forecast'!Z12*Assumptions!$G$13+'Sales Forecast'!Y12*Assumptions!$H$13+'Sales Forecast'!X12*Assumptions!$I$13</f>
        <v/>
      </c>
      <c r="AE17" s="17">
        <f>'Sales Forecast'!AE12*Assumptions!$C$13+'Sales Forecast'!AD12*Assumptions!$D$13+'Sales Forecast'!AC12*Assumptions!$E$13+'Sales Forecast'!AB12*Assumptions!$F$13+'Sales Forecast'!AA12*Assumptions!$G$13+'Sales Forecast'!Z12*Assumptions!$H$13+'Sales Forecast'!Y12*Assumptions!$I$13</f>
        <v/>
      </c>
      <c r="AF17" s="17">
        <f>'Sales Forecast'!AF12*Assumptions!$C$13+'Sales Forecast'!AE12*Assumptions!$D$13+'Sales Forecast'!AD12*Assumptions!$E$13+'Sales Forecast'!AC12*Assumptions!$F$13+'Sales Forecast'!AB12*Assumptions!$G$13+'Sales Forecast'!AA12*Assumptions!$H$13+'Sales Forecast'!Z12*Assumptions!$I$13</f>
        <v/>
      </c>
      <c r="AG17" s="17">
        <f>'Sales Forecast'!AG12*Assumptions!$C$13+'Sales Forecast'!AF12*Assumptions!$D$13+'Sales Forecast'!AE12*Assumptions!$E$13+'Sales Forecast'!AD12*Assumptions!$F$13+'Sales Forecast'!AC12*Assumptions!$G$13+'Sales Forecast'!AB12*Assumptions!$H$13+'Sales Forecast'!AA12*Assumptions!$I$13</f>
        <v/>
      </c>
      <c r="AH17" s="17">
        <f>'Sales Forecast'!AH12*Assumptions!$C$13+'Sales Forecast'!AG12*Assumptions!$D$13+'Sales Forecast'!AF12*Assumptions!$E$13+'Sales Forecast'!AE12*Assumptions!$F$13+'Sales Forecast'!AD12*Assumptions!$G$13+'Sales Forecast'!AC12*Assumptions!$H$13+'Sales Forecast'!AB12*Assumptions!$I$13</f>
        <v/>
      </c>
      <c r="AI17" s="17">
        <f>'Sales Forecast'!AI12*Assumptions!$C$13+'Sales Forecast'!AH12*Assumptions!$D$13+'Sales Forecast'!AG12*Assumptions!$E$13+'Sales Forecast'!AF12*Assumptions!$F$13+'Sales Forecast'!AE12*Assumptions!$G$13+'Sales Forecast'!AD12*Assumptions!$H$13+'Sales Forecast'!AC12*Assumptions!$I$13</f>
        <v/>
      </c>
      <c r="AJ17" s="17">
        <f>'Sales Forecast'!AJ12*Assumptions!$C$13+'Sales Forecast'!AI12*Assumptions!$D$13+'Sales Forecast'!AH12*Assumptions!$E$13+'Sales Forecast'!AG12*Assumptions!$F$13+'Sales Forecast'!AF12*Assumptions!$G$13+'Sales Forecast'!AE12*Assumptions!$H$13+'Sales Forecast'!AD12*Assumptions!$I$13</f>
        <v/>
      </c>
      <c r="AK17" s="17">
        <f>'Sales Forecast'!AK12*Assumptions!$C$13+'Sales Forecast'!AJ12*Assumptions!$D$13+'Sales Forecast'!AI12*Assumptions!$E$13+'Sales Forecast'!AH12*Assumptions!$F$13+'Sales Forecast'!AG12*Assumptions!$G$13+'Sales Forecast'!AF12*Assumptions!$H$13+'Sales Forecast'!AE12*Assumptions!$I$13</f>
        <v/>
      </c>
      <c r="AL17" s="17">
        <f>'Sales Forecast'!AL12*Assumptions!$C$13+'Sales Forecast'!AK12*Assumptions!$D$13+'Sales Forecast'!AJ12*Assumptions!$E$13+'Sales Forecast'!AI12*Assumptions!$F$13+'Sales Forecast'!AH12*Assumptions!$G$13+'Sales Forecast'!AG12*Assumptions!$H$13+'Sales Forecast'!AF12*Assumptions!$I$13</f>
        <v/>
      </c>
      <c r="AM17" s="17">
        <f>'Sales Forecast'!AM12*Assumptions!$C$13+'Sales Forecast'!AL12*Assumptions!$D$13+'Sales Forecast'!AK12*Assumptions!$E$13+'Sales Forecast'!AJ12*Assumptions!$F$13+'Sales Forecast'!AI12*Assumptions!$G$13+'Sales Forecast'!AH12*Assumptions!$H$13+'Sales Forecast'!AG12*Assumptions!$I$13</f>
        <v/>
      </c>
      <c r="AN17" s="17">
        <f>'Sales Forecast'!AN12*Assumptions!$C$13+'Sales Forecast'!AM12*Assumptions!$D$13+'Sales Forecast'!AL12*Assumptions!$E$13+'Sales Forecast'!AK12*Assumptions!$F$13+'Sales Forecast'!AJ12*Assumptions!$G$13+'Sales Forecast'!AI12*Assumptions!$H$13+'Sales Forecast'!AH12*Assumptions!$I$13</f>
        <v/>
      </c>
      <c r="AO17" s="17">
        <f>'Sales Forecast'!AO12*Assumptions!$C$13+'Sales Forecast'!AN12*Assumptions!$D$13+'Sales Forecast'!AM12*Assumptions!$E$13+'Sales Forecast'!AL12*Assumptions!$F$13+'Sales Forecast'!AK12*Assumptions!$G$13+'Sales Forecast'!AJ12*Assumptions!$H$13+'Sales Forecast'!AI12*Assumptions!$I$13</f>
        <v/>
      </c>
      <c r="AP17" s="17">
        <f>'Sales Forecast'!AP12*Assumptions!$C$13+'Sales Forecast'!AO12*Assumptions!$D$13+'Sales Forecast'!AN12*Assumptions!$E$13+'Sales Forecast'!AM12*Assumptions!$F$13+'Sales Forecast'!AL12*Assumptions!$G$13+'Sales Forecast'!AK12*Assumptions!$H$13+'Sales Forecast'!AJ12*Assumptions!$I$13</f>
        <v/>
      </c>
      <c r="AQ17" s="17">
        <f>'Sales Forecast'!AQ12*Assumptions!$C$13+'Sales Forecast'!AP12*Assumptions!$D$13+'Sales Forecast'!AO12*Assumptions!$E$13+'Sales Forecast'!AN12*Assumptions!$F$13+'Sales Forecast'!AM12*Assumptions!$G$13+'Sales Forecast'!AL12*Assumptions!$H$13+'Sales Forecast'!AK12*Assumptions!$I$13</f>
        <v/>
      </c>
      <c r="AR17" s="17">
        <f>'Sales Forecast'!AR12*Assumptions!$C$13+'Sales Forecast'!AQ12*Assumptions!$D$13+'Sales Forecast'!AP12*Assumptions!$E$13+'Sales Forecast'!AO12*Assumptions!$F$13+'Sales Forecast'!AN12*Assumptions!$G$13+'Sales Forecast'!AM12*Assumptions!$H$13+'Sales Forecast'!AL12*Assumptions!$I$13</f>
        <v/>
      </c>
      <c r="AS17" s="17">
        <f>'Sales Forecast'!AS12*Assumptions!$C$13+'Sales Forecast'!AR12*Assumptions!$D$13+'Sales Forecast'!AQ12*Assumptions!$E$13+'Sales Forecast'!AP12*Assumptions!$F$13+'Sales Forecast'!AO12*Assumptions!$G$13+'Sales Forecast'!AN12*Assumptions!$H$13+'Sales Forecast'!AM12*Assumptions!$I$13</f>
        <v/>
      </c>
      <c r="AT17" s="17">
        <f>'Sales Forecast'!AT12*Assumptions!$C$13+'Sales Forecast'!AS12*Assumptions!$D$13+'Sales Forecast'!AR12*Assumptions!$E$13+'Sales Forecast'!AQ12*Assumptions!$F$13+'Sales Forecast'!AP12*Assumptions!$G$13+'Sales Forecast'!AO12*Assumptions!$H$13+'Sales Forecast'!AN12*Assumptions!$I$13</f>
        <v/>
      </c>
      <c r="AU17" s="17">
        <f>'Sales Forecast'!AU12*Assumptions!$C$13+'Sales Forecast'!AT12*Assumptions!$D$13+'Sales Forecast'!AS12*Assumptions!$E$13+'Sales Forecast'!AR12*Assumptions!$F$13+'Sales Forecast'!AQ12*Assumptions!$G$13+'Sales Forecast'!AP12*Assumptions!$H$13+'Sales Forecast'!AO12*Assumptions!$I$13</f>
        <v/>
      </c>
      <c r="AV17" s="17">
        <f>'Sales Forecast'!AV12*Assumptions!$C$13+'Sales Forecast'!AU12*Assumptions!$D$13+'Sales Forecast'!AT12*Assumptions!$E$13+'Sales Forecast'!AS12*Assumptions!$F$13+'Sales Forecast'!AR12*Assumptions!$G$13+'Sales Forecast'!AQ12*Assumptions!$H$13+'Sales Forecast'!AP12*Assumptions!$I$13</f>
        <v/>
      </c>
      <c r="AW17" s="17">
        <f>'Sales Forecast'!AW12*Assumptions!$C$13+'Sales Forecast'!AV12*Assumptions!$D$13+'Sales Forecast'!AU12*Assumptions!$E$13+'Sales Forecast'!AT12*Assumptions!$F$13+'Sales Forecast'!AS12*Assumptions!$G$13+'Sales Forecast'!AR12*Assumptions!$H$13+'Sales Forecast'!AQ12*Assumptions!$I$13</f>
        <v/>
      </c>
      <c r="AX17" s="17">
        <f>'Sales Forecast'!AX12*Assumptions!$C$13+'Sales Forecast'!AW12*Assumptions!$D$13+'Sales Forecast'!AV12*Assumptions!$E$13+'Sales Forecast'!AU12*Assumptions!$F$13+'Sales Forecast'!AT12*Assumptions!$G$13+'Sales Forecast'!AS12*Assumptions!$H$13+'Sales Forecast'!AR12*Assumptions!$I$13</f>
        <v/>
      </c>
      <c r="AY17" s="17">
        <f>'Sales Forecast'!AY12*Assumptions!$C$13+'Sales Forecast'!AX12*Assumptions!$D$13+'Sales Forecast'!AW12*Assumptions!$E$13+'Sales Forecast'!AV12*Assumptions!$F$13+'Sales Forecast'!AU12*Assumptions!$G$13+'Sales Forecast'!AT12*Assumptions!$H$13+'Sales Forecast'!AS12*Assumptions!$I$13</f>
        <v/>
      </c>
    </row>
    <row r="18">
      <c r="B18" s="33" t="inlineStr">
        <is>
          <t xml:space="preserve">  404000 Retail Sales</t>
        </is>
      </c>
      <c r="D18" s="19" t="n">
        <v>4902</v>
      </c>
      <c r="E18" s="19" t="n">
        <v>5269</v>
      </c>
      <c r="F18" s="19" t="n">
        <v>4583.03</v>
      </c>
      <c r="G18" s="19" t="n">
        <v>3785</v>
      </c>
      <c r="H18" s="19" t="n">
        <v>3612</v>
      </c>
      <c r="I18" s="19" t="n">
        <v>5066</v>
      </c>
      <c r="J18" s="19" t="n">
        <v>1728</v>
      </c>
      <c r="K18" s="19" t="n">
        <v>2013</v>
      </c>
      <c r="L18" s="19" t="n">
        <v>2656</v>
      </c>
      <c r="M18" s="19" t="n">
        <v>2412</v>
      </c>
      <c r="N18" s="19" t="n">
        <v>4019</v>
      </c>
      <c r="O18" s="19" t="n">
        <v>2948</v>
      </c>
      <c r="P18" s="19" t="n">
        <v>2985</v>
      </c>
      <c r="Q18" s="19" t="n">
        <v>2271</v>
      </c>
      <c r="R18" s="19" t="n">
        <v>2066</v>
      </c>
      <c r="S18" s="19" t="n">
        <v>2762</v>
      </c>
      <c r="T18" s="84" t="n">
        <v>1844</v>
      </c>
      <c r="U18" s="20">
        <f>2521</f>
        <v/>
      </c>
      <c r="V18" s="20">
        <f>2521</f>
        <v/>
      </c>
      <c r="W18" s="20">
        <f>2521</f>
        <v/>
      </c>
      <c r="X18" s="20">
        <f>2521</f>
        <v/>
      </c>
      <c r="Y18" s="20">
        <f>2521</f>
        <v/>
      </c>
      <c r="Z18" s="20">
        <f>2521</f>
        <v/>
      </c>
      <c r="AA18" s="20">
        <f>2521</f>
        <v/>
      </c>
      <c r="AB18" s="20">
        <f>2521</f>
        <v/>
      </c>
      <c r="AC18" s="20">
        <f>2521</f>
        <v/>
      </c>
      <c r="AD18" s="20">
        <f>2521</f>
        <v/>
      </c>
      <c r="AE18" s="20">
        <f>2521</f>
        <v/>
      </c>
      <c r="AF18" s="20">
        <f>2521</f>
        <v/>
      </c>
      <c r="AG18" s="20">
        <f>2521</f>
        <v/>
      </c>
      <c r="AH18" s="20">
        <f>2521</f>
        <v/>
      </c>
      <c r="AI18" s="20">
        <f>2521</f>
        <v/>
      </c>
      <c r="AJ18" s="20">
        <f>2521</f>
        <v/>
      </c>
      <c r="AK18" s="20">
        <f>2521</f>
        <v/>
      </c>
      <c r="AL18" s="20">
        <f>2521</f>
        <v/>
      </c>
      <c r="AM18" s="20">
        <f>2521</f>
        <v/>
      </c>
      <c r="AN18" s="20">
        <f>2521</f>
        <v/>
      </c>
      <c r="AO18" s="20">
        <f>2521</f>
        <v/>
      </c>
      <c r="AP18" s="20">
        <f>2521</f>
        <v/>
      </c>
      <c r="AQ18" s="20">
        <f>2521</f>
        <v/>
      </c>
      <c r="AR18" s="20">
        <f>2521</f>
        <v/>
      </c>
      <c r="AS18" s="20">
        <f>2521</f>
        <v/>
      </c>
      <c r="AT18" s="20">
        <f>2521</f>
        <v/>
      </c>
      <c r="AU18" s="20">
        <f>2521</f>
        <v/>
      </c>
      <c r="AV18" s="20">
        <f>2521</f>
        <v/>
      </c>
      <c r="AW18" s="20">
        <f>2521</f>
        <v/>
      </c>
      <c r="AX18" s="20">
        <f>2521</f>
        <v/>
      </c>
      <c r="AY18" s="20">
        <f>2521</f>
        <v/>
      </c>
    </row>
    <row r="19">
      <c r="B19" s="33" t="inlineStr">
        <is>
          <t xml:space="preserve">  406000 Refunds</t>
        </is>
      </c>
      <c r="D19" s="19" t="n">
        <v>-8170</v>
      </c>
      <c r="E19" s="19" t="n">
        <v>-4404</v>
      </c>
      <c r="F19" s="19" t="n">
        <v>-2952.57</v>
      </c>
      <c r="G19" s="19" t="n">
        <v>-7293.01</v>
      </c>
      <c r="H19" s="19" t="n">
        <v>-1757.01</v>
      </c>
      <c r="I19" s="19" t="n">
        <v>-664</v>
      </c>
      <c r="J19" s="19" t="n">
        <v>-2238</v>
      </c>
      <c r="K19" s="19" t="n">
        <v>-1878</v>
      </c>
      <c r="L19" s="19" t="n">
        <v>-3656</v>
      </c>
      <c r="M19" s="19" t="n">
        <v>-6118.26</v>
      </c>
      <c r="N19" s="19" t="n">
        <v>-2754.9</v>
      </c>
      <c r="O19" s="19" t="n">
        <v>-4049.5</v>
      </c>
      <c r="P19" s="19" t="n">
        <v>3855.2</v>
      </c>
      <c r="Q19" s="19" t="n">
        <v>3810.96</v>
      </c>
      <c r="R19" s="19" t="n">
        <v>2727.2</v>
      </c>
      <c r="S19" s="19" t="n">
        <v>2085</v>
      </c>
      <c r="T19" s="84" t="n">
        <v>2125</v>
      </c>
      <c r="U19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Forecast'!P12*Assumptions!$H$13+2521)*Assumptions!$C$17</f>
        <v/>
      </c>
      <c r="V19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Forecast'!P12*Assumptions!$I$13+2521)*Assumptions!$C$17</f>
        <v/>
      </c>
      <c r="W19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Forecast'!Q12*Assumptions!$I$13+2521)*Assumptions!$C$17</f>
        <v/>
      </c>
      <c r="X19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Forecast'!R12*Assumptions!$I$13+2521)*Assumptions!$C$17</f>
        <v/>
      </c>
      <c r="Y19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Forecast'!S12*Assumptions!$I$13+2521)*Assumptions!$C$17</f>
        <v/>
      </c>
      <c r="Z19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Forecast'!T12*Assumptions!$I$13+2521)*Assumptions!$C$17</f>
        <v/>
      </c>
      <c r="AA19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Forecast'!U12*Assumptions!$I$13+2521)*Assumptions!$C$17</f>
        <v/>
      </c>
      <c r="AB19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Forecast'!V12*Assumptions!$I$13+2521)*Assumptions!$C$17</f>
        <v/>
      </c>
      <c r="AC19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Forecast'!W12*Assumptions!$I$13+2521)*Assumptions!$C$17</f>
        <v/>
      </c>
      <c r="AD19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Forecast'!X12*Assumptions!$I$13+2521)*Assumptions!$C$17</f>
        <v/>
      </c>
      <c r="AE19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Forecast'!Y12*Assumptions!$I$13+2521)*Assumptions!$C$17</f>
        <v/>
      </c>
      <c r="AF19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Forecast'!Z12*Assumptions!$I$13+2521)*Assumptions!$C$17</f>
        <v/>
      </c>
      <c r="AG19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Forecast'!AA12*Assumptions!$I$13+2521)*Assumptions!$C$17</f>
        <v/>
      </c>
      <c r="AH19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Forecast'!AB12*Assumptions!$I$13+2521)*Assumptions!$C$17</f>
        <v/>
      </c>
      <c r="AI19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Forecast'!AC12*Assumptions!$I$13+2521)*Assumptions!$C$17</f>
        <v/>
      </c>
      <c r="AJ19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Forecast'!AD12*Assumptions!$I$13+2521)*Assumptions!$C$17</f>
        <v/>
      </c>
      <c r="AK19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Forecast'!AE12*Assumptions!$I$13+2521)*Assumptions!$C$17</f>
        <v/>
      </c>
      <c r="AL19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Forecast'!AF12*Assumptions!$I$13+2521)*Assumptions!$C$17</f>
        <v/>
      </c>
      <c r="AM19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Forecast'!AG12*Assumptions!$I$13+2521)*Assumptions!$C$17</f>
        <v/>
      </c>
      <c r="AN19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Forecast'!AH12*Assumptions!$I$13+2521)*Assumptions!$C$17</f>
        <v/>
      </c>
      <c r="AO19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Forecast'!AI12*Assumptions!$I$13+2521)*Assumptions!$C$17</f>
        <v/>
      </c>
      <c r="AP19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Forecast'!AJ12*Assumptions!$I$13+2521)*Assumptions!$C$17</f>
        <v/>
      </c>
      <c r="AQ19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Forecast'!AK12*Assumptions!$I$13+2521)*Assumptions!$C$17</f>
        <v/>
      </c>
      <c r="AR19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Forecast'!AL12*Assumptions!$I$13+2521)*Assumptions!$C$17</f>
        <v/>
      </c>
      <c r="AS19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Forecast'!AM12*Assumptions!$I$13+2521)*Assumptions!$C$17</f>
        <v/>
      </c>
      <c r="AT19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Forecast'!AN12*Assumptions!$I$13+2521)*Assumptions!$C$17</f>
        <v/>
      </c>
      <c r="AU19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Forecast'!AO12*Assumptions!$I$13+2521)*Assumptions!$C$17</f>
        <v/>
      </c>
      <c r="AV19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Forecast'!AP12*Assumptions!$I$13+2521)*Assumptions!$C$17</f>
        <v/>
      </c>
      <c r="AW19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Forecast'!AQ12*Assumptions!$I$13+2521)*Assumptions!$C$17</f>
        <v/>
      </c>
      <c r="AX19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Forecast'!AR12*Assumptions!$I$13+2521)*Assumptions!$C$17</f>
        <v/>
      </c>
      <c r="AY19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Forecast'!AS12*Assumptions!$I$13+2521)*Assumptions!$C$17</f>
        <v/>
      </c>
    </row>
    <row r="20">
      <c r="B20" s="33" t="inlineStr">
        <is>
          <t xml:space="preserve">  407000 Discounts</t>
        </is>
      </c>
      <c r="D20" s="19" t="n">
        <v>-26234.94</v>
      </c>
      <c r="E20" s="19" t="n">
        <v>-16481.1</v>
      </c>
      <c r="F20" s="19" t="n">
        <v>-13539.94</v>
      </c>
      <c r="G20" s="19" t="n">
        <v>-9717.4</v>
      </c>
      <c r="H20" s="19" t="n">
        <v>-8531.459999999999</v>
      </c>
      <c r="I20" s="19" t="n">
        <v>-4593.62</v>
      </c>
      <c r="J20" s="19" t="n">
        <v>-5591.3</v>
      </c>
      <c r="K20" s="19" t="n">
        <v>-4636.24</v>
      </c>
      <c r="L20" s="19" t="n">
        <v>-6926.26</v>
      </c>
      <c r="M20" s="19" t="n">
        <v>-4991.98</v>
      </c>
      <c r="N20" s="19" t="n">
        <v>-4037.52</v>
      </c>
      <c r="O20" s="19" t="n">
        <v>-6027.28</v>
      </c>
      <c r="P20" s="19" t="n">
        <v>5483.2</v>
      </c>
      <c r="Q20" s="19" t="n">
        <v>6081.57</v>
      </c>
      <c r="R20" s="19" t="n">
        <v>5421.12</v>
      </c>
      <c r="S20" s="19" t="n">
        <v>10864.77</v>
      </c>
      <c r="T20" s="84" t="n">
        <v>3527.02</v>
      </c>
      <c r="U20" s="20">
        <f>('Sales Forecast'!U12*Assumptions!$C$12+'Sales Forecast'!T12*Assumptions!$D$12+'Sales Forecast'!S12*Assumptions!$E$12+'Sales Forecast'!R12*Assumptions!$F$12+'Sales Forecast'!Q12*Assumptions!$G$12+'Sales Forecast'!P12*Assumptions!$H$12+'Sales Forecast'!U12*Assumptions!$C$13+'Sales Forecast'!T12*Assumptions!$D$13+'Sales Forecast'!S12*Assumptions!$E$13+'Sales Forecast'!R12*Assumptions!$F$13+'Sales Forecast'!Q12*Assumptions!$G$13+'Sales Forecast'!P12*Assumptions!$H$13+2521)*Assumptions!$C$18</f>
        <v/>
      </c>
      <c r="V20" s="20">
        <f>('Sales Forecast'!V12*Assumptions!$C$12+'Sales Forecast'!U12*Assumptions!$D$12+'Sales Forecast'!T12*Assumptions!$E$12+'Sales Forecast'!S12*Assumptions!$F$12+'Sales Forecast'!R12*Assumptions!$G$12+'Sales Forecast'!Q12*Assumptions!$H$12+'Sales Forecast'!P12*Assumptions!$I$12+'Sales Forecast'!V12*Assumptions!$C$13+'Sales Forecast'!U12*Assumptions!$D$13+'Sales Forecast'!T12*Assumptions!$E$13+'Sales Forecast'!S12*Assumptions!$F$13+'Sales Forecast'!R12*Assumptions!$G$13+'Sales Forecast'!Q12*Assumptions!$H$13+'Sales Forecast'!P12*Assumptions!$I$13+2521)*Assumptions!$C$18</f>
        <v/>
      </c>
      <c r="W20" s="20">
        <f>('Sales Forecast'!W12*Assumptions!$C$12+'Sales Forecast'!V12*Assumptions!$D$12+'Sales Forecast'!U12*Assumptions!$E$12+'Sales Forecast'!T12*Assumptions!$F$12+'Sales Forecast'!S12*Assumptions!$G$12+'Sales Forecast'!R12*Assumptions!$H$12+'Sales Forecast'!Q12*Assumptions!$I$12+'Sales Forecast'!W12*Assumptions!$C$13+'Sales Forecast'!V12*Assumptions!$D$13+'Sales Forecast'!U12*Assumptions!$E$13+'Sales Forecast'!T12*Assumptions!$F$13+'Sales Forecast'!S12*Assumptions!$G$13+'Sales Forecast'!R12*Assumptions!$H$13+'Sales Forecast'!Q12*Assumptions!$I$13+2521)*Assumptions!$C$18</f>
        <v/>
      </c>
      <c r="X20" s="20">
        <f>('Sales Forecast'!X12*Assumptions!$C$12+'Sales Forecast'!W12*Assumptions!$D$12+'Sales Forecast'!V12*Assumptions!$E$12+'Sales Forecast'!U12*Assumptions!$F$12+'Sales Forecast'!T12*Assumptions!$G$12+'Sales Forecast'!S12*Assumptions!$H$12+'Sales Forecast'!R12*Assumptions!$I$12+'Sales Forecast'!X12*Assumptions!$C$13+'Sales Forecast'!W12*Assumptions!$D$13+'Sales Forecast'!V12*Assumptions!$E$13+'Sales Forecast'!U12*Assumptions!$F$13+'Sales Forecast'!T12*Assumptions!$G$13+'Sales Forecast'!S12*Assumptions!$H$13+'Sales Forecast'!R12*Assumptions!$I$13+2521)*Assumptions!$C$18</f>
        <v/>
      </c>
      <c r="Y20" s="20">
        <f>('Sales Forecast'!Y12*Assumptions!$C$12+'Sales Forecast'!X12*Assumptions!$D$12+'Sales Forecast'!W12*Assumptions!$E$12+'Sales Forecast'!V12*Assumptions!$F$12+'Sales Forecast'!U12*Assumptions!$G$12+'Sales Forecast'!T12*Assumptions!$H$12+'Sales Forecast'!S12*Assumptions!$I$12+'Sales Forecast'!Y12*Assumptions!$C$13+'Sales Forecast'!X12*Assumptions!$D$13+'Sales Forecast'!W12*Assumptions!$E$13+'Sales Forecast'!V12*Assumptions!$F$13+'Sales Forecast'!U12*Assumptions!$G$13+'Sales Forecast'!T12*Assumptions!$H$13+'Sales Forecast'!S12*Assumptions!$I$13+2521)*Assumptions!$C$18</f>
        <v/>
      </c>
      <c r="Z20" s="20">
        <f>('Sales Forecast'!Z12*Assumptions!$C$12+'Sales Forecast'!Y12*Assumptions!$D$12+'Sales Forecast'!X12*Assumptions!$E$12+'Sales Forecast'!W12*Assumptions!$F$12+'Sales Forecast'!V12*Assumptions!$G$12+'Sales Forecast'!U12*Assumptions!$H$12+'Sales Forecast'!T12*Assumptions!$I$12+'Sales Forecast'!Z12*Assumptions!$C$13+'Sales Forecast'!Y12*Assumptions!$D$13+'Sales Forecast'!X12*Assumptions!$E$13+'Sales Forecast'!W12*Assumptions!$F$13+'Sales Forecast'!V12*Assumptions!$G$13+'Sales Forecast'!U12*Assumptions!$H$13+'Sales Forecast'!T12*Assumptions!$I$13+2521)*Assumptions!$C$18</f>
        <v/>
      </c>
      <c r="AA20" s="20">
        <f>('Sales Forecast'!AA12*Assumptions!$C$12+'Sales Forecast'!Z12*Assumptions!$D$12+'Sales Forecast'!Y12*Assumptions!$E$12+'Sales Forecast'!X12*Assumptions!$F$12+'Sales Forecast'!W12*Assumptions!$G$12+'Sales Forecast'!V12*Assumptions!$H$12+'Sales Forecast'!U12*Assumptions!$I$12+'Sales Forecast'!AA12*Assumptions!$C$13+'Sales Forecast'!Z12*Assumptions!$D$13+'Sales Forecast'!Y12*Assumptions!$E$13+'Sales Forecast'!X12*Assumptions!$F$13+'Sales Forecast'!W12*Assumptions!$G$13+'Sales Forecast'!V12*Assumptions!$H$13+'Sales Forecast'!U12*Assumptions!$I$13+2521)*Assumptions!$C$18</f>
        <v/>
      </c>
      <c r="AB20" s="20">
        <f>('Sales Forecast'!AB12*Assumptions!$C$12+'Sales Forecast'!AA12*Assumptions!$D$12+'Sales Forecast'!Z12*Assumptions!$E$12+'Sales Forecast'!Y12*Assumptions!$F$12+'Sales Forecast'!X12*Assumptions!$G$12+'Sales Forecast'!W12*Assumptions!$H$12+'Sales Forecast'!V12*Assumptions!$I$12+'Sales Forecast'!AB12*Assumptions!$C$13+'Sales Forecast'!AA12*Assumptions!$D$13+'Sales Forecast'!Z12*Assumptions!$E$13+'Sales Forecast'!Y12*Assumptions!$F$13+'Sales Forecast'!X12*Assumptions!$G$13+'Sales Forecast'!W12*Assumptions!$H$13+'Sales Forecast'!V12*Assumptions!$I$13+2521)*Assumptions!$C$18</f>
        <v/>
      </c>
      <c r="AC20" s="20">
        <f>('Sales Forecast'!AC12*Assumptions!$C$12+'Sales Forecast'!AB12*Assumptions!$D$12+'Sales Forecast'!AA12*Assumptions!$E$12+'Sales Forecast'!Z12*Assumptions!$F$12+'Sales Forecast'!Y12*Assumptions!$G$12+'Sales Forecast'!X12*Assumptions!$H$12+'Sales Forecast'!W12*Assumptions!$I$12+'Sales Forecast'!AC12*Assumptions!$C$13+'Sales Forecast'!AB12*Assumptions!$D$13+'Sales Forecast'!AA12*Assumptions!$E$13+'Sales Forecast'!Z12*Assumptions!$F$13+'Sales Forecast'!Y12*Assumptions!$G$13+'Sales Forecast'!X12*Assumptions!$H$13+'Sales Forecast'!W12*Assumptions!$I$13+2521)*Assumptions!$C$18</f>
        <v/>
      </c>
      <c r="AD20" s="20">
        <f>('Sales Forecast'!AD12*Assumptions!$C$12+'Sales Forecast'!AC12*Assumptions!$D$12+'Sales Forecast'!AB12*Assumptions!$E$12+'Sales Forecast'!AA12*Assumptions!$F$12+'Sales Forecast'!Z12*Assumptions!$G$12+'Sales Forecast'!Y12*Assumptions!$H$12+'Sales Forecast'!X12*Assumptions!$I$12+'Sales Forecast'!AD12*Assumptions!$C$13+'Sales Forecast'!AC12*Assumptions!$D$13+'Sales Forecast'!AB12*Assumptions!$E$13+'Sales Forecast'!AA12*Assumptions!$F$13+'Sales Forecast'!Z12*Assumptions!$G$13+'Sales Forecast'!Y12*Assumptions!$H$13+'Sales Forecast'!X12*Assumptions!$I$13+2521)*Assumptions!$C$18</f>
        <v/>
      </c>
      <c r="AE20" s="20">
        <f>('Sales Forecast'!AE12*Assumptions!$C$12+'Sales Forecast'!AD12*Assumptions!$D$12+'Sales Forecast'!AC12*Assumptions!$E$12+'Sales Forecast'!AB12*Assumptions!$F$12+'Sales Forecast'!AA12*Assumptions!$G$12+'Sales Forecast'!Z12*Assumptions!$H$12+'Sales Forecast'!Y12*Assumptions!$I$12+'Sales Forecast'!AE12*Assumptions!$C$13+'Sales Forecast'!AD12*Assumptions!$D$13+'Sales Forecast'!AC12*Assumptions!$E$13+'Sales Forecast'!AB12*Assumptions!$F$13+'Sales Forecast'!AA12*Assumptions!$G$13+'Sales Forecast'!Z12*Assumptions!$H$13+'Sales Forecast'!Y12*Assumptions!$I$13+2521)*Assumptions!$C$18</f>
        <v/>
      </c>
      <c r="AF20" s="20">
        <f>('Sales Forecast'!AF12*Assumptions!$C$12+'Sales Forecast'!AE12*Assumptions!$D$12+'Sales Forecast'!AD12*Assumptions!$E$12+'Sales Forecast'!AC12*Assumptions!$F$12+'Sales Forecast'!AB12*Assumptions!$G$12+'Sales Forecast'!AA12*Assumptions!$H$12+'Sales Forecast'!Z12*Assumptions!$I$12+'Sales Forecast'!AF12*Assumptions!$C$13+'Sales Forecast'!AE12*Assumptions!$D$13+'Sales Forecast'!AD12*Assumptions!$E$13+'Sales Forecast'!AC12*Assumptions!$F$13+'Sales Forecast'!AB12*Assumptions!$G$13+'Sales Forecast'!AA12*Assumptions!$H$13+'Sales Forecast'!Z12*Assumptions!$I$13+2521)*Assumptions!$C$18</f>
        <v/>
      </c>
      <c r="AG20" s="20">
        <f>('Sales Forecast'!AG12*Assumptions!$C$12+'Sales Forecast'!AF12*Assumptions!$D$12+'Sales Forecast'!AE12*Assumptions!$E$12+'Sales Forecast'!AD12*Assumptions!$F$12+'Sales Forecast'!AC12*Assumptions!$G$12+'Sales Forecast'!AB12*Assumptions!$H$12+'Sales Forecast'!AA12*Assumptions!$I$12+'Sales Forecast'!AG12*Assumptions!$C$13+'Sales Forecast'!AF12*Assumptions!$D$13+'Sales Forecast'!AE12*Assumptions!$E$13+'Sales Forecast'!AD12*Assumptions!$F$13+'Sales Forecast'!AC12*Assumptions!$G$13+'Sales Forecast'!AB12*Assumptions!$H$13+'Sales Forecast'!AA12*Assumptions!$I$13+2521)*Assumptions!$C$18</f>
        <v/>
      </c>
      <c r="AH20" s="20">
        <f>('Sales Forecast'!AH12*Assumptions!$C$12+'Sales Forecast'!AG12*Assumptions!$D$12+'Sales Forecast'!AF12*Assumptions!$E$12+'Sales Forecast'!AE12*Assumptions!$F$12+'Sales Forecast'!AD12*Assumptions!$G$12+'Sales Forecast'!AC12*Assumptions!$H$12+'Sales Forecast'!AB12*Assumptions!$I$12+'Sales Forecast'!AH12*Assumptions!$C$13+'Sales Forecast'!AG12*Assumptions!$D$13+'Sales Forecast'!AF12*Assumptions!$E$13+'Sales Forecast'!AE12*Assumptions!$F$13+'Sales Forecast'!AD12*Assumptions!$G$13+'Sales Forecast'!AC12*Assumptions!$H$13+'Sales Forecast'!AB12*Assumptions!$I$13+2521)*Assumptions!$C$18</f>
        <v/>
      </c>
      <c r="AI20" s="20">
        <f>('Sales Forecast'!AI12*Assumptions!$C$12+'Sales Forecast'!AH12*Assumptions!$D$12+'Sales Forecast'!AG12*Assumptions!$E$12+'Sales Forecast'!AF12*Assumptions!$F$12+'Sales Forecast'!AE12*Assumptions!$G$12+'Sales Forecast'!AD12*Assumptions!$H$12+'Sales Forecast'!AC12*Assumptions!$I$12+'Sales Forecast'!AI12*Assumptions!$C$13+'Sales Forecast'!AH12*Assumptions!$D$13+'Sales Forecast'!AG12*Assumptions!$E$13+'Sales Forecast'!AF12*Assumptions!$F$13+'Sales Forecast'!AE12*Assumptions!$G$13+'Sales Forecast'!AD12*Assumptions!$H$13+'Sales Forecast'!AC12*Assumptions!$I$13+2521)*Assumptions!$C$18</f>
        <v/>
      </c>
      <c r="AJ20" s="20">
        <f>('Sales Forecast'!AJ12*Assumptions!$C$12+'Sales Forecast'!AI12*Assumptions!$D$12+'Sales Forecast'!AH12*Assumptions!$E$12+'Sales Forecast'!AG12*Assumptions!$F$12+'Sales Forecast'!AF12*Assumptions!$G$12+'Sales Forecast'!AE12*Assumptions!$H$12+'Sales Forecast'!AD12*Assumptions!$I$12+'Sales Forecast'!AJ12*Assumptions!$C$13+'Sales Forecast'!AI12*Assumptions!$D$13+'Sales Forecast'!AH12*Assumptions!$E$13+'Sales Forecast'!AG12*Assumptions!$F$13+'Sales Forecast'!AF12*Assumptions!$G$13+'Sales Forecast'!AE12*Assumptions!$H$13+'Sales Forecast'!AD12*Assumptions!$I$13+2521)*Assumptions!$C$18</f>
        <v/>
      </c>
      <c r="AK20" s="20">
        <f>('Sales Forecast'!AK12*Assumptions!$C$12+'Sales Forecast'!AJ12*Assumptions!$D$12+'Sales Forecast'!AI12*Assumptions!$E$12+'Sales Forecast'!AH12*Assumptions!$F$12+'Sales Forecast'!AG12*Assumptions!$G$12+'Sales Forecast'!AF12*Assumptions!$H$12+'Sales Forecast'!AE12*Assumptions!$I$12+'Sales Forecast'!AK12*Assumptions!$C$13+'Sales Forecast'!AJ12*Assumptions!$D$13+'Sales Forecast'!AI12*Assumptions!$E$13+'Sales Forecast'!AH12*Assumptions!$F$13+'Sales Forecast'!AG12*Assumptions!$G$13+'Sales Forecast'!AF12*Assumptions!$H$13+'Sales Forecast'!AE12*Assumptions!$I$13+2521)*Assumptions!$C$18</f>
        <v/>
      </c>
      <c r="AL20" s="20">
        <f>('Sales Forecast'!AL12*Assumptions!$C$12+'Sales Forecast'!AK12*Assumptions!$D$12+'Sales Forecast'!AJ12*Assumptions!$E$12+'Sales Forecast'!AI12*Assumptions!$F$12+'Sales Forecast'!AH12*Assumptions!$G$12+'Sales Forecast'!AG12*Assumptions!$H$12+'Sales Forecast'!AF12*Assumptions!$I$12+'Sales Forecast'!AL12*Assumptions!$C$13+'Sales Forecast'!AK12*Assumptions!$D$13+'Sales Forecast'!AJ12*Assumptions!$E$13+'Sales Forecast'!AI12*Assumptions!$F$13+'Sales Forecast'!AH12*Assumptions!$G$13+'Sales Forecast'!AG12*Assumptions!$H$13+'Sales Forecast'!AF12*Assumptions!$I$13+2521)*Assumptions!$C$18</f>
        <v/>
      </c>
      <c r="AM20" s="20">
        <f>('Sales Forecast'!AM12*Assumptions!$C$12+'Sales Forecast'!AL12*Assumptions!$D$12+'Sales Forecast'!AK12*Assumptions!$E$12+'Sales Forecast'!AJ12*Assumptions!$F$12+'Sales Forecast'!AI12*Assumptions!$G$12+'Sales Forecast'!AH12*Assumptions!$H$12+'Sales Forecast'!AG12*Assumptions!$I$12+'Sales Forecast'!AM12*Assumptions!$C$13+'Sales Forecast'!AL12*Assumptions!$D$13+'Sales Forecast'!AK12*Assumptions!$E$13+'Sales Forecast'!AJ12*Assumptions!$F$13+'Sales Forecast'!AI12*Assumptions!$G$13+'Sales Forecast'!AH12*Assumptions!$H$13+'Sales Forecast'!AG12*Assumptions!$I$13+2521)*Assumptions!$C$18</f>
        <v/>
      </c>
      <c r="AN20" s="20">
        <f>('Sales Forecast'!AN12*Assumptions!$C$12+'Sales Forecast'!AM12*Assumptions!$D$12+'Sales Forecast'!AL12*Assumptions!$E$12+'Sales Forecast'!AK12*Assumptions!$F$12+'Sales Forecast'!AJ12*Assumptions!$G$12+'Sales Forecast'!AI12*Assumptions!$H$12+'Sales Forecast'!AH12*Assumptions!$I$12+'Sales Forecast'!AN12*Assumptions!$C$13+'Sales Forecast'!AM12*Assumptions!$D$13+'Sales Forecast'!AL12*Assumptions!$E$13+'Sales Forecast'!AK12*Assumptions!$F$13+'Sales Forecast'!AJ12*Assumptions!$G$13+'Sales Forecast'!AI12*Assumptions!$H$13+'Sales Forecast'!AH12*Assumptions!$I$13+2521)*Assumptions!$C$18</f>
        <v/>
      </c>
      <c r="AO20" s="20">
        <f>('Sales Forecast'!AO12*Assumptions!$C$12+'Sales Forecast'!AN12*Assumptions!$D$12+'Sales Forecast'!AM12*Assumptions!$E$12+'Sales Forecast'!AL12*Assumptions!$F$12+'Sales Forecast'!AK12*Assumptions!$G$12+'Sales Forecast'!AJ12*Assumptions!$H$12+'Sales Forecast'!AI12*Assumptions!$I$12+'Sales Forecast'!AO12*Assumptions!$C$13+'Sales Forecast'!AN12*Assumptions!$D$13+'Sales Forecast'!AM12*Assumptions!$E$13+'Sales Forecast'!AL12*Assumptions!$F$13+'Sales Forecast'!AK12*Assumptions!$G$13+'Sales Forecast'!AJ12*Assumptions!$H$13+'Sales Forecast'!AI12*Assumptions!$I$13+2521)*Assumptions!$C$18</f>
        <v/>
      </c>
      <c r="AP20" s="20">
        <f>('Sales Forecast'!AP12*Assumptions!$C$12+'Sales Forecast'!AO12*Assumptions!$D$12+'Sales Forecast'!AN12*Assumptions!$E$12+'Sales Forecast'!AM12*Assumptions!$F$12+'Sales Forecast'!AL12*Assumptions!$G$12+'Sales Forecast'!AK12*Assumptions!$H$12+'Sales Forecast'!AJ12*Assumptions!$I$12+'Sales Forecast'!AP12*Assumptions!$C$13+'Sales Forecast'!AO12*Assumptions!$D$13+'Sales Forecast'!AN12*Assumptions!$E$13+'Sales Forecast'!AM12*Assumptions!$F$13+'Sales Forecast'!AL12*Assumptions!$G$13+'Sales Forecast'!AK12*Assumptions!$H$13+'Sales Forecast'!AJ12*Assumptions!$I$13+2521)*Assumptions!$C$18</f>
        <v/>
      </c>
      <c r="AQ20" s="20">
        <f>('Sales Forecast'!AQ12*Assumptions!$C$12+'Sales Forecast'!AP12*Assumptions!$D$12+'Sales Forecast'!AO12*Assumptions!$E$12+'Sales Forecast'!AN12*Assumptions!$F$12+'Sales Forecast'!AM12*Assumptions!$G$12+'Sales Forecast'!AL12*Assumptions!$H$12+'Sales Forecast'!AK12*Assumptions!$I$12+'Sales Forecast'!AQ12*Assumptions!$C$13+'Sales Forecast'!AP12*Assumptions!$D$13+'Sales Forecast'!AO12*Assumptions!$E$13+'Sales Forecast'!AN12*Assumptions!$F$13+'Sales Forecast'!AM12*Assumptions!$G$13+'Sales Forecast'!AL12*Assumptions!$H$13+'Sales Forecast'!AK12*Assumptions!$I$13+2521)*Assumptions!$C$18</f>
        <v/>
      </c>
      <c r="AR20" s="20">
        <f>('Sales Forecast'!AR12*Assumptions!$C$12+'Sales Forecast'!AQ12*Assumptions!$D$12+'Sales Forecast'!AP12*Assumptions!$E$12+'Sales Forecast'!AO12*Assumptions!$F$12+'Sales Forecast'!AN12*Assumptions!$G$12+'Sales Forecast'!AM12*Assumptions!$H$12+'Sales Forecast'!AL12*Assumptions!$I$12+'Sales Forecast'!AR12*Assumptions!$C$13+'Sales Forecast'!AQ12*Assumptions!$D$13+'Sales Forecast'!AP12*Assumptions!$E$13+'Sales Forecast'!AO12*Assumptions!$F$13+'Sales Forecast'!AN12*Assumptions!$G$13+'Sales Forecast'!AM12*Assumptions!$H$13+'Sales Forecast'!AL12*Assumptions!$I$13+2521)*Assumptions!$C$18</f>
        <v/>
      </c>
      <c r="AS20" s="20">
        <f>('Sales Forecast'!AS12*Assumptions!$C$12+'Sales Forecast'!AR12*Assumptions!$D$12+'Sales Forecast'!AQ12*Assumptions!$E$12+'Sales Forecast'!AP12*Assumptions!$F$12+'Sales Forecast'!AO12*Assumptions!$G$12+'Sales Forecast'!AN12*Assumptions!$H$12+'Sales Forecast'!AM12*Assumptions!$I$12+'Sales Forecast'!AS12*Assumptions!$C$13+'Sales Forecast'!AR12*Assumptions!$D$13+'Sales Forecast'!AQ12*Assumptions!$E$13+'Sales Forecast'!AP12*Assumptions!$F$13+'Sales Forecast'!AO12*Assumptions!$G$13+'Sales Forecast'!AN12*Assumptions!$H$13+'Sales Forecast'!AM12*Assumptions!$I$13+2521)*Assumptions!$C$18</f>
        <v/>
      </c>
      <c r="AT20" s="20">
        <f>('Sales Forecast'!AT12*Assumptions!$C$12+'Sales Forecast'!AS12*Assumptions!$D$12+'Sales Forecast'!AR12*Assumptions!$E$12+'Sales Forecast'!AQ12*Assumptions!$F$12+'Sales Forecast'!AP12*Assumptions!$G$12+'Sales Forecast'!AO12*Assumptions!$H$12+'Sales Forecast'!AN12*Assumptions!$I$12+'Sales Forecast'!AT12*Assumptions!$C$13+'Sales Forecast'!AS12*Assumptions!$D$13+'Sales Forecast'!AR12*Assumptions!$E$13+'Sales Forecast'!AQ12*Assumptions!$F$13+'Sales Forecast'!AP12*Assumptions!$G$13+'Sales Forecast'!AO12*Assumptions!$H$13+'Sales Forecast'!AN12*Assumptions!$I$13+2521)*Assumptions!$C$18</f>
        <v/>
      </c>
      <c r="AU20" s="20">
        <f>('Sales Forecast'!AU12*Assumptions!$C$12+'Sales Forecast'!AT12*Assumptions!$D$12+'Sales Forecast'!AS12*Assumptions!$E$12+'Sales Forecast'!AR12*Assumptions!$F$12+'Sales Forecast'!AQ12*Assumptions!$G$12+'Sales Forecast'!AP12*Assumptions!$H$12+'Sales Forecast'!AO12*Assumptions!$I$12+'Sales Forecast'!AU12*Assumptions!$C$13+'Sales Forecast'!AT12*Assumptions!$D$13+'Sales Forecast'!AS12*Assumptions!$E$13+'Sales Forecast'!AR12*Assumptions!$F$13+'Sales Forecast'!AQ12*Assumptions!$G$13+'Sales Forecast'!AP12*Assumptions!$H$13+'Sales Forecast'!AO12*Assumptions!$I$13+2521)*Assumptions!$C$18</f>
        <v/>
      </c>
      <c r="AV20" s="20">
        <f>('Sales Forecast'!AV12*Assumptions!$C$12+'Sales Forecast'!AU12*Assumptions!$D$12+'Sales Forecast'!AT12*Assumptions!$E$12+'Sales Forecast'!AS12*Assumptions!$F$12+'Sales Forecast'!AR12*Assumptions!$G$12+'Sales Forecast'!AQ12*Assumptions!$H$12+'Sales Forecast'!AP12*Assumptions!$I$12+'Sales Forecast'!AV12*Assumptions!$C$13+'Sales Forecast'!AU12*Assumptions!$D$13+'Sales Forecast'!AT12*Assumptions!$E$13+'Sales Forecast'!AS12*Assumptions!$F$13+'Sales Forecast'!AR12*Assumptions!$G$13+'Sales Forecast'!AQ12*Assumptions!$H$13+'Sales Forecast'!AP12*Assumptions!$I$13+2521)*Assumptions!$C$18</f>
        <v/>
      </c>
      <c r="AW20" s="20">
        <f>('Sales Forecast'!AW12*Assumptions!$C$12+'Sales Forecast'!AV12*Assumptions!$D$12+'Sales Forecast'!AU12*Assumptions!$E$12+'Sales Forecast'!AT12*Assumptions!$F$12+'Sales Forecast'!AS12*Assumptions!$G$12+'Sales Forecast'!AR12*Assumptions!$H$12+'Sales Forecast'!AQ12*Assumptions!$I$12+'Sales Forecast'!AW12*Assumptions!$C$13+'Sales Forecast'!AV12*Assumptions!$D$13+'Sales Forecast'!AU12*Assumptions!$E$13+'Sales Forecast'!AT12*Assumptions!$F$13+'Sales Forecast'!AS12*Assumptions!$G$13+'Sales Forecast'!AR12*Assumptions!$H$13+'Sales Forecast'!AQ12*Assumptions!$I$13+2521)*Assumptions!$C$18</f>
        <v/>
      </c>
      <c r="AX20" s="20">
        <f>('Sales Forecast'!AX12*Assumptions!$C$12+'Sales Forecast'!AW12*Assumptions!$D$12+'Sales Forecast'!AV12*Assumptions!$E$12+'Sales Forecast'!AU12*Assumptions!$F$12+'Sales Forecast'!AT12*Assumptions!$G$12+'Sales Forecast'!AS12*Assumptions!$H$12+'Sales Forecast'!AR12*Assumptions!$I$12+'Sales Forecast'!AX12*Assumptions!$C$13+'Sales Forecast'!AW12*Assumptions!$D$13+'Sales Forecast'!AV12*Assumptions!$E$13+'Sales Forecast'!AU12*Assumptions!$F$13+'Sales Forecast'!AT12*Assumptions!$G$13+'Sales Forecast'!AS12*Assumptions!$H$13+'Sales Forecast'!AR12*Assumptions!$I$13+2521)*Assumptions!$C$18</f>
        <v/>
      </c>
      <c r="AY20" s="20">
        <f>('Sales Forecast'!AY12*Assumptions!$C$12+'Sales Forecast'!AX12*Assumptions!$D$12+'Sales Forecast'!AW12*Assumptions!$E$12+'Sales Forecast'!AV12*Assumptions!$F$12+'Sales Forecast'!AU12*Assumptions!$G$12+'Sales Forecast'!AT12*Assumptions!$H$12+'Sales Forecast'!AS12*Assumptions!$I$12+'Sales Forecast'!AY12*Assumptions!$C$13+'Sales Forecast'!AX12*Assumptions!$D$13+'Sales Forecast'!AW12*Assumptions!$E$13+'Sales Forecast'!AV12*Assumptions!$F$13+'Sales Forecast'!AU12*Assumptions!$G$13+'Sales Forecast'!AT12*Assumptions!$H$13+'Sales Forecast'!AS12*Assumptions!$I$13+2521)*Assumptions!$C$18</f>
        <v/>
      </c>
    </row>
    <row r="21">
      <c r="B21" s="32" t="inlineStr">
        <is>
          <t>TOTAL REVENUE</t>
        </is>
      </c>
      <c r="C21" s="34" t="n"/>
      <c r="D21" s="35" t="n">
        <v>213465.61</v>
      </c>
      <c r="E21" s="35" t="n">
        <v>214391.55</v>
      </c>
      <c r="F21" s="35" t="n">
        <v>250059.09</v>
      </c>
      <c r="G21" s="35" t="n">
        <v>225172.86</v>
      </c>
      <c r="H21" s="35" t="n">
        <v>217319.45</v>
      </c>
      <c r="I21" s="35" t="n">
        <v>168863.04</v>
      </c>
      <c r="J21" s="35" t="n">
        <v>141383.59</v>
      </c>
      <c r="K21" s="35" t="n">
        <v>159578.75</v>
      </c>
      <c r="L21" s="35" t="n">
        <v>158576.93</v>
      </c>
      <c r="M21" s="35" t="n">
        <v>140949.3799999999</v>
      </c>
      <c r="N21" s="35" t="n">
        <v>156577.57</v>
      </c>
      <c r="O21" s="35" t="n">
        <v>135509.79</v>
      </c>
      <c r="P21" s="35" t="n">
        <v>188169.24</v>
      </c>
      <c r="Q21" s="35" t="n">
        <v>153464.54</v>
      </c>
      <c r="R21" s="35" t="n">
        <v>141135.39</v>
      </c>
      <c r="S21" s="35" t="n">
        <v>134357.16</v>
      </c>
      <c r="T21" s="85" t="n">
        <v>131663.46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2206</v>
      </c>
      <c r="E23" s="19" t="n">
        <v>2445.25</v>
      </c>
      <c r="F23" s="19" t="n">
        <v>2083.25</v>
      </c>
      <c r="G23" s="19" t="n">
        <v>1763.25</v>
      </c>
      <c r="H23" s="19" t="n">
        <v>1421</v>
      </c>
      <c r="I23" s="19" t="n">
        <v>2156.5</v>
      </c>
      <c r="J23" s="19" t="n">
        <v>756.5</v>
      </c>
      <c r="K23" s="19" t="n">
        <v>1047.75</v>
      </c>
      <c r="L23" s="19" t="n">
        <v>1133</v>
      </c>
      <c r="M23" s="19" t="n">
        <v>1057</v>
      </c>
      <c r="N23" s="19" t="n">
        <v>1830</v>
      </c>
      <c r="O23" s="19" t="n">
        <v>1375.5</v>
      </c>
      <c r="P23" s="19" t="n">
        <v>1406.1</v>
      </c>
      <c r="Q23" s="19" t="n">
        <v>1101</v>
      </c>
      <c r="R23" s="19" t="n">
        <v>983.7</v>
      </c>
      <c r="S23" s="19" t="n">
        <v>1179</v>
      </c>
      <c r="T23" s="84" t="n">
        <v>915.5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4213.5</v>
      </c>
      <c r="E24" s="19" t="n">
        <v>3350.43</v>
      </c>
      <c r="F24" s="19" t="n">
        <v>3273.36</v>
      </c>
      <c r="G24" s="19" t="n">
        <v>4750.86</v>
      </c>
      <c r="H24" s="19" t="n">
        <v>2092.9</v>
      </c>
      <c r="I24" s="19" t="n">
        <v>1897.33</v>
      </c>
      <c r="J24" s="19" t="n">
        <v>1592.6</v>
      </c>
      <c r="K24" s="19" t="n">
        <v>3066.33</v>
      </c>
      <c r="L24" s="19" t="n">
        <v>2059.69</v>
      </c>
      <c r="M24" s="19" t="n">
        <v>2259.66</v>
      </c>
      <c r="N24" s="19" t="n">
        <v>3398.29</v>
      </c>
      <c r="O24" s="19" t="n">
        <v>3822.85</v>
      </c>
      <c r="P24" s="19" t="n">
        <v>3354.93</v>
      </c>
      <c r="Q24" s="19" t="n">
        <v>5257.98</v>
      </c>
      <c r="R24" s="19" t="n">
        <v>3110.15</v>
      </c>
      <c r="S24" s="19" t="n">
        <v>4864.64</v>
      </c>
      <c r="T24" s="84" t="n">
        <v>2401.21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6419.5</v>
      </c>
      <c r="E25" s="35" t="n">
        <v>5795.68</v>
      </c>
      <c r="F25" s="35" t="n">
        <v>5356.610000000001</v>
      </c>
      <c r="G25" s="35" t="n">
        <v>6514.11</v>
      </c>
      <c r="H25" s="35" t="n">
        <v>3513.9</v>
      </c>
      <c r="I25" s="35" t="n">
        <v>4053.83</v>
      </c>
      <c r="J25" s="35" t="n">
        <v>2349.1</v>
      </c>
      <c r="K25" s="35" t="n">
        <v>4114.08</v>
      </c>
      <c r="L25" s="35" t="n">
        <v>3192.69</v>
      </c>
      <c r="M25" s="35" t="n">
        <v>3316.66</v>
      </c>
      <c r="N25" s="35" t="n">
        <v>5228.29</v>
      </c>
      <c r="O25" s="35" t="n">
        <v>6313.990000000001</v>
      </c>
      <c r="P25" s="35" t="n">
        <v>4761.03</v>
      </c>
      <c r="Q25" s="35" t="n">
        <v>6358.98</v>
      </c>
      <c r="R25" s="35" t="n">
        <v>4093.85</v>
      </c>
      <c r="S25" s="35" t="n">
        <v>6043.64</v>
      </c>
      <c r="T25" s="85" t="n">
        <v>3316.71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207046.11</v>
      </c>
      <c r="E26" s="35" t="n">
        <v>208595.87</v>
      </c>
      <c r="F26" s="35" t="n">
        <v>244702.48</v>
      </c>
      <c r="G26" s="35" t="n">
        <v>218658.75</v>
      </c>
      <c r="H26" s="35" t="n">
        <v>213805.55</v>
      </c>
      <c r="I26" s="35" t="n">
        <v>164809.21</v>
      </c>
      <c r="J26" s="35" t="n">
        <v>139034.49</v>
      </c>
      <c r="K26" s="35" t="n">
        <v>155464.67</v>
      </c>
      <c r="L26" s="35" t="n">
        <v>155384.24</v>
      </c>
      <c r="M26" s="35" t="n">
        <v>137632.7199999999</v>
      </c>
      <c r="N26" s="35" t="n">
        <v>151349.28</v>
      </c>
      <c r="O26" s="35" t="n">
        <v>129195.8</v>
      </c>
      <c r="P26" s="35" t="n">
        <v>183408.21</v>
      </c>
      <c r="Q26" s="35" t="n">
        <v>147105.56</v>
      </c>
      <c r="R26" s="35" t="n">
        <v>137041.54</v>
      </c>
      <c r="S26" s="35" t="n">
        <v>128313.52</v>
      </c>
      <c r="T26" s="85" t="n">
        <v>128346.75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250.14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607.27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165.85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127.08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250.14</v>
      </c>
      <c r="E33" s="35" t="n">
        <v>165.85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53.77</v>
      </c>
      <c r="L33" s="35" t="n">
        <v>0</v>
      </c>
      <c r="M33" s="35" t="n">
        <v>0</v>
      </c>
      <c r="N33" s="35" t="n">
        <v>590.91</v>
      </c>
      <c r="O33" s="35" t="n">
        <v>734.35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39011.93</v>
      </c>
      <c r="E34" s="19" t="n">
        <v>43231.25</v>
      </c>
      <c r="F34" s="19" t="n">
        <v>46837.73</v>
      </c>
      <c r="G34" s="19" t="n">
        <v>38461.64</v>
      </c>
      <c r="H34" s="19" t="n">
        <v>49715.14</v>
      </c>
      <c r="I34" s="19" t="n">
        <v>40100.86</v>
      </c>
      <c r="J34" s="19" t="n">
        <v>36729.13</v>
      </c>
      <c r="K34" s="19" t="n">
        <v>38467.03</v>
      </c>
      <c r="L34" s="19" t="n">
        <v>37781.83</v>
      </c>
      <c r="M34" s="19" t="n">
        <v>36504.73</v>
      </c>
      <c r="N34" s="19" t="n">
        <v>33195.92</v>
      </c>
      <c r="O34" s="19" t="n">
        <v>34108.92</v>
      </c>
      <c r="P34" s="19" t="n">
        <v>37865.96</v>
      </c>
      <c r="Q34" s="19" t="n">
        <v>28298.38</v>
      </c>
      <c r="R34" s="19" t="n">
        <v>28172.31</v>
      </c>
      <c r="S34" s="19" t="n">
        <v>21673.34</v>
      </c>
      <c r="T34" s="84" t="n">
        <v>26411.14</v>
      </c>
      <c r="U34" s="20" t="n">
        <v>32323.38</v>
      </c>
      <c r="V34" s="20" t="n">
        <v>32323.38</v>
      </c>
      <c r="W34" s="20" t="n">
        <v>42020.39</v>
      </c>
      <c r="X34" s="20" t="n">
        <v>35555.71</v>
      </c>
      <c r="Y34" s="20" t="n">
        <v>35555.71</v>
      </c>
      <c r="Z34" s="20" t="n">
        <v>38788.05</v>
      </c>
      <c r="AA34" s="20" t="n">
        <v>42020.39</v>
      </c>
      <c r="AB34" s="20" t="n">
        <v>36363.8</v>
      </c>
      <c r="AC34" s="20" t="n">
        <v>35555.71</v>
      </c>
      <c r="AD34" s="20" t="n">
        <v>40799.72</v>
      </c>
      <c r="AE34" s="20" t="n">
        <v>42828.47</v>
      </c>
      <c r="AF34" s="20" t="n">
        <v>35555.71</v>
      </c>
      <c r="AG34" s="20" t="n">
        <v>35555.71</v>
      </c>
      <c r="AH34" s="20" t="n">
        <v>35555.71</v>
      </c>
      <c r="AI34" s="20" t="n">
        <v>42828.47</v>
      </c>
      <c r="AJ34" s="20" t="n">
        <v>35555.71</v>
      </c>
      <c r="AK34" s="20" t="n">
        <v>37979.97</v>
      </c>
      <c r="AL34" s="20" t="n">
        <v>42020.39</v>
      </c>
      <c r="AM34" s="20" t="n">
        <v>43636.56</v>
      </c>
      <c r="AN34" s="20" t="n">
        <v>36363.8</v>
      </c>
      <c r="AO34" s="20" t="n">
        <v>35555.71</v>
      </c>
      <c r="AP34" s="20" t="n">
        <v>40799.72</v>
      </c>
      <c r="AQ34" s="20" t="n">
        <v>42828.47</v>
      </c>
      <c r="AR34" s="20" t="n">
        <v>35555.71</v>
      </c>
      <c r="AS34" s="20" t="n">
        <v>35555.71</v>
      </c>
      <c r="AT34" s="20" t="n">
        <v>35555.71</v>
      </c>
      <c r="AU34" s="20" t="n">
        <v>42828.47</v>
      </c>
      <c r="AV34" s="20" t="n">
        <v>35555.71</v>
      </c>
      <c r="AW34" s="20" t="n">
        <v>37979.97</v>
      </c>
      <c r="AX34" s="20" t="n">
        <v>42020.39</v>
      </c>
      <c r="AY34" s="20" t="n">
        <v>43636.56</v>
      </c>
    </row>
    <row r="35">
      <c r="B35" s="33" t="inlineStr">
        <is>
          <t xml:space="preserve">  602004 Payroll Taxes</t>
        </is>
      </c>
      <c r="D35" s="19" t="n">
        <v>6202.34</v>
      </c>
      <c r="E35" s="19" t="n">
        <v>5541.8</v>
      </c>
      <c r="F35" s="19" t="n">
        <v>5351.31</v>
      </c>
      <c r="G35" s="19" t="n">
        <v>4316.35</v>
      </c>
      <c r="H35" s="19" t="n">
        <v>5139.92</v>
      </c>
      <c r="I35" s="19" t="n">
        <v>4107.59</v>
      </c>
      <c r="J35" s="19" t="n">
        <v>3840.85</v>
      </c>
      <c r="K35" s="19" t="n">
        <v>4197.13</v>
      </c>
      <c r="L35" s="19" t="n">
        <v>4156.01</v>
      </c>
      <c r="M35" s="19" t="n">
        <v>4162.24</v>
      </c>
      <c r="N35" s="19" t="n">
        <v>3828.3</v>
      </c>
      <c r="O35" s="19" t="n">
        <v>4249.28</v>
      </c>
      <c r="P35" s="19" t="n">
        <v>7630.95</v>
      </c>
      <c r="Q35" s="19" t="n">
        <v>2972.53</v>
      </c>
      <c r="R35" s="19" t="n">
        <v>2840.44</v>
      </c>
      <c r="S35" s="19" t="n">
        <v>2151.27</v>
      </c>
      <c r="T35" s="84" t="n">
        <v>2446.11</v>
      </c>
      <c r="U35" s="20" t="n">
        <v>4345.22</v>
      </c>
      <c r="V35" s="20" t="n">
        <v>4345.22</v>
      </c>
      <c r="W35" s="20" t="n">
        <v>5648.79</v>
      </c>
      <c r="X35" s="20" t="n">
        <v>4779.74</v>
      </c>
      <c r="Y35" s="20" t="n">
        <v>4779.74</v>
      </c>
      <c r="Z35" s="20" t="n">
        <v>5214.27</v>
      </c>
      <c r="AA35" s="20" t="n">
        <v>5648.79</v>
      </c>
      <c r="AB35" s="20" t="n">
        <v>4888.38</v>
      </c>
      <c r="AC35" s="20" t="n">
        <v>4779.74</v>
      </c>
      <c r="AD35" s="20" t="n">
        <v>5484.7</v>
      </c>
      <c r="AE35" s="20" t="n">
        <v>5757.42</v>
      </c>
      <c r="AF35" s="20" t="n">
        <v>4779.74</v>
      </c>
      <c r="AG35" s="20" t="n">
        <v>4779.74</v>
      </c>
      <c r="AH35" s="20" t="n">
        <v>4779.74</v>
      </c>
      <c r="AI35" s="20" t="n">
        <v>5757.42</v>
      </c>
      <c r="AJ35" s="20" t="n">
        <v>4779.74</v>
      </c>
      <c r="AK35" s="20" t="n">
        <v>5105.64</v>
      </c>
      <c r="AL35" s="20" t="n">
        <v>5648.79</v>
      </c>
      <c r="AM35" s="20" t="n">
        <v>5866.05</v>
      </c>
      <c r="AN35" s="20" t="n">
        <v>4888.38</v>
      </c>
      <c r="AO35" s="20" t="n">
        <v>4779.74</v>
      </c>
      <c r="AP35" s="20" t="n">
        <v>5484.7</v>
      </c>
      <c r="AQ35" s="20" t="n">
        <v>5757.42</v>
      </c>
      <c r="AR35" s="20" t="n">
        <v>4779.74</v>
      </c>
      <c r="AS35" s="20" t="n">
        <v>4779.74</v>
      </c>
      <c r="AT35" s="20" t="n">
        <v>4779.74</v>
      </c>
      <c r="AU35" s="20" t="n">
        <v>5757.42</v>
      </c>
      <c r="AV35" s="20" t="n">
        <v>4779.74</v>
      </c>
      <c r="AW35" s="20" t="n">
        <v>5105.64</v>
      </c>
      <c r="AX35" s="20" t="n">
        <v>5648.79</v>
      </c>
      <c r="AY35" s="20" t="n">
        <v>5866.05</v>
      </c>
    </row>
    <row r="36">
      <c r="B36" s="33" t="inlineStr">
        <is>
          <t xml:space="preserve">  602005 Employee Benefits</t>
        </is>
      </c>
      <c r="D36" s="19" t="n">
        <v>1240.91</v>
      </c>
      <c r="E36" s="19" t="n">
        <v>1290.55</v>
      </c>
      <c r="F36" s="19" t="n">
        <v>464.54</v>
      </c>
      <c r="G36" s="19" t="n">
        <v>1074.23</v>
      </c>
      <c r="H36" s="19" t="n">
        <v>19.78</v>
      </c>
      <c r="I36" s="19" t="n">
        <v>-20.77</v>
      </c>
      <c r="J36" s="19" t="n">
        <v>301.98</v>
      </c>
      <c r="K36" s="19" t="n">
        <v>346.53</v>
      </c>
      <c r="L36" s="19" t="n">
        <v>672.59</v>
      </c>
      <c r="M36" s="19" t="n">
        <v>346.52</v>
      </c>
      <c r="N36" s="19" t="n">
        <v>1374.15</v>
      </c>
      <c r="O36" s="19" t="n">
        <v>1344.6</v>
      </c>
      <c r="P36" s="19" t="n">
        <v>4063.98</v>
      </c>
      <c r="Q36" s="19" t="n">
        <v>570.49</v>
      </c>
      <c r="R36" s="19" t="n">
        <v>656.8</v>
      </c>
      <c r="S36" s="19" t="n">
        <v>639.26</v>
      </c>
      <c r="T36" s="84" t="n">
        <v>598.13</v>
      </c>
      <c r="U36" s="20" t="n">
        <v>1652.4</v>
      </c>
      <c r="V36" s="20" t="n">
        <v>1652.4</v>
      </c>
      <c r="W36" s="20" t="n">
        <v>2148.12</v>
      </c>
      <c r="X36" s="20" t="n">
        <v>1817.64</v>
      </c>
      <c r="Y36" s="20" t="n">
        <v>1817.64</v>
      </c>
      <c r="Z36" s="20" t="n">
        <v>1982.88</v>
      </c>
      <c r="AA36" s="20" t="n">
        <v>2148.12</v>
      </c>
      <c r="AB36" s="20" t="n">
        <v>1858.95</v>
      </c>
      <c r="AC36" s="20" t="n">
        <v>1817.64</v>
      </c>
      <c r="AD36" s="20" t="n">
        <v>2085.72</v>
      </c>
      <c r="AE36" s="20" t="n">
        <v>2189.43</v>
      </c>
      <c r="AF36" s="20" t="n">
        <v>1817.64</v>
      </c>
      <c r="AG36" s="20" t="n">
        <v>1817.64</v>
      </c>
      <c r="AH36" s="20" t="n">
        <v>1817.64</v>
      </c>
      <c r="AI36" s="20" t="n">
        <v>2189.43</v>
      </c>
      <c r="AJ36" s="20" t="n">
        <v>1817.64</v>
      </c>
      <c r="AK36" s="20" t="n">
        <v>1941.57</v>
      </c>
      <c r="AL36" s="20" t="n">
        <v>2148.12</v>
      </c>
      <c r="AM36" s="20" t="n">
        <v>2230.74</v>
      </c>
      <c r="AN36" s="20" t="n">
        <v>1858.95</v>
      </c>
      <c r="AO36" s="20" t="n">
        <v>1817.64</v>
      </c>
      <c r="AP36" s="20" t="n">
        <v>2085.72</v>
      </c>
      <c r="AQ36" s="20" t="n">
        <v>2189.43</v>
      </c>
      <c r="AR36" s="20" t="n">
        <v>1817.64</v>
      </c>
      <c r="AS36" s="20" t="n">
        <v>1817.64</v>
      </c>
      <c r="AT36" s="20" t="n">
        <v>1817.64</v>
      </c>
      <c r="AU36" s="20" t="n">
        <v>2189.43</v>
      </c>
      <c r="AV36" s="20" t="n">
        <v>1817.64</v>
      </c>
      <c r="AW36" s="20" t="n">
        <v>1941.57</v>
      </c>
      <c r="AX36" s="20" t="n">
        <v>2148.12</v>
      </c>
      <c r="AY36" s="20" t="n">
        <v>2230.74</v>
      </c>
    </row>
    <row r="37">
      <c r="B37" s="33" t="inlineStr">
        <is>
          <t xml:space="preserve">  602010 Payroll Processing Fees</t>
        </is>
      </c>
      <c r="D37" s="19" t="n">
        <v>1096.03</v>
      </c>
      <c r="E37" s="19" t="n">
        <v>612.42</v>
      </c>
      <c r="F37" s="19" t="n">
        <v>627.42</v>
      </c>
      <c r="G37" s="19" t="n">
        <v>864.63</v>
      </c>
      <c r="H37" s="19" t="n">
        <v>657.42</v>
      </c>
      <c r="I37" s="19" t="n">
        <v>638.67</v>
      </c>
      <c r="J37" s="19" t="n">
        <v>634.92</v>
      </c>
      <c r="K37" s="19" t="n">
        <v>926.13</v>
      </c>
      <c r="L37" s="19" t="n">
        <v>653.67</v>
      </c>
      <c r="M37" s="19" t="n">
        <v>631.17</v>
      </c>
      <c r="N37" s="19" t="n">
        <v>608.67</v>
      </c>
      <c r="O37" s="19" t="n">
        <v>1199.43</v>
      </c>
      <c r="P37" s="19" t="n">
        <v>1745.28</v>
      </c>
      <c r="Q37" s="19" t="n">
        <v>1419.85</v>
      </c>
      <c r="R37" s="19" t="n">
        <v>1909.57</v>
      </c>
      <c r="S37" s="19" t="n">
        <v>951.3099999999999</v>
      </c>
      <c r="T37" s="84" t="n">
        <v>1188.32</v>
      </c>
      <c r="U37" s="20" t="n">
        <v>1679</v>
      </c>
      <c r="V37" s="20" t="n">
        <v>1679</v>
      </c>
      <c r="W37" s="20" t="n">
        <v>2182.7</v>
      </c>
      <c r="X37" s="20" t="n">
        <v>1846.9</v>
      </c>
      <c r="Y37" s="20" t="n">
        <v>1846.9</v>
      </c>
      <c r="Z37" s="20" t="n">
        <v>2014.8</v>
      </c>
      <c r="AA37" s="20" t="n">
        <v>2182.7</v>
      </c>
      <c r="AB37" s="20" t="n">
        <v>1888.88</v>
      </c>
      <c r="AC37" s="20" t="n">
        <v>1846.9</v>
      </c>
      <c r="AD37" s="20" t="n">
        <v>2119.3</v>
      </c>
      <c r="AE37" s="20" t="n">
        <v>2224.68</v>
      </c>
      <c r="AF37" s="20" t="n">
        <v>1846.9</v>
      </c>
      <c r="AG37" s="20" t="n">
        <v>1846.9</v>
      </c>
      <c r="AH37" s="20" t="n">
        <v>1846.9</v>
      </c>
      <c r="AI37" s="20" t="n">
        <v>2224.68</v>
      </c>
      <c r="AJ37" s="20" t="n">
        <v>1846.9</v>
      </c>
      <c r="AK37" s="20" t="n">
        <v>1972.83</v>
      </c>
      <c r="AL37" s="20" t="n">
        <v>2182.7</v>
      </c>
      <c r="AM37" s="20" t="n">
        <v>2266.65</v>
      </c>
      <c r="AN37" s="20" t="n">
        <v>1888.88</v>
      </c>
      <c r="AO37" s="20" t="n">
        <v>1846.9</v>
      </c>
      <c r="AP37" s="20" t="n">
        <v>2119.3</v>
      </c>
      <c r="AQ37" s="20" t="n">
        <v>2224.68</v>
      </c>
      <c r="AR37" s="20" t="n">
        <v>1846.9</v>
      </c>
      <c r="AS37" s="20" t="n">
        <v>1846.9</v>
      </c>
      <c r="AT37" s="20" t="n">
        <v>1846.9</v>
      </c>
      <c r="AU37" s="20" t="n">
        <v>2224.68</v>
      </c>
      <c r="AV37" s="20" t="n">
        <v>1846.9</v>
      </c>
      <c r="AW37" s="20" t="n">
        <v>1972.83</v>
      </c>
      <c r="AX37" s="20" t="n">
        <v>2182.7</v>
      </c>
      <c r="AY37" s="20" t="n">
        <v>2266.65</v>
      </c>
    </row>
    <row r="38">
      <c r="B38" s="32" t="inlineStr">
        <is>
          <t>Total Payroll</t>
        </is>
      </c>
      <c r="C38" s="34" t="n"/>
      <c r="D38" s="35" t="n">
        <v>61216.94000000001</v>
      </c>
      <c r="E38" s="35" t="n">
        <v>62617.39000000001</v>
      </c>
      <c r="F38" s="35" t="n">
        <v>66100.58</v>
      </c>
      <c r="G38" s="35" t="n">
        <v>55622.66</v>
      </c>
      <c r="H38" s="35" t="n">
        <v>67472.92</v>
      </c>
      <c r="I38" s="35" t="n">
        <v>53714.84</v>
      </c>
      <c r="J38" s="35" t="n">
        <v>49314.21999999999</v>
      </c>
      <c r="K38" s="35" t="n">
        <v>53420.82999999999</v>
      </c>
      <c r="L38" s="35" t="n">
        <v>53061.2</v>
      </c>
      <c r="M38" s="35" t="n">
        <v>52567.04</v>
      </c>
      <c r="N38" s="35" t="n">
        <v>48593.18</v>
      </c>
      <c r="O38" s="35" t="n">
        <v>44473.25999999999</v>
      </c>
      <c r="P38" s="35" t="n">
        <v>51306.17</v>
      </c>
      <c r="Q38" s="35" t="n">
        <v>33261.25</v>
      </c>
      <c r="R38" s="35" t="n">
        <v>33579.12</v>
      </c>
      <c r="S38" s="35" t="n">
        <v>25415.18</v>
      </c>
      <c r="T38" s="85" t="n">
        <v>30643.7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1341.92</v>
      </c>
      <c r="E39" s="19" t="n">
        <v>2947.82</v>
      </c>
      <c r="F39" s="19" t="n">
        <v>-251.18</v>
      </c>
      <c r="G39" s="19" t="n">
        <v>680.4</v>
      </c>
      <c r="H39" s="19" t="n">
        <v>2414</v>
      </c>
      <c r="I39" s="19" t="n">
        <v>1617.36</v>
      </c>
      <c r="J39" s="19" t="n">
        <v>2888.86</v>
      </c>
      <c r="K39" s="19" t="n">
        <v>-2634.45</v>
      </c>
      <c r="L39" s="19" t="n">
        <v>2458.59</v>
      </c>
      <c r="M39" s="19" t="n">
        <v>2550.88</v>
      </c>
      <c r="N39" s="19" t="n">
        <v>3479.33</v>
      </c>
      <c r="O39" s="19" t="n">
        <v>3153.79</v>
      </c>
      <c r="P39" s="19" t="n">
        <v>4516.21</v>
      </c>
      <c r="Q39" s="19" t="n">
        <v>4994.44</v>
      </c>
      <c r="R39" s="19" t="n">
        <v>1424.87</v>
      </c>
      <c r="S39" s="19" t="n">
        <v>3563.26</v>
      </c>
      <c r="T39" s="84" t="n">
        <v>3560.26</v>
      </c>
      <c r="U39" s="20" t="n">
        <v>4711.32</v>
      </c>
      <c r="V39" s="20" t="n">
        <v>4711.32</v>
      </c>
      <c r="W39" s="20" t="n">
        <v>4711.32</v>
      </c>
      <c r="X39" s="20" t="n">
        <v>4711.32</v>
      </c>
      <c r="Y39" s="20" t="n">
        <v>4711.32</v>
      </c>
      <c r="Z39" s="20" t="n">
        <v>4711.32</v>
      </c>
      <c r="AA39" s="20" t="n">
        <v>4711.32</v>
      </c>
      <c r="AB39" s="20" t="n">
        <v>4711.32</v>
      </c>
      <c r="AC39" s="20" t="n">
        <v>4711.32</v>
      </c>
      <c r="AD39" s="20" t="n">
        <v>4711.32</v>
      </c>
      <c r="AE39" s="20" t="n">
        <v>4711.32</v>
      </c>
      <c r="AF39" s="20" t="n">
        <v>4711.32</v>
      </c>
      <c r="AG39" s="20" t="n">
        <v>4711.32</v>
      </c>
      <c r="AH39" s="20" t="n">
        <v>4711.32</v>
      </c>
      <c r="AI39" s="20" t="n">
        <v>4711.32</v>
      </c>
      <c r="AJ39" s="20" t="n">
        <v>4711.32</v>
      </c>
      <c r="AK39" s="20" t="n">
        <v>4711.32</v>
      </c>
      <c r="AL39" s="20" t="n">
        <v>4711.32</v>
      </c>
      <c r="AM39" s="20" t="n">
        <v>4711.32</v>
      </c>
      <c r="AN39" s="20" t="n">
        <v>4711.32</v>
      </c>
      <c r="AO39" s="20" t="n">
        <v>4711.32</v>
      </c>
      <c r="AP39" s="20" t="n">
        <v>4711.32</v>
      </c>
      <c r="AQ39" s="20" t="n">
        <v>4711.32</v>
      </c>
      <c r="AR39" s="20" t="n">
        <v>4711.32</v>
      </c>
      <c r="AS39" s="20" t="n">
        <v>4711.32</v>
      </c>
      <c r="AT39" s="20" t="n">
        <v>4711.32</v>
      </c>
      <c r="AU39" s="20" t="n">
        <v>4711.32</v>
      </c>
      <c r="AV39" s="20" t="n">
        <v>4711.32</v>
      </c>
      <c r="AW39" s="20" t="n">
        <v>4711.32</v>
      </c>
      <c r="AX39" s="20" t="n">
        <v>4711.32</v>
      </c>
      <c r="AY39" s="20" t="n">
        <v>4711.32</v>
      </c>
    </row>
    <row r="40">
      <c r="B40" s="33" t="inlineStr">
        <is>
          <t xml:space="preserve">  608000 Insurance</t>
        </is>
      </c>
      <c r="D40" s="19" t="n">
        <v>516.29</v>
      </c>
      <c r="E40" s="19" t="n">
        <v>293.32</v>
      </c>
      <c r="F40" s="19" t="n">
        <v>293.32</v>
      </c>
      <c r="G40" s="19" t="n">
        <v>293.32</v>
      </c>
      <c r="H40" s="19" t="n">
        <v>293.32</v>
      </c>
      <c r="I40" s="19" t="n">
        <v>293.32</v>
      </c>
      <c r="J40" s="19" t="n">
        <v>293.32</v>
      </c>
      <c r="K40" s="19" t="n">
        <v>293.32</v>
      </c>
      <c r="L40" s="19" t="n">
        <v>293.32</v>
      </c>
      <c r="M40" s="19" t="n">
        <v>449.43</v>
      </c>
      <c r="N40" s="19" t="n">
        <v>449.43</v>
      </c>
      <c r="O40" s="19" t="n">
        <v>449.43</v>
      </c>
      <c r="P40" s="19" t="n">
        <v>69.67</v>
      </c>
      <c r="Q40" s="19" t="n">
        <v>69.67</v>
      </c>
      <c r="R40" s="19" t="n">
        <v>169.9</v>
      </c>
      <c r="S40" s="19" t="n">
        <v>169.9</v>
      </c>
      <c r="T40" s="84" t="n">
        <v>211.57</v>
      </c>
      <c r="U40" s="20" t="n">
        <v>155.69</v>
      </c>
      <c r="V40" s="20" t="n">
        <v>155.69</v>
      </c>
      <c r="W40" s="20" t="n">
        <v>155.69</v>
      </c>
      <c r="X40" s="20" t="n">
        <v>155.69</v>
      </c>
      <c r="Y40" s="20" t="n">
        <v>155.69</v>
      </c>
      <c r="Z40" s="20" t="n">
        <v>155.69</v>
      </c>
      <c r="AA40" s="20" t="n">
        <v>155.69</v>
      </c>
      <c r="AB40" s="20" t="n">
        <v>155.69</v>
      </c>
      <c r="AC40" s="20" t="n">
        <v>155.69</v>
      </c>
      <c r="AD40" s="20" t="n">
        <v>155.69</v>
      </c>
      <c r="AE40" s="20" t="n">
        <v>155.69</v>
      </c>
      <c r="AF40" s="20" t="n">
        <v>155.69</v>
      </c>
      <c r="AG40" s="20" t="n">
        <v>155.69</v>
      </c>
      <c r="AH40" s="20" t="n">
        <v>155.69</v>
      </c>
      <c r="AI40" s="20" t="n">
        <v>155.69</v>
      </c>
      <c r="AJ40" s="20" t="n">
        <v>155.69</v>
      </c>
      <c r="AK40" s="20" t="n">
        <v>155.69</v>
      </c>
      <c r="AL40" s="20" t="n">
        <v>155.69</v>
      </c>
      <c r="AM40" s="20" t="n">
        <v>155.69</v>
      </c>
      <c r="AN40" s="20" t="n">
        <v>155.69</v>
      </c>
      <c r="AO40" s="20" t="n">
        <v>155.69</v>
      </c>
      <c r="AP40" s="20" t="n">
        <v>155.69</v>
      </c>
      <c r="AQ40" s="20" t="n">
        <v>155.69</v>
      </c>
      <c r="AR40" s="20" t="n">
        <v>155.69</v>
      </c>
      <c r="AS40" s="20" t="n">
        <v>155.69</v>
      </c>
      <c r="AT40" s="20" t="n">
        <v>155.69</v>
      </c>
      <c r="AU40" s="20" t="n">
        <v>155.69</v>
      </c>
      <c r="AV40" s="20" t="n">
        <v>155.69</v>
      </c>
      <c r="AW40" s="20" t="n">
        <v>155.69</v>
      </c>
      <c r="AX40" s="20" t="n">
        <v>155.69</v>
      </c>
      <c r="AY40" s="20" t="n">
        <v>155.69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1174.99</v>
      </c>
      <c r="Q41" s="19" t="n">
        <v>144.74</v>
      </c>
      <c r="R41" s="19" t="n">
        <v>872.86</v>
      </c>
      <c r="S41" s="19" t="n">
        <v>558.21</v>
      </c>
      <c r="T41" s="84" t="n">
        <v>0</v>
      </c>
      <c r="U41" s="20" t="n">
        <v>893.86</v>
      </c>
      <c r="V41" s="20" t="n">
        <v>893.86</v>
      </c>
      <c r="W41" s="20" t="n">
        <v>893.86</v>
      </c>
      <c r="X41" s="20" t="n">
        <v>893.86</v>
      </c>
      <c r="Y41" s="20" t="n">
        <v>893.86</v>
      </c>
      <c r="Z41" s="20" t="n">
        <v>893.86</v>
      </c>
      <c r="AA41" s="20" t="n">
        <v>893.86</v>
      </c>
      <c r="AB41" s="20" t="n">
        <v>893.86</v>
      </c>
      <c r="AC41" s="20" t="n">
        <v>893.86</v>
      </c>
      <c r="AD41" s="20" t="n">
        <v>893.86</v>
      </c>
      <c r="AE41" s="20" t="n">
        <v>893.86</v>
      </c>
      <c r="AF41" s="20" t="n">
        <v>893.86</v>
      </c>
      <c r="AG41" s="20" t="n">
        <v>893.86</v>
      </c>
      <c r="AH41" s="20" t="n">
        <v>893.86</v>
      </c>
      <c r="AI41" s="20" t="n">
        <v>893.86</v>
      </c>
      <c r="AJ41" s="20" t="n">
        <v>893.86</v>
      </c>
      <c r="AK41" s="20" t="n">
        <v>893.86</v>
      </c>
      <c r="AL41" s="20" t="n">
        <v>893.86</v>
      </c>
      <c r="AM41" s="20" t="n">
        <v>893.86</v>
      </c>
      <c r="AN41" s="20" t="n">
        <v>893.86</v>
      </c>
      <c r="AO41" s="20" t="n">
        <v>893.86</v>
      </c>
      <c r="AP41" s="20" t="n">
        <v>893.86</v>
      </c>
      <c r="AQ41" s="20" t="n">
        <v>893.86</v>
      </c>
      <c r="AR41" s="20" t="n">
        <v>893.86</v>
      </c>
      <c r="AS41" s="20" t="n">
        <v>893.86</v>
      </c>
      <c r="AT41" s="20" t="n">
        <v>893.86</v>
      </c>
      <c r="AU41" s="20" t="n">
        <v>893.86</v>
      </c>
      <c r="AV41" s="20" t="n">
        <v>893.86</v>
      </c>
      <c r="AW41" s="20" t="n">
        <v>893.86</v>
      </c>
      <c r="AX41" s="20" t="n">
        <v>893.86</v>
      </c>
      <c r="AY41" s="20" t="n">
        <v>893.86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165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959.25</v>
      </c>
      <c r="E44" s="19" t="n">
        <v>1542</v>
      </c>
      <c r="F44" s="19" t="n">
        <v>769.5</v>
      </c>
      <c r="G44" s="19" t="n">
        <v>103.5</v>
      </c>
      <c r="H44" s="19" t="n">
        <v>1520</v>
      </c>
      <c r="I44" s="19" t="n">
        <v>0</v>
      </c>
      <c r="J44" s="19" t="n">
        <v>1049.95</v>
      </c>
      <c r="K44" s="19" t="n">
        <v>2208.25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>
        <v>0</v>
      </c>
      <c r="E45" s="19" t="n">
        <v>0</v>
      </c>
      <c r="F45" s="19" t="n">
        <v>178.16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75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330</v>
      </c>
      <c r="J46" s="19" t="n">
        <v>479.1</v>
      </c>
      <c r="K46" s="19" t="n">
        <v>479.1</v>
      </c>
      <c r="L46" s="19" t="n">
        <v>479.1</v>
      </c>
      <c r="M46" s="19" t="n">
        <v>871</v>
      </c>
      <c r="N46" s="19" t="n">
        <v>840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959.25</v>
      </c>
      <c r="E47" s="35" t="n">
        <v>1542</v>
      </c>
      <c r="F47" s="35" t="n">
        <v>947.66</v>
      </c>
      <c r="G47" s="35" t="n">
        <v>268.5</v>
      </c>
      <c r="H47" s="35" t="n">
        <v>1520</v>
      </c>
      <c r="I47" s="35" t="n">
        <v>330</v>
      </c>
      <c r="J47" s="35" t="n">
        <v>1529.05</v>
      </c>
      <c r="K47" s="35" t="n">
        <v>2762.35</v>
      </c>
      <c r="L47" s="35" t="n">
        <v>479.1</v>
      </c>
      <c r="M47" s="35" t="n">
        <v>871</v>
      </c>
      <c r="N47" s="35" t="n">
        <v>994.54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247.58</v>
      </c>
      <c r="Q48" s="19" t="n">
        <v>284.79</v>
      </c>
      <c r="R48" s="19" t="n">
        <v>165.83</v>
      </c>
      <c r="S48" s="19" t="n">
        <v>0</v>
      </c>
      <c r="T48" s="84" t="n">
        <v>0</v>
      </c>
      <c r="U48" s="20" t="n">
        <v>215.52</v>
      </c>
      <c r="V48" s="20" t="n">
        <v>215.52</v>
      </c>
      <c r="W48" s="20" t="n">
        <v>215.52</v>
      </c>
      <c r="X48" s="20" t="n">
        <v>215.52</v>
      </c>
      <c r="Y48" s="20" t="n">
        <v>215.52</v>
      </c>
      <c r="Z48" s="20" t="n">
        <v>215.52</v>
      </c>
      <c r="AA48" s="20" t="n">
        <v>215.52</v>
      </c>
      <c r="AB48" s="20" t="n">
        <v>215.52</v>
      </c>
      <c r="AC48" s="20" t="n">
        <v>215.52</v>
      </c>
      <c r="AD48" s="20" t="n">
        <v>215.52</v>
      </c>
      <c r="AE48" s="20" t="n">
        <v>215.52</v>
      </c>
      <c r="AF48" s="20" t="n">
        <v>215.52</v>
      </c>
      <c r="AG48" s="20" t="n">
        <v>215.52</v>
      </c>
      <c r="AH48" s="20" t="n">
        <v>215.52</v>
      </c>
      <c r="AI48" s="20" t="n">
        <v>215.52</v>
      </c>
      <c r="AJ48" s="20" t="n">
        <v>215.52</v>
      </c>
      <c r="AK48" s="20" t="n">
        <v>215.52</v>
      </c>
      <c r="AL48" s="20" t="n">
        <v>215.52</v>
      </c>
      <c r="AM48" s="20" t="n">
        <v>215.52</v>
      </c>
      <c r="AN48" s="20" t="n">
        <v>215.52</v>
      </c>
      <c r="AO48" s="20" t="n">
        <v>215.52</v>
      </c>
      <c r="AP48" s="20" t="n">
        <v>215.52</v>
      </c>
      <c r="AQ48" s="20" t="n">
        <v>215.52</v>
      </c>
      <c r="AR48" s="20" t="n">
        <v>215.52</v>
      </c>
      <c r="AS48" s="20" t="n">
        <v>215.52</v>
      </c>
      <c r="AT48" s="20" t="n">
        <v>215.52</v>
      </c>
      <c r="AU48" s="20" t="n">
        <v>215.52</v>
      </c>
      <c r="AV48" s="20" t="n">
        <v>215.52</v>
      </c>
      <c r="AW48" s="20" t="n">
        <v>215.52</v>
      </c>
      <c r="AX48" s="20" t="n">
        <v>215.52</v>
      </c>
      <c r="AY48" s="20" t="n">
        <v>215.52</v>
      </c>
    </row>
    <row r="49">
      <c r="B49" s="33" t="inlineStr">
        <is>
          <t xml:space="preserve">  606000 Meals</t>
        </is>
      </c>
      <c r="D49" s="19" t="n">
        <v>0</v>
      </c>
      <c r="E49" s="19" t="n">
        <v>45.4</v>
      </c>
      <c r="F49" s="19" t="n">
        <v>53.45</v>
      </c>
      <c r="G49" s="19" t="n">
        <v>40.45</v>
      </c>
      <c r="H49" s="19" t="n">
        <v>65.95</v>
      </c>
      <c r="I49" s="19" t="n">
        <v>65.76000000000001</v>
      </c>
      <c r="J49" s="19" t="n">
        <v>7.09</v>
      </c>
      <c r="K49" s="19" t="n">
        <v>219.62</v>
      </c>
      <c r="L49" s="19" t="n">
        <v>260.33</v>
      </c>
      <c r="M49" s="19" t="n">
        <v>164.32</v>
      </c>
      <c r="N49" s="19" t="n">
        <v>303.65</v>
      </c>
      <c r="O49" s="19" t="n">
        <v>142.88</v>
      </c>
      <c r="P49" s="19" t="n">
        <v>54.67</v>
      </c>
      <c r="Q49" s="19" t="n">
        <v>85.92</v>
      </c>
      <c r="R49" s="19" t="n">
        <v>89.73</v>
      </c>
      <c r="S49" s="19" t="n">
        <v>50.67</v>
      </c>
      <c r="T49" s="84" t="n">
        <v>140.73</v>
      </c>
      <c r="U49" s="20" t="n">
        <v>86.73</v>
      </c>
      <c r="V49" s="20" t="n">
        <v>86.73</v>
      </c>
      <c r="W49" s="20" t="n">
        <v>86.73</v>
      </c>
      <c r="X49" s="20" t="n">
        <v>86.73</v>
      </c>
      <c r="Y49" s="20" t="n">
        <v>86.73</v>
      </c>
      <c r="Z49" s="20" t="n">
        <v>86.73</v>
      </c>
      <c r="AA49" s="20" t="n">
        <v>86.73</v>
      </c>
      <c r="AB49" s="20" t="n">
        <v>86.73</v>
      </c>
      <c r="AC49" s="20" t="n">
        <v>86.73</v>
      </c>
      <c r="AD49" s="20" t="n">
        <v>86.73</v>
      </c>
      <c r="AE49" s="20" t="n">
        <v>86.73</v>
      </c>
      <c r="AF49" s="20" t="n">
        <v>86.73</v>
      </c>
      <c r="AG49" s="20" t="n">
        <v>86.73</v>
      </c>
      <c r="AH49" s="20" t="n">
        <v>86.73</v>
      </c>
      <c r="AI49" s="20" t="n">
        <v>86.73</v>
      </c>
      <c r="AJ49" s="20" t="n">
        <v>86.73</v>
      </c>
      <c r="AK49" s="20" t="n">
        <v>86.73</v>
      </c>
      <c r="AL49" s="20" t="n">
        <v>86.73</v>
      </c>
      <c r="AM49" s="20" t="n">
        <v>86.73</v>
      </c>
      <c r="AN49" s="20" t="n">
        <v>86.73</v>
      </c>
      <c r="AO49" s="20" t="n">
        <v>86.73</v>
      </c>
      <c r="AP49" s="20" t="n">
        <v>86.73</v>
      </c>
      <c r="AQ49" s="20" t="n">
        <v>86.73</v>
      </c>
      <c r="AR49" s="20" t="n">
        <v>86.73</v>
      </c>
      <c r="AS49" s="20" t="n">
        <v>86.73</v>
      </c>
      <c r="AT49" s="20" t="n">
        <v>86.73</v>
      </c>
      <c r="AU49" s="20" t="n">
        <v>86.73</v>
      </c>
      <c r="AV49" s="20" t="n">
        <v>86.73</v>
      </c>
      <c r="AW49" s="20" t="n">
        <v>86.73</v>
      </c>
      <c r="AX49" s="20" t="n">
        <v>86.73</v>
      </c>
      <c r="AY49" s="20" t="n">
        <v>86.73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174.71</v>
      </c>
      <c r="G51" s="19" t="n">
        <v>510.22</v>
      </c>
      <c r="H51" s="19" t="n">
        <v>191.31</v>
      </c>
      <c r="I51" s="19" t="n">
        <v>0</v>
      </c>
      <c r="J51" s="19" t="n">
        <v>228.06</v>
      </c>
      <c r="K51" s="19" t="n">
        <v>213.87</v>
      </c>
      <c r="L51" s="19" t="n">
        <v>273.58</v>
      </c>
      <c r="M51" s="19" t="n">
        <v>546.91</v>
      </c>
      <c r="N51" s="19" t="n">
        <v>238.6</v>
      </c>
      <c r="O51" s="19" t="n">
        <v>191.71</v>
      </c>
      <c r="P51" s="19" t="n">
        <v>116.98</v>
      </c>
      <c r="Q51" s="19" t="n">
        <v>105</v>
      </c>
      <c r="R51" s="19" t="n">
        <v>139.04</v>
      </c>
      <c r="S51" s="19" t="n">
        <v>83.52</v>
      </c>
      <c r="T51" s="84" t="n">
        <v>124.29</v>
      </c>
      <c r="U51" s="20" t="n">
        <v>97.94</v>
      </c>
      <c r="V51" s="20" t="n">
        <v>97.94</v>
      </c>
      <c r="W51" s="20" t="n">
        <v>97.94</v>
      </c>
      <c r="X51" s="20" t="n">
        <v>97.94</v>
      </c>
      <c r="Y51" s="20" t="n">
        <v>97.94</v>
      </c>
      <c r="Z51" s="20" t="n">
        <v>97.94</v>
      </c>
      <c r="AA51" s="20" t="n">
        <v>97.94</v>
      </c>
      <c r="AB51" s="20" t="n">
        <v>97.94</v>
      </c>
      <c r="AC51" s="20" t="n">
        <v>97.94</v>
      </c>
      <c r="AD51" s="20" t="n">
        <v>97.94</v>
      </c>
      <c r="AE51" s="20" t="n">
        <v>97.94</v>
      </c>
      <c r="AF51" s="20" t="n">
        <v>97.94</v>
      </c>
      <c r="AG51" s="20" t="n">
        <v>97.94</v>
      </c>
      <c r="AH51" s="20" t="n">
        <v>97.94</v>
      </c>
      <c r="AI51" s="20" t="n">
        <v>97.94</v>
      </c>
      <c r="AJ51" s="20" t="n">
        <v>97.94</v>
      </c>
      <c r="AK51" s="20" t="n">
        <v>97.94</v>
      </c>
      <c r="AL51" s="20" t="n">
        <v>97.94</v>
      </c>
      <c r="AM51" s="20" t="n">
        <v>97.94</v>
      </c>
      <c r="AN51" s="20" t="n">
        <v>97.94</v>
      </c>
      <c r="AO51" s="20" t="n">
        <v>97.94</v>
      </c>
      <c r="AP51" s="20" t="n">
        <v>97.94</v>
      </c>
      <c r="AQ51" s="20" t="n">
        <v>97.94</v>
      </c>
      <c r="AR51" s="20" t="n">
        <v>97.94</v>
      </c>
      <c r="AS51" s="20" t="n">
        <v>97.94</v>
      </c>
      <c r="AT51" s="20" t="n">
        <v>97.94</v>
      </c>
      <c r="AU51" s="20" t="n">
        <v>97.94</v>
      </c>
      <c r="AV51" s="20" t="n">
        <v>97.94</v>
      </c>
      <c r="AW51" s="20" t="n">
        <v>97.94</v>
      </c>
      <c r="AX51" s="20" t="n">
        <v>97.94</v>
      </c>
      <c r="AY51" s="20" t="n">
        <v>97.94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210.26</v>
      </c>
      <c r="Q52" s="19" t="n">
        <v>210.26</v>
      </c>
      <c r="R52" s="19" t="n">
        <v>210.26</v>
      </c>
      <c r="S52" s="19" t="n">
        <v>210.26</v>
      </c>
      <c r="T52" s="84" t="n">
        <v>0</v>
      </c>
      <c r="U52" s="20" t="n">
        <v>185.3</v>
      </c>
      <c r="V52" s="20" t="n">
        <v>185.3</v>
      </c>
      <c r="W52" s="20" t="n">
        <v>185.3</v>
      </c>
      <c r="X52" s="20" t="n">
        <v>185.3</v>
      </c>
      <c r="Y52" s="20" t="n">
        <v>185.3</v>
      </c>
      <c r="Z52" s="20" t="n">
        <v>185.3</v>
      </c>
      <c r="AA52" s="20" t="n">
        <v>185.3</v>
      </c>
      <c r="AB52" s="20" t="n">
        <v>185.3</v>
      </c>
      <c r="AC52" s="20" t="n">
        <v>185.3</v>
      </c>
      <c r="AD52" s="20" t="n">
        <v>185.3</v>
      </c>
      <c r="AE52" s="20" t="n">
        <v>185.3</v>
      </c>
      <c r="AF52" s="20" t="n">
        <v>185.3</v>
      </c>
      <c r="AG52" s="20" t="n">
        <v>185.3</v>
      </c>
      <c r="AH52" s="20" t="n">
        <v>185.3</v>
      </c>
      <c r="AI52" s="20" t="n">
        <v>185.3</v>
      </c>
      <c r="AJ52" s="20" t="n">
        <v>185.3</v>
      </c>
      <c r="AK52" s="20" t="n">
        <v>185.3</v>
      </c>
      <c r="AL52" s="20" t="n">
        <v>185.3</v>
      </c>
      <c r="AM52" s="20" t="n">
        <v>185.3</v>
      </c>
      <c r="AN52" s="20" t="n">
        <v>185.3</v>
      </c>
      <c r="AO52" s="20" t="n">
        <v>185.3</v>
      </c>
      <c r="AP52" s="20" t="n">
        <v>185.3</v>
      </c>
      <c r="AQ52" s="20" t="n">
        <v>185.3</v>
      </c>
      <c r="AR52" s="20" t="n">
        <v>185.3</v>
      </c>
      <c r="AS52" s="20" t="n">
        <v>185.3</v>
      </c>
      <c r="AT52" s="20" t="n">
        <v>185.3</v>
      </c>
      <c r="AU52" s="20" t="n">
        <v>185.3</v>
      </c>
      <c r="AV52" s="20" t="n">
        <v>185.3</v>
      </c>
      <c r="AW52" s="20" t="n">
        <v>185.3</v>
      </c>
      <c r="AX52" s="20" t="n">
        <v>185.3</v>
      </c>
      <c r="AY52" s="20" t="n">
        <v>185.3</v>
      </c>
    </row>
    <row r="53">
      <c r="B53" s="33" t="inlineStr">
        <is>
          <t xml:space="preserve">  616003 Phone service</t>
        </is>
      </c>
      <c r="D53" s="19" t="n">
        <v>111.29</v>
      </c>
      <c r="E53" s="19" t="n">
        <v>605.0700000000001</v>
      </c>
      <c r="F53" s="19" t="n">
        <v>0</v>
      </c>
      <c r="G53" s="19" t="n">
        <v>193.05</v>
      </c>
      <c r="H53" s="19" t="n">
        <v>193.02</v>
      </c>
      <c r="I53" s="19" t="n">
        <v>0</v>
      </c>
      <c r="J53" s="19" t="n">
        <v>192.37</v>
      </c>
      <c r="K53" s="19" t="n">
        <v>192.41</v>
      </c>
      <c r="L53" s="19" t="n">
        <v>192.41</v>
      </c>
      <c r="M53" s="19" t="n">
        <v>193.82</v>
      </c>
      <c r="N53" s="19" t="n">
        <v>158.92</v>
      </c>
      <c r="O53" s="19" t="n">
        <v>259.94</v>
      </c>
      <c r="P53" s="19" t="n">
        <v>73.91</v>
      </c>
      <c r="Q53" s="19" t="n">
        <v>87.11</v>
      </c>
      <c r="R53" s="19" t="n">
        <v>86.36</v>
      </c>
      <c r="S53" s="19" t="n">
        <v>87.53</v>
      </c>
      <c r="T53" s="84" t="n">
        <v>81.03</v>
      </c>
      <c r="U53" s="20" t="n">
        <v>73.79000000000001</v>
      </c>
      <c r="V53" s="20" t="n">
        <v>73.79000000000001</v>
      </c>
      <c r="W53" s="20" t="n">
        <v>73.79000000000001</v>
      </c>
      <c r="X53" s="20" t="n">
        <v>73.79000000000001</v>
      </c>
      <c r="Y53" s="20" t="n">
        <v>73.79000000000001</v>
      </c>
      <c r="Z53" s="20" t="n">
        <v>73.79000000000001</v>
      </c>
      <c r="AA53" s="20" t="n">
        <v>73.79000000000001</v>
      </c>
      <c r="AB53" s="20" t="n">
        <v>73.79000000000001</v>
      </c>
      <c r="AC53" s="20" t="n">
        <v>73.79000000000001</v>
      </c>
      <c r="AD53" s="20" t="n">
        <v>73.79000000000001</v>
      </c>
      <c r="AE53" s="20" t="n">
        <v>73.79000000000001</v>
      </c>
      <c r="AF53" s="20" t="n">
        <v>73.79000000000001</v>
      </c>
      <c r="AG53" s="20" t="n">
        <v>73.79000000000001</v>
      </c>
      <c r="AH53" s="20" t="n">
        <v>73.79000000000001</v>
      </c>
      <c r="AI53" s="20" t="n">
        <v>73.79000000000001</v>
      </c>
      <c r="AJ53" s="20" t="n">
        <v>73.79000000000001</v>
      </c>
      <c r="AK53" s="20" t="n">
        <v>73.79000000000001</v>
      </c>
      <c r="AL53" s="20" t="n">
        <v>73.79000000000001</v>
      </c>
      <c r="AM53" s="20" t="n">
        <v>73.79000000000001</v>
      </c>
      <c r="AN53" s="20" t="n">
        <v>73.79000000000001</v>
      </c>
      <c r="AO53" s="20" t="n">
        <v>73.79000000000001</v>
      </c>
      <c r="AP53" s="20" t="n">
        <v>73.79000000000001</v>
      </c>
      <c r="AQ53" s="20" t="n">
        <v>73.79000000000001</v>
      </c>
      <c r="AR53" s="20" t="n">
        <v>73.79000000000001</v>
      </c>
      <c r="AS53" s="20" t="n">
        <v>73.79000000000001</v>
      </c>
      <c r="AT53" s="20" t="n">
        <v>73.79000000000001</v>
      </c>
      <c r="AU53" s="20" t="n">
        <v>73.79000000000001</v>
      </c>
      <c r="AV53" s="20" t="n">
        <v>73.79000000000001</v>
      </c>
      <c r="AW53" s="20" t="n">
        <v>73.79000000000001</v>
      </c>
      <c r="AX53" s="20" t="n">
        <v>73.79000000000001</v>
      </c>
      <c r="AY53" s="20" t="n">
        <v>73.79000000000001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>
        <v>56.25</v>
      </c>
      <c r="E55" s="19" t="n">
        <v>453.05</v>
      </c>
      <c r="F55" s="19" t="n">
        <v>181.6</v>
      </c>
      <c r="G55" s="19" t="n">
        <v>362.25</v>
      </c>
      <c r="H55" s="19" t="n">
        <v>362.25</v>
      </c>
      <c r="I55" s="19" t="n">
        <v>0</v>
      </c>
      <c r="J55" s="19" t="n">
        <v>474.05</v>
      </c>
      <c r="K55" s="19" t="n">
        <v>91.8</v>
      </c>
      <c r="L55" s="19" t="n">
        <v>90.8</v>
      </c>
      <c r="M55" s="19" t="n">
        <v>90.8</v>
      </c>
      <c r="N55" s="19" t="n">
        <v>102.05</v>
      </c>
      <c r="O55" s="19" t="n">
        <v>120.74</v>
      </c>
      <c r="P55" s="19" t="n">
        <v>0</v>
      </c>
      <c r="Q55" s="19" t="n">
        <v>0</v>
      </c>
      <c r="R55" s="19" t="n">
        <v>572.21</v>
      </c>
      <c r="S55" s="19" t="n">
        <v>0</v>
      </c>
      <c r="T55" s="84" t="n">
        <v>0</v>
      </c>
      <c r="U55" s="20" t="n">
        <v>126.07</v>
      </c>
      <c r="V55" s="20" t="n">
        <v>126.07</v>
      </c>
      <c r="W55" s="20" t="n">
        <v>126.07</v>
      </c>
      <c r="X55" s="20" t="n">
        <v>126.07</v>
      </c>
      <c r="Y55" s="20" t="n">
        <v>126.07</v>
      </c>
      <c r="Z55" s="20" t="n">
        <v>126.07</v>
      </c>
      <c r="AA55" s="20" t="n">
        <v>126.07</v>
      </c>
      <c r="AB55" s="20" t="n">
        <v>126.07</v>
      </c>
      <c r="AC55" s="20" t="n">
        <v>126.07</v>
      </c>
      <c r="AD55" s="20" t="n">
        <v>126.07</v>
      </c>
      <c r="AE55" s="20" t="n">
        <v>126.07</v>
      </c>
      <c r="AF55" s="20" t="n">
        <v>126.07</v>
      </c>
      <c r="AG55" s="20" t="n">
        <v>126.07</v>
      </c>
      <c r="AH55" s="20" t="n">
        <v>126.07</v>
      </c>
      <c r="AI55" s="20" t="n">
        <v>126.07</v>
      </c>
      <c r="AJ55" s="20" t="n">
        <v>126.07</v>
      </c>
      <c r="AK55" s="20" t="n">
        <v>126.07</v>
      </c>
      <c r="AL55" s="20" t="n">
        <v>126.07</v>
      </c>
      <c r="AM55" s="20" t="n">
        <v>126.07</v>
      </c>
      <c r="AN55" s="20" t="n">
        <v>126.07</v>
      </c>
      <c r="AO55" s="20" t="n">
        <v>126.07</v>
      </c>
      <c r="AP55" s="20" t="n">
        <v>126.07</v>
      </c>
      <c r="AQ55" s="20" t="n">
        <v>126.07</v>
      </c>
      <c r="AR55" s="20" t="n">
        <v>126.07</v>
      </c>
      <c r="AS55" s="20" t="n">
        <v>126.07</v>
      </c>
      <c r="AT55" s="20" t="n">
        <v>126.07</v>
      </c>
      <c r="AU55" s="20" t="n">
        <v>126.07</v>
      </c>
      <c r="AV55" s="20" t="n">
        <v>126.07</v>
      </c>
      <c r="AW55" s="20" t="n">
        <v>126.07</v>
      </c>
      <c r="AX55" s="20" t="n">
        <v>126.07</v>
      </c>
      <c r="AY55" s="20" t="n">
        <v>126.07</v>
      </c>
    </row>
    <row r="56">
      <c r="B56" s="32" t="inlineStr">
        <is>
          <t>Total Utilities</t>
        </is>
      </c>
      <c r="C56" s="34" t="n"/>
      <c r="D56" s="35" t="n">
        <v>384.54</v>
      </c>
      <c r="E56" s="35" t="n">
        <v>1265.12</v>
      </c>
      <c r="F56" s="35" t="n">
        <v>563.3100000000001</v>
      </c>
      <c r="G56" s="35" t="n">
        <v>1272.52</v>
      </c>
      <c r="H56" s="35" t="n">
        <v>953.58</v>
      </c>
      <c r="I56" s="35" t="n">
        <v>219.95</v>
      </c>
      <c r="J56" s="35" t="n">
        <v>1088.53</v>
      </c>
      <c r="K56" s="35" t="n">
        <v>705.0799999999999</v>
      </c>
      <c r="L56" s="35" t="n">
        <v>763.79</v>
      </c>
      <c r="M56" s="35" t="n">
        <v>1038.53</v>
      </c>
      <c r="N56" s="35" t="n">
        <v>706.5699999999999</v>
      </c>
      <c r="O56" s="35" t="n">
        <v>782.6500000000001</v>
      </c>
      <c r="P56" s="35" t="n">
        <v>401.15</v>
      </c>
      <c r="Q56" s="35" t="n">
        <v>402.37</v>
      </c>
      <c r="R56" s="35" t="n">
        <v>1007.87</v>
      </c>
      <c r="S56" s="35" t="n">
        <v>381.3099999999999</v>
      </c>
      <c r="T56" s="85" t="n">
        <v>415.58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7779.68</v>
      </c>
      <c r="E57" s="19" t="n">
        <v>7779.68</v>
      </c>
      <c r="F57" s="19" t="n">
        <v>7779.68</v>
      </c>
      <c r="G57" s="19" t="n">
        <v>7779.68</v>
      </c>
      <c r="H57" s="19" t="n">
        <v>7779.68</v>
      </c>
      <c r="I57" s="19" t="n">
        <v>7779.68</v>
      </c>
      <c r="J57" s="19" t="n">
        <v>7779.68</v>
      </c>
      <c r="K57" s="19" t="n">
        <v>7784.68</v>
      </c>
      <c r="L57" s="19" t="n">
        <v>7779.68</v>
      </c>
      <c r="M57" s="19" t="n">
        <v>7779.68</v>
      </c>
      <c r="N57" s="19" t="n">
        <v>7779.68</v>
      </c>
      <c r="O57" s="19" t="n">
        <v>7779.68</v>
      </c>
      <c r="P57" s="19" t="n">
        <v>7779.68</v>
      </c>
      <c r="Q57" s="19" t="n">
        <v>7779.68</v>
      </c>
      <c r="R57" s="19" t="n">
        <v>7779.68</v>
      </c>
      <c r="S57" s="19" t="n">
        <v>7779.68</v>
      </c>
      <c r="T57" s="84" t="n">
        <v>7779.68</v>
      </c>
      <c r="U57" s="20" t="n">
        <v>7894.21</v>
      </c>
      <c r="V57" s="20" t="n">
        <v>7894.21</v>
      </c>
      <c r="W57" s="20" t="n">
        <v>7894.21</v>
      </c>
      <c r="X57" s="20" t="n">
        <v>7894.21</v>
      </c>
      <c r="Y57" s="20" t="n">
        <v>7894.21</v>
      </c>
      <c r="Z57" s="20" t="n">
        <v>7894.21</v>
      </c>
      <c r="AA57" s="20" t="n">
        <v>7894.21</v>
      </c>
      <c r="AB57" s="20" t="n">
        <v>7894.21</v>
      </c>
      <c r="AC57" s="20" t="n">
        <v>7894.21</v>
      </c>
      <c r="AD57" s="20" t="n">
        <v>7894.21</v>
      </c>
      <c r="AE57" s="20" t="n">
        <v>7894.21</v>
      </c>
      <c r="AF57" s="20" t="n">
        <v>7894.21</v>
      </c>
      <c r="AG57" s="20" t="n">
        <v>7894.21</v>
      </c>
      <c r="AH57" s="20" t="n">
        <v>7894.21</v>
      </c>
      <c r="AI57" s="20" t="n">
        <v>7894.21</v>
      </c>
      <c r="AJ57" s="20" t="n">
        <v>7894.21</v>
      </c>
      <c r="AK57" s="20" t="n">
        <v>7894.21</v>
      </c>
      <c r="AL57" s="20" t="n">
        <v>7894.21</v>
      </c>
      <c r="AM57" s="20" t="n">
        <v>7894.21</v>
      </c>
      <c r="AN57" s="20" t="n">
        <v>7894.21</v>
      </c>
      <c r="AO57" s="20" t="n">
        <v>7894.21</v>
      </c>
      <c r="AP57" s="20" t="n">
        <v>7894.21</v>
      </c>
      <c r="AQ57" s="20" t="n">
        <v>7894.21</v>
      </c>
      <c r="AR57" s="20" t="n">
        <v>7894.21</v>
      </c>
      <c r="AS57" s="20" t="n">
        <v>7894.21</v>
      </c>
      <c r="AT57" s="20" t="n">
        <v>7894.21</v>
      </c>
      <c r="AU57" s="20" t="n">
        <v>7894.21</v>
      </c>
      <c r="AV57" s="20" t="n">
        <v>7894.21</v>
      </c>
      <c r="AW57" s="20" t="n">
        <v>7894.21</v>
      </c>
      <c r="AX57" s="20" t="n">
        <v>7894.21</v>
      </c>
      <c r="AY57" s="20" t="n">
        <v>7894.21</v>
      </c>
    </row>
    <row r="58">
      <c r="B58" s="33" t="inlineStr">
        <is>
          <t xml:space="preserve">  702000 Security</t>
        </is>
      </c>
      <c r="D58" s="19" t="n">
        <v>90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139.05</v>
      </c>
      <c r="J58" s="19" t="n">
        <v>0</v>
      </c>
      <c r="K58" s="19" t="n">
        <v>0</v>
      </c>
      <c r="L58" s="19" t="n">
        <v>139.05</v>
      </c>
      <c r="M58" s="19" t="n">
        <v>150</v>
      </c>
      <c r="N58" s="19" t="n">
        <v>0</v>
      </c>
      <c r="O58" s="19" t="n">
        <v>234.05</v>
      </c>
      <c r="P58" s="19" t="n">
        <v>0</v>
      </c>
      <c r="Q58" s="19" t="n">
        <v>0</v>
      </c>
      <c r="R58" s="19" t="n">
        <v>146.01</v>
      </c>
      <c r="S58" s="19" t="n">
        <v>0</v>
      </c>
      <c r="T58" s="84" t="n">
        <v>0</v>
      </c>
      <c r="U58" s="20" t="n">
        <v>37.04</v>
      </c>
      <c r="V58" s="20" t="n">
        <v>37.04</v>
      </c>
      <c r="W58" s="20" t="n">
        <v>37.04</v>
      </c>
      <c r="X58" s="20" t="n">
        <v>37.04</v>
      </c>
      <c r="Y58" s="20" t="n">
        <v>37.04</v>
      </c>
      <c r="Z58" s="20" t="n">
        <v>37.04</v>
      </c>
      <c r="AA58" s="20" t="n">
        <v>37.04</v>
      </c>
      <c r="AB58" s="20" t="n">
        <v>37.04</v>
      </c>
      <c r="AC58" s="20" t="n">
        <v>37.04</v>
      </c>
      <c r="AD58" s="20" t="n">
        <v>37.04</v>
      </c>
      <c r="AE58" s="20" t="n">
        <v>37.04</v>
      </c>
      <c r="AF58" s="20" t="n">
        <v>37.04</v>
      </c>
      <c r="AG58" s="20" t="n">
        <v>37.04</v>
      </c>
      <c r="AH58" s="20" t="n">
        <v>37.04</v>
      </c>
      <c r="AI58" s="20" t="n">
        <v>37.04</v>
      </c>
      <c r="AJ58" s="20" t="n">
        <v>37.04</v>
      </c>
      <c r="AK58" s="20" t="n">
        <v>37.04</v>
      </c>
      <c r="AL58" s="20" t="n">
        <v>37.04</v>
      </c>
      <c r="AM58" s="20" t="n">
        <v>37.04</v>
      </c>
      <c r="AN58" s="20" t="n">
        <v>37.04</v>
      </c>
      <c r="AO58" s="20" t="n">
        <v>37.04</v>
      </c>
      <c r="AP58" s="20" t="n">
        <v>37.04</v>
      </c>
      <c r="AQ58" s="20" t="n">
        <v>37.04</v>
      </c>
      <c r="AR58" s="20" t="n">
        <v>37.04</v>
      </c>
      <c r="AS58" s="20" t="n">
        <v>37.04</v>
      </c>
      <c r="AT58" s="20" t="n">
        <v>37.04</v>
      </c>
      <c r="AU58" s="20" t="n">
        <v>37.04</v>
      </c>
      <c r="AV58" s="20" t="n">
        <v>37.04</v>
      </c>
      <c r="AW58" s="20" t="n">
        <v>37.04</v>
      </c>
      <c r="AX58" s="20" t="n">
        <v>37.04</v>
      </c>
      <c r="AY58" s="20" t="n">
        <v>37.04</v>
      </c>
    </row>
    <row r="59">
      <c r="B59" s="33" t="inlineStr">
        <is>
          <t xml:space="preserve">  703000 Cleaning</t>
        </is>
      </c>
      <c r="D59" s="19" t="n">
        <v>1143.39</v>
      </c>
      <c r="E59" s="19" t="n">
        <v>218.74</v>
      </c>
      <c r="F59" s="19" t="n">
        <v>0</v>
      </c>
      <c r="G59" s="19" t="n">
        <v>0</v>
      </c>
      <c r="H59" s="19" t="n">
        <v>677.28</v>
      </c>
      <c r="I59" s="19" t="n">
        <v>240.79</v>
      </c>
      <c r="J59" s="19" t="n">
        <v>365.67</v>
      </c>
      <c r="K59" s="19" t="n">
        <v>250.97</v>
      </c>
      <c r="L59" s="19" t="n">
        <v>88.65000000000001</v>
      </c>
      <c r="M59" s="19" t="n">
        <v>258.59</v>
      </c>
      <c r="N59" s="19" t="n">
        <v>695.3</v>
      </c>
      <c r="O59" s="19" t="n">
        <v>569.8</v>
      </c>
      <c r="P59" s="19" t="n">
        <v>432.75</v>
      </c>
      <c r="Q59" s="19" t="n">
        <v>195.37</v>
      </c>
      <c r="R59" s="19" t="n">
        <v>882.48</v>
      </c>
      <c r="S59" s="19" t="n">
        <v>274.83</v>
      </c>
      <c r="T59" s="84" t="n">
        <v>317.03</v>
      </c>
      <c r="U59" s="20" t="n">
        <v>452.93</v>
      </c>
      <c r="V59" s="20" t="n">
        <v>452.93</v>
      </c>
      <c r="W59" s="20" t="n">
        <v>452.93</v>
      </c>
      <c r="X59" s="20" t="n">
        <v>452.93</v>
      </c>
      <c r="Y59" s="20" t="n">
        <v>452.93</v>
      </c>
      <c r="Z59" s="20" t="n">
        <v>452.93</v>
      </c>
      <c r="AA59" s="20" t="n">
        <v>452.93</v>
      </c>
      <c r="AB59" s="20" t="n">
        <v>452.93</v>
      </c>
      <c r="AC59" s="20" t="n">
        <v>452.93</v>
      </c>
      <c r="AD59" s="20" t="n">
        <v>452.93</v>
      </c>
      <c r="AE59" s="20" t="n">
        <v>452.93</v>
      </c>
      <c r="AF59" s="20" t="n">
        <v>452.93</v>
      </c>
      <c r="AG59" s="20" t="n">
        <v>452.93</v>
      </c>
      <c r="AH59" s="20" t="n">
        <v>452.93</v>
      </c>
      <c r="AI59" s="20" t="n">
        <v>452.93</v>
      </c>
      <c r="AJ59" s="20" t="n">
        <v>452.93</v>
      </c>
      <c r="AK59" s="20" t="n">
        <v>452.93</v>
      </c>
      <c r="AL59" s="20" t="n">
        <v>452.93</v>
      </c>
      <c r="AM59" s="20" t="n">
        <v>452.93</v>
      </c>
      <c r="AN59" s="20" t="n">
        <v>452.93</v>
      </c>
      <c r="AO59" s="20" t="n">
        <v>452.93</v>
      </c>
      <c r="AP59" s="20" t="n">
        <v>452.93</v>
      </c>
      <c r="AQ59" s="20" t="n">
        <v>452.93</v>
      </c>
      <c r="AR59" s="20" t="n">
        <v>452.93</v>
      </c>
      <c r="AS59" s="20" t="n">
        <v>452.93</v>
      </c>
      <c r="AT59" s="20" t="n">
        <v>452.93</v>
      </c>
      <c r="AU59" s="20" t="n">
        <v>452.93</v>
      </c>
      <c r="AV59" s="20" t="n">
        <v>452.93</v>
      </c>
      <c r="AW59" s="20" t="n">
        <v>452.93</v>
      </c>
      <c r="AX59" s="20" t="n">
        <v>452.93</v>
      </c>
      <c r="AY59" s="20" t="n">
        <v>452.93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10103.07</v>
      </c>
      <c r="E61" s="35" t="n">
        <v>8004.16</v>
      </c>
      <c r="F61" s="35" t="n">
        <v>7779.68</v>
      </c>
      <c r="G61" s="35" t="n">
        <v>7845.820000000001</v>
      </c>
      <c r="H61" s="35" t="n">
        <v>8456.960000000001</v>
      </c>
      <c r="I61" s="35" t="n">
        <v>8159.52</v>
      </c>
      <c r="J61" s="35" t="n">
        <v>8176.84</v>
      </c>
      <c r="K61" s="35" t="n">
        <v>9136.49</v>
      </c>
      <c r="L61" s="35" t="n">
        <v>8022.34</v>
      </c>
      <c r="M61" s="35" t="n">
        <v>8188.27</v>
      </c>
      <c r="N61" s="35" t="n">
        <v>8614.98</v>
      </c>
      <c r="O61" s="35" t="n">
        <v>8583.530000000001</v>
      </c>
      <c r="P61" s="35" t="n">
        <v>8384.18</v>
      </c>
      <c r="Q61" s="35" t="n">
        <v>8096.1</v>
      </c>
      <c r="R61" s="35" t="n">
        <v>8965.27</v>
      </c>
      <c r="S61" s="35" t="n">
        <v>8130.21</v>
      </c>
      <c r="T61" s="85" t="n">
        <v>8275.25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75921.37</v>
      </c>
      <c r="E62" s="35" t="n">
        <v>79440.69</v>
      </c>
      <c r="F62" s="35" t="n">
        <v>79065.82000000001</v>
      </c>
      <c r="G62" s="35" t="n">
        <v>68641.91999999998</v>
      </c>
      <c r="H62" s="35" t="n">
        <v>83957.43000000002</v>
      </c>
      <c r="I62" s="35" t="n">
        <v>66136.11</v>
      </c>
      <c r="J62" s="35" t="n">
        <v>65843.14999999999</v>
      </c>
      <c r="K62" s="35" t="n">
        <v>66498.7</v>
      </c>
      <c r="L62" s="35" t="n">
        <v>67920.92</v>
      </c>
      <c r="M62" s="35" t="n">
        <v>67563.75</v>
      </c>
      <c r="N62" s="35" t="n">
        <v>66103.8</v>
      </c>
      <c r="O62" s="35" t="n">
        <v>60301.85999999999</v>
      </c>
      <c r="P62" s="35" t="n">
        <v>67536.34</v>
      </c>
      <c r="Q62" s="35" t="n">
        <v>48157.1</v>
      </c>
      <c r="R62" s="35" t="n">
        <v>47231.45000000001</v>
      </c>
      <c r="S62" s="35" t="n">
        <v>38784.74000000001</v>
      </c>
      <c r="T62" s="85" t="n">
        <v>45996.7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131124.74</v>
      </c>
      <c r="E63" s="35" t="n">
        <v>129155.18</v>
      </c>
      <c r="F63" s="35" t="n">
        <v>165636.66</v>
      </c>
      <c r="G63" s="35" t="n">
        <v>150016.83</v>
      </c>
      <c r="H63" s="35" t="n">
        <v>129848.12</v>
      </c>
      <c r="I63" s="35" t="n">
        <v>98673.10000000002</v>
      </c>
      <c r="J63" s="35" t="n">
        <v>73191.34000000003</v>
      </c>
      <c r="K63" s="35" t="n">
        <v>88965.97000000002</v>
      </c>
      <c r="L63" s="35" t="n">
        <v>87463.31999999999</v>
      </c>
      <c r="M63" s="35" t="n">
        <v>70068.96999999994</v>
      </c>
      <c r="N63" s="35" t="n">
        <v>85245.48</v>
      </c>
      <c r="O63" s="35" t="n">
        <v>68893.94</v>
      </c>
      <c r="P63" s="35" t="n">
        <v>115871.87</v>
      </c>
      <c r="Q63" s="35" t="n">
        <v>98948.45999999996</v>
      </c>
      <c r="R63" s="35" t="n">
        <v>89810.09</v>
      </c>
      <c r="S63" s="35" t="n">
        <v>89528.78</v>
      </c>
      <c r="T63" s="85" t="n">
        <v>82350.05000000002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661.33</v>
      </c>
      <c r="E65" s="19" t="n">
        <v>661.33</v>
      </c>
      <c r="F65" s="19" t="n">
        <v>661.33</v>
      </c>
      <c r="G65" s="19" t="n">
        <v>663.3200000000001</v>
      </c>
      <c r="H65" s="19" t="n">
        <v>669.97</v>
      </c>
      <c r="I65" s="19" t="n">
        <v>669.97</v>
      </c>
      <c r="J65" s="19" t="n">
        <v>669.97</v>
      </c>
      <c r="K65" s="19" t="n">
        <v>720.3099999999999</v>
      </c>
      <c r="L65" s="19" t="n">
        <v>809.14</v>
      </c>
      <c r="M65" s="19" t="n">
        <v>809.14</v>
      </c>
      <c r="N65" s="19" t="n">
        <v>809.04</v>
      </c>
      <c r="O65" s="19" t="n">
        <v>476.07</v>
      </c>
      <c r="P65" s="19" t="n">
        <v>724.74</v>
      </c>
      <c r="Q65" s="19" t="n">
        <v>724.74</v>
      </c>
      <c r="R65" s="19" t="n">
        <v>724.74</v>
      </c>
      <c r="S65" s="19" t="n">
        <v>724.74</v>
      </c>
      <c r="T65" s="84" t="n">
        <v>724.74</v>
      </c>
      <c r="U65" s="20" t="n">
        <v>724.74</v>
      </c>
      <c r="V65" s="20" t="n">
        <v>724.74</v>
      </c>
      <c r="W65" s="20" t="n">
        <v>724.74</v>
      </c>
      <c r="X65" s="20" t="n">
        <v>724.74</v>
      </c>
      <c r="Y65" s="20" t="n">
        <v>724.74</v>
      </c>
      <c r="Z65" s="20" t="n">
        <v>724.74</v>
      </c>
      <c r="AA65" s="20" t="n">
        <v>724.74</v>
      </c>
      <c r="AB65" s="20" t="n">
        <v>724.74</v>
      </c>
      <c r="AC65" s="20" t="n">
        <v>724.74</v>
      </c>
      <c r="AD65" s="20" t="n">
        <v>724.74</v>
      </c>
      <c r="AE65" s="20" t="n">
        <v>724.74</v>
      </c>
      <c r="AF65" s="20" t="n">
        <v>724.74</v>
      </c>
      <c r="AG65" s="20" t="n">
        <v>724.74</v>
      </c>
      <c r="AH65" s="20" t="n">
        <v>724.74</v>
      </c>
      <c r="AI65" s="20" t="n">
        <v>724.74</v>
      </c>
      <c r="AJ65" s="20" t="n">
        <v>724.74</v>
      </c>
      <c r="AK65" s="20" t="n">
        <v>724.74</v>
      </c>
      <c r="AL65" s="20" t="n">
        <v>724.74</v>
      </c>
      <c r="AM65" s="20" t="n">
        <v>724.74</v>
      </c>
      <c r="AN65" s="20">
        <f>AN69*0.218701</f>
        <v/>
      </c>
      <c r="AO65" s="20">
        <f>AO69*0.218701</f>
        <v/>
      </c>
      <c r="AP65" s="20">
        <f>AP69*0.218701</f>
        <v/>
      </c>
      <c r="AQ65" s="20">
        <f>AQ69*0.218701</f>
        <v/>
      </c>
      <c r="AR65" s="20">
        <f>AR69*0.218701</f>
        <v/>
      </c>
      <c r="AS65" s="20">
        <f>AS69*0.218701</f>
        <v/>
      </c>
      <c r="AT65" s="20">
        <f>AT69*0.218701</f>
        <v/>
      </c>
      <c r="AU65" s="20">
        <f>AU69*0.218701</f>
        <v/>
      </c>
      <c r="AV65" s="20">
        <f>AV69*0.218701</f>
        <v/>
      </c>
      <c r="AW65" s="20">
        <f>AW69*0.218701</f>
        <v/>
      </c>
      <c r="AX65" s="20">
        <f>AX69*0.218701</f>
        <v/>
      </c>
      <c r="AY65" s="20">
        <f>AY69*0.218701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2405</v>
      </c>
      <c r="Q66" s="19" t="n">
        <v>2405</v>
      </c>
      <c r="R66" s="19" t="n">
        <v>2405</v>
      </c>
      <c r="S66" s="19" t="n">
        <v>2405</v>
      </c>
      <c r="T66" s="84" t="n">
        <v>0</v>
      </c>
      <c r="U66" s="20">
        <f>U69*0.725744</f>
        <v/>
      </c>
      <c r="V66" s="20">
        <f>V69*0.725744</f>
        <v/>
      </c>
      <c r="W66" s="20">
        <f>W69*0.725744</f>
        <v/>
      </c>
      <c r="X66" s="20">
        <f>X69*0.725744</f>
        <v/>
      </c>
      <c r="Y66" s="20">
        <f>Y69*0.725744</f>
        <v/>
      </c>
      <c r="Z66" s="20">
        <f>Z69*0.725744</f>
        <v/>
      </c>
      <c r="AA66" s="20">
        <f>AA69*0.725744</f>
        <v/>
      </c>
      <c r="AB66" s="20">
        <f>AB69*0.725744</f>
        <v/>
      </c>
      <c r="AC66" s="20">
        <f>AC69*0.725744</f>
        <v/>
      </c>
      <c r="AD66" s="20">
        <f>AD69*0.725744</f>
        <v/>
      </c>
      <c r="AE66" s="20">
        <f>AE69*0.725744</f>
        <v/>
      </c>
      <c r="AF66" s="20">
        <f>AF69*0.725744</f>
        <v/>
      </c>
      <c r="AG66" s="20">
        <f>AG69*0.725744</f>
        <v/>
      </c>
      <c r="AH66" s="20">
        <f>AH69*0.725744</f>
        <v/>
      </c>
      <c r="AI66" s="20">
        <f>AI69*0.725744</f>
        <v/>
      </c>
      <c r="AJ66" s="20">
        <f>AJ69*0.725744</f>
        <v/>
      </c>
      <c r="AK66" s="20">
        <f>AK69*0.725744</f>
        <v/>
      </c>
      <c r="AL66" s="20">
        <f>AL69*0.725744</f>
        <v/>
      </c>
      <c r="AM66" s="20">
        <f>AM69*0.725744</f>
        <v/>
      </c>
      <c r="AN66" s="20">
        <f>AN69*0.725744</f>
        <v/>
      </c>
      <c r="AO66" s="20">
        <f>AO69*0.725744</f>
        <v/>
      </c>
      <c r="AP66" s="20">
        <f>AP69*0.725744</f>
        <v/>
      </c>
      <c r="AQ66" s="20">
        <f>AQ69*0.725744</f>
        <v/>
      </c>
      <c r="AR66" s="20">
        <f>AR69*0.725744</f>
        <v/>
      </c>
      <c r="AS66" s="20">
        <f>AS69*0.725744</f>
        <v/>
      </c>
      <c r="AT66" s="20">
        <f>AT69*0.725744</f>
        <v/>
      </c>
      <c r="AU66" s="20">
        <f>AU69*0.725744</f>
        <v/>
      </c>
      <c r="AV66" s="20">
        <f>AV69*0.725744</f>
        <v/>
      </c>
      <c r="AW66" s="20">
        <f>AW69*0.725744</f>
        <v/>
      </c>
      <c r="AX66" s="20">
        <f>AX69*0.725744</f>
        <v/>
      </c>
      <c r="AY66" s="20">
        <f>AY69*0.725744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736.4</v>
      </c>
      <c r="R67" s="19" t="n">
        <v>0</v>
      </c>
      <c r="S67" s="19" t="n">
        <v>0</v>
      </c>
      <c r="T67" s="84" t="n">
        <v>0</v>
      </c>
      <c r="U67" s="20">
        <f>U69*0.055555</f>
        <v/>
      </c>
      <c r="V67" s="20">
        <f>V69*0.055555</f>
        <v/>
      </c>
      <c r="W67" s="20">
        <f>W69*0.055555</f>
        <v/>
      </c>
      <c r="X67" s="20">
        <f>X69*0.055555</f>
        <v/>
      </c>
      <c r="Y67" s="20">
        <f>Y69*0.055555</f>
        <v/>
      </c>
      <c r="Z67" s="20">
        <f>Z69*0.055555</f>
        <v/>
      </c>
      <c r="AA67" s="20">
        <f>AA69*0.055555</f>
        <v/>
      </c>
      <c r="AB67" s="20">
        <f>AB69*0.055555</f>
        <v/>
      </c>
      <c r="AC67" s="20">
        <f>AC69*0.055555</f>
        <v/>
      </c>
      <c r="AD67" s="20">
        <f>AD69*0.055555</f>
        <v/>
      </c>
      <c r="AE67" s="20">
        <f>AE69*0.055555</f>
        <v/>
      </c>
      <c r="AF67" s="20">
        <f>AF69*0.055555</f>
        <v/>
      </c>
      <c r="AG67" s="20">
        <f>AG69*0.055555</f>
        <v/>
      </c>
      <c r="AH67" s="20">
        <f>AH69*0.055555</f>
        <v/>
      </c>
      <c r="AI67" s="20">
        <f>AI69*0.055555</f>
        <v/>
      </c>
      <c r="AJ67" s="20">
        <f>AJ69*0.055555</f>
        <v/>
      </c>
      <c r="AK67" s="20">
        <f>AK69*0.055555</f>
        <v/>
      </c>
      <c r="AL67" s="20">
        <f>AL69*0.055555</f>
        <v/>
      </c>
      <c r="AM67" s="20">
        <f>AM69*0.055555</f>
        <v/>
      </c>
      <c r="AN67" s="20">
        <f>AN69*0.055555</f>
        <v/>
      </c>
      <c r="AO67" s="20">
        <f>AO69*0.055555</f>
        <v/>
      </c>
      <c r="AP67" s="20">
        <f>AP69*0.055555</f>
        <v/>
      </c>
      <c r="AQ67" s="20">
        <f>AQ69*0.055555</f>
        <v/>
      </c>
      <c r="AR67" s="20">
        <f>AR69*0.055555</f>
        <v/>
      </c>
      <c r="AS67" s="20">
        <f>AS69*0.055555</f>
        <v/>
      </c>
      <c r="AT67" s="20">
        <f>AT69*0.055555</f>
        <v/>
      </c>
      <c r="AU67" s="20">
        <f>AU69*0.055555</f>
        <v/>
      </c>
      <c r="AV67" s="20">
        <f>AV69*0.055555</f>
        <v/>
      </c>
      <c r="AW67" s="20">
        <f>AW69*0.055555</f>
        <v/>
      </c>
      <c r="AX67" s="20">
        <f>AX69*0.055555</f>
        <v/>
      </c>
      <c r="AY67" s="20">
        <f>AY69*0.055555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661.33</v>
      </c>
      <c r="E69" s="35" t="n">
        <v>661.33</v>
      </c>
      <c r="F69" s="35" t="n">
        <v>661.33</v>
      </c>
      <c r="G69" s="35" t="n">
        <v>663.3200000000001</v>
      </c>
      <c r="H69" s="35" t="n">
        <v>669.97</v>
      </c>
      <c r="I69" s="35" t="n">
        <v>669.97</v>
      </c>
      <c r="J69" s="35" t="n">
        <v>669.97</v>
      </c>
      <c r="K69" s="35" t="n">
        <v>720.3099999999999</v>
      </c>
      <c r="L69" s="35" t="n">
        <v>809.14</v>
      </c>
      <c r="M69" s="35" t="n">
        <v>3214.14</v>
      </c>
      <c r="N69" s="35" t="n">
        <v>3214.04</v>
      </c>
      <c r="O69" s="35" t="n">
        <v>2881.07</v>
      </c>
      <c r="P69" s="35" t="n">
        <v>3129.74</v>
      </c>
      <c r="Q69" s="35" t="n">
        <v>3866.14</v>
      </c>
      <c r="R69" s="35" t="n">
        <v>3129.74</v>
      </c>
      <c r="S69" s="35" t="n">
        <v>3129.74</v>
      </c>
      <c r="T69" s="85" t="n">
        <v>3129.74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130463.41</v>
      </c>
      <c r="E70" s="35" t="n">
        <v>128493.85</v>
      </c>
      <c r="F70" s="35" t="n">
        <v>164975.33</v>
      </c>
      <c r="G70" s="35" t="n">
        <v>149353.51</v>
      </c>
      <c r="H70" s="35" t="n">
        <v>129178.15</v>
      </c>
      <c r="I70" s="35" t="n">
        <v>98003.13000000002</v>
      </c>
      <c r="J70" s="35" t="n">
        <v>72521.37000000002</v>
      </c>
      <c r="K70" s="35" t="n">
        <v>88245.66000000002</v>
      </c>
      <c r="L70" s="35" t="n">
        <v>86654.17999999999</v>
      </c>
      <c r="M70" s="35" t="n">
        <v>66854.82999999994</v>
      </c>
      <c r="N70" s="35" t="n">
        <v>82031.44</v>
      </c>
      <c r="O70" s="35" t="n">
        <v>66012.87</v>
      </c>
      <c r="P70" s="35" t="n">
        <v>112742.13</v>
      </c>
      <c r="Q70" s="35" t="n">
        <v>95082.31999999996</v>
      </c>
      <c r="R70" s="35" t="n">
        <v>86680.34999999999</v>
      </c>
      <c r="S70" s="35" t="n">
        <v>86399.03999999999</v>
      </c>
      <c r="T70" s="85" t="n">
        <v>79220.31000000001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7" activePane="bottomRight" state="frozen"/>
      <selection pane="topRight" activeCell="A1" sqref="A1"/>
      <selection pane="bottomLeft" activeCell="A1" sqref="A1"/>
      <selection pane="bottomRight" activeCell="O63" sqref="O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Russian Hill (RH)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271</v>
      </c>
      <c r="E7" s="19" t="n">
        <v>10630.24</v>
      </c>
      <c r="F7" s="19" t="n">
        <v>29542.02</v>
      </c>
      <c r="G7" s="19" t="n">
        <v>33972.62</v>
      </c>
      <c r="H7" s="19" t="n">
        <v>38226.56</v>
      </c>
      <c r="I7" s="19" t="n">
        <v>40958.7</v>
      </c>
      <c r="J7" s="19" t="n">
        <v>33901.19</v>
      </c>
      <c r="K7" s="19" t="n">
        <v>35892.01</v>
      </c>
      <c r="L7" s="19" t="n">
        <v>35337.18</v>
      </c>
      <c r="M7" s="19" t="n">
        <v>37835.57</v>
      </c>
      <c r="N7" s="19" t="n">
        <v>34452</v>
      </c>
      <c r="O7" s="19" t="n">
        <v>32698.66</v>
      </c>
      <c r="P7" s="19" t="n">
        <v>45965.84</v>
      </c>
      <c r="Q7" s="19" t="n">
        <v>40953.89</v>
      </c>
      <c r="R7" s="19" t="n">
        <v>47182.84</v>
      </c>
      <c r="S7" s="19" t="n">
        <v>43586.86</v>
      </c>
      <c r="T7" s="84" t="n">
        <v>38537.59</v>
      </c>
      <c r="U7" s="20">
        <f>U13*0.516754</f>
        <v/>
      </c>
      <c r="V7" s="20">
        <f>V13*0.516754</f>
        <v/>
      </c>
      <c r="W7" s="20">
        <f>W13*0.516754</f>
        <v/>
      </c>
      <c r="X7" s="20">
        <f>X13*0.516754</f>
        <v/>
      </c>
      <c r="Y7" s="20">
        <f>Y13*0.516754</f>
        <v/>
      </c>
      <c r="Z7" s="20">
        <f>Z13*0.516754</f>
        <v/>
      </c>
      <c r="AA7" s="20">
        <f>AA13*0.516754</f>
        <v/>
      </c>
      <c r="AB7" s="20">
        <f>AB13*0.516754</f>
        <v/>
      </c>
      <c r="AC7" s="20">
        <f>AC13*0.516754</f>
        <v/>
      </c>
      <c r="AD7" s="20">
        <f>AD13*0.516754</f>
        <v/>
      </c>
      <c r="AE7" s="20">
        <f>AE13*0.516754</f>
        <v/>
      </c>
      <c r="AF7" s="20">
        <f>AF13*0.516754</f>
        <v/>
      </c>
      <c r="AG7" s="20">
        <f>AG13*0.516754</f>
        <v/>
      </c>
      <c r="AH7" s="20">
        <f>AH13*0.516754</f>
        <v/>
      </c>
      <c r="AI7" s="20">
        <f>AI13*0.516754</f>
        <v/>
      </c>
      <c r="AJ7" s="20">
        <f>AJ13*0.516754</f>
        <v/>
      </c>
      <c r="AK7" s="20">
        <f>AK13*0.516754</f>
        <v/>
      </c>
      <c r="AL7" s="20">
        <f>AL13*0.516754</f>
        <v/>
      </c>
      <c r="AM7" s="20">
        <f>AM13*0.516754</f>
        <v/>
      </c>
      <c r="AN7" s="20">
        <f>AN13*0.516754</f>
        <v/>
      </c>
      <c r="AO7" s="20">
        <f>AO13*0.516754</f>
        <v/>
      </c>
      <c r="AP7" s="20">
        <f>AP13*0.516754</f>
        <v/>
      </c>
      <c r="AQ7" s="20">
        <f>AQ13*0.516754</f>
        <v/>
      </c>
      <c r="AR7" s="20">
        <f>AR13*0.516754</f>
        <v/>
      </c>
      <c r="AS7" s="20">
        <f>AS13*0.516754</f>
        <v/>
      </c>
      <c r="AT7" s="20">
        <f>AT13*0.516754</f>
        <v/>
      </c>
      <c r="AU7" s="20">
        <f>AU13*0.516754</f>
        <v/>
      </c>
      <c r="AV7" s="20">
        <f>AV13*0.516754</f>
        <v/>
      </c>
      <c r="AW7" s="20">
        <f>AW13*0.516754</f>
        <v/>
      </c>
      <c r="AX7" s="20">
        <f>AX13*0.516754</f>
        <v/>
      </c>
      <c r="AY7" s="20">
        <f>AY13*0.516754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732</v>
      </c>
      <c r="F8" s="19" t="n">
        <v>2362</v>
      </c>
      <c r="G8" s="19" t="n">
        <v>2188.33</v>
      </c>
      <c r="H8" s="19" t="n">
        <v>3460</v>
      </c>
      <c r="I8" s="19" t="n">
        <v>2633.5</v>
      </c>
      <c r="J8" s="19" t="n">
        <v>3515.5</v>
      </c>
      <c r="K8" s="19" t="n">
        <v>1979</v>
      </c>
      <c r="L8" s="19" t="n">
        <v>2228.17</v>
      </c>
      <c r="M8" s="19" t="n">
        <v>2250</v>
      </c>
      <c r="N8" s="19" t="n">
        <v>2295</v>
      </c>
      <c r="O8" s="19" t="n">
        <v>2097.67</v>
      </c>
      <c r="P8" s="19" t="n">
        <v>4196.33</v>
      </c>
      <c r="Q8" s="19" t="n">
        <v>3350.8</v>
      </c>
      <c r="R8" s="19" t="n">
        <v>2241.8</v>
      </c>
      <c r="S8" s="19" t="n">
        <v>1954.5</v>
      </c>
      <c r="T8" s="84" t="n">
        <v>3154</v>
      </c>
      <c r="U8" s="20">
        <f>U13*0.034152</f>
        <v/>
      </c>
      <c r="V8" s="20">
        <f>V13*0.034152</f>
        <v/>
      </c>
      <c r="W8" s="20">
        <f>W13*0.034152</f>
        <v/>
      </c>
      <c r="X8" s="20">
        <f>X13*0.034152</f>
        <v/>
      </c>
      <c r="Y8" s="20">
        <f>Y13*0.034152</f>
        <v/>
      </c>
      <c r="Z8" s="20">
        <f>Z13*0.034152</f>
        <v/>
      </c>
      <c r="AA8" s="20">
        <f>AA13*0.034152</f>
        <v/>
      </c>
      <c r="AB8" s="20">
        <f>AB13*0.034152</f>
        <v/>
      </c>
      <c r="AC8" s="20">
        <f>AC13*0.034152</f>
        <v/>
      </c>
      <c r="AD8" s="20">
        <f>AD13*0.034152</f>
        <v/>
      </c>
      <c r="AE8" s="20">
        <f>AE13*0.034152</f>
        <v/>
      </c>
      <c r="AF8" s="20">
        <f>AF13*0.034152</f>
        <v/>
      </c>
      <c r="AG8" s="20">
        <f>AG13*0.034152</f>
        <v/>
      </c>
      <c r="AH8" s="20">
        <f>AH13*0.034152</f>
        <v/>
      </c>
      <c r="AI8" s="20">
        <f>AI13*0.034152</f>
        <v/>
      </c>
      <c r="AJ8" s="20">
        <f>AJ13*0.034152</f>
        <v/>
      </c>
      <c r="AK8" s="20">
        <f>AK13*0.034152</f>
        <v/>
      </c>
      <c r="AL8" s="20">
        <f>AL13*0.034152</f>
        <v/>
      </c>
      <c r="AM8" s="20">
        <f>AM13*0.034152</f>
        <v/>
      </c>
      <c r="AN8" s="20">
        <f>AN13*0.034152</f>
        <v/>
      </c>
      <c r="AO8" s="20">
        <f>AO13*0.034152</f>
        <v/>
      </c>
      <c r="AP8" s="20">
        <f>AP13*0.034152</f>
        <v/>
      </c>
      <c r="AQ8" s="20">
        <f>AQ13*0.034152</f>
        <v/>
      </c>
      <c r="AR8" s="20">
        <f>AR13*0.034152</f>
        <v/>
      </c>
      <c r="AS8" s="20">
        <f>AS13*0.034152</f>
        <v/>
      </c>
      <c r="AT8" s="20">
        <f>AT13*0.034152</f>
        <v/>
      </c>
      <c r="AU8" s="20">
        <f>AU13*0.034152</f>
        <v/>
      </c>
      <c r="AV8" s="20">
        <f>AV13*0.034152</f>
        <v/>
      </c>
      <c r="AW8" s="20">
        <f>AW13*0.034152</f>
        <v/>
      </c>
      <c r="AX8" s="20">
        <f>AX13*0.034152</f>
        <v/>
      </c>
      <c r="AY8" s="20">
        <f>AY13*0.034152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6368.29</v>
      </c>
      <c r="F9" s="19" t="n">
        <v>17552.29</v>
      </c>
      <c r="G9" s="19" t="n">
        <v>17518.21</v>
      </c>
      <c r="H9" s="19" t="n">
        <v>18132.15</v>
      </c>
      <c r="I9" s="19" t="n">
        <v>19927.9</v>
      </c>
      <c r="J9" s="19" t="n">
        <v>23760.04</v>
      </c>
      <c r="K9" s="19" t="n">
        <v>23569.44</v>
      </c>
      <c r="L9" s="19" t="n">
        <v>24748.67</v>
      </c>
      <c r="M9" s="19" t="n">
        <v>28887.5</v>
      </c>
      <c r="N9" s="19" t="n">
        <v>26043.88</v>
      </c>
      <c r="O9" s="19" t="n">
        <v>23680.08</v>
      </c>
      <c r="P9" s="19" t="n">
        <v>31714.92</v>
      </c>
      <c r="Q9" s="19" t="n">
        <v>29407.51</v>
      </c>
      <c r="R9" s="19" t="n">
        <v>34089.62</v>
      </c>
      <c r="S9" s="19" t="n">
        <v>31971</v>
      </c>
      <c r="T9" s="84" t="n">
        <v>28859.74</v>
      </c>
      <c r="U9" s="20">
        <f>U13*0.369872</f>
        <v/>
      </c>
      <c r="V9" s="20">
        <f>V13*0.369872</f>
        <v/>
      </c>
      <c r="W9" s="20">
        <f>W13*0.369872</f>
        <v/>
      </c>
      <c r="X9" s="20">
        <f>X13*0.369872</f>
        <v/>
      </c>
      <c r="Y9" s="20">
        <f>Y13*0.369872</f>
        <v/>
      </c>
      <c r="Z9" s="20">
        <f>Z13*0.369872</f>
        <v/>
      </c>
      <c r="AA9" s="20">
        <f>AA13*0.369872</f>
        <v/>
      </c>
      <c r="AB9" s="20">
        <f>AB13*0.369872</f>
        <v/>
      </c>
      <c r="AC9" s="20">
        <f>AC13*0.369872</f>
        <v/>
      </c>
      <c r="AD9" s="20">
        <f>AD13*0.369872</f>
        <v/>
      </c>
      <c r="AE9" s="20">
        <f>AE13*0.369872</f>
        <v/>
      </c>
      <c r="AF9" s="20">
        <f>AF13*0.369872</f>
        <v/>
      </c>
      <c r="AG9" s="20">
        <f>AG13*0.369872</f>
        <v/>
      </c>
      <c r="AH9" s="20">
        <f>AH13*0.369872</f>
        <v/>
      </c>
      <c r="AI9" s="20">
        <f>AI13*0.369872</f>
        <v/>
      </c>
      <c r="AJ9" s="20">
        <f>AJ13*0.369872</f>
        <v/>
      </c>
      <c r="AK9" s="20">
        <f>AK13*0.369872</f>
        <v/>
      </c>
      <c r="AL9" s="20">
        <f>AL13*0.369872</f>
        <v/>
      </c>
      <c r="AM9" s="20">
        <f>AM13*0.369872</f>
        <v/>
      </c>
      <c r="AN9" s="20">
        <f>AN13*0.369872</f>
        <v/>
      </c>
      <c r="AO9" s="20">
        <f>AO13*0.369872</f>
        <v/>
      </c>
      <c r="AP9" s="20">
        <f>AP13*0.369872</f>
        <v/>
      </c>
      <c r="AQ9" s="20">
        <f>AQ13*0.369872</f>
        <v/>
      </c>
      <c r="AR9" s="20">
        <f>AR13*0.369872</f>
        <v/>
      </c>
      <c r="AS9" s="20">
        <f>AS13*0.369872</f>
        <v/>
      </c>
      <c r="AT9" s="20">
        <f>AT13*0.369872</f>
        <v/>
      </c>
      <c r="AU9" s="20">
        <f>AU13*0.369872</f>
        <v/>
      </c>
      <c r="AV9" s="20">
        <f>AV13*0.369872</f>
        <v/>
      </c>
      <c r="AW9" s="20">
        <f>AW13*0.369872</f>
        <v/>
      </c>
      <c r="AX9" s="20">
        <f>AX13*0.369872</f>
        <v/>
      </c>
      <c r="AY9" s="20">
        <f>AY13*0.369872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320</v>
      </c>
      <c r="I10" s="19" t="n">
        <v>895.83</v>
      </c>
      <c r="J10" s="19" t="n">
        <v>2075.83</v>
      </c>
      <c r="K10" s="19" t="n">
        <v>1197.5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12431.67</v>
      </c>
      <c r="Q10" s="19" t="n">
        <v>7052.17</v>
      </c>
      <c r="R10" s="19" t="n">
        <v>208.33</v>
      </c>
      <c r="S10" s="19" t="n">
        <v>0</v>
      </c>
      <c r="T10" s="84" t="n">
        <v>0</v>
      </c>
      <c r="U10" s="20">
        <f>U13*0.057269</f>
        <v/>
      </c>
      <c r="V10" s="20">
        <f>V13*0.057269</f>
        <v/>
      </c>
      <c r="W10" s="20">
        <f>W13*0.057269</f>
        <v/>
      </c>
      <c r="X10" s="20">
        <f>X13*0.057269</f>
        <v/>
      </c>
      <c r="Y10" s="20">
        <f>Y13*0.057269</f>
        <v/>
      </c>
      <c r="Z10" s="20">
        <f>Z13*0.057269</f>
        <v/>
      </c>
      <c r="AA10" s="20">
        <f>AA13*0.057269</f>
        <v/>
      </c>
      <c r="AB10" s="20">
        <f>AB13*0.057269</f>
        <v/>
      </c>
      <c r="AC10" s="20">
        <f>AC13*0.057269</f>
        <v/>
      </c>
      <c r="AD10" s="20">
        <f>AD13*0.057269</f>
        <v/>
      </c>
      <c r="AE10" s="20">
        <f>AE13*0.057269</f>
        <v/>
      </c>
      <c r="AF10" s="20">
        <f>AF13*0.057269</f>
        <v/>
      </c>
      <c r="AG10" s="20">
        <f>AG13*0.057269</f>
        <v/>
      </c>
      <c r="AH10" s="20">
        <f>AH13*0.057269</f>
        <v/>
      </c>
      <c r="AI10" s="20">
        <f>AI13*0.057269</f>
        <v/>
      </c>
      <c r="AJ10" s="20">
        <f>AJ13*0.057269</f>
        <v/>
      </c>
      <c r="AK10" s="20">
        <f>AK13*0.057269</f>
        <v/>
      </c>
      <c r="AL10" s="20">
        <f>AL13*0.057269</f>
        <v/>
      </c>
      <c r="AM10" s="20">
        <f>AM13*0.057269</f>
        <v/>
      </c>
      <c r="AN10" s="20">
        <f>AN13*0.057269</f>
        <v/>
      </c>
      <c r="AO10" s="20">
        <f>AO13*0.057269</f>
        <v/>
      </c>
      <c r="AP10" s="20">
        <f>AP13*0.057269</f>
        <v/>
      </c>
      <c r="AQ10" s="20">
        <f>AQ13*0.057269</f>
        <v/>
      </c>
      <c r="AR10" s="20">
        <f>AR13*0.057269</f>
        <v/>
      </c>
      <c r="AS10" s="20">
        <f>AS13*0.057269</f>
        <v/>
      </c>
      <c r="AT10" s="20">
        <f>AT13*0.057269</f>
        <v/>
      </c>
      <c r="AU10" s="20">
        <f>AU13*0.057269</f>
        <v/>
      </c>
      <c r="AV10" s="20">
        <f>AV13*0.057269</f>
        <v/>
      </c>
      <c r="AW10" s="20">
        <f>AW13*0.057269</f>
        <v/>
      </c>
      <c r="AX10" s="20">
        <f>AX13*0.057269</f>
        <v/>
      </c>
      <c r="AY10" s="20">
        <f>AY13*0.057269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1.07</v>
      </c>
      <c r="F11" s="19" t="n">
        <v>31.48</v>
      </c>
      <c r="G11" s="19" t="n">
        <v>21.6</v>
      </c>
      <c r="H11" s="19" t="n">
        <v>36.23</v>
      </c>
      <c r="I11" s="19" t="n">
        <v>335.49</v>
      </c>
      <c r="J11" s="19" t="n">
        <v>75.38</v>
      </c>
      <c r="K11" s="19" t="n">
        <v>84.73</v>
      </c>
      <c r="L11" s="19" t="n">
        <v>96.98999999999999</v>
      </c>
      <c r="M11" s="19" t="n">
        <v>109.26</v>
      </c>
      <c r="N11" s="19" t="n">
        <v>109.35</v>
      </c>
      <c r="O11" s="19" t="n">
        <v>142.01</v>
      </c>
      <c r="P11" s="19" t="n">
        <v>216.27</v>
      </c>
      <c r="Q11" s="19" t="n">
        <v>192.87</v>
      </c>
      <c r="R11" s="19" t="n">
        <v>101.04</v>
      </c>
      <c r="S11" s="19" t="n">
        <v>50.61</v>
      </c>
      <c r="T11" s="84" t="n">
        <v>44.1</v>
      </c>
      <c r="U11" s="20">
        <f>U13*0.001631</f>
        <v/>
      </c>
      <c r="V11" s="20">
        <f>V13*0.001631</f>
        <v/>
      </c>
      <c r="W11" s="20">
        <f>W13*0.001631</f>
        <v/>
      </c>
      <c r="X11" s="20">
        <f>X13*0.001631</f>
        <v/>
      </c>
      <c r="Y11" s="20">
        <f>Y13*0.001631</f>
        <v/>
      </c>
      <c r="Z11" s="20">
        <f>Z13*0.001631</f>
        <v/>
      </c>
      <c r="AA11" s="20">
        <f>AA13*0.001631</f>
        <v/>
      </c>
      <c r="AB11" s="20">
        <f>AB13*0.001631</f>
        <v/>
      </c>
      <c r="AC11" s="20">
        <f>AC13*0.001631</f>
        <v/>
      </c>
      <c r="AD11" s="20">
        <f>AD13*0.001631</f>
        <v/>
      </c>
      <c r="AE11" s="20">
        <f>AE13*0.001631</f>
        <v/>
      </c>
      <c r="AF11" s="20">
        <f>AF13*0.001631</f>
        <v/>
      </c>
      <c r="AG11" s="20">
        <f>AG13*0.001631</f>
        <v/>
      </c>
      <c r="AH11" s="20">
        <f>AH13*0.001631</f>
        <v/>
      </c>
      <c r="AI11" s="20">
        <f>AI13*0.001631</f>
        <v/>
      </c>
      <c r="AJ11" s="20">
        <f>AJ13*0.001631</f>
        <v/>
      </c>
      <c r="AK11" s="20">
        <f>AK13*0.001631</f>
        <v/>
      </c>
      <c r="AL11" s="20">
        <f>AL13*0.001631</f>
        <v/>
      </c>
      <c r="AM11" s="20">
        <f>AM13*0.001631</f>
        <v/>
      </c>
      <c r="AN11" s="20">
        <f>AN13*0.001631</f>
        <v/>
      </c>
      <c r="AO11" s="20">
        <f>AO13*0.001631</f>
        <v/>
      </c>
      <c r="AP11" s="20">
        <f>AP13*0.001631</f>
        <v/>
      </c>
      <c r="AQ11" s="20">
        <f>AQ13*0.001631</f>
        <v/>
      </c>
      <c r="AR11" s="20">
        <f>AR13*0.001631</f>
        <v/>
      </c>
      <c r="AS11" s="20">
        <f>AS13*0.001631</f>
        <v/>
      </c>
      <c r="AT11" s="20">
        <f>AT13*0.001631</f>
        <v/>
      </c>
      <c r="AU11" s="20">
        <f>AU13*0.001631</f>
        <v/>
      </c>
      <c r="AV11" s="20">
        <f>AV13*0.001631</f>
        <v/>
      </c>
      <c r="AW11" s="20">
        <f>AW13*0.001631</f>
        <v/>
      </c>
      <c r="AX11" s="20">
        <f>AX13*0.001631</f>
        <v/>
      </c>
      <c r="AY11" s="20">
        <f>AY13*0.001631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52.54</v>
      </c>
      <c r="G12" s="19" t="n">
        <v>1318.76</v>
      </c>
      <c r="H12" s="19" t="n">
        <v>1389.69</v>
      </c>
      <c r="I12" s="19" t="n">
        <v>1132.24</v>
      </c>
      <c r="J12" s="19" t="n">
        <v>1266.22</v>
      </c>
      <c r="K12" s="19" t="n">
        <v>1450.11</v>
      </c>
      <c r="L12" s="19" t="n">
        <v>1875.71</v>
      </c>
      <c r="M12" s="19" t="n">
        <v>1523.66</v>
      </c>
      <c r="N12" s="19" t="n">
        <v>1113.88</v>
      </c>
      <c r="O12" s="19" t="n">
        <v>1542.05</v>
      </c>
      <c r="P12" s="19" t="n">
        <v>1471.12</v>
      </c>
      <c r="Q12" s="19" t="n">
        <v>1444.85</v>
      </c>
      <c r="R12" s="19" t="n">
        <v>2219.85</v>
      </c>
      <c r="S12" s="19" t="n">
        <v>1852.04</v>
      </c>
      <c r="T12" s="84" t="n">
        <v>1429.15</v>
      </c>
      <c r="U12" s="20">
        <f>U13*0.020322</f>
        <v/>
      </c>
      <c r="V12" s="20">
        <f>V13*0.020322</f>
        <v/>
      </c>
      <c r="W12" s="20">
        <f>W13*0.020322</f>
        <v/>
      </c>
      <c r="X12" s="20">
        <f>X13*0.020322</f>
        <v/>
      </c>
      <c r="Y12" s="20">
        <f>Y13*0.020322</f>
        <v/>
      </c>
      <c r="Z12" s="20">
        <f>Z13*0.020322</f>
        <v/>
      </c>
      <c r="AA12" s="20">
        <f>AA13*0.020322</f>
        <v/>
      </c>
      <c r="AB12" s="20">
        <f>AB13*0.020322</f>
        <v/>
      </c>
      <c r="AC12" s="20">
        <f>AC13*0.020322</f>
        <v/>
      </c>
      <c r="AD12" s="20">
        <f>AD13*0.020322</f>
        <v/>
      </c>
      <c r="AE12" s="20">
        <f>AE13*0.020322</f>
        <v/>
      </c>
      <c r="AF12" s="20">
        <f>AF13*0.020322</f>
        <v/>
      </c>
      <c r="AG12" s="20">
        <f>AG13*0.020322</f>
        <v/>
      </c>
      <c r="AH12" s="20">
        <f>AH13*0.020322</f>
        <v/>
      </c>
      <c r="AI12" s="20">
        <f>AI13*0.020322</f>
        <v/>
      </c>
      <c r="AJ12" s="20">
        <f>AJ13*0.020322</f>
        <v/>
      </c>
      <c r="AK12" s="20">
        <f>AK13*0.020322</f>
        <v/>
      </c>
      <c r="AL12" s="20">
        <f>AL13*0.020322</f>
        <v/>
      </c>
      <c r="AM12" s="20">
        <f>AM13*0.020322</f>
        <v/>
      </c>
      <c r="AN12" s="20">
        <f>AN13*0.020322</f>
        <v/>
      </c>
      <c r="AO12" s="20">
        <f>AO13*0.020322</f>
        <v/>
      </c>
      <c r="AP12" s="20">
        <f>AP13*0.020322</f>
        <v/>
      </c>
      <c r="AQ12" s="20">
        <f>AQ13*0.020322</f>
        <v/>
      </c>
      <c r="AR12" s="20">
        <f>AR13*0.020322</f>
        <v/>
      </c>
      <c r="AS12" s="20">
        <f>AS13*0.020322</f>
        <v/>
      </c>
      <c r="AT12" s="20">
        <f>AT13*0.020322</f>
        <v/>
      </c>
      <c r="AU12" s="20">
        <f>AU13*0.020322</f>
        <v/>
      </c>
      <c r="AV12" s="20">
        <f>AV13*0.020322</f>
        <v/>
      </c>
      <c r="AW12" s="20">
        <f>AW13*0.020322</f>
        <v/>
      </c>
      <c r="AX12" s="20">
        <f>AX13*0.020322</f>
        <v/>
      </c>
      <c r="AY12" s="20">
        <f>AY13*0.020322</f>
        <v/>
      </c>
    </row>
    <row r="13">
      <c r="B13" s="32" t="inlineStr">
        <is>
          <t>Total Sessions</t>
        </is>
      </c>
      <c r="C13" s="34" t="n"/>
      <c r="D13" s="35" t="n">
        <v>271</v>
      </c>
      <c r="E13" s="35" t="n">
        <v>17731.6</v>
      </c>
      <c r="F13" s="35" t="n">
        <v>49540.33</v>
      </c>
      <c r="G13" s="35" t="n">
        <v>55019.52</v>
      </c>
      <c r="H13" s="35" t="n">
        <v>61564.63</v>
      </c>
      <c r="I13" s="35" t="n">
        <v>65883.66</v>
      </c>
      <c r="J13" s="35" t="n">
        <v>64594.16</v>
      </c>
      <c r="K13" s="35" t="n">
        <v>64172.79</v>
      </c>
      <c r="L13" s="35" t="n">
        <v>64286.71999999999</v>
      </c>
      <c r="M13" s="35" t="n">
        <v>70605.99000000001</v>
      </c>
      <c r="N13" s="35" t="n">
        <v>64014.11</v>
      </c>
      <c r="O13" s="35" t="n">
        <v>60160.47000000001</v>
      </c>
      <c r="P13" s="35" t="n">
        <v>95996.14999999999</v>
      </c>
      <c r="Q13" s="35" t="n">
        <v>82402.09</v>
      </c>
      <c r="R13" s="35" t="n">
        <v>86043.48</v>
      </c>
      <c r="S13" s="35" t="n">
        <v>79415.00999999999</v>
      </c>
      <c r="T13" s="85" t="n">
        <v>72024.58</v>
      </c>
      <c r="U13" s="17">
        <f>'Sales Forecast'!U13*Assumptions!$C$12+'Sales Forecast'!T13*Assumptions!$D$12+'Sales Forecast'!S13*Assumptions!$E$12+'Sales Forecast'!R13*Assumptions!$F$12+'Sales Forecast'!Q13*Assumptions!$G$12+'Sales Forecast'!P13*Assumptions!$H$12+'Sales Forecast'!U109*Assumptions!$I$12</f>
        <v/>
      </c>
      <c r="V13" s="17">
        <f>'Sales Forecast'!V13*Assumptions!$C$12+'Sales Forecast'!U13*Assumptions!$D$12+'Sales Forecast'!T13*Assumptions!$E$12+'Sales Forecast'!S13*Assumptions!$F$12+'Sales Forecast'!R13*Assumptions!$G$12+'Sales Forecast'!Q13*Assumptions!$H$12+'Sales Forecast'!P13*Assumptions!$I$12</f>
        <v/>
      </c>
      <c r="W13" s="17">
        <f>'Sales Forecast'!W13*Assumptions!$C$12+'Sales Forecast'!V13*Assumptions!$D$12+'Sales Forecast'!U13*Assumptions!$E$12+'Sales Forecast'!T13*Assumptions!$F$12+'Sales Forecast'!S13*Assumptions!$G$12+'Sales Forecast'!R13*Assumptions!$H$12+'Sales Forecast'!Q13*Assumptions!$I$12</f>
        <v/>
      </c>
      <c r="X13" s="17">
        <f>'Sales Forecast'!X13*Assumptions!$C$12+'Sales Forecast'!W13*Assumptions!$D$12+'Sales Forecast'!V13*Assumptions!$E$12+'Sales Forecast'!U13*Assumptions!$F$12+'Sales Forecast'!T13*Assumptions!$G$12+'Sales Forecast'!S13*Assumptions!$H$12+'Sales Forecast'!R13*Assumptions!$I$12</f>
        <v/>
      </c>
      <c r="Y13" s="17">
        <f>'Sales Forecast'!Y13*Assumptions!$C$12+'Sales Forecast'!X13*Assumptions!$D$12+'Sales Forecast'!W13*Assumptions!$E$12+'Sales Forecast'!V13*Assumptions!$F$12+'Sales Forecast'!U13*Assumptions!$G$12+'Sales Forecast'!T13*Assumptions!$H$12+'Sales Forecast'!S13*Assumptions!$I$12</f>
        <v/>
      </c>
      <c r="Z13" s="17">
        <f>'Sales Forecast'!Z13*Assumptions!$C$12+'Sales Forecast'!Y13*Assumptions!$D$12+'Sales Forecast'!X13*Assumptions!$E$12+'Sales Forecast'!W13*Assumptions!$F$12+'Sales Forecast'!V13*Assumptions!$G$12+'Sales Forecast'!U13*Assumptions!$H$12+'Sales Forecast'!T13*Assumptions!$I$12</f>
        <v/>
      </c>
      <c r="AA13" s="17">
        <f>'Sales Forecast'!AA13*Assumptions!$C$12+'Sales Forecast'!Z13*Assumptions!$D$12+'Sales Forecast'!Y13*Assumptions!$E$12+'Sales Forecast'!X13*Assumptions!$F$12+'Sales Forecast'!W13*Assumptions!$G$12+'Sales Forecast'!V13*Assumptions!$H$12+'Sales Forecast'!U13*Assumptions!$I$12</f>
        <v/>
      </c>
      <c r="AB13" s="17">
        <f>'Sales Forecast'!AB13*Assumptions!$C$12+'Sales Forecast'!AA13*Assumptions!$D$12+'Sales Forecast'!Z13*Assumptions!$E$12+'Sales Forecast'!Y13*Assumptions!$F$12+'Sales Forecast'!X13*Assumptions!$G$12+'Sales Forecast'!W13*Assumptions!$H$12+'Sales Forecast'!V13*Assumptions!$I$12</f>
        <v/>
      </c>
      <c r="AC13" s="17">
        <f>'Sales Forecast'!AC13*Assumptions!$C$12+'Sales Forecast'!AB13*Assumptions!$D$12+'Sales Forecast'!AA13*Assumptions!$E$12+'Sales Forecast'!Z13*Assumptions!$F$12+'Sales Forecast'!Y13*Assumptions!$G$12+'Sales Forecast'!X13*Assumptions!$H$12+'Sales Forecast'!W13*Assumptions!$I$12</f>
        <v/>
      </c>
      <c r="AD13" s="17">
        <f>'Sales Forecast'!AD13*Assumptions!$C$12+'Sales Forecast'!AC13*Assumptions!$D$12+'Sales Forecast'!AB13*Assumptions!$E$12+'Sales Forecast'!AA13*Assumptions!$F$12+'Sales Forecast'!Z13*Assumptions!$G$12+'Sales Forecast'!Y13*Assumptions!$H$12+'Sales Forecast'!X13*Assumptions!$I$12</f>
        <v/>
      </c>
      <c r="AE13" s="17">
        <f>'Sales Forecast'!AE13*Assumptions!$C$12+'Sales Forecast'!AD13*Assumptions!$D$12+'Sales Forecast'!AC13*Assumptions!$E$12+'Sales Forecast'!AB13*Assumptions!$F$12+'Sales Forecast'!AA13*Assumptions!$G$12+'Sales Forecast'!Z13*Assumptions!$H$12+'Sales Forecast'!Y13*Assumptions!$I$12</f>
        <v/>
      </c>
      <c r="AF13" s="17">
        <f>'Sales Forecast'!AF13*Assumptions!$C$12+'Sales Forecast'!AE13*Assumptions!$D$12+'Sales Forecast'!AD13*Assumptions!$E$12+'Sales Forecast'!AC13*Assumptions!$F$12+'Sales Forecast'!AB13*Assumptions!$G$12+'Sales Forecast'!AA13*Assumptions!$H$12+'Sales Forecast'!Z13*Assumptions!$I$12</f>
        <v/>
      </c>
      <c r="AG13" s="17">
        <f>'Sales Forecast'!AG13*Assumptions!$C$12+'Sales Forecast'!AF13*Assumptions!$D$12+'Sales Forecast'!AE13*Assumptions!$E$12+'Sales Forecast'!AD13*Assumptions!$F$12+'Sales Forecast'!AC13*Assumptions!$G$12+'Sales Forecast'!AB13*Assumptions!$H$12+'Sales Forecast'!AA13*Assumptions!$I$12</f>
        <v/>
      </c>
      <c r="AH13" s="17">
        <f>'Sales Forecast'!AH13*Assumptions!$C$12+'Sales Forecast'!AG13*Assumptions!$D$12+'Sales Forecast'!AF13*Assumptions!$E$12+'Sales Forecast'!AE13*Assumptions!$F$12+'Sales Forecast'!AD13*Assumptions!$G$12+'Sales Forecast'!AC13*Assumptions!$H$12+'Sales Forecast'!AB13*Assumptions!$I$12</f>
        <v/>
      </c>
      <c r="AI13" s="17">
        <f>'Sales Forecast'!AI13*Assumptions!$C$12+'Sales Forecast'!AH13*Assumptions!$D$12+'Sales Forecast'!AG13*Assumptions!$E$12+'Sales Forecast'!AF13*Assumptions!$F$12+'Sales Forecast'!AE13*Assumptions!$G$12+'Sales Forecast'!AD13*Assumptions!$H$12+'Sales Forecast'!AC13*Assumptions!$I$12</f>
        <v/>
      </c>
      <c r="AJ13" s="17">
        <f>'Sales Forecast'!AJ13*Assumptions!$C$12+'Sales Forecast'!AI13*Assumptions!$D$12+'Sales Forecast'!AH13*Assumptions!$E$12+'Sales Forecast'!AG13*Assumptions!$F$12+'Sales Forecast'!AF13*Assumptions!$G$12+'Sales Forecast'!AE13*Assumptions!$H$12+'Sales Forecast'!AD13*Assumptions!$I$12</f>
        <v/>
      </c>
      <c r="AK13" s="17">
        <f>'Sales Forecast'!AK13*Assumptions!$C$12+'Sales Forecast'!AJ13*Assumptions!$D$12+'Sales Forecast'!AI13*Assumptions!$E$12+'Sales Forecast'!AH13*Assumptions!$F$12+'Sales Forecast'!AG13*Assumptions!$G$12+'Sales Forecast'!AF13*Assumptions!$H$12+'Sales Forecast'!AE13*Assumptions!$I$12</f>
        <v/>
      </c>
      <c r="AL13" s="17">
        <f>'Sales Forecast'!AL13*Assumptions!$C$12+'Sales Forecast'!AK13*Assumptions!$D$12+'Sales Forecast'!AJ13*Assumptions!$E$12+'Sales Forecast'!AI13*Assumptions!$F$12+'Sales Forecast'!AH13*Assumptions!$G$12+'Sales Forecast'!AG13*Assumptions!$H$12+'Sales Forecast'!AF13*Assumptions!$I$12</f>
        <v/>
      </c>
      <c r="AM13" s="17">
        <f>'Sales Forecast'!AM13*Assumptions!$C$12+'Sales Forecast'!AL13*Assumptions!$D$12+'Sales Forecast'!AK13*Assumptions!$E$12+'Sales Forecast'!AJ13*Assumptions!$F$12+'Sales Forecast'!AI13*Assumptions!$G$12+'Sales Forecast'!AH13*Assumptions!$H$12+'Sales Forecast'!AG13*Assumptions!$I$12</f>
        <v/>
      </c>
      <c r="AN13" s="17">
        <f>'Sales Forecast'!AN13*Assumptions!$C$12+'Sales Forecast'!AM13*Assumptions!$D$12+'Sales Forecast'!AL13*Assumptions!$E$12+'Sales Forecast'!AK13*Assumptions!$F$12+'Sales Forecast'!AJ13*Assumptions!$G$12+'Sales Forecast'!AI13*Assumptions!$H$12+'Sales Forecast'!AH13*Assumptions!$I$12</f>
        <v/>
      </c>
      <c r="AO13" s="17">
        <f>'Sales Forecast'!AO13*Assumptions!$C$12+'Sales Forecast'!AN13*Assumptions!$D$12+'Sales Forecast'!AM13*Assumptions!$E$12+'Sales Forecast'!AL13*Assumptions!$F$12+'Sales Forecast'!AK13*Assumptions!$G$12+'Sales Forecast'!AJ13*Assumptions!$H$12+'Sales Forecast'!AI13*Assumptions!$I$12</f>
        <v/>
      </c>
      <c r="AP13" s="17">
        <f>'Sales Forecast'!AP13*Assumptions!$C$12+'Sales Forecast'!AO13*Assumptions!$D$12+'Sales Forecast'!AN13*Assumptions!$E$12+'Sales Forecast'!AM13*Assumptions!$F$12+'Sales Forecast'!AL13*Assumptions!$G$12+'Sales Forecast'!AK13*Assumptions!$H$12+'Sales Forecast'!AJ13*Assumptions!$I$12</f>
        <v/>
      </c>
      <c r="AQ13" s="17">
        <f>'Sales Forecast'!AQ13*Assumptions!$C$12+'Sales Forecast'!AP13*Assumptions!$D$12+'Sales Forecast'!AO13*Assumptions!$E$12+'Sales Forecast'!AN13*Assumptions!$F$12+'Sales Forecast'!AM13*Assumptions!$G$12+'Sales Forecast'!AL13*Assumptions!$H$12+'Sales Forecast'!AK13*Assumptions!$I$12</f>
        <v/>
      </c>
      <c r="AR13" s="17">
        <f>'Sales Forecast'!AR13*Assumptions!$C$12+'Sales Forecast'!AQ13*Assumptions!$D$12+'Sales Forecast'!AP13*Assumptions!$E$12+'Sales Forecast'!AO13*Assumptions!$F$12+'Sales Forecast'!AN13*Assumptions!$G$12+'Sales Forecast'!AM13*Assumptions!$H$12+'Sales Forecast'!AL13*Assumptions!$I$12</f>
        <v/>
      </c>
      <c r="AS13" s="17">
        <f>'Sales Forecast'!AS13*Assumptions!$C$12+'Sales Forecast'!AR13*Assumptions!$D$12+'Sales Forecast'!AQ13*Assumptions!$E$12+'Sales Forecast'!AP13*Assumptions!$F$12+'Sales Forecast'!AO13*Assumptions!$G$12+'Sales Forecast'!AN13*Assumptions!$H$12+'Sales Forecast'!AM13*Assumptions!$I$12</f>
        <v/>
      </c>
      <c r="AT13" s="17">
        <f>'Sales Forecast'!AT13*Assumptions!$C$12+'Sales Forecast'!AS13*Assumptions!$D$12+'Sales Forecast'!AR13*Assumptions!$E$12+'Sales Forecast'!AQ13*Assumptions!$F$12+'Sales Forecast'!AP13*Assumptions!$G$12+'Sales Forecast'!AO13*Assumptions!$H$12+'Sales Forecast'!AN13*Assumptions!$I$12</f>
        <v/>
      </c>
      <c r="AU13" s="17">
        <f>'Sales Forecast'!AU13*Assumptions!$C$12+'Sales Forecast'!AT13*Assumptions!$D$12+'Sales Forecast'!AS13*Assumptions!$E$12+'Sales Forecast'!AR13*Assumptions!$F$12+'Sales Forecast'!AQ13*Assumptions!$G$12+'Sales Forecast'!AP13*Assumptions!$H$12+'Sales Forecast'!AO13*Assumptions!$I$12</f>
        <v/>
      </c>
      <c r="AV13" s="17">
        <f>'Sales Forecast'!AV13*Assumptions!$C$12+'Sales Forecast'!AU13*Assumptions!$D$12+'Sales Forecast'!AT13*Assumptions!$E$12+'Sales Forecast'!AS13*Assumptions!$F$12+'Sales Forecast'!AR13*Assumptions!$G$12+'Sales Forecast'!AQ13*Assumptions!$H$12+'Sales Forecast'!AP13*Assumptions!$I$12</f>
        <v/>
      </c>
      <c r="AW13" s="17">
        <f>'Sales Forecast'!AW13*Assumptions!$C$12+'Sales Forecast'!AV13*Assumptions!$D$12+'Sales Forecast'!AU13*Assumptions!$E$12+'Sales Forecast'!AT13*Assumptions!$F$12+'Sales Forecast'!AS13*Assumptions!$G$12+'Sales Forecast'!AR13*Assumptions!$H$12+'Sales Forecast'!AQ13*Assumptions!$I$12</f>
        <v/>
      </c>
      <c r="AX13" s="17">
        <f>'Sales Forecast'!AX13*Assumptions!$C$12+'Sales Forecast'!AW13*Assumptions!$D$12+'Sales Forecast'!AV13*Assumptions!$E$12+'Sales Forecast'!AU13*Assumptions!$F$12+'Sales Forecast'!AT13*Assumptions!$G$12+'Sales Forecast'!AS13*Assumptions!$H$12+'Sales Forecast'!AR13*Assumptions!$I$12</f>
        <v/>
      </c>
      <c r="AY13" s="17">
        <f>'Sales Forecast'!AY13*Assumptions!$C$12+'Sales Forecast'!AX13*Assumptions!$D$12+'Sales Forecast'!AW13*Assumptions!$E$12+'Sales Forecast'!AV13*Assumptions!$F$12+'Sales Forecast'!AU13*Assumptions!$G$12+'Sales Forecast'!AT13*Assumptions!$H$12+'Sales Forecast'!AS13*Assumptions!$I$12</f>
        <v/>
      </c>
    </row>
    <row r="14">
      <c r="B14" s="33" t="inlineStr">
        <is>
          <t xml:space="preserve">  403001 Machine Breakage</t>
        </is>
      </c>
      <c r="D14" s="19" t="n">
        <v>441</v>
      </c>
      <c r="E14" s="19" t="n">
        <v>1214.33</v>
      </c>
      <c r="F14" s="19" t="n">
        <v>4505.3</v>
      </c>
      <c r="G14" s="19" t="n">
        <v>7182.11</v>
      </c>
      <c r="H14" s="19" t="n">
        <v>15494.36</v>
      </c>
      <c r="I14" s="19" t="n">
        <v>10148.57</v>
      </c>
      <c r="J14" s="19" t="n">
        <v>9132.299999999999</v>
      </c>
      <c r="K14" s="19" t="n">
        <v>11937.13</v>
      </c>
      <c r="L14" s="19" t="n">
        <v>18860.57</v>
      </c>
      <c r="M14" s="19" t="n">
        <v>10262.21</v>
      </c>
      <c r="N14" s="19" t="n">
        <v>14434.12</v>
      </c>
      <c r="O14" s="19" t="n">
        <v>20663.05</v>
      </c>
      <c r="P14" s="19" t="n">
        <v>8791.27</v>
      </c>
      <c r="Q14" s="19" t="n">
        <v>11486.72</v>
      </c>
      <c r="R14" s="19" t="n">
        <v>9206.629999999999</v>
      </c>
      <c r="S14" s="19" t="n">
        <v>9868.809999999999</v>
      </c>
      <c r="T14" s="84" t="n">
        <v>11274.13</v>
      </c>
      <c r="U14" s="20">
        <f>U17*0.959116</f>
        <v/>
      </c>
      <c r="V14" s="20">
        <f>V17*0.959116</f>
        <v/>
      </c>
      <c r="W14" s="20">
        <f>W17*0.959116</f>
        <v/>
      </c>
      <c r="X14" s="20">
        <f>X17*0.959116</f>
        <v/>
      </c>
      <c r="Y14" s="20">
        <f>Y17*0.959116</f>
        <v/>
      </c>
      <c r="Z14" s="20">
        <f>Z17*0.959116</f>
        <v/>
      </c>
      <c r="AA14" s="20">
        <f>AA17*0.959116</f>
        <v/>
      </c>
      <c r="AB14" s="20">
        <f>AB17*0.959116</f>
        <v/>
      </c>
      <c r="AC14" s="20">
        <f>AC17*0.959116</f>
        <v/>
      </c>
      <c r="AD14" s="20">
        <f>AD17*0.959116</f>
        <v/>
      </c>
      <c r="AE14" s="20">
        <f>AE17*0.959116</f>
        <v/>
      </c>
      <c r="AF14" s="20">
        <f>AF17*0.959116</f>
        <v/>
      </c>
      <c r="AG14" s="20">
        <f>AG17*0.959116</f>
        <v/>
      </c>
      <c r="AH14" s="20">
        <f>AH17*0.959116</f>
        <v/>
      </c>
      <c r="AI14" s="20">
        <f>AI17*0.959116</f>
        <v/>
      </c>
      <c r="AJ14" s="20">
        <f>AJ17*0.959116</f>
        <v/>
      </c>
      <c r="AK14" s="20">
        <f>AK17*0.959116</f>
        <v/>
      </c>
      <c r="AL14" s="20">
        <f>AL17*0.959116</f>
        <v/>
      </c>
      <c r="AM14" s="20">
        <f>AM17*0.959116</f>
        <v/>
      </c>
      <c r="AN14" s="20">
        <f>AN17*0.959116</f>
        <v/>
      </c>
      <c r="AO14" s="20">
        <f>AO17*0.959116</f>
        <v/>
      </c>
      <c r="AP14" s="20">
        <f>AP17*0.959116</f>
        <v/>
      </c>
      <c r="AQ14" s="20">
        <f>AQ17*0.959116</f>
        <v/>
      </c>
      <c r="AR14" s="20">
        <f>AR17*0.959116</f>
        <v/>
      </c>
      <c r="AS14" s="20">
        <f>AS17*0.959116</f>
        <v/>
      </c>
      <c r="AT14" s="20">
        <f>AT17*0.959116</f>
        <v/>
      </c>
      <c r="AU14" s="20">
        <f>AU17*0.959116</f>
        <v/>
      </c>
      <c r="AV14" s="20">
        <f>AV17*0.959116</f>
        <v/>
      </c>
      <c r="AW14" s="20">
        <f>AW17*0.959116</f>
        <v/>
      </c>
      <c r="AX14" s="20">
        <f>AX17*0.959116</f>
        <v/>
      </c>
      <c r="AY14" s="20">
        <f>AY17*0.959116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525</v>
      </c>
      <c r="F15" s="19" t="n">
        <v>1647.33</v>
      </c>
      <c r="G15" s="19" t="n">
        <v>1265</v>
      </c>
      <c r="H15" s="19" t="n">
        <v>1528.33</v>
      </c>
      <c r="I15" s="19" t="n">
        <v>665</v>
      </c>
      <c r="J15" s="19" t="n">
        <v>564</v>
      </c>
      <c r="K15" s="19" t="n">
        <v>1175</v>
      </c>
      <c r="L15" s="19" t="n">
        <v>1312.5</v>
      </c>
      <c r="M15" s="19" t="n">
        <v>810</v>
      </c>
      <c r="N15" s="19" t="n">
        <v>96.67</v>
      </c>
      <c r="O15" s="19" t="n">
        <v>2882</v>
      </c>
      <c r="P15" s="19" t="n">
        <v>365</v>
      </c>
      <c r="Q15" s="19" t="n">
        <v>450</v>
      </c>
      <c r="R15" s="19" t="n">
        <v>412.5</v>
      </c>
      <c r="S15" s="19" t="n">
        <v>450</v>
      </c>
      <c r="T15" s="84" t="n">
        <v>2147</v>
      </c>
      <c r="U15" s="20">
        <f>U17*0.040884</f>
        <v/>
      </c>
      <c r="V15" s="20">
        <f>V17*0.040884</f>
        <v/>
      </c>
      <c r="W15" s="20">
        <f>W17*0.040884</f>
        <v/>
      </c>
      <c r="X15" s="20">
        <f>X17*0.040884</f>
        <v/>
      </c>
      <c r="Y15" s="20">
        <f>Y17*0.040884</f>
        <v/>
      </c>
      <c r="Z15" s="20">
        <f>Z17*0.040884</f>
        <v/>
      </c>
      <c r="AA15" s="20">
        <f>AA17*0.040884</f>
        <v/>
      </c>
      <c r="AB15" s="20">
        <f>AB17*0.040884</f>
        <v/>
      </c>
      <c r="AC15" s="20">
        <f>AC17*0.040884</f>
        <v/>
      </c>
      <c r="AD15" s="20">
        <f>AD17*0.040884</f>
        <v/>
      </c>
      <c r="AE15" s="20">
        <f>AE17*0.040884</f>
        <v/>
      </c>
      <c r="AF15" s="20">
        <f>AF17*0.040884</f>
        <v/>
      </c>
      <c r="AG15" s="20">
        <f>AG17*0.040884</f>
        <v/>
      </c>
      <c r="AH15" s="20">
        <f>AH17*0.040884</f>
        <v/>
      </c>
      <c r="AI15" s="20">
        <f>AI17*0.040884</f>
        <v/>
      </c>
      <c r="AJ15" s="20">
        <f>AJ17*0.040884</f>
        <v/>
      </c>
      <c r="AK15" s="20">
        <f>AK17*0.040884</f>
        <v/>
      </c>
      <c r="AL15" s="20">
        <f>AL17*0.040884</f>
        <v/>
      </c>
      <c r="AM15" s="20">
        <f>AM17*0.040884</f>
        <v/>
      </c>
      <c r="AN15" s="20">
        <f>AN17*0.040884</f>
        <v/>
      </c>
      <c r="AO15" s="20">
        <f>AO17*0.040884</f>
        <v/>
      </c>
      <c r="AP15" s="20">
        <f>AP17*0.040884</f>
        <v/>
      </c>
      <c r="AQ15" s="20">
        <f>AQ17*0.040884</f>
        <v/>
      </c>
      <c r="AR15" s="20">
        <f>AR17*0.040884</f>
        <v/>
      </c>
      <c r="AS15" s="20">
        <f>AS17*0.040884</f>
        <v/>
      </c>
      <c r="AT15" s="20">
        <f>AT17*0.040884</f>
        <v/>
      </c>
      <c r="AU15" s="20">
        <f>AU17*0.040884</f>
        <v/>
      </c>
      <c r="AV15" s="20">
        <f>AV17*0.040884</f>
        <v/>
      </c>
      <c r="AW15" s="20">
        <f>AW17*0.040884</f>
        <v/>
      </c>
      <c r="AX15" s="20">
        <f>AX17*0.040884</f>
        <v/>
      </c>
      <c r="AY15" s="20">
        <f>AY17*0.040884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441</v>
      </c>
      <c r="E17" s="35" t="n">
        <v>1739.33</v>
      </c>
      <c r="F17" s="35" t="n">
        <v>6152.63</v>
      </c>
      <c r="G17" s="35" t="n">
        <v>8447.110000000001</v>
      </c>
      <c r="H17" s="35" t="n">
        <v>17022.69</v>
      </c>
      <c r="I17" s="35" t="n">
        <v>10813.57</v>
      </c>
      <c r="J17" s="35" t="n">
        <v>9696.299999999999</v>
      </c>
      <c r="K17" s="35" t="n">
        <v>13112.13</v>
      </c>
      <c r="L17" s="35" t="n">
        <v>20173.07</v>
      </c>
      <c r="M17" s="35" t="n">
        <v>11572.21</v>
      </c>
      <c r="N17" s="35" t="n">
        <v>14530.79</v>
      </c>
      <c r="O17" s="35" t="n">
        <v>24415.88</v>
      </c>
      <c r="P17" s="35" t="n">
        <v>9156.27</v>
      </c>
      <c r="Q17" s="35" t="n">
        <v>11936.72</v>
      </c>
      <c r="R17" s="35" t="n">
        <v>9619.129999999999</v>
      </c>
      <c r="S17" s="35" t="n">
        <v>10318.81</v>
      </c>
      <c r="T17" s="85" t="n">
        <v>13421.13</v>
      </c>
      <c r="U17" s="17">
        <f>'Sales Forecast'!U13*Assumptions!$C$13+'Sales Forecast'!T13*Assumptions!$D$13+'Sales Forecast'!S13*Assumptions!$E$13+'Sales Forecast'!R13*Assumptions!$F$13+'Sales Forecast'!Q13*Assumptions!$G$13+'Sales Forecast'!P13*Assumptions!$H$13+'Sales Forecast'!U109*Assumptions!$I$13</f>
        <v/>
      </c>
      <c r="V17" s="17">
        <f>'Sales Forecast'!V13*Assumptions!$C$13+'Sales Forecast'!U13*Assumptions!$D$13+'Sales Forecast'!T13*Assumptions!$E$13+'Sales Forecast'!S13*Assumptions!$F$13+'Sales Forecast'!R13*Assumptions!$G$13+'Sales Forecast'!Q13*Assumptions!$H$13+'Sales Forecast'!P13*Assumptions!$I$13</f>
        <v/>
      </c>
      <c r="W17" s="17">
        <f>'Sales Forecast'!W13*Assumptions!$C$13+'Sales Forecast'!V13*Assumptions!$D$13+'Sales Forecast'!U13*Assumptions!$E$13+'Sales Forecast'!T13*Assumptions!$F$13+'Sales Forecast'!S13*Assumptions!$G$13+'Sales Forecast'!R13*Assumptions!$H$13+'Sales Forecast'!Q13*Assumptions!$I$13</f>
        <v/>
      </c>
      <c r="X17" s="17">
        <f>'Sales Forecast'!X13*Assumptions!$C$13+'Sales Forecast'!W13*Assumptions!$D$13+'Sales Forecast'!V13*Assumptions!$E$13+'Sales Forecast'!U13*Assumptions!$F$13+'Sales Forecast'!T13*Assumptions!$G$13+'Sales Forecast'!S13*Assumptions!$H$13+'Sales Forecast'!R13*Assumptions!$I$13</f>
        <v/>
      </c>
      <c r="Y17" s="17">
        <f>'Sales Forecast'!Y13*Assumptions!$C$13+'Sales Forecast'!X13*Assumptions!$D$13+'Sales Forecast'!W13*Assumptions!$E$13+'Sales Forecast'!V13*Assumptions!$F$13+'Sales Forecast'!U13*Assumptions!$G$13+'Sales Forecast'!T13*Assumptions!$H$13+'Sales Forecast'!S13*Assumptions!$I$13</f>
        <v/>
      </c>
      <c r="Z17" s="17">
        <f>'Sales Forecast'!Z13*Assumptions!$C$13+'Sales Forecast'!Y13*Assumptions!$D$13+'Sales Forecast'!X13*Assumptions!$E$13+'Sales Forecast'!W13*Assumptions!$F$13+'Sales Forecast'!V13*Assumptions!$G$13+'Sales Forecast'!U13*Assumptions!$H$13+'Sales Forecast'!T13*Assumptions!$I$13</f>
        <v/>
      </c>
      <c r="AA17" s="17">
        <f>'Sales Forecast'!AA13*Assumptions!$C$13+'Sales Forecast'!Z13*Assumptions!$D$13+'Sales Forecast'!Y13*Assumptions!$E$13+'Sales Forecast'!X13*Assumptions!$F$13+'Sales Forecast'!W13*Assumptions!$G$13+'Sales Forecast'!V13*Assumptions!$H$13+'Sales Forecast'!U13*Assumptions!$I$13</f>
        <v/>
      </c>
      <c r="AB17" s="17">
        <f>'Sales Forecast'!AB13*Assumptions!$C$13+'Sales Forecast'!AA13*Assumptions!$D$13+'Sales Forecast'!Z13*Assumptions!$E$13+'Sales Forecast'!Y13*Assumptions!$F$13+'Sales Forecast'!X13*Assumptions!$G$13+'Sales Forecast'!W13*Assumptions!$H$13+'Sales Forecast'!V13*Assumptions!$I$13</f>
        <v/>
      </c>
      <c r="AC17" s="17">
        <f>'Sales Forecast'!AC13*Assumptions!$C$13+'Sales Forecast'!AB13*Assumptions!$D$13+'Sales Forecast'!AA13*Assumptions!$E$13+'Sales Forecast'!Z13*Assumptions!$F$13+'Sales Forecast'!Y13*Assumptions!$G$13+'Sales Forecast'!X13*Assumptions!$H$13+'Sales Forecast'!W13*Assumptions!$I$13</f>
        <v/>
      </c>
      <c r="AD17" s="17">
        <f>'Sales Forecast'!AD13*Assumptions!$C$13+'Sales Forecast'!AC13*Assumptions!$D$13+'Sales Forecast'!AB13*Assumptions!$E$13+'Sales Forecast'!AA13*Assumptions!$F$13+'Sales Forecast'!Z13*Assumptions!$G$13+'Sales Forecast'!Y13*Assumptions!$H$13+'Sales Forecast'!X13*Assumptions!$I$13</f>
        <v/>
      </c>
      <c r="AE17" s="17">
        <f>'Sales Forecast'!AE13*Assumptions!$C$13+'Sales Forecast'!AD13*Assumptions!$D$13+'Sales Forecast'!AC13*Assumptions!$E$13+'Sales Forecast'!AB13*Assumptions!$F$13+'Sales Forecast'!AA13*Assumptions!$G$13+'Sales Forecast'!Z13*Assumptions!$H$13+'Sales Forecast'!Y13*Assumptions!$I$13</f>
        <v/>
      </c>
      <c r="AF17" s="17">
        <f>'Sales Forecast'!AF13*Assumptions!$C$13+'Sales Forecast'!AE13*Assumptions!$D$13+'Sales Forecast'!AD13*Assumptions!$E$13+'Sales Forecast'!AC13*Assumptions!$F$13+'Sales Forecast'!AB13*Assumptions!$G$13+'Sales Forecast'!AA13*Assumptions!$H$13+'Sales Forecast'!Z13*Assumptions!$I$13</f>
        <v/>
      </c>
      <c r="AG17" s="17">
        <f>'Sales Forecast'!AG13*Assumptions!$C$13+'Sales Forecast'!AF13*Assumptions!$D$13+'Sales Forecast'!AE13*Assumptions!$E$13+'Sales Forecast'!AD13*Assumptions!$F$13+'Sales Forecast'!AC13*Assumptions!$G$13+'Sales Forecast'!AB13*Assumptions!$H$13+'Sales Forecast'!AA13*Assumptions!$I$13</f>
        <v/>
      </c>
      <c r="AH17" s="17">
        <f>'Sales Forecast'!AH13*Assumptions!$C$13+'Sales Forecast'!AG13*Assumptions!$D$13+'Sales Forecast'!AF13*Assumptions!$E$13+'Sales Forecast'!AE13*Assumptions!$F$13+'Sales Forecast'!AD13*Assumptions!$G$13+'Sales Forecast'!AC13*Assumptions!$H$13+'Sales Forecast'!AB13*Assumptions!$I$13</f>
        <v/>
      </c>
      <c r="AI17" s="17">
        <f>'Sales Forecast'!AI13*Assumptions!$C$13+'Sales Forecast'!AH13*Assumptions!$D$13+'Sales Forecast'!AG13*Assumptions!$E$13+'Sales Forecast'!AF13*Assumptions!$F$13+'Sales Forecast'!AE13*Assumptions!$G$13+'Sales Forecast'!AD13*Assumptions!$H$13+'Sales Forecast'!AC13*Assumptions!$I$13</f>
        <v/>
      </c>
      <c r="AJ17" s="17">
        <f>'Sales Forecast'!AJ13*Assumptions!$C$13+'Sales Forecast'!AI13*Assumptions!$D$13+'Sales Forecast'!AH13*Assumptions!$E$13+'Sales Forecast'!AG13*Assumptions!$F$13+'Sales Forecast'!AF13*Assumptions!$G$13+'Sales Forecast'!AE13*Assumptions!$H$13+'Sales Forecast'!AD13*Assumptions!$I$13</f>
        <v/>
      </c>
      <c r="AK17" s="17">
        <f>'Sales Forecast'!AK13*Assumptions!$C$13+'Sales Forecast'!AJ13*Assumptions!$D$13+'Sales Forecast'!AI13*Assumptions!$E$13+'Sales Forecast'!AH13*Assumptions!$F$13+'Sales Forecast'!AG13*Assumptions!$G$13+'Sales Forecast'!AF13*Assumptions!$H$13+'Sales Forecast'!AE13*Assumptions!$I$13</f>
        <v/>
      </c>
      <c r="AL17" s="17">
        <f>'Sales Forecast'!AL13*Assumptions!$C$13+'Sales Forecast'!AK13*Assumptions!$D$13+'Sales Forecast'!AJ13*Assumptions!$E$13+'Sales Forecast'!AI13*Assumptions!$F$13+'Sales Forecast'!AH13*Assumptions!$G$13+'Sales Forecast'!AG13*Assumptions!$H$13+'Sales Forecast'!AF13*Assumptions!$I$13</f>
        <v/>
      </c>
      <c r="AM17" s="17">
        <f>'Sales Forecast'!AM13*Assumptions!$C$13+'Sales Forecast'!AL13*Assumptions!$D$13+'Sales Forecast'!AK13*Assumptions!$E$13+'Sales Forecast'!AJ13*Assumptions!$F$13+'Sales Forecast'!AI13*Assumptions!$G$13+'Sales Forecast'!AH13*Assumptions!$H$13+'Sales Forecast'!AG13*Assumptions!$I$13</f>
        <v/>
      </c>
      <c r="AN17" s="17">
        <f>'Sales Forecast'!AN13*Assumptions!$C$13+'Sales Forecast'!AM13*Assumptions!$D$13+'Sales Forecast'!AL13*Assumptions!$E$13+'Sales Forecast'!AK13*Assumptions!$F$13+'Sales Forecast'!AJ13*Assumptions!$G$13+'Sales Forecast'!AI13*Assumptions!$H$13+'Sales Forecast'!AH13*Assumptions!$I$13</f>
        <v/>
      </c>
      <c r="AO17" s="17">
        <f>'Sales Forecast'!AO13*Assumptions!$C$13+'Sales Forecast'!AN13*Assumptions!$D$13+'Sales Forecast'!AM13*Assumptions!$E$13+'Sales Forecast'!AL13*Assumptions!$F$13+'Sales Forecast'!AK13*Assumptions!$G$13+'Sales Forecast'!AJ13*Assumptions!$H$13+'Sales Forecast'!AI13*Assumptions!$I$13</f>
        <v/>
      </c>
      <c r="AP17" s="17">
        <f>'Sales Forecast'!AP13*Assumptions!$C$13+'Sales Forecast'!AO13*Assumptions!$D$13+'Sales Forecast'!AN13*Assumptions!$E$13+'Sales Forecast'!AM13*Assumptions!$F$13+'Sales Forecast'!AL13*Assumptions!$G$13+'Sales Forecast'!AK13*Assumptions!$H$13+'Sales Forecast'!AJ13*Assumptions!$I$13</f>
        <v/>
      </c>
      <c r="AQ17" s="17">
        <f>'Sales Forecast'!AQ13*Assumptions!$C$13+'Sales Forecast'!AP13*Assumptions!$D$13+'Sales Forecast'!AO13*Assumptions!$E$13+'Sales Forecast'!AN13*Assumptions!$F$13+'Sales Forecast'!AM13*Assumptions!$G$13+'Sales Forecast'!AL13*Assumptions!$H$13+'Sales Forecast'!AK13*Assumptions!$I$13</f>
        <v/>
      </c>
      <c r="AR17" s="17">
        <f>'Sales Forecast'!AR13*Assumptions!$C$13+'Sales Forecast'!AQ13*Assumptions!$D$13+'Sales Forecast'!AP13*Assumptions!$E$13+'Sales Forecast'!AO13*Assumptions!$F$13+'Sales Forecast'!AN13*Assumptions!$G$13+'Sales Forecast'!AM13*Assumptions!$H$13+'Sales Forecast'!AL13*Assumptions!$I$13</f>
        <v/>
      </c>
      <c r="AS17" s="17">
        <f>'Sales Forecast'!AS13*Assumptions!$C$13+'Sales Forecast'!AR13*Assumptions!$D$13+'Sales Forecast'!AQ13*Assumptions!$E$13+'Sales Forecast'!AP13*Assumptions!$F$13+'Sales Forecast'!AO13*Assumptions!$G$13+'Sales Forecast'!AN13*Assumptions!$H$13+'Sales Forecast'!AM13*Assumptions!$I$13</f>
        <v/>
      </c>
      <c r="AT17" s="17">
        <f>'Sales Forecast'!AT13*Assumptions!$C$13+'Sales Forecast'!AS13*Assumptions!$D$13+'Sales Forecast'!AR13*Assumptions!$E$13+'Sales Forecast'!AQ13*Assumptions!$F$13+'Sales Forecast'!AP13*Assumptions!$G$13+'Sales Forecast'!AO13*Assumptions!$H$13+'Sales Forecast'!AN13*Assumptions!$I$13</f>
        <v/>
      </c>
      <c r="AU17" s="17">
        <f>'Sales Forecast'!AU13*Assumptions!$C$13+'Sales Forecast'!AT13*Assumptions!$D$13+'Sales Forecast'!AS13*Assumptions!$E$13+'Sales Forecast'!AR13*Assumptions!$F$13+'Sales Forecast'!AQ13*Assumptions!$G$13+'Sales Forecast'!AP13*Assumptions!$H$13+'Sales Forecast'!AO13*Assumptions!$I$13</f>
        <v/>
      </c>
      <c r="AV17" s="17">
        <f>'Sales Forecast'!AV13*Assumptions!$C$13+'Sales Forecast'!AU13*Assumptions!$D$13+'Sales Forecast'!AT13*Assumptions!$E$13+'Sales Forecast'!AS13*Assumptions!$F$13+'Sales Forecast'!AR13*Assumptions!$G$13+'Sales Forecast'!AQ13*Assumptions!$H$13+'Sales Forecast'!AP13*Assumptions!$I$13</f>
        <v/>
      </c>
      <c r="AW17" s="17">
        <f>'Sales Forecast'!AW13*Assumptions!$C$13+'Sales Forecast'!AV13*Assumptions!$D$13+'Sales Forecast'!AU13*Assumptions!$E$13+'Sales Forecast'!AT13*Assumptions!$F$13+'Sales Forecast'!AS13*Assumptions!$G$13+'Sales Forecast'!AR13*Assumptions!$H$13+'Sales Forecast'!AQ13*Assumptions!$I$13</f>
        <v/>
      </c>
      <c r="AX17" s="17">
        <f>'Sales Forecast'!AX13*Assumptions!$C$13+'Sales Forecast'!AW13*Assumptions!$D$13+'Sales Forecast'!AV13*Assumptions!$E$13+'Sales Forecast'!AU13*Assumptions!$F$13+'Sales Forecast'!AT13*Assumptions!$G$13+'Sales Forecast'!AS13*Assumptions!$H$13+'Sales Forecast'!AR13*Assumptions!$I$13</f>
        <v/>
      </c>
      <c r="AY17" s="17">
        <f>'Sales Forecast'!AY13*Assumptions!$C$13+'Sales Forecast'!AX13*Assumptions!$D$13+'Sales Forecast'!AW13*Assumptions!$E$13+'Sales Forecast'!AV13*Assumptions!$F$13+'Sales Forecast'!AU13*Assumptions!$G$13+'Sales Forecast'!AT13*Assumptions!$H$13+'Sales Forecast'!AS13*Assumptions!$I$13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1784</v>
      </c>
      <c r="F18" s="19" t="n">
        <v>2823</v>
      </c>
      <c r="G18" s="19" t="n">
        <v>3282</v>
      </c>
      <c r="H18" s="19" t="n">
        <v>2151</v>
      </c>
      <c r="I18" s="19" t="n">
        <v>6248</v>
      </c>
      <c r="J18" s="19" t="n">
        <v>2458</v>
      </c>
      <c r="K18" s="19" t="n">
        <v>2181</v>
      </c>
      <c r="L18" s="19" t="n">
        <v>2252</v>
      </c>
      <c r="M18" s="19" t="n">
        <v>2571</v>
      </c>
      <c r="N18" s="19" t="n">
        <v>2098</v>
      </c>
      <c r="O18" s="19" t="n">
        <v>2556</v>
      </c>
      <c r="P18" s="19" t="n">
        <v>2925</v>
      </c>
      <c r="Q18" s="19" t="n">
        <v>2038</v>
      </c>
      <c r="R18" s="19" t="n">
        <v>2303</v>
      </c>
      <c r="S18" s="19" t="n">
        <v>1952</v>
      </c>
      <c r="T18" s="84" t="n">
        <v>889</v>
      </c>
      <c r="U18" s="20">
        <f>2304.5</f>
        <v/>
      </c>
      <c r="V18" s="20">
        <f>2304.5</f>
        <v/>
      </c>
      <c r="W18" s="20">
        <f>2304.5</f>
        <v/>
      </c>
      <c r="X18" s="20">
        <f>2304.5</f>
        <v/>
      </c>
      <c r="Y18" s="20">
        <f>2304.5</f>
        <v/>
      </c>
      <c r="Z18" s="20">
        <f>2304.5</f>
        <v/>
      </c>
      <c r="AA18" s="20">
        <f>2304.5</f>
        <v/>
      </c>
      <c r="AB18" s="20">
        <f>2304.5</f>
        <v/>
      </c>
      <c r="AC18" s="20">
        <f>2304.5</f>
        <v/>
      </c>
      <c r="AD18" s="20">
        <f>2304.5</f>
        <v/>
      </c>
      <c r="AE18" s="20">
        <f>2304.5</f>
        <v/>
      </c>
      <c r="AF18" s="20">
        <f>2304.5</f>
        <v/>
      </c>
      <c r="AG18" s="20">
        <f>2304.5</f>
        <v/>
      </c>
      <c r="AH18" s="20">
        <f>2304.5</f>
        <v/>
      </c>
      <c r="AI18" s="20">
        <f>2304.5</f>
        <v/>
      </c>
      <c r="AJ18" s="20">
        <f>2304.5</f>
        <v/>
      </c>
      <c r="AK18" s="20">
        <f>2304.5</f>
        <v/>
      </c>
      <c r="AL18" s="20">
        <f>2304.5</f>
        <v/>
      </c>
      <c r="AM18" s="20">
        <f>2304.5</f>
        <v/>
      </c>
      <c r="AN18" s="20">
        <f>2304.5</f>
        <v/>
      </c>
      <c r="AO18" s="20">
        <f>2304.5</f>
        <v/>
      </c>
      <c r="AP18" s="20">
        <f>2304.5</f>
        <v/>
      </c>
      <c r="AQ18" s="20">
        <f>2304.5</f>
        <v/>
      </c>
      <c r="AR18" s="20">
        <f>2304.5</f>
        <v/>
      </c>
      <c r="AS18" s="20">
        <f>2304.5</f>
        <v/>
      </c>
      <c r="AT18" s="20">
        <f>2304.5</f>
        <v/>
      </c>
      <c r="AU18" s="20">
        <f>2304.5</f>
        <v/>
      </c>
      <c r="AV18" s="20">
        <f>2304.5</f>
        <v/>
      </c>
      <c r="AW18" s="20">
        <f>2304.5</f>
        <v/>
      </c>
      <c r="AX18" s="20">
        <f>2304.5</f>
        <v/>
      </c>
      <c r="AY18" s="20">
        <f>2304.5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-291</v>
      </c>
      <c r="F19" s="19" t="n">
        <v>-924</v>
      </c>
      <c r="G19" s="19" t="n">
        <v>-1852</v>
      </c>
      <c r="H19" s="19" t="n">
        <v>-588</v>
      </c>
      <c r="I19" s="19" t="n">
        <v>-695</v>
      </c>
      <c r="J19" s="19" t="n">
        <v>-1928</v>
      </c>
      <c r="K19" s="19" t="n">
        <v>-1685</v>
      </c>
      <c r="L19" s="19" t="n">
        <v>-199</v>
      </c>
      <c r="M19" s="19" t="n">
        <v>-500</v>
      </c>
      <c r="N19" s="19" t="n">
        <v>-789.01</v>
      </c>
      <c r="O19" s="19" t="n">
        <v>-345</v>
      </c>
      <c r="P19" s="19" t="n">
        <v>446</v>
      </c>
      <c r="Q19" s="19" t="n">
        <v>779</v>
      </c>
      <c r="R19" s="19" t="n">
        <v>439</v>
      </c>
      <c r="S19" s="19" t="n">
        <v>472</v>
      </c>
      <c r="T19" s="84" t="n">
        <v>350.2</v>
      </c>
      <c r="U19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Forecast'!P13*Assumptions!$H$13+2304.5)*Assumptions!$C$17</f>
        <v/>
      </c>
      <c r="V19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Forecast'!P13*Assumptions!$I$13+2304.5)*Assumptions!$C$17</f>
        <v/>
      </c>
      <c r="W19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Forecast'!Q13*Assumptions!$I$13+2304.5)*Assumptions!$C$17</f>
        <v/>
      </c>
      <c r="X19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Forecast'!R13*Assumptions!$I$13+2304.5)*Assumptions!$C$17</f>
        <v/>
      </c>
      <c r="Y19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Forecast'!S13*Assumptions!$I$13+2304.5)*Assumptions!$C$17</f>
        <v/>
      </c>
      <c r="Z19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Forecast'!T13*Assumptions!$I$13+2304.5)*Assumptions!$C$17</f>
        <v/>
      </c>
      <c r="AA19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Forecast'!U13*Assumptions!$I$13+2304.5)*Assumptions!$C$17</f>
        <v/>
      </c>
      <c r="AB19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Forecast'!V13*Assumptions!$I$13+2304.5)*Assumptions!$C$17</f>
        <v/>
      </c>
      <c r="AC19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Forecast'!W13*Assumptions!$I$13+2304.5)*Assumptions!$C$17</f>
        <v/>
      </c>
      <c r="AD19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Forecast'!X13*Assumptions!$I$13+2304.5)*Assumptions!$C$17</f>
        <v/>
      </c>
      <c r="AE19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Forecast'!Y13*Assumptions!$I$13+2304.5)*Assumptions!$C$17</f>
        <v/>
      </c>
      <c r="AF19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Forecast'!Z13*Assumptions!$I$13+2304.5)*Assumptions!$C$17</f>
        <v/>
      </c>
      <c r="AG19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Forecast'!AA13*Assumptions!$I$13+2304.5)*Assumptions!$C$17</f>
        <v/>
      </c>
      <c r="AH19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Forecast'!AB13*Assumptions!$I$13+2304.5)*Assumptions!$C$17</f>
        <v/>
      </c>
      <c r="AI19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Forecast'!AC13*Assumptions!$I$13+2304.5)*Assumptions!$C$17</f>
        <v/>
      </c>
      <c r="AJ19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Forecast'!AD13*Assumptions!$I$13+2304.5)*Assumptions!$C$17</f>
        <v/>
      </c>
      <c r="AK19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Forecast'!AE13*Assumptions!$I$13+2304.5)*Assumptions!$C$17</f>
        <v/>
      </c>
      <c r="AL19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Forecast'!AF13*Assumptions!$I$13+2304.5)*Assumptions!$C$17</f>
        <v/>
      </c>
      <c r="AM19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Forecast'!AG13*Assumptions!$I$13+2304.5)*Assumptions!$C$17</f>
        <v/>
      </c>
      <c r="AN19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Forecast'!AH13*Assumptions!$I$13+2304.5)*Assumptions!$C$17</f>
        <v/>
      </c>
      <c r="AO19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Forecast'!AI13*Assumptions!$I$13+2304.5)*Assumptions!$C$17</f>
        <v/>
      </c>
      <c r="AP19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Forecast'!AJ13*Assumptions!$I$13+2304.5)*Assumptions!$C$17</f>
        <v/>
      </c>
      <c r="AQ19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Forecast'!AK13*Assumptions!$I$13+2304.5)*Assumptions!$C$17</f>
        <v/>
      </c>
      <c r="AR19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Forecast'!AL13*Assumptions!$I$13+2304.5)*Assumptions!$C$17</f>
        <v/>
      </c>
      <c r="AS19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Forecast'!AM13*Assumptions!$I$13+2304.5)*Assumptions!$C$17</f>
        <v/>
      </c>
      <c r="AT19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Forecast'!AN13*Assumptions!$I$13+2304.5)*Assumptions!$C$17</f>
        <v/>
      </c>
      <c r="AU19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Forecast'!AO13*Assumptions!$I$13+2304.5)*Assumptions!$C$17</f>
        <v/>
      </c>
      <c r="AV19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Forecast'!AP13*Assumptions!$I$13+2304.5)*Assumptions!$C$17</f>
        <v/>
      </c>
      <c r="AW19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Forecast'!AQ13*Assumptions!$I$13+2304.5)*Assumptions!$C$17</f>
        <v/>
      </c>
      <c r="AX19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Forecast'!AR13*Assumptions!$I$13+2304.5)*Assumptions!$C$17</f>
        <v/>
      </c>
      <c r="AY19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Forecast'!AS13*Assumptions!$I$13+2304.5)*Assumptions!$C$17</f>
        <v/>
      </c>
    </row>
    <row r="20">
      <c r="B20" s="33" t="inlineStr">
        <is>
          <t xml:space="preserve">  407000 Discounts</t>
        </is>
      </c>
      <c r="D20" s="19" t="n">
        <v>-141.3</v>
      </c>
      <c r="E20" s="19" t="n">
        <v>-5436.3</v>
      </c>
      <c r="F20" s="19" t="n">
        <v>-5239.7</v>
      </c>
      <c r="G20" s="19" t="n">
        <v>-4701.9</v>
      </c>
      <c r="H20" s="19" t="n">
        <v>-7959.6</v>
      </c>
      <c r="I20" s="19" t="n">
        <v>-5482.2</v>
      </c>
      <c r="J20" s="19" t="n">
        <v>-6487.7</v>
      </c>
      <c r="K20" s="19" t="n">
        <v>-7385.6</v>
      </c>
      <c r="L20" s="19" t="n">
        <v>-5246.5</v>
      </c>
      <c r="M20" s="19" t="n">
        <v>-4962.8</v>
      </c>
      <c r="N20" s="19" t="n">
        <v>-2900.6</v>
      </c>
      <c r="O20" s="19" t="n">
        <v>-6276.3</v>
      </c>
      <c r="P20" s="19" t="n">
        <v>4796.18</v>
      </c>
      <c r="Q20" s="19" t="n">
        <v>3223.3</v>
      </c>
      <c r="R20" s="19" t="n">
        <v>5946.2</v>
      </c>
      <c r="S20" s="19" t="n">
        <v>8267.799999999999</v>
      </c>
      <c r="T20" s="84" t="n">
        <v>2745.1</v>
      </c>
      <c r="U20" s="20">
        <f>('Sales Forecast'!U13*Assumptions!$C$12+'Sales Forecast'!T13*Assumptions!$D$12+'Sales Forecast'!S13*Assumptions!$E$12+'Sales Forecast'!R13*Assumptions!$F$12+'Sales Forecast'!Q13*Assumptions!$G$12+'Sales Forecast'!P13*Assumptions!$H$12+'Sales Forecast'!U13*Assumptions!$C$13+'Sales Forecast'!T13*Assumptions!$D$13+'Sales Forecast'!S13*Assumptions!$E$13+'Sales Forecast'!R13*Assumptions!$F$13+'Sales Forecast'!Q13*Assumptions!$G$13+'Sales Forecast'!P13*Assumptions!$H$13+2304.5)*Assumptions!$C$18</f>
        <v/>
      </c>
      <c r="V20" s="20">
        <f>('Sales Forecast'!V13*Assumptions!$C$12+'Sales Forecast'!U13*Assumptions!$D$12+'Sales Forecast'!T13*Assumptions!$E$12+'Sales Forecast'!S13*Assumptions!$F$12+'Sales Forecast'!R13*Assumptions!$G$12+'Sales Forecast'!Q13*Assumptions!$H$12+'Sales Forecast'!P13*Assumptions!$I$12+'Sales Forecast'!V13*Assumptions!$C$13+'Sales Forecast'!U13*Assumptions!$D$13+'Sales Forecast'!T13*Assumptions!$E$13+'Sales Forecast'!S13*Assumptions!$F$13+'Sales Forecast'!R13*Assumptions!$G$13+'Sales Forecast'!Q13*Assumptions!$H$13+'Sales Forecast'!P13*Assumptions!$I$13+2304.5)*Assumptions!$C$18</f>
        <v/>
      </c>
      <c r="W20" s="20">
        <f>('Sales Forecast'!W13*Assumptions!$C$12+'Sales Forecast'!V13*Assumptions!$D$12+'Sales Forecast'!U13*Assumptions!$E$12+'Sales Forecast'!T13*Assumptions!$F$12+'Sales Forecast'!S13*Assumptions!$G$12+'Sales Forecast'!R13*Assumptions!$H$12+'Sales Forecast'!Q13*Assumptions!$I$12+'Sales Forecast'!W13*Assumptions!$C$13+'Sales Forecast'!V13*Assumptions!$D$13+'Sales Forecast'!U13*Assumptions!$E$13+'Sales Forecast'!T13*Assumptions!$F$13+'Sales Forecast'!S13*Assumptions!$G$13+'Sales Forecast'!R13*Assumptions!$H$13+'Sales Forecast'!Q13*Assumptions!$I$13+2304.5)*Assumptions!$C$18</f>
        <v/>
      </c>
      <c r="X20" s="20">
        <f>('Sales Forecast'!X13*Assumptions!$C$12+'Sales Forecast'!W13*Assumptions!$D$12+'Sales Forecast'!V13*Assumptions!$E$12+'Sales Forecast'!U13*Assumptions!$F$12+'Sales Forecast'!T13*Assumptions!$G$12+'Sales Forecast'!S13*Assumptions!$H$12+'Sales Forecast'!R13*Assumptions!$I$12+'Sales Forecast'!X13*Assumptions!$C$13+'Sales Forecast'!W13*Assumptions!$D$13+'Sales Forecast'!V13*Assumptions!$E$13+'Sales Forecast'!U13*Assumptions!$F$13+'Sales Forecast'!T13*Assumptions!$G$13+'Sales Forecast'!S13*Assumptions!$H$13+'Sales Forecast'!R13*Assumptions!$I$13+2304.5)*Assumptions!$C$18</f>
        <v/>
      </c>
      <c r="Y20" s="20">
        <f>('Sales Forecast'!Y13*Assumptions!$C$12+'Sales Forecast'!X13*Assumptions!$D$12+'Sales Forecast'!W13*Assumptions!$E$12+'Sales Forecast'!V13*Assumptions!$F$12+'Sales Forecast'!U13*Assumptions!$G$12+'Sales Forecast'!T13*Assumptions!$H$12+'Sales Forecast'!S13*Assumptions!$I$12+'Sales Forecast'!Y13*Assumptions!$C$13+'Sales Forecast'!X13*Assumptions!$D$13+'Sales Forecast'!W13*Assumptions!$E$13+'Sales Forecast'!V13*Assumptions!$F$13+'Sales Forecast'!U13*Assumptions!$G$13+'Sales Forecast'!T13*Assumptions!$H$13+'Sales Forecast'!S13*Assumptions!$I$13+2304.5)*Assumptions!$C$18</f>
        <v/>
      </c>
      <c r="Z20" s="20">
        <f>('Sales Forecast'!Z13*Assumptions!$C$12+'Sales Forecast'!Y13*Assumptions!$D$12+'Sales Forecast'!X13*Assumptions!$E$12+'Sales Forecast'!W13*Assumptions!$F$12+'Sales Forecast'!V13*Assumptions!$G$12+'Sales Forecast'!U13*Assumptions!$H$12+'Sales Forecast'!T13*Assumptions!$I$12+'Sales Forecast'!Z13*Assumptions!$C$13+'Sales Forecast'!Y13*Assumptions!$D$13+'Sales Forecast'!X13*Assumptions!$E$13+'Sales Forecast'!W13*Assumptions!$F$13+'Sales Forecast'!V13*Assumptions!$G$13+'Sales Forecast'!U13*Assumptions!$H$13+'Sales Forecast'!T13*Assumptions!$I$13+2304.5)*Assumptions!$C$18</f>
        <v/>
      </c>
      <c r="AA20" s="20">
        <f>('Sales Forecast'!AA13*Assumptions!$C$12+'Sales Forecast'!Z13*Assumptions!$D$12+'Sales Forecast'!Y13*Assumptions!$E$12+'Sales Forecast'!X13*Assumptions!$F$12+'Sales Forecast'!W13*Assumptions!$G$12+'Sales Forecast'!V13*Assumptions!$H$12+'Sales Forecast'!U13*Assumptions!$I$12+'Sales Forecast'!AA13*Assumptions!$C$13+'Sales Forecast'!Z13*Assumptions!$D$13+'Sales Forecast'!Y13*Assumptions!$E$13+'Sales Forecast'!X13*Assumptions!$F$13+'Sales Forecast'!W13*Assumptions!$G$13+'Sales Forecast'!V13*Assumptions!$H$13+'Sales Forecast'!U13*Assumptions!$I$13+2304.5)*Assumptions!$C$18</f>
        <v/>
      </c>
      <c r="AB20" s="20">
        <f>('Sales Forecast'!AB13*Assumptions!$C$12+'Sales Forecast'!AA13*Assumptions!$D$12+'Sales Forecast'!Z13*Assumptions!$E$12+'Sales Forecast'!Y13*Assumptions!$F$12+'Sales Forecast'!X13*Assumptions!$G$12+'Sales Forecast'!W13*Assumptions!$H$12+'Sales Forecast'!V13*Assumptions!$I$12+'Sales Forecast'!AB13*Assumptions!$C$13+'Sales Forecast'!AA13*Assumptions!$D$13+'Sales Forecast'!Z13*Assumptions!$E$13+'Sales Forecast'!Y13*Assumptions!$F$13+'Sales Forecast'!X13*Assumptions!$G$13+'Sales Forecast'!W13*Assumptions!$H$13+'Sales Forecast'!V13*Assumptions!$I$13+2304.5)*Assumptions!$C$18</f>
        <v/>
      </c>
      <c r="AC20" s="20">
        <f>('Sales Forecast'!AC13*Assumptions!$C$12+'Sales Forecast'!AB13*Assumptions!$D$12+'Sales Forecast'!AA13*Assumptions!$E$12+'Sales Forecast'!Z13*Assumptions!$F$12+'Sales Forecast'!Y13*Assumptions!$G$12+'Sales Forecast'!X13*Assumptions!$H$12+'Sales Forecast'!W13*Assumptions!$I$12+'Sales Forecast'!AC13*Assumptions!$C$13+'Sales Forecast'!AB13*Assumptions!$D$13+'Sales Forecast'!AA13*Assumptions!$E$13+'Sales Forecast'!Z13*Assumptions!$F$13+'Sales Forecast'!Y13*Assumptions!$G$13+'Sales Forecast'!X13*Assumptions!$H$13+'Sales Forecast'!W13*Assumptions!$I$13+2304.5)*Assumptions!$C$18</f>
        <v/>
      </c>
      <c r="AD20" s="20">
        <f>('Sales Forecast'!AD13*Assumptions!$C$12+'Sales Forecast'!AC13*Assumptions!$D$12+'Sales Forecast'!AB13*Assumptions!$E$12+'Sales Forecast'!AA13*Assumptions!$F$12+'Sales Forecast'!Z13*Assumptions!$G$12+'Sales Forecast'!Y13*Assumptions!$H$12+'Sales Forecast'!X13*Assumptions!$I$12+'Sales Forecast'!AD13*Assumptions!$C$13+'Sales Forecast'!AC13*Assumptions!$D$13+'Sales Forecast'!AB13*Assumptions!$E$13+'Sales Forecast'!AA13*Assumptions!$F$13+'Sales Forecast'!Z13*Assumptions!$G$13+'Sales Forecast'!Y13*Assumptions!$H$13+'Sales Forecast'!X13*Assumptions!$I$13+2304.5)*Assumptions!$C$18</f>
        <v/>
      </c>
      <c r="AE20" s="20">
        <f>('Sales Forecast'!AE13*Assumptions!$C$12+'Sales Forecast'!AD13*Assumptions!$D$12+'Sales Forecast'!AC13*Assumptions!$E$12+'Sales Forecast'!AB13*Assumptions!$F$12+'Sales Forecast'!AA13*Assumptions!$G$12+'Sales Forecast'!Z13*Assumptions!$H$12+'Sales Forecast'!Y13*Assumptions!$I$12+'Sales Forecast'!AE13*Assumptions!$C$13+'Sales Forecast'!AD13*Assumptions!$D$13+'Sales Forecast'!AC13*Assumptions!$E$13+'Sales Forecast'!AB13*Assumptions!$F$13+'Sales Forecast'!AA13*Assumptions!$G$13+'Sales Forecast'!Z13*Assumptions!$H$13+'Sales Forecast'!Y13*Assumptions!$I$13+2304.5)*Assumptions!$C$18</f>
        <v/>
      </c>
      <c r="AF20" s="20">
        <f>('Sales Forecast'!AF13*Assumptions!$C$12+'Sales Forecast'!AE13*Assumptions!$D$12+'Sales Forecast'!AD13*Assumptions!$E$12+'Sales Forecast'!AC13*Assumptions!$F$12+'Sales Forecast'!AB13*Assumptions!$G$12+'Sales Forecast'!AA13*Assumptions!$H$12+'Sales Forecast'!Z13*Assumptions!$I$12+'Sales Forecast'!AF13*Assumptions!$C$13+'Sales Forecast'!AE13*Assumptions!$D$13+'Sales Forecast'!AD13*Assumptions!$E$13+'Sales Forecast'!AC13*Assumptions!$F$13+'Sales Forecast'!AB13*Assumptions!$G$13+'Sales Forecast'!AA13*Assumptions!$H$13+'Sales Forecast'!Z13*Assumptions!$I$13+2304.5)*Assumptions!$C$18</f>
        <v/>
      </c>
      <c r="AG20" s="20">
        <f>('Sales Forecast'!AG13*Assumptions!$C$12+'Sales Forecast'!AF13*Assumptions!$D$12+'Sales Forecast'!AE13*Assumptions!$E$12+'Sales Forecast'!AD13*Assumptions!$F$12+'Sales Forecast'!AC13*Assumptions!$G$12+'Sales Forecast'!AB13*Assumptions!$H$12+'Sales Forecast'!AA13*Assumptions!$I$12+'Sales Forecast'!AG13*Assumptions!$C$13+'Sales Forecast'!AF13*Assumptions!$D$13+'Sales Forecast'!AE13*Assumptions!$E$13+'Sales Forecast'!AD13*Assumptions!$F$13+'Sales Forecast'!AC13*Assumptions!$G$13+'Sales Forecast'!AB13*Assumptions!$H$13+'Sales Forecast'!AA13*Assumptions!$I$13+2304.5)*Assumptions!$C$18</f>
        <v/>
      </c>
      <c r="AH20" s="20">
        <f>('Sales Forecast'!AH13*Assumptions!$C$12+'Sales Forecast'!AG13*Assumptions!$D$12+'Sales Forecast'!AF13*Assumptions!$E$12+'Sales Forecast'!AE13*Assumptions!$F$12+'Sales Forecast'!AD13*Assumptions!$G$12+'Sales Forecast'!AC13*Assumptions!$H$12+'Sales Forecast'!AB13*Assumptions!$I$12+'Sales Forecast'!AH13*Assumptions!$C$13+'Sales Forecast'!AG13*Assumptions!$D$13+'Sales Forecast'!AF13*Assumptions!$E$13+'Sales Forecast'!AE13*Assumptions!$F$13+'Sales Forecast'!AD13*Assumptions!$G$13+'Sales Forecast'!AC13*Assumptions!$H$13+'Sales Forecast'!AB13*Assumptions!$I$13+2304.5)*Assumptions!$C$18</f>
        <v/>
      </c>
      <c r="AI20" s="20">
        <f>('Sales Forecast'!AI13*Assumptions!$C$12+'Sales Forecast'!AH13*Assumptions!$D$12+'Sales Forecast'!AG13*Assumptions!$E$12+'Sales Forecast'!AF13*Assumptions!$F$12+'Sales Forecast'!AE13*Assumptions!$G$12+'Sales Forecast'!AD13*Assumptions!$H$12+'Sales Forecast'!AC13*Assumptions!$I$12+'Sales Forecast'!AI13*Assumptions!$C$13+'Sales Forecast'!AH13*Assumptions!$D$13+'Sales Forecast'!AG13*Assumptions!$E$13+'Sales Forecast'!AF13*Assumptions!$F$13+'Sales Forecast'!AE13*Assumptions!$G$13+'Sales Forecast'!AD13*Assumptions!$H$13+'Sales Forecast'!AC13*Assumptions!$I$13+2304.5)*Assumptions!$C$18</f>
        <v/>
      </c>
      <c r="AJ20" s="20">
        <f>('Sales Forecast'!AJ13*Assumptions!$C$12+'Sales Forecast'!AI13*Assumptions!$D$12+'Sales Forecast'!AH13*Assumptions!$E$12+'Sales Forecast'!AG13*Assumptions!$F$12+'Sales Forecast'!AF13*Assumptions!$G$12+'Sales Forecast'!AE13*Assumptions!$H$12+'Sales Forecast'!AD13*Assumptions!$I$12+'Sales Forecast'!AJ13*Assumptions!$C$13+'Sales Forecast'!AI13*Assumptions!$D$13+'Sales Forecast'!AH13*Assumptions!$E$13+'Sales Forecast'!AG13*Assumptions!$F$13+'Sales Forecast'!AF13*Assumptions!$G$13+'Sales Forecast'!AE13*Assumptions!$H$13+'Sales Forecast'!AD13*Assumptions!$I$13+2304.5)*Assumptions!$C$18</f>
        <v/>
      </c>
      <c r="AK20" s="20">
        <f>('Sales Forecast'!AK13*Assumptions!$C$12+'Sales Forecast'!AJ13*Assumptions!$D$12+'Sales Forecast'!AI13*Assumptions!$E$12+'Sales Forecast'!AH13*Assumptions!$F$12+'Sales Forecast'!AG13*Assumptions!$G$12+'Sales Forecast'!AF13*Assumptions!$H$12+'Sales Forecast'!AE13*Assumptions!$I$12+'Sales Forecast'!AK13*Assumptions!$C$13+'Sales Forecast'!AJ13*Assumptions!$D$13+'Sales Forecast'!AI13*Assumptions!$E$13+'Sales Forecast'!AH13*Assumptions!$F$13+'Sales Forecast'!AG13*Assumptions!$G$13+'Sales Forecast'!AF13*Assumptions!$H$13+'Sales Forecast'!AE13*Assumptions!$I$13+2304.5)*Assumptions!$C$18</f>
        <v/>
      </c>
      <c r="AL20" s="20">
        <f>('Sales Forecast'!AL13*Assumptions!$C$12+'Sales Forecast'!AK13*Assumptions!$D$12+'Sales Forecast'!AJ13*Assumptions!$E$12+'Sales Forecast'!AI13*Assumptions!$F$12+'Sales Forecast'!AH13*Assumptions!$G$12+'Sales Forecast'!AG13*Assumptions!$H$12+'Sales Forecast'!AF13*Assumptions!$I$12+'Sales Forecast'!AL13*Assumptions!$C$13+'Sales Forecast'!AK13*Assumptions!$D$13+'Sales Forecast'!AJ13*Assumptions!$E$13+'Sales Forecast'!AI13*Assumptions!$F$13+'Sales Forecast'!AH13*Assumptions!$G$13+'Sales Forecast'!AG13*Assumptions!$H$13+'Sales Forecast'!AF13*Assumptions!$I$13+2304.5)*Assumptions!$C$18</f>
        <v/>
      </c>
      <c r="AM20" s="20">
        <f>('Sales Forecast'!AM13*Assumptions!$C$12+'Sales Forecast'!AL13*Assumptions!$D$12+'Sales Forecast'!AK13*Assumptions!$E$12+'Sales Forecast'!AJ13*Assumptions!$F$12+'Sales Forecast'!AI13*Assumptions!$G$12+'Sales Forecast'!AH13*Assumptions!$H$12+'Sales Forecast'!AG13*Assumptions!$I$12+'Sales Forecast'!AM13*Assumptions!$C$13+'Sales Forecast'!AL13*Assumptions!$D$13+'Sales Forecast'!AK13*Assumptions!$E$13+'Sales Forecast'!AJ13*Assumptions!$F$13+'Sales Forecast'!AI13*Assumptions!$G$13+'Sales Forecast'!AH13*Assumptions!$H$13+'Sales Forecast'!AG13*Assumptions!$I$13+2304.5)*Assumptions!$C$18</f>
        <v/>
      </c>
      <c r="AN20" s="20">
        <f>('Sales Forecast'!AN13*Assumptions!$C$12+'Sales Forecast'!AM13*Assumptions!$D$12+'Sales Forecast'!AL13*Assumptions!$E$12+'Sales Forecast'!AK13*Assumptions!$F$12+'Sales Forecast'!AJ13*Assumptions!$G$12+'Sales Forecast'!AI13*Assumptions!$H$12+'Sales Forecast'!AH13*Assumptions!$I$12+'Sales Forecast'!AN13*Assumptions!$C$13+'Sales Forecast'!AM13*Assumptions!$D$13+'Sales Forecast'!AL13*Assumptions!$E$13+'Sales Forecast'!AK13*Assumptions!$F$13+'Sales Forecast'!AJ13*Assumptions!$G$13+'Sales Forecast'!AI13*Assumptions!$H$13+'Sales Forecast'!AH13*Assumptions!$I$13+2304.5)*Assumptions!$C$18</f>
        <v/>
      </c>
      <c r="AO20" s="20">
        <f>('Sales Forecast'!AO13*Assumptions!$C$12+'Sales Forecast'!AN13*Assumptions!$D$12+'Sales Forecast'!AM13*Assumptions!$E$12+'Sales Forecast'!AL13*Assumptions!$F$12+'Sales Forecast'!AK13*Assumptions!$G$12+'Sales Forecast'!AJ13*Assumptions!$H$12+'Sales Forecast'!AI13*Assumptions!$I$12+'Sales Forecast'!AO13*Assumptions!$C$13+'Sales Forecast'!AN13*Assumptions!$D$13+'Sales Forecast'!AM13*Assumptions!$E$13+'Sales Forecast'!AL13*Assumptions!$F$13+'Sales Forecast'!AK13*Assumptions!$G$13+'Sales Forecast'!AJ13*Assumptions!$H$13+'Sales Forecast'!AI13*Assumptions!$I$13+2304.5)*Assumptions!$C$18</f>
        <v/>
      </c>
      <c r="AP20" s="20">
        <f>('Sales Forecast'!AP13*Assumptions!$C$12+'Sales Forecast'!AO13*Assumptions!$D$12+'Sales Forecast'!AN13*Assumptions!$E$12+'Sales Forecast'!AM13*Assumptions!$F$12+'Sales Forecast'!AL13*Assumptions!$G$12+'Sales Forecast'!AK13*Assumptions!$H$12+'Sales Forecast'!AJ13*Assumptions!$I$12+'Sales Forecast'!AP13*Assumptions!$C$13+'Sales Forecast'!AO13*Assumptions!$D$13+'Sales Forecast'!AN13*Assumptions!$E$13+'Sales Forecast'!AM13*Assumptions!$F$13+'Sales Forecast'!AL13*Assumptions!$G$13+'Sales Forecast'!AK13*Assumptions!$H$13+'Sales Forecast'!AJ13*Assumptions!$I$13+2304.5)*Assumptions!$C$18</f>
        <v/>
      </c>
      <c r="AQ20" s="20">
        <f>('Sales Forecast'!AQ13*Assumptions!$C$12+'Sales Forecast'!AP13*Assumptions!$D$12+'Sales Forecast'!AO13*Assumptions!$E$12+'Sales Forecast'!AN13*Assumptions!$F$12+'Sales Forecast'!AM13*Assumptions!$G$12+'Sales Forecast'!AL13*Assumptions!$H$12+'Sales Forecast'!AK13*Assumptions!$I$12+'Sales Forecast'!AQ13*Assumptions!$C$13+'Sales Forecast'!AP13*Assumptions!$D$13+'Sales Forecast'!AO13*Assumptions!$E$13+'Sales Forecast'!AN13*Assumptions!$F$13+'Sales Forecast'!AM13*Assumptions!$G$13+'Sales Forecast'!AL13*Assumptions!$H$13+'Sales Forecast'!AK13*Assumptions!$I$13+2304.5)*Assumptions!$C$18</f>
        <v/>
      </c>
      <c r="AR20" s="20">
        <f>('Sales Forecast'!AR13*Assumptions!$C$12+'Sales Forecast'!AQ13*Assumptions!$D$12+'Sales Forecast'!AP13*Assumptions!$E$12+'Sales Forecast'!AO13*Assumptions!$F$12+'Sales Forecast'!AN13*Assumptions!$G$12+'Sales Forecast'!AM13*Assumptions!$H$12+'Sales Forecast'!AL13*Assumptions!$I$12+'Sales Forecast'!AR13*Assumptions!$C$13+'Sales Forecast'!AQ13*Assumptions!$D$13+'Sales Forecast'!AP13*Assumptions!$E$13+'Sales Forecast'!AO13*Assumptions!$F$13+'Sales Forecast'!AN13*Assumptions!$G$13+'Sales Forecast'!AM13*Assumptions!$H$13+'Sales Forecast'!AL13*Assumptions!$I$13+2304.5)*Assumptions!$C$18</f>
        <v/>
      </c>
      <c r="AS20" s="20">
        <f>('Sales Forecast'!AS13*Assumptions!$C$12+'Sales Forecast'!AR13*Assumptions!$D$12+'Sales Forecast'!AQ13*Assumptions!$E$12+'Sales Forecast'!AP13*Assumptions!$F$12+'Sales Forecast'!AO13*Assumptions!$G$12+'Sales Forecast'!AN13*Assumptions!$H$12+'Sales Forecast'!AM13*Assumptions!$I$12+'Sales Forecast'!AS13*Assumptions!$C$13+'Sales Forecast'!AR13*Assumptions!$D$13+'Sales Forecast'!AQ13*Assumptions!$E$13+'Sales Forecast'!AP13*Assumptions!$F$13+'Sales Forecast'!AO13*Assumptions!$G$13+'Sales Forecast'!AN13*Assumptions!$H$13+'Sales Forecast'!AM13*Assumptions!$I$13+2304.5)*Assumptions!$C$18</f>
        <v/>
      </c>
      <c r="AT20" s="20">
        <f>('Sales Forecast'!AT13*Assumptions!$C$12+'Sales Forecast'!AS13*Assumptions!$D$12+'Sales Forecast'!AR13*Assumptions!$E$12+'Sales Forecast'!AQ13*Assumptions!$F$12+'Sales Forecast'!AP13*Assumptions!$G$12+'Sales Forecast'!AO13*Assumptions!$H$12+'Sales Forecast'!AN13*Assumptions!$I$12+'Sales Forecast'!AT13*Assumptions!$C$13+'Sales Forecast'!AS13*Assumptions!$D$13+'Sales Forecast'!AR13*Assumptions!$E$13+'Sales Forecast'!AQ13*Assumptions!$F$13+'Sales Forecast'!AP13*Assumptions!$G$13+'Sales Forecast'!AO13*Assumptions!$H$13+'Sales Forecast'!AN13*Assumptions!$I$13+2304.5)*Assumptions!$C$18</f>
        <v/>
      </c>
      <c r="AU20" s="20">
        <f>('Sales Forecast'!AU13*Assumptions!$C$12+'Sales Forecast'!AT13*Assumptions!$D$12+'Sales Forecast'!AS13*Assumptions!$E$12+'Sales Forecast'!AR13*Assumptions!$F$12+'Sales Forecast'!AQ13*Assumptions!$G$12+'Sales Forecast'!AP13*Assumptions!$H$12+'Sales Forecast'!AO13*Assumptions!$I$12+'Sales Forecast'!AU13*Assumptions!$C$13+'Sales Forecast'!AT13*Assumptions!$D$13+'Sales Forecast'!AS13*Assumptions!$E$13+'Sales Forecast'!AR13*Assumptions!$F$13+'Sales Forecast'!AQ13*Assumptions!$G$13+'Sales Forecast'!AP13*Assumptions!$H$13+'Sales Forecast'!AO13*Assumptions!$I$13+2304.5)*Assumptions!$C$18</f>
        <v/>
      </c>
      <c r="AV20" s="20">
        <f>('Sales Forecast'!AV13*Assumptions!$C$12+'Sales Forecast'!AU13*Assumptions!$D$12+'Sales Forecast'!AT13*Assumptions!$E$12+'Sales Forecast'!AS13*Assumptions!$F$12+'Sales Forecast'!AR13*Assumptions!$G$12+'Sales Forecast'!AQ13*Assumptions!$H$12+'Sales Forecast'!AP13*Assumptions!$I$12+'Sales Forecast'!AV13*Assumptions!$C$13+'Sales Forecast'!AU13*Assumptions!$D$13+'Sales Forecast'!AT13*Assumptions!$E$13+'Sales Forecast'!AS13*Assumptions!$F$13+'Sales Forecast'!AR13*Assumptions!$G$13+'Sales Forecast'!AQ13*Assumptions!$H$13+'Sales Forecast'!AP13*Assumptions!$I$13+2304.5)*Assumptions!$C$18</f>
        <v/>
      </c>
      <c r="AW20" s="20">
        <f>('Sales Forecast'!AW13*Assumptions!$C$12+'Sales Forecast'!AV13*Assumptions!$D$12+'Sales Forecast'!AU13*Assumptions!$E$12+'Sales Forecast'!AT13*Assumptions!$F$12+'Sales Forecast'!AS13*Assumptions!$G$12+'Sales Forecast'!AR13*Assumptions!$H$12+'Sales Forecast'!AQ13*Assumptions!$I$12+'Sales Forecast'!AW13*Assumptions!$C$13+'Sales Forecast'!AV13*Assumptions!$D$13+'Sales Forecast'!AU13*Assumptions!$E$13+'Sales Forecast'!AT13*Assumptions!$F$13+'Sales Forecast'!AS13*Assumptions!$G$13+'Sales Forecast'!AR13*Assumptions!$H$13+'Sales Forecast'!AQ13*Assumptions!$I$13+2304.5)*Assumptions!$C$18</f>
        <v/>
      </c>
      <c r="AX20" s="20">
        <f>('Sales Forecast'!AX13*Assumptions!$C$12+'Sales Forecast'!AW13*Assumptions!$D$12+'Sales Forecast'!AV13*Assumptions!$E$12+'Sales Forecast'!AU13*Assumptions!$F$12+'Sales Forecast'!AT13*Assumptions!$G$12+'Sales Forecast'!AS13*Assumptions!$H$12+'Sales Forecast'!AR13*Assumptions!$I$12+'Sales Forecast'!AX13*Assumptions!$C$13+'Sales Forecast'!AW13*Assumptions!$D$13+'Sales Forecast'!AV13*Assumptions!$E$13+'Sales Forecast'!AU13*Assumptions!$F$13+'Sales Forecast'!AT13*Assumptions!$G$13+'Sales Forecast'!AS13*Assumptions!$H$13+'Sales Forecast'!AR13*Assumptions!$I$13+2304.5)*Assumptions!$C$18</f>
        <v/>
      </c>
      <c r="AY20" s="20">
        <f>('Sales Forecast'!AY13*Assumptions!$C$12+'Sales Forecast'!AX13*Assumptions!$D$12+'Sales Forecast'!AW13*Assumptions!$E$12+'Sales Forecast'!AV13*Assumptions!$F$12+'Sales Forecast'!AU13*Assumptions!$G$12+'Sales Forecast'!AT13*Assumptions!$H$12+'Sales Forecast'!AS13*Assumptions!$I$12+'Sales Forecast'!AY13*Assumptions!$C$13+'Sales Forecast'!AX13*Assumptions!$D$13+'Sales Forecast'!AW13*Assumptions!$E$13+'Sales Forecast'!AV13*Assumptions!$F$13+'Sales Forecast'!AU13*Assumptions!$G$13+'Sales Forecast'!AT13*Assumptions!$H$13+'Sales Forecast'!AS13*Assumptions!$I$13+2304.5)*Assumptions!$C$18</f>
        <v/>
      </c>
    </row>
    <row r="21">
      <c r="B21" s="32" t="inlineStr">
        <is>
          <t>TOTAL REVENUE</t>
        </is>
      </c>
      <c r="C21" s="34" t="n"/>
      <c r="D21" s="35" t="n">
        <v>570.7</v>
      </c>
      <c r="E21" s="35" t="n">
        <v>15527.63</v>
      </c>
      <c r="F21" s="35" t="n">
        <v>52352.26</v>
      </c>
      <c r="G21" s="35" t="n">
        <v>60194.73</v>
      </c>
      <c r="H21" s="35" t="n">
        <v>72190.72</v>
      </c>
      <c r="I21" s="35" t="n">
        <v>76768.03000000001</v>
      </c>
      <c r="J21" s="35" t="n">
        <v>68332.76000000001</v>
      </c>
      <c r="K21" s="35" t="n">
        <v>70395.31999999999</v>
      </c>
      <c r="L21" s="35" t="n">
        <v>81266.28999999999</v>
      </c>
      <c r="M21" s="35" t="n">
        <v>79286.40000000001</v>
      </c>
      <c r="N21" s="35" t="n">
        <v>76953.28999999999</v>
      </c>
      <c r="O21" s="35" t="n">
        <v>80511.05</v>
      </c>
      <c r="P21" s="35" t="n">
        <v>102835.24</v>
      </c>
      <c r="Q21" s="35" t="n">
        <v>92374.50999999999</v>
      </c>
      <c r="R21" s="35" t="n">
        <v>91580.41</v>
      </c>
      <c r="S21" s="35" t="n">
        <v>82946.01999999999</v>
      </c>
      <c r="T21" s="85" t="n">
        <v>83239.41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786</v>
      </c>
      <c r="F23" s="19" t="n">
        <v>1294.75</v>
      </c>
      <c r="G23" s="19" t="n">
        <v>1386.75</v>
      </c>
      <c r="H23" s="19" t="n">
        <v>965.25</v>
      </c>
      <c r="I23" s="19" t="n">
        <v>2348.5</v>
      </c>
      <c r="J23" s="19" t="n">
        <v>1113</v>
      </c>
      <c r="K23" s="19" t="n">
        <v>986.25</v>
      </c>
      <c r="L23" s="19" t="n">
        <v>899</v>
      </c>
      <c r="M23" s="19" t="n">
        <v>1153.25</v>
      </c>
      <c r="N23" s="19" t="n">
        <v>966.5</v>
      </c>
      <c r="O23" s="19" t="n">
        <v>1167</v>
      </c>
      <c r="P23" s="19" t="n">
        <v>1345.5</v>
      </c>
      <c r="Q23" s="19" t="n">
        <v>930.75</v>
      </c>
      <c r="R23" s="19" t="n">
        <v>1108</v>
      </c>
      <c r="S23" s="19" t="n">
        <v>854.5</v>
      </c>
      <c r="T23" s="84" t="n">
        <v>392.25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218.17</v>
      </c>
      <c r="E24" s="19" t="n">
        <v>768.1900000000001</v>
      </c>
      <c r="F24" s="19" t="n">
        <v>1307.11</v>
      </c>
      <c r="G24" s="19" t="n">
        <v>2108.55</v>
      </c>
      <c r="H24" s="19" t="n">
        <v>1646.28</v>
      </c>
      <c r="I24" s="19" t="n">
        <v>1714.02</v>
      </c>
      <c r="J24" s="19" t="n">
        <v>1722.71</v>
      </c>
      <c r="K24" s="19" t="n">
        <v>2310.19</v>
      </c>
      <c r="L24" s="19" t="n">
        <v>1768.01</v>
      </c>
      <c r="M24" s="19" t="n">
        <v>1601.16</v>
      </c>
      <c r="N24" s="19" t="n">
        <v>1801.64</v>
      </c>
      <c r="O24" s="19" t="n">
        <v>1819.97</v>
      </c>
      <c r="P24" s="19" t="n">
        <v>2286.16</v>
      </c>
      <c r="Q24" s="19" t="n">
        <v>2260.33</v>
      </c>
      <c r="R24" s="19" t="n">
        <v>1936.85</v>
      </c>
      <c r="S24" s="19" t="n">
        <v>2834.85</v>
      </c>
      <c r="T24" s="84" t="n">
        <v>1420.6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218.17</v>
      </c>
      <c r="E25" s="35" t="n">
        <v>1554.19</v>
      </c>
      <c r="F25" s="35" t="n">
        <v>2601.86</v>
      </c>
      <c r="G25" s="35" t="n">
        <v>3495.3</v>
      </c>
      <c r="H25" s="35" t="n">
        <v>2611.53</v>
      </c>
      <c r="I25" s="35" t="n">
        <v>4062.52</v>
      </c>
      <c r="J25" s="35" t="n">
        <v>2835.71</v>
      </c>
      <c r="K25" s="35" t="n">
        <v>3296.44</v>
      </c>
      <c r="L25" s="35" t="n">
        <v>2667.01</v>
      </c>
      <c r="M25" s="35" t="n">
        <v>2754.41</v>
      </c>
      <c r="N25" s="35" t="n">
        <v>2768.14</v>
      </c>
      <c r="O25" s="35" t="n">
        <v>4248.530000000001</v>
      </c>
      <c r="P25" s="35" t="n">
        <v>3631.66</v>
      </c>
      <c r="Q25" s="35" t="n">
        <v>3191.08</v>
      </c>
      <c r="R25" s="35" t="n">
        <v>3044.85</v>
      </c>
      <c r="S25" s="35" t="n">
        <v>3689.35</v>
      </c>
      <c r="T25" s="85" t="n">
        <v>1812.85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352.5300000000001</v>
      </c>
      <c r="E26" s="35" t="n">
        <v>13973.44</v>
      </c>
      <c r="F26" s="35" t="n">
        <v>49750.4</v>
      </c>
      <c r="G26" s="35" t="n">
        <v>56699.43</v>
      </c>
      <c r="H26" s="35" t="n">
        <v>69579.19</v>
      </c>
      <c r="I26" s="35" t="n">
        <v>72705.51000000001</v>
      </c>
      <c r="J26" s="35" t="n">
        <v>65497.05000000001</v>
      </c>
      <c r="K26" s="35" t="n">
        <v>67098.87999999999</v>
      </c>
      <c r="L26" s="35" t="n">
        <v>78599.28</v>
      </c>
      <c r="M26" s="35" t="n">
        <v>76531.99000000001</v>
      </c>
      <c r="N26" s="35" t="n">
        <v>74185.14999999999</v>
      </c>
      <c r="O26" s="35" t="n">
        <v>76262.52</v>
      </c>
      <c r="P26" s="35" t="n">
        <v>99203.57999999999</v>
      </c>
      <c r="Q26" s="35" t="n">
        <v>89183.42999999999</v>
      </c>
      <c r="R26" s="35" t="n">
        <v>88535.56</v>
      </c>
      <c r="S26" s="35" t="n">
        <v>79256.66999999998</v>
      </c>
      <c r="T26" s="85" t="n">
        <v>81426.56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2237.32</v>
      </c>
      <c r="E28" s="19" t="n">
        <v>3903.63</v>
      </c>
      <c r="F28" s="19" t="n">
        <v>5460.79</v>
      </c>
      <c r="G28" s="19" t="n">
        <v>4535.14</v>
      </c>
      <c r="H28" s="19" t="n">
        <v>5051.01</v>
      </c>
      <c r="I28" s="19" t="n">
        <v>5177.1</v>
      </c>
      <c r="J28" s="19" t="n">
        <v>2566.3</v>
      </c>
      <c r="K28" s="19" t="n">
        <v>2616.38</v>
      </c>
      <c r="L28" s="19" t="n">
        <v>1443.61</v>
      </c>
      <c r="M28" s="19" t="n">
        <v>1431.07</v>
      </c>
      <c r="N28" s="19" t="n">
        <v>2961.52</v>
      </c>
      <c r="O28" s="19" t="n">
        <v>2106.52</v>
      </c>
      <c r="P28" s="19" t="n">
        <v>1639.4</v>
      </c>
      <c r="Q28" s="19" t="n">
        <v>4517.12</v>
      </c>
      <c r="R28" s="19" t="n">
        <v>2795.44</v>
      </c>
      <c r="S28" s="19" t="n">
        <v>755.11</v>
      </c>
      <c r="T28" s="84" t="n">
        <v>747.4299999999999</v>
      </c>
      <c r="U28" s="20" t="n">
        <v>1048.49</v>
      </c>
      <c r="V28" s="20" t="n">
        <v>1048.49</v>
      </c>
      <c r="W28" s="20" t="n">
        <v>1048.49</v>
      </c>
      <c r="X28" s="20" t="n">
        <v>1048.49</v>
      </c>
      <c r="Y28" s="20" t="n">
        <v>1048.49</v>
      </c>
      <c r="Z28" s="20" t="n">
        <v>1048.49</v>
      </c>
      <c r="AA28" s="20" t="n">
        <v>1048.49</v>
      </c>
      <c r="AB28" s="20" t="n">
        <v>1048.49</v>
      </c>
      <c r="AC28" s="20" t="n">
        <v>1048.49</v>
      </c>
      <c r="AD28" s="20" t="n">
        <v>1048.49</v>
      </c>
      <c r="AE28" s="20" t="n">
        <v>1048.49</v>
      </c>
      <c r="AF28" s="20" t="n">
        <v>1048.49</v>
      </c>
      <c r="AG28" s="20" t="n">
        <v>1048.49</v>
      </c>
      <c r="AH28" s="20" t="n">
        <v>1048.49</v>
      </c>
      <c r="AI28" s="20" t="n">
        <v>1048.49</v>
      </c>
      <c r="AJ28" s="20" t="n">
        <v>1048.49</v>
      </c>
      <c r="AK28" s="20" t="n">
        <v>1048.49</v>
      </c>
      <c r="AL28" s="20" t="n">
        <v>1048.49</v>
      </c>
      <c r="AM28" s="20" t="n">
        <v>1048.49</v>
      </c>
      <c r="AN28" s="20" t="n">
        <v>1048.49</v>
      </c>
      <c r="AO28" s="20" t="n">
        <v>1048.49</v>
      </c>
      <c r="AP28" s="20" t="n">
        <v>1048.49</v>
      </c>
      <c r="AQ28" s="20" t="n">
        <v>1048.49</v>
      </c>
      <c r="AR28" s="20" t="n">
        <v>1048.49</v>
      </c>
      <c r="AS28" s="20" t="n">
        <v>1048.49</v>
      </c>
      <c r="AT28" s="20" t="n">
        <v>1048.49</v>
      </c>
      <c r="AU28" s="20" t="n">
        <v>1048.49</v>
      </c>
      <c r="AV28" s="20" t="n">
        <v>1048.49</v>
      </c>
      <c r="AW28" s="20" t="n">
        <v>1048.49</v>
      </c>
      <c r="AX28" s="20" t="n">
        <v>1048.49</v>
      </c>
      <c r="AY28" s="20" t="n">
        <v>1048.49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167.69</v>
      </c>
      <c r="E30" s="19" t="n">
        <v>0</v>
      </c>
      <c r="F30" s="19" t="n">
        <v>0</v>
      </c>
      <c r="G30" s="19" t="n">
        <v>1250</v>
      </c>
      <c r="H30" s="19" t="n">
        <v>233.64</v>
      </c>
      <c r="I30" s="19" t="n">
        <v>0</v>
      </c>
      <c r="J30" s="19" t="n">
        <v>0</v>
      </c>
      <c r="K30" s="19" t="n">
        <v>53.77</v>
      </c>
      <c r="L30" s="19" t="n">
        <v>0</v>
      </c>
      <c r="M30" s="19" t="n">
        <v>0</v>
      </c>
      <c r="N30" s="19" t="n">
        <v>0</v>
      </c>
      <c r="O30" s="19" t="n">
        <v>232.43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2405.01</v>
      </c>
      <c r="E33" s="35" t="n">
        <v>3903.63</v>
      </c>
      <c r="F33" s="35" t="n">
        <v>5460.79</v>
      </c>
      <c r="G33" s="35" t="n">
        <v>5785.14</v>
      </c>
      <c r="H33" s="35" t="n">
        <v>5284.650000000001</v>
      </c>
      <c r="I33" s="35" t="n">
        <v>5177.1</v>
      </c>
      <c r="J33" s="35" t="n">
        <v>2566.3</v>
      </c>
      <c r="K33" s="35" t="n">
        <v>2670.15</v>
      </c>
      <c r="L33" s="35" t="n">
        <v>1443.61</v>
      </c>
      <c r="M33" s="35" t="n">
        <v>1431.07</v>
      </c>
      <c r="N33" s="35" t="n">
        <v>2961.52</v>
      </c>
      <c r="O33" s="35" t="n">
        <v>2338.95</v>
      </c>
      <c r="P33" s="35" t="n">
        <v>1639.4</v>
      </c>
      <c r="Q33" s="35" t="n">
        <v>4517.12</v>
      </c>
      <c r="R33" s="35" t="n">
        <v>2795.44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14416.61</v>
      </c>
      <c r="E34" s="19" t="n">
        <v>23414.83</v>
      </c>
      <c r="F34" s="19" t="n">
        <v>27532.36</v>
      </c>
      <c r="G34" s="19" t="n">
        <v>25779.65</v>
      </c>
      <c r="H34" s="19" t="n">
        <v>33773.74</v>
      </c>
      <c r="I34" s="19" t="n">
        <v>30440.53</v>
      </c>
      <c r="J34" s="19" t="n">
        <v>32556.12</v>
      </c>
      <c r="K34" s="19" t="n">
        <v>33022.65</v>
      </c>
      <c r="L34" s="19" t="n">
        <v>34124.43</v>
      </c>
      <c r="M34" s="19" t="n">
        <v>36305.58</v>
      </c>
      <c r="N34" s="19" t="n">
        <v>35456.06</v>
      </c>
      <c r="O34" s="19" t="n">
        <v>30724.31</v>
      </c>
      <c r="P34" s="19" t="n">
        <v>40079.49</v>
      </c>
      <c r="Q34" s="19" t="n">
        <v>43738.2</v>
      </c>
      <c r="R34" s="19" t="n">
        <v>45162.72</v>
      </c>
      <c r="S34" s="19" t="n">
        <v>43699.92</v>
      </c>
      <c r="T34" s="84" t="n">
        <v>43492.2</v>
      </c>
      <c r="U34" s="20" t="n">
        <v>30546.72</v>
      </c>
      <c r="V34" s="20" t="n">
        <v>21214.48</v>
      </c>
      <c r="W34" s="20" t="n">
        <v>37354.2</v>
      </c>
      <c r="X34" s="20" t="n">
        <v>33940.26</v>
      </c>
      <c r="Y34" s="20" t="n">
        <v>33091.87</v>
      </c>
      <c r="Z34" s="20" t="n">
        <v>32243.49</v>
      </c>
      <c r="AA34" s="20" t="n">
        <v>33945.7</v>
      </c>
      <c r="AB34" s="20" t="n">
        <v>32864.89</v>
      </c>
      <c r="AC34" s="20" t="n">
        <v>32888.13</v>
      </c>
      <c r="AD34" s="20" t="n">
        <v>32825.1</v>
      </c>
      <c r="AE34" s="20" t="n">
        <v>32801.29</v>
      </c>
      <c r="AF34" s="20" t="n">
        <v>32853.18</v>
      </c>
      <c r="AG34" s="20" t="n">
        <v>32805.5</v>
      </c>
      <c r="AH34" s="20" t="n">
        <v>32795.7</v>
      </c>
      <c r="AI34" s="20" t="n">
        <v>32839.26</v>
      </c>
      <c r="AJ34" s="20" t="n">
        <v>32814.22</v>
      </c>
      <c r="AK34" s="20" t="n">
        <v>32806.93</v>
      </c>
      <c r="AL34" s="20" t="n">
        <v>32796.9</v>
      </c>
      <c r="AM34" s="20" t="n">
        <v>32823.55</v>
      </c>
      <c r="AN34" s="20" t="n">
        <v>32864.89</v>
      </c>
      <c r="AO34" s="20" t="n">
        <v>32888.13</v>
      </c>
      <c r="AP34" s="20" t="n">
        <v>32825.1</v>
      </c>
      <c r="AQ34" s="20" t="n">
        <v>32801.29</v>
      </c>
      <c r="AR34" s="20" t="n">
        <v>32853.18</v>
      </c>
      <c r="AS34" s="20" t="n">
        <v>32805.5</v>
      </c>
      <c r="AT34" s="20" t="n">
        <v>32795.7</v>
      </c>
      <c r="AU34" s="20" t="n">
        <v>32839.26</v>
      </c>
      <c r="AV34" s="20" t="n">
        <v>32814.22</v>
      </c>
      <c r="AW34" s="20" t="n">
        <v>32806.93</v>
      </c>
      <c r="AX34" s="20" t="n">
        <v>32796.9</v>
      </c>
      <c r="AY34" s="20" t="n">
        <v>32823.55</v>
      </c>
    </row>
    <row r="35">
      <c r="B35" s="33" t="inlineStr">
        <is>
          <t xml:space="preserve">  602004 Payroll Taxes</t>
        </is>
      </c>
      <c r="D35" s="19" t="n">
        <v>1635.07</v>
      </c>
      <c r="E35" s="19" t="n">
        <v>2484.08</v>
      </c>
      <c r="F35" s="19" t="n">
        <v>3416.27</v>
      </c>
      <c r="G35" s="19" t="n">
        <v>3196.86</v>
      </c>
      <c r="H35" s="19" t="n">
        <v>3908.34</v>
      </c>
      <c r="I35" s="19" t="n">
        <v>3588.65</v>
      </c>
      <c r="J35" s="19" t="n">
        <v>3782.5</v>
      </c>
      <c r="K35" s="19" t="n">
        <v>3705.71</v>
      </c>
      <c r="L35" s="19" t="n">
        <v>3606.75</v>
      </c>
      <c r="M35" s="19" t="n">
        <v>3914.62</v>
      </c>
      <c r="N35" s="19" t="n">
        <v>3933.01</v>
      </c>
      <c r="O35" s="19" t="n">
        <v>3488.23</v>
      </c>
      <c r="P35" s="19" t="n">
        <v>7091.16</v>
      </c>
      <c r="Q35" s="19" t="n">
        <v>4650.63</v>
      </c>
      <c r="R35" s="19" t="n">
        <v>4519</v>
      </c>
      <c r="S35" s="19" t="n">
        <v>4005.5</v>
      </c>
      <c r="T35" s="84" t="n">
        <v>3789.88</v>
      </c>
      <c r="U35" s="20" t="n">
        <v>3585.06</v>
      </c>
      <c r="V35" s="20" t="n">
        <v>2489.8</v>
      </c>
      <c r="W35" s="20" t="n">
        <v>4384</v>
      </c>
      <c r="X35" s="20" t="n">
        <v>3983.33</v>
      </c>
      <c r="Y35" s="20" t="n">
        <v>3883.76</v>
      </c>
      <c r="Z35" s="20" t="n">
        <v>3784.19</v>
      </c>
      <c r="AA35" s="20" t="n">
        <v>3983.97</v>
      </c>
      <c r="AB35" s="20" t="n">
        <v>3857.12</v>
      </c>
      <c r="AC35" s="20" t="n">
        <v>3859.85</v>
      </c>
      <c r="AD35" s="20" t="n">
        <v>3852.45</v>
      </c>
      <c r="AE35" s="20" t="n">
        <v>3849.66</v>
      </c>
      <c r="AF35" s="20" t="n">
        <v>3855.75</v>
      </c>
      <c r="AG35" s="20" t="n">
        <v>3850.15</v>
      </c>
      <c r="AH35" s="20" t="n">
        <v>3849</v>
      </c>
      <c r="AI35" s="20" t="n">
        <v>3854.12</v>
      </c>
      <c r="AJ35" s="20" t="n">
        <v>3851.18</v>
      </c>
      <c r="AK35" s="20" t="n">
        <v>3850.32</v>
      </c>
      <c r="AL35" s="20" t="n">
        <v>3849.14</v>
      </c>
      <c r="AM35" s="20" t="n">
        <v>3852.27</v>
      </c>
      <c r="AN35" s="20" t="n">
        <v>3857.12</v>
      </c>
      <c r="AO35" s="20" t="n">
        <v>3859.85</v>
      </c>
      <c r="AP35" s="20" t="n">
        <v>3852.45</v>
      </c>
      <c r="AQ35" s="20" t="n">
        <v>3849.66</v>
      </c>
      <c r="AR35" s="20" t="n">
        <v>3855.75</v>
      </c>
      <c r="AS35" s="20" t="n">
        <v>3850.15</v>
      </c>
      <c r="AT35" s="20" t="n">
        <v>3849</v>
      </c>
      <c r="AU35" s="20" t="n">
        <v>3854.12</v>
      </c>
      <c r="AV35" s="20" t="n">
        <v>3851.18</v>
      </c>
      <c r="AW35" s="20" t="n">
        <v>3850.32</v>
      </c>
      <c r="AX35" s="20" t="n">
        <v>3849.14</v>
      </c>
      <c r="AY35" s="20" t="n">
        <v>3852.27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-58.72</v>
      </c>
      <c r="F36" s="19" t="n">
        <v>-435.19</v>
      </c>
      <c r="G36" s="19" t="n">
        <v>-100.61</v>
      </c>
      <c r="H36" s="19" t="n">
        <v>-77.18000000000001</v>
      </c>
      <c r="I36" s="19" t="n">
        <v>375.23</v>
      </c>
      <c r="J36" s="19" t="n">
        <v>453.95</v>
      </c>
      <c r="K36" s="19" t="n">
        <v>514.95</v>
      </c>
      <c r="L36" s="19" t="n">
        <v>930.95</v>
      </c>
      <c r="M36" s="19" t="n">
        <v>507.56</v>
      </c>
      <c r="N36" s="19" t="n">
        <v>181.33</v>
      </c>
      <c r="O36" s="19" t="n">
        <v>-165.86</v>
      </c>
      <c r="P36" s="19" t="n">
        <v>307.52</v>
      </c>
      <c r="Q36" s="19" t="n">
        <v>638.95</v>
      </c>
      <c r="R36" s="19" t="n">
        <v>695.03</v>
      </c>
      <c r="S36" s="19" t="n">
        <v>342.42</v>
      </c>
      <c r="T36" s="84" t="n">
        <v>317.09</v>
      </c>
      <c r="U36" s="20" t="n">
        <v>350.95</v>
      </c>
      <c r="V36" s="20" t="n">
        <v>243.73</v>
      </c>
      <c r="W36" s="20" t="n">
        <v>429.16</v>
      </c>
      <c r="X36" s="20" t="n">
        <v>389.94</v>
      </c>
      <c r="Y36" s="20" t="n">
        <v>380.19</v>
      </c>
      <c r="Z36" s="20" t="n">
        <v>370.44</v>
      </c>
      <c r="AA36" s="20" t="n">
        <v>390</v>
      </c>
      <c r="AB36" s="20" t="n">
        <v>377.58</v>
      </c>
      <c r="AC36" s="20" t="n">
        <v>377.85</v>
      </c>
      <c r="AD36" s="20" t="n">
        <v>377.13</v>
      </c>
      <c r="AE36" s="20" t="n">
        <v>376.85</v>
      </c>
      <c r="AF36" s="20" t="n">
        <v>377.45</v>
      </c>
      <c r="AG36" s="20" t="n">
        <v>376.9</v>
      </c>
      <c r="AH36" s="20" t="n">
        <v>376.79</v>
      </c>
      <c r="AI36" s="20" t="n">
        <v>377.29</v>
      </c>
      <c r="AJ36" s="20" t="n">
        <v>377</v>
      </c>
      <c r="AK36" s="20" t="n">
        <v>376.92</v>
      </c>
      <c r="AL36" s="20" t="n">
        <v>376.8</v>
      </c>
      <c r="AM36" s="20" t="n">
        <v>377.11</v>
      </c>
      <c r="AN36" s="20" t="n">
        <v>377.58</v>
      </c>
      <c r="AO36" s="20" t="n">
        <v>377.85</v>
      </c>
      <c r="AP36" s="20" t="n">
        <v>377.13</v>
      </c>
      <c r="AQ36" s="20" t="n">
        <v>376.85</v>
      </c>
      <c r="AR36" s="20" t="n">
        <v>377.45</v>
      </c>
      <c r="AS36" s="20" t="n">
        <v>376.9</v>
      </c>
      <c r="AT36" s="20" t="n">
        <v>376.79</v>
      </c>
      <c r="AU36" s="20" t="n">
        <v>377.29</v>
      </c>
      <c r="AV36" s="20" t="n">
        <v>377</v>
      </c>
      <c r="AW36" s="20" t="n">
        <v>376.92</v>
      </c>
      <c r="AX36" s="20" t="n">
        <v>376.8</v>
      </c>
      <c r="AY36" s="20" t="n">
        <v>377.11</v>
      </c>
    </row>
    <row r="37">
      <c r="B37" s="33" t="inlineStr">
        <is>
          <t xml:space="preserve">  602010 Payroll Processing Fees</t>
        </is>
      </c>
      <c r="D37" s="19" t="n">
        <v>287.52</v>
      </c>
      <c r="E37" s="19" t="n">
        <v>241.2</v>
      </c>
      <c r="F37" s="19" t="n">
        <v>270</v>
      </c>
      <c r="G37" s="19" t="n">
        <v>284.4</v>
      </c>
      <c r="H37" s="19" t="n">
        <v>284.4</v>
      </c>
      <c r="I37" s="19" t="n">
        <v>307.44</v>
      </c>
      <c r="J37" s="19" t="n">
        <v>290.16</v>
      </c>
      <c r="K37" s="19" t="n">
        <v>461.16</v>
      </c>
      <c r="L37" s="19" t="n">
        <v>324.72</v>
      </c>
      <c r="M37" s="19" t="n">
        <v>324.72</v>
      </c>
      <c r="N37" s="19" t="n">
        <v>327.6</v>
      </c>
      <c r="O37" s="19" t="n">
        <v>1025.49</v>
      </c>
      <c r="P37" s="19" t="n">
        <v>1511.17</v>
      </c>
      <c r="Q37" s="19" t="n">
        <v>2150.77</v>
      </c>
      <c r="R37" s="19" t="n">
        <v>2902.85</v>
      </c>
      <c r="S37" s="19" t="n">
        <v>2044.7</v>
      </c>
      <c r="T37" s="84" t="n">
        <v>1927.6</v>
      </c>
      <c r="U37" s="20" t="n">
        <v>1523</v>
      </c>
      <c r="V37" s="20" t="n">
        <v>1057.71</v>
      </c>
      <c r="W37" s="20" t="n">
        <v>1862.4</v>
      </c>
      <c r="X37" s="20" t="n">
        <v>1692.19</v>
      </c>
      <c r="Y37" s="20" t="n">
        <v>1649.89</v>
      </c>
      <c r="Z37" s="20" t="n">
        <v>1607.59</v>
      </c>
      <c r="AA37" s="20" t="n">
        <v>1692.46</v>
      </c>
      <c r="AB37" s="20" t="n">
        <v>1638.58</v>
      </c>
      <c r="AC37" s="20" t="n">
        <v>1639.74</v>
      </c>
      <c r="AD37" s="20" t="n">
        <v>1636.59</v>
      </c>
      <c r="AE37" s="20" t="n">
        <v>1635.41</v>
      </c>
      <c r="AF37" s="20" t="n">
        <v>1637.99</v>
      </c>
      <c r="AG37" s="20" t="n">
        <v>1635.62</v>
      </c>
      <c r="AH37" s="20" t="n">
        <v>1635.13</v>
      </c>
      <c r="AI37" s="20" t="n">
        <v>1637.3</v>
      </c>
      <c r="AJ37" s="20" t="n">
        <v>1636.05</v>
      </c>
      <c r="AK37" s="20" t="n">
        <v>1635.69</v>
      </c>
      <c r="AL37" s="20" t="n">
        <v>1635.19</v>
      </c>
      <c r="AM37" s="20" t="n">
        <v>1636.52</v>
      </c>
      <c r="AN37" s="20" t="n">
        <v>1638.58</v>
      </c>
      <c r="AO37" s="20" t="n">
        <v>1639.74</v>
      </c>
      <c r="AP37" s="20" t="n">
        <v>1636.59</v>
      </c>
      <c r="AQ37" s="20" t="n">
        <v>1635.41</v>
      </c>
      <c r="AR37" s="20" t="n">
        <v>1637.99</v>
      </c>
      <c r="AS37" s="20" t="n">
        <v>1635.62</v>
      </c>
      <c r="AT37" s="20" t="n">
        <v>1635.13</v>
      </c>
      <c r="AU37" s="20" t="n">
        <v>1637.3</v>
      </c>
      <c r="AV37" s="20" t="n">
        <v>1636.05</v>
      </c>
      <c r="AW37" s="20" t="n">
        <v>1635.69</v>
      </c>
      <c r="AX37" s="20" t="n">
        <v>1635.19</v>
      </c>
      <c r="AY37" s="20" t="n">
        <v>1636.52</v>
      </c>
    </row>
    <row r="38">
      <c r="B38" s="32" t="inlineStr">
        <is>
          <t>Total Payroll</t>
        </is>
      </c>
      <c r="C38" s="34" t="n"/>
      <c r="D38" s="35" t="n">
        <v>16472.41</v>
      </c>
      <c r="E38" s="35" t="n">
        <v>28760.39</v>
      </c>
      <c r="F38" s="35" t="n">
        <v>38078.95999999999</v>
      </c>
      <c r="G38" s="35" t="n">
        <v>36352.9</v>
      </c>
      <c r="H38" s="35" t="n">
        <v>45804.82000000001</v>
      </c>
      <c r="I38" s="35" t="n">
        <v>42141.91</v>
      </c>
      <c r="J38" s="35" t="n">
        <v>45065.03000000001</v>
      </c>
      <c r="K38" s="35" t="n">
        <v>45138.34</v>
      </c>
      <c r="L38" s="35" t="n">
        <v>45932.79</v>
      </c>
      <c r="M38" s="35" t="n">
        <v>49501.47</v>
      </c>
      <c r="N38" s="35" t="n">
        <v>47583.18</v>
      </c>
      <c r="O38" s="35" t="n">
        <v>37500.01</v>
      </c>
      <c r="P38" s="35" t="n">
        <v>48989.33999999999</v>
      </c>
      <c r="Q38" s="35" t="n">
        <v>51178.54999999999</v>
      </c>
      <c r="R38" s="35" t="n">
        <v>53279.6</v>
      </c>
      <c r="S38" s="35" t="n">
        <v>50092.53999999999</v>
      </c>
      <c r="T38" s="85" t="n">
        <v>49526.76999999999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593.29</v>
      </c>
      <c r="E39" s="19" t="n">
        <v>610.28</v>
      </c>
      <c r="F39" s="19" t="n">
        <v>593.29</v>
      </c>
      <c r="G39" s="19" t="n">
        <v>1223.29</v>
      </c>
      <c r="H39" s="19" t="n">
        <v>1243</v>
      </c>
      <c r="I39" s="19" t="n">
        <v>545.5</v>
      </c>
      <c r="J39" s="19" t="n">
        <v>821.99</v>
      </c>
      <c r="K39" s="19" t="n">
        <v>1846.77</v>
      </c>
      <c r="L39" s="19" t="n">
        <v>725.99</v>
      </c>
      <c r="M39" s="19" t="n">
        <v>835.08</v>
      </c>
      <c r="N39" s="19" t="n">
        <v>897.76</v>
      </c>
      <c r="O39" s="19" t="n">
        <v>835.08</v>
      </c>
      <c r="P39" s="19" t="n">
        <v>840.4400000000001</v>
      </c>
      <c r="Q39" s="19" t="n">
        <v>1314.43</v>
      </c>
      <c r="R39" s="19" t="n">
        <v>858.0700000000001</v>
      </c>
      <c r="S39" s="19" t="n">
        <v>885.25</v>
      </c>
      <c r="T39" s="84" t="n">
        <v>882.25</v>
      </c>
      <c r="U39" s="20" t="n">
        <v>903.22</v>
      </c>
      <c r="V39" s="20" t="n">
        <v>903.22</v>
      </c>
      <c r="W39" s="20" t="n">
        <v>903.22</v>
      </c>
      <c r="X39" s="20" t="n">
        <v>903.22</v>
      </c>
      <c r="Y39" s="20" t="n">
        <v>903.22</v>
      </c>
      <c r="Z39" s="20" t="n">
        <v>903.22</v>
      </c>
      <c r="AA39" s="20" t="n">
        <v>903.22</v>
      </c>
      <c r="AB39" s="20" t="n">
        <v>903.22</v>
      </c>
      <c r="AC39" s="20" t="n">
        <v>903.22</v>
      </c>
      <c r="AD39" s="20" t="n">
        <v>903.22</v>
      </c>
      <c r="AE39" s="20" t="n">
        <v>903.22</v>
      </c>
      <c r="AF39" s="20" t="n">
        <v>903.22</v>
      </c>
      <c r="AG39" s="20" t="n">
        <v>903.22</v>
      </c>
      <c r="AH39" s="20" t="n">
        <v>903.22</v>
      </c>
      <c r="AI39" s="20" t="n">
        <v>903.22</v>
      </c>
      <c r="AJ39" s="20" t="n">
        <v>903.22</v>
      </c>
      <c r="AK39" s="20" t="n">
        <v>903.22</v>
      </c>
      <c r="AL39" s="20" t="n">
        <v>903.22</v>
      </c>
      <c r="AM39" s="20" t="n">
        <v>903.22</v>
      </c>
      <c r="AN39" s="20" t="n">
        <v>903.22</v>
      </c>
      <c r="AO39" s="20" t="n">
        <v>903.22</v>
      </c>
      <c r="AP39" s="20" t="n">
        <v>903.22</v>
      </c>
      <c r="AQ39" s="20" t="n">
        <v>903.22</v>
      </c>
      <c r="AR39" s="20" t="n">
        <v>903.22</v>
      </c>
      <c r="AS39" s="20" t="n">
        <v>903.22</v>
      </c>
      <c r="AT39" s="20" t="n">
        <v>903.22</v>
      </c>
      <c r="AU39" s="20" t="n">
        <v>903.22</v>
      </c>
      <c r="AV39" s="20" t="n">
        <v>903.22</v>
      </c>
      <c r="AW39" s="20" t="n">
        <v>903.22</v>
      </c>
      <c r="AX39" s="20" t="n">
        <v>903.22</v>
      </c>
      <c r="AY39" s="20" t="n">
        <v>903.22</v>
      </c>
    </row>
    <row r="40">
      <c r="B40" s="33" t="inlineStr">
        <is>
          <t xml:space="preserve">  608000 Insurance</t>
        </is>
      </c>
      <c r="D40" s="19" t="n">
        <v>286.23</v>
      </c>
      <c r="E40" s="19" t="n">
        <v>286.23</v>
      </c>
      <c r="F40" s="19" t="n">
        <v>286.23</v>
      </c>
      <c r="G40" s="19" t="n">
        <v>286.23</v>
      </c>
      <c r="H40" s="19" t="n">
        <v>286.23</v>
      </c>
      <c r="I40" s="19" t="n">
        <v>286.23</v>
      </c>
      <c r="J40" s="19" t="n">
        <v>286.23</v>
      </c>
      <c r="K40" s="19" t="n">
        <v>286.23</v>
      </c>
      <c r="L40" s="19" t="n">
        <v>286.23</v>
      </c>
      <c r="M40" s="19" t="n">
        <v>410.11</v>
      </c>
      <c r="N40" s="19" t="n">
        <v>410.11</v>
      </c>
      <c r="O40" s="19" t="n">
        <v>803.09</v>
      </c>
      <c r="P40" s="19" t="n">
        <v>249.6</v>
      </c>
      <c r="Q40" s="19" t="n">
        <v>55.29</v>
      </c>
      <c r="R40" s="19" t="n">
        <v>134.82</v>
      </c>
      <c r="S40" s="19" t="n">
        <v>134.82</v>
      </c>
      <c r="T40" s="84" t="n">
        <v>188.63</v>
      </c>
      <c r="U40" s="20" t="n">
        <v>133.12</v>
      </c>
      <c r="V40" s="20" t="n">
        <v>133.12</v>
      </c>
      <c r="W40" s="20" t="n">
        <v>133.12</v>
      </c>
      <c r="X40" s="20" t="n">
        <v>133.12</v>
      </c>
      <c r="Y40" s="20" t="n">
        <v>133.12</v>
      </c>
      <c r="Z40" s="20" t="n">
        <v>133.12</v>
      </c>
      <c r="AA40" s="20" t="n">
        <v>133.12</v>
      </c>
      <c r="AB40" s="20" t="n">
        <v>133.12</v>
      </c>
      <c r="AC40" s="20" t="n">
        <v>133.12</v>
      </c>
      <c r="AD40" s="20" t="n">
        <v>133.12</v>
      </c>
      <c r="AE40" s="20" t="n">
        <v>133.12</v>
      </c>
      <c r="AF40" s="20" t="n">
        <v>133.12</v>
      </c>
      <c r="AG40" s="20" t="n">
        <v>133.12</v>
      </c>
      <c r="AH40" s="20" t="n">
        <v>133.12</v>
      </c>
      <c r="AI40" s="20" t="n">
        <v>133.12</v>
      </c>
      <c r="AJ40" s="20" t="n">
        <v>133.12</v>
      </c>
      <c r="AK40" s="20" t="n">
        <v>133.12</v>
      </c>
      <c r="AL40" s="20" t="n">
        <v>133.12</v>
      </c>
      <c r="AM40" s="20" t="n">
        <v>133.12</v>
      </c>
      <c r="AN40" s="20" t="n">
        <v>133.12</v>
      </c>
      <c r="AO40" s="20" t="n">
        <v>133.12</v>
      </c>
      <c r="AP40" s="20" t="n">
        <v>133.12</v>
      </c>
      <c r="AQ40" s="20" t="n">
        <v>133.12</v>
      </c>
      <c r="AR40" s="20" t="n">
        <v>133.12</v>
      </c>
      <c r="AS40" s="20" t="n">
        <v>133.12</v>
      </c>
      <c r="AT40" s="20" t="n">
        <v>133.12</v>
      </c>
      <c r="AU40" s="20" t="n">
        <v>133.12</v>
      </c>
      <c r="AV40" s="20" t="n">
        <v>133.12</v>
      </c>
      <c r="AW40" s="20" t="n">
        <v>133.12</v>
      </c>
      <c r="AX40" s="20" t="n">
        <v>133.12</v>
      </c>
      <c r="AY40" s="20" t="n">
        <v>133.12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2054.69</v>
      </c>
      <c r="Q41" s="19" t="n">
        <v>2537.61</v>
      </c>
      <c r="R41" s="19" t="n">
        <v>3733.51</v>
      </c>
      <c r="S41" s="19" t="n">
        <v>773.8099999999999</v>
      </c>
      <c r="T41" s="84" t="n">
        <v>0</v>
      </c>
      <c r="U41" s="20" t="n">
        <v>2108.39</v>
      </c>
      <c r="V41" s="20" t="n">
        <v>2108.39</v>
      </c>
      <c r="W41" s="20" t="n">
        <v>2108.39</v>
      </c>
      <c r="X41" s="20" t="n">
        <v>2108.39</v>
      </c>
      <c r="Y41" s="20" t="n">
        <v>2108.39</v>
      </c>
      <c r="Z41" s="20" t="n">
        <v>2108.39</v>
      </c>
      <c r="AA41" s="20" t="n">
        <v>2108.39</v>
      </c>
      <c r="AB41" s="20" t="n">
        <v>2108.39</v>
      </c>
      <c r="AC41" s="20" t="n">
        <v>2108.39</v>
      </c>
      <c r="AD41" s="20" t="n">
        <v>2108.39</v>
      </c>
      <c r="AE41" s="20" t="n">
        <v>2108.39</v>
      </c>
      <c r="AF41" s="20" t="n">
        <v>2108.39</v>
      </c>
      <c r="AG41" s="20" t="n">
        <v>2108.39</v>
      </c>
      <c r="AH41" s="20" t="n">
        <v>2108.39</v>
      </c>
      <c r="AI41" s="20" t="n">
        <v>2108.39</v>
      </c>
      <c r="AJ41" s="20" t="n">
        <v>2108.39</v>
      </c>
      <c r="AK41" s="20" t="n">
        <v>2108.39</v>
      </c>
      <c r="AL41" s="20" t="n">
        <v>2108.39</v>
      </c>
      <c r="AM41" s="20" t="n">
        <v>2108.39</v>
      </c>
      <c r="AN41" s="20" t="n">
        <v>2108.39</v>
      </c>
      <c r="AO41" s="20" t="n">
        <v>2108.39</v>
      </c>
      <c r="AP41" s="20" t="n">
        <v>2108.39</v>
      </c>
      <c r="AQ41" s="20" t="n">
        <v>2108.39</v>
      </c>
      <c r="AR41" s="20" t="n">
        <v>2108.39</v>
      </c>
      <c r="AS41" s="20" t="n">
        <v>2108.39</v>
      </c>
      <c r="AT41" s="20" t="n">
        <v>2108.39</v>
      </c>
      <c r="AU41" s="20" t="n">
        <v>2108.39</v>
      </c>
      <c r="AV41" s="20" t="n">
        <v>2108.39</v>
      </c>
      <c r="AW41" s="20" t="n">
        <v>2108.39</v>
      </c>
      <c r="AX41" s="20" t="n">
        <v>2108.39</v>
      </c>
      <c r="AY41" s="20" t="n">
        <v>2108.39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0</v>
      </c>
      <c r="J44" s="19" t="n">
        <v>0</v>
      </c>
      <c r="K44" s="19" t="n">
        <v>1306.25</v>
      </c>
      <c r="L44" s="19" t="n">
        <v>0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440</v>
      </c>
      <c r="S44" s="19" t="n">
        <v>0</v>
      </c>
      <c r="T44" s="84" t="n">
        <v>1116.82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600</v>
      </c>
      <c r="G46" s="19" t="n">
        <v>0</v>
      </c>
      <c r="H46" s="19" t="n">
        <v>750</v>
      </c>
      <c r="I46" s="19" t="n">
        <v>0</v>
      </c>
      <c r="J46" s="19" t="n">
        <v>479.1</v>
      </c>
      <c r="K46" s="19" t="n">
        <v>479.1</v>
      </c>
      <c r="L46" s="19" t="n">
        <v>1561.44</v>
      </c>
      <c r="M46" s="19" t="n">
        <v>481</v>
      </c>
      <c r="N46" s="19" t="n">
        <v>2194.86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600</v>
      </c>
      <c r="G47" s="35" t="n">
        <v>0</v>
      </c>
      <c r="H47" s="35" t="n">
        <v>2000</v>
      </c>
      <c r="I47" s="35" t="n">
        <v>0</v>
      </c>
      <c r="J47" s="35" t="n">
        <v>479.1</v>
      </c>
      <c r="K47" s="35" t="n">
        <v>1785.35</v>
      </c>
      <c r="L47" s="35" t="n">
        <v>1561.44</v>
      </c>
      <c r="M47" s="35" t="n">
        <v>481</v>
      </c>
      <c r="N47" s="35" t="n">
        <v>2349.4</v>
      </c>
      <c r="O47" s="35" t="n">
        <v>598.77</v>
      </c>
      <c r="P47" s="35" t="n">
        <v>516</v>
      </c>
      <c r="Q47" s="35" t="n">
        <v>817.8199999999999</v>
      </c>
      <c r="R47" s="35" t="n">
        <v>956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62.12</v>
      </c>
      <c r="Q48" s="19" t="n">
        <v>82.98999999999999</v>
      </c>
      <c r="R48" s="19" t="n">
        <v>180.48</v>
      </c>
      <c r="S48" s="19" t="n">
        <v>0</v>
      </c>
      <c r="T48" s="84" t="n">
        <v>0</v>
      </c>
      <c r="U48" s="20" t="n">
        <v>271.33</v>
      </c>
      <c r="V48" s="20" t="n">
        <v>271.33</v>
      </c>
      <c r="W48" s="20" t="n">
        <v>271.33</v>
      </c>
      <c r="X48" s="20" t="n">
        <v>271.33</v>
      </c>
      <c r="Y48" s="20" t="n">
        <v>271.33</v>
      </c>
      <c r="Z48" s="20" t="n">
        <v>271.33</v>
      </c>
      <c r="AA48" s="20" t="n">
        <v>271.33</v>
      </c>
      <c r="AB48" s="20" t="n">
        <v>271.33</v>
      </c>
      <c r="AC48" s="20" t="n">
        <v>271.33</v>
      </c>
      <c r="AD48" s="20" t="n">
        <v>271.33</v>
      </c>
      <c r="AE48" s="20" t="n">
        <v>271.33</v>
      </c>
      <c r="AF48" s="20" t="n">
        <v>271.33</v>
      </c>
      <c r="AG48" s="20" t="n">
        <v>271.33</v>
      </c>
      <c r="AH48" s="20" t="n">
        <v>271.33</v>
      </c>
      <c r="AI48" s="20" t="n">
        <v>271.33</v>
      </c>
      <c r="AJ48" s="20" t="n">
        <v>271.33</v>
      </c>
      <c r="AK48" s="20" t="n">
        <v>271.33</v>
      </c>
      <c r="AL48" s="20" t="n">
        <v>271.33</v>
      </c>
      <c r="AM48" s="20" t="n">
        <v>271.33</v>
      </c>
      <c r="AN48" s="20" t="n">
        <v>271.33</v>
      </c>
      <c r="AO48" s="20" t="n">
        <v>271.33</v>
      </c>
      <c r="AP48" s="20" t="n">
        <v>271.33</v>
      </c>
      <c r="AQ48" s="20" t="n">
        <v>271.33</v>
      </c>
      <c r="AR48" s="20" t="n">
        <v>271.33</v>
      </c>
      <c r="AS48" s="20" t="n">
        <v>271.33</v>
      </c>
      <c r="AT48" s="20" t="n">
        <v>271.33</v>
      </c>
      <c r="AU48" s="20" t="n">
        <v>271.33</v>
      </c>
      <c r="AV48" s="20" t="n">
        <v>271.33</v>
      </c>
      <c r="AW48" s="20" t="n">
        <v>271.33</v>
      </c>
      <c r="AX48" s="20" t="n">
        <v>271.33</v>
      </c>
      <c r="AY48" s="20" t="n">
        <v>271.33</v>
      </c>
    </row>
    <row r="49">
      <c r="B49" s="33" t="inlineStr">
        <is>
          <t xml:space="preserve">  606000 Meals</t>
        </is>
      </c>
      <c r="D49" s="19" t="n">
        <v>0</v>
      </c>
      <c r="E49" s="19" t="n">
        <v>1014.51</v>
      </c>
      <c r="F49" s="19" t="n">
        <v>528.79</v>
      </c>
      <c r="G49" s="19" t="n">
        <v>122.82</v>
      </c>
      <c r="H49" s="19" t="n">
        <v>10.61</v>
      </c>
      <c r="I49" s="19" t="n">
        <v>20.86</v>
      </c>
      <c r="J49" s="19" t="n">
        <v>98.34</v>
      </c>
      <c r="K49" s="19" t="n">
        <v>56.55</v>
      </c>
      <c r="L49" s="19" t="n">
        <v>113.76</v>
      </c>
      <c r="M49" s="19" t="n">
        <v>93.73</v>
      </c>
      <c r="N49" s="19" t="n">
        <v>13.08</v>
      </c>
      <c r="O49" s="19" t="n">
        <v>64.3</v>
      </c>
      <c r="P49" s="19" t="n">
        <v>2072.37</v>
      </c>
      <c r="Q49" s="19" t="n">
        <v>36.65</v>
      </c>
      <c r="R49" s="19" t="n">
        <v>86.81</v>
      </c>
      <c r="S49" s="19" t="n">
        <v>39.9</v>
      </c>
      <c r="T49" s="84" t="n">
        <v>43.35</v>
      </c>
      <c r="U49" s="20" t="n">
        <v>1863.16</v>
      </c>
      <c r="V49" s="20" t="n">
        <v>1863.16</v>
      </c>
      <c r="W49" s="20" t="n">
        <v>1863.16</v>
      </c>
      <c r="X49" s="20" t="n">
        <v>1863.16</v>
      </c>
      <c r="Y49" s="20" t="n">
        <v>1863.16</v>
      </c>
      <c r="Z49" s="20" t="n">
        <v>1863.16</v>
      </c>
      <c r="AA49" s="20" t="n">
        <v>1863.16</v>
      </c>
      <c r="AB49" s="20" t="n">
        <v>1863.16</v>
      </c>
      <c r="AC49" s="20" t="n">
        <v>1863.16</v>
      </c>
      <c r="AD49" s="20" t="n">
        <v>1863.16</v>
      </c>
      <c r="AE49" s="20" t="n">
        <v>1863.16</v>
      </c>
      <c r="AF49" s="20" t="n">
        <v>1863.16</v>
      </c>
      <c r="AG49" s="20" t="n">
        <v>1863.16</v>
      </c>
      <c r="AH49" s="20" t="n">
        <v>1863.16</v>
      </c>
      <c r="AI49" s="20" t="n">
        <v>1863.16</v>
      </c>
      <c r="AJ49" s="20" t="n">
        <v>1863.16</v>
      </c>
      <c r="AK49" s="20" t="n">
        <v>1863.16</v>
      </c>
      <c r="AL49" s="20" t="n">
        <v>1863.16</v>
      </c>
      <c r="AM49" s="20" t="n">
        <v>1863.16</v>
      </c>
      <c r="AN49" s="20" t="n">
        <v>1863.16</v>
      </c>
      <c r="AO49" s="20" t="n">
        <v>1863.16</v>
      </c>
      <c r="AP49" s="20" t="n">
        <v>1863.16</v>
      </c>
      <c r="AQ49" s="20" t="n">
        <v>1863.16</v>
      </c>
      <c r="AR49" s="20" t="n">
        <v>1863.16</v>
      </c>
      <c r="AS49" s="20" t="n">
        <v>1863.16</v>
      </c>
      <c r="AT49" s="20" t="n">
        <v>1863.16</v>
      </c>
      <c r="AU49" s="20" t="n">
        <v>1863.16</v>
      </c>
      <c r="AV49" s="20" t="n">
        <v>1863.16</v>
      </c>
      <c r="AW49" s="20" t="n">
        <v>1863.16</v>
      </c>
      <c r="AX49" s="20" t="n">
        <v>1863.16</v>
      </c>
      <c r="AY49" s="20" t="n">
        <v>1863.16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51.55</v>
      </c>
      <c r="F51" s="19" t="n">
        <v>578.36</v>
      </c>
      <c r="G51" s="19" t="n">
        <v>601.12</v>
      </c>
      <c r="H51" s="19" t="n">
        <v>327.54</v>
      </c>
      <c r="I51" s="19" t="n">
        <v>329.37</v>
      </c>
      <c r="J51" s="19" t="n">
        <v>333.85</v>
      </c>
      <c r="K51" s="19" t="n">
        <v>411.25</v>
      </c>
      <c r="L51" s="19" t="n">
        <v>425.71</v>
      </c>
      <c r="M51" s="19" t="n">
        <v>623.85</v>
      </c>
      <c r="N51" s="19" t="n">
        <v>620.1799999999999</v>
      </c>
      <c r="O51" s="19" t="n">
        <v>516.7</v>
      </c>
      <c r="P51" s="19" t="n">
        <v>456.97</v>
      </c>
      <c r="Q51" s="19" t="n">
        <v>289.67</v>
      </c>
      <c r="R51" s="19" t="n">
        <v>347.97</v>
      </c>
      <c r="S51" s="19" t="n">
        <v>424.13</v>
      </c>
      <c r="T51" s="84" t="n">
        <v>834.26</v>
      </c>
      <c r="U51" s="20" t="n">
        <v>400.82</v>
      </c>
      <c r="V51" s="20" t="n">
        <v>400.82</v>
      </c>
      <c r="W51" s="20" t="n">
        <v>400.82</v>
      </c>
      <c r="X51" s="20" t="n">
        <v>400.82</v>
      </c>
      <c r="Y51" s="20" t="n">
        <v>400.82</v>
      </c>
      <c r="Z51" s="20" t="n">
        <v>400.82</v>
      </c>
      <c r="AA51" s="20" t="n">
        <v>400.82</v>
      </c>
      <c r="AB51" s="20" t="n">
        <v>400.82</v>
      </c>
      <c r="AC51" s="20" t="n">
        <v>400.82</v>
      </c>
      <c r="AD51" s="20" t="n">
        <v>400.82</v>
      </c>
      <c r="AE51" s="20" t="n">
        <v>400.82</v>
      </c>
      <c r="AF51" s="20" t="n">
        <v>400.82</v>
      </c>
      <c r="AG51" s="20" t="n">
        <v>400.82</v>
      </c>
      <c r="AH51" s="20" t="n">
        <v>400.82</v>
      </c>
      <c r="AI51" s="20" t="n">
        <v>400.82</v>
      </c>
      <c r="AJ51" s="20" t="n">
        <v>400.82</v>
      </c>
      <c r="AK51" s="20" t="n">
        <v>400.82</v>
      </c>
      <c r="AL51" s="20" t="n">
        <v>400.82</v>
      </c>
      <c r="AM51" s="20" t="n">
        <v>400.82</v>
      </c>
      <c r="AN51" s="20" t="n">
        <v>400.82</v>
      </c>
      <c r="AO51" s="20" t="n">
        <v>400.82</v>
      </c>
      <c r="AP51" s="20" t="n">
        <v>400.82</v>
      </c>
      <c r="AQ51" s="20" t="n">
        <v>400.82</v>
      </c>
      <c r="AR51" s="20" t="n">
        <v>400.82</v>
      </c>
      <c r="AS51" s="20" t="n">
        <v>400.82</v>
      </c>
      <c r="AT51" s="20" t="n">
        <v>400.82</v>
      </c>
      <c r="AU51" s="20" t="n">
        <v>400.82</v>
      </c>
      <c r="AV51" s="20" t="n">
        <v>400.82</v>
      </c>
      <c r="AW51" s="20" t="n">
        <v>400.82</v>
      </c>
      <c r="AX51" s="20" t="n">
        <v>400.82</v>
      </c>
      <c r="AY51" s="20" t="n">
        <v>400.82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111.69</v>
      </c>
      <c r="J53" s="19" t="n">
        <v>111.69</v>
      </c>
      <c r="K53" s="19" t="n">
        <v>111.69</v>
      </c>
      <c r="L53" s="19" t="n">
        <v>111.69</v>
      </c>
      <c r="M53" s="19" t="n">
        <v>111.69</v>
      </c>
      <c r="N53" s="19" t="n">
        <v>111.7</v>
      </c>
      <c r="O53" s="19" t="n">
        <v>233.4</v>
      </c>
      <c r="P53" s="19" t="n">
        <v>116.7</v>
      </c>
      <c r="Q53" s="19" t="n">
        <v>133.22</v>
      </c>
      <c r="R53" s="19" t="n">
        <v>112.22</v>
      </c>
      <c r="S53" s="19" t="n">
        <v>113.22</v>
      </c>
      <c r="T53" s="84" t="n">
        <v>113.18</v>
      </c>
      <c r="U53" s="20" t="n">
        <v>125.46</v>
      </c>
      <c r="V53" s="20" t="n">
        <v>125.46</v>
      </c>
      <c r="W53" s="20" t="n">
        <v>125.46</v>
      </c>
      <c r="X53" s="20" t="n">
        <v>125.46</v>
      </c>
      <c r="Y53" s="20" t="n">
        <v>125.46</v>
      </c>
      <c r="Z53" s="20" t="n">
        <v>125.46</v>
      </c>
      <c r="AA53" s="20" t="n">
        <v>125.46</v>
      </c>
      <c r="AB53" s="20" t="n">
        <v>125.46</v>
      </c>
      <c r="AC53" s="20" t="n">
        <v>125.46</v>
      </c>
      <c r="AD53" s="20" t="n">
        <v>125.46</v>
      </c>
      <c r="AE53" s="20" t="n">
        <v>125.46</v>
      </c>
      <c r="AF53" s="20" t="n">
        <v>125.46</v>
      </c>
      <c r="AG53" s="20" t="n">
        <v>125.46</v>
      </c>
      <c r="AH53" s="20" t="n">
        <v>125.46</v>
      </c>
      <c r="AI53" s="20" t="n">
        <v>125.46</v>
      </c>
      <c r="AJ53" s="20" t="n">
        <v>125.46</v>
      </c>
      <c r="AK53" s="20" t="n">
        <v>125.46</v>
      </c>
      <c r="AL53" s="20" t="n">
        <v>125.46</v>
      </c>
      <c r="AM53" s="20" t="n">
        <v>125.46</v>
      </c>
      <c r="AN53" s="20" t="n">
        <v>125.46</v>
      </c>
      <c r="AO53" s="20" t="n">
        <v>125.46</v>
      </c>
      <c r="AP53" s="20" t="n">
        <v>125.46</v>
      </c>
      <c r="AQ53" s="20" t="n">
        <v>125.46</v>
      </c>
      <c r="AR53" s="20" t="n">
        <v>125.46</v>
      </c>
      <c r="AS53" s="20" t="n">
        <v>125.46</v>
      </c>
      <c r="AT53" s="20" t="n">
        <v>125.46</v>
      </c>
      <c r="AU53" s="20" t="n">
        <v>125.46</v>
      </c>
      <c r="AV53" s="20" t="n">
        <v>125.46</v>
      </c>
      <c r="AW53" s="20" t="n">
        <v>125.46</v>
      </c>
      <c r="AX53" s="20" t="n">
        <v>125.46</v>
      </c>
      <c r="AY53" s="20" t="n">
        <v>125.46</v>
      </c>
    </row>
    <row r="54">
      <c r="B54" s="33" t="inlineStr">
        <is>
          <t xml:space="preserve">  616004 Water &amp; sewer</t>
        </is>
      </c>
      <c r="D54" s="19" t="n">
        <v>55.86</v>
      </c>
      <c r="E54" s="19" t="n">
        <v>0</v>
      </c>
      <c r="F54" s="19" t="n">
        <v>82.5</v>
      </c>
      <c r="G54" s="19" t="n">
        <v>144.5</v>
      </c>
      <c r="H54" s="19" t="n">
        <v>79.84999999999999</v>
      </c>
      <c r="I54" s="19" t="n">
        <v>79.84</v>
      </c>
      <c r="J54" s="19" t="n">
        <v>79.84999999999999</v>
      </c>
      <c r="K54" s="19" t="n">
        <v>119.11</v>
      </c>
      <c r="L54" s="19" t="n">
        <v>210.02</v>
      </c>
      <c r="M54" s="19" t="n">
        <v>219.66</v>
      </c>
      <c r="N54" s="19" t="n">
        <v>204.02</v>
      </c>
      <c r="O54" s="19" t="n">
        <v>-132.07</v>
      </c>
      <c r="P54" s="19" t="n">
        <v>226.59</v>
      </c>
      <c r="Q54" s="19" t="n">
        <v>203.4</v>
      </c>
      <c r="R54" s="19" t="n">
        <v>73.29000000000001</v>
      </c>
      <c r="S54" s="19" t="n">
        <v>227.72</v>
      </c>
      <c r="T54" s="84" t="n">
        <v>211.89</v>
      </c>
      <c r="U54" s="20" t="n">
        <v>192.92</v>
      </c>
      <c r="V54" s="20" t="n">
        <v>192.92</v>
      </c>
      <c r="W54" s="20" t="n">
        <v>192.92</v>
      </c>
      <c r="X54" s="20" t="n">
        <v>192.92</v>
      </c>
      <c r="Y54" s="20" t="n">
        <v>192.92</v>
      </c>
      <c r="Z54" s="20" t="n">
        <v>192.92</v>
      </c>
      <c r="AA54" s="20" t="n">
        <v>192.92</v>
      </c>
      <c r="AB54" s="20" t="n">
        <v>192.92</v>
      </c>
      <c r="AC54" s="20" t="n">
        <v>192.92</v>
      </c>
      <c r="AD54" s="20" t="n">
        <v>192.92</v>
      </c>
      <c r="AE54" s="20" t="n">
        <v>192.92</v>
      </c>
      <c r="AF54" s="20" t="n">
        <v>192.92</v>
      </c>
      <c r="AG54" s="20" t="n">
        <v>192.92</v>
      </c>
      <c r="AH54" s="20" t="n">
        <v>192.92</v>
      </c>
      <c r="AI54" s="20" t="n">
        <v>192.92</v>
      </c>
      <c r="AJ54" s="20" t="n">
        <v>192.92</v>
      </c>
      <c r="AK54" s="20" t="n">
        <v>192.92</v>
      </c>
      <c r="AL54" s="20" t="n">
        <v>192.92</v>
      </c>
      <c r="AM54" s="20" t="n">
        <v>192.92</v>
      </c>
      <c r="AN54" s="20" t="n">
        <v>192.92</v>
      </c>
      <c r="AO54" s="20" t="n">
        <v>192.92</v>
      </c>
      <c r="AP54" s="20" t="n">
        <v>192.92</v>
      </c>
      <c r="AQ54" s="20" t="n">
        <v>192.92</v>
      </c>
      <c r="AR54" s="20" t="n">
        <v>192.92</v>
      </c>
      <c r="AS54" s="20" t="n">
        <v>192.92</v>
      </c>
      <c r="AT54" s="20" t="n">
        <v>192.92</v>
      </c>
      <c r="AU54" s="20" t="n">
        <v>192.92</v>
      </c>
      <c r="AV54" s="20" t="n">
        <v>192.92</v>
      </c>
      <c r="AW54" s="20" t="n">
        <v>192.92</v>
      </c>
      <c r="AX54" s="20" t="n">
        <v>192.92</v>
      </c>
      <c r="AY54" s="20" t="n">
        <v>192.92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425</v>
      </c>
      <c r="F55" s="19" t="n">
        <v>15</v>
      </c>
      <c r="G55" s="19" t="n">
        <v>0</v>
      </c>
      <c r="H55" s="19" t="n">
        <v>0</v>
      </c>
      <c r="I55" s="19" t="n">
        <v>276.78</v>
      </c>
      <c r="J55" s="19" t="n">
        <v>90.8</v>
      </c>
      <c r="K55" s="19" t="n">
        <v>90.8</v>
      </c>
      <c r="L55" s="19" t="n">
        <v>90.8</v>
      </c>
      <c r="M55" s="19" t="n">
        <v>258.52</v>
      </c>
      <c r="N55" s="19" t="n">
        <v>204.1</v>
      </c>
      <c r="O55" s="19" t="n">
        <v>102.05</v>
      </c>
      <c r="P55" s="19" t="n">
        <v>0</v>
      </c>
      <c r="Q55" s="19" t="n">
        <v>103.05</v>
      </c>
      <c r="R55" s="19" t="n">
        <v>102.05</v>
      </c>
      <c r="S55" s="19" t="n">
        <v>102.05</v>
      </c>
      <c r="T55" s="84" t="n">
        <v>102.05</v>
      </c>
      <c r="U55" s="20" t="n">
        <v>81.06</v>
      </c>
      <c r="V55" s="20" t="n">
        <v>81.06</v>
      </c>
      <c r="W55" s="20" t="n">
        <v>81.06</v>
      </c>
      <c r="X55" s="20" t="n">
        <v>81.06</v>
      </c>
      <c r="Y55" s="20" t="n">
        <v>81.06</v>
      </c>
      <c r="Z55" s="20" t="n">
        <v>81.06</v>
      </c>
      <c r="AA55" s="20" t="n">
        <v>81.06</v>
      </c>
      <c r="AB55" s="20" t="n">
        <v>81.06</v>
      </c>
      <c r="AC55" s="20" t="n">
        <v>81.06</v>
      </c>
      <c r="AD55" s="20" t="n">
        <v>81.06</v>
      </c>
      <c r="AE55" s="20" t="n">
        <v>81.06</v>
      </c>
      <c r="AF55" s="20" t="n">
        <v>81.06</v>
      </c>
      <c r="AG55" s="20" t="n">
        <v>81.06</v>
      </c>
      <c r="AH55" s="20" t="n">
        <v>81.06</v>
      </c>
      <c r="AI55" s="20" t="n">
        <v>81.06</v>
      </c>
      <c r="AJ55" s="20" t="n">
        <v>81.06</v>
      </c>
      <c r="AK55" s="20" t="n">
        <v>81.06</v>
      </c>
      <c r="AL55" s="20" t="n">
        <v>81.06</v>
      </c>
      <c r="AM55" s="20" t="n">
        <v>81.06</v>
      </c>
      <c r="AN55" s="20" t="n">
        <v>81.06</v>
      </c>
      <c r="AO55" s="20" t="n">
        <v>81.06</v>
      </c>
      <c r="AP55" s="20" t="n">
        <v>81.06</v>
      </c>
      <c r="AQ55" s="20" t="n">
        <v>81.06</v>
      </c>
      <c r="AR55" s="20" t="n">
        <v>81.06</v>
      </c>
      <c r="AS55" s="20" t="n">
        <v>81.06</v>
      </c>
      <c r="AT55" s="20" t="n">
        <v>81.06</v>
      </c>
      <c r="AU55" s="20" t="n">
        <v>81.06</v>
      </c>
      <c r="AV55" s="20" t="n">
        <v>81.06</v>
      </c>
      <c r="AW55" s="20" t="n">
        <v>81.06</v>
      </c>
      <c r="AX55" s="20" t="n">
        <v>81.06</v>
      </c>
      <c r="AY55" s="20" t="n">
        <v>81.06</v>
      </c>
    </row>
    <row r="56">
      <c r="B56" s="32" t="inlineStr">
        <is>
          <t>Total Utilities</t>
        </is>
      </c>
      <c r="C56" s="34" t="n"/>
      <c r="D56" s="35" t="n">
        <v>55.86</v>
      </c>
      <c r="E56" s="35" t="n">
        <v>576.55</v>
      </c>
      <c r="F56" s="35" t="n">
        <v>675.86</v>
      </c>
      <c r="G56" s="35" t="n">
        <v>745.62</v>
      </c>
      <c r="H56" s="35" t="n">
        <v>407.39</v>
      </c>
      <c r="I56" s="35" t="n">
        <v>797.6799999999999</v>
      </c>
      <c r="J56" s="35" t="n">
        <v>616.1899999999999</v>
      </c>
      <c r="K56" s="35" t="n">
        <v>732.85</v>
      </c>
      <c r="L56" s="35" t="n">
        <v>838.2199999999999</v>
      </c>
      <c r="M56" s="35" t="n">
        <v>1213.72</v>
      </c>
      <c r="N56" s="35" t="n">
        <v>1140</v>
      </c>
      <c r="O56" s="35" t="n">
        <v>720.0799999999999</v>
      </c>
      <c r="P56" s="35" t="n">
        <v>800.2600000000001</v>
      </c>
      <c r="Q56" s="35" t="n">
        <v>729.3399999999999</v>
      </c>
      <c r="R56" s="35" t="n">
        <v>635.53</v>
      </c>
      <c r="S56" s="35" t="n">
        <v>867.12</v>
      </c>
      <c r="T56" s="85" t="n">
        <v>1261.38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9241.09</v>
      </c>
      <c r="E57" s="19" t="n">
        <v>9241.09</v>
      </c>
      <c r="F57" s="19" t="n">
        <v>9241.09</v>
      </c>
      <c r="G57" s="19" t="n">
        <v>9241.09</v>
      </c>
      <c r="H57" s="19" t="n">
        <v>9241.09</v>
      </c>
      <c r="I57" s="19" t="n">
        <v>9241.09</v>
      </c>
      <c r="J57" s="19" t="n">
        <v>9241.09</v>
      </c>
      <c r="K57" s="19" t="n">
        <v>9241.09</v>
      </c>
      <c r="L57" s="19" t="n">
        <v>9241.09</v>
      </c>
      <c r="M57" s="19" t="n">
        <v>9241.09</v>
      </c>
      <c r="N57" s="19" t="n">
        <v>9241.09</v>
      </c>
      <c r="O57" s="19" t="n">
        <v>9241.09</v>
      </c>
      <c r="P57" s="19" t="n">
        <v>9241.09</v>
      </c>
      <c r="Q57" s="19" t="n">
        <v>9241.09</v>
      </c>
      <c r="R57" s="19" t="n">
        <v>9241.09</v>
      </c>
      <c r="S57" s="19" t="n">
        <v>9241.09</v>
      </c>
      <c r="T57" s="84" t="n">
        <v>9241.09</v>
      </c>
      <c r="U57" s="20" t="n">
        <v>9214.639999999999</v>
      </c>
      <c r="V57" s="20" t="n">
        <v>9214.639999999999</v>
      </c>
      <c r="W57" s="20" t="n">
        <v>9214.639999999999</v>
      </c>
      <c r="X57" s="20" t="n">
        <v>9214.639999999999</v>
      </c>
      <c r="Y57" s="20" t="n">
        <v>9214.639999999999</v>
      </c>
      <c r="Z57" s="20" t="n">
        <v>9214.639999999999</v>
      </c>
      <c r="AA57" s="20" t="n">
        <v>9214.639999999999</v>
      </c>
      <c r="AB57" s="20" t="n">
        <v>9214.639999999999</v>
      </c>
      <c r="AC57" s="20" t="n">
        <v>9214.639999999999</v>
      </c>
      <c r="AD57" s="20" t="n">
        <v>9214.639999999999</v>
      </c>
      <c r="AE57" s="20" t="n">
        <v>9214.639999999999</v>
      </c>
      <c r="AF57" s="20" t="n">
        <v>9214.639999999999</v>
      </c>
      <c r="AG57" s="20" t="n">
        <v>9214.639999999999</v>
      </c>
      <c r="AH57" s="20" t="n">
        <v>9214.639999999999</v>
      </c>
      <c r="AI57" s="20" t="n">
        <v>9214.639999999999</v>
      </c>
      <c r="AJ57" s="20" t="n">
        <v>9214.639999999999</v>
      </c>
      <c r="AK57" s="20" t="n">
        <v>9214.639999999999</v>
      </c>
      <c r="AL57" s="20" t="n">
        <v>9214.639999999999</v>
      </c>
      <c r="AM57" s="20" t="n">
        <v>9214.639999999999</v>
      </c>
      <c r="AN57" s="20" t="n">
        <v>9214.639999999999</v>
      </c>
      <c r="AO57" s="20" t="n">
        <v>9214.639999999999</v>
      </c>
      <c r="AP57" s="20" t="n">
        <v>9214.639999999999</v>
      </c>
      <c r="AQ57" s="20" t="n">
        <v>9214.639999999999</v>
      </c>
      <c r="AR57" s="20" t="n">
        <v>9214.639999999999</v>
      </c>
      <c r="AS57" s="20" t="n">
        <v>9214.639999999999</v>
      </c>
      <c r="AT57" s="20" t="n">
        <v>9214.639999999999</v>
      </c>
      <c r="AU57" s="20" t="n">
        <v>9214.639999999999</v>
      </c>
      <c r="AV57" s="20" t="n">
        <v>9214.639999999999</v>
      </c>
      <c r="AW57" s="20" t="n">
        <v>9214.639999999999</v>
      </c>
      <c r="AX57" s="20" t="n">
        <v>9214.639999999999</v>
      </c>
      <c r="AY57" s="20" t="n">
        <v>9214.639999999999</v>
      </c>
    </row>
    <row r="58">
      <c r="B58" s="33" t="inlineStr">
        <is>
          <t xml:space="preserve">  702000 Security</t>
        </is>
      </c>
      <c r="D58" s="19" t="n">
        <v>314.93</v>
      </c>
      <c r="E58" s="19" t="n">
        <v>0</v>
      </c>
      <c r="F58" s="19" t="n">
        <v>139.05</v>
      </c>
      <c r="G58" s="19" t="n">
        <v>150</v>
      </c>
      <c r="H58" s="19" t="n">
        <v>0</v>
      </c>
      <c r="I58" s="19" t="n">
        <v>0</v>
      </c>
      <c r="J58" s="19" t="n">
        <v>150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245</v>
      </c>
      <c r="Q58" s="19" t="n">
        <v>0</v>
      </c>
      <c r="R58" s="19" t="n">
        <v>0</v>
      </c>
      <c r="S58" s="19" t="n">
        <v>150</v>
      </c>
      <c r="T58" s="84" t="n">
        <v>0</v>
      </c>
      <c r="U58" s="20" t="n">
        <v>98.47</v>
      </c>
      <c r="V58" s="20" t="n">
        <v>98.47</v>
      </c>
      <c r="W58" s="20" t="n">
        <v>98.47</v>
      </c>
      <c r="X58" s="20" t="n">
        <v>98.47</v>
      </c>
      <c r="Y58" s="20" t="n">
        <v>98.47</v>
      </c>
      <c r="Z58" s="20" t="n">
        <v>98.47</v>
      </c>
      <c r="AA58" s="20" t="n">
        <v>98.47</v>
      </c>
      <c r="AB58" s="20" t="n">
        <v>98.47</v>
      </c>
      <c r="AC58" s="20" t="n">
        <v>98.47</v>
      </c>
      <c r="AD58" s="20" t="n">
        <v>98.47</v>
      </c>
      <c r="AE58" s="20" t="n">
        <v>98.47</v>
      </c>
      <c r="AF58" s="20" t="n">
        <v>98.47</v>
      </c>
      <c r="AG58" s="20" t="n">
        <v>98.47</v>
      </c>
      <c r="AH58" s="20" t="n">
        <v>98.47</v>
      </c>
      <c r="AI58" s="20" t="n">
        <v>98.47</v>
      </c>
      <c r="AJ58" s="20" t="n">
        <v>98.47</v>
      </c>
      <c r="AK58" s="20" t="n">
        <v>98.47</v>
      </c>
      <c r="AL58" s="20" t="n">
        <v>98.47</v>
      </c>
      <c r="AM58" s="20" t="n">
        <v>98.47</v>
      </c>
      <c r="AN58" s="20" t="n">
        <v>98.47</v>
      </c>
      <c r="AO58" s="20" t="n">
        <v>98.47</v>
      </c>
      <c r="AP58" s="20" t="n">
        <v>98.47</v>
      </c>
      <c r="AQ58" s="20" t="n">
        <v>98.47</v>
      </c>
      <c r="AR58" s="20" t="n">
        <v>98.47</v>
      </c>
      <c r="AS58" s="20" t="n">
        <v>98.47</v>
      </c>
      <c r="AT58" s="20" t="n">
        <v>98.47</v>
      </c>
      <c r="AU58" s="20" t="n">
        <v>98.47</v>
      </c>
      <c r="AV58" s="20" t="n">
        <v>98.47</v>
      </c>
      <c r="AW58" s="20" t="n">
        <v>98.47</v>
      </c>
      <c r="AX58" s="20" t="n">
        <v>98.47</v>
      </c>
      <c r="AY58" s="20" t="n">
        <v>98.47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121.44</v>
      </c>
      <c r="J59" s="19" t="n">
        <v>163.26</v>
      </c>
      <c r="K59" s="19" t="n">
        <v>134.12</v>
      </c>
      <c r="L59" s="19" t="n">
        <v>0</v>
      </c>
      <c r="M59" s="19" t="n">
        <v>0</v>
      </c>
      <c r="N59" s="19" t="n">
        <v>358.19</v>
      </c>
      <c r="O59" s="19" t="n">
        <v>224.7</v>
      </c>
      <c r="P59" s="19" t="n">
        <v>129.44</v>
      </c>
      <c r="Q59" s="19" t="n">
        <v>99.91</v>
      </c>
      <c r="R59" s="19" t="n">
        <v>596.9299999999999</v>
      </c>
      <c r="S59" s="19" t="n">
        <v>386.89</v>
      </c>
      <c r="T59" s="84" t="n">
        <v>334.63</v>
      </c>
      <c r="U59" s="20" t="n">
        <v>302.42</v>
      </c>
      <c r="V59" s="20" t="n">
        <v>302.42</v>
      </c>
      <c r="W59" s="20" t="n">
        <v>302.42</v>
      </c>
      <c r="X59" s="20" t="n">
        <v>302.42</v>
      </c>
      <c r="Y59" s="20" t="n">
        <v>302.42</v>
      </c>
      <c r="Z59" s="20" t="n">
        <v>302.42</v>
      </c>
      <c r="AA59" s="20" t="n">
        <v>302.42</v>
      </c>
      <c r="AB59" s="20" t="n">
        <v>302.42</v>
      </c>
      <c r="AC59" s="20" t="n">
        <v>302.42</v>
      </c>
      <c r="AD59" s="20" t="n">
        <v>302.42</v>
      </c>
      <c r="AE59" s="20" t="n">
        <v>302.42</v>
      </c>
      <c r="AF59" s="20" t="n">
        <v>302.42</v>
      </c>
      <c r="AG59" s="20" t="n">
        <v>302.42</v>
      </c>
      <c r="AH59" s="20" t="n">
        <v>302.42</v>
      </c>
      <c r="AI59" s="20" t="n">
        <v>302.42</v>
      </c>
      <c r="AJ59" s="20" t="n">
        <v>302.42</v>
      </c>
      <c r="AK59" s="20" t="n">
        <v>302.42</v>
      </c>
      <c r="AL59" s="20" t="n">
        <v>302.42</v>
      </c>
      <c r="AM59" s="20" t="n">
        <v>302.42</v>
      </c>
      <c r="AN59" s="20" t="n">
        <v>302.42</v>
      </c>
      <c r="AO59" s="20" t="n">
        <v>302.42</v>
      </c>
      <c r="AP59" s="20" t="n">
        <v>302.42</v>
      </c>
      <c r="AQ59" s="20" t="n">
        <v>302.42</v>
      </c>
      <c r="AR59" s="20" t="n">
        <v>302.42</v>
      </c>
      <c r="AS59" s="20" t="n">
        <v>302.42</v>
      </c>
      <c r="AT59" s="20" t="n">
        <v>302.42</v>
      </c>
      <c r="AU59" s="20" t="n">
        <v>302.42</v>
      </c>
      <c r="AV59" s="20" t="n">
        <v>302.42</v>
      </c>
      <c r="AW59" s="20" t="n">
        <v>302.42</v>
      </c>
      <c r="AX59" s="20" t="n">
        <v>302.42</v>
      </c>
      <c r="AY59" s="20" t="n">
        <v>302.42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9556.02</v>
      </c>
      <c r="E61" s="35" t="n">
        <v>9760.309999999999</v>
      </c>
      <c r="F61" s="35" t="n">
        <v>9640.139999999999</v>
      </c>
      <c r="G61" s="35" t="n">
        <v>9525.940000000001</v>
      </c>
      <c r="H61" s="35" t="n">
        <v>9291.08</v>
      </c>
      <c r="I61" s="35" t="n">
        <v>9362.530000000001</v>
      </c>
      <c r="J61" s="35" t="n">
        <v>9554.35</v>
      </c>
      <c r="K61" s="35" t="n">
        <v>9375.209999999999</v>
      </c>
      <c r="L61" s="35" t="n">
        <v>9664.09</v>
      </c>
      <c r="M61" s="35" t="n">
        <v>9241.09</v>
      </c>
      <c r="N61" s="35" t="n">
        <v>9599.280000000001</v>
      </c>
      <c r="O61" s="35" t="n">
        <v>9465.790000000001</v>
      </c>
      <c r="P61" s="35" t="n">
        <v>9615.530000000001</v>
      </c>
      <c r="Q61" s="35" t="n">
        <v>9341</v>
      </c>
      <c r="R61" s="35" t="n">
        <v>9990.07</v>
      </c>
      <c r="S61" s="35" t="n">
        <v>9855.08</v>
      </c>
      <c r="T61" s="85" t="n">
        <v>9575.719999999999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30083.98</v>
      </c>
      <c r="E62" s="35" t="n">
        <v>50452.71000000001</v>
      </c>
      <c r="F62" s="35" t="n">
        <v>59006.35</v>
      </c>
      <c r="G62" s="35" t="n">
        <v>57596.11000000001</v>
      </c>
      <c r="H62" s="35" t="n">
        <v>65880.51000000001</v>
      </c>
      <c r="I62" s="35" t="n">
        <v>59913.13</v>
      </c>
      <c r="J62" s="35" t="n">
        <v>61447.35000000001</v>
      </c>
      <c r="K62" s="35" t="n">
        <v>63909.04</v>
      </c>
      <c r="L62" s="35" t="n">
        <v>62408.84000000001</v>
      </c>
      <c r="M62" s="35" t="n">
        <v>64961.23000000001</v>
      </c>
      <c r="N62" s="35" t="n">
        <v>66684.20000000001</v>
      </c>
      <c r="O62" s="35" t="n">
        <v>54339.11</v>
      </c>
      <c r="P62" s="35" t="n">
        <v>68093.75</v>
      </c>
      <c r="Q62" s="35" t="n">
        <v>71864.79999999999</v>
      </c>
      <c r="R62" s="35" t="n">
        <v>73070.99000000001</v>
      </c>
      <c r="S62" s="35" t="n">
        <v>64340.29</v>
      </c>
      <c r="T62" s="85" t="n">
        <v>65105.61999999999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-29731.45</v>
      </c>
      <c r="E63" s="35" t="n">
        <v>-36479.27</v>
      </c>
      <c r="F63" s="35" t="n">
        <v>-9255.949999999995</v>
      </c>
      <c r="G63" s="35" t="n">
        <v>-896.6800000000076</v>
      </c>
      <c r="H63" s="35" t="n">
        <v>3698.679999999993</v>
      </c>
      <c r="I63" s="35" t="n">
        <v>12792.38</v>
      </c>
      <c r="J63" s="35" t="n">
        <v>4049.700000000005</v>
      </c>
      <c r="K63" s="35" t="n">
        <v>3189.839999999989</v>
      </c>
      <c r="L63" s="35" t="n">
        <v>16190.43999999999</v>
      </c>
      <c r="M63" s="35" t="n">
        <v>11570.76</v>
      </c>
      <c r="N63" s="35" t="n">
        <v>7500.949999999983</v>
      </c>
      <c r="O63" s="35" t="n">
        <v>21923.41</v>
      </c>
      <c r="P63" s="35" t="n">
        <v>31109.82999999999</v>
      </c>
      <c r="Q63" s="35" t="n">
        <v>17318.63</v>
      </c>
      <c r="R63" s="35" t="n">
        <v>15464.57000000001</v>
      </c>
      <c r="S63" s="35" t="n">
        <v>14916.37999999998</v>
      </c>
      <c r="T63" s="85" t="n">
        <v>16320.94000000001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2222.08</v>
      </c>
      <c r="F65" s="19" t="n">
        <v>2272.52</v>
      </c>
      <c r="G65" s="19" t="n">
        <v>2278.09</v>
      </c>
      <c r="H65" s="19" t="n">
        <v>2374.86</v>
      </c>
      <c r="I65" s="19" t="n">
        <v>2374.86</v>
      </c>
      <c r="J65" s="19" t="n">
        <v>2402.5</v>
      </c>
      <c r="K65" s="19" t="n">
        <v>2402.5</v>
      </c>
      <c r="L65" s="19" t="n">
        <v>2402.5</v>
      </c>
      <c r="M65" s="19" t="n">
        <v>2433.63</v>
      </c>
      <c r="N65" s="19" t="n">
        <v>2433.63</v>
      </c>
      <c r="O65" s="19" t="n">
        <v>8606.440000000001</v>
      </c>
      <c r="P65" s="19" t="n">
        <v>2812.47</v>
      </c>
      <c r="Q65" s="19" t="n">
        <v>2812.47</v>
      </c>
      <c r="R65" s="19" t="n">
        <v>2812.47</v>
      </c>
      <c r="S65" s="19" t="n">
        <v>2812.47</v>
      </c>
      <c r="T65" s="84" t="n">
        <v>2812.47</v>
      </c>
      <c r="U65" s="20" t="n">
        <v>2812.47</v>
      </c>
      <c r="V65" s="20" t="n">
        <v>2812.47</v>
      </c>
      <c r="W65" s="20" t="n">
        <v>2812.47</v>
      </c>
      <c r="X65" s="20" t="n">
        <v>2812.47</v>
      </c>
      <c r="Y65" s="20" t="n">
        <v>2812.47</v>
      </c>
      <c r="Z65" s="20" t="n">
        <v>2812.47</v>
      </c>
      <c r="AA65" s="20" t="n">
        <v>2812.47</v>
      </c>
      <c r="AB65" s="20" t="n">
        <v>2812.47</v>
      </c>
      <c r="AC65" s="20" t="n">
        <v>2812.47</v>
      </c>
      <c r="AD65" s="20" t="n">
        <v>2812.47</v>
      </c>
      <c r="AE65" s="20" t="n">
        <v>2812.47</v>
      </c>
      <c r="AF65" s="20" t="n">
        <v>2812.47</v>
      </c>
      <c r="AG65" s="20" t="n">
        <v>2812.47</v>
      </c>
      <c r="AH65" s="20" t="n">
        <v>2812.47</v>
      </c>
      <c r="AI65" s="20" t="n">
        <v>2812.47</v>
      </c>
      <c r="AJ65" s="20" t="n">
        <v>2812.47</v>
      </c>
      <c r="AK65" s="20" t="n">
        <v>2812.47</v>
      </c>
      <c r="AL65" s="20" t="n">
        <v>2812.47</v>
      </c>
      <c r="AM65" s="20" t="n">
        <v>2812.47</v>
      </c>
      <c r="AN65" s="20">
        <f>AN69*1.102403</f>
        <v/>
      </c>
      <c r="AO65" s="20">
        <f>AO69*1.102403</f>
        <v/>
      </c>
      <c r="AP65" s="20">
        <f>AP69*1.102403</f>
        <v/>
      </c>
      <c r="AQ65" s="20">
        <f>AQ69*1.102403</f>
        <v/>
      </c>
      <c r="AR65" s="20">
        <f>AR69*1.102403</f>
        <v/>
      </c>
      <c r="AS65" s="20">
        <f>AS69*1.102403</f>
        <v/>
      </c>
      <c r="AT65" s="20">
        <f>AT69*1.102403</f>
        <v/>
      </c>
      <c r="AU65" s="20">
        <f>AU69*1.102403</f>
        <v/>
      </c>
      <c r="AV65" s="20">
        <f>AV69*1.102403</f>
        <v/>
      </c>
      <c r="AW65" s="20">
        <f>AW69*1.102403</f>
        <v/>
      </c>
      <c r="AX65" s="20">
        <f>AX69*1.102403</f>
        <v/>
      </c>
      <c r="AY65" s="20">
        <f>AY69*1.102403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579.9299999999999</v>
      </c>
      <c r="R67" s="19" t="n">
        <v>0</v>
      </c>
      <c r="S67" s="19" t="n">
        <v>0</v>
      </c>
      <c r="T67" s="84" t="n">
        <v>0</v>
      </c>
      <c r="U67" s="20">
        <f>U69*0.056829</f>
        <v/>
      </c>
      <c r="V67" s="20">
        <f>V69*0.056829</f>
        <v/>
      </c>
      <c r="W67" s="20">
        <f>W69*0.056829</f>
        <v/>
      </c>
      <c r="X67" s="20">
        <f>X69*0.056829</f>
        <v/>
      </c>
      <c r="Y67" s="20">
        <f>Y69*0.056829</f>
        <v/>
      </c>
      <c r="Z67" s="20">
        <f>Z69*0.056829</f>
        <v/>
      </c>
      <c r="AA67" s="20">
        <f>AA69*0.056829</f>
        <v/>
      </c>
      <c r="AB67" s="20">
        <f>AB69*0.056829</f>
        <v/>
      </c>
      <c r="AC67" s="20">
        <f>AC69*0.056829</f>
        <v/>
      </c>
      <c r="AD67" s="20">
        <f>AD69*0.056829</f>
        <v/>
      </c>
      <c r="AE67" s="20">
        <f>AE69*0.056829</f>
        <v/>
      </c>
      <c r="AF67" s="20">
        <f>AF69*0.056829</f>
        <v/>
      </c>
      <c r="AG67" s="20">
        <f>AG69*0.056829</f>
        <v/>
      </c>
      <c r="AH67" s="20">
        <f>AH69*0.056829</f>
        <v/>
      </c>
      <c r="AI67" s="20">
        <f>AI69*0.056829</f>
        <v/>
      </c>
      <c r="AJ67" s="20">
        <f>AJ69*0.056829</f>
        <v/>
      </c>
      <c r="AK67" s="20">
        <f>AK69*0.056829</f>
        <v/>
      </c>
      <c r="AL67" s="20">
        <f>AL69*0.056829</f>
        <v/>
      </c>
      <c r="AM67" s="20">
        <f>AM69*0.056829</f>
        <v/>
      </c>
      <c r="AN67" s="20">
        <f>AN69*0.056829</f>
        <v/>
      </c>
      <c r="AO67" s="20">
        <f>AO69*0.056829</f>
        <v/>
      </c>
      <c r="AP67" s="20">
        <f>AP69*0.056829</f>
        <v/>
      </c>
      <c r="AQ67" s="20">
        <f>AQ69*0.056829</f>
        <v/>
      </c>
      <c r="AR67" s="20">
        <f>AR69*0.056829</f>
        <v/>
      </c>
      <c r="AS67" s="20">
        <f>AS69*0.056829</f>
        <v/>
      </c>
      <c r="AT67" s="20">
        <f>AT69*0.056829</f>
        <v/>
      </c>
      <c r="AU67" s="20">
        <f>AU69*0.056829</f>
        <v/>
      </c>
      <c r="AV67" s="20">
        <f>AV69*0.056829</f>
        <v/>
      </c>
      <c r="AW67" s="20">
        <f>AW69*0.056829</f>
        <v/>
      </c>
      <c r="AX67" s="20">
        <f>AX69*0.056829</f>
        <v/>
      </c>
      <c r="AY67" s="20">
        <f>AY69*0.056829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2222.08</v>
      </c>
      <c r="F69" s="35" t="n">
        <v>2272.52</v>
      </c>
      <c r="G69" s="35" t="n">
        <v>2278.09</v>
      </c>
      <c r="H69" s="35" t="n">
        <v>2374.86</v>
      </c>
      <c r="I69" s="35" t="n">
        <v>2374.86</v>
      </c>
      <c r="J69" s="35" t="n">
        <v>2402.5</v>
      </c>
      <c r="K69" s="35" t="n">
        <v>2402.5</v>
      </c>
      <c r="L69" s="35" t="n">
        <v>2402.5</v>
      </c>
      <c r="M69" s="35" t="n">
        <v>2433.63</v>
      </c>
      <c r="N69" s="35" t="n">
        <v>2433.63</v>
      </c>
      <c r="O69" s="35" t="n">
        <v>8606.440000000001</v>
      </c>
      <c r="P69" s="35" t="n">
        <v>2812.47</v>
      </c>
      <c r="Q69" s="35" t="n">
        <v>3392.4</v>
      </c>
      <c r="R69" s="35" t="n">
        <v>2812.47</v>
      </c>
      <c r="S69" s="35" t="n">
        <v>-1187.53</v>
      </c>
      <c r="T69" s="85" t="n">
        <v>2812.47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-29731.45</v>
      </c>
      <c r="E70" s="35" t="n">
        <v>-38701.35000000001</v>
      </c>
      <c r="F70" s="35" t="n">
        <v>-11528.47</v>
      </c>
      <c r="G70" s="35" t="n">
        <v>-3174.770000000008</v>
      </c>
      <c r="H70" s="35" t="n">
        <v>1323.819999999993</v>
      </c>
      <c r="I70" s="35" t="n">
        <v>10417.52</v>
      </c>
      <c r="J70" s="35" t="n">
        <v>1647.200000000004</v>
      </c>
      <c r="K70" s="35" t="n">
        <v>787.3399999999892</v>
      </c>
      <c r="L70" s="35" t="n">
        <v>13787.93999999999</v>
      </c>
      <c r="M70" s="35" t="n">
        <v>9137.129999999994</v>
      </c>
      <c r="N70" s="35" t="n">
        <v>5067.319999999982</v>
      </c>
      <c r="O70" s="35" t="n">
        <v>13316.97</v>
      </c>
      <c r="P70" s="35" t="n">
        <v>28297.35999999998</v>
      </c>
      <c r="Q70" s="35" t="n">
        <v>13926.23</v>
      </c>
      <c r="R70" s="35" t="n">
        <v>12652.10000000001</v>
      </c>
      <c r="S70" s="35" t="n">
        <v>16103.90999999998</v>
      </c>
      <c r="T70" s="85" t="n">
        <v>13508.47000000001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6" activePane="bottomRight" state="frozen"/>
      <selection pane="topRight" activeCell="A1" sqref="A1"/>
      <selection pane="bottomLeft" activeCell="A1" sqref="A1"/>
      <selection pane="bottomRight" activeCell="L22" sqref="L22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Barbara (SB)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4306.67</v>
      </c>
      <c r="O7" s="19" t="n">
        <v>7300.92</v>
      </c>
      <c r="P7" s="19" t="n">
        <v>12397.68</v>
      </c>
      <c r="Q7" s="19" t="n">
        <v>14799.82</v>
      </c>
      <c r="R7" s="19" t="n">
        <v>13891.53</v>
      </c>
      <c r="S7" s="19" t="n">
        <v>10796.05</v>
      </c>
      <c r="T7" s="84" t="n">
        <v>9265.469999999999</v>
      </c>
      <c r="U7" s="20">
        <f>U13*0.463805</f>
        <v/>
      </c>
      <c r="V7" s="20">
        <f>V13*0.463805</f>
        <v/>
      </c>
      <c r="W7" s="20">
        <f>W13*0.463805</f>
        <v/>
      </c>
      <c r="X7" s="20">
        <f>X13*0.463805</f>
        <v/>
      </c>
      <c r="Y7" s="20">
        <f>Y13*0.463805</f>
        <v/>
      </c>
      <c r="Z7" s="20">
        <f>Z13*0.463805</f>
        <v/>
      </c>
      <c r="AA7" s="20">
        <f>AA13*0.463805</f>
        <v/>
      </c>
      <c r="AB7" s="20">
        <f>AB13*0.463805</f>
        <v/>
      </c>
      <c r="AC7" s="20">
        <f>AC13*0.463805</f>
        <v/>
      </c>
      <c r="AD7" s="20">
        <f>AD13*0.463805</f>
        <v/>
      </c>
      <c r="AE7" s="20">
        <f>AE13*0.463805</f>
        <v/>
      </c>
      <c r="AF7" s="20">
        <f>AF13*0.463805</f>
        <v/>
      </c>
      <c r="AG7" s="20">
        <f>AG13*0.463805</f>
        <v/>
      </c>
      <c r="AH7" s="20">
        <f>AH13*0.463805</f>
        <v/>
      </c>
      <c r="AI7" s="20">
        <f>AI13*0.463805</f>
        <v/>
      </c>
      <c r="AJ7" s="20">
        <f>AJ13*0.463805</f>
        <v/>
      </c>
      <c r="AK7" s="20">
        <f>AK13*0.463805</f>
        <v/>
      </c>
      <c r="AL7" s="20">
        <f>AL13*0.463805</f>
        <v/>
      </c>
      <c r="AM7" s="20">
        <f>AM13*0.463805</f>
        <v/>
      </c>
      <c r="AN7" s="20">
        <f>AN13*0.463805</f>
        <v/>
      </c>
      <c r="AO7" s="20">
        <f>AO13*0.463805</f>
        <v/>
      </c>
      <c r="AP7" s="20">
        <f>AP13*0.463805</f>
        <v/>
      </c>
      <c r="AQ7" s="20">
        <f>AQ13*0.463805</f>
        <v/>
      </c>
      <c r="AR7" s="20">
        <f>AR13*0.463805</f>
        <v/>
      </c>
      <c r="AS7" s="20">
        <f>AS13*0.463805</f>
        <v/>
      </c>
      <c r="AT7" s="20">
        <f>AT13*0.463805</f>
        <v/>
      </c>
      <c r="AU7" s="20">
        <f>AU13*0.463805</f>
        <v/>
      </c>
      <c r="AV7" s="20">
        <f>AV13*0.463805</f>
        <v/>
      </c>
      <c r="AW7" s="20">
        <f>AW13*0.463805</f>
        <v/>
      </c>
      <c r="AX7" s="20">
        <f>AX13*0.463805</f>
        <v/>
      </c>
      <c r="AY7" s="20">
        <f>AY13*0.463805</f>
        <v/>
      </c>
    </row>
    <row r="8">
      <c r="B8" s="33" t="inlineStr">
        <is>
          <t xml:space="preserve">  401002 Private Pilates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420</v>
      </c>
      <c r="O8" s="19" t="n">
        <v>1520</v>
      </c>
      <c r="P8" s="19" t="n">
        <v>3578</v>
      </c>
      <c r="Q8" s="19" t="n">
        <v>1647</v>
      </c>
      <c r="R8" s="19" t="n">
        <v>825</v>
      </c>
      <c r="S8" s="19" t="n">
        <v>1201.67</v>
      </c>
      <c r="T8" s="84" t="n">
        <v>376.67</v>
      </c>
      <c r="U8" s="20">
        <f>U13*0.064823</f>
        <v/>
      </c>
      <c r="V8" s="20">
        <f>V13*0.064823</f>
        <v/>
      </c>
      <c r="W8" s="20">
        <f>W13*0.064823</f>
        <v/>
      </c>
      <c r="X8" s="20">
        <f>X13*0.064823</f>
        <v/>
      </c>
      <c r="Y8" s="20">
        <f>Y13*0.064823</f>
        <v/>
      </c>
      <c r="Z8" s="20">
        <f>Z13*0.064823</f>
        <v/>
      </c>
      <c r="AA8" s="20">
        <f>AA13*0.064823</f>
        <v/>
      </c>
      <c r="AB8" s="20">
        <f>AB13*0.064823</f>
        <v/>
      </c>
      <c r="AC8" s="20">
        <f>AC13*0.064823</f>
        <v/>
      </c>
      <c r="AD8" s="20">
        <f>AD13*0.064823</f>
        <v/>
      </c>
      <c r="AE8" s="20">
        <f>AE13*0.064823</f>
        <v/>
      </c>
      <c r="AF8" s="20">
        <f>AF13*0.064823</f>
        <v/>
      </c>
      <c r="AG8" s="20">
        <f>AG13*0.064823</f>
        <v/>
      </c>
      <c r="AH8" s="20">
        <f>AH13*0.064823</f>
        <v/>
      </c>
      <c r="AI8" s="20">
        <f>AI13*0.064823</f>
        <v/>
      </c>
      <c r="AJ8" s="20">
        <f>AJ13*0.064823</f>
        <v/>
      </c>
      <c r="AK8" s="20">
        <f>AK13*0.064823</f>
        <v/>
      </c>
      <c r="AL8" s="20">
        <f>AL13*0.064823</f>
        <v/>
      </c>
      <c r="AM8" s="20">
        <f>AM13*0.064823</f>
        <v/>
      </c>
      <c r="AN8" s="20">
        <f>AN13*0.064823</f>
        <v/>
      </c>
      <c r="AO8" s="20">
        <f>AO13*0.064823</f>
        <v/>
      </c>
      <c r="AP8" s="20">
        <f>AP13*0.064823</f>
        <v/>
      </c>
      <c r="AQ8" s="20">
        <f>AQ13*0.064823</f>
        <v/>
      </c>
      <c r="AR8" s="20">
        <f>AR13*0.064823</f>
        <v/>
      </c>
      <c r="AS8" s="20">
        <f>AS13*0.064823</f>
        <v/>
      </c>
      <c r="AT8" s="20">
        <f>AT13*0.064823</f>
        <v/>
      </c>
      <c r="AU8" s="20">
        <f>AU13*0.064823</f>
        <v/>
      </c>
      <c r="AV8" s="20">
        <f>AV13*0.064823</f>
        <v/>
      </c>
      <c r="AW8" s="20">
        <f>AW13*0.064823</f>
        <v/>
      </c>
      <c r="AX8" s="20">
        <f>AX13*0.064823</f>
        <v/>
      </c>
      <c r="AY8" s="20">
        <f>AY13*0.064823</f>
        <v/>
      </c>
    </row>
    <row r="9">
      <c r="B9" s="33" t="inlineStr">
        <is>
          <t xml:space="preserve">  401003 Class Pass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2731.9</v>
      </c>
      <c r="O9" s="19" t="n">
        <v>4539.95</v>
      </c>
      <c r="P9" s="19" t="n">
        <v>8318.93</v>
      </c>
      <c r="Q9" s="19" t="n">
        <v>8309.99</v>
      </c>
      <c r="R9" s="19" t="n">
        <v>9510.129999999999</v>
      </c>
      <c r="S9" s="19" t="n">
        <v>9064</v>
      </c>
      <c r="T9" s="84" t="n">
        <v>8485.719999999999</v>
      </c>
      <c r="U9" s="20">
        <f>U13*0.314683</f>
        <v/>
      </c>
      <c r="V9" s="20">
        <f>V13*0.314683</f>
        <v/>
      </c>
      <c r="W9" s="20">
        <f>W13*0.314683</f>
        <v/>
      </c>
      <c r="X9" s="20">
        <f>X13*0.314683</f>
        <v/>
      </c>
      <c r="Y9" s="20">
        <f>Y13*0.314683</f>
        <v/>
      </c>
      <c r="Z9" s="20">
        <f>Z13*0.314683</f>
        <v/>
      </c>
      <c r="AA9" s="20">
        <f>AA13*0.314683</f>
        <v/>
      </c>
      <c r="AB9" s="20">
        <f>AB13*0.314683</f>
        <v/>
      </c>
      <c r="AC9" s="20">
        <f>AC13*0.314683</f>
        <v/>
      </c>
      <c r="AD9" s="20">
        <f>AD13*0.314683</f>
        <v/>
      </c>
      <c r="AE9" s="20">
        <f>AE13*0.314683</f>
        <v/>
      </c>
      <c r="AF9" s="20">
        <f>AF13*0.314683</f>
        <v/>
      </c>
      <c r="AG9" s="20">
        <f>AG13*0.314683</f>
        <v/>
      </c>
      <c r="AH9" s="20">
        <f>AH13*0.314683</f>
        <v/>
      </c>
      <c r="AI9" s="20">
        <f>AI13*0.314683</f>
        <v/>
      </c>
      <c r="AJ9" s="20">
        <f>AJ13*0.314683</f>
        <v/>
      </c>
      <c r="AK9" s="20">
        <f>AK13*0.314683</f>
        <v/>
      </c>
      <c r="AL9" s="20">
        <f>AL13*0.314683</f>
        <v/>
      </c>
      <c r="AM9" s="20">
        <f>AM13*0.314683</f>
        <v/>
      </c>
      <c r="AN9" s="20">
        <f>AN13*0.314683</f>
        <v/>
      </c>
      <c r="AO9" s="20">
        <f>AO13*0.314683</f>
        <v/>
      </c>
      <c r="AP9" s="20">
        <f>AP13*0.314683</f>
        <v/>
      </c>
      <c r="AQ9" s="20">
        <f>AQ13*0.314683</f>
        <v/>
      </c>
      <c r="AR9" s="20">
        <f>AR13*0.314683</f>
        <v/>
      </c>
      <c r="AS9" s="20">
        <f>AS13*0.314683</f>
        <v/>
      </c>
      <c r="AT9" s="20">
        <f>AT13*0.314683</f>
        <v/>
      </c>
      <c r="AU9" s="20">
        <f>AU13*0.314683</f>
        <v/>
      </c>
      <c r="AV9" s="20">
        <f>AV13*0.314683</f>
        <v/>
      </c>
      <c r="AW9" s="20">
        <f>AW13*0.314683</f>
        <v/>
      </c>
      <c r="AX9" s="20">
        <f>AX13*0.314683</f>
        <v/>
      </c>
      <c r="AY9" s="20">
        <f>AY13*0.314683</f>
        <v/>
      </c>
    </row>
    <row r="10">
      <c r="B10" s="33" t="inlineStr">
        <is>
          <t xml:space="preserve">  401004 Mighty Teacher Training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10056.08</v>
      </c>
      <c r="R10" s="19" t="n">
        <v>7182.92</v>
      </c>
      <c r="S10" s="19" t="n">
        <v>0</v>
      </c>
      <c r="T10" s="84" t="n">
        <v>0</v>
      </c>
      <c r="U10" s="20">
        <f>U13*0.154101</f>
        <v/>
      </c>
      <c r="V10" s="20">
        <f>V13*0.154101</f>
        <v/>
      </c>
      <c r="W10" s="20">
        <f>W13*0.154101</f>
        <v/>
      </c>
      <c r="X10" s="20">
        <f>X13*0.154101</f>
        <v/>
      </c>
      <c r="Y10" s="20">
        <f>Y13*0.154101</f>
        <v/>
      </c>
      <c r="Z10" s="20">
        <f>Z13*0.154101</f>
        <v/>
      </c>
      <c r="AA10" s="20">
        <f>AA13*0.154101</f>
        <v/>
      </c>
      <c r="AB10" s="20">
        <f>AB13*0.154101</f>
        <v/>
      </c>
      <c r="AC10" s="20">
        <f>AC13*0.154101</f>
        <v/>
      </c>
      <c r="AD10" s="20">
        <f>AD13*0.154101</f>
        <v/>
      </c>
      <c r="AE10" s="20">
        <f>AE13*0.154101</f>
        <v/>
      </c>
      <c r="AF10" s="20">
        <f>AF13*0.154101</f>
        <v/>
      </c>
      <c r="AG10" s="20">
        <f>AG13*0.154101</f>
        <v/>
      </c>
      <c r="AH10" s="20">
        <f>AH13*0.154101</f>
        <v/>
      </c>
      <c r="AI10" s="20">
        <f>AI13*0.154101</f>
        <v/>
      </c>
      <c r="AJ10" s="20">
        <f>AJ13*0.154101</f>
        <v/>
      </c>
      <c r="AK10" s="20">
        <f>AK13*0.154101</f>
        <v/>
      </c>
      <c r="AL10" s="20">
        <f>AL13*0.154101</f>
        <v/>
      </c>
      <c r="AM10" s="20">
        <f>AM13*0.154101</f>
        <v/>
      </c>
      <c r="AN10" s="20">
        <f>AN13*0.154101</f>
        <v/>
      </c>
      <c r="AO10" s="20">
        <f>AO13*0.154101</f>
        <v/>
      </c>
      <c r="AP10" s="20">
        <f>AP13*0.154101</f>
        <v/>
      </c>
      <c r="AQ10" s="20">
        <f>AQ13*0.154101</f>
        <v/>
      </c>
      <c r="AR10" s="20">
        <f>AR13*0.154101</f>
        <v/>
      </c>
      <c r="AS10" s="20">
        <f>AS13*0.154101</f>
        <v/>
      </c>
      <c r="AT10" s="20">
        <f>AT13*0.154101</f>
        <v/>
      </c>
      <c r="AU10" s="20">
        <f>AU13*0.154101</f>
        <v/>
      </c>
      <c r="AV10" s="20">
        <f>AV13*0.154101</f>
        <v/>
      </c>
      <c r="AW10" s="20">
        <f>AW13*0.154101</f>
        <v/>
      </c>
      <c r="AX10" s="20">
        <f>AX13*0.154101</f>
        <v/>
      </c>
      <c r="AY10" s="20">
        <f>AY13*0.154101</f>
        <v/>
      </c>
    </row>
    <row r="11">
      <c r="B11" s="33" t="inlineStr">
        <is>
          <t xml:space="preserve">  401005 Livestream Classes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14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U13*0.000125</f>
        <v/>
      </c>
      <c r="V11" s="20">
        <f>V13*0.000125</f>
        <v/>
      </c>
      <c r="W11" s="20">
        <f>W13*0.000125</f>
        <v/>
      </c>
      <c r="X11" s="20">
        <f>X13*0.000125</f>
        <v/>
      </c>
      <c r="Y11" s="20">
        <f>Y13*0.000125</f>
        <v/>
      </c>
      <c r="Z11" s="20">
        <f>Z13*0.000125</f>
        <v/>
      </c>
      <c r="AA11" s="20">
        <f>AA13*0.000125</f>
        <v/>
      </c>
      <c r="AB11" s="20">
        <f>AB13*0.000125</f>
        <v/>
      </c>
      <c r="AC11" s="20">
        <f>AC13*0.000125</f>
        <v/>
      </c>
      <c r="AD11" s="20">
        <f>AD13*0.000125</f>
        <v/>
      </c>
      <c r="AE11" s="20">
        <f>AE13*0.000125</f>
        <v/>
      </c>
      <c r="AF11" s="20">
        <f>AF13*0.000125</f>
        <v/>
      </c>
      <c r="AG11" s="20">
        <f>AG13*0.000125</f>
        <v/>
      </c>
      <c r="AH11" s="20">
        <f>AH13*0.000125</f>
        <v/>
      </c>
      <c r="AI11" s="20">
        <f>AI13*0.000125</f>
        <v/>
      </c>
      <c r="AJ11" s="20">
        <f>AJ13*0.000125</f>
        <v/>
      </c>
      <c r="AK11" s="20">
        <f>AK13*0.000125</f>
        <v/>
      </c>
      <c r="AL11" s="20">
        <f>AL13*0.000125</f>
        <v/>
      </c>
      <c r="AM11" s="20">
        <f>AM13*0.000125</f>
        <v/>
      </c>
      <c r="AN11" s="20">
        <f>AN13*0.000125</f>
        <v/>
      </c>
      <c r="AO11" s="20">
        <f>AO13*0.000125</f>
        <v/>
      </c>
      <c r="AP11" s="20">
        <f>AP13*0.000125</f>
        <v/>
      </c>
      <c r="AQ11" s="20">
        <f>AQ13*0.000125</f>
        <v/>
      </c>
      <c r="AR11" s="20">
        <f>AR13*0.000125</f>
        <v/>
      </c>
      <c r="AS11" s="20">
        <f>AS13*0.000125</f>
        <v/>
      </c>
      <c r="AT11" s="20">
        <f>AT13*0.000125</f>
        <v/>
      </c>
      <c r="AU11" s="20">
        <f>AU13*0.000125</f>
        <v/>
      </c>
      <c r="AV11" s="20">
        <f>AV13*0.000125</f>
        <v/>
      </c>
      <c r="AW11" s="20">
        <f>AW13*0.000125</f>
        <v/>
      </c>
      <c r="AX11" s="20">
        <f>AX13*0.000125</f>
        <v/>
      </c>
      <c r="AY11" s="20">
        <f>AY13*0.000125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30.6</v>
      </c>
      <c r="P12" s="19" t="n">
        <v>0</v>
      </c>
      <c r="Q12" s="19" t="n">
        <v>0</v>
      </c>
      <c r="R12" s="19" t="n">
        <v>52.02</v>
      </c>
      <c r="S12" s="19" t="n">
        <v>223.38</v>
      </c>
      <c r="T12" s="84" t="n">
        <v>183.6</v>
      </c>
      <c r="U12" s="20">
        <f>U13*0.002462</f>
        <v/>
      </c>
      <c r="V12" s="20">
        <f>V13*0.002462</f>
        <v/>
      </c>
      <c r="W12" s="20">
        <f>W13*0.002462</f>
        <v/>
      </c>
      <c r="X12" s="20">
        <f>X13*0.002462</f>
        <v/>
      </c>
      <c r="Y12" s="20">
        <f>Y13*0.002462</f>
        <v/>
      </c>
      <c r="Z12" s="20">
        <f>Z13*0.002462</f>
        <v/>
      </c>
      <c r="AA12" s="20">
        <f>AA13*0.002462</f>
        <v/>
      </c>
      <c r="AB12" s="20">
        <f>AB13*0.002462</f>
        <v/>
      </c>
      <c r="AC12" s="20">
        <f>AC13*0.002462</f>
        <v/>
      </c>
      <c r="AD12" s="20">
        <f>AD13*0.002462</f>
        <v/>
      </c>
      <c r="AE12" s="20">
        <f>AE13*0.002462</f>
        <v/>
      </c>
      <c r="AF12" s="20">
        <f>AF13*0.002462</f>
        <v/>
      </c>
      <c r="AG12" s="20">
        <f>AG13*0.002462</f>
        <v/>
      </c>
      <c r="AH12" s="20">
        <f>AH13*0.002462</f>
        <v/>
      </c>
      <c r="AI12" s="20">
        <f>AI13*0.002462</f>
        <v/>
      </c>
      <c r="AJ12" s="20">
        <f>AJ13*0.002462</f>
        <v/>
      </c>
      <c r="AK12" s="20">
        <f>AK13*0.002462</f>
        <v/>
      </c>
      <c r="AL12" s="20">
        <f>AL13*0.002462</f>
        <v/>
      </c>
      <c r="AM12" s="20">
        <f>AM13*0.002462</f>
        <v/>
      </c>
      <c r="AN12" s="20">
        <f>AN13*0.002462</f>
        <v/>
      </c>
      <c r="AO12" s="20">
        <f>AO13*0.002462</f>
        <v/>
      </c>
      <c r="AP12" s="20">
        <f>AP13*0.002462</f>
        <v/>
      </c>
      <c r="AQ12" s="20">
        <f>AQ13*0.002462</f>
        <v/>
      </c>
      <c r="AR12" s="20">
        <f>AR13*0.002462</f>
        <v/>
      </c>
      <c r="AS12" s="20">
        <f>AS13*0.002462</f>
        <v/>
      </c>
      <c r="AT12" s="20">
        <f>AT13*0.002462</f>
        <v/>
      </c>
      <c r="AU12" s="20">
        <f>AU13*0.002462</f>
        <v/>
      </c>
      <c r="AV12" s="20">
        <f>AV13*0.002462</f>
        <v/>
      </c>
      <c r="AW12" s="20">
        <f>AW13*0.002462</f>
        <v/>
      </c>
      <c r="AX12" s="20">
        <f>AX13*0.002462</f>
        <v/>
      </c>
      <c r="AY12" s="20">
        <f>AY13*0.002462</f>
        <v/>
      </c>
    </row>
    <row r="13">
      <c r="B13" s="32" t="inlineStr">
        <is>
          <t>Total Sessions</t>
        </is>
      </c>
      <c r="C13" s="34" t="n"/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7458.57</v>
      </c>
      <c r="O13" s="35" t="n">
        <v>13391.47</v>
      </c>
      <c r="P13" s="35" t="n">
        <v>24308.61</v>
      </c>
      <c r="Q13" s="35" t="n">
        <v>34812.89</v>
      </c>
      <c r="R13" s="35" t="n">
        <v>31461.6</v>
      </c>
      <c r="S13" s="35" t="n">
        <v>21285.1</v>
      </c>
      <c r="T13" s="85" t="n">
        <v>18461.46</v>
      </c>
      <c r="U13" s="17">
        <f>'Sales Forecast'!U14*Assumptions!$C$12+'Sales Forecast'!T14*Assumptions!$D$12+'Sales Forecast'!S14*Assumptions!$E$12+'Sales Forecast'!R14*Assumptions!$F$12+'Sales Forecast'!Q14*Assumptions!$G$12+'Sales Forecast'!P14*Assumptions!$H$12+'Sales Forecast'!U110*Assumptions!$I$12</f>
        <v/>
      </c>
      <c r="V13" s="17">
        <f>'Sales Forecast'!V14*Assumptions!$C$12+'Sales Forecast'!U14*Assumptions!$D$12+'Sales Forecast'!T14*Assumptions!$E$12+'Sales Forecast'!S14*Assumptions!$F$12+'Sales Forecast'!R14*Assumptions!$G$12+'Sales Forecast'!Q14*Assumptions!$H$12+'Sales Forecast'!P14*Assumptions!$I$12</f>
        <v/>
      </c>
      <c r="W13" s="17">
        <f>'Sales Forecast'!W14*Assumptions!$C$12+'Sales Forecast'!V14*Assumptions!$D$12+'Sales Forecast'!U14*Assumptions!$E$12+'Sales Forecast'!T14*Assumptions!$F$12+'Sales Forecast'!S14*Assumptions!$G$12+'Sales Forecast'!R14*Assumptions!$H$12+'Sales Forecast'!Q14*Assumptions!$I$12</f>
        <v/>
      </c>
      <c r="X13" s="17">
        <f>'Sales Forecast'!X14*Assumptions!$C$12+'Sales Forecast'!W14*Assumptions!$D$12+'Sales Forecast'!V14*Assumptions!$E$12+'Sales Forecast'!U14*Assumptions!$F$12+'Sales Forecast'!T14*Assumptions!$G$12+'Sales Forecast'!S14*Assumptions!$H$12+'Sales Forecast'!R14*Assumptions!$I$12</f>
        <v/>
      </c>
      <c r="Y13" s="17">
        <f>'Sales Forecast'!Y14*Assumptions!$C$12+'Sales Forecast'!X14*Assumptions!$D$12+'Sales Forecast'!W14*Assumptions!$E$12+'Sales Forecast'!V14*Assumptions!$F$12+'Sales Forecast'!U14*Assumptions!$G$12+'Sales Forecast'!T14*Assumptions!$H$12+'Sales Forecast'!S14*Assumptions!$I$12</f>
        <v/>
      </c>
      <c r="Z13" s="17">
        <f>'Sales Forecast'!Z14*Assumptions!$C$12+'Sales Forecast'!Y14*Assumptions!$D$12+'Sales Forecast'!X14*Assumptions!$E$12+'Sales Forecast'!W14*Assumptions!$F$12+'Sales Forecast'!V14*Assumptions!$G$12+'Sales Forecast'!U14*Assumptions!$H$12+'Sales Forecast'!T14*Assumptions!$I$12</f>
        <v/>
      </c>
      <c r="AA13" s="17">
        <f>'Sales Forecast'!AA14*Assumptions!$C$12+'Sales Forecast'!Z14*Assumptions!$D$12+'Sales Forecast'!Y14*Assumptions!$E$12+'Sales Forecast'!X14*Assumptions!$F$12+'Sales Forecast'!W14*Assumptions!$G$12+'Sales Forecast'!V14*Assumptions!$H$12+'Sales Forecast'!U14*Assumptions!$I$12</f>
        <v/>
      </c>
      <c r="AB13" s="17">
        <f>'Sales Forecast'!AB14*Assumptions!$C$12+'Sales Forecast'!AA14*Assumptions!$D$12+'Sales Forecast'!Z14*Assumptions!$E$12+'Sales Forecast'!Y14*Assumptions!$F$12+'Sales Forecast'!X14*Assumptions!$G$12+'Sales Forecast'!W14*Assumptions!$H$12+'Sales Forecast'!V14*Assumptions!$I$12</f>
        <v/>
      </c>
      <c r="AC13" s="17">
        <f>'Sales Forecast'!AC14*Assumptions!$C$12+'Sales Forecast'!AB14*Assumptions!$D$12+'Sales Forecast'!AA14*Assumptions!$E$12+'Sales Forecast'!Z14*Assumptions!$F$12+'Sales Forecast'!Y14*Assumptions!$G$12+'Sales Forecast'!X14*Assumptions!$H$12+'Sales Forecast'!W14*Assumptions!$I$12</f>
        <v/>
      </c>
      <c r="AD13" s="17">
        <f>'Sales Forecast'!AD14*Assumptions!$C$12+'Sales Forecast'!AC14*Assumptions!$D$12+'Sales Forecast'!AB14*Assumptions!$E$12+'Sales Forecast'!AA14*Assumptions!$F$12+'Sales Forecast'!Z14*Assumptions!$G$12+'Sales Forecast'!Y14*Assumptions!$H$12+'Sales Forecast'!X14*Assumptions!$I$12</f>
        <v/>
      </c>
      <c r="AE13" s="17">
        <f>'Sales Forecast'!AE14*Assumptions!$C$12+'Sales Forecast'!AD14*Assumptions!$D$12+'Sales Forecast'!AC14*Assumptions!$E$12+'Sales Forecast'!AB14*Assumptions!$F$12+'Sales Forecast'!AA14*Assumptions!$G$12+'Sales Forecast'!Z14*Assumptions!$H$12+'Sales Forecast'!Y14*Assumptions!$I$12</f>
        <v/>
      </c>
      <c r="AF13" s="17">
        <f>'Sales Forecast'!AF14*Assumptions!$C$12+'Sales Forecast'!AE14*Assumptions!$D$12+'Sales Forecast'!AD14*Assumptions!$E$12+'Sales Forecast'!AC14*Assumptions!$F$12+'Sales Forecast'!AB14*Assumptions!$G$12+'Sales Forecast'!AA14*Assumptions!$H$12+'Sales Forecast'!Z14*Assumptions!$I$12</f>
        <v/>
      </c>
      <c r="AG13" s="17">
        <f>'Sales Forecast'!AG14*Assumptions!$C$12+'Sales Forecast'!AF14*Assumptions!$D$12+'Sales Forecast'!AE14*Assumptions!$E$12+'Sales Forecast'!AD14*Assumptions!$F$12+'Sales Forecast'!AC14*Assumptions!$G$12+'Sales Forecast'!AB14*Assumptions!$H$12+'Sales Forecast'!AA14*Assumptions!$I$12</f>
        <v/>
      </c>
      <c r="AH13" s="17">
        <f>'Sales Forecast'!AH14*Assumptions!$C$12+'Sales Forecast'!AG14*Assumptions!$D$12+'Sales Forecast'!AF14*Assumptions!$E$12+'Sales Forecast'!AE14*Assumptions!$F$12+'Sales Forecast'!AD14*Assumptions!$G$12+'Sales Forecast'!AC14*Assumptions!$H$12+'Sales Forecast'!AB14*Assumptions!$I$12</f>
        <v/>
      </c>
      <c r="AI13" s="17">
        <f>'Sales Forecast'!AI14*Assumptions!$C$12+'Sales Forecast'!AH14*Assumptions!$D$12+'Sales Forecast'!AG14*Assumptions!$E$12+'Sales Forecast'!AF14*Assumptions!$F$12+'Sales Forecast'!AE14*Assumptions!$G$12+'Sales Forecast'!AD14*Assumptions!$H$12+'Sales Forecast'!AC14*Assumptions!$I$12</f>
        <v/>
      </c>
      <c r="AJ13" s="17">
        <f>'Sales Forecast'!AJ14*Assumptions!$C$12+'Sales Forecast'!AI14*Assumptions!$D$12+'Sales Forecast'!AH14*Assumptions!$E$12+'Sales Forecast'!AG14*Assumptions!$F$12+'Sales Forecast'!AF14*Assumptions!$G$12+'Sales Forecast'!AE14*Assumptions!$H$12+'Sales Forecast'!AD14*Assumptions!$I$12</f>
        <v/>
      </c>
      <c r="AK13" s="17">
        <f>'Sales Forecast'!AK14*Assumptions!$C$12+'Sales Forecast'!AJ14*Assumptions!$D$12+'Sales Forecast'!AI14*Assumptions!$E$12+'Sales Forecast'!AH14*Assumptions!$F$12+'Sales Forecast'!AG14*Assumptions!$G$12+'Sales Forecast'!AF14*Assumptions!$H$12+'Sales Forecast'!AE14*Assumptions!$I$12</f>
        <v/>
      </c>
      <c r="AL13" s="17">
        <f>'Sales Forecast'!AL14*Assumptions!$C$12+'Sales Forecast'!AK14*Assumptions!$D$12+'Sales Forecast'!AJ14*Assumptions!$E$12+'Sales Forecast'!AI14*Assumptions!$F$12+'Sales Forecast'!AH14*Assumptions!$G$12+'Sales Forecast'!AG14*Assumptions!$H$12+'Sales Forecast'!AF14*Assumptions!$I$12</f>
        <v/>
      </c>
      <c r="AM13" s="17">
        <f>'Sales Forecast'!AM14*Assumptions!$C$12+'Sales Forecast'!AL14*Assumptions!$D$12+'Sales Forecast'!AK14*Assumptions!$E$12+'Sales Forecast'!AJ14*Assumptions!$F$12+'Sales Forecast'!AI14*Assumptions!$G$12+'Sales Forecast'!AH14*Assumptions!$H$12+'Sales Forecast'!AG14*Assumptions!$I$12</f>
        <v/>
      </c>
      <c r="AN13" s="17">
        <f>'Sales Forecast'!AN14*Assumptions!$C$12+'Sales Forecast'!AM14*Assumptions!$D$12+'Sales Forecast'!AL14*Assumptions!$E$12+'Sales Forecast'!AK14*Assumptions!$F$12+'Sales Forecast'!AJ14*Assumptions!$G$12+'Sales Forecast'!AI14*Assumptions!$H$12+'Sales Forecast'!AH14*Assumptions!$I$12</f>
        <v/>
      </c>
      <c r="AO13" s="17">
        <f>'Sales Forecast'!AO14*Assumptions!$C$12+'Sales Forecast'!AN14*Assumptions!$D$12+'Sales Forecast'!AM14*Assumptions!$E$12+'Sales Forecast'!AL14*Assumptions!$F$12+'Sales Forecast'!AK14*Assumptions!$G$12+'Sales Forecast'!AJ14*Assumptions!$H$12+'Sales Forecast'!AI14*Assumptions!$I$12</f>
        <v/>
      </c>
      <c r="AP13" s="17">
        <f>'Sales Forecast'!AP14*Assumptions!$C$12+'Sales Forecast'!AO14*Assumptions!$D$12+'Sales Forecast'!AN14*Assumptions!$E$12+'Sales Forecast'!AM14*Assumptions!$F$12+'Sales Forecast'!AL14*Assumptions!$G$12+'Sales Forecast'!AK14*Assumptions!$H$12+'Sales Forecast'!AJ14*Assumptions!$I$12</f>
        <v/>
      </c>
      <c r="AQ13" s="17">
        <f>'Sales Forecast'!AQ14*Assumptions!$C$12+'Sales Forecast'!AP14*Assumptions!$D$12+'Sales Forecast'!AO14*Assumptions!$E$12+'Sales Forecast'!AN14*Assumptions!$F$12+'Sales Forecast'!AM14*Assumptions!$G$12+'Sales Forecast'!AL14*Assumptions!$H$12+'Sales Forecast'!AK14*Assumptions!$I$12</f>
        <v/>
      </c>
      <c r="AR13" s="17">
        <f>'Sales Forecast'!AR14*Assumptions!$C$12+'Sales Forecast'!AQ14*Assumptions!$D$12+'Sales Forecast'!AP14*Assumptions!$E$12+'Sales Forecast'!AO14*Assumptions!$F$12+'Sales Forecast'!AN14*Assumptions!$G$12+'Sales Forecast'!AM14*Assumptions!$H$12+'Sales Forecast'!AL14*Assumptions!$I$12</f>
        <v/>
      </c>
      <c r="AS13" s="17">
        <f>'Sales Forecast'!AS14*Assumptions!$C$12+'Sales Forecast'!AR14*Assumptions!$D$12+'Sales Forecast'!AQ14*Assumptions!$E$12+'Sales Forecast'!AP14*Assumptions!$F$12+'Sales Forecast'!AO14*Assumptions!$G$12+'Sales Forecast'!AN14*Assumptions!$H$12+'Sales Forecast'!AM14*Assumptions!$I$12</f>
        <v/>
      </c>
      <c r="AT13" s="17">
        <f>'Sales Forecast'!AT14*Assumptions!$C$12+'Sales Forecast'!AS14*Assumptions!$D$12+'Sales Forecast'!AR14*Assumptions!$E$12+'Sales Forecast'!AQ14*Assumptions!$F$12+'Sales Forecast'!AP14*Assumptions!$G$12+'Sales Forecast'!AO14*Assumptions!$H$12+'Sales Forecast'!AN14*Assumptions!$I$12</f>
        <v/>
      </c>
      <c r="AU13" s="17">
        <f>'Sales Forecast'!AU14*Assumptions!$C$12+'Sales Forecast'!AT14*Assumptions!$D$12+'Sales Forecast'!AS14*Assumptions!$E$12+'Sales Forecast'!AR14*Assumptions!$F$12+'Sales Forecast'!AQ14*Assumptions!$G$12+'Sales Forecast'!AP14*Assumptions!$H$12+'Sales Forecast'!AO14*Assumptions!$I$12</f>
        <v/>
      </c>
      <c r="AV13" s="17">
        <f>'Sales Forecast'!AV14*Assumptions!$C$12+'Sales Forecast'!AU14*Assumptions!$D$12+'Sales Forecast'!AT14*Assumptions!$E$12+'Sales Forecast'!AS14*Assumptions!$F$12+'Sales Forecast'!AR14*Assumptions!$G$12+'Sales Forecast'!AQ14*Assumptions!$H$12+'Sales Forecast'!AP14*Assumptions!$I$12</f>
        <v/>
      </c>
      <c r="AW13" s="17">
        <f>'Sales Forecast'!AW14*Assumptions!$C$12+'Sales Forecast'!AV14*Assumptions!$D$12+'Sales Forecast'!AU14*Assumptions!$E$12+'Sales Forecast'!AT14*Assumptions!$F$12+'Sales Forecast'!AS14*Assumptions!$G$12+'Sales Forecast'!AR14*Assumptions!$H$12+'Sales Forecast'!AQ14*Assumptions!$I$12</f>
        <v/>
      </c>
      <c r="AX13" s="17">
        <f>'Sales Forecast'!AX14*Assumptions!$C$12+'Sales Forecast'!AW14*Assumptions!$D$12+'Sales Forecast'!AV14*Assumptions!$E$12+'Sales Forecast'!AU14*Assumptions!$F$12+'Sales Forecast'!AT14*Assumptions!$G$12+'Sales Forecast'!AS14*Assumptions!$H$12+'Sales Forecast'!AR14*Assumptions!$I$12</f>
        <v/>
      </c>
      <c r="AY13" s="17">
        <f>'Sales Forecast'!AY14*Assumptions!$C$12+'Sales Forecast'!AX14*Assumptions!$D$12+'Sales Forecast'!AW14*Assumptions!$E$12+'Sales Forecast'!AV14*Assumptions!$F$12+'Sales Forecast'!AU14*Assumptions!$G$12+'Sales Forecast'!AT14*Assumptions!$H$12+'Sales Forecast'!AS14*Assumptions!$I$12</f>
        <v/>
      </c>
    </row>
    <row r="14">
      <c r="B14" s="33" t="inlineStr">
        <is>
          <t xml:space="preserve">  403001 Machine Breakage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271</v>
      </c>
      <c r="O14" s="19" t="n">
        <v>1032.47</v>
      </c>
      <c r="P14" s="19" t="n">
        <v>1073.27</v>
      </c>
      <c r="Q14" s="19" t="n">
        <v>1665.05</v>
      </c>
      <c r="R14" s="19" t="n">
        <v>2299.28</v>
      </c>
      <c r="S14" s="19" t="n">
        <v>2422.7</v>
      </c>
      <c r="T14" s="84" t="n">
        <v>3549.18</v>
      </c>
      <c r="U14" s="20">
        <f>U17*0.961342</f>
        <v/>
      </c>
      <c r="V14" s="20">
        <f>V17*0.961342</f>
        <v/>
      </c>
      <c r="W14" s="20">
        <f>W17*0.961342</f>
        <v/>
      </c>
      <c r="X14" s="20">
        <f>X17*0.961342</f>
        <v/>
      </c>
      <c r="Y14" s="20">
        <f>Y17*0.961342</f>
        <v/>
      </c>
      <c r="Z14" s="20">
        <f>Z17*0.961342</f>
        <v/>
      </c>
      <c r="AA14" s="20">
        <f>AA17*0.961342</f>
        <v/>
      </c>
      <c r="AB14" s="20">
        <f>AB17*0.961342</f>
        <v/>
      </c>
      <c r="AC14" s="20">
        <f>AC17*0.961342</f>
        <v/>
      </c>
      <c r="AD14" s="20">
        <f>AD17*0.961342</f>
        <v/>
      </c>
      <c r="AE14" s="20">
        <f>AE17*0.961342</f>
        <v/>
      </c>
      <c r="AF14" s="20">
        <f>AF17*0.961342</f>
        <v/>
      </c>
      <c r="AG14" s="20">
        <f>AG17*0.961342</f>
        <v/>
      </c>
      <c r="AH14" s="20">
        <f>AH17*0.961342</f>
        <v/>
      </c>
      <c r="AI14" s="20">
        <f>AI17*0.961342</f>
        <v/>
      </c>
      <c r="AJ14" s="20">
        <f>AJ17*0.961342</f>
        <v/>
      </c>
      <c r="AK14" s="20">
        <f>AK17*0.961342</f>
        <v/>
      </c>
      <c r="AL14" s="20">
        <f>AL17*0.961342</f>
        <v/>
      </c>
      <c r="AM14" s="20">
        <f>AM17*0.961342</f>
        <v/>
      </c>
      <c r="AN14" s="20">
        <f>AN17*0.961342</f>
        <v/>
      </c>
      <c r="AO14" s="20">
        <f>AO17*0.961342</f>
        <v/>
      </c>
      <c r="AP14" s="20">
        <f>AP17*0.961342</f>
        <v/>
      </c>
      <c r="AQ14" s="20">
        <f>AQ17*0.961342</f>
        <v/>
      </c>
      <c r="AR14" s="20">
        <f>AR17*0.961342</f>
        <v/>
      </c>
      <c r="AS14" s="20">
        <f>AS17*0.961342</f>
        <v/>
      </c>
      <c r="AT14" s="20">
        <f>AT17*0.961342</f>
        <v/>
      </c>
      <c r="AU14" s="20">
        <f>AU17*0.961342</f>
        <v/>
      </c>
      <c r="AV14" s="20">
        <f>AV17*0.961342</f>
        <v/>
      </c>
      <c r="AW14" s="20">
        <f>AW17*0.961342</f>
        <v/>
      </c>
      <c r="AX14" s="20">
        <f>AX17*0.961342</f>
        <v/>
      </c>
      <c r="AY14" s="20">
        <f>AY17*0.961342</f>
        <v/>
      </c>
    </row>
    <row r="15">
      <c r="B15" s="33" t="inlineStr">
        <is>
          <t xml:space="preserve">  403003 Private Pilates Breakage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375</v>
      </c>
      <c r="P15" s="19" t="n">
        <v>150</v>
      </c>
      <c r="Q15" s="19" t="n">
        <v>75</v>
      </c>
      <c r="R15" s="19" t="n">
        <v>75</v>
      </c>
      <c r="S15" s="19" t="n">
        <v>0</v>
      </c>
      <c r="T15" s="84" t="n">
        <v>0</v>
      </c>
      <c r="U15" s="20">
        <f>U17*0.038658</f>
        <v/>
      </c>
      <c r="V15" s="20">
        <f>V17*0.038658</f>
        <v/>
      </c>
      <c r="W15" s="20">
        <f>W17*0.038658</f>
        <v/>
      </c>
      <c r="X15" s="20">
        <f>X17*0.038658</f>
        <v/>
      </c>
      <c r="Y15" s="20">
        <f>Y17*0.038658</f>
        <v/>
      </c>
      <c r="Z15" s="20">
        <f>Z17*0.038658</f>
        <v/>
      </c>
      <c r="AA15" s="20">
        <f>AA17*0.038658</f>
        <v/>
      </c>
      <c r="AB15" s="20">
        <f>AB17*0.038658</f>
        <v/>
      </c>
      <c r="AC15" s="20">
        <f>AC17*0.038658</f>
        <v/>
      </c>
      <c r="AD15" s="20">
        <f>AD17*0.038658</f>
        <v/>
      </c>
      <c r="AE15" s="20">
        <f>AE17*0.038658</f>
        <v/>
      </c>
      <c r="AF15" s="20">
        <f>AF17*0.038658</f>
        <v/>
      </c>
      <c r="AG15" s="20">
        <f>AG17*0.038658</f>
        <v/>
      </c>
      <c r="AH15" s="20">
        <f>AH17*0.038658</f>
        <v/>
      </c>
      <c r="AI15" s="20">
        <f>AI17*0.038658</f>
        <v/>
      </c>
      <c r="AJ15" s="20">
        <f>AJ17*0.038658</f>
        <v/>
      </c>
      <c r="AK15" s="20">
        <f>AK17*0.038658</f>
        <v/>
      </c>
      <c r="AL15" s="20">
        <f>AL17*0.038658</f>
        <v/>
      </c>
      <c r="AM15" s="20">
        <f>AM17*0.038658</f>
        <v/>
      </c>
      <c r="AN15" s="20">
        <f>AN17*0.038658</f>
        <v/>
      </c>
      <c r="AO15" s="20">
        <f>AO17*0.038658</f>
        <v/>
      </c>
      <c r="AP15" s="20">
        <f>AP17*0.038658</f>
        <v/>
      </c>
      <c r="AQ15" s="20">
        <f>AQ17*0.038658</f>
        <v/>
      </c>
      <c r="AR15" s="20">
        <f>AR17*0.038658</f>
        <v/>
      </c>
      <c r="AS15" s="20">
        <f>AS17*0.038658</f>
        <v/>
      </c>
      <c r="AT15" s="20">
        <f>AT17*0.038658</f>
        <v/>
      </c>
      <c r="AU15" s="20">
        <f>AU17*0.038658</f>
        <v/>
      </c>
      <c r="AV15" s="20">
        <f>AV17*0.038658</f>
        <v/>
      </c>
      <c r="AW15" s="20">
        <f>AW17*0.038658</f>
        <v/>
      </c>
      <c r="AX15" s="20">
        <f>AX17*0.038658</f>
        <v/>
      </c>
      <c r="AY15" s="20">
        <f>AY17*0.038658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271</v>
      </c>
      <c r="O17" s="35" t="n">
        <v>1407.47</v>
      </c>
      <c r="P17" s="35" t="n">
        <v>1223.27</v>
      </c>
      <c r="Q17" s="35" t="n">
        <v>1740.05</v>
      </c>
      <c r="R17" s="35" t="n">
        <v>2374.28</v>
      </c>
      <c r="S17" s="35" t="n">
        <v>2422.7</v>
      </c>
      <c r="T17" s="85" t="n">
        <v>3549.18</v>
      </c>
      <c r="U17" s="17">
        <f>'Sales Forecast'!U14*Assumptions!$C$13+'Sales Forecast'!T14*Assumptions!$D$13+'Sales Forecast'!S14*Assumptions!$E$13+'Sales Forecast'!R14*Assumptions!$F$13+'Sales Forecast'!Q14*Assumptions!$G$13+'Sales Forecast'!P14*Assumptions!$H$13+'Sales Forecast'!U110*Assumptions!$I$13</f>
        <v/>
      </c>
      <c r="V17" s="17">
        <f>'Sales Forecast'!V14*Assumptions!$C$13+'Sales Forecast'!U14*Assumptions!$D$13+'Sales Forecast'!T14*Assumptions!$E$13+'Sales Forecast'!S14*Assumptions!$F$13+'Sales Forecast'!R14*Assumptions!$G$13+'Sales Forecast'!Q14*Assumptions!$H$13+'Sales Forecast'!P14*Assumptions!$I$13</f>
        <v/>
      </c>
      <c r="W17" s="17">
        <f>'Sales Forecast'!W14*Assumptions!$C$13+'Sales Forecast'!V14*Assumptions!$D$13+'Sales Forecast'!U14*Assumptions!$E$13+'Sales Forecast'!T14*Assumptions!$F$13+'Sales Forecast'!S14*Assumptions!$G$13+'Sales Forecast'!R14*Assumptions!$H$13+'Sales Forecast'!Q14*Assumptions!$I$13</f>
        <v/>
      </c>
      <c r="X17" s="17">
        <f>'Sales Forecast'!X14*Assumptions!$C$13+'Sales Forecast'!W14*Assumptions!$D$13+'Sales Forecast'!V14*Assumptions!$E$13+'Sales Forecast'!U14*Assumptions!$F$13+'Sales Forecast'!T14*Assumptions!$G$13+'Sales Forecast'!S14*Assumptions!$H$13+'Sales Forecast'!R14*Assumptions!$I$13</f>
        <v/>
      </c>
      <c r="Y17" s="17">
        <f>'Sales Forecast'!Y14*Assumptions!$C$13+'Sales Forecast'!X14*Assumptions!$D$13+'Sales Forecast'!W14*Assumptions!$E$13+'Sales Forecast'!V14*Assumptions!$F$13+'Sales Forecast'!U14*Assumptions!$G$13+'Sales Forecast'!T14*Assumptions!$H$13+'Sales Forecast'!S14*Assumptions!$I$13</f>
        <v/>
      </c>
      <c r="Z17" s="17">
        <f>'Sales Forecast'!Z14*Assumptions!$C$13+'Sales Forecast'!Y14*Assumptions!$D$13+'Sales Forecast'!X14*Assumptions!$E$13+'Sales Forecast'!W14*Assumptions!$F$13+'Sales Forecast'!V14*Assumptions!$G$13+'Sales Forecast'!U14*Assumptions!$H$13+'Sales Forecast'!T14*Assumptions!$I$13</f>
        <v/>
      </c>
      <c r="AA17" s="17">
        <f>'Sales Forecast'!AA14*Assumptions!$C$13+'Sales Forecast'!Z14*Assumptions!$D$13+'Sales Forecast'!Y14*Assumptions!$E$13+'Sales Forecast'!X14*Assumptions!$F$13+'Sales Forecast'!W14*Assumptions!$G$13+'Sales Forecast'!V14*Assumptions!$H$13+'Sales Forecast'!U14*Assumptions!$I$13</f>
        <v/>
      </c>
      <c r="AB17" s="17">
        <f>'Sales Forecast'!AB14*Assumptions!$C$13+'Sales Forecast'!AA14*Assumptions!$D$13+'Sales Forecast'!Z14*Assumptions!$E$13+'Sales Forecast'!Y14*Assumptions!$F$13+'Sales Forecast'!X14*Assumptions!$G$13+'Sales Forecast'!W14*Assumptions!$H$13+'Sales Forecast'!V14*Assumptions!$I$13</f>
        <v/>
      </c>
      <c r="AC17" s="17">
        <f>'Sales Forecast'!AC14*Assumptions!$C$13+'Sales Forecast'!AB14*Assumptions!$D$13+'Sales Forecast'!AA14*Assumptions!$E$13+'Sales Forecast'!Z14*Assumptions!$F$13+'Sales Forecast'!Y14*Assumptions!$G$13+'Sales Forecast'!X14*Assumptions!$H$13+'Sales Forecast'!W14*Assumptions!$I$13</f>
        <v/>
      </c>
      <c r="AD17" s="17">
        <f>'Sales Forecast'!AD14*Assumptions!$C$13+'Sales Forecast'!AC14*Assumptions!$D$13+'Sales Forecast'!AB14*Assumptions!$E$13+'Sales Forecast'!AA14*Assumptions!$F$13+'Sales Forecast'!Z14*Assumptions!$G$13+'Sales Forecast'!Y14*Assumptions!$H$13+'Sales Forecast'!X14*Assumptions!$I$13</f>
        <v/>
      </c>
      <c r="AE17" s="17">
        <f>'Sales Forecast'!AE14*Assumptions!$C$13+'Sales Forecast'!AD14*Assumptions!$D$13+'Sales Forecast'!AC14*Assumptions!$E$13+'Sales Forecast'!AB14*Assumptions!$F$13+'Sales Forecast'!AA14*Assumptions!$G$13+'Sales Forecast'!Z14*Assumptions!$H$13+'Sales Forecast'!Y14*Assumptions!$I$13</f>
        <v/>
      </c>
      <c r="AF17" s="17">
        <f>'Sales Forecast'!AF14*Assumptions!$C$13+'Sales Forecast'!AE14*Assumptions!$D$13+'Sales Forecast'!AD14*Assumptions!$E$13+'Sales Forecast'!AC14*Assumptions!$F$13+'Sales Forecast'!AB14*Assumptions!$G$13+'Sales Forecast'!AA14*Assumptions!$H$13+'Sales Forecast'!Z14*Assumptions!$I$13</f>
        <v/>
      </c>
      <c r="AG17" s="17">
        <f>'Sales Forecast'!AG14*Assumptions!$C$13+'Sales Forecast'!AF14*Assumptions!$D$13+'Sales Forecast'!AE14*Assumptions!$E$13+'Sales Forecast'!AD14*Assumptions!$F$13+'Sales Forecast'!AC14*Assumptions!$G$13+'Sales Forecast'!AB14*Assumptions!$H$13+'Sales Forecast'!AA14*Assumptions!$I$13</f>
        <v/>
      </c>
      <c r="AH17" s="17">
        <f>'Sales Forecast'!AH14*Assumptions!$C$13+'Sales Forecast'!AG14*Assumptions!$D$13+'Sales Forecast'!AF14*Assumptions!$E$13+'Sales Forecast'!AE14*Assumptions!$F$13+'Sales Forecast'!AD14*Assumptions!$G$13+'Sales Forecast'!AC14*Assumptions!$H$13+'Sales Forecast'!AB14*Assumptions!$I$13</f>
        <v/>
      </c>
      <c r="AI17" s="17">
        <f>'Sales Forecast'!AI14*Assumptions!$C$13+'Sales Forecast'!AH14*Assumptions!$D$13+'Sales Forecast'!AG14*Assumptions!$E$13+'Sales Forecast'!AF14*Assumptions!$F$13+'Sales Forecast'!AE14*Assumptions!$G$13+'Sales Forecast'!AD14*Assumptions!$H$13+'Sales Forecast'!AC14*Assumptions!$I$13</f>
        <v/>
      </c>
      <c r="AJ17" s="17">
        <f>'Sales Forecast'!AJ14*Assumptions!$C$13+'Sales Forecast'!AI14*Assumptions!$D$13+'Sales Forecast'!AH14*Assumptions!$E$13+'Sales Forecast'!AG14*Assumptions!$F$13+'Sales Forecast'!AF14*Assumptions!$G$13+'Sales Forecast'!AE14*Assumptions!$H$13+'Sales Forecast'!AD14*Assumptions!$I$13</f>
        <v/>
      </c>
      <c r="AK17" s="17">
        <f>'Sales Forecast'!AK14*Assumptions!$C$13+'Sales Forecast'!AJ14*Assumptions!$D$13+'Sales Forecast'!AI14*Assumptions!$E$13+'Sales Forecast'!AH14*Assumptions!$F$13+'Sales Forecast'!AG14*Assumptions!$G$13+'Sales Forecast'!AF14*Assumptions!$H$13+'Sales Forecast'!AE14*Assumptions!$I$13</f>
        <v/>
      </c>
      <c r="AL17" s="17">
        <f>'Sales Forecast'!AL14*Assumptions!$C$13+'Sales Forecast'!AK14*Assumptions!$D$13+'Sales Forecast'!AJ14*Assumptions!$E$13+'Sales Forecast'!AI14*Assumptions!$F$13+'Sales Forecast'!AH14*Assumptions!$G$13+'Sales Forecast'!AG14*Assumptions!$H$13+'Sales Forecast'!AF14*Assumptions!$I$13</f>
        <v/>
      </c>
      <c r="AM17" s="17">
        <f>'Sales Forecast'!AM14*Assumptions!$C$13+'Sales Forecast'!AL14*Assumptions!$D$13+'Sales Forecast'!AK14*Assumptions!$E$13+'Sales Forecast'!AJ14*Assumptions!$F$13+'Sales Forecast'!AI14*Assumptions!$G$13+'Sales Forecast'!AH14*Assumptions!$H$13+'Sales Forecast'!AG14*Assumptions!$I$13</f>
        <v/>
      </c>
      <c r="AN17" s="17">
        <f>'Sales Forecast'!AN14*Assumptions!$C$13+'Sales Forecast'!AM14*Assumptions!$D$13+'Sales Forecast'!AL14*Assumptions!$E$13+'Sales Forecast'!AK14*Assumptions!$F$13+'Sales Forecast'!AJ14*Assumptions!$G$13+'Sales Forecast'!AI14*Assumptions!$H$13+'Sales Forecast'!AH14*Assumptions!$I$13</f>
        <v/>
      </c>
      <c r="AO17" s="17">
        <f>'Sales Forecast'!AO14*Assumptions!$C$13+'Sales Forecast'!AN14*Assumptions!$D$13+'Sales Forecast'!AM14*Assumptions!$E$13+'Sales Forecast'!AL14*Assumptions!$F$13+'Sales Forecast'!AK14*Assumptions!$G$13+'Sales Forecast'!AJ14*Assumptions!$H$13+'Sales Forecast'!AI14*Assumptions!$I$13</f>
        <v/>
      </c>
      <c r="AP17" s="17">
        <f>'Sales Forecast'!AP14*Assumptions!$C$13+'Sales Forecast'!AO14*Assumptions!$D$13+'Sales Forecast'!AN14*Assumptions!$E$13+'Sales Forecast'!AM14*Assumptions!$F$13+'Sales Forecast'!AL14*Assumptions!$G$13+'Sales Forecast'!AK14*Assumptions!$H$13+'Sales Forecast'!AJ14*Assumptions!$I$13</f>
        <v/>
      </c>
      <c r="AQ17" s="17">
        <f>'Sales Forecast'!AQ14*Assumptions!$C$13+'Sales Forecast'!AP14*Assumptions!$D$13+'Sales Forecast'!AO14*Assumptions!$E$13+'Sales Forecast'!AN14*Assumptions!$F$13+'Sales Forecast'!AM14*Assumptions!$G$13+'Sales Forecast'!AL14*Assumptions!$H$13+'Sales Forecast'!AK14*Assumptions!$I$13</f>
        <v/>
      </c>
      <c r="AR17" s="17">
        <f>'Sales Forecast'!AR14*Assumptions!$C$13+'Sales Forecast'!AQ14*Assumptions!$D$13+'Sales Forecast'!AP14*Assumptions!$E$13+'Sales Forecast'!AO14*Assumptions!$F$13+'Sales Forecast'!AN14*Assumptions!$G$13+'Sales Forecast'!AM14*Assumptions!$H$13+'Sales Forecast'!AL14*Assumptions!$I$13</f>
        <v/>
      </c>
      <c r="AS17" s="17">
        <f>'Sales Forecast'!AS14*Assumptions!$C$13+'Sales Forecast'!AR14*Assumptions!$D$13+'Sales Forecast'!AQ14*Assumptions!$E$13+'Sales Forecast'!AP14*Assumptions!$F$13+'Sales Forecast'!AO14*Assumptions!$G$13+'Sales Forecast'!AN14*Assumptions!$H$13+'Sales Forecast'!AM14*Assumptions!$I$13</f>
        <v/>
      </c>
      <c r="AT17" s="17">
        <f>'Sales Forecast'!AT14*Assumptions!$C$13+'Sales Forecast'!AS14*Assumptions!$D$13+'Sales Forecast'!AR14*Assumptions!$E$13+'Sales Forecast'!AQ14*Assumptions!$F$13+'Sales Forecast'!AP14*Assumptions!$G$13+'Sales Forecast'!AO14*Assumptions!$H$13+'Sales Forecast'!AN14*Assumptions!$I$13</f>
        <v/>
      </c>
      <c r="AU17" s="17">
        <f>'Sales Forecast'!AU14*Assumptions!$C$13+'Sales Forecast'!AT14*Assumptions!$D$13+'Sales Forecast'!AS14*Assumptions!$E$13+'Sales Forecast'!AR14*Assumptions!$F$13+'Sales Forecast'!AQ14*Assumptions!$G$13+'Sales Forecast'!AP14*Assumptions!$H$13+'Sales Forecast'!AO14*Assumptions!$I$13</f>
        <v/>
      </c>
      <c r="AV17" s="17">
        <f>'Sales Forecast'!AV14*Assumptions!$C$13+'Sales Forecast'!AU14*Assumptions!$D$13+'Sales Forecast'!AT14*Assumptions!$E$13+'Sales Forecast'!AS14*Assumptions!$F$13+'Sales Forecast'!AR14*Assumptions!$G$13+'Sales Forecast'!AQ14*Assumptions!$H$13+'Sales Forecast'!AP14*Assumptions!$I$13</f>
        <v/>
      </c>
      <c r="AW17" s="17">
        <f>'Sales Forecast'!AW14*Assumptions!$C$13+'Sales Forecast'!AV14*Assumptions!$D$13+'Sales Forecast'!AU14*Assumptions!$E$13+'Sales Forecast'!AT14*Assumptions!$F$13+'Sales Forecast'!AS14*Assumptions!$G$13+'Sales Forecast'!AR14*Assumptions!$H$13+'Sales Forecast'!AQ14*Assumptions!$I$13</f>
        <v/>
      </c>
      <c r="AX17" s="17">
        <f>'Sales Forecast'!AX14*Assumptions!$C$13+'Sales Forecast'!AW14*Assumptions!$D$13+'Sales Forecast'!AV14*Assumptions!$E$13+'Sales Forecast'!AU14*Assumptions!$F$13+'Sales Forecast'!AT14*Assumptions!$G$13+'Sales Forecast'!AS14*Assumptions!$H$13+'Sales Forecast'!AR14*Assumptions!$I$13</f>
        <v/>
      </c>
      <c r="AY17" s="17">
        <f>'Sales Forecast'!AY14*Assumptions!$C$13+'Sales Forecast'!AX14*Assumptions!$D$13+'Sales Forecast'!AW14*Assumptions!$E$13+'Sales Forecast'!AV14*Assumptions!$F$13+'Sales Forecast'!AU14*Assumptions!$G$13+'Sales Forecast'!AT14*Assumptions!$H$13+'Sales Forecast'!AS14*Assumptions!$I$13</f>
        <v/>
      </c>
    </row>
    <row r="18">
      <c r="B18" s="33" t="inlineStr">
        <is>
          <t xml:space="preserve">  404000 Retail Sales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1197</v>
      </c>
      <c r="O18" s="19" t="n">
        <v>738</v>
      </c>
      <c r="P18" s="19" t="n">
        <v>1456</v>
      </c>
      <c r="Q18" s="19" t="n">
        <v>1250</v>
      </c>
      <c r="R18" s="19" t="n">
        <v>1720</v>
      </c>
      <c r="S18" s="19" t="n">
        <v>1360</v>
      </c>
      <c r="T18" s="84" t="n">
        <v>584</v>
      </c>
      <c r="U18" s="20">
        <f>1446.5</f>
        <v/>
      </c>
      <c r="V18" s="20">
        <f>1446.5</f>
        <v/>
      </c>
      <c r="W18" s="20">
        <f>1446.5</f>
        <v/>
      </c>
      <c r="X18" s="20">
        <f>1446.5</f>
        <v/>
      </c>
      <c r="Y18" s="20">
        <f>1446.5</f>
        <v/>
      </c>
      <c r="Z18" s="20">
        <f>1446.5</f>
        <v/>
      </c>
      <c r="AA18" s="20">
        <f>1446.5</f>
        <v/>
      </c>
      <c r="AB18" s="20">
        <f>1446.5</f>
        <v/>
      </c>
      <c r="AC18" s="20">
        <f>1446.5</f>
        <v/>
      </c>
      <c r="AD18" s="20">
        <f>1446.5</f>
        <v/>
      </c>
      <c r="AE18" s="20">
        <f>1446.5</f>
        <v/>
      </c>
      <c r="AF18" s="20">
        <f>1446.5</f>
        <v/>
      </c>
      <c r="AG18" s="20">
        <f>1446.5</f>
        <v/>
      </c>
      <c r="AH18" s="20">
        <f>1446.5</f>
        <v/>
      </c>
      <c r="AI18" s="20">
        <f>1446.5</f>
        <v/>
      </c>
      <c r="AJ18" s="20">
        <f>1446.5</f>
        <v/>
      </c>
      <c r="AK18" s="20">
        <f>1446.5</f>
        <v/>
      </c>
      <c r="AL18" s="20">
        <f>1446.5</f>
        <v/>
      </c>
      <c r="AM18" s="20">
        <f>1446.5</f>
        <v/>
      </c>
      <c r="AN18" s="20">
        <f>1446.5</f>
        <v/>
      </c>
      <c r="AO18" s="20">
        <f>1446.5</f>
        <v/>
      </c>
      <c r="AP18" s="20">
        <f>1446.5</f>
        <v/>
      </c>
      <c r="AQ18" s="20">
        <f>1446.5</f>
        <v/>
      </c>
      <c r="AR18" s="20">
        <f>1446.5</f>
        <v/>
      </c>
      <c r="AS18" s="20">
        <f>1446.5</f>
        <v/>
      </c>
      <c r="AT18" s="20">
        <f>1446.5</f>
        <v/>
      </c>
      <c r="AU18" s="20">
        <f>1446.5</f>
        <v/>
      </c>
      <c r="AV18" s="20">
        <f>1446.5</f>
        <v/>
      </c>
      <c r="AW18" s="20">
        <f>1446.5</f>
        <v/>
      </c>
      <c r="AX18" s="20">
        <f>1446.5</f>
        <v/>
      </c>
      <c r="AY18" s="20">
        <f>1446.5</f>
        <v/>
      </c>
    </row>
    <row r="19">
      <c r="B19" s="33" t="inlineStr">
        <is>
          <t xml:space="preserve">  406000 Refunds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-42.01</v>
      </c>
      <c r="P19" s="19" t="n">
        <v>1469</v>
      </c>
      <c r="Q19" s="19" t="n">
        <v>245</v>
      </c>
      <c r="R19" s="19" t="n">
        <v>48</v>
      </c>
      <c r="S19" s="19" t="n">
        <v>138</v>
      </c>
      <c r="T19" s="84" t="n">
        <v>380</v>
      </c>
      <c r="U19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Forecast'!P14*Assumptions!$H$13+1446.5)*Assumptions!$C$17</f>
        <v/>
      </c>
      <c r="V19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Forecast'!P14*Assumptions!$I$13+1446.5)*Assumptions!$C$17</f>
        <v/>
      </c>
      <c r="W19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Forecast'!Q14*Assumptions!$I$13+1446.5)*Assumptions!$C$17</f>
        <v/>
      </c>
      <c r="X19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Forecast'!R14*Assumptions!$I$13+1446.5)*Assumptions!$C$17</f>
        <v/>
      </c>
      <c r="Y19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Forecast'!S14*Assumptions!$I$13+1446.5)*Assumptions!$C$17</f>
        <v/>
      </c>
      <c r="Z19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Forecast'!T14*Assumptions!$I$13+1446.5)*Assumptions!$C$17</f>
        <v/>
      </c>
      <c r="AA19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Forecast'!U14*Assumptions!$I$13+1446.5)*Assumptions!$C$17</f>
        <v/>
      </c>
      <c r="AB19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Forecast'!V14*Assumptions!$I$13+1446.5)*Assumptions!$C$17</f>
        <v/>
      </c>
      <c r="AC19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Forecast'!W14*Assumptions!$I$13+1446.5)*Assumptions!$C$17</f>
        <v/>
      </c>
      <c r="AD19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Forecast'!X14*Assumptions!$I$13+1446.5)*Assumptions!$C$17</f>
        <v/>
      </c>
      <c r="AE19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Forecast'!Y14*Assumptions!$I$13+1446.5)*Assumptions!$C$17</f>
        <v/>
      </c>
      <c r="AF19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Forecast'!Z14*Assumptions!$I$13+1446.5)*Assumptions!$C$17</f>
        <v/>
      </c>
      <c r="AG19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Forecast'!AA14*Assumptions!$I$13+1446.5)*Assumptions!$C$17</f>
        <v/>
      </c>
      <c r="AH19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Forecast'!AB14*Assumptions!$I$13+1446.5)*Assumptions!$C$17</f>
        <v/>
      </c>
      <c r="AI19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Forecast'!AC14*Assumptions!$I$13+1446.5)*Assumptions!$C$17</f>
        <v/>
      </c>
      <c r="AJ19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Forecast'!AD14*Assumptions!$I$13+1446.5)*Assumptions!$C$17</f>
        <v/>
      </c>
      <c r="AK19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Forecast'!AE14*Assumptions!$I$13+1446.5)*Assumptions!$C$17</f>
        <v/>
      </c>
      <c r="AL19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Forecast'!AF14*Assumptions!$I$13+1446.5)*Assumptions!$C$17</f>
        <v/>
      </c>
      <c r="AM19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Forecast'!AG14*Assumptions!$I$13+1446.5)*Assumptions!$C$17</f>
        <v/>
      </c>
      <c r="AN19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Forecast'!AH14*Assumptions!$I$13+1446.5)*Assumptions!$C$17</f>
        <v/>
      </c>
      <c r="AO19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Forecast'!AI14*Assumptions!$I$13+1446.5)*Assumptions!$C$17</f>
        <v/>
      </c>
      <c r="AP19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Forecast'!AJ14*Assumptions!$I$13+1446.5)*Assumptions!$C$17</f>
        <v/>
      </c>
      <c r="AQ19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Forecast'!AK14*Assumptions!$I$13+1446.5)*Assumptions!$C$17</f>
        <v/>
      </c>
      <c r="AR19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Forecast'!AL14*Assumptions!$I$13+1446.5)*Assumptions!$C$17</f>
        <v/>
      </c>
      <c r="AS19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Forecast'!AM14*Assumptions!$I$13+1446.5)*Assumptions!$C$17</f>
        <v/>
      </c>
      <c r="AT19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Forecast'!AN14*Assumptions!$I$13+1446.5)*Assumptions!$C$17</f>
        <v/>
      </c>
      <c r="AU19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Forecast'!AO14*Assumptions!$I$13+1446.5)*Assumptions!$C$17</f>
        <v/>
      </c>
      <c r="AV19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Forecast'!AP14*Assumptions!$I$13+1446.5)*Assumptions!$C$17</f>
        <v/>
      </c>
      <c r="AW19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Forecast'!AQ14*Assumptions!$I$13+1446.5)*Assumptions!$C$17</f>
        <v/>
      </c>
      <c r="AX19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Forecast'!AR14*Assumptions!$I$13+1446.5)*Assumptions!$C$17</f>
        <v/>
      </c>
      <c r="AY19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Forecast'!AS14*Assumptions!$I$13+1446.5)*Assumptions!$C$17</f>
        <v/>
      </c>
    </row>
    <row r="20">
      <c r="B20" s="33" t="inlineStr">
        <is>
          <t xml:space="preserve">  407000 Discounts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-5633.6</v>
      </c>
      <c r="O20" s="19" t="n">
        <v>-5566.6</v>
      </c>
      <c r="P20" s="19" t="n">
        <v>6462.55</v>
      </c>
      <c r="Q20" s="19" t="n">
        <v>8101.95</v>
      </c>
      <c r="R20" s="19" t="n">
        <v>6100.2</v>
      </c>
      <c r="S20" s="19" t="n">
        <v>2115.4</v>
      </c>
      <c r="T20" s="84" t="n">
        <v>1832.8</v>
      </c>
      <c r="U20" s="20">
        <f>('Sales Forecast'!U14*Assumptions!$C$12+'Sales Forecast'!T14*Assumptions!$D$12+'Sales Forecast'!S14*Assumptions!$E$12+'Sales Forecast'!R14*Assumptions!$F$12+'Sales Forecast'!Q14*Assumptions!$G$12+'Sales Forecast'!P14*Assumptions!$H$12+'Sales Forecast'!U14*Assumptions!$C$13+'Sales Forecast'!T14*Assumptions!$D$13+'Sales Forecast'!S14*Assumptions!$E$13+'Sales Forecast'!R14*Assumptions!$F$13+'Sales Forecast'!Q14*Assumptions!$G$13+'Sales Forecast'!P14*Assumptions!$H$13+1446.5)*Assumptions!$C$18</f>
        <v/>
      </c>
      <c r="V20" s="20">
        <f>('Sales Forecast'!V14*Assumptions!$C$12+'Sales Forecast'!U14*Assumptions!$D$12+'Sales Forecast'!T14*Assumptions!$E$12+'Sales Forecast'!S14*Assumptions!$F$12+'Sales Forecast'!R14*Assumptions!$G$12+'Sales Forecast'!Q14*Assumptions!$H$12+'Sales Forecast'!P14*Assumptions!$I$12+'Sales Forecast'!V14*Assumptions!$C$13+'Sales Forecast'!U14*Assumptions!$D$13+'Sales Forecast'!T14*Assumptions!$E$13+'Sales Forecast'!S14*Assumptions!$F$13+'Sales Forecast'!R14*Assumptions!$G$13+'Sales Forecast'!Q14*Assumptions!$H$13+'Sales Forecast'!P14*Assumptions!$I$13+1446.5)*Assumptions!$C$18</f>
        <v/>
      </c>
      <c r="W20" s="20">
        <f>('Sales Forecast'!W14*Assumptions!$C$12+'Sales Forecast'!V14*Assumptions!$D$12+'Sales Forecast'!U14*Assumptions!$E$12+'Sales Forecast'!T14*Assumptions!$F$12+'Sales Forecast'!S14*Assumptions!$G$12+'Sales Forecast'!R14*Assumptions!$H$12+'Sales Forecast'!Q14*Assumptions!$I$12+'Sales Forecast'!W14*Assumptions!$C$13+'Sales Forecast'!V14*Assumptions!$D$13+'Sales Forecast'!U14*Assumptions!$E$13+'Sales Forecast'!T14*Assumptions!$F$13+'Sales Forecast'!S14*Assumptions!$G$13+'Sales Forecast'!R14*Assumptions!$H$13+'Sales Forecast'!Q14*Assumptions!$I$13+1446.5)*Assumptions!$C$18</f>
        <v/>
      </c>
      <c r="X20" s="20">
        <f>('Sales Forecast'!X14*Assumptions!$C$12+'Sales Forecast'!W14*Assumptions!$D$12+'Sales Forecast'!V14*Assumptions!$E$12+'Sales Forecast'!U14*Assumptions!$F$12+'Sales Forecast'!T14*Assumptions!$G$12+'Sales Forecast'!S14*Assumptions!$H$12+'Sales Forecast'!R14*Assumptions!$I$12+'Sales Forecast'!X14*Assumptions!$C$13+'Sales Forecast'!W14*Assumptions!$D$13+'Sales Forecast'!V14*Assumptions!$E$13+'Sales Forecast'!U14*Assumptions!$F$13+'Sales Forecast'!T14*Assumptions!$G$13+'Sales Forecast'!S14*Assumptions!$H$13+'Sales Forecast'!R14*Assumptions!$I$13+1446.5)*Assumptions!$C$18</f>
        <v/>
      </c>
      <c r="Y20" s="20">
        <f>('Sales Forecast'!Y14*Assumptions!$C$12+'Sales Forecast'!X14*Assumptions!$D$12+'Sales Forecast'!W14*Assumptions!$E$12+'Sales Forecast'!V14*Assumptions!$F$12+'Sales Forecast'!U14*Assumptions!$G$12+'Sales Forecast'!T14*Assumptions!$H$12+'Sales Forecast'!S14*Assumptions!$I$12+'Sales Forecast'!Y14*Assumptions!$C$13+'Sales Forecast'!X14*Assumptions!$D$13+'Sales Forecast'!W14*Assumptions!$E$13+'Sales Forecast'!V14*Assumptions!$F$13+'Sales Forecast'!U14*Assumptions!$G$13+'Sales Forecast'!T14*Assumptions!$H$13+'Sales Forecast'!S14*Assumptions!$I$13+1446.5)*Assumptions!$C$18</f>
        <v/>
      </c>
      <c r="Z20" s="20">
        <f>('Sales Forecast'!Z14*Assumptions!$C$12+'Sales Forecast'!Y14*Assumptions!$D$12+'Sales Forecast'!X14*Assumptions!$E$12+'Sales Forecast'!W14*Assumptions!$F$12+'Sales Forecast'!V14*Assumptions!$G$12+'Sales Forecast'!U14*Assumptions!$H$12+'Sales Forecast'!T14*Assumptions!$I$12+'Sales Forecast'!Z14*Assumptions!$C$13+'Sales Forecast'!Y14*Assumptions!$D$13+'Sales Forecast'!X14*Assumptions!$E$13+'Sales Forecast'!W14*Assumptions!$F$13+'Sales Forecast'!V14*Assumptions!$G$13+'Sales Forecast'!U14*Assumptions!$H$13+'Sales Forecast'!T14*Assumptions!$I$13+1446.5)*Assumptions!$C$18</f>
        <v/>
      </c>
      <c r="AA20" s="20">
        <f>('Sales Forecast'!AA14*Assumptions!$C$12+'Sales Forecast'!Z14*Assumptions!$D$12+'Sales Forecast'!Y14*Assumptions!$E$12+'Sales Forecast'!X14*Assumptions!$F$12+'Sales Forecast'!W14*Assumptions!$G$12+'Sales Forecast'!V14*Assumptions!$H$12+'Sales Forecast'!U14*Assumptions!$I$12+'Sales Forecast'!AA14*Assumptions!$C$13+'Sales Forecast'!Z14*Assumptions!$D$13+'Sales Forecast'!Y14*Assumptions!$E$13+'Sales Forecast'!X14*Assumptions!$F$13+'Sales Forecast'!W14*Assumptions!$G$13+'Sales Forecast'!V14*Assumptions!$H$13+'Sales Forecast'!U14*Assumptions!$I$13+1446.5)*Assumptions!$C$18</f>
        <v/>
      </c>
      <c r="AB20" s="20">
        <f>('Sales Forecast'!AB14*Assumptions!$C$12+'Sales Forecast'!AA14*Assumptions!$D$12+'Sales Forecast'!Z14*Assumptions!$E$12+'Sales Forecast'!Y14*Assumptions!$F$12+'Sales Forecast'!X14*Assumptions!$G$12+'Sales Forecast'!W14*Assumptions!$H$12+'Sales Forecast'!V14*Assumptions!$I$12+'Sales Forecast'!AB14*Assumptions!$C$13+'Sales Forecast'!AA14*Assumptions!$D$13+'Sales Forecast'!Z14*Assumptions!$E$13+'Sales Forecast'!Y14*Assumptions!$F$13+'Sales Forecast'!X14*Assumptions!$G$13+'Sales Forecast'!W14*Assumptions!$H$13+'Sales Forecast'!V14*Assumptions!$I$13+1446.5)*Assumptions!$C$18</f>
        <v/>
      </c>
      <c r="AC20" s="20">
        <f>('Sales Forecast'!AC14*Assumptions!$C$12+'Sales Forecast'!AB14*Assumptions!$D$12+'Sales Forecast'!AA14*Assumptions!$E$12+'Sales Forecast'!Z14*Assumptions!$F$12+'Sales Forecast'!Y14*Assumptions!$G$12+'Sales Forecast'!X14*Assumptions!$H$12+'Sales Forecast'!W14*Assumptions!$I$12+'Sales Forecast'!AC14*Assumptions!$C$13+'Sales Forecast'!AB14*Assumptions!$D$13+'Sales Forecast'!AA14*Assumptions!$E$13+'Sales Forecast'!Z14*Assumptions!$F$13+'Sales Forecast'!Y14*Assumptions!$G$13+'Sales Forecast'!X14*Assumptions!$H$13+'Sales Forecast'!W14*Assumptions!$I$13+1446.5)*Assumptions!$C$18</f>
        <v/>
      </c>
      <c r="AD20" s="20">
        <f>('Sales Forecast'!AD14*Assumptions!$C$12+'Sales Forecast'!AC14*Assumptions!$D$12+'Sales Forecast'!AB14*Assumptions!$E$12+'Sales Forecast'!AA14*Assumptions!$F$12+'Sales Forecast'!Z14*Assumptions!$G$12+'Sales Forecast'!Y14*Assumptions!$H$12+'Sales Forecast'!X14*Assumptions!$I$12+'Sales Forecast'!AD14*Assumptions!$C$13+'Sales Forecast'!AC14*Assumptions!$D$13+'Sales Forecast'!AB14*Assumptions!$E$13+'Sales Forecast'!AA14*Assumptions!$F$13+'Sales Forecast'!Z14*Assumptions!$G$13+'Sales Forecast'!Y14*Assumptions!$H$13+'Sales Forecast'!X14*Assumptions!$I$13+1446.5)*Assumptions!$C$18</f>
        <v/>
      </c>
      <c r="AE20" s="20">
        <f>('Sales Forecast'!AE14*Assumptions!$C$12+'Sales Forecast'!AD14*Assumptions!$D$12+'Sales Forecast'!AC14*Assumptions!$E$12+'Sales Forecast'!AB14*Assumptions!$F$12+'Sales Forecast'!AA14*Assumptions!$G$12+'Sales Forecast'!Z14*Assumptions!$H$12+'Sales Forecast'!Y14*Assumptions!$I$12+'Sales Forecast'!AE14*Assumptions!$C$13+'Sales Forecast'!AD14*Assumptions!$D$13+'Sales Forecast'!AC14*Assumptions!$E$13+'Sales Forecast'!AB14*Assumptions!$F$13+'Sales Forecast'!AA14*Assumptions!$G$13+'Sales Forecast'!Z14*Assumptions!$H$13+'Sales Forecast'!Y14*Assumptions!$I$13+1446.5)*Assumptions!$C$18</f>
        <v/>
      </c>
      <c r="AF20" s="20">
        <f>('Sales Forecast'!AF14*Assumptions!$C$12+'Sales Forecast'!AE14*Assumptions!$D$12+'Sales Forecast'!AD14*Assumptions!$E$12+'Sales Forecast'!AC14*Assumptions!$F$12+'Sales Forecast'!AB14*Assumptions!$G$12+'Sales Forecast'!AA14*Assumptions!$H$12+'Sales Forecast'!Z14*Assumptions!$I$12+'Sales Forecast'!AF14*Assumptions!$C$13+'Sales Forecast'!AE14*Assumptions!$D$13+'Sales Forecast'!AD14*Assumptions!$E$13+'Sales Forecast'!AC14*Assumptions!$F$13+'Sales Forecast'!AB14*Assumptions!$G$13+'Sales Forecast'!AA14*Assumptions!$H$13+'Sales Forecast'!Z14*Assumptions!$I$13+1446.5)*Assumptions!$C$18</f>
        <v/>
      </c>
      <c r="AG20" s="20">
        <f>('Sales Forecast'!AG14*Assumptions!$C$12+'Sales Forecast'!AF14*Assumptions!$D$12+'Sales Forecast'!AE14*Assumptions!$E$12+'Sales Forecast'!AD14*Assumptions!$F$12+'Sales Forecast'!AC14*Assumptions!$G$12+'Sales Forecast'!AB14*Assumptions!$H$12+'Sales Forecast'!AA14*Assumptions!$I$12+'Sales Forecast'!AG14*Assumptions!$C$13+'Sales Forecast'!AF14*Assumptions!$D$13+'Sales Forecast'!AE14*Assumptions!$E$13+'Sales Forecast'!AD14*Assumptions!$F$13+'Sales Forecast'!AC14*Assumptions!$G$13+'Sales Forecast'!AB14*Assumptions!$H$13+'Sales Forecast'!AA14*Assumptions!$I$13+1446.5)*Assumptions!$C$18</f>
        <v/>
      </c>
      <c r="AH20" s="20">
        <f>('Sales Forecast'!AH14*Assumptions!$C$12+'Sales Forecast'!AG14*Assumptions!$D$12+'Sales Forecast'!AF14*Assumptions!$E$12+'Sales Forecast'!AE14*Assumptions!$F$12+'Sales Forecast'!AD14*Assumptions!$G$12+'Sales Forecast'!AC14*Assumptions!$H$12+'Sales Forecast'!AB14*Assumptions!$I$12+'Sales Forecast'!AH14*Assumptions!$C$13+'Sales Forecast'!AG14*Assumptions!$D$13+'Sales Forecast'!AF14*Assumptions!$E$13+'Sales Forecast'!AE14*Assumptions!$F$13+'Sales Forecast'!AD14*Assumptions!$G$13+'Sales Forecast'!AC14*Assumptions!$H$13+'Sales Forecast'!AB14*Assumptions!$I$13+1446.5)*Assumptions!$C$18</f>
        <v/>
      </c>
      <c r="AI20" s="20">
        <f>('Sales Forecast'!AI14*Assumptions!$C$12+'Sales Forecast'!AH14*Assumptions!$D$12+'Sales Forecast'!AG14*Assumptions!$E$12+'Sales Forecast'!AF14*Assumptions!$F$12+'Sales Forecast'!AE14*Assumptions!$G$12+'Sales Forecast'!AD14*Assumptions!$H$12+'Sales Forecast'!AC14*Assumptions!$I$12+'Sales Forecast'!AI14*Assumptions!$C$13+'Sales Forecast'!AH14*Assumptions!$D$13+'Sales Forecast'!AG14*Assumptions!$E$13+'Sales Forecast'!AF14*Assumptions!$F$13+'Sales Forecast'!AE14*Assumptions!$G$13+'Sales Forecast'!AD14*Assumptions!$H$13+'Sales Forecast'!AC14*Assumptions!$I$13+1446.5)*Assumptions!$C$18</f>
        <v/>
      </c>
      <c r="AJ20" s="20">
        <f>('Sales Forecast'!AJ14*Assumptions!$C$12+'Sales Forecast'!AI14*Assumptions!$D$12+'Sales Forecast'!AH14*Assumptions!$E$12+'Sales Forecast'!AG14*Assumptions!$F$12+'Sales Forecast'!AF14*Assumptions!$G$12+'Sales Forecast'!AE14*Assumptions!$H$12+'Sales Forecast'!AD14*Assumptions!$I$12+'Sales Forecast'!AJ14*Assumptions!$C$13+'Sales Forecast'!AI14*Assumptions!$D$13+'Sales Forecast'!AH14*Assumptions!$E$13+'Sales Forecast'!AG14*Assumptions!$F$13+'Sales Forecast'!AF14*Assumptions!$G$13+'Sales Forecast'!AE14*Assumptions!$H$13+'Sales Forecast'!AD14*Assumptions!$I$13+1446.5)*Assumptions!$C$18</f>
        <v/>
      </c>
      <c r="AK20" s="20">
        <f>('Sales Forecast'!AK14*Assumptions!$C$12+'Sales Forecast'!AJ14*Assumptions!$D$12+'Sales Forecast'!AI14*Assumptions!$E$12+'Sales Forecast'!AH14*Assumptions!$F$12+'Sales Forecast'!AG14*Assumptions!$G$12+'Sales Forecast'!AF14*Assumptions!$H$12+'Sales Forecast'!AE14*Assumptions!$I$12+'Sales Forecast'!AK14*Assumptions!$C$13+'Sales Forecast'!AJ14*Assumptions!$D$13+'Sales Forecast'!AI14*Assumptions!$E$13+'Sales Forecast'!AH14*Assumptions!$F$13+'Sales Forecast'!AG14*Assumptions!$G$13+'Sales Forecast'!AF14*Assumptions!$H$13+'Sales Forecast'!AE14*Assumptions!$I$13+1446.5)*Assumptions!$C$18</f>
        <v/>
      </c>
      <c r="AL20" s="20">
        <f>('Sales Forecast'!AL14*Assumptions!$C$12+'Sales Forecast'!AK14*Assumptions!$D$12+'Sales Forecast'!AJ14*Assumptions!$E$12+'Sales Forecast'!AI14*Assumptions!$F$12+'Sales Forecast'!AH14*Assumptions!$G$12+'Sales Forecast'!AG14*Assumptions!$H$12+'Sales Forecast'!AF14*Assumptions!$I$12+'Sales Forecast'!AL14*Assumptions!$C$13+'Sales Forecast'!AK14*Assumptions!$D$13+'Sales Forecast'!AJ14*Assumptions!$E$13+'Sales Forecast'!AI14*Assumptions!$F$13+'Sales Forecast'!AH14*Assumptions!$G$13+'Sales Forecast'!AG14*Assumptions!$H$13+'Sales Forecast'!AF14*Assumptions!$I$13+1446.5)*Assumptions!$C$18</f>
        <v/>
      </c>
      <c r="AM20" s="20">
        <f>('Sales Forecast'!AM14*Assumptions!$C$12+'Sales Forecast'!AL14*Assumptions!$D$12+'Sales Forecast'!AK14*Assumptions!$E$12+'Sales Forecast'!AJ14*Assumptions!$F$12+'Sales Forecast'!AI14*Assumptions!$G$12+'Sales Forecast'!AH14*Assumptions!$H$12+'Sales Forecast'!AG14*Assumptions!$I$12+'Sales Forecast'!AM14*Assumptions!$C$13+'Sales Forecast'!AL14*Assumptions!$D$13+'Sales Forecast'!AK14*Assumptions!$E$13+'Sales Forecast'!AJ14*Assumptions!$F$13+'Sales Forecast'!AI14*Assumptions!$G$13+'Sales Forecast'!AH14*Assumptions!$H$13+'Sales Forecast'!AG14*Assumptions!$I$13+1446.5)*Assumptions!$C$18</f>
        <v/>
      </c>
      <c r="AN20" s="20">
        <f>('Sales Forecast'!AN14*Assumptions!$C$12+'Sales Forecast'!AM14*Assumptions!$D$12+'Sales Forecast'!AL14*Assumptions!$E$12+'Sales Forecast'!AK14*Assumptions!$F$12+'Sales Forecast'!AJ14*Assumptions!$G$12+'Sales Forecast'!AI14*Assumptions!$H$12+'Sales Forecast'!AH14*Assumptions!$I$12+'Sales Forecast'!AN14*Assumptions!$C$13+'Sales Forecast'!AM14*Assumptions!$D$13+'Sales Forecast'!AL14*Assumptions!$E$13+'Sales Forecast'!AK14*Assumptions!$F$13+'Sales Forecast'!AJ14*Assumptions!$G$13+'Sales Forecast'!AI14*Assumptions!$H$13+'Sales Forecast'!AH14*Assumptions!$I$13+1446.5)*Assumptions!$C$18</f>
        <v/>
      </c>
      <c r="AO20" s="20">
        <f>('Sales Forecast'!AO14*Assumptions!$C$12+'Sales Forecast'!AN14*Assumptions!$D$12+'Sales Forecast'!AM14*Assumptions!$E$12+'Sales Forecast'!AL14*Assumptions!$F$12+'Sales Forecast'!AK14*Assumptions!$G$12+'Sales Forecast'!AJ14*Assumptions!$H$12+'Sales Forecast'!AI14*Assumptions!$I$12+'Sales Forecast'!AO14*Assumptions!$C$13+'Sales Forecast'!AN14*Assumptions!$D$13+'Sales Forecast'!AM14*Assumptions!$E$13+'Sales Forecast'!AL14*Assumptions!$F$13+'Sales Forecast'!AK14*Assumptions!$G$13+'Sales Forecast'!AJ14*Assumptions!$H$13+'Sales Forecast'!AI14*Assumptions!$I$13+1446.5)*Assumptions!$C$18</f>
        <v/>
      </c>
      <c r="AP20" s="20">
        <f>('Sales Forecast'!AP14*Assumptions!$C$12+'Sales Forecast'!AO14*Assumptions!$D$12+'Sales Forecast'!AN14*Assumptions!$E$12+'Sales Forecast'!AM14*Assumptions!$F$12+'Sales Forecast'!AL14*Assumptions!$G$12+'Sales Forecast'!AK14*Assumptions!$H$12+'Sales Forecast'!AJ14*Assumptions!$I$12+'Sales Forecast'!AP14*Assumptions!$C$13+'Sales Forecast'!AO14*Assumptions!$D$13+'Sales Forecast'!AN14*Assumptions!$E$13+'Sales Forecast'!AM14*Assumptions!$F$13+'Sales Forecast'!AL14*Assumptions!$G$13+'Sales Forecast'!AK14*Assumptions!$H$13+'Sales Forecast'!AJ14*Assumptions!$I$13+1446.5)*Assumptions!$C$18</f>
        <v/>
      </c>
      <c r="AQ20" s="20">
        <f>('Sales Forecast'!AQ14*Assumptions!$C$12+'Sales Forecast'!AP14*Assumptions!$D$12+'Sales Forecast'!AO14*Assumptions!$E$12+'Sales Forecast'!AN14*Assumptions!$F$12+'Sales Forecast'!AM14*Assumptions!$G$12+'Sales Forecast'!AL14*Assumptions!$H$12+'Sales Forecast'!AK14*Assumptions!$I$12+'Sales Forecast'!AQ14*Assumptions!$C$13+'Sales Forecast'!AP14*Assumptions!$D$13+'Sales Forecast'!AO14*Assumptions!$E$13+'Sales Forecast'!AN14*Assumptions!$F$13+'Sales Forecast'!AM14*Assumptions!$G$13+'Sales Forecast'!AL14*Assumptions!$H$13+'Sales Forecast'!AK14*Assumptions!$I$13+1446.5)*Assumptions!$C$18</f>
        <v/>
      </c>
      <c r="AR20" s="20">
        <f>('Sales Forecast'!AR14*Assumptions!$C$12+'Sales Forecast'!AQ14*Assumptions!$D$12+'Sales Forecast'!AP14*Assumptions!$E$12+'Sales Forecast'!AO14*Assumptions!$F$12+'Sales Forecast'!AN14*Assumptions!$G$12+'Sales Forecast'!AM14*Assumptions!$H$12+'Sales Forecast'!AL14*Assumptions!$I$12+'Sales Forecast'!AR14*Assumptions!$C$13+'Sales Forecast'!AQ14*Assumptions!$D$13+'Sales Forecast'!AP14*Assumptions!$E$13+'Sales Forecast'!AO14*Assumptions!$F$13+'Sales Forecast'!AN14*Assumptions!$G$13+'Sales Forecast'!AM14*Assumptions!$H$13+'Sales Forecast'!AL14*Assumptions!$I$13+1446.5)*Assumptions!$C$18</f>
        <v/>
      </c>
      <c r="AS20" s="20">
        <f>('Sales Forecast'!AS14*Assumptions!$C$12+'Sales Forecast'!AR14*Assumptions!$D$12+'Sales Forecast'!AQ14*Assumptions!$E$12+'Sales Forecast'!AP14*Assumptions!$F$12+'Sales Forecast'!AO14*Assumptions!$G$12+'Sales Forecast'!AN14*Assumptions!$H$12+'Sales Forecast'!AM14*Assumptions!$I$12+'Sales Forecast'!AS14*Assumptions!$C$13+'Sales Forecast'!AR14*Assumptions!$D$13+'Sales Forecast'!AQ14*Assumptions!$E$13+'Sales Forecast'!AP14*Assumptions!$F$13+'Sales Forecast'!AO14*Assumptions!$G$13+'Sales Forecast'!AN14*Assumptions!$H$13+'Sales Forecast'!AM14*Assumptions!$I$13+1446.5)*Assumptions!$C$18</f>
        <v/>
      </c>
      <c r="AT20" s="20">
        <f>('Sales Forecast'!AT14*Assumptions!$C$12+'Sales Forecast'!AS14*Assumptions!$D$12+'Sales Forecast'!AR14*Assumptions!$E$12+'Sales Forecast'!AQ14*Assumptions!$F$12+'Sales Forecast'!AP14*Assumptions!$G$12+'Sales Forecast'!AO14*Assumptions!$H$12+'Sales Forecast'!AN14*Assumptions!$I$12+'Sales Forecast'!AT14*Assumptions!$C$13+'Sales Forecast'!AS14*Assumptions!$D$13+'Sales Forecast'!AR14*Assumptions!$E$13+'Sales Forecast'!AQ14*Assumptions!$F$13+'Sales Forecast'!AP14*Assumptions!$G$13+'Sales Forecast'!AO14*Assumptions!$H$13+'Sales Forecast'!AN14*Assumptions!$I$13+1446.5)*Assumptions!$C$18</f>
        <v/>
      </c>
      <c r="AU20" s="20">
        <f>('Sales Forecast'!AU14*Assumptions!$C$12+'Sales Forecast'!AT14*Assumptions!$D$12+'Sales Forecast'!AS14*Assumptions!$E$12+'Sales Forecast'!AR14*Assumptions!$F$12+'Sales Forecast'!AQ14*Assumptions!$G$12+'Sales Forecast'!AP14*Assumptions!$H$12+'Sales Forecast'!AO14*Assumptions!$I$12+'Sales Forecast'!AU14*Assumptions!$C$13+'Sales Forecast'!AT14*Assumptions!$D$13+'Sales Forecast'!AS14*Assumptions!$E$13+'Sales Forecast'!AR14*Assumptions!$F$13+'Sales Forecast'!AQ14*Assumptions!$G$13+'Sales Forecast'!AP14*Assumptions!$H$13+'Sales Forecast'!AO14*Assumptions!$I$13+1446.5)*Assumptions!$C$18</f>
        <v/>
      </c>
      <c r="AV20" s="20">
        <f>('Sales Forecast'!AV14*Assumptions!$C$12+'Sales Forecast'!AU14*Assumptions!$D$12+'Sales Forecast'!AT14*Assumptions!$E$12+'Sales Forecast'!AS14*Assumptions!$F$12+'Sales Forecast'!AR14*Assumptions!$G$12+'Sales Forecast'!AQ14*Assumptions!$H$12+'Sales Forecast'!AP14*Assumptions!$I$12+'Sales Forecast'!AV14*Assumptions!$C$13+'Sales Forecast'!AU14*Assumptions!$D$13+'Sales Forecast'!AT14*Assumptions!$E$13+'Sales Forecast'!AS14*Assumptions!$F$13+'Sales Forecast'!AR14*Assumptions!$G$13+'Sales Forecast'!AQ14*Assumptions!$H$13+'Sales Forecast'!AP14*Assumptions!$I$13+1446.5)*Assumptions!$C$18</f>
        <v/>
      </c>
      <c r="AW20" s="20">
        <f>('Sales Forecast'!AW14*Assumptions!$C$12+'Sales Forecast'!AV14*Assumptions!$D$12+'Sales Forecast'!AU14*Assumptions!$E$12+'Sales Forecast'!AT14*Assumptions!$F$12+'Sales Forecast'!AS14*Assumptions!$G$12+'Sales Forecast'!AR14*Assumptions!$H$12+'Sales Forecast'!AQ14*Assumptions!$I$12+'Sales Forecast'!AW14*Assumptions!$C$13+'Sales Forecast'!AV14*Assumptions!$D$13+'Sales Forecast'!AU14*Assumptions!$E$13+'Sales Forecast'!AT14*Assumptions!$F$13+'Sales Forecast'!AS14*Assumptions!$G$13+'Sales Forecast'!AR14*Assumptions!$H$13+'Sales Forecast'!AQ14*Assumptions!$I$13+1446.5)*Assumptions!$C$18</f>
        <v/>
      </c>
      <c r="AX20" s="20">
        <f>('Sales Forecast'!AX14*Assumptions!$C$12+'Sales Forecast'!AW14*Assumptions!$D$12+'Sales Forecast'!AV14*Assumptions!$E$12+'Sales Forecast'!AU14*Assumptions!$F$12+'Sales Forecast'!AT14*Assumptions!$G$12+'Sales Forecast'!AS14*Assumptions!$H$12+'Sales Forecast'!AR14*Assumptions!$I$12+'Sales Forecast'!AX14*Assumptions!$C$13+'Sales Forecast'!AW14*Assumptions!$D$13+'Sales Forecast'!AV14*Assumptions!$E$13+'Sales Forecast'!AU14*Assumptions!$F$13+'Sales Forecast'!AT14*Assumptions!$G$13+'Sales Forecast'!AS14*Assumptions!$H$13+'Sales Forecast'!AR14*Assumptions!$I$13+1446.5)*Assumptions!$C$18</f>
        <v/>
      </c>
      <c r="AY20" s="20">
        <f>('Sales Forecast'!AY14*Assumptions!$C$12+'Sales Forecast'!AX14*Assumptions!$D$12+'Sales Forecast'!AW14*Assumptions!$E$12+'Sales Forecast'!AV14*Assumptions!$F$12+'Sales Forecast'!AU14*Assumptions!$G$12+'Sales Forecast'!AT14*Assumptions!$H$12+'Sales Forecast'!AS14*Assumptions!$I$12+'Sales Forecast'!AY14*Assumptions!$C$13+'Sales Forecast'!AX14*Assumptions!$D$13+'Sales Forecast'!AW14*Assumptions!$E$13+'Sales Forecast'!AV14*Assumptions!$F$13+'Sales Forecast'!AU14*Assumptions!$G$13+'Sales Forecast'!AT14*Assumptions!$H$13+'Sales Forecast'!AS14*Assumptions!$I$13+1446.5)*Assumptions!$C$18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3292.969999999999</v>
      </c>
      <c r="O21" s="35" t="n">
        <v>9928.329999999998</v>
      </c>
      <c r="P21" s="35" t="n">
        <v>19056.33</v>
      </c>
      <c r="Q21" s="35" t="n">
        <v>29455.99</v>
      </c>
      <c r="R21" s="35" t="n">
        <v>29407.68</v>
      </c>
      <c r="S21" s="35" t="n">
        <v>22814.4</v>
      </c>
      <c r="T21" s="85" t="n">
        <v>20381.84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608.5</v>
      </c>
      <c r="O23" s="19" t="n">
        <v>374.5</v>
      </c>
      <c r="P23" s="19" t="n">
        <v>721</v>
      </c>
      <c r="Q23" s="19" t="n">
        <v>618.5</v>
      </c>
      <c r="R23" s="19" t="n">
        <v>804.6</v>
      </c>
      <c r="S23" s="19" t="n">
        <v>534</v>
      </c>
      <c r="T23" s="84" t="n">
        <v>231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28.72</v>
      </c>
      <c r="N24" s="19" t="n">
        <v>326.76</v>
      </c>
      <c r="O24" s="19" t="n">
        <v>602.74</v>
      </c>
      <c r="P24" s="19" t="n">
        <v>974.92</v>
      </c>
      <c r="Q24" s="19" t="n">
        <v>918.61</v>
      </c>
      <c r="R24" s="19" t="n">
        <v>835.42</v>
      </c>
      <c r="S24" s="19" t="n">
        <v>624.9</v>
      </c>
      <c r="T24" s="84" t="n">
        <v>642.11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28.72</v>
      </c>
      <c r="N25" s="35" t="n">
        <v>935.26</v>
      </c>
      <c r="O25" s="35" t="n">
        <v>3336.32</v>
      </c>
      <c r="P25" s="35" t="n">
        <v>1695.92</v>
      </c>
      <c r="Q25" s="35" t="n">
        <v>1537.11</v>
      </c>
      <c r="R25" s="35" t="n">
        <v>1640.02</v>
      </c>
      <c r="S25" s="35" t="n">
        <v>1158.9</v>
      </c>
      <c r="T25" s="85" t="n">
        <v>873.11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-28.72</v>
      </c>
      <c r="N26" s="35" t="n">
        <v>2357.709999999999</v>
      </c>
      <c r="O26" s="35" t="n">
        <v>6592.009999999998</v>
      </c>
      <c r="P26" s="35" t="n">
        <v>17360.41</v>
      </c>
      <c r="Q26" s="35" t="n">
        <v>27918.88</v>
      </c>
      <c r="R26" s="35" t="n">
        <v>27767.66</v>
      </c>
      <c r="S26" s="35" t="n">
        <v>21655.5</v>
      </c>
      <c r="T26" s="85" t="n">
        <v>19508.73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720.71</v>
      </c>
      <c r="N28" s="19" t="n">
        <v>3133.53</v>
      </c>
      <c r="O28" s="19" t="n">
        <v>2005.59</v>
      </c>
      <c r="P28" s="19" t="n">
        <v>1365.2</v>
      </c>
      <c r="Q28" s="19" t="n">
        <v>3887.88</v>
      </c>
      <c r="R28" s="19" t="n">
        <v>2654.39</v>
      </c>
      <c r="S28" s="19" t="n">
        <v>755.11</v>
      </c>
      <c r="T28" s="84" t="n">
        <v>747.45</v>
      </c>
      <c r="U28" s="20" t="n">
        <v>690.58</v>
      </c>
      <c r="V28" s="20" t="n">
        <v>690.58</v>
      </c>
      <c r="W28" s="20" t="n">
        <v>690.58</v>
      </c>
      <c r="X28" s="20" t="n">
        <v>690.58</v>
      </c>
      <c r="Y28" s="20" t="n">
        <v>690.58</v>
      </c>
      <c r="Z28" s="20" t="n">
        <v>690.58</v>
      </c>
      <c r="AA28" s="20" t="n">
        <v>690.58</v>
      </c>
      <c r="AB28" s="20" t="n">
        <v>690.58</v>
      </c>
      <c r="AC28" s="20" t="n">
        <v>690.58</v>
      </c>
      <c r="AD28" s="20" t="n">
        <v>690.58</v>
      </c>
      <c r="AE28" s="20" t="n">
        <v>690.58</v>
      </c>
      <c r="AF28" s="20" t="n">
        <v>690.58</v>
      </c>
      <c r="AG28" s="20" t="n">
        <v>690.58</v>
      </c>
      <c r="AH28" s="20" t="n">
        <v>690.58</v>
      </c>
      <c r="AI28" s="20" t="n">
        <v>690.58</v>
      </c>
      <c r="AJ28" s="20" t="n">
        <v>690.58</v>
      </c>
      <c r="AK28" s="20" t="n">
        <v>690.58</v>
      </c>
      <c r="AL28" s="20" t="n">
        <v>690.58</v>
      </c>
      <c r="AM28" s="20" t="n">
        <v>690.58</v>
      </c>
      <c r="AN28" s="20" t="n">
        <v>690.58</v>
      </c>
      <c r="AO28" s="20" t="n">
        <v>690.58</v>
      </c>
      <c r="AP28" s="20" t="n">
        <v>690.58</v>
      </c>
      <c r="AQ28" s="20" t="n">
        <v>690.58</v>
      </c>
      <c r="AR28" s="20" t="n">
        <v>690.58</v>
      </c>
      <c r="AS28" s="20" t="n">
        <v>690.58</v>
      </c>
      <c r="AT28" s="20" t="n">
        <v>690.58</v>
      </c>
      <c r="AU28" s="20" t="n">
        <v>690.58</v>
      </c>
      <c r="AV28" s="20" t="n">
        <v>690.58</v>
      </c>
      <c r="AW28" s="20" t="n">
        <v>690.58</v>
      </c>
      <c r="AX28" s="20" t="n">
        <v>690.58</v>
      </c>
      <c r="AY28" s="20" t="n">
        <v>690.58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750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59.79</v>
      </c>
      <c r="V29" s="20" t="n">
        <v>59.79</v>
      </c>
      <c r="W29" s="20" t="n">
        <v>59.79</v>
      </c>
      <c r="X29" s="20" t="n">
        <v>59.79</v>
      </c>
      <c r="Y29" s="20" t="n">
        <v>59.79</v>
      </c>
      <c r="Z29" s="20" t="n">
        <v>59.79</v>
      </c>
      <c r="AA29" s="20" t="n">
        <v>59.79</v>
      </c>
      <c r="AB29" s="20" t="n">
        <v>59.79</v>
      </c>
      <c r="AC29" s="20" t="n">
        <v>59.79</v>
      </c>
      <c r="AD29" s="20" t="n">
        <v>59.79</v>
      </c>
      <c r="AE29" s="20" t="n">
        <v>59.79</v>
      </c>
      <c r="AF29" s="20" t="n">
        <v>59.79</v>
      </c>
      <c r="AG29" s="20" t="n">
        <v>59.79</v>
      </c>
      <c r="AH29" s="20" t="n">
        <v>59.79</v>
      </c>
      <c r="AI29" s="20" t="n">
        <v>59.79</v>
      </c>
      <c r="AJ29" s="20" t="n">
        <v>59.79</v>
      </c>
      <c r="AK29" s="20" t="n">
        <v>59.79</v>
      </c>
      <c r="AL29" s="20" t="n">
        <v>59.79</v>
      </c>
      <c r="AM29" s="20" t="n">
        <v>59.79</v>
      </c>
      <c r="AN29" s="20" t="n">
        <v>59.79</v>
      </c>
      <c r="AO29" s="20" t="n">
        <v>59.79</v>
      </c>
      <c r="AP29" s="20" t="n">
        <v>59.79</v>
      </c>
      <c r="AQ29" s="20" t="n">
        <v>59.79</v>
      </c>
      <c r="AR29" s="20" t="n">
        <v>59.79</v>
      </c>
      <c r="AS29" s="20" t="n">
        <v>59.79</v>
      </c>
      <c r="AT29" s="20" t="n">
        <v>59.79</v>
      </c>
      <c r="AU29" s="20" t="n">
        <v>59.79</v>
      </c>
      <c r="AV29" s="20" t="n">
        <v>59.79</v>
      </c>
      <c r="AW29" s="20" t="n">
        <v>59.79</v>
      </c>
      <c r="AX29" s="20" t="n">
        <v>59.79</v>
      </c>
      <c r="AY29" s="20" t="n">
        <v>59.79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193.35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300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23.92</v>
      </c>
      <c r="V31" s="20" t="n">
        <v>23.92</v>
      </c>
      <c r="W31" s="20" t="n">
        <v>23.92</v>
      </c>
      <c r="X31" s="20" t="n">
        <v>23.92</v>
      </c>
      <c r="Y31" s="20" t="n">
        <v>23.92</v>
      </c>
      <c r="Z31" s="20" t="n">
        <v>23.92</v>
      </c>
      <c r="AA31" s="20" t="n">
        <v>23.92</v>
      </c>
      <c r="AB31" s="20" t="n">
        <v>23.92</v>
      </c>
      <c r="AC31" s="20" t="n">
        <v>23.92</v>
      </c>
      <c r="AD31" s="20" t="n">
        <v>23.92</v>
      </c>
      <c r="AE31" s="20" t="n">
        <v>23.92</v>
      </c>
      <c r="AF31" s="20" t="n">
        <v>23.92</v>
      </c>
      <c r="AG31" s="20" t="n">
        <v>23.92</v>
      </c>
      <c r="AH31" s="20" t="n">
        <v>23.92</v>
      </c>
      <c r="AI31" s="20" t="n">
        <v>23.92</v>
      </c>
      <c r="AJ31" s="20" t="n">
        <v>23.92</v>
      </c>
      <c r="AK31" s="20" t="n">
        <v>23.92</v>
      </c>
      <c r="AL31" s="20" t="n">
        <v>23.92</v>
      </c>
      <c r="AM31" s="20" t="n">
        <v>23.92</v>
      </c>
      <c r="AN31" s="20" t="n">
        <v>23.92</v>
      </c>
      <c r="AO31" s="20" t="n">
        <v>23.92</v>
      </c>
      <c r="AP31" s="20" t="n">
        <v>23.92</v>
      </c>
      <c r="AQ31" s="20" t="n">
        <v>23.92</v>
      </c>
      <c r="AR31" s="20" t="n">
        <v>23.92</v>
      </c>
      <c r="AS31" s="20" t="n">
        <v>23.92</v>
      </c>
      <c r="AT31" s="20" t="n">
        <v>23.92</v>
      </c>
      <c r="AU31" s="20" t="n">
        <v>23.92</v>
      </c>
      <c r="AV31" s="20" t="n">
        <v>23.92</v>
      </c>
      <c r="AW31" s="20" t="n">
        <v>23.92</v>
      </c>
      <c r="AX31" s="20" t="n">
        <v>23.92</v>
      </c>
      <c r="AY31" s="20" t="n">
        <v>23.92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720.71</v>
      </c>
      <c r="N33" s="35" t="n">
        <v>3133.53</v>
      </c>
      <c r="O33" s="35" t="n">
        <v>2198.94</v>
      </c>
      <c r="P33" s="35" t="n">
        <v>2415.2</v>
      </c>
      <c r="Q33" s="35" t="n">
        <v>3887.88</v>
      </c>
      <c r="R33" s="35" t="n">
        <v>2654.39</v>
      </c>
      <c r="S33" s="35" t="n">
        <v>755.11</v>
      </c>
      <c r="T33" s="85" t="n">
        <v>747.45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3018.56</v>
      </c>
      <c r="N34" s="19" t="n">
        <v>18465.6</v>
      </c>
      <c r="O34" s="19" t="n">
        <v>27835.25</v>
      </c>
      <c r="P34" s="19" t="n">
        <v>32789.54</v>
      </c>
      <c r="Q34" s="19" t="n">
        <v>30558.34</v>
      </c>
      <c r="R34" s="19" t="n">
        <v>30964.98</v>
      </c>
      <c r="S34" s="19" t="n">
        <v>24974.97</v>
      </c>
      <c r="T34" s="84" t="n">
        <v>23394.28</v>
      </c>
      <c r="U34" s="20" t="n">
        <v>26939.12</v>
      </c>
      <c r="V34" s="20" t="n">
        <v>26938.33</v>
      </c>
      <c r="W34" s="20" t="n">
        <v>28655.44</v>
      </c>
      <c r="X34" s="20" t="n">
        <v>31567.44</v>
      </c>
      <c r="Y34" s="20" t="n">
        <v>31573.01</v>
      </c>
      <c r="Z34" s="20" t="n">
        <v>31574.24</v>
      </c>
      <c r="AA34" s="20" t="n">
        <v>31574.31</v>
      </c>
      <c r="AB34" s="20" t="n">
        <v>31600.24</v>
      </c>
      <c r="AC34" s="20" t="n">
        <v>31631.98</v>
      </c>
      <c r="AD34" s="20" t="n">
        <v>31600.93</v>
      </c>
      <c r="AE34" s="20" t="n">
        <v>31592.49</v>
      </c>
      <c r="AF34" s="20" t="n">
        <v>31619.27</v>
      </c>
      <c r="AG34" s="20" t="n">
        <v>31596.97</v>
      </c>
      <c r="AH34" s="20" t="n">
        <v>31633.34</v>
      </c>
      <c r="AI34" s="20" t="n">
        <v>31657.54</v>
      </c>
      <c r="AJ34" s="20" t="n">
        <v>31721.92</v>
      </c>
      <c r="AK34" s="20" t="n">
        <v>31701.09</v>
      </c>
      <c r="AL34" s="20" t="n">
        <v>31684.72</v>
      </c>
      <c r="AM34" s="20" t="n">
        <v>31678.11</v>
      </c>
      <c r="AN34" s="20" t="n">
        <v>31600.24</v>
      </c>
      <c r="AO34" s="20" t="n">
        <v>31631.98</v>
      </c>
      <c r="AP34" s="20" t="n">
        <v>31600.93</v>
      </c>
      <c r="AQ34" s="20" t="n">
        <v>31592.49</v>
      </c>
      <c r="AR34" s="20" t="n">
        <v>31619.27</v>
      </c>
      <c r="AS34" s="20" t="n">
        <v>31596.97</v>
      </c>
      <c r="AT34" s="20" t="n">
        <v>31633.34</v>
      </c>
      <c r="AU34" s="20" t="n">
        <v>31657.54</v>
      </c>
      <c r="AV34" s="20" t="n">
        <v>31721.92</v>
      </c>
      <c r="AW34" s="20" t="n">
        <v>31701.09</v>
      </c>
      <c r="AX34" s="20" t="n">
        <v>31684.72</v>
      </c>
      <c r="AY34" s="20" t="n">
        <v>31678.11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260.7</v>
      </c>
      <c r="N35" s="19" t="n">
        <v>1817.19</v>
      </c>
      <c r="O35" s="19" t="n">
        <v>3072.79</v>
      </c>
      <c r="P35" s="19" t="n">
        <v>3958.59</v>
      </c>
      <c r="Q35" s="19" t="n">
        <v>2967.23</v>
      </c>
      <c r="R35" s="19" t="n">
        <v>2860.22</v>
      </c>
      <c r="S35" s="19" t="n">
        <v>2350.35</v>
      </c>
      <c r="T35" s="84" t="n">
        <v>2119.74</v>
      </c>
      <c r="U35" s="20" t="n">
        <v>2740.8</v>
      </c>
      <c r="V35" s="20" t="n">
        <v>2740.72</v>
      </c>
      <c r="W35" s="20" t="n">
        <v>2915.42</v>
      </c>
      <c r="X35" s="20" t="n">
        <v>3211.68</v>
      </c>
      <c r="Y35" s="20" t="n">
        <v>3212.25</v>
      </c>
      <c r="Z35" s="20" t="n">
        <v>3212.38</v>
      </c>
      <c r="AA35" s="20" t="n">
        <v>3212.38</v>
      </c>
      <c r="AB35" s="20" t="n">
        <v>3215.02</v>
      </c>
      <c r="AC35" s="20" t="n">
        <v>3218.25</v>
      </c>
      <c r="AD35" s="20" t="n">
        <v>3215.09</v>
      </c>
      <c r="AE35" s="20" t="n">
        <v>3214.23</v>
      </c>
      <c r="AF35" s="20" t="n">
        <v>3216.96</v>
      </c>
      <c r="AG35" s="20" t="n">
        <v>3214.69</v>
      </c>
      <c r="AH35" s="20" t="n">
        <v>3218.39</v>
      </c>
      <c r="AI35" s="20" t="n">
        <v>3220.85</v>
      </c>
      <c r="AJ35" s="20" t="n">
        <v>3227.4</v>
      </c>
      <c r="AK35" s="20" t="n">
        <v>3225.28</v>
      </c>
      <c r="AL35" s="20" t="n">
        <v>3223.62</v>
      </c>
      <c r="AM35" s="20" t="n">
        <v>3222.94</v>
      </c>
      <c r="AN35" s="20" t="n">
        <v>3215.02</v>
      </c>
      <c r="AO35" s="20" t="n">
        <v>3218.25</v>
      </c>
      <c r="AP35" s="20" t="n">
        <v>3215.09</v>
      </c>
      <c r="AQ35" s="20" t="n">
        <v>3214.23</v>
      </c>
      <c r="AR35" s="20" t="n">
        <v>3216.96</v>
      </c>
      <c r="AS35" s="20" t="n">
        <v>3214.69</v>
      </c>
      <c r="AT35" s="20" t="n">
        <v>3218.39</v>
      </c>
      <c r="AU35" s="20" t="n">
        <v>3220.85</v>
      </c>
      <c r="AV35" s="20" t="n">
        <v>3227.4</v>
      </c>
      <c r="AW35" s="20" t="n">
        <v>3225.28</v>
      </c>
      <c r="AX35" s="20" t="n">
        <v>3223.62</v>
      </c>
      <c r="AY35" s="20" t="n">
        <v>3222.94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240</v>
      </c>
      <c r="O36" s="19" t="n">
        <v>36.87</v>
      </c>
      <c r="P36" s="19" t="n">
        <v>523.51</v>
      </c>
      <c r="Q36" s="19" t="n">
        <v>649.0599999999999</v>
      </c>
      <c r="R36" s="19" t="n">
        <v>907.4</v>
      </c>
      <c r="S36" s="19" t="n">
        <v>516.79</v>
      </c>
      <c r="T36" s="84" t="n">
        <v>504.56</v>
      </c>
      <c r="U36" s="20" t="n">
        <v>586.4299999999999</v>
      </c>
      <c r="V36" s="20" t="n">
        <v>586.42</v>
      </c>
      <c r="W36" s="20" t="n">
        <v>623.8</v>
      </c>
      <c r="X36" s="20" t="n">
        <v>687.1900000000001</v>
      </c>
      <c r="Y36" s="20" t="n">
        <v>687.3099999999999</v>
      </c>
      <c r="Z36" s="20" t="n">
        <v>687.34</v>
      </c>
      <c r="AA36" s="20" t="n">
        <v>687.34</v>
      </c>
      <c r="AB36" s="20" t="n">
        <v>687.9</v>
      </c>
      <c r="AC36" s="20" t="n">
        <v>688.59</v>
      </c>
      <c r="AD36" s="20" t="n">
        <v>687.92</v>
      </c>
      <c r="AE36" s="20" t="n">
        <v>687.73</v>
      </c>
      <c r="AF36" s="20" t="n">
        <v>688.3200000000001</v>
      </c>
      <c r="AG36" s="20" t="n">
        <v>687.83</v>
      </c>
      <c r="AH36" s="20" t="n">
        <v>688.62</v>
      </c>
      <c r="AI36" s="20" t="n">
        <v>689.15</v>
      </c>
      <c r="AJ36" s="20" t="n">
        <v>690.55</v>
      </c>
      <c r="AK36" s="20" t="n">
        <v>690.1</v>
      </c>
      <c r="AL36" s="20" t="n">
        <v>689.74</v>
      </c>
      <c r="AM36" s="20" t="n">
        <v>689.6</v>
      </c>
      <c r="AN36" s="20" t="n">
        <v>687.9</v>
      </c>
      <c r="AO36" s="20" t="n">
        <v>688.59</v>
      </c>
      <c r="AP36" s="20" t="n">
        <v>687.92</v>
      </c>
      <c r="AQ36" s="20" t="n">
        <v>687.73</v>
      </c>
      <c r="AR36" s="20" t="n">
        <v>688.3200000000001</v>
      </c>
      <c r="AS36" s="20" t="n">
        <v>687.83</v>
      </c>
      <c r="AT36" s="20" t="n">
        <v>688.62</v>
      </c>
      <c r="AU36" s="20" t="n">
        <v>689.15</v>
      </c>
      <c r="AV36" s="20" t="n">
        <v>690.55</v>
      </c>
      <c r="AW36" s="20" t="n">
        <v>690.1</v>
      </c>
      <c r="AX36" s="20" t="n">
        <v>689.74</v>
      </c>
      <c r="AY36" s="20" t="n">
        <v>689.6</v>
      </c>
    </row>
    <row r="37">
      <c r="B37" s="33" t="inlineStr">
        <is>
          <t xml:space="preserve">  602010 Payroll Processing Fees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966.85</v>
      </c>
      <c r="P37" s="19" t="n">
        <v>1034.66</v>
      </c>
      <c r="Q37" s="19" t="n">
        <v>1463.27</v>
      </c>
      <c r="R37" s="19" t="n">
        <v>2103.33</v>
      </c>
      <c r="S37" s="19" t="n">
        <v>1159.5</v>
      </c>
      <c r="T37" s="84" t="n">
        <v>1083.97</v>
      </c>
      <c r="U37" s="20" t="n">
        <v>1300.97</v>
      </c>
      <c r="V37" s="20" t="n">
        <v>1300.93</v>
      </c>
      <c r="W37" s="20" t="n">
        <v>1383.86</v>
      </c>
      <c r="X37" s="20" t="n">
        <v>1524.48</v>
      </c>
      <c r="Y37" s="20" t="n">
        <v>1524.75</v>
      </c>
      <c r="Z37" s="20" t="n">
        <v>1524.81</v>
      </c>
      <c r="AA37" s="20" t="n">
        <v>1524.82</v>
      </c>
      <c r="AB37" s="20" t="n">
        <v>1526.07</v>
      </c>
      <c r="AC37" s="20" t="n">
        <v>1527.6</v>
      </c>
      <c r="AD37" s="20" t="n">
        <v>1526.1</v>
      </c>
      <c r="AE37" s="20" t="n">
        <v>1525.69</v>
      </c>
      <c r="AF37" s="20" t="n">
        <v>1526.99</v>
      </c>
      <c r="AG37" s="20" t="n">
        <v>1525.91</v>
      </c>
      <c r="AH37" s="20" t="n">
        <v>1527.67</v>
      </c>
      <c r="AI37" s="20" t="n">
        <v>1528.84</v>
      </c>
      <c r="AJ37" s="20" t="n">
        <v>1531.94</v>
      </c>
      <c r="AK37" s="20" t="n">
        <v>1530.94</v>
      </c>
      <c r="AL37" s="20" t="n">
        <v>1530.15</v>
      </c>
      <c r="AM37" s="20" t="n">
        <v>1529.83</v>
      </c>
      <c r="AN37" s="20" t="n">
        <v>1526.07</v>
      </c>
      <c r="AO37" s="20" t="n">
        <v>1527.6</v>
      </c>
      <c r="AP37" s="20" t="n">
        <v>1526.1</v>
      </c>
      <c r="AQ37" s="20" t="n">
        <v>1525.69</v>
      </c>
      <c r="AR37" s="20" t="n">
        <v>1526.99</v>
      </c>
      <c r="AS37" s="20" t="n">
        <v>1525.91</v>
      </c>
      <c r="AT37" s="20" t="n">
        <v>1527.67</v>
      </c>
      <c r="AU37" s="20" t="n">
        <v>1528.84</v>
      </c>
      <c r="AV37" s="20" t="n">
        <v>1531.94</v>
      </c>
      <c r="AW37" s="20" t="n">
        <v>1530.94</v>
      </c>
      <c r="AX37" s="20" t="n">
        <v>1530.15</v>
      </c>
      <c r="AY37" s="20" t="n">
        <v>1529.83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3279.26</v>
      </c>
      <c r="N38" s="35" t="n">
        <v>20522.79</v>
      </c>
      <c r="O38" s="35" t="n">
        <v>33029.26</v>
      </c>
      <c r="P38" s="35" t="n">
        <v>38306.30000000001</v>
      </c>
      <c r="Q38" s="35" t="n">
        <v>35637.89999999999</v>
      </c>
      <c r="R38" s="35" t="n">
        <v>36835.93</v>
      </c>
      <c r="S38" s="35" t="n">
        <v>29001.61</v>
      </c>
      <c r="T38" s="85" t="n">
        <v>27102.55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1121.62</v>
      </c>
      <c r="N39" s="19" t="n">
        <v>734.0599999999999</v>
      </c>
      <c r="O39" s="19" t="n">
        <v>753.09</v>
      </c>
      <c r="P39" s="19" t="n">
        <v>1141.69</v>
      </c>
      <c r="Q39" s="19" t="n">
        <v>1211.45</v>
      </c>
      <c r="R39" s="19" t="n">
        <v>723.09</v>
      </c>
      <c r="S39" s="19" t="n">
        <v>828.26</v>
      </c>
      <c r="T39" s="84" t="n">
        <v>778.27</v>
      </c>
      <c r="U39" s="20" t="n">
        <v>890.17</v>
      </c>
      <c r="V39" s="20" t="n">
        <v>890.17</v>
      </c>
      <c r="W39" s="20" t="n">
        <v>890.17</v>
      </c>
      <c r="X39" s="20" t="n">
        <v>890.17</v>
      </c>
      <c r="Y39" s="20" t="n">
        <v>890.17</v>
      </c>
      <c r="Z39" s="20" t="n">
        <v>890.17</v>
      </c>
      <c r="AA39" s="20" t="n">
        <v>890.17</v>
      </c>
      <c r="AB39" s="20" t="n">
        <v>890.17</v>
      </c>
      <c r="AC39" s="20" t="n">
        <v>890.17</v>
      </c>
      <c r="AD39" s="20" t="n">
        <v>890.17</v>
      </c>
      <c r="AE39" s="20" t="n">
        <v>890.17</v>
      </c>
      <c r="AF39" s="20" t="n">
        <v>890.17</v>
      </c>
      <c r="AG39" s="20" t="n">
        <v>890.17</v>
      </c>
      <c r="AH39" s="20" t="n">
        <v>890.17</v>
      </c>
      <c r="AI39" s="20" t="n">
        <v>890.17</v>
      </c>
      <c r="AJ39" s="20" t="n">
        <v>890.17</v>
      </c>
      <c r="AK39" s="20" t="n">
        <v>890.17</v>
      </c>
      <c r="AL39" s="20" t="n">
        <v>890.17</v>
      </c>
      <c r="AM39" s="20" t="n">
        <v>890.17</v>
      </c>
      <c r="AN39" s="20" t="n">
        <v>890.17</v>
      </c>
      <c r="AO39" s="20" t="n">
        <v>890.17</v>
      </c>
      <c r="AP39" s="20" t="n">
        <v>890.17</v>
      </c>
      <c r="AQ39" s="20" t="n">
        <v>890.17</v>
      </c>
      <c r="AR39" s="20" t="n">
        <v>890.17</v>
      </c>
      <c r="AS39" s="20" t="n">
        <v>890.17</v>
      </c>
      <c r="AT39" s="20" t="n">
        <v>890.17</v>
      </c>
      <c r="AU39" s="20" t="n">
        <v>890.17</v>
      </c>
      <c r="AV39" s="20" t="n">
        <v>890.17</v>
      </c>
      <c r="AW39" s="20" t="n">
        <v>890.17</v>
      </c>
      <c r="AX39" s="20" t="n">
        <v>890.17</v>
      </c>
      <c r="AY39" s="20" t="n">
        <v>890.17</v>
      </c>
    </row>
    <row r="40">
      <c r="B40" s="33" t="inlineStr">
        <is>
          <t xml:space="preserve">  608000 Insurance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>
        <v>134.02</v>
      </c>
      <c r="Q40" s="19" t="n">
        <v>134.02</v>
      </c>
      <c r="R40" s="19" t="n">
        <v>326.81</v>
      </c>
      <c r="S40" s="19" t="n">
        <v>326.81</v>
      </c>
      <c r="T40" s="84" t="n">
        <v>314.19</v>
      </c>
      <c r="U40" s="20" t="n">
        <v>210.13</v>
      </c>
      <c r="V40" s="20" t="n">
        <v>210.13</v>
      </c>
      <c r="W40" s="20" t="n">
        <v>210.13</v>
      </c>
      <c r="X40" s="20" t="n">
        <v>210.13</v>
      </c>
      <c r="Y40" s="20" t="n">
        <v>210.13</v>
      </c>
      <c r="Z40" s="20" t="n">
        <v>210.13</v>
      </c>
      <c r="AA40" s="20" t="n">
        <v>210.13</v>
      </c>
      <c r="AB40" s="20" t="n">
        <v>210.13</v>
      </c>
      <c r="AC40" s="20" t="n">
        <v>210.13</v>
      </c>
      <c r="AD40" s="20" t="n">
        <v>210.13</v>
      </c>
      <c r="AE40" s="20" t="n">
        <v>210.13</v>
      </c>
      <c r="AF40" s="20" t="n">
        <v>210.13</v>
      </c>
      <c r="AG40" s="20" t="n">
        <v>210.13</v>
      </c>
      <c r="AH40" s="20" t="n">
        <v>210.13</v>
      </c>
      <c r="AI40" s="20" t="n">
        <v>210.13</v>
      </c>
      <c r="AJ40" s="20" t="n">
        <v>210.13</v>
      </c>
      <c r="AK40" s="20" t="n">
        <v>210.13</v>
      </c>
      <c r="AL40" s="20" t="n">
        <v>210.13</v>
      </c>
      <c r="AM40" s="20" t="n">
        <v>210.13</v>
      </c>
      <c r="AN40" s="20" t="n">
        <v>210.13</v>
      </c>
      <c r="AO40" s="20" t="n">
        <v>210.13</v>
      </c>
      <c r="AP40" s="20" t="n">
        <v>210.13</v>
      </c>
      <c r="AQ40" s="20" t="n">
        <v>210.13</v>
      </c>
      <c r="AR40" s="20" t="n">
        <v>210.13</v>
      </c>
      <c r="AS40" s="20" t="n">
        <v>210.13</v>
      </c>
      <c r="AT40" s="20" t="n">
        <v>210.13</v>
      </c>
      <c r="AU40" s="20" t="n">
        <v>210.13</v>
      </c>
      <c r="AV40" s="20" t="n">
        <v>210.13</v>
      </c>
      <c r="AW40" s="20" t="n">
        <v>210.13</v>
      </c>
      <c r="AX40" s="20" t="n">
        <v>210.13</v>
      </c>
      <c r="AY40" s="20" t="n">
        <v>210.13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161.87</v>
      </c>
      <c r="Q41" s="19" t="n">
        <v>333.41</v>
      </c>
      <c r="R41" s="19" t="n">
        <v>764.42</v>
      </c>
      <c r="S41" s="19" t="n">
        <v>291.4</v>
      </c>
      <c r="T41" s="84" t="n">
        <v>0</v>
      </c>
      <c r="U41" s="20" t="n">
        <v>353.63</v>
      </c>
      <c r="V41" s="20" t="n">
        <v>353.63</v>
      </c>
      <c r="W41" s="20" t="n">
        <v>353.63</v>
      </c>
      <c r="X41" s="20" t="n">
        <v>353.63</v>
      </c>
      <c r="Y41" s="20" t="n">
        <v>353.63</v>
      </c>
      <c r="Z41" s="20" t="n">
        <v>353.63</v>
      </c>
      <c r="AA41" s="20" t="n">
        <v>353.63</v>
      </c>
      <c r="AB41" s="20" t="n">
        <v>353.63</v>
      </c>
      <c r="AC41" s="20" t="n">
        <v>353.63</v>
      </c>
      <c r="AD41" s="20" t="n">
        <v>353.63</v>
      </c>
      <c r="AE41" s="20" t="n">
        <v>353.63</v>
      </c>
      <c r="AF41" s="20" t="n">
        <v>353.63</v>
      </c>
      <c r="AG41" s="20" t="n">
        <v>353.63</v>
      </c>
      <c r="AH41" s="20" t="n">
        <v>353.63</v>
      </c>
      <c r="AI41" s="20" t="n">
        <v>353.63</v>
      </c>
      <c r="AJ41" s="20" t="n">
        <v>353.63</v>
      </c>
      <c r="AK41" s="20" t="n">
        <v>353.63</v>
      </c>
      <c r="AL41" s="20" t="n">
        <v>353.63</v>
      </c>
      <c r="AM41" s="20" t="n">
        <v>353.63</v>
      </c>
      <c r="AN41" s="20" t="n">
        <v>353.63</v>
      </c>
      <c r="AO41" s="20" t="n">
        <v>353.63</v>
      </c>
      <c r="AP41" s="20" t="n">
        <v>353.63</v>
      </c>
      <c r="AQ41" s="20" t="n">
        <v>353.63</v>
      </c>
      <c r="AR41" s="20" t="n">
        <v>353.63</v>
      </c>
      <c r="AS41" s="20" t="n">
        <v>353.63</v>
      </c>
      <c r="AT41" s="20" t="n">
        <v>353.63</v>
      </c>
      <c r="AU41" s="20" t="n">
        <v>353.63</v>
      </c>
      <c r="AV41" s="20" t="n">
        <v>353.63</v>
      </c>
      <c r="AW41" s="20" t="n">
        <v>353.63</v>
      </c>
      <c r="AX41" s="20" t="n">
        <v>353.63</v>
      </c>
      <c r="AY41" s="20" t="n">
        <v>353.63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0</v>
      </c>
      <c r="O44" s="19" t="n">
        <v>101.59</v>
      </c>
      <c r="P44" s="19" t="n">
        <v>0</v>
      </c>
      <c r="Q44" s="19" t="n">
        <v>301.82</v>
      </c>
      <c r="R44" s="19" t="n">
        <v>880</v>
      </c>
      <c r="S44" s="19" t="n">
        <v>2430</v>
      </c>
      <c r="T44" s="84" t="n">
        <v>1116.82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0" t="n">
        <v>0</v>
      </c>
      <c r="AQ44" s="20" t="n">
        <v>0</v>
      </c>
      <c r="AR44" s="20" t="n">
        <v>0</v>
      </c>
      <c r="AS44" s="20" t="n">
        <v>0</v>
      </c>
      <c r="AT44" s="20" t="n">
        <v>0</v>
      </c>
      <c r="AU44" s="20" t="n">
        <v>0</v>
      </c>
      <c r="AV44" s="20" t="n">
        <v>0</v>
      </c>
      <c r="AW44" s="20" t="n">
        <v>0</v>
      </c>
      <c r="AX44" s="20" t="n">
        <v>0</v>
      </c>
      <c r="AY44" s="20" t="n">
        <v>0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1400</v>
      </c>
      <c r="N46" s="19" t="n">
        <v>0</v>
      </c>
      <c r="O46" s="19" t="n">
        <v>1467.18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1400</v>
      </c>
      <c r="N47" s="35" t="n">
        <v>0</v>
      </c>
      <c r="O47" s="35" t="n">
        <v>1568.77</v>
      </c>
      <c r="P47" s="35" t="n">
        <v>516</v>
      </c>
      <c r="Q47" s="35" t="n">
        <v>817.8199999999999</v>
      </c>
      <c r="R47" s="35" t="n">
        <v>1396</v>
      </c>
      <c r="S47" s="35" t="n">
        <v>2946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2017.14</v>
      </c>
      <c r="Q48" s="19" t="n">
        <v>1196.68</v>
      </c>
      <c r="R48" s="19" t="n">
        <v>1471.1</v>
      </c>
      <c r="S48" s="19" t="n">
        <v>0</v>
      </c>
      <c r="T48" s="84" t="n">
        <v>0</v>
      </c>
      <c r="U48" s="20" t="n">
        <v>341.01</v>
      </c>
      <c r="V48" s="20" t="n">
        <v>752.95</v>
      </c>
      <c r="W48" s="20" t="n">
        <v>341.01</v>
      </c>
      <c r="X48" s="20" t="n">
        <v>752.95</v>
      </c>
      <c r="Y48" s="20" t="n">
        <v>341.01</v>
      </c>
      <c r="Z48" s="20" t="n">
        <v>752.95</v>
      </c>
      <c r="AA48" s="20" t="n">
        <v>341.01</v>
      </c>
      <c r="AB48" s="20" t="n">
        <v>752.95</v>
      </c>
      <c r="AC48" s="20" t="n">
        <v>341.01</v>
      </c>
      <c r="AD48" s="20" t="n">
        <v>752.95</v>
      </c>
      <c r="AE48" s="20" t="n">
        <v>341.01</v>
      </c>
      <c r="AF48" s="20" t="n">
        <v>752.95</v>
      </c>
      <c r="AG48" s="20" t="n">
        <v>341.01</v>
      </c>
      <c r="AH48" s="20" t="n">
        <v>752.95</v>
      </c>
      <c r="AI48" s="20" t="n">
        <v>341.01</v>
      </c>
      <c r="AJ48" s="20" t="n">
        <v>752.95</v>
      </c>
      <c r="AK48" s="20" t="n">
        <v>341.01</v>
      </c>
      <c r="AL48" s="20" t="n">
        <v>752.95</v>
      </c>
      <c r="AM48" s="20" t="n">
        <v>341.01</v>
      </c>
      <c r="AN48" s="20" t="n">
        <v>752.95</v>
      </c>
      <c r="AO48" s="20" t="n">
        <v>341.01</v>
      </c>
      <c r="AP48" s="20" t="n">
        <v>752.95</v>
      </c>
      <c r="AQ48" s="20" t="n">
        <v>341.01</v>
      </c>
      <c r="AR48" s="20" t="n">
        <v>752.95</v>
      </c>
      <c r="AS48" s="20" t="n">
        <v>341.01</v>
      </c>
      <c r="AT48" s="20" t="n">
        <v>752.95</v>
      </c>
      <c r="AU48" s="20" t="n">
        <v>341.01</v>
      </c>
      <c r="AV48" s="20" t="n">
        <v>752.95</v>
      </c>
      <c r="AW48" s="20" t="n">
        <v>341.01</v>
      </c>
      <c r="AX48" s="20" t="n">
        <v>752.95</v>
      </c>
      <c r="AY48" s="20" t="n">
        <v>341.01</v>
      </c>
    </row>
    <row r="49">
      <c r="B49" s="33" t="inlineStr">
        <is>
          <t xml:space="preserve">  606000 Meals</t>
        </is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1634.81</v>
      </c>
      <c r="O49" s="19" t="n">
        <v>78.31999999999999</v>
      </c>
      <c r="P49" s="19" t="n">
        <v>413.91</v>
      </c>
      <c r="Q49" s="19" t="n">
        <v>274.07</v>
      </c>
      <c r="R49" s="19" t="n">
        <v>241.42</v>
      </c>
      <c r="S49" s="19" t="n">
        <v>72.06999999999999</v>
      </c>
      <c r="T49" s="84" t="n">
        <v>54.57</v>
      </c>
      <c r="U49" s="20" t="n">
        <v>72.90000000000001</v>
      </c>
      <c r="V49" s="20" t="n">
        <v>160.96</v>
      </c>
      <c r="W49" s="20" t="n">
        <v>72.90000000000001</v>
      </c>
      <c r="X49" s="20" t="n">
        <v>160.96</v>
      </c>
      <c r="Y49" s="20" t="n">
        <v>72.90000000000001</v>
      </c>
      <c r="Z49" s="20" t="n">
        <v>160.96</v>
      </c>
      <c r="AA49" s="20" t="n">
        <v>72.90000000000001</v>
      </c>
      <c r="AB49" s="20" t="n">
        <v>160.96</v>
      </c>
      <c r="AC49" s="20" t="n">
        <v>72.90000000000001</v>
      </c>
      <c r="AD49" s="20" t="n">
        <v>160.96</v>
      </c>
      <c r="AE49" s="20" t="n">
        <v>72.90000000000001</v>
      </c>
      <c r="AF49" s="20" t="n">
        <v>160.96</v>
      </c>
      <c r="AG49" s="20" t="n">
        <v>72.90000000000001</v>
      </c>
      <c r="AH49" s="20" t="n">
        <v>160.96</v>
      </c>
      <c r="AI49" s="20" t="n">
        <v>72.90000000000001</v>
      </c>
      <c r="AJ49" s="20" t="n">
        <v>160.96</v>
      </c>
      <c r="AK49" s="20" t="n">
        <v>72.90000000000001</v>
      </c>
      <c r="AL49" s="20" t="n">
        <v>160.96</v>
      </c>
      <c r="AM49" s="20" t="n">
        <v>72.90000000000001</v>
      </c>
      <c r="AN49" s="20" t="n">
        <v>160.96</v>
      </c>
      <c r="AO49" s="20" t="n">
        <v>72.90000000000001</v>
      </c>
      <c r="AP49" s="20" t="n">
        <v>160.96</v>
      </c>
      <c r="AQ49" s="20" t="n">
        <v>72.90000000000001</v>
      </c>
      <c r="AR49" s="20" t="n">
        <v>160.96</v>
      </c>
      <c r="AS49" s="20" t="n">
        <v>72.90000000000001</v>
      </c>
      <c r="AT49" s="20" t="n">
        <v>160.96</v>
      </c>
      <c r="AU49" s="20" t="n">
        <v>72.90000000000001</v>
      </c>
      <c r="AV49" s="20" t="n">
        <v>160.96</v>
      </c>
      <c r="AW49" s="20" t="n">
        <v>72.90000000000001</v>
      </c>
      <c r="AX49" s="20" t="n">
        <v>160.96</v>
      </c>
      <c r="AY49" s="20" t="n">
        <v>72.90000000000001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1048.75</v>
      </c>
      <c r="O51" s="19" t="n">
        <v>411.3</v>
      </c>
      <c r="P51" s="19" t="n">
        <v>571.5</v>
      </c>
      <c r="Q51" s="19" t="n">
        <v>654.92</v>
      </c>
      <c r="R51" s="19" t="n">
        <v>580.04</v>
      </c>
      <c r="S51" s="19" t="n">
        <v>783.83</v>
      </c>
      <c r="T51" s="84" t="n">
        <v>558.67</v>
      </c>
      <c r="U51" s="20" t="n">
        <v>599.25</v>
      </c>
      <c r="V51" s="20" t="n">
        <v>599.25</v>
      </c>
      <c r="W51" s="20" t="n">
        <v>599.25</v>
      </c>
      <c r="X51" s="20" t="n">
        <v>599.25</v>
      </c>
      <c r="Y51" s="20" t="n">
        <v>599.25</v>
      </c>
      <c r="Z51" s="20" t="n">
        <v>599.25</v>
      </c>
      <c r="AA51" s="20" t="n">
        <v>599.25</v>
      </c>
      <c r="AB51" s="20" t="n">
        <v>599.25</v>
      </c>
      <c r="AC51" s="20" t="n">
        <v>599.25</v>
      </c>
      <c r="AD51" s="20" t="n">
        <v>599.25</v>
      </c>
      <c r="AE51" s="20" t="n">
        <v>599.25</v>
      </c>
      <c r="AF51" s="20" t="n">
        <v>599.25</v>
      </c>
      <c r="AG51" s="20" t="n">
        <v>599.25</v>
      </c>
      <c r="AH51" s="20" t="n">
        <v>599.25</v>
      </c>
      <c r="AI51" s="20" t="n">
        <v>599.25</v>
      </c>
      <c r="AJ51" s="20" t="n">
        <v>599.25</v>
      </c>
      <c r="AK51" s="20" t="n">
        <v>599.25</v>
      </c>
      <c r="AL51" s="20" t="n">
        <v>599.25</v>
      </c>
      <c r="AM51" s="20" t="n">
        <v>599.25</v>
      </c>
      <c r="AN51" s="20" t="n">
        <v>599.25</v>
      </c>
      <c r="AO51" s="20" t="n">
        <v>599.25</v>
      </c>
      <c r="AP51" s="20" t="n">
        <v>599.25</v>
      </c>
      <c r="AQ51" s="20" t="n">
        <v>599.25</v>
      </c>
      <c r="AR51" s="20" t="n">
        <v>599.25</v>
      </c>
      <c r="AS51" s="20" t="n">
        <v>599.25</v>
      </c>
      <c r="AT51" s="20" t="n">
        <v>599.25</v>
      </c>
      <c r="AU51" s="20" t="n">
        <v>599.25</v>
      </c>
      <c r="AV51" s="20" t="n">
        <v>599.25</v>
      </c>
      <c r="AW51" s="20" t="n">
        <v>599.25</v>
      </c>
      <c r="AX51" s="20" t="n">
        <v>599.25</v>
      </c>
      <c r="AY51" s="20" t="n">
        <v>599.25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425.42</v>
      </c>
      <c r="P53" s="19" t="n">
        <v>220.03</v>
      </c>
      <c r="Q53" s="19" t="n">
        <v>203.7</v>
      </c>
      <c r="R53" s="19" t="n">
        <v>203.13</v>
      </c>
      <c r="S53" s="19" t="n">
        <v>204.3</v>
      </c>
      <c r="T53" s="84" t="n">
        <v>197.8</v>
      </c>
      <c r="U53" s="20" t="n">
        <v>192.28</v>
      </c>
      <c r="V53" s="20" t="n">
        <v>192.28</v>
      </c>
      <c r="W53" s="20" t="n">
        <v>192.28</v>
      </c>
      <c r="X53" s="20" t="n">
        <v>192.28</v>
      </c>
      <c r="Y53" s="20" t="n">
        <v>192.28</v>
      </c>
      <c r="Z53" s="20" t="n">
        <v>192.28</v>
      </c>
      <c r="AA53" s="20" t="n">
        <v>192.28</v>
      </c>
      <c r="AB53" s="20" t="n">
        <v>192.28</v>
      </c>
      <c r="AC53" s="20" t="n">
        <v>192.28</v>
      </c>
      <c r="AD53" s="20" t="n">
        <v>192.28</v>
      </c>
      <c r="AE53" s="20" t="n">
        <v>192.28</v>
      </c>
      <c r="AF53" s="20" t="n">
        <v>192.28</v>
      </c>
      <c r="AG53" s="20" t="n">
        <v>192.28</v>
      </c>
      <c r="AH53" s="20" t="n">
        <v>192.28</v>
      </c>
      <c r="AI53" s="20" t="n">
        <v>192.28</v>
      </c>
      <c r="AJ53" s="20" t="n">
        <v>192.28</v>
      </c>
      <c r="AK53" s="20" t="n">
        <v>192.28</v>
      </c>
      <c r="AL53" s="20" t="n">
        <v>192.28</v>
      </c>
      <c r="AM53" s="20" t="n">
        <v>192.28</v>
      </c>
      <c r="AN53" s="20" t="n">
        <v>192.28</v>
      </c>
      <c r="AO53" s="20" t="n">
        <v>192.28</v>
      </c>
      <c r="AP53" s="20" t="n">
        <v>192.28</v>
      </c>
      <c r="AQ53" s="20" t="n">
        <v>192.28</v>
      </c>
      <c r="AR53" s="20" t="n">
        <v>192.28</v>
      </c>
      <c r="AS53" s="20" t="n">
        <v>192.28</v>
      </c>
      <c r="AT53" s="20" t="n">
        <v>192.28</v>
      </c>
      <c r="AU53" s="20" t="n">
        <v>192.28</v>
      </c>
      <c r="AV53" s="20" t="n">
        <v>192.28</v>
      </c>
      <c r="AW53" s="20" t="n">
        <v>192.28</v>
      </c>
      <c r="AX53" s="20" t="n">
        <v>192.28</v>
      </c>
      <c r="AY53" s="20" t="n">
        <v>192.28</v>
      </c>
    </row>
    <row r="54">
      <c r="B54" s="33" t="inlineStr">
        <is>
          <t xml:space="preserve">  616004 Water &amp; sewer</t>
        </is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1048.75</v>
      </c>
      <c r="O56" s="35" t="n">
        <v>836.72</v>
      </c>
      <c r="P56" s="35" t="n">
        <v>791.53</v>
      </c>
      <c r="Q56" s="35" t="n">
        <v>858.6199999999999</v>
      </c>
      <c r="R56" s="35" t="n">
        <v>783.17</v>
      </c>
      <c r="S56" s="35" t="n">
        <v>988.13</v>
      </c>
      <c r="T56" s="85" t="n">
        <v>756.47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9580.110000000001</v>
      </c>
      <c r="L57" s="19" t="n">
        <v>9580.110000000001</v>
      </c>
      <c r="M57" s="19" t="n">
        <v>9580.110000000001</v>
      </c>
      <c r="N57" s="19" t="n">
        <v>9580.110000000001</v>
      </c>
      <c r="O57" s="19" t="n">
        <v>9580.110000000001</v>
      </c>
      <c r="P57" s="19" t="n">
        <v>9580.110000000001</v>
      </c>
      <c r="Q57" s="19" t="n">
        <v>9580.110000000001</v>
      </c>
      <c r="R57" s="19" t="n">
        <v>9580.110000000001</v>
      </c>
      <c r="S57" s="19" t="n">
        <v>9580.110000000001</v>
      </c>
      <c r="T57" s="84" t="n">
        <v>9580.110000000001</v>
      </c>
      <c r="U57" s="20" t="n">
        <v>9419.309999999999</v>
      </c>
      <c r="V57" s="20" t="n">
        <v>9419.309999999999</v>
      </c>
      <c r="W57" s="20" t="n">
        <v>9419.309999999999</v>
      </c>
      <c r="X57" s="20" t="n">
        <v>9419.309999999999</v>
      </c>
      <c r="Y57" s="20" t="n">
        <v>9419.309999999999</v>
      </c>
      <c r="Z57" s="20" t="n">
        <v>9419.309999999999</v>
      </c>
      <c r="AA57" s="20" t="n">
        <v>9419.309999999999</v>
      </c>
      <c r="AB57" s="20" t="n">
        <v>9419.309999999999</v>
      </c>
      <c r="AC57" s="20" t="n">
        <v>9419.309999999999</v>
      </c>
      <c r="AD57" s="20" t="n">
        <v>9419.309999999999</v>
      </c>
      <c r="AE57" s="20" t="n">
        <v>9419.309999999999</v>
      </c>
      <c r="AF57" s="20" t="n">
        <v>9419.309999999999</v>
      </c>
      <c r="AG57" s="20" t="n">
        <v>9419.309999999999</v>
      </c>
      <c r="AH57" s="20" t="n">
        <v>9419.309999999999</v>
      </c>
      <c r="AI57" s="20" t="n">
        <v>9419.309999999999</v>
      </c>
      <c r="AJ57" s="20" t="n">
        <v>9419.309999999999</v>
      </c>
      <c r="AK57" s="20" t="n">
        <v>9419.309999999999</v>
      </c>
      <c r="AL57" s="20" t="n">
        <v>9419.309999999999</v>
      </c>
      <c r="AM57" s="20" t="n">
        <v>9419.309999999999</v>
      </c>
      <c r="AN57" s="20" t="n">
        <v>9419.309999999999</v>
      </c>
      <c r="AO57" s="20" t="n">
        <v>9419.309999999999</v>
      </c>
      <c r="AP57" s="20" t="n">
        <v>9419.309999999999</v>
      </c>
      <c r="AQ57" s="20" t="n">
        <v>9419.309999999999</v>
      </c>
      <c r="AR57" s="20" t="n">
        <v>9419.309999999999</v>
      </c>
      <c r="AS57" s="20" t="n">
        <v>9419.309999999999</v>
      </c>
      <c r="AT57" s="20" t="n">
        <v>9419.309999999999</v>
      </c>
      <c r="AU57" s="20" t="n">
        <v>9419.309999999999</v>
      </c>
      <c r="AV57" s="20" t="n">
        <v>9419.309999999999</v>
      </c>
      <c r="AW57" s="20" t="n">
        <v>9419.309999999999</v>
      </c>
      <c r="AX57" s="20" t="n">
        <v>9419.309999999999</v>
      </c>
      <c r="AY57" s="20" t="n">
        <v>9419.309999999999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276.86</v>
      </c>
      <c r="L59" s="19" t="n">
        <v>0</v>
      </c>
      <c r="M59" s="19" t="n">
        <v>129.5</v>
      </c>
      <c r="N59" s="19" t="n">
        <v>1357.96</v>
      </c>
      <c r="O59" s="19" t="n">
        <v>26.95</v>
      </c>
      <c r="P59" s="19" t="n">
        <v>0</v>
      </c>
      <c r="Q59" s="19" t="n">
        <v>199.91</v>
      </c>
      <c r="R59" s="19" t="n">
        <v>94.98999999999999</v>
      </c>
      <c r="S59" s="19" t="n">
        <v>228.3</v>
      </c>
      <c r="T59" s="84" t="n">
        <v>230.86</v>
      </c>
      <c r="U59" s="20" t="n">
        <v>128.6</v>
      </c>
      <c r="V59" s="20" t="n">
        <v>128.6</v>
      </c>
      <c r="W59" s="20" t="n">
        <v>128.6</v>
      </c>
      <c r="X59" s="20" t="n">
        <v>128.6</v>
      </c>
      <c r="Y59" s="20" t="n">
        <v>128.6</v>
      </c>
      <c r="Z59" s="20" t="n">
        <v>128.6</v>
      </c>
      <c r="AA59" s="20" t="n">
        <v>128.6</v>
      </c>
      <c r="AB59" s="20" t="n">
        <v>128.6</v>
      </c>
      <c r="AC59" s="20" t="n">
        <v>128.6</v>
      </c>
      <c r="AD59" s="20" t="n">
        <v>128.6</v>
      </c>
      <c r="AE59" s="20" t="n">
        <v>128.6</v>
      </c>
      <c r="AF59" s="20" t="n">
        <v>128.6</v>
      </c>
      <c r="AG59" s="20" t="n">
        <v>128.6</v>
      </c>
      <c r="AH59" s="20" t="n">
        <v>128.6</v>
      </c>
      <c r="AI59" s="20" t="n">
        <v>128.6</v>
      </c>
      <c r="AJ59" s="20" t="n">
        <v>128.6</v>
      </c>
      <c r="AK59" s="20" t="n">
        <v>128.6</v>
      </c>
      <c r="AL59" s="20" t="n">
        <v>128.6</v>
      </c>
      <c r="AM59" s="20" t="n">
        <v>128.6</v>
      </c>
      <c r="AN59" s="20" t="n">
        <v>128.6</v>
      </c>
      <c r="AO59" s="20" t="n">
        <v>128.6</v>
      </c>
      <c r="AP59" s="20" t="n">
        <v>128.6</v>
      </c>
      <c r="AQ59" s="20" t="n">
        <v>128.6</v>
      </c>
      <c r="AR59" s="20" t="n">
        <v>128.6</v>
      </c>
      <c r="AS59" s="20" t="n">
        <v>128.6</v>
      </c>
      <c r="AT59" s="20" t="n">
        <v>128.6</v>
      </c>
      <c r="AU59" s="20" t="n">
        <v>128.6</v>
      </c>
      <c r="AV59" s="20" t="n">
        <v>128.6</v>
      </c>
      <c r="AW59" s="20" t="n">
        <v>128.6</v>
      </c>
      <c r="AX59" s="20" t="n">
        <v>128.6</v>
      </c>
      <c r="AY59" s="20" t="n">
        <v>128.6</v>
      </c>
    </row>
    <row r="60">
      <c r="B60" s="33" t="inlineStr">
        <is>
          <t xml:space="preserve">  705000 Property Maintenance</t>
        </is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  <c r="J60" s="19" t="n">
        <v>0</v>
      </c>
      <c r="K60" s="19" t="n">
        <v>0</v>
      </c>
      <c r="L60" s="19" t="n">
        <v>580</v>
      </c>
      <c r="M60" s="19" t="n">
        <v>580</v>
      </c>
      <c r="N60" s="19" t="n">
        <v>1480</v>
      </c>
      <c r="O60" s="19" t="n">
        <v>580</v>
      </c>
      <c r="P60" s="19" t="n">
        <v>779.6</v>
      </c>
      <c r="Q60" s="19" t="n">
        <v>841</v>
      </c>
      <c r="R60" s="19" t="n">
        <v>841</v>
      </c>
      <c r="S60" s="19" t="n">
        <v>841</v>
      </c>
      <c r="T60" s="84" t="n">
        <v>841</v>
      </c>
      <c r="U60" s="20" t="n">
        <v>811.79</v>
      </c>
      <c r="V60" s="20" t="n">
        <v>811.79</v>
      </c>
      <c r="W60" s="20" t="n">
        <v>811.79</v>
      </c>
      <c r="X60" s="20" t="n">
        <v>811.79</v>
      </c>
      <c r="Y60" s="20" t="n">
        <v>811.79</v>
      </c>
      <c r="Z60" s="20" t="n">
        <v>811.79</v>
      </c>
      <c r="AA60" s="20" t="n">
        <v>811.79</v>
      </c>
      <c r="AB60" s="20" t="n">
        <v>811.79</v>
      </c>
      <c r="AC60" s="20" t="n">
        <v>811.79</v>
      </c>
      <c r="AD60" s="20" t="n">
        <v>811.79</v>
      </c>
      <c r="AE60" s="20" t="n">
        <v>811.79</v>
      </c>
      <c r="AF60" s="20" t="n">
        <v>811.79</v>
      </c>
      <c r="AG60" s="20" t="n">
        <v>811.79</v>
      </c>
      <c r="AH60" s="20" t="n">
        <v>811.79</v>
      </c>
      <c r="AI60" s="20" t="n">
        <v>811.79</v>
      </c>
      <c r="AJ60" s="20" t="n">
        <v>811.79</v>
      </c>
      <c r="AK60" s="20" t="n">
        <v>811.79</v>
      </c>
      <c r="AL60" s="20" t="n">
        <v>811.79</v>
      </c>
      <c r="AM60" s="20" t="n">
        <v>811.79</v>
      </c>
      <c r="AN60" s="20" t="n">
        <v>811.79</v>
      </c>
      <c r="AO60" s="20" t="n">
        <v>811.79</v>
      </c>
      <c r="AP60" s="20" t="n">
        <v>811.79</v>
      </c>
      <c r="AQ60" s="20" t="n">
        <v>811.79</v>
      </c>
      <c r="AR60" s="20" t="n">
        <v>811.79</v>
      </c>
      <c r="AS60" s="20" t="n">
        <v>811.79</v>
      </c>
      <c r="AT60" s="20" t="n">
        <v>811.79</v>
      </c>
      <c r="AU60" s="20" t="n">
        <v>811.79</v>
      </c>
      <c r="AV60" s="20" t="n">
        <v>811.79</v>
      </c>
      <c r="AW60" s="20" t="n">
        <v>811.79</v>
      </c>
      <c r="AX60" s="20" t="n">
        <v>811.79</v>
      </c>
      <c r="AY60" s="20" t="n">
        <v>811.79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9856.969999999999</v>
      </c>
      <c r="L61" s="35" t="n">
        <v>10160.11</v>
      </c>
      <c r="M61" s="35" t="n">
        <v>10289.61</v>
      </c>
      <c r="N61" s="35" t="n">
        <v>21144.15</v>
      </c>
      <c r="O61" s="35" t="n">
        <v>10208.77</v>
      </c>
      <c r="P61" s="35" t="n">
        <v>10359.71</v>
      </c>
      <c r="Q61" s="35" t="n">
        <v>11810.4</v>
      </c>
      <c r="R61" s="35" t="n">
        <v>10516.1</v>
      </c>
      <c r="S61" s="35" t="n">
        <v>10649.41</v>
      </c>
      <c r="T61" s="85" t="n">
        <v>10651.97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11875.72</v>
      </c>
      <c r="L62" s="35" t="n">
        <v>10160.11</v>
      </c>
      <c r="M62" s="35" t="n">
        <v>23932.64</v>
      </c>
      <c r="N62" s="35" t="n">
        <v>66186.74999999999</v>
      </c>
      <c r="O62" s="35" t="n">
        <v>50152.53999999999</v>
      </c>
      <c r="P62" s="35" t="n">
        <v>56257.37000000001</v>
      </c>
      <c r="Q62" s="35" t="n">
        <v>56162.24999999999</v>
      </c>
      <c r="R62" s="35" t="n">
        <v>55712.42999999999</v>
      </c>
      <c r="S62" s="35" t="n">
        <v>46188.79999999999</v>
      </c>
      <c r="T62" s="85" t="n">
        <v>42838.74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-11875.72</v>
      </c>
      <c r="L63" s="35" t="n">
        <v>-10160.11</v>
      </c>
      <c r="M63" s="35" t="n">
        <v>-23961.36</v>
      </c>
      <c r="N63" s="35" t="n">
        <v>-63829.03999999999</v>
      </c>
      <c r="O63" s="35" t="n">
        <v>-43560.53</v>
      </c>
      <c r="P63" s="35" t="n">
        <v>-38896.96000000001</v>
      </c>
      <c r="Q63" s="35" t="n">
        <v>-28243.36999999999</v>
      </c>
      <c r="R63" s="35" t="n">
        <v>-27944.76999999998</v>
      </c>
      <c r="S63" s="35" t="n">
        <v>-24533.29999999999</v>
      </c>
      <c r="T63" s="85" t="n">
        <v>-23330.01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19" t="n">
        <v>0</v>
      </c>
      <c r="K65" s="19" t="n">
        <v>30.06</v>
      </c>
      <c r="L65" s="19" t="n">
        <v>28.29</v>
      </c>
      <c r="M65" s="19" t="n">
        <v>1226.85</v>
      </c>
      <c r="N65" s="19" t="n">
        <v>1989.31</v>
      </c>
      <c r="O65" s="19" t="n">
        <v>3449.56</v>
      </c>
      <c r="P65" s="19" t="n">
        <v>2506.58</v>
      </c>
      <c r="Q65" s="19" t="n">
        <v>2483.89</v>
      </c>
      <c r="R65" s="19" t="n">
        <v>2483.89</v>
      </c>
      <c r="S65" s="19" t="n">
        <v>2483.89</v>
      </c>
      <c r="T65" s="84" t="n">
        <v>2483.89</v>
      </c>
      <c r="U65" s="20" t="n">
        <v>2483.89</v>
      </c>
      <c r="V65" s="20" t="n">
        <v>2483.89</v>
      </c>
      <c r="W65" s="20" t="n">
        <v>2483.89</v>
      </c>
      <c r="X65" s="20" t="n">
        <v>2483.89</v>
      </c>
      <c r="Y65" s="20" t="n">
        <v>2483.89</v>
      </c>
      <c r="Z65" s="20" t="n">
        <v>2483.89</v>
      </c>
      <c r="AA65" s="20" t="n">
        <v>2483.89</v>
      </c>
      <c r="AB65" s="20" t="n">
        <v>2483.89</v>
      </c>
      <c r="AC65" s="20" t="n">
        <v>2483.89</v>
      </c>
      <c r="AD65" s="20" t="n">
        <v>2483.89</v>
      </c>
      <c r="AE65" s="20" t="n">
        <v>2483.89</v>
      </c>
      <c r="AF65" s="20" t="n">
        <v>2483.89</v>
      </c>
      <c r="AG65" s="20" t="n">
        <v>2483.89</v>
      </c>
      <c r="AH65" s="20" t="n">
        <v>2483.89</v>
      </c>
      <c r="AI65" s="20" t="n">
        <v>2483.89</v>
      </c>
      <c r="AJ65" s="20" t="n">
        <v>2483.89</v>
      </c>
      <c r="AK65" s="20" t="n">
        <v>2483.89</v>
      </c>
      <c r="AL65" s="20" t="n">
        <v>2483.89</v>
      </c>
      <c r="AM65" s="20" t="n">
        <v>2483.89</v>
      </c>
      <c r="AN65" s="20">
        <f>AN69*0.98922</f>
        <v/>
      </c>
      <c r="AO65" s="20">
        <f>AO69*0.98922</f>
        <v/>
      </c>
      <c r="AP65" s="20">
        <f>AP69*0.98922</f>
        <v/>
      </c>
      <c r="AQ65" s="20">
        <f>AQ69*0.98922</f>
        <v/>
      </c>
      <c r="AR65" s="20">
        <f>AR69*0.98922</f>
        <v/>
      </c>
      <c r="AS65" s="20">
        <f>AS69*0.98922</f>
        <v/>
      </c>
      <c r="AT65" s="20">
        <f>AT69*0.98922</f>
        <v/>
      </c>
      <c r="AU65" s="20">
        <f>AU69*0.98922</f>
        <v/>
      </c>
      <c r="AV65" s="20">
        <f>AV69*0.98922</f>
        <v/>
      </c>
      <c r="AW65" s="20">
        <f>AW69*0.98922</f>
        <v/>
      </c>
      <c r="AX65" s="20">
        <f>AX69*0.98922</f>
        <v/>
      </c>
      <c r="AY65" s="20">
        <f>AY69*0.98922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108.52</v>
      </c>
      <c r="R67" s="19" t="n">
        <v>0</v>
      </c>
      <c r="S67" s="19" t="n">
        <v>0</v>
      </c>
      <c r="T67" s="84" t="n">
        <v>0</v>
      </c>
      <c r="U67" s="20">
        <f>U69*0.01078</f>
        <v/>
      </c>
      <c r="V67" s="20">
        <f>V69*0.01078</f>
        <v/>
      </c>
      <c r="W67" s="20">
        <f>W69*0.01078</f>
        <v/>
      </c>
      <c r="X67" s="20">
        <f>X69*0.01078</f>
        <v/>
      </c>
      <c r="Y67" s="20">
        <f>Y69*0.01078</f>
        <v/>
      </c>
      <c r="Z67" s="20">
        <f>Z69*0.01078</f>
        <v/>
      </c>
      <c r="AA67" s="20">
        <f>AA69*0.01078</f>
        <v/>
      </c>
      <c r="AB67" s="20">
        <f>AB69*0.01078</f>
        <v/>
      </c>
      <c r="AC67" s="20">
        <f>AC69*0.01078</f>
        <v/>
      </c>
      <c r="AD67" s="20">
        <f>AD69*0.01078</f>
        <v/>
      </c>
      <c r="AE67" s="20">
        <f>AE69*0.01078</f>
        <v/>
      </c>
      <c r="AF67" s="20">
        <f>AF69*0.01078</f>
        <v/>
      </c>
      <c r="AG67" s="20">
        <f>AG69*0.01078</f>
        <v/>
      </c>
      <c r="AH67" s="20">
        <f>AH69*0.01078</f>
        <v/>
      </c>
      <c r="AI67" s="20">
        <f>AI69*0.01078</f>
        <v/>
      </c>
      <c r="AJ67" s="20">
        <f>AJ69*0.01078</f>
        <v/>
      </c>
      <c r="AK67" s="20">
        <f>AK69*0.01078</f>
        <v/>
      </c>
      <c r="AL67" s="20">
        <f>AL69*0.01078</f>
        <v/>
      </c>
      <c r="AM67" s="20">
        <f>AM69*0.01078</f>
        <v/>
      </c>
      <c r="AN67" s="20">
        <f>AN69*0.01078</f>
        <v/>
      </c>
      <c r="AO67" s="20">
        <f>AO69*0.01078</f>
        <v/>
      </c>
      <c r="AP67" s="20">
        <f>AP69*0.01078</f>
        <v/>
      </c>
      <c r="AQ67" s="20">
        <f>AQ69*0.01078</f>
        <v/>
      </c>
      <c r="AR67" s="20">
        <f>AR69*0.01078</f>
        <v/>
      </c>
      <c r="AS67" s="20">
        <f>AS69*0.01078</f>
        <v/>
      </c>
      <c r="AT67" s="20">
        <f>AT69*0.01078</f>
        <v/>
      </c>
      <c r="AU67" s="20">
        <f>AU69*0.01078</f>
        <v/>
      </c>
      <c r="AV67" s="20">
        <f>AV69*0.01078</f>
        <v/>
      </c>
      <c r="AW67" s="20">
        <f>AW69*0.01078</f>
        <v/>
      </c>
      <c r="AX67" s="20">
        <f>AX69*0.01078</f>
        <v/>
      </c>
      <c r="AY67" s="20">
        <f>AY69*0.01078</f>
        <v/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0</v>
      </c>
      <c r="I69" s="35" t="n">
        <v>0</v>
      </c>
      <c r="J69" s="35" t="n">
        <v>0</v>
      </c>
      <c r="K69" s="35" t="n">
        <v>30.06</v>
      </c>
      <c r="L69" s="35" t="n">
        <v>28.29</v>
      </c>
      <c r="M69" s="35" t="n">
        <v>1226.85</v>
      </c>
      <c r="N69" s="35" t="n">
        <v>1989.31</v>
      </c>
      <c r="O69" s="35" t="n">
        <v>3449.56</v>
      </c>
      <c r="P69" s="35" t="n">
        <v>2506.58</v>
      </c>
      <c r="Q69" s="35" t="n">
        <v>2592.41</v>
      </c>
      <c r="R69" s="35" t="n">
        <v>2483.89</v>
      </c>
      <c r="S69" s="35" t="n">
        <v>2483.89</v>
      </c>
      <c r="T69" s="85" t="n">
        <v>2483.89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-11905.78</v>
      </c>
      <c r="L70" s="35" t="n">
        <v>-10188.4</v>
      </c>
      <c r="M70" s="35" t="n">
        <v>-25188.21</v>
      </c>
      <c r="N70" s="35" t="n">
        <v>-65818.34999999999</v>
      </c>
      <c r="O70" s="35" t="n">
        <v>-47010.09</v>
      </c>
      <c r="P70" s="35" t="n">
        <v>-41403.54000000001</v>
      </c>
      <c r="Q70" s="35" t="n">
        <v>-30835.77999999999</v>
      </c>
      <c r="R70" s="35" t="n">
        <v>-30428.65999999998</v>
      </c>
      <c r="S70" s="35" t="n">
        <v>-27017.18999999999</v>
      </c>
      <c r="T70" s="85" t="n">
        <v>-25813.9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44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Santa Monica (SM)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63861.73</v>
      </c>
      <c r="E7" s="19" t="n">
        <v>88519.98</v>
      </c>
      <c r="F7" s="19" t="n">
        <v>116011.96</v>
      </c>
      <c r="G7" s="19" t="n">
        <v>113833.57</v>
      </c>
      <c r="H7" s="19" t="n">
        <v>124274.42</v>
      </c>
      <c r="I7" s="19" t="n">
        <v>112730.42</v>
      </c>
      <c r="J7" s="19" t="n">
        <v>114836.51</v>
      </c>
      <c r="K7" s="19" t="n">
        <v>111118.52</v>
      </c>
      <c r="L7" s="19" t="n">
        <v>103318.27</v>
      </c>
      <c r="M7" s="19" t="n">
        <v>102927.2</v>
      </c>
      <c r="N7" s="19" t="n">
        <v>97463.25</v>
      </c>
      <c r="O7" s="19" t="n">
        <v>95619.09</v>
      </c>
      <c r="P7" s="19" t="n">
        <v>110763.53</v>
      </c>
      <c r="Q7" s="19" t="n">
        <v>101389.12</v>
      </c>
      <c r="R7" s="19" t="n">
        <v>102967.05</v>
      </c>
      <c r="S7" s="19" t="n">
        <v>94757.23</v>
      </c>
      <c r="T7" s="84" t="n">
        <v>97024.39999999999</v>
      </c>
      <c r="U7" s="20">
        <f>U13*0.58474</f>
        <v/>
      </c>
      <c r="V7" s="20">
        <f>V13*0.58474</f>
        <v/>
      </c>
      <c r="W7" s="20">
        <f>W13*0.58474</f>
        <v/>
      </c>
      <c r="X7" s="20">
        <f>X13*0.58474</f>
        <v/>
      </c>
      <c r="Y7" s="20">
        <f>Y13*0.58474</f>
        <v/>
      </c>
      <c r="Z7" s="20">
        <f>Z13*0.58474</f>
        <v/>
      </c>
      <c r="AA7" s="20">
        <f>AA13*0.58474</f>
        <v/>
      </c>
      <c r="AB7" s="20">
        <f>AB13*0.58474</f>
        <v/>
      </c>
      <c r="AC7" s="20">
        <f>AC13*0.58474</f>
        <v/>
      </c>
      <c r="AD7" s="20">
        <f>AD13*0.58474</f>
        <v/>
      </c>
      <c r="AE7" s="20">
        <f>AE13*0.58474</f>
        <v/>
      </c>
      <c r="AF7" s="20">
        <f>AF13*0.58474</f>
        <v/>
      </c>
      <c r="AG7" s="20">
        <f>AG13*0.58474</f>
        <v/>
      </c>
      <c r="AH7" s="20">
        <f>AH13*0.58474</f>
        <v/>
      </c>
      <c r="AI7" s="20">
        <f>AI13*0.58474</f>
        <v/>
      </c>
      <c r="AJ7" s="20">
        <f>AJ13*0.58474</f>
        <v/>
      </c>
      <c r="AK7" s="20">
        <f>AK13*0.58474</f>
        <v/>
      </c>
      <c r="AL7" s="20">
        <f>AL13*0.58474</f>
        <v/>
      </c>
      <c r="AM7" s="20">
        <f>AM13*0.58474</f>
        <v/>
      </c>
      <c r="AN7" s="20">
        <f>AN13*0.58474</f>
        <v/>
      </c>
      <c r="AO7" s="20">
        <f>AO13*0.58474</f>
        <v/>
      </c>
      <c r="AP7" s="20">
        <f>AP13*0.58474</f>
        <v/>
      </c>
      <c r="AQ7" s="20">
        <f>AQ13*0.58474</f>
        <v/>
      </c>
      <c r="AR7" s="20">
        <f>AR13*0.58474</f>
        <v/>
      </c>
      <c r="AS7" s="20">
        <f>AS13*0.58474</f>
        <v/>
      </c>
      <c r="AT7" s="20">
        <f>AT13*0.58474</f>
        <v/>
      </c>
      <c r="AU7" s="20">
        <f>AU13*0.58474</f>
        <v/>
      </c>
      <c r="AV7" s="20">
        <f>AV13*0.58474</f>
        <v/>
      </c>
      <c r="AW7" s="20">
        <f>AW13*0.58474</f>
        <v/>
      </c>
      <c r="AX7" s="20">
        <f>AX13*0.58474</f>
        <v/>
      </c>
      <c r="AY7" s="20">
        <f>AY13*0.58474</f>
        <v/>
      </c>
    </row>
    <row r="8">
      <c r="B8" s="33" t="inlineStr">
        <is>
          <t xml:space="preserve">  401002 Private Pilates</t>
        </is>
      </c>
      <c r="D8" s="19" t="n">
        <v>10900.55</v>
      </c>
      <c r="E8" s="19" t="n">
        <v>17202.29</v>
      </c>
      <c r="F8" s="19" t="n">
        <v>21696.15</v>
      </c>
      <c r="G8" s="19" t="n">
        <v>24598.8</v>
      </c>
      <c r="H8" s="19" t="n">
        <v>27490.19</v>
      </c>
      <c r="I8" s="19" t="n">
        <v>23870.59</v>
      </c>
      <c r="J8" s="19" t="n">
        <v>28434.63</v>
      </c>
      <c r="K8" s="19" t="n">
        <v>24879.75</v>
      </c>
      <c r="L8" s="19" t="n">
        <v>25947.49</v>
      </c>
      <c r="M8" s="19" t="n">
        <v>25431.67</v>
      </c>
      <c r="N8" s="19" t="n">
        <v>21504.27</v>
      </c>
      <c r="O8" s="19" t="n">
        <v>20301.61</v>
      </c>
      <c r="P8" s="19" t="n">
        <v>33853.22</v>
      </c>
      <c r="Q8" s="19" t="n">
        <v>32824.02</v>
      </c>
      <c r="R8" s="19" t="n">
        <v>32939.68</v>
      </c>
      <c r="S8" s="19" t="n">
        <v>30216.54</v>
      </c>
      <c r="T8" s="84" t="n">
        <v>27684.47</v>
      </c>
      <c r="U8" s="20">
        <f>U13*0.185224</f>
        <v/>
      </c>
      <c r="V8" s="20">
        <f>V13*0.185224</f>
        <v/>
      </c>
      <c r="W8" s="20">
        <f>W13*0.185224</f>
        <v/>
      </c>
      <c r="X8" s="20">
        <f>X13*0.185224</f>
        <v/>
      </c>
      <c r="Y8" s="20">
        <f>Y13*0.185224</f>
        <v/>
      </c>
      <c r="Z8" s="20">
        <f>Z13*0.185224</f>
        <v/>
      </c>
      <c r="AA8" s="20">
        <f>AA13*0.185224</f>
        <v/>
      </c>
      <c r="AB8" s="20">
        <f>AB13*0.185224</f>
        <v/>
      </c>
      <c r="AC8" s="20">
        <f>AC13*0.185224</f>
        <v/>
      </c>
      <c r="AD8" s="20">
        <f>AD13*0.185224</f>
        <v/>
      </c>
      <c r="AE8" s="20">
        <f>AE13*0.185224</f>
        <v/>
      </c>
      <c r="AF8" s="20">
        <f>AF13*0.185224</f>
        <v/>
      </c>
      <c r="AG8" s="20">
        <f>AG13*0.185224</f>
        <v/>
      </c>
      <c r="AH8" s="20">
        <f>AH13*0.185224</f>
        <v/>
      </c>
      <c r="AI8" s="20">
        <f>AI13*0.185224</f>
        <v/>
      </c>
      <c r="AJ8" s="20">
        <f>AJ13*0.185224</f>
        <v/>
      </c>
      <c r="AK8" s="20">
        <f>AK13*0.185224</f>
        <v/>
      </c>
      <c r="AL8" s="20">
        <f>AL13*0.185224</f>
        <v/>
      </c>
      <c r="AM8" s="20">
        <f>AM13*0.185224</f>
        <v/>
      </c>
      <c r="AN8" s="20">
        <f>AN13*0.185224</f>
        <v/>
      </c>
      <c r="AO8" s="20">
        <f>AO13*0.185224</f>
        <v/>
      </c>
      <c r="AP8" s="20">
        <f>AP13*0.185224</f>
        <v/>
      </c>
      <c r="AQ8" s="20">
        <f>AQ13*0.185224</f>
        <v/>
      </c>
      <c r="AR8" s="20">
        <f>AR13*0.185224</f>
        <v/>
      </c>
      <c r="AS8" s="20">
        <f>AS13*0.185224</f>
        <v/>
      </c>
      <c r="AT8" s="20">
        <f>AT13*0.185224</f>
        <v/>
      </c>
      <c r="AU8" s="20">
        <f>AU13*0.185224</f>
        <v/>
      </c>
      <c r="AV8" s="20">
        <f>AV13*0.185224</f>
        <v/>
      </c>
      <c r="AW8" s="20">
        <f>AW13*0.185224</f>
        <v/>
      </c>
      <c r="AX8" s="20">
        <f>AX13*0.185224</f>
        <v/>
      </c>
      <c r="AY8" s="20">
        <f>AY13*0.185224</f>
        <v/>
      </c>
    </row>
    <row r="9">
      <c r="B9" s="33" t="inlineStr">
        <is>
          <t xml:space="preserve">  401003 Class Pass</t>
        </is>
      </c>
      <c r="D9" s="19" t="n">
        <v>20534.79</v>
      </c>
      <c r="E9" s="19" t="n">
        <v>22835.1</v>
      </c>
      <c r="F9" s="19" t="n">
        <v>23993.39</v>
      </c>
      <c r="G9" s="19" t="n">
        <v>22401.08</v>
      </c>
      <c r="H9" s="19" t="n">
        <v>21566.27</v>
      </c>
      <c r="I9" s="19" t="n">
        <v>20792.19</v>
      </c>
      <c r="J9" s="19" t="n">
        <v>21919.17</v>
      </c>
      <c r="K9" s="19" t="n">
        <v>22205.14</v>
      </c>
      <c r="L9" s="19" t="n">
        <v>21434.06</v>
      </c>
      <c r="M9" s="19" t="n">
        <v>20869.61</v>
      </c>
      <c r="N9" s="19" t="n">
        <v>21268.78</v>
      </c>
      <c r="O9" s="19" t="n">
        <v>18892.11</v>
      </c>
      <c r="P9" s="19" t="n">
        <v>26543.57</v>
      </c>
      <c r="Q9" s="19" t="n">
        <v>23920.55</v>
      </c>
      <c r="R9" s="19" t="n">
        <v>25751.08</v>
      </c>
      <c r="S9" s="19" t="n">
        <v>25382</v>
      </c>
      <c r="T9" s="84" t="n">
        <v>24038.21</v>
      </c>
      <c r="U9" s="20">
        <f>U13*0.144941</f>
        <v/>
      </c>
      <c r="V9" s="20">
        <f>V13*0.144941</f>
        <v/>
      </c>
      <c r="W9" s="20">
        <f>W13*0.144941</f>
        <v/>
      </c>
      <c r="X9" s="20">
        <f>X13*0.144941</f>
        <v/>
      </c>
      <c r="Y9" s="20">
        <f>Y13*0.144941</f>
        <v/>
      </c>
      <c r="Z9" s="20">
        <f>Z13*0.144941</f>
        <v/>
      </c>
      <c r="AA9" s="20">
        <f>AA13*0.144941</f>
        <v/>
      </c>
      <c r="AB9" s="20">
        <f>AB13*0.144941</f>
        <v/>
      </c>
      <c r="AC9" s="20">
        <f>AC13*0.144941</f>
        <v/>
      </c>
      <c r="AD9" s="20">
        <f>AD13*0.144941</f>
        <v/>
      </c>
      <c r="AE9" s="20">
        <f>AE13*0.144941</f>
        <v/>
      </c>
      <c r="AF9" s="20">
        <f>AF13*0.144941</f>
        <v/>
      </c>
      <c r="AG9" s="20">
        <f>AG13*0.144941</f>
        <v/>
      </c>
      <c r="AH9" s="20">
        <f>AH13*0.144941</f>
        <v/>
      </c>
      <c r="AI9" s="20">
        <f>AI13*0.144941</f>
        <v/>
      </c>
      <c r="AJ9" s="20">
        <f>AJ13*0.144941</f>
        <v/>
      </c>
      <c r="AK9" s="20">
        <f>AK13*0.144941</f>
        <v/>
      </c>
      <c r="AL9" s="20">
        <f>AL13*0.144941</f>
        <v/>
      </c>
      <c r="AM9" s="20">
        <f>AM13*0.144941</f>
        <v/>
      </c>
      <c r="AN9" s="20">
        <f>AN13*0.144941</f>
        <v/>
      </c>
      <c r="AO9" s="20">
        <f>AO13*0.144941</f>
        <v/>
      </c>
      <c r="AP9" s="20">
        <f>AP13*0.144941</f>
        <v/>
      </c>
      <c r="AQ9" s="20">
        <f>AQ13*0.144941</f>
        <v/>
      </c>
      <c r="AR9" s="20">
        <f>AR13*0.144941</f>
        <v/>
      </c>
      <c r="AS9" s="20">
        <f>AS13*0.144941</f>
        <v/>
      </c>
      <c r="AT9" s="20">
        <f>AT13*0.144941</f>
        <v/>
      </c>
      <c r="AU9" s="20">
        <f>AU13*0.144941</f>
        <v/>
      </c>
      <c r="AV9" s="20">
        <f>AV13*0.144941</f>
        <v/>
      </c>
      <c r="AW9" s="20">
        <f>AW13*0.144941</f>
        <v/>
      </c>
      <c r="AX9" s="20">
        <f>AX13*0.144941</f>
        <v/>
      </c>
      <c r="AY9" s="20">
        <f>AY13*0.144941</f>
        <v/>
      </c>
    </row>
    <row r="10">
      <c r="B10" s="33" t="inlineStr">
        <is>
          <t xml:space="preserve">  401004 Mighty Teacher Training</t>
        </is>
      </c>
      <c r="D10" s="19" t="n">
        <v>3815</v>
      </c>
      <c r="E10" s="19" t="n">
        <v>6750</v>
      </c>
      <c r="F10" s="19" t="n">
        <v>21687.25</v>
      </c>
      <c r="G10" s="19" t="n">
        <v>6557.08</v>
      </c>
      <c r="H10" s="19" t="n">
        <v>6727.68</v>
      </c>
      <c r="I10" s="19" t="n">
        <v>6112.5</v>
      </c>
      <c r="J10" s="19" t="n">
        <v>6669.64</v>
      </c>
      <c r="K10" s="19" t="n">
        <v>5387.02</v>
      </c>
      <c r="L10" s="19" t="n">
        <v>7395.6</v>
      </c>
      <c r="M10" s="19" t="n">
        <v>3674.17</v>
      </c>
      <c r="N10" s="19" t="n">
        <v>2940</v>
      </c>
      <c r="O10" s="19" t="n">
        <v>2446.43</v>
      </c>
      <c r="P10" s="19" t="n">
        <v>30303.19</v>
      </c>
      <c r="Q10" s="19" t="n">
        <v>17093.48</v>
      </c>
      <c r="R10" s="19" t="n">
        <v>4976.77</v>
      </c>
      <c r="S10" s="19" t="n">
        <v>0</v>
      </c>
      <c r="T10" s="84" t="n">
        <v>0</v>
      </c>
      <c r="U10" s="20">
        <f>U13*0.074717</f>
        <v/>
      </c>
      <c r="V10" s="20">
        <f>V13*0.074717</f>
        <v/>
      </c>
      <c r="W10" s="20">
        <f>W13*0.074717</f>
        <v/>
      </c>
      <c r="X10" s="20">
        <f>X13*0.074717</f>
        <v/>
      </c>
      <c r="Y10" s="20">
        <f>Y13*0.074717</f>
        <v/>
      </c>
      <c r="Z10" s="20">
        <f>Z13*0.074717</f>
        <v/>
      </c>
      <c r="AA10" s="20">
        <f>AA13*0.074717</f>
        <v/>
      </c>
      <c r="AB10" s="20">
        <f>AB13*0.074717</f>
        <v/>
      </c>
      <c r="AC10" s="20">
        <f>AC13*0.074717</f>
        <v/>
      </c>
      <c r="AD10" s="20">
        <f>AD13*0.074717</f>
        <v/>
      </c>
      <c r="AE10" s="20">
        <f>AE13*0.074717</f>
        <v/>
      </c>
      <c r="AF10" s="20">
        <f>AF13*0.074717</f>
        <v/>
      </c>
      <c r="AG10" s="20">
        <f>AG13*0.074717</f>
        <v/>
      </c>
      <c r="AH10" s="20">
        <f>AH13*0.074717</f>
        <v/>
      </c>
      <c r="AI10" s="20">
        <f>AI13*0.074717</f>
        <v/>
      </c>
      <c r="AJ10" s="20">
        <f>AJ13*0.074717</f>
        <v/>
      </c>
      <c r="AK10" s="20">
        <f>AK13*0.074717</f>
        <v/>
      </c>
      <c r="AL10" s="20">
        <f>AL13*0.074717</f>
        <v/>
      </c>
      <c r="AM10" s="20">
        <f>AM13*0.074717</f>
        <v/>
      </c>
      <c r="AN10" s="20">
        <f>AN13*0.074717</f>
        <v/>
      </c>
      <c r="AO10" s="20">
        <f>AO13*0.074717</f>
        <v/>
      </c>
      <c r="AP10" s="20">
        <f>AP13*0.074717</f>
        <v/>
      </c>
      <c r="AQ10" s="20">
        <f>AQ13*0.074717</f>
        <v/>
      </c>
      <c r="AR10" s="20">
        <f>AR13*0.074717</f>
        <v/>
      </c>
      <c r="AS10" s="20">
        <f>AS13*0.074717</f>
        <v/>
      </c>
      <c r="AT10" s="20">
        <f>AT13*0.074717</f>
        <v/>
      </c>
      <c r="AU10" s="20">
        <f>AU13*0.074717</f>
        <v/>
      </c>
      <c r="AV10" s="20">
        <f>AV13*0.074717</f>
        <v/>
      </c>
      <c r="AW10" s="20">
        <f>AW13*0.074717</f>
        <v/>
      </c>
      <c r="AX10" s="20">
        <f>AX13*0.074717</f>
        <v/>
      </c>
      <c r="AY10" s="20">
        <f>AY13*0.074717</f>
        <v/>
      </c>
    </row>
    <row r="11">
      <c r="B11" s="33" t="inlineStr">
        <is>
          <t xml:space="preserve">  401005 Livestream Classes</t>
        </is>
      </c>
      <c r="D11" s="19" t="n">
        <v>343.6</v>
      </c>
      <c r="E11" s="19" t="n">
        <v>441.6</v>
      </c>
      <c r="F11" s="19" t="n">
        <v>1813</v>
      </c>
      <c r="G11" s="19" t="n">
        <v>516.37</v>
      </c>
      <c r="H11" s="19" t="n">
        <v>401.5</v>
      </c>
      <c r="I11" s="19" t="n">
        <v>1599.73</v>
      </c>
      <c r="J11" s="19" t="n">
        <v>250.5</v>
      </c>
      <c r="K11" s="19" t="n">
        <v>147.5</v>
      </c>
      <c r="L11" s="19" t="n">
        <v>1497.9</v>
      </c>
      <c r="M11" s="19" t="n">
        <v>866.83</v>
      </c>
      <c r="N11" s="19" t="n">
        <v>312.33</v>
      </c>
      <c r="O11" s="19" t="n">
        <v>1523.27</v>
      </c>
      <c r="P11" s="19" t="n">
        <v>833.21</v>
      </c>
      <c r="Q11" s="19" t="n">
        <v>818.58</v>
      </c>
      <c r="R11" s="19" t="n">
        <v>978.54</v>
      </c>
      <c r="S11" s="19" t="n">
        <v>846.73</v>
      </c>
      <c r="T11" s="84" t="n">
        <v>774.38</v>
      </c>
      <c r="U11" s="20">
        <f>U13*0.00496</f>
        <v/>
      </c>
      <c r="V11" s="20">
        <f>V13*0.00496</f>
        <v/>
      </c>
      <c r="W11" s="20">
        <f>W13*0.00496</f>
        <v/>
      </c>
      <c r="X11" s="20">
        <f>X13*0.00496</f>
        <v/>
      </c>
      <c r="Y11" s="20">
        <f>Y13*0.00496</f>
        <v/>
      </c>
      <c r="Z11" s="20">
        <f>Z13*0.00496</f>
        <v/>
      </c>
      <c r="AA11" s="20">
        <f>AA13*0.00496</f>
        <v/>
      </c>
      <c r="AB11" s="20">
        <f>AB13*0.00496</f>
        <v/>
      </c>
      <c r="AC11" s="20">
        <f>AC13*0.00496</f>
        <v/>
      </c>
      <c r="AD11" s="20">
        <f>AD13*0.00496</f>
        <v/>
      </c>
      <c r="AE11" s="20">
        <f>AE13*0.00496</f>
        <v/>
      </c>
      <c r="AF11" s="20">
        <f>AF13*0.00496</f>
        <v/>
      </c>
      <c r="AG11" s="20">
        <f>AG13*0.00496</f>
        <v/>
      </c>
      <c r="AH11" s="20">
        <f>AH13*0.00496</f>
        <v/>
      </c>
      <c r="AI11" s="20">
        <f>AI13*0.00496</f>
        <v/>
      </c>
      <c r="AJ11" s="20">
        <f>AJ13*0.00496</f>
        <v/>
      </c>
      <c r="AK11" s="20">
        <f>AK13*0.00496</f>
        <v/>
      </c>
      <c r="AL11" s="20">
        <f>AL13*0.00496</f>
        <v/>
      </c>
      <c r="AM11" s="20">
        <f>AM13*0.00496</f>
        <v/>
      </c>
      <c r="AN11" s="20">
        <f>AN13*0.00496</f>
        <v/>
      </c>
      <c r="AO11" s="20">
        <f>AO13*0.00496</f>
        <v/>
      </c>
      <c r="AP11" s="20">
        <f>AP13*0.00496</f>
        <v/>
      </c>
      <c r="AQ11" s="20">
        <f>AQ13*0.00496</f>
        <v/>
      </c>
      <c r="AR11" s="20">
        <f>AR13*0.00496</f>
        <v/>
      </c>
      <c r="AS11" s="20">
        <f>AS13*0.00496</f>
        <v/>
      </c>
      <c r="AT11" s="20">
        <f>AT13*0.00496</f>
        <v/>
      </c>
      <c r="AU11" s="20">
        <f>AU13*0.00496</f>
        <v/>
      </c>
      <c r="AV11" s="20">
        <f>AV13*0.00496</f>
        <v/>
      </c>
      <c r="AW11" s="20">
        <f>AW13*0.00496</f>
        <v/>
      </c>
      <c r="AX11" s="20">
        <f>AX13*0.00496</f>
        <v/>
      </c>
      <c r="AY11" s="20">
        <f>AY13*0.00496</f>
        <v/>
      </c>
    </row>
    <row r="12">
      <c r="B12" s="33" t="inlineStr">
        <is>
          <t xml:space="preserve">  401006 Wellhub</t>
        </is>
      </c>
      <c r="D12" s="19" t="n">
        <v>893.01</v>
      </c>
      <c r="E12" s="19" t="n">
        <v>792.85</v>
      </c>
      <c r="F12" s="19" t="n">
        <v>1282.47</v>
      </c>
      <c r="G12" s="19" t="n">
        <v>1861.09</v>
      </c>
      <c r="H12" s="19" t="n">
        <v>1560.67</v>
      </c>
      <c r="I12" s="19" t="n">
        <v>1619.08</v>
      </c>
      <c r="J12" s="19" t="n">
        <v>1377.05</v>
      </c>
      <c r="K12" s="19" t="n">
        <v>753.91</v>
      </c>
      <c r="L12" s="19" t="n">
        <v>1318.62</v>
      </c>
      <c r="M12" s="19" t="n">
        <v>1207.36</v>
      </c>
      <c r="N12" s="19" t="n">
        <v>1349.23</v>
      </c>
      <c r="O12" s="19" t="n">
        <v>895.78</v>
      </c>
      <c r="P12" s="19" t="n">
        <v>1162.86</v>
      </c>
      <c r="Q12" s="19" t="n">
        <v>751.14</v>
      </c>
      <c r="R12" s="19" t="n">
        <v>973.7</v>
      </c>
      <c r="S12" s="19" t="n">
        <v>909.6900000000001</v>
      </c>
      <c r="T12" s="84" t="n">
        <v>678.78</v>
      </c>
      <c r="U12" s="20">
        <f>U13*0.005417</f>
        <v/>
      </c>
      <c r="V12" s="20">
        <f>V13*0.005417</f>
        <v/>
      </c>
      <c r="W12" s="20">
        <f>W13*0.005417</f>
        <v/>
      </c>
      <c r="X12" s="20">
        <f>X13*0.005417</f>
        <v/>
      </c>
      <c r="Y12" s="20">
        <f>Y13*0.005417</f>
        <v/>
      </c>
      <c r="Z12" s="20">
        <f>Z13*0.005417</f>
        <v/>
      </c>
      <c r="AA12" s="20">
        <f>AA13*0.005417</f>
        <v/>
      </c>
      <c r="AB12" s="20">
        <f>AB13*0.005417</f>
        <v/>
      </c>
      <c r="AC12" s="20">
        <f>AC13*0.005417</f>
        <v/>
      </c>
      <c r="AD12" s="20">
        <f>AD13*0.005417</f>
        <v/>
      </c>
      <c r="AE12" s="20">
        <f>AE13*0.005417</f>
        <v/>
      </c>
      <c r="AF12" s="20">
        <f>AF13*0.005417</f>
        <v/>
      </c>
      <c r="AG12" s="20">
        <f>AG13*0.005417</f>
        <v/>
      </c>
      <c r="AH12" s="20">
        <f>AH13*0.005417</f>
        <v/>
      </c>
      <c r="AI12" s="20">
        <f>AI13*0.005417</f>
        <v/>
      </c>
      <c r="AJ12" s="20">
        <f>AJ13*0.005417</f>
        <v/>
      </c>
      <c r="AK12" s="20">
        <f>AK13*0.005417</f>
        <v/>
      </c>
      <c r="AL12" s="20">
        <f>AL13*0.005417</f>
        <v/>
      </c>
      <c r="AM12" s="20">
        <f>AM13*0.005417</f>
        <v/>
      </c>
      <c r="AN12" s="20">
        <f>AN13*0.005417</f>
        <v/>
      </c>
      <c r="AO12" s="20">
        <f>AO13*0.005417</f>
        <v/>
      </c>
      <c r="AP12" s="20">
        <f>AP13*0.005417</f>
        <v/>
      </c>
      <c r="AQ12" s="20">
        <f>AQ13*0.005417</f>
        <v/>
      </c>
      <c r="AR12" s="20">
        <f>AR13*0.005417</f>
        <v/>
      </c>
      <c r="AS12" s="20">
        <f>AS13*0.005417</f>
        <v/>
      </c>
      <c r="AT12" s="20">
        <f>AT13*0.005417</f>
        <v/>
      </c>
      <c r="AU12" s="20">
        <f>AU13*0.005417</f>
        <v/>
      </c>
      <c r="AV12" s="20">
        <f>AV13*0.005417</f>
        <v/>
      </c>
      <c r="AW12" s="20">
        <f>AW13*0.005417</f>
        <v/>
      </c>
      <c r="AX12" s="20">
        <f>AX13*0.005417</f>
        <v/>
      </c>
      <c r="AY12" s="20">
        <f>AY13*0.005417</f>
        <v/>
      </c>
    </row>
    <row r="13">
      <c r="B13" s="32" t="inlineStr">
        <is>
          <t>Total Sessions</t>
        </is>
      </c>
      <c r="C13" s="34" t="n"/>
      <c r="D13" s="35" t="n">
        <v>100348.68</v>
      </c>
      <c r="E13" s="35" t="n">
        <v>136541.82</v>
      </c>
      <c r="F13" s="35" t="n">
        <v>186484.22</v>
      </c>
      <c r="G13" s="35" t="n">
        <v>169767.99</v>
      </c>
      <c r="H13" s="35" t="n">
        <v>182020.73</v>
      </c>
      <c r="I13" s="35" t="n">
        <v>166724.51</v>
      </c>
      <c r="J13" s="35" t="n">
        <v>173487.5</v>
      </c>
      <c r="K13" s="35" t="n">
        <v>164491.84</v>
      </c>
      <c r="L13" s="35" t="n">
        <v>160911.94</v>
      </c>
      <c r="M13" s="35" t="n">
        <v>154976.84</v>
      </c>
      <c r="N13" s="35" t="n">
        <v>144837.86</v>
      </c>
      <c r="O13" s="35" t="n">
        <v>139678.29</v>
      </c>
      <c r="P13" s="35" t="n">
        <v>203459.58</v>
      </c>
      <c r="Q13" s="35" t="n">
        <v>176796.89</v>
      </c>
      <c r="R13" s="35" t="n">
        <v>168586.82</v>
      </c>
      <c r="S13" s="35" t="n">
        <v>152112.19</v>
      </c>
      <c r="T13" s="85" t="n">
        <v>150200.24</v>
      </c>
      <c r="U13" s="17">
        <f>'Sales Forecast'!U15*Assumptions!$C$12+'Sales Forecast'!T15*Assumptions!$D$12+'Sales Forecast'!S15*Assumptions!$E$12+'Sales Forecast'!R15*Assumptions!$F$12+'Sales Forecast'!Q15*Assumptions!$G$12+'Sales Forecast'!P15*Assumptions!$H$12+'Sales Forecast'!U111*Assumptions!$I$12</f>
        <v/>
      </c>
      <c r="V13" s="17">
        <f>'Sales Forecast'!V15*Assumptions!$C$12+'Sales Forecast'!U15*Assumptions!$D$12+'Sales Forecast'!T15*Assumptions!$E$12+'Sales Forecast'!S15*Assumptions!$F$12+'Sales Forecast'!R15*Assumptions!$G$12+'Sales Forecast'!Q15*Assumptions!$H$12+'Sales Forecast'!P15*Assumptions!$I$12</f>
        <v/>
      </c>
      <c r="W13" s="17">
        <f>'Sales Forecast'!W15*Assumptions!$C$12+'Sales Forecast'!V15*Assumptions!$D$12+'Sales Forecast'!U15*Assumptions!$E$12+'Sales Forecast'!T15*Assumptions!$F$12+'Sales Forecast'!S15*Assumptions!$G$12+'Sales Forecast'!R15*Assumptions!$H$12+'Sales Forecast'!Q15*Assumptions!$I$12</f>
        <v/>
      </c>
      <c r="X13" s="17">
        <f>'Sales Forecast'!X15*Assumptions!$C$12+'Sales Forecast'!W15*Assumptions!$D$12+'Sales Forecast'!V15*Assumptions!$E$12+'Sales Forecast'!U15*Assumptions!$F$12+'Sales Forecast'!T15*Assumptions!$G$12+'Sales Forecast'!S15*Assumptions!$H$12+'Sales Forecast'!R15*Assumptions!$I$12</f>
        <v/>
      </c>
      <c r="Y13" s="17">
        <f>'Sales Forecast'!Y15*Assumptions!$C$12+'Sales Forecast'!X15*Assumptions!$D$12+'Sales Forecast'!W15*Assumptions!$E$12+'Sales Forecast'!V15*Assumptions!$F$12+'Sales Forecast'!U15*Assumptions!$G$12+'Sales Forecast'!T15*Assumptions!$H$12+'Sales Forecast'!S15*Assumptions!$I$12</f>
        <v/>
      </c>
      <c r="Z13" s="17">
        <f>'Sales Forecast'!Z15*Assumptions!$C$12+'Sales Forecast'!Y15*Assumptions!$D$12+'Sales Forecast'!X15*Assumptions!$E$12+'Sales Forecast'!W15*Assumptions!$F$12+'Sales Forecast'!V15*Assumptions!$G$12+'Sales Forecast'!U15*Assumptions!$H$12+'Sales Forecast'!T15*Assumptions!$I$12</f>
        <v/>
      </c>
      <c r="AA13" s="17">
        <f>'Sales Forecast'!AA15*Assumptions!$C$12+'Sales Forecast'!Z15*Assumptions!$D$12+'Sales Forecast'!Y15*Assumptions!$E$12+'Sales Forecast'!X15*Assumptions!$F$12+'Sales Forecast'!W15*Assumptions!$G$12+'Sales Forecast'!V15*Assumptions!$H$12+'Sales Forecast'!U15*Assumptions!$I$12</f>
        <v/>
      </c>
      <c r="AB13" s="17">
        <f>'Sales Forecast'!AB15*Assumptions!$C$12+'Sales Forecast'!AA15*Assumptions!$D$12+'Sales Forecast'!Z15*Assumptions!$E$12+'Sales Forecast'!Y15*Assumptions!$F$12+'Sales Forecast'!X15*Assumptions!$G$12+'Sales Forecast'!W15*Assumptions!$H$12+'Sales Forecast'!V15*Assumptions!$I$12</f>
        <v/>
      </c>
      <c r="AC13" s="17">
        <f>'Sales Forecast'!AC15*Assumptions!$C$12+'Sales Forecast'!AB15*Assumptions!$D$12+'Sales Forecast'!AA15*Assumptions!$E$12+'Sales Forecast'!Z15*Assumptions!$F$12+'Sales Forecast'!Y15*Assumptions!$G$12+'Sales Forecast'!X15*Assumptions!$H$12+'Sales Forecast'!W15*Assumptions!$I$12</f>
        <v/>
      </c>
      <c r="AD13" s="17">
        <f>'Sales Forecast'!AD15*Assumptions!$C$12+'Sales Forecast'!AC15*Assumptions!$D$12+'Sales Forecast'!AB15*Assumptions!$E$12+'Sales Forecast'!AA15*Assumptions!$F$12+'Sales Forecast'!Z15*Assumptions!$G$12+'Sales Forecast'!Y15*Assumptions!$H$12+'Sales Forecast'!X15*Assumptions!$I$12</f>
        <v/>
      </c>
      <c r="AE13" s="17">
        <f>'Sales Forecast'!AE15*Assumptions!$C$12+'Sales Forecast'!AD15*Assumptions!$D$12+'Sales Forecast'!AC15*Assumptions!$E$12+'Sales Forecast'!AB15*Assumptions!$F$12+'Sales Forecast'!AA15*Assumptions!$G$12+'Sales Forecast'!Z15*Assumptions!$H$12+'Sales Forecast'!Y15*Assumptions!$I$12</f>
        <v/>
      </c>
      <c r="AF13" s="17">
        <f>'Sales Forecast'!AF15*Assumptions!$C$12+'Sales Forecast'!AE15*Assumptions!$D$12+'Sales Forecast'!AD15*Assumptions!$E$12+'Sales Forecast'!AC15*Assumptions!$F$12+'Sales Forecast'!AB15*Assumptions!$G$12+'Sales Forecast'!AA15*Assumptions!$H$12+'Sales Forecast'!Z15*Assumptions!$I$12</f>
        <v/>
      </c>
      <c r="AG13" s="17">
        <f>'Sales Forecast'!AG15*Assumptions!$C$12+'Sales Forecast'!AF15*Assumptions!$D$12+'Sales Forecast'!AE15*Assumptions!$E$12+'Sales Forecast'!AD15*Assumptions!$F$12+'Sales Forecast'!AC15*Assumptions!$G$12+'Sales Forecast'!AB15*Assumptions!$H$12+'Sales Forecast'!AA15*Assumptions!$I$12</f>
        <v/>
      </c>
      <c r="AH13" s="17">
        <f>'Sales Forecast'!AH15*Assumptions!$C$12+'Sales Forecast'!AG15*Assumptions!$D$12+'Sales Forecast'!AF15*Assumptions!$E$12+'Sales Forecast'!AE15*Assumptions!$F$12+'Sales Forecast'!AD15*Assumptions!$G$12+'Sales Forecast'!AC15*Assumptions!$H$12+'Sales Forecast'!AB15*Assumptions!$I$12</f>
        <v/>
      </c>
      <c r="AI13" s="17">
        <f>'Sales Forecast'!AI15*Assumptions!$C$12+'Sales Forecast'!AH15*Assumptions!$D$12+'Sales Forecast'!AG15*Assumptions!$E$12+'Sales Forecast'!AF15*Assumptions!$F$12+'Sales Forecast'!AE15*Assumptions!$G$12+'Sales Forecast'!AD15*Assumptions!$H$12+'Sales Forecast'!AC15*Assumptions!$I$12</f>
        <v/>
      </c>
      <c r="AJ13" s="17">
        <f>'Sales Forecast'!AJ15*Assumptions!$C$12+'Sales Forecast'!AI15*Assumptions!$D$12+'Sales Forecast'!AH15*Assumptions!$E$12+'Sales Forecast'!AG15*Assumptions!$F$12+'Sales Forecast'!AF15*Assumptions!$G$12+'Sales Forecast'!AE15*Assumptions!$H$12+'Sales Forecast'!AD15*Assumptions!$I$12</f>
        <v/>
      </c>
      <c r="AK13" s="17">
        <f>'Sales Forecast'!AK15*Assumptions!$C$12+'Sales Forecast'!AJ15*Assumptions!$D$12+'Sales Forecast'!AI15*Assumptions!$E$12+'Sales Forecast'!AH15*Assumptions!$F$12+'Sales Forecast'!AG15*Assumptions!$G$12+'Sales Forecast'!AF15*Assumptions!$H$12+'Sales Forecast'!AE15*Assumptions!$I$12</f>
        <v/>
      </c>
      <c r="AL13" s="17">
        <f>'Sales Forecast'!AL15*Assumptions!$C$12+'Sales Forecast'!AK15*Assumptions!$D$12+'Sales Forecast'!AJ15*Assumptions!$E$12+'Sales Forecast'!AI15*Assumptions!$F$12+'Sales Forecast'!AH15*Assumptions!$G$12+'Sales Forecast'!AG15*Assumptions!$H$12+'Sales Forecast'!AF15*Assumptions!$I$12</f>
        <v/>
      </c>
      <c r="AM13" s="17">
        <f>'Sales Forecast'!AM15*Assumptions!$C$12+'Sales Forecast'!AL15*Assumptions!$D$12+'Sales Forecast'!AK15*Assumptions!$E$12+'Sales Forecast'!AJ15*Assumptions!$F$12+'Sales Forecast'!AI15*Assumptions!$G$12+'Sales Forecast'!AH15*Assumptions!$H$12+'Sales Forecast'!AG15*Assumptions!$I$12</f>
        <v/>
      </c>
      <c r="AN13" s="17">
        <f>'Sales Forecast'!AN15*Assumptions!$C$12+'Sales Forecast'!AM15*Assumptions!$D$12+'Sales Forecast'!AL15*Assumptions!$E$12+'Sales Forecast'!AK15*Assumptions!$F$12+'Sales Forecast'!AJ15*Assumptions!$G$12+'Sales Forecast'!AI15*Assumptions!$H$12+'Sales Forecast'!AH15*Assumptions!$I$12</f>
        <v/>
      </c>
      <c r="AO13" s="17">
        <f>'Sales Forecast'!AO15*Assumptions!$C$12+'Sales Forecast'!AN15*Assumptions!$D$12+'Sales Forecast'!AM15*Assumptions!$E$12+'Sales Forecast'!AL15*Assumptions!$F$12+'Sales Forecast'!AK15*Assumptions!$G$12+'Sales Forecast'!AJ15*Assumptions!$H$12+'Sales Forecast'!AI15*Assumptions!$I$12</f>
        <v/>
      </c>
      <c r="AP13" s="17">
        <f>'Sales Forecast'!AP15*Assumptions!$C$12+'Sales Forecast'!AO15*Assumptions!$D$12+'Sales Forecast'!AN15*Assumptions!$E$12+'Sales Forecast'!AM15*Assumptions!$F$12+'Sales Forecast'!AL15*Assumptions!$G$12+'Sales Forecast'!AK15*Assumptions!$H$12+'Sales Forecast'!AJ15*Assumptions!$I$12</f>
        <v/>
      </c>
      <c r="AQ13" s="17">
        <f>'Sales Forecast'!AQ15*Assumptions!$C$12+'Sales Forecast'!AP15*Assumptions!$D$12+'Sales Forecast'!AO15*Assumptions!$E$12+'Sales Forecast'!AN15*Assumptions!$F$12+'Sales Forecast'!AM15*Assumptions!$G$12+'Sales Forecast'!AL15*Assumptions!$H$12+'Sales Forecast'!AK15*Assumptions!$I$12</f>
        <v/>
      </c>
      <c r="AR13" s="17">
        <f>'Sales Forecast'!AR15*Assumptions!$C$12+'Sales Forecast'!AQ15*Assumptions!$D$12+'Sales Forecast'!AP15*Assumptions!$E$12+'Sales Forecast'!AO15*Assumptions!$F$12+'Sales Forecast'!AN15*Assumptions!$G$12+'Sales Forecast'!AM15*Assumptions!$H$12+'Sales Forecast'!AL15*Assumptions!$I$12</f>
        <v/>
      </c>
      <c r="AS13" s="17">
        <f>'Sales Forecast'!AS15*Assumptions!$C$12+'Sales Forecast'!AR15*Assumptions!$D$12+'Sales Forecast'!AQ15*Assumptions!$E$12+'Sales Forecast'!AP15*Assumptions!$F$12+'Sales Forecast'!AO15*Assumptions!$G$12+'Sales Forecast'!AN15*Assumptions!$H$12+'Sales Forecast'!AM15*Assumptions!$I$12</f>
        <v/>
      </c>
      <c r="AT13" s="17">
        <f>'Sales Forecast'!AT15*Assumptions!$C$12+'Sales Forecast'!AS15*Assumptions!$D$12+'Sales Forecast'!AR15*Assumptions!$E$12+'Sales Forecast'!AQ15*Assumptions!$F$12+'Sales Forecast'!AP15*Assumptions!$G$12+'Sales Forecast'!AO15*Assumptions!$H$12+'Sales Forecast'!AN15*Assumptions!$I$12</f>
        <v/>
      </c>
      <c r="AU13" s="17">
        <f>'Sales Forecast'!AU15*Assumptions!$C$12+'Sales Forecast'!AT15*Assumptions!$D$12+'Sales Forecast'!AS15*Assumptions!$E$12+'Sales Forecast'!AR15*Assumptions!$F$12+'Sales Forecast'!AQ15*Assumptions!$G$12+'Sales Forecast'!AP15*Assumptions!$H$12+'Sales Forecast'!AO15*Assumptions!$I$12</f>
        <v/>
      </c>
      <c r="AV13" s="17">
        <f>'Sales Forecast'!AV15*Assumptions!$C$12+'Sales Forecast'!AU15*Assumptions!$D$12+'Sales Forecast'!AT15*Assumptions!$E$12+'Sales Forecast'!AS15*Assumptions!$F$12+'Sales Forecast'!AR15*Assumptions!$G$12+'Sales Forecast'!AQ15*Assumptions!$H$12+'Sales Forecast'!AP15*Assumptions!$I$12</f>
        <v/>
      </c>
      <c r="AW13" s="17">
        <f>'Sales Forecast'!AW15*Assumptions!$C$12+'Sales Forecast'!AV15*Assumptions!$D$12+'Sales Forecast'!AU15*Assumptions!$E$12+'Sales Forecast'!AT15*Assumptions!$F$12+'Sales Forecast'!AS15*Assumptions!$G$12+'Sales Forecast'!AR15*Assumptions!$H$12+'Sales Forecast'!AQ15*Assumptions!$I$12</f>
        <v/>
      </c>
      <c r="AX13" s="17">
        <f>'Sales Forecast'!AX15*Assumptions!$C$12+'Sales Forecast'!AW15*Assumptions!$D$12+'Sales Forecast'!AV15*Assumptions!$E$12+'Sales Forecast'!AU15*Assumptions!$F$12+'Sales Forecast'!AT15*Assumptions!$G$12+'Sales Forecast'!AS15*Assumptions!$H$12+'Sales Forecast'!AR15*Assumptions!$I$12</f>
        <v/>
      </c>
      <c r="AY13" s="17">
        <f>'Sales Forecast'!AY15*Assumptions!$C$12+'Sales Forecast'!AX15*Assumptions!$D$12+'Sales Forecast'!AW15*Assumptions!$E$12+'Sales Forecast'!AV15*Assumptions!$F$12+'Sales Forecast'!AU15*Assumptions!$G$12+'Sales Forecast'!AT15*Assumptions!$H$12+'Sales Forecast'!AS15*Assumptions!$I$12</f>
        <v/>
      </c>
    </row>
    <row r="14">
      <c r="B14" s="33" t="inlineStr">
        <is>
          <t xml:space="preserve">  403001 Machine Breakage</t>
        </is>
      </c>
      <c r="D14" s="19" t="n">
        <v>17910.11</v>
      </c>
      <c r="E14" s="19" t="n">
        <v>23310.99</v>
      </c>
      <c r="F14" s="19" t="n">
        <v>30057</v>
      </c>
      <c r="G14" s="19" t="n">
        <v>39005.34</v>
      </c>
      <c r="H14" s="19" t="n">
        <v>25811.6</v>
      </c>
      <c r="I14" s="19" t="n">
        <v>31929.59</v>
      </c>
      <c r="J14" s="19" t="n">
        <v>28851.77</v>
      </c>
      <c r="K14" s="19" t="n">
        <v>45003.91</v>
      </c>
      <c r="L14" s="19" t="n">
        <v>25869.51</v>
      </c>
      <c r="M14" s="19" t="n">
        <v>34510.81</v>
      </c>
      <c r="N14" s="19" t="n">
        <v>31246.89</v>
      </c>
      <c r="O14" s="19" t="n">
        <v>66255.74000000001</v>
      </c>
      <c r="P14" s="19" t="n">
        <v>32041.71</v>
      </c>
      <c r="Q14" s="19" t="n">
        <v>22049.86</v>
      </c>
      <c r="R14" s="19" t="n">
        <v>22243.53</v>
      </c>
      <c r="S14" s="19" t="n">
        <v>19277.44</v>
      </c>
      <c r="T14" s="84" t="n">
        <v>24956.27</v>
      </c>
      <c r="U14" s="20">
        <f>U17*0.920731</f>
        <v/>
      </c>
      <c r="V14" s="20">
        <f>V17*0.920731</f>
        <v/>
      </c>
      <c r="W14" s="20">
        <f>W17*0.920731</f>
        <v/>
      </c>
      <c r="X14" s="20">
        <f>X17*0.920731</f>
        <v/>
      </c>
      <c r="Y14" s="20">
        <f>Y17*0.920731</f>
        <v/>
      </c>
      <c r="Z14" s="20">
        <f>Z17*0.920731</f>
        <v/>
      </c>
      <c r="AA14" s="20">
        <f>AA17*0.920731</f>
        <v/>
      </c>
      <c r="AB14" s="20">
        <f>AB17*0.920731</f>
        <v/>
      </c>
      <c r="AC14" s="20">
        <f>AC17*0.920731</f>
        <v/>
      </c>
      <c r="AD14" s="20">
        <f>AD17*0.920731</f>
        <v/>
      </c>
      <c r="AE14" s="20">
        <f>AE17*0.920731</f>
        <v/>
      </c>
      <c r="AF14" s="20">
        <f>AF17*0.920731</f>
        <v/>
      </c>
      <c r="AG14" s="20">
        <f>AG17*0.920731</f>
        <v/>
      </c>
      <c r="AH14" s="20">
        <f>AH17*0.920731</f>
        <v/>
      </c>
      <c r="AI14" s="20">
        <f>AI17*0.920731</f>
        <v/>
      </c>
      <c r="AJ14" s="20">
        <f>AJ17*0.920731</f>
        <v/>
      </c>
      <c r="AK14" s="20">
        <f>AK17*0.920731</f>
        <v/>
      </c>
      <c r="AL14" s="20">
        <f>AL17*0.920731</f>
        <v/>
      </c>
      <c r="AM14" s="20">
        <f>AM17*0.920731</f>
        <v/>
      </c>
      <c r="AN14" s="20">
        <f>AN17*0.920731</f>
        <v/>
      </c>
      <c r="AO14" s="20">
        <f>AO17*0.920731</f>
        <v/>
      </c>
      <c r="AP14" s="20">
        <f>AP17*0.920731</f>
        <v/>
      </c>
      <c r="AQ14" s="20">
        <f>AQ17*0.920731</f>
        <v/>
      </c>
      <c r="AR14" s="20">
        <f>AR17*0.920731</f>
        <v/>
      </c>
      <c r="AS14" s="20">
        <f>AS17*0.920731</f>
        <v/>
      </c>
      <c r="AT14" s="20">
        <f>AT17*0.920731</f>
        <v/>
      </c>
      <c r="AU14" s="20">
        <f>AU17*0.920731</f>
        <v/>
      </c>
      <c r="AV14" s="20">
        <f>AV17*0.920731</f>
        <v/>
      </c>
      <c r="AW14" s="20">
        <f>AW17*0.920731</f>
        <v/>
      </c>
      <c r="AX14" s="20">
        <f>AX17*0.920731</f>
        <v/>
      </c>
      <c r="AY14" s="20">
        <f>AY17*0.920731</f>
        <v/>
      </c>
    </row>
    <row r="15">
      <c r="B15" s="33" t="inlineStr">
        <is>
          <t xml:space="preserve">  403003 Private Pilates Breakage</t>
        </is>
      </c>
      <c r="D15" s="19" t="n">
        <v>2335</v>
      </c>
      <c r="E15" s="19" t="n">
        <v>1635.33</v>
      </c>
      <c r="F15" s="19" t="n">
        <v>3855.83</v>
      </c>
      <c r="G15" s="19" t="n">
        <v>3283.89</v>
      </c>
      <c r="H15" s="19" t="n">
        <v>2358.75</v>
      </c>
      <c r="I15" s="19" t="n">
        <v>3018.36</v>
      </c>
      <c r="J15" s="19" t="n">
        <v>6146.62</v>
      </c>
      <c r="K15" s="19" t="n">
        <v>3875</v>
      </c>
      <c r="L15" s="19" t="n">
        <v>4356.25</v>
      </c>
      <c r="M15" s="19" t="n">
        <v>4130</v>
      </c>
      <c r="N15" s="19" t="n">
        <v>6116.46</v>
      </c>
      <c r="O15" s="19" t="n">
        <v>5353.13</v>
      </c>
      <c r="P15" s="19" t="n">
        <v>2587.5</v>
      </c>
      <c r="Q15" s="19" t="n">
        <v>1981.25</v>
      </c>
      <c r="R15" s="19" t="n">
        <v>1590.62</v>
      </c>
      <c r="S15" s="19" t="n">
        <v>2072.21</v>
      </c>
      <c r="T15" s="84" t="n">
        <v>1639.56</v>
      </c>
      <c r="U15" s="20">
        <f>U17*0.079269</f>
        <v/>
      </c>
      <c r="V15" s="20">
        <f>V17*0.079269</f>
        <v/>
      </c>
      <c r="W15" s="20">
        <f>W17*0.079269</f>
        <v/>
      </c>
      <c r="X15" s="20">
        <f>X17*0.079269</f>
        <v/>
      </c>
      <c r="Y15" s="20">
        <f>Y17*0.079269</f>
        <v/>
      </c>
      <c r="Z15" s="20">
        <f>Z17*0.079269</f>
        <v/>
      </c>
      <c r="AA15" s="20">
        <f>AA17*0.079269</f>
        <v/>
      </c>
      <c r="AB15" s="20">
        <f>AB17*0.079269</f>
        <v/>
      </c>
      <c r="AC15" s="20">
        <f>AC17*0.079269</f>
        <v/>
      </c>
      <c r="AD15" s="20">
        <f>AD17*0.079269</f>
        <v/>
      </c>
      <c r="AE15" s="20">
        <f>AE17*0.079269</f>
        <v/>
      </c>
      <c r="AF15" s="20">
        <f>AF17*0.079269</f>
        <v/>
      </c>
      <c r="AG15" s="20">
        <f>AG17*0.079269</f>
        <v/>
      </c>
      <c r="AH15" s="20">
        <f>AH17*0.079269</f>
        <v/>
      </c>
      <c r="AI15" s="20">
        <f>AI17*0.079269</f>
        <v/>
      </c>
      <c r="AJ15" s="20">
        <f>AJ17*0.079269</f>
        <v/>
      </c>
      <c r="AK15" s="20">
        <f>AK17*0.079269</f>
        <v/>
      </c>
      <c r="AL15" s="20">
        <f>AL17*0.079269</f>
        <v/>
      </c>
      <c r="AM15" s="20">
        <f>AM17*0.079269</f>
        <v/>
      </c>
      <c r="AN15" s="20">
        <f>AN17*0.079269</f>
        <v/>
      </c>
      <c r="AO15" s="20">
        <f>AO17*0.079269</f>
        <v/>
      </c>
      <c r="AP15" s="20">
        <f>AP17*0.079269</f>
        <v/>
      </c>
      <c r="AQ15" s="20">
        <f>AQ17*0.079269</f>
        <v/>
      </c>
      <c r="AR15" s="20">
        <f>AR17*0.079269</f>
        <v/>
      </c>
      <c r="AS15" s="20">
        <f>AS17*0.079269</f>
        <v/>
      </c>
      <c r="AT15" s="20">
        <f>AT17*0.079269</f>
        <v/>
      </c>
      <c r="AU15" s="20">
        <f>AU17*0.079269</f>
        <v/>
      </c>
      <c r="AV15" s="20">
        <f>AV17*0.079269</f>
        <v/>
      </c>
      <c r="AW15" s="20">
        <f>AW17*0.079269</f>
        <v/>
      </c>
      <c r="AX15" s="20">
        <f>AX17*0.079269</f>
        <v/>
      </c>
      <c r="AY15" s="20">
        <f>AY17*0.079269</f>
        <v/>
      </c>
    </row>
    <row r="16">
      <c r="B16" s="33" t="inlineStr">
        <is>
          <t xml:space="preserve">  403004 Other Breakage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</row>
    <row r="17">
      <c r="B17" s="32" t="inlineStr">
        <is>
          <t>Total Breakage Revenue</t>
        </is>
      </c>
      <c r="C17" s="34" t="n"/>
      <c r="D17" s="35" t="n">
        <v>20245.11</v>
      </c>
      <c r="E17" s="35" t="n">
        <v>25066.32</v>
      </c>
      <c r="F17" s="35" t="n">
        <v>33912.83</v>
      </c>
      <c r="G17" s="35" t="n">
        <v>42289.23</v>
      </c>
      <c r="H17" s="35" t="n">
        <v>29970.35</v>
      </c>
      <c r="I17" s="35" t="n">
        <v>35427.95</v>
      </c>
      <c r="J17" s="35" t="n">
        <v>34998.39</v>
      </c>
      <c r="K17" s="35" t="n">
        <v>57572.42000000001</v>
      </c>
      <c r="L17" s="35" t="n">
        <v>31070.76</v>
      </c>
      <c r="M17" s="35" t="n">
        <v>42200.81</v>
      </c>
      <c r="N17" s="35" t="n">
        <v>38683.35</v>
      </c>
      <c r="O17" s="35" t="n">
        <v>74888.87000000001</v>
      </c>
      <c r="P17" s="35" t="n">
        <v>34629.21</v>
      </c>
      <c r="Q17" s="35" t="n">
        <v>24031.11</v>
      </c>
      <c r="R17" s="35" t="n">
        <v>23834.15</v>
      </c>
      <c r="S17" s="35" t="n">
        <v>21349.65</v>
      </c>
      <c r="T17" s="85" t="n">
        <v>26595.83</v>
      </c>
      <c r="U17" s="17">
        <f>'Sales Forecast'!U15*Assumptions!$C$13+'Sales Forecast'!T15*Assumptions!$D$13+'Sales Forecast'!S15*Assumptions!$E$13+'Sales Forecast'!R15*Assumptions!$F$13+'Sales Forecast'!Q15*Assumptions!$G$13+'Sales Forecast'!P15*Assumptions!$H$13+'Sales Forecast'!U111*Assumptions!$I$13</f>
        <v/>
      </c>
      <c r="V17" s="17">
        <f>'Sales Forecast'!V15*Assumptions!$C$13+'Sales Forecast'!U15*Assumptions!$D$13+'Sales Forecast'!T15*Assumptions!$E$13+'Sales Forecast'!S15*Assumptions!$F$13+'Sales Forecast'!R15*Assumptions!$G$13+'Sales Forecast'!Q15*Assumptions!$H$13+'Sales Forecast'!P15*Assumptions!$I$13</f>
        <v/>
      </c>
      <c r="W17" s="17">
        <f>'Sales Forecast'!W15*Assumptions!$C$13+'Sales Forecast'!V15*Assumptions!$D$13+'Sales Forecast'!U15*Assumptions!$E$13+'Sales Forecast'!T15*Assumptions!$F$13+'Sales Forecast'!S15*Assumptions!$G$13+'Sales Forecast'!R15*Assumptions!$H$13+'Sales Forecast'!Q15*Assumptions!$I$13</f>
        <v/>
      </c>
      <c r="X17" s="17">
        <f>'Sales Forecast'!X15*Assumptions!$C$13+'Sales Forecast'!W15*Assumptions!$D$13+'Sales Forecast'!V15*Assumptions!$E$13+'Sales Forecast'!U15*Assumptions!$F$13+'Sales Forecast'!T15*Assumptions!$G$13+'Sales Forecast'!S15*Assumptions!$H$13+'Sales Forecast'!R15*Assumptions!$I$13</f>
        <v/>
      </c>
      <c r="Y17" s="17">
        <f>'Sales Forecast'!Y15*Assumptions!$C$13+'Sales Forecast'!X15*Assumptions!$D$13+'Sales Forecast'!W15*Assumptions!$E$13+'Sales Forecast'!V15*Assumptions!$F$13+'Sales Forecast'!U15*Assumptions!$G$13+'Sales Forecast'!T15*Assumptions!$H$13+'Sales Forecast'!S15*Assumptions!$I$13</f>
        <v/>
      </c>
      <c r="Z17" s="17">
        <f>'Sales Forecast'!Z15*Assumptions!$C$13+'Sales Forecast'!Y15*Assumptions!$D$13+'Sales Forecast'!X15*Assumptions!$E$13+'Sales Forecast'!W15*Assumptions!$F$13+'Sales Forecast'!V15*Assumptions!$G$13+'Sales Forecast'!U15*Assumptions!$H$13+'Sales Forecast'!T15*Assumptions!$I$13</f>
        <v/>
      </c>
      <c r="AA17" s="17">
        <f>'Sales Forecast'!AA15*Assumptions!$C$13+'Sales Forecast'!Z15*Assumptions!$D$13+'Sales Forecast'!Y15*Assumptions!$E$13+'Sales Forecast'!X15*Assumptions!$F$13+'Sales Forecast'!W15*Assumptions!$G$13+'Sales Forecast'!V15*Assumptions!$H$13+'Sales Forecast'!U15*Assumptions!$I$13</f>
        <v/>
      </c>
      <c r="AB17" s="17">
        <f>'Sales Forecast'!AB15*Assumptions!$C$13+'Sales Forecast'!AA15*Assumptions!$D$13+'Sales Forecast'!Z15*Assumptions!$E$13+'Sales Forecast'!Y15*Assumptions!$F$13+'Sales Forecast'!X15*Assumptions!$G$13+'Sales Forecast'!W15*Assumptions!$H$13+'Sales Forecast'!V15*Assumptions!$I$13</f>
        <v/>
      </c>
      <c r="AC17" s="17">
        <f>'Sales Forecast'!AC15*Assumptions!$C$13+'Sales Forecast'!AB15*Assumptions!$D$13+'Sales Forecast'!AA15*Assumptions!$E$13+'Sales Forecast'!Z15*Assumptions!$F$13+'Sales Forecast'!Y15*Assumptions!$G$13+'Sales Forecast'!X15*Assumptions!$H$13+'Sales Forecast'!W15*Assumptions!$I$13</f>
        <v/>
      </c>
      <c r="AD17" s="17">
        <f>'Sales Forecast'!AD15*Assumptions!$C$13+'Sales Forecast'!AC15*Assumptions!$D$13+'Sales Forecast'!AB15*Assumptions!$E$13+'Sales Forecast'!AA15*Assumptions!$F$13+'Sales Forecast'!Z15*Assumptions!$G$13+'Sales Forecast'!Y15*Assumptions!$H$13+'Sales Forecast'!X15*Assumptions!$I$13</f>
        <v/>
      </c>
      <c r="AE17" s="17">
        <f>'Sales Forecast'!AE15*Assumptions!$C$13+'Sales Forecast'!AD15*Assumptions!$D$13+'Sales Forecast'!AC15*Assumptions!$E$13+'Sales Forecast'!AB15*Assumptions!$F$13+'Sales Forecast'!AA15*Assumptions!$G$13+'Sales Forecast'!Z15*Assumptions!$H$13+'Sales Forecast'!Y15*Assumptions!$I$13</f>
        <v/>
      </c>
      <c r="AF17" s="17">
        <f>'Sales Forecast'!AF15*Assumptions!$C$13+'Sales Forecast'!AE15*Assumptions!$D$13+'Sales Forecast'!AD15*Assumptions!$E$13+'Sales Forecast'!AC15*Assumptions!$F$13+'Sales Forecast'!AB15*Assumptions!$G$13+'Sales Forecast'!AA15*Assumptions!$H$13+'Sales Forecast'!Z15*Assumptions!$I$13</f>
        <v/>
      </c>
      <c r="AG17" s="17">
        <f>'Sales Forecast'!AG15*Assumptions!$C$13+'Sales Forecast'!AF15*Assumptions!$D$13+'Sales Forecast'!AE15*Assumptions!$E$13+'Sales Forecast'!AD15*Assumptions!$F$13+'Sales Forecast'!AC15*Assumptions!$G$13+'Sales Forecast'!AB15*Assumptions!$H$13+'Sales Forecast'!AA15*Assumptions!$I$13</f>
        <v/>
      </c>
      <c r="AH17" s="17">
        <f>'Sales Forecast'!AH15*Assumptions!$C$13+'Sales Forecast'!AG15*Assumptions!$D$13+'Sales Forecast'!AF15*Assumptions!$E$13+'Sales Forecast'!AE15*Assumptions!$F$13+'Sales Forecast'!AD15*Assumptions!$G$13+'Sales Forecast'!AC15*Assumptions!$H$13+'Sales Forecast'!AB15*Assumptions!$I$13</f>
        <v/>
      </c>
      <c r="AI17" s="17">
        <f>'Sales Forecast'!AI15*Assumptions!$C$13+'Sales Forecast'!AH15*Assumptions!$D$13+'Sales Forecast'!AG15*Assumptions!$E$13+'Sales Forecast'!AF15*Assumptions!$F$13+'Sales Forecast'!AE15*Assumptions!$G$13+'Sales Forecast'!AD15*Assumptions!$H$13+'Sales Forecast'!AC15*Assumptions!$I$13</f>
        <v/>
      </c>
      <c r="AJ17" s="17">
        <f>'Sales Forecast'!AJ15*Assumptions!$C$13+'Sales Forecast'!AI15*Assumptions!$D$13+'Sales Forecast'!AH15*Assumptions!$E$13+'Sales Forecast'!AG15*Assumptions!$F$13+'Sales Forecast'!AF15*Assumptions!$G$13+'Sales Forecast'!AE15*Assumptions!$H$13+'Sales Forecast'!AD15*Assumptions!$I$13</f>
        <v/>
      </c>
      <c r="AK17" s="17">
        <f>'Sales Forecast'!AK15*Assumptions!$C$13+'Sales Forecast'!AJ15*Assumptions!$D$13+'Sales Forecast'!AI15*Assumptions!$E$13+'Sales Forecast'!AH15*Assumptions!$F$13+'Sales Forecast'!AG15*Assumptions!$G$13+'Sales Forecast'!AF15*Assumptions!$H$13+'Sales Forecast'!AE15*Assumptions!$I$13</f>
        <v/>
      </c>
      <c r="AL17" s="17">
        <f>'Sales Forecast'!AL15*Assumptions!$C$13+'Sales Forecast'!AK15*Assumptions!$D$13+'Sales Forecast'!AJ15*Assumptions!$E$13+'Sales Forecast'!AI15*Assumptions!$F$13+'Sales Forecast'!AH15*Assumptions!$G$13+'Sales Forecast'!AG15*Assumptions!$H$13+'Sales Forecast'!AF15*Assumptions!$I$13</f>
        <v/>
      </c>
      <c r="AM17" s="17">
        <f>'Sales Forecast'!AM15*Assumptions!$C$13+'Sales Forecast'!AL15*Assumptions!$D$13+'Sales Forecast'!AK15*Assumptions!$E$13+'Sales Forecast'!AJ15*Assumptions!$F$13+'Sales Forecast'!AI15*Assumptions!$G$13+'Sales Forecast'!AH15*Assumptions!$H$13+'Sales Forecast'!AG15*Assumptions!$I$13</f>
        <v/>
      </c>
      <c r="AN17" s="17">
        <f>'Sales Forecast'!AN15*Assumptions!$C$13+'Sales Forecast'!AM15*Assumptions!$D$13+'Sales Forecast'!AL15*Assumptions!$E$13+'Sales Forecast'!AK15*Assumptions!$F$13+'Sales Forecast'!AJ15*Assumptions!$G$13+'Sales Forecast'!AI15*Assumptions!$H$13+'Sales Forecast'!AH15*Assumptions!$I$13</f>
        <v/>
      </c>
      <c r="AO17" s="17">
        <f>'Sales Forecast'!AO15*Assumptions!$C$13+'Sales Forecast'!AN15*Assumptions!$D$13+'Sales Forecast'!AM15*Assumptions!$E$13+'Sales Forecast'!AL15*Assumptions!$F$13+'Sales Forecast'!AK15*Assumptions!$G$13+'Sales Forecast'!AJ15*Assumptions!$H$13+'Sales Forecast'!AI15*Assumptions!$I$13</f>
        <v/>
      </c>
      <c r="AP17" s="17">
        <f>'Sales Forecast'!AP15*Assumptions!$C$13+'Sales Forecast'!AO15*Assumptions!$D$13+'Sales Forecast'!AN15*Assumptions!$E$13+'Sales Forecast'!AM15*Assumptions!$F$13+'Sales Forecast'!AL15*Assumptions!$G$13+'Sales Forecast'!AK15*Assumptions!$H$13+'Sales Forecast'!AJ15*Assumptions!$I$13</f>
        <v/>
      </c>
      <c r="AQ17" s="17">
        <f>'Sales Forecast'!AQ15*Assumptions!$C$13+'Sales Forecast'!AP15*Assumptions!$D$13+'Sales Forecast'!AO15*Assumptions!$E$13+'Sales Forecast'!AN15*Assumptions!$F$13+'Sales Forecast'!AM15*Assumptions!$G$13+'Sales Forecast'!AL15*Assumptions!$H$13+'Sales Forecast'!AK15*Assumptions!$I$13</f>
        <v/>
      </c>
      <c r="AR17" s="17">
        <f>'Sales Forecast'!AR15*Assumptions!$C$13+'Sales Forecast'!AQ15*Assumptions!$D$13+'Sales Forecast'!AP15*Assumptions!$E$13+'Sales Forecast'!AO15*Assumptions!$F$13+'Sales Forecast'!AN15*Assumptions!$G$13+'Sales Forecast'!AM15*Assumptions!$H$13+'Sales Forecast'!AL15*Assumptions!$I$13</f>
        <v/>
      </c>
      <c r="AS17" s="17">
        <f>'Sales Forecast'!AS15*Assumptions!$C$13+'Sales Forecast'!AR15*Assumptions!$D$13+'Sales Forecast'!AQ15*Assumptions!$E$13+'Sales Forecast'!AP15*Assumptions!$F$13+'Sales Forecast'!AO15*Assumptions!$G$13+'Sales Forecast'!AN15*Assumptions!$H$13+'Sales Forecast'!AM15*Assumptions!$I$13</f>
        <v/>
      </c>
      <c r="AT17" s="17">
        <f>'Sales Forecast'!AT15*Assumptions!$C$13+'Sales Forecast'!AS15*Assumptions!$D$13+'Sales Forecast'!AR15*Assumptions!$E$13+'Sales Forecast'!AQ15*Assumptions!$F$13+'Sales Forecast'!AP15*Assumptions!$G$13+'Sales Forecast'!AO15*Assumptions!$H$13+'Sales Forecast'!AN15*Assumptions!$I$13</f>
        <v/>
      </c>
      <c r="AU17" s="17">
        <f>'Sales Forecast'!AU15*Assumptions!$C$13+'Sales Forecast'!AT15*Assumptions!$D$13+'Sales Forecast'!AS15*Assumptions!$E$13+'Sales Forecast'!AR15*Assumptions!$F$13+'Sales Forecast'!AQ15*Assumptions!$G$13+'Sales Forecast'!AP15*Assumptions!$H$13+'Sales Forecast'!AO15*Assumptions!$I$13</f>
        <v/>
      </c>
      <c r="AV17" s="17">
        <f>'Sales Forecast'!AV15*Assumptions!$C$13+'Sales Forecast'!AU15*Assumptions!$D$13+'Sales Forecast'!AT15*Assumptions!$E$13+'Sales Forecast'!AS15*Assumptions!$F$13+'Sales Forecast'!AR15*Assumptions!$G$13+'Sales Forecast'!AQ15*Assumptions!$H$13+'Sales Forecast'!AP15*Assumptions!$I$13</f>
        <v/>
      </c>
      <c r="AW17" s="17">
        <f>'Sales Forecast'!AW15*Assumptions!$C$13+'Sales Forecast'!AV15*Assumptions!$D$13+'Sales Forecast'!AU15*Assumptions!$E$13+'Sales Forecast'!AT15*Assumptions!$F$13+'Sales Forecast'!AS15*Assumptions!$G$13+'Sales Forecast'!AR15*Assumptions!$H$13+'Sales Forecast'!AQ15*Assumptions!$I$13</f>
        <v/>
      </c>
      <c r="AX17" s="17">
        <f>'Sales Forecast'!AX15*Assumptions!$C$13+'Sales Forecast'!AW15*Assumptions!$D$13+'Sales Forecast'!AV15*Assumptions!$E$13+'Sales Forecast'!AU15*Assumptions!$F$13+'Sales Forecast'!AT15*Assumptions!$G$13+'Sales Forecast'!AS15*Assumptions!$H$13+'Sales Forecast'!AR15*Assumptions!$I$13</f>
        <v/>
      </c>
      <c r="AY17" s="17">
        <f>'Sales Forecast'!AY15*Assumptions!$C$13+'Sales Forecast'!AX15*Assumptions!$D$13+'Sales Forecast'!AW15*Assumptions!$E$13+'Sales Forecast'!AV15*Assumptions!$F$13+'Sales Forecast'!AU15*Assumptions!$G$13+'Sales Forecast'!AT15*Assumptions!$H$13+'Sales Forecast'!AS15*Assumptions!$I$13</f>
        <v/>
      </c>
    </row>
    <row r="18">
      <c r="B18" s="33" t="inlineStr">
        <is>
          <t xml:space="preserve">  404000 Retail Sales</t>
        </is>
      </c>
      <c r="D18" s="19" t="n">
        <v>3870</v>
      </c>
      <c r="E18" s="19" t="n">
        <v>4207</v>
      </c>
      <c r="F18" s="19" t="n">
        <v>3294</v>
      </c>
      <c r="G18" s="19" t="n">
        <v>2111</v>
      </c>
      <c r="H18" s="19" t="n">
        <v>2753</v>
      </c>
      <c r="I18" s="19" t="n">
        <v>3514</v>
      </c>
      <c r="J18" s="19" t="n">
        <v>3095</v>
      </c>
      <c r="K18" s="19" t="n">
        <v>3080</v>
      </c>
      <c r="L18" s="19" t="n">
        <v>2906</v>
      </c>
      <c r="M18" s="19" t="n">
        <v>2358</v>
      </c>
      <c r="N18" s="19" t="n">
        <v>2439</v>
      </c>
      <c r="O18" s="19" t="n">
        <v>2116</v>
      </c>
      <c r="P18" s="19" t="n">
        <v>2930</v>
      </c>
      <c r="Q18" s="19" t="n">
        <v>3266</v>
      </c>
      <c r="R18" s="19" t="n">
        <v>2548</v>
      </c>
      <c r="S18" s="19" t="n">
        <v>3173</v>
      </c>
      <c r="T18" s="84" t="n">
        <v>1345</v>
      </c>
      <c r="U18" s="20">
        <f>2979.25</f>
        <v/>
      </c>
      <c r="V18" s="20">
        <f>2979.25</f>
        <v/>
      </c>
      <c r="W18" s="20">
        <f>2979.25</f>
        <v/>
      </c>
      <c r="X18" s="20">
        <f>2979.25</f>
        <v/>
      </c>
      <c r="Y18" s="20">
        <f>2979.25</f>
        <v/>
      </c>
      <c r="Z18" s="20">
        <f>2979.25</f>
        <v/>
      </c>
      <c r="AA18" s="20">
        <f>2979.25</f>
        <v/>
      </c>
      <c r="AB18" s="20">
        <f>2979.25</f>
        <v/>
      </c>
      <c r="AC18" s="20">
        <f>2979.25</f>
        <v/>
      </c>
      <c r="AD18" s="20">
        <f>2979.25</f>
        <v/>
      </c>
      <c r="AE18" s="20">
        <f>2979.25</f>
        <v/>
      </c>
      <c r="AF18" s="20">
        <f>2979.25</f>
        <v/>
      </c>
      <c r="AG18" s="20">
        <f>2979.25</f>
        <v/>
      </c>
      <c r="AH18" s="20">
        <f>2979.25</f>
        <v/>
      </c>
      <c r="AI18" s="20">
        <f>2979.25</f>
        <v/>
      </c>
      <c r="AJ18" s="20">
        <f>2979.25</f>
        <v/>
      </c>
      <c r="AK18" s="20">
        <f>2979.25</f>
        <v/>
      </c>
      <c r="AL18" s="20">
        <f>2979.25</f>
        <v/>
      </c>
      <c r="AM18" s="20">
        <f>2979.25</f>
        <v/>
      </c>
      <c r="AN18" s="20">
        <f>2979.25</f>
        <v/>
      </c>
      <c r="AO18" s="20">
        <f>2979.25</f>
        <v/>
      </c>
      <c r="AP18" s="20">
        <f>2979.25</f>
        <v/>
      </c>
      <c r="AQ18" s="20">
        <f>2979.25</f>
        <v/>
      </c>
      <c r="AR18" s="20">
        <f>2979.25</f>
        <v/>
      </c>
      <c r="AS18" s="20">
        <f>2979.25</f>
        <v/>
      </c>
      <c r="AT18" s="20">
        <f>2979.25</f>
        <v/>
      </c>
      <c r="AU18" s="20">
        <f>2979.25</f>
        <v/>
      </c>
      <c r="AV18" s="20">
        <f>2979.25</f>
        <v/>
      </c>
      <c r="AW18" s="20">
        <f>2979.25</f>
        <v/>
      </c>
      <c r="AX18" s="20">
        <f>2979.25</f>
        <v/>
      </c>
      <c r="AY18" s="20">
        <f>2979.25</f>
        <v/>
      </c>
    </row>
    <row r="19">
      <c r="B19" s="33" t="inlineStr">
        <is>
          <t xml:space="preserve">  406000 Refunds</t>
        </is>
      </c>
      <c r="D19" s="19" t="n">
        <v>-1190.01</v>
      </c>
      <c r="E19" s="19" t="n">
        <v>-1120.55</v>
      </c>
      <c r="F19" s="19" t="n">
        <v>-3615.48</v>
      </c>
      <c r="G19" s="19" t="n">
        <v>-650</v>
      </c>
      <c r="H19" s="19" t="n">
        <v>-3512.26</v>
      </c>
      <c r="I19" s="19" t="n">
        <v>-2185.9</v>
      </c>
      <c r="J19" s="19" t="n">
        <v>-3189.2</v>
      </c>
      <c r="K19" s="19" t="n">
        <v>-3826.01</v>
      </c>
      <c r="L19" s="19" t="n">
        <v>-2791.5</v>
      </c>
      <c r="M19" s="19" t="n">
        <v>-5972.4</v>
      </c>
      <c r="N19" s="19" t="n">
        <v>-3589.56</v>
      </c>
      <c r="O19" s="19" t="n">
        <v>-3698.8</v>
      </c>
      <c r="P19" s="19" t="n">
        <v>2447.09</v>
      </c>
      <c r="Q19" s="19" t="n">
        <v>4513.2</v>
      </c>
      <c r="R19" s="19" t="n">
        <v>4364.6</v>
      </c>
      <c r="S19" s="19" t="n">
        <v>1510.11</v>
      </c>
      <c r="T19" s="84" t="n">
        <v>2179.2</v>
      </c>
      <c r="U19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Forecast'!P15*Assumptions!$H$13+2979.25)*Assumptions!$C$17</f>
        <v/>
      </c>
      <c r="V19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Forecast'!P15*Assumptions!$I$13+2979.25)*Assumptions!$C$17</f>
        <v/>
      </c>
      <c r="W19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Forecast'!Q15*Assumptions!$I$13+2979.25)*Assumptions!$C$17</f>
        <v/>
      </c>
      <c r="X19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Forecast'!R15*Assumptions!$I$13+2979.25)*Assumptions!$C$17</f>
        <v/>
      </c>
      <c r="Y19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Forecast'!S15*Assumptions!$I$13+2979.25)*Assumptions!$C$17</f>
        <v/>
      </c>
      <c r="Z19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Forecast'!T15*Assumptions!$I$13+2979.25)*Assumptions!$C$17</f>
        <v/>
      </c>
      <c r="AA19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Forecast'!U15*Assumptions!$I$13+2979.25)*Assumptions!$C$17</f>
        <v/>
      </c>
      <c r="AB19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Forecast'!V15*Assumptions!$I$13+2979.25)*Assumptions!$C$17</f>
        <v/>
      </c>
      <c r="AC19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Forecast'!W15*Assumptions!$I$13+2979.25)*Assumptions!$C$17</f>
        <v/>
      </c>
      <c r="AD19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Forecast'!X15*Assumptions!$I$13+2979.25)*Assumptions!$C$17</f>
        <v/>
      </c>
      <c r="AE19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Forecast'!Y15*Assumptions!$I$13+2979.25)*Assumptions!$C$17</f>
        <v/>
      </c>
      <c r="AF19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Forecast'!Z15*Assumptions!$I$13+2979.25)*Assumptions!$C$17</f>
        <v/>
      </c>
      <c r="AG19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Forecast'!AA15*Assumptions!$I$13+2979.25)*Assumptions!$C$17</f>
        <v/>
      </c>
      <c r="AH19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Forecast'!AB15*Assumptions!$I$13+2979.25)*Assumptions!$C$17</f>
        <v/>
      </c>
      <c r="AI19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Forecast'!AC15*Assumptions!$I$13+2979.25)*Assumptions!$C$17</f>
        <v/>
      </c>
      <c r="AJ19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Forecast'!AD15*Assumptions!$I$13+2979.25)*Assumptions!$C$17</f>
        <v/>
      </c>
      <c r="AK19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Forecast'!AE15*Assumptions!$I$13+2979.25)*Assumptions!$C$17</f>
        <v/>
      </c>
      <c r="AL19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Forecast'!AF15*Assumptions!$I$13+2979.25)*Assumptions!$C$17</f>
        <v/>
      </c>
      <c r="AM19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Forecast'!AG15*Assumptions!$I$13+2979.25)*Assumptions!$C$17</f>
        <v/>
      </c>
      <c r="AN19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Forecast'!AH15*Assumptions!$I$13+2979.25)*Assumptions!$C$17</f>
        <v/>
      </c>
      <c r="AO19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Forecast'!AI15*Assumptions!$I$13+2979.25)*Assumptions!$C$17</f>
        <v/>
      </c>
      <c r="AP19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Forecast'!AJ15*Assumptions!$I$13+2979.25)*Assumptions!$C$17</f>
        <v/>
      </c>
      <c r="AQ19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Forecast'!AK15*Assumptions!$I$13+2979.25)*Assumptions!$C$17</f>
        <v/>
      </c>
      <c r="AR19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Forecast'!AL15*Assumptions!$I$13+2979.25)*Assumptions!$C$17</f>
        <v/>
      </c>
      <c r="AS19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Forecast'!AM15*Assumptions!$I$13+2979.25)*Assumptions!$C$17</f>
        <v/>
      </c>
      <c r="AT19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Forecast'!AN15*Assumptions!$I$13+2979.25)*Assumptions!$C$17</f>
        <v/>
      </c>
      <c r="AU19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Forecast'!AO15*Assumptions!$I$13+2979.25)*Assumptions!$C$17</f>
        <v/>
      </c>
      <c r="AV19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Forecast'!AP15*Assumptions!$I$13+2979.25)*Assumptions!$C$17</f>
        <v/>
      </c>
      <c r="AW19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Forecast'!AQ15*Assumptions!$I$13+2979.25)*Assumptions!$C$17</f>
        <v/>
      </c>
      <c r="AX19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Forecast'!AR15*Assumptions!$I$13+2979.25)*Assumptions!$C$17</f>
        <v/>
      </c>
      <c r="AY19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Forecast'!AS15*Assumptions!$I$13+2979.25)*Assumptions!$C$17</f>
        <v/>
      </c>
    </row>
    <row r="20">
      <c r="B20" s="33" t="inlineStr">
        <is>
          <t xml:space="preserve">  407000 Discounts</t>
        </is>
      </c>
      <c r="D20" s="19" t="n">
        <v>-21472.45</v>
      </c>
      <c r="E20" s="19" t="n">
        <v>-20640.9</v>
      </c>
      <c r="F20" s="19" t="n">
        <v>-24928.8</v>
      </c>
      <c r="G20" s="19" t="n">
        <v>-16974.31</v>
      </c>
      <c r="H20" s="19" t="n">
        <v>-19575</v>
      </c>
      <c r="I20" s="19" t="n">
        <v>-11665.8</v>
      </c>
      <c r="J20" s="19" t="n">
        <v>-11236.45</v>
      </c>
      <c r="K20" s="19" t="n">
        <v>-12583.6</v>
      </c>
      <c r="L20" s="19" t="n">
        <v>-11473.3</v>
      </c>
      <c r="M20" s="19" t="n">
        <v>-12466.45</v>
      </c>
      <c r="N20" s="19" t="n">
        <v>-6846.1</v>
      </c>
      <c r="O20" s="19" t="n">
        <v>-12776.15</v>
      </c>
      <c r="P20" s="19" t="n">
        <v>9180.58</v>
      </c>
      <c r="Q20" s="19" t="n">
        <v>11390.15</v>
      </c>
      <c r="R20" s="19" t="n">
        <v>14178</v>
      </c>
      <c r="S20" s="19" t="n">
        <v>4459.9</v>
      </c>
      <c r="T20" s="84" t="n">
        <v>9276.35</v>
      </c>
      <c r="U20" s="20">
        <f>('Sales Forecast'!U15*Assumptions!$C$12+'Sales Forecast'!T15*Assumptions!$D$12+'Sales Forecast'!S15*Assumptions!$E$12+'Sales Forecast'!R15*Assumptions!$F$12+'Sales Forecast'!Q15*Assumptions!$G$12+'Sales Forecast'!P15*Assumptions!$H$12+'Sales Forecast'!U15*Assumptions!$C$13+'Sales Forecast'!T15*Assumptions!$D$13+'Sales Forecast'!S15*Assumptions!$E$13+'Sales Forecast'!R15*Assumptions!$F$13+'Sales Forecast'!Q15*Assumptions!$G$13+'Sales Forecast'!P15*Assumptions!$H$13+2979.25)*Assumptions!$C$18</f>
        <v/>
      </c>
      <c r="V20" s="20">
        <f>('Sales Forecast'!V15*Assumptions!$C$12+'Sales Forecast'!U15*Assumptions!$D$12+'Sales Forecast'!T15*Assumptions!$E$12+'Sales Forecast'!S15*Assumptions!$F$12+'Sales Forecast'!R15*Assumptions!$G$12+'Sales Forecast'!Q15*Assumptions!$H$12+'Sales Forecast'!P15*Assumptions!$I$12+'Sales Forecast'!V15*Assumptions!$C$13+'Sales Forecast'!U15*Assumptions!$D$13+'Sales Forecast'!T15*Assumptions!$E$13+'Sales Forecast'!S15*Assumptions!$F$13+'Sales Forecast'!R15*Assumptions!$G$13+'Sales Forecast'!Q15*Assumptions!$H$13+'Sales Forecast'!P15*Assumptions!$I$13+2979.25)*Assumptions!$C$18</f>
        <v/>
      </c>
      <c r="W20" s="20">
        <f>('Sales Forecast'!W15*Assumptions!$C$12+'Sales Forecast'!V15*Assumptions!$D$12+'Sales Forecast'!U15*Assumptions!$E$12+'Sales Forecast'!T15*Assumptions!$F$12+'Sales Forecast'!S15*Assumptions!$G$12+'Sales Forecast'!R15*Assumptions!$H$12+'Sales Forecast'!Q15*Assumptions!$I$12+'Sales Forecast'!W15*Assumptions!$C$13+'Sales Forecast'!V15*Assumptions!$D$13+'Sales Forecast'!U15*Assumptions!$E$13+'Sales Forecast'!T15*Assumptions!$F$13+'Sales Forecast'!S15*Assumptions!$G$13+'Sales Forecast'!R15*Assumptions!$H$13+'Sales Forecast'!Q15*Assumptions!$I$13+2979.25)*Assumptions!$C$18</f>
        <v/>
      </c>
      <c r="X20" s="20">
        <f>('Sales Forecast'!X15*Assumptions!$C$12+'Sales Forecast'!W15*Assumptions!$D$12+'Sales Forecast'!V15*Assumptions!$E$12+'Sales Forecast'!U15*Assumptions!$F$12+'Sales Forecast'!T15*Assumptions!$G$12+'Sales Forecast'!S15*Assumptions!$H$12+'Sales Forecast'!R15*Assumptions!$I$12+'Sales Forecast'!X15*Assumptions!$C$13+'Sales Forecast'!W15*Assumptions!$D$13+'Sales Forecast'!V15*Assumptions!$E$13+'Sales Forecast'!U15*Assumptions!$F$13+'Sales Forecast'!T15*Assumptions!$G$13+'Sales Forecast'!S15*Assumptions!$H$13+'Sales Forecast'!R15*Assumptions!$I$13+2979.25)*Assumptions!$C$18</f>
        <v/>
      </c>
      <c r="Y20" s="20">
        <f>('Sales Forecast'!Y15*Assumptions!$C$12+'Sales Forecast'!X15*Assumptions!$D$12+'Sales Forecast'!W15*Assumptions!$E$12+'Sales Forecast'!V15*Assumptions!$F$12+'Sales Forecast'!U15*Assumptions!$G$12+'Sales Forecast'!T15*Assumptions!$H$12+'Sales Forecast'!S15*Assumptions!$I$12+'Sales Forecast'!Y15*Assumptions!$C$13+'Sales Forecast'!X15*Assumptions!$D$13+'Sales Forecast'!W15*Assumptions!$E$13+'Sales Forecast'!V15*Assumptions!$F$13+'Sales Forecast'!U15*Assumptions!$G$13+'Sales Forecast'!T15*Assumptions!$H$13+'Sales Forecast'!S15*Assumptions!$I$13+2979.25)*Assumptions!$C$18</f>
        <v/>
      </c>
      <c r="Z20" s="20">
        <f>('Sales Forecast'!Z15*Assumptions!$C$12+'Sales Forecast'!Y15*Assumptions!$D$12+'Sales Forecast'!X15*Assumptions!$E$12+'Sales Forecast'!W15*Assumptions!$F$12+'Sales Forecast'!V15*Assumptions!$G$12+'Sales Forecast'!U15*Assumptions!$H$12+'Sales Forecast'!T15*Assumptions!$I$12+'Sales Forecast'!Z15*Assumptions!$C$13+'Sales Forecast'!Y15*Assumptions!$D$13+'Sales Forecast'!X15*Assumptions!$E$13+'Sales Forecast'!W15*Assumptions!$F$13+'Sales Forecast'!V15*Assumptions!$G$13+'Sales Forecast'!U15*Assumptions!$H$13+'Sales Forecast'!T15*Assumptions!$I$13+2979.25)*Assumptions!$C$18</f>
        <v/>
      </c>
      <c r="AA20" s="20">
        <f>('Sales Forecast'!AA15*Assumptions!$C$12+'Sales Forecast'!Z15*Assumptions!$D$12+'Sales Forecast'!Y15*Assumptions!$E$12+'Sales Forecast'!X15*Assumptions!$F$12+'Sales Forecast'!W15*Assumptions!$G$12+'Sales Forecast'!V15*Assumptions!$H$12+'Sales Forecast'!U15*Assumptions!$I$12+'Sales Forecast'!AA15*Assumptions!$C$13+'Sales Forecast'!Z15*Assumptions!$D$13+'Sales Forecast'!Y15*Assumptions!$E$13+'Sales Forecast'!X15*Assumptions!$F$13+'Sales Forecast'!W15*Assumptions!$G$13+'Sales Forecast'!V15*Assumptions!$H$13+'Sales Forecast'!U15*Assumptions!$I$13+2979.25)*Assumptions!$C$18</f>
        <v/>
      </c>
      <c r="AB20" s="20">
        <f>('Sales Forecast'!AB15*Assumptions!$C$12+'Sales Forecast'!AA15*Assumptions!$D$12+'Sales Forecast'!Z15*Assumptions!$E$12+'Sales Forecast'!Y15*Assumptions!$F$12+'Sales Forecast'!X15*Assumptions!$G$12+'Sales Forecast'!W15*Assumptions!$H$12+'Sales Forecast'!V15*Assumptions!$I$12+'Sales Forecast'!AB15*Assumptions!$C$13+'Sales Forecast'!AA15*Assumptions!$D$13+'Sales Forecast'!Z15*Assumptions!$E$13+'Sales Forecast'!Y15*Assumptions!$F$13+'Sales Forecast'!X15*Assumptions!$G$13+'Sales Forecast'!W15*Assumptions!$H$13+'Sales Forecast'!V15*Assumptions!$I$13+2979.25)*Assumptions!$C$18</f>
        <v/>
      </c>
      <c r="AC20" s="20">
        <f>('Sales Forecast'!AC15*Assumptions!$C$12+'Sales Forecast'!AB15*Assumptions!$D$12+'Sales Forecast'!AA15*Assumptions!$E$12+'Sales Forecast'!Z15*Assumptions!$F$12+'Sales Forecast'!Y15*Assumptions!$G$12+'Sales Forecast'!X15*Assumptions!$H$12+'Sales Forecast'!W15*Assumptions!$I$12+'Sales Forecast'!AC15*Assumptions!$C$13+'Sales Forecast'!AB15*Assumptions!$D$13+'Sales Forecast'!AA15*Assumptions!$E$13+'Sales Forecast'!Z15*Assumptions!$F$13+'Sales Forecast'!Y15*Assumptions!$G$13+'Sales Forecast'!X15*Assumptions!$H$13+'Sales Forecast'!W15*Assumptions!$I$13+2979.25)*Assumptions!$C$18</f>
        <v/>
      </c>
      <c r="AD20" s="20">
        <f>('Sales Forecast'!AD15*Assumptions!$C$12+'Sales Forecast'!AC15*Assumptions!$D$12+'Sales Forecast'!AB15*Assumptions!$E$12+'Sales Forecast'!AA15*Assumptions!$F$12+'Sales Forecast'!Z15*Assumptions!$G$12+'Sales Forecast'!Y15*Assumptions!$H$12+'Sales Forecast'!X15*Assumptions!$I$12+'Sales Forecast'!AD15*Assumptions!$C$13+'Sales Forecast'!AC15*Assumptions!$D$13+'Sales Forecast'!AB15*Assumptions!$E$13+'Sales Forecast'!AA15*Assumptions!$F$13+'Sales Forecast'!Z15*Assumptions!$G$13+'Sales Forecast'!Y15*Assumptions!$H$13+'Sales Forecast'!X15*Assumptions!$I$13+2979.25)*Assumptions!$C$18</f>
        <v/>
      </c>
      <c r="AE20" s="20">
        <f>('Sales Forecast'!AE15*Assumptions!$C$12+'Sales Forecast'!AD15*Assumptions!$D$12+'Sales Forecast'!AC15*Assumptions!$E$12+'Sales Forecast'!AB15*Assumptions!$F$12+'Sales Forecast'!AA15*Assumptions!$G$12+'Sales Forecast'!Z15*Assumptions!$H$12+'Sales Forecast'!Y15*Assumptions!$I$12+'Sales Forecast'!AE15*Assumptions!$C$13+'Sales Forecast'!AD15*Assumptions!$D$13+'Sales Forecast'!AC15*Assumptions!$E$13+'Sales Forecast'!AB15*Assumptions!$F$13+'Sales Forecast'!AA15*Assumptions!$G$13+'Sales Forecast'!Z15*Assumptions!$H$13+'Sales Forecast'!Y15*Assumptions!$I$13+2979.25)*Assumptions!$C$18</f>
        <v/>
      </c>
      <c r="AF20" s="20">
        <f>('Sales Forecast'!AF15*Assumptions!$C$12+'Sales Forecast'!AE15*Assumptions!$D$12+'Sales Forecast'!AD15*Assumptions!$E$12+'Sales Forecast'!AC15*Assumptions!$F$12+'Sales Forecast'!AB15*Assumptions!$G$12+'Sales Forecast'!AA15*Assumptions!$H$12+'Sales Forecast'!Z15*Assumptions!$I$12+'Sales Forecast'!AF15*Assumptions!$C$13+'Sales Forecast'!AE15*Assumptions!$D$13+'Sales Forecast'!AD15*Assumptions!$E$13+'Sales Forecast'!AC15*Assumptions!$F$13+'Sales Forecast'!AB15*Assumptions!$G$13+'Sales Forecast'!AA15*Assumptions!$H$13+'Sales Forecast'!Z15*Assumptions!$I$13+2979.25)*Assumptions!$C$18</f>
        <v/>
      </c>
      <c r="AG20" s="20">
        <f>('Sales Forecast'!AG15*Assumptions!$C$12+'Sales Forecast'!AF15*Assumptions!$D$12+'Sales Forecast'!AE15*Assumptions!$E$12+'Sales Forecast'!AD15*Assumptions!$F$12+'Sales Forecast'!AC15*Assumptions!$G$12+'Sales Forecast'!AB15*Assumptions!$H$12+'Sales Forecast'!AA15*Assumptions!$I$12+'Sales Forecast'!AG15*Assumptions!$C$13+'Sales Forecast'!AF15*Assumptions!$D$13+'Sales Forecast'!AE15*Assumptions!$E$13+'Sales Forecast'!AD15*Assumptions!$F$13+'Sales Forecast'!AC15*Assumptions!$G$13+'Sales Forecast'!AB15*Assumptions!$H$13+'Sales Forecast'!AA15*Assumptions!$I$13+2979.25)*Assumptions!$C$18</f>
        <v/>
      </c>
      <c r="AH20" s="20">
        <f>('Sales Forecast'!AH15*Assumptions!$C$12+'Sales Forecast'!AG15*Assumptions!$D$12+'Sales Forecast'!AF15*Assumptions!$E$12+'Sales Forecast'!AE15*Assumptions!$F$12+'Sales Forecast'!AD15*Assumptions!$G$12+'Sales Forecast'!AC15*Assumptions!$H$12+'Sales Forecast'!AB15*Assumptions!$I$12+'Sales Forecast'!AH15*Assumptions!$C$13+'Sales Forecast'!AG15*Assumptions!$D$13+'Sales Forecast'!AF15*Assumptions!$E$13+'Sales Forecast'!AE15*Assumptions!$F$13+'Sales Forecast'!AD15*Assumptions!$G$13+'Sales Forecast'!AC15*Assumptions!$H$13+'Sales Forecast'!AB15*Assumptions!$I$13+2979.25)*Assumptions!$C$18</f>
        <v/>
      </c>
      <c r="AI20" s="20">
        <f>('Sales Forecast'!AI15*Assumptions!$C$12+'Sales Forecast'!AH15*Assumptions!$D$12+'Sales Forecast'!AG15*Assumptions!$E$12+'Sales Forecast'!AF15*Assumptions!$F$12+'Sales Forecast'!AE15*Assumptions!$G$12+'Sales Forecast'!AD15*Assumptions!$H$12+'Sales Forecast'!AC15*Assumptions!$I$12+'Sales Forecast'!AI15*Assumptions!$C$13+'Sales Forecast'!AH15*Assumptions!$D$13+'Sales Forecast'!AG15*Assumptions!$E$13+'Sales Forecast'!AF15*Assumptions!$F$13+'Sales Forecast'!AE15*Assumptions!$G$13+'Sales Forecast'!AD15*Assumptions!$H$13+'Sales Forecast'!AC15*Assumptions!$I$13+2979.25)*Assumptions!$C$18</f>
        <v/>
      </c>
      <c r="AJ20" s="20">
        <f>('Sales Forecast'!AJ15*Assumptions!$C$12+'Sales Forecast'!AI15*Assumptions!$D$12+'Sales Forecast'!AH15*Assumptions!$E$12+'Sales Forecast'!AG15*Assumptions!$F$12+'Sales Forecast'!AF15*Assumptions!$G$12+'Sales Forecast'!AE15*Assumptions!$H$12+'Sales Forecast'!AD15*Assumptions!$I$12+'Sales Forecast'!AJ15*Assumptions!$C$13+'Sales Forecast'!AI15*Assumptions!$D$13+'Sales Forecast'!AH15*Assumptions!$E$13+'Sales Forecast'!AG15*Assumptions!$F$13+'Sales Forecast'!AF15*Assumptions!$G$13+'Sales Forecast'!AE15*Assumptions!$H$13+'Sales Forecast'!AD15*Assumptions!$I$13+2979.25)*Assumptions!$C$18</f>
        <v/>
      </c>
      <c r="AK20" s="20">
        <f>('Sales Forecast'!AK15*Assumptions!$C$12+'Sales Forecast'!AJ15*Assumptions!$D$12+'Sales Forecast'!AI15*Assumptions!$E$12+'Sales Forecast'!AH15*Assumptions!$F$12+'Sales Forecast'!AG15*Assumptions!$G$12+'Sales Forecast'!AF15*Assumptions!$H$12+'Sales Forecast'!AE15*Assumptions!$I$12+'Sales Forecast'!AK15*Assumptions!$C$13+'Sales Forecast'!AJ15*Assumptions!$D$13+'Sales Forecast'!AI15*Assumptions!$E$13+'Sales Forecast'!AH15*Assumptions!$F$13+'Sales Forecast'!AG15*Assumptions!$G$13+'Sales Forecast'!AF15*Assumptions!$H$13+'Sales Forecast'!AE15*Assumptions!$I$13+2979.25)*Assumptions!$C$18</f>
        <v/>
      </c>
      <c r="AL20" s="20">
        <f>('Sales Forecast'!AL15*Assumptions!$C$12+'Sales Forecast'!AK15*Assumptions!$D$12+'Sales Forecast'!AJ15*Assumptions!$E$12+'Sales Forecast'!AI15*Assumptions!$F$12+'Sales Forecast'!AH15*Assumptions!$G$12+'Sales Forecast'!AG15*Assumptions!$H$12+'Sales Forecast'!AF15*Assumptions!$I$12+'Sales Forecast'!AL15*Assumptions!$C$13+'Sales Forecast'!AK15*Assumptions!$D$13+'Sales Forecast'!AJ15*Assumptions!$E$13+'Sales Forecast'!AI15*Assumptions!$F$13+'Sales Forecast'!AH15*Assumptions!$G$13+'Sales Forecast'!AG15*Assumptions!$H$13+'Sales Forecast'!AF15*Assumptions!$I$13+2979.25)*Assumptions!$C$18</f>
        <v/>
      </c>
      <c r="AM20" s="20">
        <f>('Sales Forecast'!AM15*Assumptions!$C$12+'Sales Forecast'!AL15*Assumptions!$D$12+'Sales Forecast'!AK15*Assumptions!$E$12+'Sales Forecast'!AJ15*Assumptions!$F$12+'Sales Forecast'!AI15*Assumptions!$G$12+'Sales Forecast'!AH15*Assumptions!$H$12+'Sales Forecast'!AG15*Assumptions!$I$12+'Sales Forecast'!AM15*Assumptions!$C$13+'Sales Forecast'!AL15*Assumptions!$D$13+'Sales Forecast'!AK15*Assumptions!$E$13+'Sales Forecast'!AJ15*Assumptions!$F$13+'Sales Forecast'!AI15*Assumptions!$G$13+'Sales Forecast'!AH15*Assumptions!$H$13+'Sales Forecast'!AG15*Assumptions!$I$13+2979.25)*Assumptions!$C$18</f>
        <v/>
      </c>
      <c r="AN20" s="20">
        <f>('Sales Forecast'!AN15*Assumptions!$C$12+'Sales Forecast'!AM15*Assumptions!$D$12+'Sales Forecast'!AL15*Assumptions!$E$12+'Sales Forecast'!AK15*Assumptions!$F$12+'Sales Forecast'!AJ15*Assumptions!$G$12+'Sales Forecast'!AI15*Assumptions!$H$12+'Sales Forecast'!AH15*Assumptions!$I$12+'Sales Forecast'!AN15*Assumptions!$C$13+'Sales Forecast'!AM15*Assumptions!$D$13+'Sales Forecast'!AL15*Assumptions!$E$13+'Sales Forecast'!AK15*Assumptions!$F$13+'Sales Forecast'!AJ15*Assumptions!$G$13+'Sales Forecast'!AI15*Assumptions!$H$13+'Sales Forecast'!AH15*Assumptions!$I$13+2979.25)*Assumptions!$C$18</f>
        <v/>
      </c>
      <c r="AO20" s="20">
        <f>('Sales Forecast'!AO15*Assumptions!$C$12+'Sales Forecast'!AN15*Assumptions!$D$12+'Sales Forecast'!AM15*Assumptions!$E$12+'Sales Forecast'!AL15*Assumptions!$F$12+'Sales Forecast'!AK15*Assumptions!$G$12+'Sales Forecast'!AJ15*Assumptions!$H$12+'Sales Forecast'!AI15*Assumptions!$I$12+'Sales Forecast'!AO15*Assumptions!$C$13+'Sales Forecast'!AN15*Assumptions!$D$13+'Sales Forecast'!AM15*Assumptions!$E$13+'Sales Forecast'!AL15*Assumptions!$F$13+'Sales Forecast'!AK15*Assumptions!$G$13+'Sales Forecast'!AJ15*Assumptions!$H$13+'Sales Forecast'!AI15*Assumptions!$I$13+2979.25)*Assumptions!$C$18</f>
        <v/>
      </c>
      <c r="AP20" s="20">
        <f>('Sales Forecast'!AP15*Assumptions!$C$12+'Sales Forecast'!AO15*Assumptions!$D$12+'Sales Forecast'!AN15*Assumptions!$E$12+'Sales Forecast'!AM15*Assumptions!$F$12+'Sales Forecast'!AL15*Assumptions!$G$12+'Sales Forecast'!AK15*Assumptions!$H$12+'Sales Forecast'!AJ15*Assumptions!$I$12+'Sales Forecast'!AP15*Assumptions!$C$13+'Sales Forecast'!AO15*Assumptions!$D$13+'Sales Forecast'!AN15*Assumptions!$E$13+'Sales Forecast'!AM15*Assumptions!$F$13+'Sales Forecast'!AL15*Assumptions!$G$13+'Sales Forecast'!AK15*Assumptions!$H$13+'Sales Forecast'!AJ15*Assumptions!$I$13+2979.25)*Assumptions!$C$18</f>
        <v/>
      </c>
      <c r="AQ20" s="20">
        <f>('Sales Forecast'!AQ15*Assumptions!$C$12+'Sales Forecast'!AP15*Assumptions!$D$12+'Sales Forecast'!AO15*Assumptions!$E$12+'Sales Forecast'!AN15*Assumptions!$F$12+'Sales Forecast'!AM15*Assumptions!$G$12+'Sales Forecast'!AL15*Assumptions!$H$12+'Sales Forecast'!AK15*Assumptions!$I$12+'Sales Forecast'!AQ15*Assumptions!$C$13+'Sales Forecast'!AP15*Assumptions!$D$13+'Sales Forecast'!AO15*Assumptions!$E$13+'Sales Forecast'!AN15*Assumptions!$F$13+'Sales Forecast'!AM15*Assumptions!$G$13+'Sales Forecast'!AL15*Assumptions!$H$13+'Sales Forecast'!AK15*Assumptions!$I$13+2979.25)*Assumptions!$C$18</f>
        <v/>
      </c>
      <c r="AR20" s="20">
        <f>('Sales Forecast'!AR15*Assumptions!$C$12+'Sales Forecast'!AQ15*Assumptions!$D$12+'Sales Forecast'!AP15*Assumptions!$E$12+'Sales Forecast'!AO15*Assumptions!$F$12+'Sales Forecast'!AN15*Assumptions!$G$12+'Sales Forecast'!AM15*Assumptions!$H$12+'Sales Forecast'!AL15*Assumptions!$I$12+'Sales Forecast'!AR15*Assumptions!$C$13+'Sales Forecast'!AQ15*Assumptions!$D$13+'Sales Forecast'!AP15*Assumptions!$E$13+'Sales Forecast'!AO15*Assumptions!$F$13+'Sales Forecast'!AN15*Assumptions!$G$13+'Sales Forecast'!AM15*Assumptions!$H$13+'Sales Forecast'!AL15*Assumptions!$I$13+2979.25)*Assumptions!$C$18</f>
        <v/>
      </c>
      <c r="AS20" s="20">
        <f>('Sales Forecast'!AS15*Assumptions!$C$12+'Sales Forecast'!AR15*Assumptions!$D$12+'Sales Forecast'!AQ15*Assumptions!$E$12+'Sales Forecast'!AP15*Assumptions!$F$12+'Sales Forecast'!AO15*Assumptions!$G$12+'Sales Forecast'!AN15*Assumptions!$H$12+'Sales Forecast'!AM15*Assumptions!$I$12+'Sales Forecast'!AS15*Assumptions!$C$13+'Sales Forecast'!AR15*Assumptions!$D$13+'Sales Forecast'!AQ15*Assumptions!$E$13+'Sales Forecast'!AP15*Assumptions!$F$13+'Sales Forecast'!AO15*Assumptions!$G$13+'Sales Forecast'!AN15*Assumptions!$H$13+'Sales Forecast'!AM15*Assumptions!$I$13+2979.25)*Assumptions!$C$18</f>
        <v/>
      </c>
      <c r="AT20" s="20">
        <f>('Sales Forecast'!AT15*Assumptions!$C$12+'Sales Forecast'!AS15*Assumptions!$D$12+'Sales Forecast'!AR15*Assumptions!$E$12+'Sales Forecast'!AQ15*Assumptions!$F$12+'Sales Forecast'!AP15*Assumptions!$G$12+'Sales Forecast'!AO15*Assumptions!$H$12+'Sales Forecast'!AN15*Assumptions!$I$12+'Sales Forecast'!AT15*Assumptions!$C$13+'Sales Forecast'!AS15*Assumptions!$D$13+'Sales Forecast'!AR15*Assumptions!$E$13+'Sales Forecast'!AQ15*Assumptions!$F$13+'Sales Forecast'!AP15*Assumptions!$G$13+'Sales Forecast'!AO15*Assumptions!$H$13+'Sales Forecast'!AN15*Assumptions!$I$13+2979.25)*Assumptions!$C$18</f>
        <v/>
      </c>
      <c r="AU20" s="20">
        <f>('Sales Forecast'!AU15*Assumptions!$C$12+'Sales Forecast'!AT15*Assumptions!$D$12+'Sales Forecast'!AS15*Assumptions!$E$12+'Sales Forecast'!AR15*Assumptions!$F$12+'Sales Forecast'!AQ15*Assumptions!$G$12+'Sales Forecast'!AP15*Assumptions!$H$12+'Sales Forecast'!AO15*Assumptions!$I$12+'Sales Forecast'!AU15*Assumptions!$C$13+'Sales Forecast'!AT15*Assumptions!$D$13+'Sales Forecast'!AS15*Assumptions!$E$13+'Sales Forecast'!AR15*Assumptions!$F$13+'Sales Forecast'!AQ15*Assumptions!$G$13+'Sales Forecast'!AP15*Assumptions!$H$13+'Sales Forecast'!AO15*Assumptions!$I$13+2979.25)*Assumptions!$C$18</f>
        <v/>
      </c>
      <c r="AV20" s="20">
        <f>('Sales Forecast'!AV15*Assumptions!$C$12+'Sales Forecast'!AU15*Assumptions!$D$12+'Sales Forecast'!AT15*Assumptions!$E$12+'Sales Forecast'!AS15*Assumptions!$F$12+'Sales Forecast'!AR15*Assumptions!$G$12+'Sales Forecast'!AQ15*Assumptions!$H$12+'Sales Forecast'!AP15*Assumptions!$I$12+'Sales Forecast'!AV15*Assumptions!$C$13+'Sales Forecast'!AU15*Assumptions!$D$13+'Sales Forecast'!AT15*Assumptions!$E$13+'Sales Forecast'!AS15*Assumptions!$F$13+'Sales Forecast'!AR15*Assumptions!$G$13+'Sales Forecast'!AQ15*Assumptions!$H$13+'Sales Forecast'!AP15*Assumptions!$I$13+2979.25)*Assumptions!$C$18</f>
        <v/>
      </c>
      <c r="AW20" s="20">
        <f>('Sales Forecast'!AW15*Assumptions!$C$12+'Sales Forecast'!AV15*Assumptions!$D$12+'Sales Forecast'!AU15*Assumptions!$E$12+'Sales Forecast'!AT15*Assumptions!$F$12+'Sales Forecast'!AS15*Assumptions!$G$12+'Sales Forecast'!AR15*Assumptions!$H$12+'Sales Forecast'!AQ15*Assumptions!$I$12+'Sales Forecast'!AW15*Assumptions!$C$13+'Sales Forecast'!AV15*Assumptions!$D$13+'Sales Forecast'!AU15*Assumptions!$E$13+'Sales Forecast'!AT15*Assumptions!$F$13+'Sales Forecast'!AS15*Assumptions!$G$13+'Sales Forecast'!AR15*Assumptions!$H$13+'Sales Forecast'!AQ15*Assumptions!$I$13+2979.25)*Assumptions!$C$18</f>
        <v/>
      </c>
      <c r="AX20" s="20">
        <f>('Sales Forecast'!AX15*Assumptions!$C$12+'Sales Forecast'!AW15*Assumptions!$D$12+'Sales Forecast'!AV15*Assumptions!$E$12+'Sales Forecast'!AU15*Assumptions!$F$12+'Sales Forecast'!AT15*Assumptions!$G$12+'Sales Forecast'!AS15*Assumptions!$H$12+'Sales Forecast'!AR15*Assumptions!$I$12+'Sales Forecast'!AX15*Assumptions!$C$13+'Sales Forecast'!AW15*Assumptions!$D$13+'Sales Forecast'!AV15*Assumptions!$E$13+'Sales Forecast'!AU15*Assumptions!$F$13+'Sales Forecast'!AT15*Assumptions!$G$13+'Sales Forecast'!AS15*Assumptions!$H$13+'Sales Forecast'!AR15*Assumptions!$I$13+2979.25)*Assumptions!$C$18</f>
        <v/>
      </c>
      <c r="AY20" s="20">
        <f>('Sales Forecast'!AY15*Assumptions!$C$12+'Sales Forecast'!AX15*Assumptions!$D$12+'Sales Forecast'!AW15*Assumptions!$E$12+'Sales Forecast'!AV15*Assumptions!$F$12+'Sales Forecast'!AU15*Assumptions!$G$12+'Sales Forecast'!AT15*Assumptions!$H$12+'Sales Forecast'!AS15*Assumptions!$I$12+'Sales Forecast'!AY15*Assumptions!$C$13+'Sales Forecast'!AX15*Assumptions!$D$13+'Sales Forecast'!AW15*Assumptions!$E$13+'Sales Forecast'!AV15*Assumptions!$F$13+'Sales Forecast'!AU15*Assumptions!$G$13+'Sales Forecast'!AT15*Assumptions!$H$13+'Sales Forecast'!AS15*Assumptions!$I$13+2979.25)*Assumptions!$C$18</f>
        <v/>
      </c>
    </row>
    <row r="21">
      <c r="B21" s="32" t="inlineStr">
        <is>
          <t>TOTAL REVENUE</t>
        </is>
      </c>
      <c r="C21" s="34" t="n"/>
      <c r="D21" s="35" t="n">
        <v>148311.18</v>
      </c>
      <c r="E21" s="35" t="n">
        <v>176032.84</v>
      </c>
      <c r="F21" s="35" t="n">
        <v>214257.96</v>
      </c>
      <c r="G21" s="35" t="n">
        <v>206935.56</v>
      </c>
      <c r="H21" s="35" t="n">
        <v>197266.94</v>
      </c>
      <c r="I21" s="35" t="n">
        <v>195239.45</v>
      </c>
      <c r="J21" s="35" t="n">
        <v>199014.62</v>
      </c>
      <c r="K21" s="35" t="n">
        <v>210396.36</v>
      </c>
      <c r="L21" s="35" t="n">
        <v>181180.69</v>
      </c>
      <c r="M21" s="35" t="n">
        <v>181590.51</v>
      </c>
      <c r="N21" s="35" t="n">
        <v>176158.72</v>
      </c>
      <c r="O21" s="35" t="n">
        <v>200819.21</v>
      </c>
      <c r="P21" s="35" t="n">
        <v>229391.12</v>
      </c>
      <c r="Q21" s="35" t="n">
        <v>188190.65</v>
      </c>
      <c r="R21" s="35" t="n">
        <v>176426.37</v>
      </c>
      <c r="S21" s="35" t="n">
        <v>170664.83</v>
      </c>
      <c r="T21" s="85" t="n">
        <v>166685.52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1819.5</v>
      </c>
      <c r="E23" s="19" t="n">
        <v>1954.75</v>
      </c>
      <c r="F23" s="19" t="n">
        <v>1496.25</v>
      </c>
      <c r="G23" s="19" t="n">
        <v>986</v>
      </c>
      <c r="H23" s="19" t="n">
        <v>1320.5</v>
      </c>
      <c r="I23" s="19" t="n">
        <v>1591.25</v>
      </c>
      <c r="J23" s="19" t="n">
        <v>1491</v>
      </c>
      <c r="K23" s="19" t="n">
        <v>1458.55</v>
      </c>
      <c r="L23" s="19" t="n">
        <v>1286.8</v>
      </c>
      <c r="M23" s="19" t="n">
        <v>1124.6</v>
      </c>
      <c r="N23" s="19" t="n">
        <v>1175.3</v>
      </c>
      <c r="O23" s="19" t="n">
        <v>951.1</v>
      </c>
      <c r="P23" s="19" t="n">
        <v>1384.3</v>
      </c>
      <c r="Q23" s="19" t="n">
        <v>1602.9</v>
      </c>
      <c r="R23" s="19" t="n">
        <v>968.6</v>
      </c>
      <c r="S23" s="19" t="n">
        <v>1520.5</v>
      </c>
      <c r="T23" s="84" t="n">
        <v>350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4882.96</v>
      </c>
      <c r="E24" s="19" t="n">
        <v>6308.44</v>
      </c>
      <c r="F24" s="19" t="n">
        <v>9774.799999999999</v>
      </c>
      <c r="G24" s="19" t="n">
        <v>5902.22</v>
      </c>
      <c r="H24" s="19" t="n">
        <v>6597.41</v>
      </c>
      <c r="I24" s="19" t="n">
        <v>5960.23</v>
      </c>
      <c r="J24" s="19" t="n">
        <v>7919.8</v>
      </c>
      <c r="K24" s="19" t="n">
        <v>5068.26</v>
      </c>
      <c r="L24" s="19" t="n">
        <v>6402.91</v>
      </c>
      <c r="M24" s="19" t="n">
        <v>5212.33</v>
      </c>
      <c r="N24" s="19" t="n">
        <v>5997.67</v>
      </c>
      <c r="O24" s="19" t="n">
        <v>6504.8</v>
      </c>
      <c r="P24" s="19" t="n">
        <v>6173.53</v>
      </c>
      <c r="Q24" s="19" t="n">
        <v>5025.11</v>
      </c>
      <c r="R24" s="19" t="n">
        <v>7209.84</v>
      </c>
      <c r="S24" s="19" t="n">
        <v>5237.55</v>
      </c>
      <c r="T24" s="84" t="n">
        <v>6154.63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6702.46</v>
      </c>
      <c r="E25" s="35" t="n">
        <v>8263.189999999999</v>
      </c>
      <c r="F25" s="35" t="n">
        <v>11271.05</v>
      </c>
      <c r="G25" s="35" t="n">
        <v>6888.22</v>
      </c>
      <c r="H25" s="35" t="n">
        <v>7917.91</v>
      </c>
      <c r="I25" s="35" t="n">
        <v>7551.48</v>
      </c>
      <c r="J25" s="35" t="n">
        <v>9410.799999999999</v>
      </c>
      <c r="K25" s="35" t="n">
        <v>6526.81</v>
      </c>
      <c r="L25" s="35" t="n">
        <v>7689.71</v>
      </c>
      <c r="M25" s="35" t="n">
        <v>6336.93</v>
      </c>
      <c r="N25" s="35" t="n">
        <v>7172.97</v>
      </c>
      <c r="O25" s="35" t="n">
        <v>8705.690000000001</v>
      </c>
      <c r="P25" s="35" t="n">
        <v>7557.83</v>
      </c>
      <c r="Q25" s="35" t="n">
        <v>6628.01</v>
      </c>
      <c r="R25" s="35" t="n">
        <v>8178.44</v>
      </c>
      <c r="S25" s="35" t="n">
        <v>6758.05</v>
      </c>
      <c r="T25" s="85" t="n">
        <v>6504.63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141608.72</v>
      </c>
      <c r="E26" s="35" t="n">
        <v>167769.65</v>
      </c>
      <c r="F26" s="35" t="n">
        <v>202986.91</v>
      </c>
      <c r="G26" s="35" t="n">
        <v>200047.34</v>
      </c>
      <c r="H26" s="35" t="n">
        <v>189349.03</v>
      </c>
      <c r="I26" s="35" t="n">
        <v>187687.97</v>
      </c>
      <c r="J26" s="35" t="n">
        <v>189603.82</v>
      </c>
      <c r="K26" s="35" t="n">
        <v>203869.55</v>
      </c>
      <c r="L26" s="35" t="n">
        <v>173490.98</v>
      </c>
      <c r="M26" s="35" t="n">
        <v>175253.58</v>
      </c>
      <c r="N26" s="35" t="n">
        <v>168985.75</v>
      </c>
      <c r="O26" s="35" t="n">
        <v>192113.52</v>
      </c>
      <c r="P26" s="35" t="n">
        <v>221833.29</v>
      </c>
      <c r="Q26" s="35" t="n">
        <v>181562.64</v>
      </c>
      <c r="R26" s="35" t="n">
        <v>168247.93</v>
      </c>
      <c r="S26" s="35" t="n">
        <v>163906.78</v>
      </c>
      <c r="T26" s="85" t="n">
        <v>160180.89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590.91</v>
      </c>
      <c r="O28" s="19" t="n">
        <v>607.28</v>
      </c>
      <c r="P28" s="19" t="n">
        <v>590.91</v>
      </c>
      <c r="Q28" s="19" t="n">
        <v>0</v>
      </c>
      <c r="R28" s="19" t="n">
        <v>0</v>
      </c>
      <c r="S28" s="19" t="n">
        <v>0</v>
      </c>
      <c r="T28" s="84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0</v>
      </c>
      <c r="AS28" s="20" t="n">
        <v>0</v>
      </c>
      <c r="AT28" s="20" t="n">
        <v>0</v>
      </c>
      <c r="AU28" s="20" t="n">
        <v>0</v>
      </c>
      <c r="AV28" s="20" t="n">
        <v>0</v>
      </c>
      <c r="AW28" s="20" t="n">
        <v>0</v>
      </c>
      <c r="AX28" s="20" t="n">
        <v>0</v>
      </c>
      <c r="AY28" s="20" t="n">
        <v>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53.64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129.56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53.64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590.91</v>
      </c>
      <c r="O33" s="35" t="n">
        <v>736.8399999999999</v>
      </c>
      <c r="P33" s="35" t="n">
        <v>590.91</v>
      </c>
      <c r="Q33" s="35" t="n">
        <v>0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58337.32</v>
      </c>
      <c r="E34" s="19" t="n">
        <v>60902.68</v>
      </c>
      <c r="F34" s="19" t="n">
        <v>73049.28999999999</v>
      </c>
      <c r="G34" s="19" t="n">
        <v>69131.69</v>
      </c>
      <c r="H34" s="19" t="n">
        <v>89216.22</v>
      </c>
      <c r="I34" s="19" t="n">
        <v>69880.00999999999</v>
      </c>
      <c r="J34" s="19" t="n">
        <v>77847.63</v>
      </c>
      <c r="K34" s="19" t="n">
        <v>75567.75</v>
      </c>
      <c r="L34" s="19" t="n">
        <v>77121.36</v>
      </c>
      <c r="M34" s="19" t="n">
        <v>76688.77</v>
      </c>
      <c r="N34" s="19" t="n">
        <v>66281.64</v>
      </c>
      <c r="O34" s="19" t="n">
        <v>84083.09</v>
      </c>
      <c r="P34" s="19" t="n">
        <v>92642.72</v>
      </c>
      <c r="Q34" s="19" t="n">
        <v>81606.42</v>
      </c>
      <c r="R34" s="19" t="n">
        <v>77065.11</v>
      </c>
      <c r="S34" s="19" t="n">
        <v>76022.50999999999</v>
      </c>
      <c r="T34" s="84" t="n">
        <v>79273.85000000001</v>
      </c>
      <c r="U34" s="20" t="n">
        <v>87661.57000000001</v>
      </c>
      <c r="V34" s="20" t="n">
        <v>87484.32000000001</v>
      </c>
      <c r="W34" s="20" t="n">
        <v>87486.48</v>
      </c>
      <c r="X34" s="20" t="n">
        <v>86947.74000000001</v>
      </c>
      <c r="Y34" s="20" t="n">
        <v>88263.81</v>
      </c>
      <c r="Z34" s="20" t="n">
        <v>90978.81</v>
      </c>
      <c r="AA34" s="20" t="n">
        <v>88559.11</v>
      </c>
      <c r="AB34" s="20" t="n">
        <v>87257.24000000001</v>
      </c>
      <c r="AC34" s="20" t="n">
        <v>85624.52</v>
      </c>
      <c r="AD34" s="20" t="n">
        <v>86554.45</v>
      </c>
      <c r="AE34" s="20" t="n">
        <v>89164.97</v>
      </c>
      <c r="AF34" s="20" t="n">
        <v>89031.83</v>
      </c>
      <c r="AG34" s="20" t="n">
        <v>88568.58</v>
      </c>
      <c r="AH34" s="20" t="n">
        <v>88382.46000000001</v>
      </c>
      <c r="AI34" s="20" t="n">
        <v>88384.74000000001</v>
      </c>
      <c r="AJ34" s="20" t="n">
        <v>87819.05</v>
      </c>
      <c r="AK34" s="20" t="n">
        <v>89200.92999999999</v>
      </c>
      <c r="AL34" s="20" t="n">
        <v>93199.31</v>
      </c>
      <c r="AM34" s="20" t="n">
        <v>89511</v>
      </c>
      <c r="AN34" s="20" t="n">
        <v>87257.24000000001</v>
      </c>
      <c r="AO34" s="20" t="n">
        <v>85624.52</v>
      </c>
      <c r="AP34" s="20" t="n">
        <v>86554.45</v>
      </c>
      <c r="AQ34" s="20" t="n">
        <v>89164.97</v>
      </c>
      <c r="AR34" s="20" t="n">
        <v>89031.83</v>
      </c>
      <c r="AS34" s="20" t="n">
        <v>88568.58</v>
      </c>
      <c r="AT34" s="20" t="n">
        <v>88382.46000000001</v>
      </c>
      <c r="AU34" s="20" t="n">
        <v>88384.74000000001</v>
      </c>
      <c r="AV34" s="20" t="n">
        <v>87819.05</v>
      </c>
      <c r="AW34" s="20" t="n">
        <v>89200.92999999999</v>
      </c>
      <c r="AX34" s="20" t="n">
        <v>93199.31</v>
      </c>
      <c r="AY34" s="20" t="n">
        <v>89511</v>
      </c>
    </row>
    <row r="35">
      <c r="B35" s="33" t="inlineStr">
        <is>
          <t xml:space="preserve">  602004 Payroll Taxes</t>
        </is>
      </c>
      <c r="D35" s="19" t="n">
        <v>9169.91</v>
      </c>
      <c r="E35" s="19" t="n">
        <v>8321.59</v>
      </c>
      <c r="F35" s="19" t="n">
        <v>8649.07</v>
      </c>
      <c r="G35" s="19" t="n">
        <v>7638.21</v>
      </c>
      <c r="H35" s="19" t="n">
        <v>9215.889999999999</v>
      </c>
      <c r="I35" s="19" t="n">
        <v>7557.03</v>
      </c>
      <c r="J35" s="19" t="n">
        <v>7865.98</v>
      </c>
      <c r="K35" s="19" t="n">
        <v>7514.09</v>
      </c>
      <c r="L35" s="19" t="n">
        <v>7429.54</v>
      </c>
      <c r="M35" s="19" t="n">
        <v>7459.99</v>
      </c>
      <c r="N35" s="19" t="n">
        <v>6405.47</v>
      </c>
      <c r="O35" s="19" t="n">
        <v>9669.549999999999</v>
      </c>
      <c r="P35" s="19" t="n">
        <v>15304.67</v>
      </c>
      <c r="Q35" s="19" t="n">
        <v>7998.06</v>
      </c>
      <c r="R35" s="19" t="n">
        <v>7142.5</v>
      </c>
      <c r="S35" s="19" t="n">
        <v>6736.08</v>
      </c>
      <c r="T35" s="84" t="n">
        <v>6944.01</v>
      </c>
      <c r="U35" s="20" t="n">
        <v>9957.24</v>
      </c>
      <c r="V35" s="20" t="n">
        <v>9937.110000000001</v>
      </c>
      <c r="W35" s="20" t="n">
        <v>9937.360000000001</v>
      </c>
      <c r="X35" s="20" t="n">
        <v>9876.16</v>
      </c>
      <c r="Y35" s="20" t="n">
        <v>10025.65</v>
      </c>
      <c r="Z35" s="20" t="n">
        <v>10334.04</v>
      </c>
      <c r="AA35" s="20" t="n">
        <v>10059.19</v>
      </c>
      <c r="AB35" s="20" t="n">
        <v>9911.32</v>
      </c>
      <c r="AC35" s="20" t="n">
        <v>9725.860000000001</v>
      </c>
      <c r="AD35" s="20" t="n">
        <v>9831.49</v>
      </c>
      <c r="AE35" s="20" t="n">
        <v>10128.01</v>
      </c>
      <c r="AF35" s="20" t="n">
        <v>10112.89</v>
      </c>
      <c r="AG35" s="20" t="n">
        <v>10060.27</v>
      </c>
      <c r="AH35" s="20" t="n">
        <v>10039.13</v>
      </c>
      <c r="AI35" s="20" t="n">
        <v>10039.39</v>
      </c>
      <c r="AJ35" s="20" t="n">
        <v>9975.129999999999</v>
      </c>
      <c r="AK35" s="20" t="n">
        <v>10132.1</v>
      </c>
      <c r="AL35" s="20" t="n">
        <v>10586.26</v>
      </c>
      <c r="AM35" s="20" t="n">
        <v>10167.32</v>
      </c>
      <c r="AN35" s="20" t="n">
        <v>9911.32</v>
      </c>
      <c r="AO35" s="20" t="n">
        <v>9725.860000000001</v>
      </c>
      <c r="AP35" s="20" t="n">
        <v>9831.49</v>
      </c>
      <c r="AQ35" s="20" t="n">
        <v>10128.01</v>
      </c>
      <c r="AR35" s="20" t="n">
        <v>10112.89</v>
      </c>
      <c r="AS35" s="20" t="n">
        <v>10060.27</v>
      </c>
      <c r="AT35" s="20" t="n">
        <v>10039.13</v>
      </c>
      <c r="AU35" s="20" t="n">
        <v>10039.39</v>
      </c>
      <c r="AV35" s="20" t="n">
        <v>9975.129999999999</v>
      </c>
      <c r="AW35" s="20" t="n">
        <v>10132.1</v>
      </c>
      <c r="AX35" s="20" t="n">
        <v>10586.26</v>
      </c>
      <c r="AY35" s="20" t="n">
        <v>10167.32</v>
      </c>
    </row>
    <row r="36">
      <c r="B36" s="33" t="inlineStr">
        <is>
          <t xml:space="preserve">  602005 Employee Benefits</t>
        </is>
      </c>
      <c r="D36" s="19" t="n">
        <v>826.02</v>
      </c>
      <c r="E36" s="19" t="n">
        <v>311.99</v>
      </c>
      <c r="F36" s="19" t="n">
        <v>44.96</v>
      </c>
      <c r="G36" s="19" t="n">
        <v>220</v>
      </c>
      <c r="H36" s="19" t="n">
        <v>235</v>
      </c>
      <c r="I36" s="19" t="n">
        <v>365</v>
      </c>
      <c r="J36" s="19" t="n">
        <v>278</v>
      </c>
      <c r="K36" s="19" t="n">
        <v>198</v>
      </c>
      <c r="L36" s="19" t="n">
        <v>440</v>
      </c>
      <c r="M36" s="19" t="n">
        <v>280</v>
      </c>
      <c r="N36" s="19" t="n">
        <v>120</v>
      </c>
      <c r="O36" s="19" t="n">
        <v>-41.74</v>
      </c>
      <c r="P36" s="19" t="n">
        <v>736.6</v>
      </c>
      <c r="Q36" s="19" t="n">
        <v>1399.13</v>
      </c>
      <c r="R36" s="19" t="n">
        <v>1047.5</v>
      </c>
      <c r="S36" s="19" t="n">
        <v>784.88</v>
      </c>
      <c r="T36" s="84" t="n">
        <v>764.45</v>
      </c>
      <c r="U36" s="20" t="n">
        <v>1062.67</v>
      </c>
      <c r="V36" s="20" t="n">
        <v>1060.52</v>
      </c>
      <c r="W36" s="20" t="n">
        <v>1060.55</v>
      </c>
      <c r="X36" s="20" t="n">
        <v>1054.02</v>
      </c>
      <c r="Y36" s="20" t="n">
        <v>1069.97</v>
      </c>
      <c r="Z36" s="20" t="n">
        <v>1102.88</v>
      </c>
      <c r="AA36" s="20" t="n">
        <v>1073.55</v>
      </c>
      <c r="AB36" s="20" t="n">
        <v>1057.77</v>
      </c>
      <c r="AC36" s="20" t="n">
        <v>1037.98</v>
      </c>
      <c r="AD36" s="20" t="n">
        <v>1049.25</v>
      </c>
      <c r="AE36" s="20" t="n">
        <v>1080.89</v>
      </c>
      <c r="AF36" s="20" t="n">
        <v>1079.28</v>
      </c>
      <c r="AG36" s="20" t="n">
        <v>1073.66</v>
      </c>
      <c r="AH36" s="20" t="n">
        <v>1071.41</v>
      </c>
      <c r="AI36" s="20" t="n">
        <v>1071.44</v>
      </c>
      <c r="AJ36" s="20" t="n">
        <v>1064.58</v>
      </c>
      <c r="AK36" s="20" t="n">
        <v>1081.33</v>
      </c>
      <c r="AL36" s="20" t="n">
        <v>1129.8</v>
      </c>
      <c r="AM36" s="20" t="n">
        <v>1085.09</v>
      </c>
      <c r="AN36" s="20" t="n">
        <v>1057.77</v>
      </c>
      <c r="AO36" s="20" t="n">
        <v>1037.98</v>
      </c>
      <c r="AP36" s="20" t="n">
        <v>1049.25</v>
      </c>
      <c r="AQ36" s="20" t="n">
        <v>1080.89</v>
      </c>
      <c r="AR36" s="20" t="n">
        <v>1079.28</v>
      </c>
      <c r="AS36" s="20" t="n">
        <v>1073.66</v>
      </c>
      <c r="AT36" s="20" t="n">
        <v>1071.41</v>
      </c>
      <c r="AU36" s="20" t="n">
        <v>1071.44</v>
      </c>
      <c r="AV36" s="20" t="n">
        <v>1064.58</v>
      </c>
      <c r="AW36" s="20" t="n">
        <v>1081.33</v>
      </c>
      <c r="AX36" s="20" t="n">
        <v>1129.8</v>
      </c>
      <c r="AY36" s="20" t="n">
        <v>1085.09</v>
      </c>
    </row>
    <row r="37">
      <c r="B37" s="33" t="inlineStr">
        <is>
          <t xml:space="preserve">  602010 Payroll Processing Fees</t>
        </is>
      </c>
      <c r="D37" s="19" t="n">
        <v>1728.36</v>
      </c>
      <c r="E37" s="19" t="n">
        <v>1326.17</v>
      </c>
      <c r="F37" s="19" t="n">
        <v>842.83</v>
      </c>
      <c r="G37" s="19" t="n">
        <v>680.66</v>
      </c>
      <c r="H37" s="19" t="n">
        <v>690.86</v>
      </c>
      <c r="I37" s="19" t="n">
        <v>680.66</v>
      </c>
      <c r="J37" s="19" t="n">
        <v>859.83</v>
      </c>
      <c r="K37" s="19" t="n">
        <v>1017.59</v>
      </c>
      <c r="L37" s="19" t="n">
        <v>694.26</v>
      </c>
      <c r="M37" s="19" t="n">
        <v>667.0599999999999</v>
      </c>
      <c r="N37" s="19" t="n">
        <v>656.86</v>
      </c>
      <c r="O37" s="19" t="n">
        <v>2188.33</v>
      </c>
      <c r="P37" s="19" t="n">
        <v>4166.79</v>
      </c>
      <c r="Q37" s="19" t="n">
        <v>4167.5</v>
      </c>
      <c r="R37" s="19" t="n">
        <v>5043.78</v>
      </c>
      <c r="S37" s="19" t="n">
        <v>3547.15</v>
      </c>
      <c r="T37" s="84" t="n">
        <v>3529.36</v>
      </c>
      <c r="U37" s="20" t="n">
        <v>4532.61</v>
      </c>
      <c r="V37" s="20" t="n">
        <v>4523.45</v>
      </c>
      <c r="W37" s="20" t="n">
        <v>4523.56</v>
      </c>
      <c r="X37" s="20" t="n">
        <v>4495.71</v>
      </c>
      <c r="Y37" s="20" t="n">
        <v>4563.75</v>
      </c>
      <c r="Z37" s="20" t="n">
        <v>4704.14</v>
      </c>
      <c r="AA37" s="20" t="n">
        <v>4579.02</v>
      </c>
      <c r="AB37" s="20" t="n">
        <v>4511.71</v>
      </c>
      <c r="AC37" s="20" t="n">
        <v>4427.29</v>
      </c>
      <c r="AD37" s="20" t="n">
        <v>4475.37</v>
      </c>
      <c r="AE37" s="20" t="n">
        <v>4610.35</v>
      </c>
      <c r="AF37" s="20" t="n">
        <v>4603.46</v>
      </c>
      <c r="AG37" s="20" t="n">
        <v>4579.51</v>
      </c>
      <c r="AH37" s="20" t="n">
        <v>4569.89</v>
      </c>
      <c r="AI37" s="20" t="n">
        <v>4570.01</v>
      </c>
      <c r="AJ37" s="20" t="n">
        <v>4540.76</v>
      </c>
      <c r="AK37" s="20" t="n">
        <v>4612.21</v>
      </c>
      <c r="AL37" s="20" t="n">
        <v>4818.95</v>
      </c>
      <c r="AM37" s="20" t="n">
        <v>4628.24</v>
      </c>
      <c r="AN37" s="20" t="n">
        <v>4511.71</v>
      </c>
      <c r="AO37" s="20" t="n">
        <v>4427.29</v>
      </c>
      <c r="AP37" s="20" t="n">
        <v>4475.37</v>
      </c>
      <c r="AQ37" s="20" t="n">
        <v>4610.35</v>
      </c>
      <c r="AR37" s="20" t="n">
        <v>4603.46</v>
      </c>
      <c r="AS37" s="20" t="n">
        <v>4579.51</v>
      </c>
      <c r="AT37" s="20" t="n">
        <v>4569.89</v>
      </c>
      <c r="AU37" s="20" t="n">
        <v>4570.01</v>
      </c>
      <c r="AV37" s="20" t="n">
        <v>4540.76</v>
      </c>
      <c r="AW37" s="20" t="n">
        <v>4612.21</v>
      </c>
      <c r="AX37" s="20" t="n">
        <v>4818.95</v>
      </c>
      <c r="AY37" s="20" t="n">
        <v>4628.24</v>
      </c>
    </row>
    <row r="38">
      <c r="B38" s="32" t="inlineStr">
        <is>
          <t>Total Payroll</t>
        </is>
      </c>
      <c r="C38" s="34" t="n"/>
      <c r="D38" s="35" t="n">
        <v>87727.52</v>
      </c>
      <c r="E38" s="35" t="n">
        <v>89743.09000000001</v>
      </c>
      <c r="F38" s="35" t="n">
        <v>103464.03</v>
      </c>
      <c r="G38" s="35" t="n">
        <v>96213.46000000001</v>
      </c>
      <c r="H38" s="35" t="n">
        <v>119427.03</v>
      </c>
      <c r="I38" s="35" t="n">
        <v>95846.8</v>
      </c>
      <c r="J38" s="35" t="n">
        <v>103876.39</v>
      </c>
      <c r="K38" s="35" t="n">
        <v>99425.88999999998</v>
      </c>
      <c r="L38" s="35" t="n">
        <v>99128.25999999999</v>
      </c>
      <c r="M38" s="35" t="n">
        <v>99382.08</v>
      </c>
      <c r="N38" s="35" t="n">
        <v>84838.09999999999</v>
      </c>
      <c r="O38" s="35" t="n">
        <v>100271.97</v>
      </c>
      <c r="P38" s="35" t="n">
        <v>112850.78</v>
      </c>
      <c r="Q38" s="35" t="n">
        <v>95171.11</v>
      </c>
      <c r="R38" s="35" t="n">
        <v>90298.89</v>
      </c>
      <c r="S38" s="35" t="n">
        <v>87090.62</v>
      </c>
      <c r="T38" s="85" t="n">
        <v>90511.67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1758.39</v>
      </c>
      <c r="E39" s="19" t="n">
        <v>701.9400000000001</v>
      </c>
      <c r="F39" s="19" t="n">
        <v>1958.83</v>
      </c>
      <c r="G39" s="19" t="n">
        <v>1254.24</v>
      </c>
      <c r="H39" s="19" t="n">
        <v>1390.3</v>
      </c>
      <c r="I39" s="19" t="n">
        <v>726.25</v>
      </c>
      <c r="J39" s="19" t="n">
        <v>768.99</v>
      </c>
      <c r="K39" s="19" t="n">
        <v>1761.77</v>
      </c>
      <c r="L39" s="19" t="n">
        <v>646</v>
      </c>
      <c r="M39" s="19" t="n">
        <v>979.59</v>
      </c>
      <c r="N39" s="19" t="n">
        <v>1115.08</v>
      </c>
      <c r="O39" s="19" t="n">
        <v>755.08</v>
      </c>
      <c r="P39" s="19" t="n">
        <v>756.08</v>
      </c>
      <c r="Q39" s="19" t="n">
        <v>1214.43</v>
      </c>
      <c r="R39" s="19" t="n">
        <v>757.08</v>
      </c>
      <c r="S39" s="19" t="n">
        <v>869.26</v>
      </c>
      <c r="T39" s="84" t="n">
        <v>780.26</v>
      </c>
      <c r="U39" s="20" t="n">
        <v>787.1900000000001</v>
      </c>
      <c r="V39" s="20" t="n">
        <v>787.1900000000001</v>
      </c>
      <c r="W39" s="20" t="n">
        <v>787.1900000000001</v>
      </c>
      <c r="X39" s="20" t="n">
        <v>787.1900000000001</v>
      </c>
      <c r="Y39" s="20" t="n">
        <v>787.1900000000001</v>
      </c>
      <c r="Z39" s="20" t="n">
        <v>787.1900000000001</v>
      </c>
      <c r="AA39" s="20" t="n">
        <v>787.1900000000001</v>
      </c>
      <c r="AB39" s="20" t="n">
        <v>787.1900000000001</v>
      </c>
      <c r="AC39" s="20" t="n">
        <v>787.1900000000001</v>
      </c>
      <c r="AD39" s="20" t="n">
        <v>787.1900000000001</v>
      </c>
      <c r="AE39" s="20" t="n">
        <v>787.1900000000001</v>
      </c>
      <c r="AF39" s="20" t="n">
        <v>787.1900000000001</v>
      </c>
      <c r="AG39" s="20" t="n">
        <v>787.1900000000001</v>
      </c>
      <c r="AH39" s="20" t="n">
        <v>787.1900000000001</v>
      </c>
      <c r="AI39" s="20" t="n">
        <v>787.1900000000001</v>
      </c>
      <c r="AJ39" s="20" t="n">
        <v>787.1900000000001</v>
      </c>
      <c r="AK39" s="20" t="n">
        <v>787.1900000000001</v>
      </c>
      <c r="AL39" s="20" t="n">
        <v>787.1900000000001</v>
      </c>
      <c r="AM39" s="20" t="n">
        <v>787.1900000000001</v>
      </c>
      <c r="AN39" s="20" t="n">
        <v>787.1900000000001</v>
      </c>
      <c r="AO39" s="20" t="n">
        <v>787.1900000000001</v>
      </c>
      <c r="AP39" s="20" t="n">
        <v>787.1900000000001</v>
      </c>
      <c r="AQ39" s="20" t="n">
        <v>787.1900000000001</v>
      </c>
      <c r="AR39" s="20" t="n">
        <v>787.1900000000001</v>
      </c>
      <c r="AS39" s="20" t="n">
        <v>787.1900000000001</v>
      </c>
      <c r="AT39" s="20" t="n">
        <v>787.1900000000001</v>
      </c>
      <c r="AU39" s="20" t="n">
        <v>787.1900000000001</v>
      </c>
      <c r="AV39" s="20" t="n">
        <v>787.1900000000001</v>
      </c>
      <c r="AW39" s="20" t="n">
        <v>787.1900000000001</v>
      </c>
      <c r="AX39" s="20" t="n">
        <v>787.1900000000001</v>
      </c>
      <c r="AY39" s="20" t="n">
        <v>787.1900000000001</v>
      </c>
    </row>
    <row r="40">
      <c r="B40" s="33" t="inlineStr">
        <is>
          <t xml:space="preserve">  608000 Insurance</t>
        </is>
      </c>
      <c r="D40" s="19" t="n">
        <v>300.66</v>
      </c>
      <c r="E40" s="19" t="n">
        <v>300.66</v>
      </c>
      <c r="F40" s="19" t="n">
        <v>300.66</v>
      </c>
      <c r="G40" s="19" t="n">
        <v>300.66</v>
      </c>
      <c r="H40" s="19" t="n">
        <v>300.66</v>
      </c>
      <c r="I40" s="19" t="n">
        <v>300.66</v>
      </c>
      <c r="J40" s="19" t="n">
        <v>300.66</v>
      </c>
      <c r="K40" s="19" t="n">
        <v>300.66</v>
      </c>
      <c r="L40" s="19" t="n">
        <v>300.66</v>
      </c>
      <c r="M40" s="19" t="n">
        <v>596.3200000000001</v>
      </c>
      <c r="N40" s="19" t="n">
        <v>596.3200000000001</v>
      </c>
      <c r="O40" s="19" t="n">
        <v>596.3200000000001</v>
      </c>
      <c r="P40" s="19" t="n">
        <v>131.96</v>
      </c>
      <c r="Q40" s="19" t="n">
        <v>131.96</v>
      </c>
      <c r="R40" s="19" t="n">
        <v>321.78</v>
      </c>
      <c r="S40" s="19" t="n">
        <v>321.78</v>
      </c>
      <c r="T40" s="84" t="n">
        <v>310.89</v>
      </c>
      <c r="U40" s="20" t="n">
        <v>198.61</v>
      </c>
      <c r="V40" s="20" t="n">
        <v>198.61</v>
      </c>
      <c r="W40" s="20" t="n">
        <v>198.61</v>
      </c>
      <c r="X40" s="20" t="n">
        <v>198.61</v>
      </c>
      <c r="Y40" s="20" t="n">
        <v>198.61</v>
      </c>
      <c r="Z40" s="20" t="n">
        <v>198.61</v>
      </c>
      <c r="AA40" s="20" t="n">
        <v>198.61</v>
      </c>
      <c r="AB40" s="20" t="n">
        <v>198.61</v>
      </c>
      <c r="AC40" s="20" t="n">
        <v>198.61</v>
      </c>
      <c r="AD40" s="20" t="n">
        <v>198.61</v>
      </c>
      <c r="AE40" s="20" t="n">
        <v>198.61</v>
      </c>
      <c r="AF40" s="20" t="n">
        <v>198.61</v>
      </c>
      <c r="AG40" s="20" t="n">
        <v>198.61</v>
      </c>
      <c r="AH40" s="20" t="n">
        <v>198.61</v>
      </c>
      <c r="AI40" s="20" t="n">
        <v>198.61</v>
      </c>
      <c r="AJ40" s="20" t="n">
        <v>198.61</v>
      </c>
      <c r="AK40" s="20" t="n">
        <v>198.61</v>
      </c>
      <c r="AL40" s="20" t="n">
        <v>198.61</v>
      </c>
      <c r="AM40" s="20" t="n">
        <v>198.61</v>
      </c>
      <c r="AN40" s="20" t="n">
        <v>198.61</v>
      </c>
      <c r="AO40" s="20" t="n">
        <v>198.61</v>
      </c>
      <c r="AP40" s="20" t="n">
        <v>198.61</v>
      </c>
      <c r="AQ40" s="20" t="n">
        <v>198.61</v>
      </c>
      <c r="AR40" s="20" t="n">
        <v>198.61</v>
      </c>
      <c r="AS40" s="20" t="n">
        <v>198.61</v>
      </c>
      <c r="AT40" s="20" t="n">
        <v>198.61</v>
      </c>
      <c r="AU40" s="20" t="n">
        <v>198.61</v>
      </c>
      <c r="AV40" s="20" t="n">
        <v>198.61</v>
      </c>
      <c r="AW40" s="20" t="n">
        <v>198.61</v>
      </c>
      <c r="AX40" s="20" t="n">
        <v>198.61</v>
      </c>
      <c r="AY40" s="20" t="n">
        <v>198.61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629.09</v>
      </c>
      <c r="Q41" s="19" t="n">
        <v>252.86</v>
      </c>
      <c r="R41" s="19" t="n">
        <v>1207.64</v>
      </c>
      <c r="S41" s="19" t="n">
        <v>338.23</v>
      </c>
      <c r="T41" s="84" t="n">
        <v>0</v>
      </c>
      <c r="U41" s="20" t="n">
        <v>531.34</v>
      </c>
      <c r="V41" s="20" t="n">
        <v>531.34</v>
      </c>
      <c r="W41" s="20" t="n">
        <v>531.34</v>
      </c>
      <c r="X41" s="20" t="n">
        <v>531.34</v>
      </c>
      <c r="Y41" s="20" t="n">
        <v>531.34</v>
      </c>
      <c r="Z41" s="20" t="n">
        <v>531.34</v>
      </c>
      <c r="AA41" s="20" t="n">
        <v>531.34</v>
      </c>
      <c r="AB41" s="20" t="n">
        <v>531.34</v>
      </c>
      <c r="AC41" s="20" t="n">
        <v>531.34</v>
      </c>
      <c r="AD41" s="20" t="n">
        <v>531.34</v>
      </c>
      <c r="AE41" s="20" t="n">
        <v>531.34</v>
      </c>
      <c r="AF41" s="20" t="n">
        <v>531.34</v>
      </c>
      <c r="AG41" s="20" t="n">
        <v>531.34</v>
      </c>
      <c r="AH41" s="20" t="n">
        <v>531.34</v>
      </c>
      <c r="AI41" s="20" t="n">
        <v>531.34</v>
      </c>
      <c r="AJ41" s="20" t="n">
        <v>531.34</v>
      </c>
      <c r="AK41" s="20" t="n">
        <v>531.34</v>
      </c>
      <c r="AL41" s="20" t="n">
        <v>531.34</v>
      </c>
      <c r="AM41" s="20" t="n">
        <v>531.34</v>
      </c>
      <c r="AN41" s="20" t="n">
        <v>531.34</v>
      </c>
      <c r="AO41" s="20" t="n">
        <v>531.34</v>
      </c>
      <c r="AP41" s="20" t="n">
        <v>531.34</v>
      </c>
      <c r="AQ41" s="20" t="n">
        <v>531.34</v>
      </c>
      <c r="AR41" s="20" t="n">
        <v>531.34</v>
      </c>
      <c r="AS41" s="20" t="n">
        <v>531.34</v>
      </c>
      <c r="AT41" s="20" t="n">
        <v>531.34</v>
      </c>
      <c r="AU41" s="20" t="n">
        <v>531.34</v>
      </c>
      <c r="AV41" s="20" t="n">
        <v>531.34</v>
      </c>
      <c r="AW41" s="20" t="n">
        <v>531.34</v>
      </c>
      <c r="AX41" s="20" t="n">
        <v>531.34</v>
      </c>
      <c r="AY41" s="20" t="n">
        <v>531.34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500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1250</v>
      </c>
      <c r="I44" s="19" t="n">
        <v>49.5</v>
      </c>
      <c r="J44" s="19" t="n">
        <v>49.5</v>
      </c>
      <c r="K44" s="19" t="n">
        <v>49.5</v>
      </c>
      <c r="L44" s="19" t="n">
        <v>57.5</v>
      </c>
      <c r="M44" s="19" t="n">
        <v>0</v>
      </c>
      <c r="N44" s="19" t="n">
        <v>154.54</v>
      </c>
      <c r="O44" s="19" t="n">
        <v>101.59</v>
      </c>
      <c r="P44" s="19" t="n">
        <v>0</v>
      </c>
      <c r="Q44" s="19" t="n">
        <v>301.82</v>
      </c>
      <c r="R44" s="19" t="n">
        <v>0</v>
      </c>
      <c r="S44" s="19" t="n">
        <v>0</v>
      </c>
      <c r="T44" s="84" t="n">
        <v>1116.82</v>
      </c>
      <c r="U44" s="20" t="n">
        <v>65.83</v>
      </c>
      <c r="V44" s="20" t="n">
        <v>65.83</v>
      </c>
      <c r="W44" s="20" t="n">
        <v>65.83</v>
      </c>
      <c r="X44" s="20" t="n">
        <v>65.83</v>
      </c>
      <c r="Y44" s="20" t="n">
        <v>65.83</v>
      </c>
      <c r="Z44" s="20" t="n">
        <v>65.83</v>
      </c>
      <c r="AA44" s="20" t="n">
        <v>65.83</v>
      </c>
      <c r="AB44" s="20" t="n">
        <v>65.83</v>
      </c>
      <c r="AC44" s="20" t="n">
        <v>65.83</v>
      </c>
      <c r="AD44" s="20" t="n">
        <v>65.83</v>
      </c>
      <c r="AE44" s="20" t="n">
        <v>65.83</v>
      </c>
      <c r="AF44" s="20" t="n">
        <v>65.83</v>
      </c>
      <c r="AG44" s="20" t="n">
        <v>65.83</v>
      </c>
      <c r="AH44" s="20" t="n">
        <v>65.83</v>
      </c>
      <c r="AI44" s="20" t="n">
        <v>65.83</v>
      </c>
      <c r="AJ44" s="20" t="n">
        <v>65.83</v>
      </c>
      <c r="AK44" s="20" t="n">
        <v>65.83</v>
      </c>
      <c r="AL44" s="20" t="n">
        <v>65.83</v>
      </c>
      <c r="AM44" s="20" t="n">
        <v>65.83</v>
      </c>
      <c r="AN44" s="20" t="n">
        <v>65.83</v>
      </c>
      <c r="AO44" s="20" t="n">
        <v>65.83</v>
      </c>
      <c r="AP44" s="20" t="n">
        <v>65.83</v>
      </c>
      <c r="AQ44" s="20" t="n">
        <v>65.83</v>
      </c>
      <c r="AR44" s="20" t="n">
        <v>65.83</v>
      </c>
      <c r="AS44" s="20" t="n">
        <v>65.83</v>
      </c>
      <c r="AT44" s="20" t="n">
        <v>65.83</v>
      </c>
      <c r="AU44" s="20" t="n">
        <v>65.83</v>
      </c>
      <c r="AV44" s="20" t="n">
        <v>65.83</v>
      </c>
      <c r="AW44" s="20" t="n">
        <v>65.83</v>
      </c>
      <c r="AX44" s="20" t="n">
        <v>65.83</v>
      </c>
      <c r="AY44" s="20" t="n">
        <v>65.83</v>
      </c>
    </row>
    <row r="45">
      <c r="B45" s="33" t="inlineStr">
        <is>
          <t xml:space="preserve">  604300 Recruiting</t>
        </is>
      </c>
      <c r="D45" s="19" t="n">
        <v>1915.6</v>
      </c>
      <c r="E45" s="19" t="n">
        <v>512.95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285.5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861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450.17</v>
      </c>
      <c r="V46" s="20" t="n">
        <v>450.17</v>
      </c>
      <c r="W46" s="20" t="n">
        <v>450.17</v>
      </c>
      <c r="X46" s="20" t="n">
        <v>450.17</v>
      </c>
      <c r="Y46" s="20" t="n">
        <v>450.17</v>
      </c>
      <c r="Z46" s="20" t="n">
        <v>450.17</v>
      </c>
      <c r="AA46" s="20" t="n">
        <v>450.17</v>
      </c>
      <c r="AB46" s="20" t="n">
        <v>450.17</v>
      </c>
      <c r="AC46" s="20" t="n">
        <v>450.17</v>
      </c>
      <c r="AD46" s="20" t="n">
        <v>450.17</v>
      </c>
      <c r="AE46" s="20" t="n">
        <v>450.17</v>
      </c>
      <c r="AF46" s="20" t="n">
        <v>450.17</v>
      </c>
      <c r="AG46" s="20" t="n">
        <v>450.17</v>
      </c>
      <c r="AH46" s="20" t="n">
        <v>450.17</v>
      </c>
      <c r="AI46" s="20" t="n">
        <v>450.17</v>
      </c>
      <c r="AJ46" s="20" t="n">
        <v>450.17</v>
      </c>
      <c r="AK46" s="20" t="n">
        <v>450.17</v>
      </c>
      <c r="AL46" s="20" t="n">
        <v>450.17</v>
      </c>
      <c r="AM46" s="20" t="n">
        <v>450.17</v>
      </c>
      <c r="AN46" s="20" t="n">
        <v>450.17</v>
      </c>
      <c r="AO46" s="20" t="n">
        <v>450.17</v>
      </c>
      <c r="AP46" s="20" t="n">
        <v>450.17</v>
      </c>
      <c r="AQ46" s="20" t="n">
        <v>450.17</v>
      </c>
      <c r="AR46" s="20" t="n">
        <v>450.17</v>
      </c>
      <c r="AS46" s="20" t="n">
        <v>450.17</v>
      </c>
      <c r="AT46" s="20" t="n">
        <v>450.17</v>
      </c>
      <c r="AU46" s="20" t="n">
        <v>450.17</v>
      </c>
      <c r="AV46" s="20" t="n">
        <v>450.17</v>
      </c>
      <c r="AW46" s="20" t="n">
        <v>450.17</v>
      </c>
      <c r="AX46" s="20" t="n">
        <v>450.17</v>
      </c>
      <c r="AY46" s="20" t="n">
        <v>450.17</v>
      </c>
    </row>
    <row r="47">
      <c r="B47" s="32" t="inlineStr">
        <is>
          <t>Total Professional Fees</t>
        </is>
      </c>
      <c r="C47" s="34" t="n"/>
      <c r="D47" s="35" t="n">
        <v>2201.1</v>
      </c>
      <c r="E47" s="35" t="n">
        <v>512.95</v>
      </c>
      <c r="F47" s="35" t="n">
        <v>0</v>
      </c>
      <c r="G47" s="35" t="n">
        <v>0</v>
      </c>
      <c r="H47" s="35" t="n">
        <v>1750</v>
      </c>
      <c r="I47" s="35" t="n">
        <v>49.5</v>
      </c>
      <c r="J47" s="35" t="n">
        <v>528.6</v>
      </c>
      <c r="K47" s="35" t="n">
        <v>528.6</v>
      </c>
      <c r="L47" s="35" t="n">
        <v>536.6</v>
      </c>
      <c r="M47" s="35" t="n">
        <v>861</v>
      </c>
      <c r="N47" s="35" t="n">
        <v>635.54</v>
      </c>
      <c r="O47" s="35" t="n">
        <v>598.77</v>
      </c>
      <c r="P47" s="35" t="n">
        <v>516</v>
      </c>
      <c r="Q47" s="35" t="n">
        <v>817.8199999999999</v>
      </c>
      <c r="R47" s="35" t="n">
        <v>516</v>
      </c>
      <c r="S47" s="35" t="n">
        <v>516</v>
      </c>
      <c r="T47" s="85" t="n">
        <v>1632.82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3.65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>
        <v>47.56</v>
      </c>
      <c r="E49" s="19" t="n">
        <v>151.46</v>
      </c>
      <c r="F49" s="19" t="n">
        <v>173.85</v>
      </c>
      <c r="G49" s="19" t="n">
        <v>62.56</v>
      </c>
      <c r="H49" s="19" t="n">
        <v>47.07</v>
      </c>
      <c r="I49" s="19" t="n">
        <v>274.46</v>
      </c>
      <c r="J49" s="19" t="n">
        <v>2280.03</v>
      </c>
      <c r="K49" s="19" t="n">
        <v>293.72</v>
      </c>
      <c r="L49" s="19" t="n">
        <v>424.37</v>
      </c>
      <c r="M49" s="19" t="n">
        <v>433.94</v>
      </c>
      <c r="N49" s="19" t="n">
        <v>11.06</v>
      </c>
      <c r="O49" s="19" t="n">
        <v>105.46</v>
      </c>
      <c r="P49" s="19" t="n">
        <v>0</v>
      </c>
      <c r="Q49" s="19" t="n">
        <v>4.97</v>
      </c>
      <c r="R49" s="19" t="n">
        <v>9.960000000000001</v>
      </c>
      <c r="S49" s="19" t="n">
        <v>538.15</v>
      </c>
      <c r="T49" s="84" t="n">
        <v>214.1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666.23</v>
      </c>
      <c r="E51" s="19" t="n">
        <v>563.42</v>
      </c>
      <c r="F51" s="19" t="n">
        <v>516.21</v>
      </c>
      <c r="G51" s="19" t="n">
        <v>501.94</v>
      </c>
      <c r="H51" s="19" t="n">
        <v>610.24</v>
      </c>
      <c r="I51" s="19" t="n">
        <v>0</v>
      </c>
      <c r="J51" s="19" t="n">
        <v>866.09</v>
      </c>
      <c r="K51" s="19" t="n">
        <v>821.25</v>
      </c>
      <c r="L51" s="19" t="n">
        <v>1194.78</v>
      </c>
      <c r="M51" s="19" t="n">
        <v>847.88</v>
      </c>
      <c r="N51" s="19" t="n">
        <v>511.01</v>
      </c>
      <c r="O51" s="19" t="n">
        <v>507.01</v>
      </c>
      <c r="P51" s="19" t="n">
        <v>477.46</v>
      </c>
      <c r="Q51" s="19" t="n">
        <v>604.29</v>
      </c>
      <c r="R51" s="19" t="n">
        <v>600.67</v>
      </c>
      <c r="S51" s="19" t="n">
        <v>680.12</v>
      </c>
      <c r="T51" s="84" t="n">
        <v>527.4299999999999</v>
      </c>
      <c r="U51" s="20" t="n">
        <v>592.6799999999999</v>
      </c>
      <c r="V51" s="20" t="n">
        <v>592.6799999999999</v>
      </c>
      <c r="W51" s="20" t="n">
        <v>592.6799999999999</v>
      </c>
      <c r="X51" s="20" t="n">
        <v>592.6799999999999</v>
      </c>
      <c r="Y51" s="20" t="n">
        <v>592.6799999999999</v>
      </c>
      <c r="Z51" s="20" t="n">
        <v>592.6799999999999</v>
      </c>
      <c r="AA51" s="20" t="n">
        <v>592.6799999999999</v>
      </c>
      <c r="AB51" s="20" t="n">
        <v>592.6799999999999</v>
      </c>
      <c r="AC51" s="20" t="n">
        <v>592.6799999999999</v>
      </c>
      <c r="AD51" s="20" t="n">
        <v>592.6799999999999</v>
      </c>
      <c r="AE51" s="20" t="n">
        <v>592.6799999999999</v>
      </c>
      <c r="AF51" s="20" t="n">
        <v>592.6799999999999</v>
      </c>
      <c r="AG51" s="20" t="n">
        <v>592.6799999999999</v>
      </c>
      <c r="AH51" s="20" t="n">
        <v>592.6799999999999</v>
      </c>
      <c r="AI51" s="20" t="n">
        <v>592.6799999999999</v>
      </c>
      <c r="AJ51" s="20" t="n">
        <v>592.6799999999999</v>
      </c>
      <c r="AK51" s="20" t="n">
        <v>592.6799999999999</v>
      </c>
      <c r="AL51" s="20" t="n">
        <v>592.6799999999999</v>
      </c>
      <c r="AM51" s="20" t="n">
        <v>592.6799999999999</v>
      </c>
      <c r="AN51" s="20" t="n">
        <v>592.6799999999999</v>
      </c>
      <c r="AO51" s="20" t="n">
        <v>592.6799999999999</v>
      </c>
      <c r="AP51" s="20" t="n">
        <v>592.6799999999999</v>
      </c>
      <c r="AQ51" s="20" t="n">
        <v>592.6799999999999</v>
      </c>
      <c r="AR51" s="20" t="n">
        <v>592.6799999999999</v>
      </c>
      <c r="AS51" s="20" t="n">
        <v>592.6799999999999</v>
      </c>
      <c r="AT51" s="20" t="n">
        <v>592.6799999999999</v>
      </c>
      <c r="AU51" s="20" t="n">
        <v>592.6799999999999</v>
      </c>
      <c r="AV51" s="20" t="n">
        <v>592.6799999999999</v>
      </c>
      <c r="AW51" s="20" t="n">
        <v>592.6799999999999</v>
      </c>
      <c r="AX51" s="20" t="n">
        <v>592.6799999999999</v>
      </c>
      <c r="AY51" s="20" t="n">
        <v>592.6799999999999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145.25</v>
      </c>
      <c r="R52" s="19" t="n">
        <v>145.25</v>
      </c>
      <c r="S52" s="19" t="n">
        <v>145.25</v>
      </c>
      <c r="T52" s="84" t="n">
        <v>0</v>
      </c>
      <c r="U52" s="20" t="n">
        <v>144.75</v>
      </c>
      <c r="V52" s="20" t="n">
        <v>144.75</v>
      </c>
      <c r="W52" s="20" t="n">
        <v>144.75</v>
      </c>
      <c r="X52" s="20" t="n">
        <v>144.75</v>
      </c>
      <c r="Y52" s="20" t="n">
        <v>144.75</v>
      </c>
      <c r="Z52" s="20" t="n">
        <v>144.75</v>
      </c>
      <c r="AA52" s="20" t="n">
        <v>144.75</v>
      </c>
      <c r="AB52" s="20" t="n">
        <v>144.75</v>
      </c>
      <c r="AC52" s="20" t="n">
        <v>144.75</v>
      </c>
      <c r="AD52" s="20" t="n">
        <v>144.75</v>
      </c>
      <c r="AE52" s="20" t="n">
        <v>144.75</v>
      </c>
      <c r="AF52" s="20" t="n">
        <v>144.75</v>
      </c>
      <c r="AG52" s="20" t="n">
        <v>144.75</v>
      </c>
      <c r="AH52" s="20" t="n">
        <v>144.75</v>
      </c>
      <c r="AI52" s="20" t="n">
        <v>144.75</v>
      </c>
      <c r="AJ52" s="20" t="n">
        <v>144.75</v>
      </c>
      <c r="AK52" s="20" t="n">
        <v>144.75</v>
      </c>
      <c r="AL52" s="20" t="n">
        <v>144.75</v>
      </c>
      <c r="AM52" s="20" t="n">
        <v>144.75</v>
      </c>
      <c r="AN52" s="20" t="n">
        <v>144.75</v>
      </c>
      <c r="AO52" s="20" t="n">
        <v>144.75</v>
      </c>
      <c r="AP52" s="20" t="n">
        <v>144.75</v>
      </c>
      <c r="AQ52" s="20" t="n">
        <v>144.75</v>
      </c>
      <c r="AR52" s="20" t="n">
        <v>144.75</v>
      </c>
      <c r="AS52" s="20" t="n">
        <v>144.75</v>
      </c>
      <c r="AT52" s="20" t="n">
        <v>144.75</v>
      </c>
      <c r="AU52" s="20" t="n">
        <v>144.75</v>
      </c>
      <c r="AV52" s="20" t="n">
        <v>144.75</v>
      </c>
      <c r="AW52" s="20" t="n">
        <v>144.75</v>
      </c>
      <c r="AX52" s="20" t="n">
        <v>144.75</v>
      </c>
      <c r="AY52" s="20" t="n">
        <v>144.75</v>
      </c>
    </row>
    <row r="53">
      <c r="B53" s="33" t="inlineStr">
        <is>
          <t xml:space="preserve">  616003 Phone service</t>
        </is>
      </c>
      <c r="D53" s="19" t="n">
        <v>277.5</v>
      </c>
      <c r="E53" s="19" t="n">
        <v>0</v>
      </c>
      <c r="F53" s="19" t="n">
        <v>192.41</v>
      </c>
      <c r="G53" s="19" t="n">
        <v>143.07</v>
      </c>
      <c r="H53" s="19" t="n">
        <v>143.07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214</v>
      </c>
      <c r="N53" s="19" t="n">
        <v>161.85</v>
      </c>
      <c r="O53" s="19" t="n">
        <v>157.09</v>
      </c>
      <c r="P53" s="19" t="n">
        <v>137.66</v>
      </c>
      <c r="Q53" s="19" t="n">
        <v>137.66</v>
      </c>
      <c r="R53" s="19" t="n">
        <v>138.22</v>
      </c>
      <c r="S53" s="19" t="n">
        <v>139.16</v>
      </c>
      <c r="T53" s="84" t="n">
        <v>139.16</v>
      </c>
      <c r="U53" s="20" t="n">
        <v>138.65</v>
      </c>
      <c r="V53" s="20" t="n">
        <v>138.65</v>
      </c>
      <c r="W53" s="20" t="n">
        <v>138.65</v>
      </c>
      <c r="X53" s="20" t="n">
        <v>138.65</v>
      </c>
      <c r="Y53" s="20" t="n">
        <v>138.65</v>
      </c>
      <c r="Z53" s="20" t="n">
        <v>138.65</v>
      </c>
      <c r="AA53" s="20" t="n">
        <v>138.65</v>
      </c>
      <c r="AB53" s="20" t="n">
        <v>138.65</v>
      </c>
      <c r="AC53" s="20" t="n">
        <v>138.65</v>
      </c>
      <c r="AD53" s="20" t="n">
        <v>138.65</v>
      </c>
      <c r="AE53" s="20" t="n">
        <v>138.65</v>
      </c>
      <c r="AF53" s="20" t="n">
        <v>138.65</v>
      </c>
      <c r="AG53" s="20" t="n">
        <v>138.65</v>
      </c>
      <c r="AH53" s="20" t="n">
        <v>138.65</v>
      </c>
      <c r="AI53" s="20" t="n">
        <v>138.65</v>
      </c>
      <c r="AJ53" s="20" t="n">
        <v>138.65</v>
      </c>
      <c r="AK53" s="20" t="n">
        <v>138.65</v>
      </c>
      <c r="AL53" s="20" t="n">
        <v>138.65</v>
      </c>
      <c r="AM53" s="20" t="n">
        <v>138.65</v>
      </c>
      <c r="AN53" s="20" t="n">
        <v>138.65</v>
      </c>
      <c r="AO53" s="20" t="n">
        <v>138.65</v>
      </c>
      <c r="AP53" s="20" t="n">
        <v>138.65</v>
      </c>
      <c r="AQ53" s="20" t="n">
        <v>138.65</v>
      </c>
      <c r="AR53" s="20" t="n">
        <v>138.65</v>
      </c>
      <c r="AS53" s="20" t="n">
        <v>138.65</v>
      </c>
      <c r="AT53" s="20" t="n">
        <v>138.65</v>
      </c>
      <c r="AU53" s="20" t="n">
        <v>138.65</v>
      </c>
      <c r="AV53" s="20" t="n">
        <v>138.65</v>
      </c>
      <c r="AW53" s="20" t="n">
        <v>138.65</v>
      </c>
      <c r="AX53" s="20" t="n">
        <v>138.65</v>
      </c>
      <c r="AY53" s="20" t="n">
        <v>138.65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95.67</v>
      </c>
      <c r="F54" s="19" t="n">
        <v>95.66</v>
      </c>
      <c r="G54" s="19" t="n">
        <v>83.69</v>
      </c>
      <c r="H54" s="19" t="n">
        <v>83.68000000000001</v>
      </c>
      <c r="I54" s="19" t="n">
        <v>94.79000000000001</v>
      </c>
      <c r="J54" s="19" t="n">
        <v>94.79000000000001</v>
      </c>
      <c r="K54" s="19" t="n">
        <v>0</v>
      </c>
      <c r="L54" s="19" t="n">
        <v>0</v>
      </c>
      <c r="M54" s="19" t="n">
        <v>0</v>
      </c>
      <c r="N54" s="19" t="n">
        <v>229.43</v>
      </c>
      <c r="O54" s="19" t="n">
        <v>229.43</v>
      </c>
      <c r="P54" s="19" t="n">
        <v>458.86</v>
      </c>
      <c r="Q54" s="19" t="n">
        <v>434.17</v>
      </c>
      <c r="R54" s="19" t="n">
        <v>0</v>
      </c>
      <c r="S54" s="19" t="n">
        <v>458.86</v>
      </c>
      <c r="T54" s="84" t="n">
        <v>200</v>
      </c>
      <c r="U54" s="20" t="n">
        <v>339.14</v>
      </c>
      <c r="V54" s="20" t="n">
        <v>339.14</v>
      </c>
      <c r="W54" s="20" t="n">
        <v>339.14</v>
      </c>
      <c r="X54" s="20" t="n">
        <v>339.14</v>
      </c>
      <c r="Y54" s="20" t="n">
        <v>339.14</v>
      </c>
      <c r="Z54" s="20" t="n">
        <v>339.14</v>
      </c>
      <c r="AA54" s="20" t="n">
        <v>339.14</v>
      </c>
      <c r="AB54" s="20" t="n">
        <v>339.14</v>
      </c>
      <c r="AC54" s="20" t="n">
        <v>339.14</v>
      </c>
      <c r="AD54" s="20" t="n">
        <v>339.14</v>
      </c>
      <c r="AE54" s="20" t="n">
        <v>339.14</v>
      </c>
      <c r="AF54" s="20" t="n">
        <v>339.14</v>
      </c>
      <c r="AG54" s="20" t="n">
        <v>339.14</v>
      </c>
      <c r="AH54" s="20" t="n">
        <v>339.14</v>
      </c>
      <c r="AI54" s="20" t="n">
        <v>339.14</v>
      </c>
      <c r="AJ54" s="20" t="n">
        <v>339.14</v>
      </c>
      <c r="AK54" s="20" t="n">
        <v>339.14</v>
      </c>
      <c r="AL54" s="20" t="n">
        <v>339.14</v>
      </c>
      <c r="AM54" s="20" t="n">
        <v>339.14</v>
      </c>
      <c r="AN54" s="20" t="n">
        <v>339.14</v>
      </c>
      <c r="AO54" s="20" t="n">
        <v>339.14</v>
      </c>
      <c r="AP54" s="20" t="n">
        <v>339.14</v>
      </c>
      <c r="AQ54" s="20" t="n">
        <v>339.14</v>
      </c>
      <c r="AR54" s="20" t="n">
        <v>339.14</v>
      </c>
      <c r="AS54" s="20" t="n">
        <v>339.14</v>
      </c>
      <c r="AT54" s="20" t="n">
        <v>339.14</v>
      </c>
      <c r="AU54" s="20" t="n">
        <v>339.14</v>
      </c>
      <c r="AV54" s="20" t="n">
        <v>339.14</v>
      </c>
      <c r="AW54" s="20" t="n">
        <v>339.14</v>
      </c>
      <c r="AX54" s="20" t="n">
        <v>339.14</v>
      </c>
      <c r="AY54" s="20" t="n">
        <v>339.14</v>
      </c>
    </row>
    <row r="55">
      <c r="B55" s="33" t="inlineStr">
        <is>
          <t xml:space="preserve">  616005 Disposal Services</t>
        </is>
      </c>
      <c r="D55" s="19" t="n">
        <v>0</v>
      </c>
      <c r="E55" s="19" t="n">
        <v>574</v>
      </c>
      <c r="F55" s="19" t="n">
        <v>362.25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1064.97</v>
      </c>
      <c r="E56" s="35" t="n">
        <v>1233.09</v>
      </c>
      <c r="F56" s="35" t="n">
        <v>1166.53</v>
      </c>
      <c r="G56" s="35" t="n">
        <v>728.7</v>
      </c>
      <c r="H56" s="35" t="n">
        <v>836.99</v>
      </c>
      <c r="I56" s="35" t="n">
        <v>94.79000000000001</v>
      </c>
      <c r="J56" s="35" t="n">
        <v>960.88</v>
      </c>
      <c r="K56" s="35" t="n">
        <v>942.49</v>
      </c>
      <c r="L56" s="35" t="n">
        <v>1316.02</v>
      </c>
      <c r="M56" s="35" t="n">
        <v>1203.13</v>
      </c>
      <c r="N56" s="35" t="n">
        <v>1043.54</v>
      </c>
      <c r="O56" s="35" t="n">
        <v>1034.78</v>
      </c>
      <c r="P56" s="35" t="n">
        <v>1215.23</v>
      </c>
      <c r="Q56" s="35" t="n">
        <v>1321.37</v>
      </c>
      <c r="R56" s="35" t="n">
        <v>884.14</v>
      </c>
      <c r="S56" s="35" t="n">
        <v>1423.39</v>
      </c>
      <c r="T56" s="85" t="n">
        <v>1011.84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15582.52</v>
      </c>
      <c r="E57" s="19" t="n">
        <v>15582.52</v>
      </c>
      <c r="F57" s="19" t="n">
        <v>15582.52</v>
      </c>
      <c r="G57" s="19" t="n">
        <v>15582.52</v>
      </c>
      <c r="H57" s="19" t="n">
        <v>15582.52</v>
      </c>
      <c r="I57" s="19" t="n">
        <v>15582.52</v>
      </c>
      <c r="J57" s="19" t="n">
        <v>15582.52</v>
      </c>
      <c r="K57" s="19" t="n">
        <v>15582.52</v>
      </c>
      <c r="L57" s="19" t="n">
        <v>15582.52</v>
      </c>
      <c r="M57" s="19" t="n">
        <v>15582.52</v>
      </c>
      <c r="N57" s="19" t="n">
        <v>15582.52</v>
      </c>
      <c r="O57" s="19" t="n">
        <v>15582.52</v>
      </c>
      <c r="P57" s="19" t="n">
        <v>15582.52</v>
      </c>
      <c r="Q57" s="19" t="n">
        <v>15582.52</v>
      </c>
      <c r="R57" s="19" t="n">
        <v>15582.52</v>
      </c>
      <c r="S57" s="19" t="n">
        <v>15582.52</v>
      </c>
      <c r="T57" s="84" t="n">
        <v>15582.52</v>
      </c>
      <c r="U57" s="20" t="n">
        <v>16127.52</v>
      </c>
      <c r="V57" s="20" t="n">
        <v>16127.52</v>
      </c>
      <c r="W57" s="20" t="n">
        <v>16127.52</v>
      </c>
      <c r="X57" s="20" t="n">
        <v>16127.52</v>
      </c>
      <c r="Y57" s="20" t="n">
        <v>16127.52</v>
      </c>
      <c r="Z57" s="20" t="n">
        <v>16127.52</v>
      </c>
      <c r="AA57" s="20" t="n">
        <v>16127.52</v>
      </c>
      <c r="AB57" s="20" t="n">
        <v>16127.52</v>
      </c>
      <c r="AC57" s="20" t="n">
        <v>16127.52</v>
      </c>
      <c r="AD57" s="20" t="n">
        <v>16127.52</v>
      </c>
      <c r="AE57" s="20" t="n">
        <v>16127.52</v>
      </c>
      <c r="AF57" s="20" t="n">
        <v>16127.52</v>
      </c>
      <c r="AG57" s="20" t="n">
        <v>16127.52</v>
      </c>
      <c r="AH57" s="20" t="n">
        <v>16127.52</v>
      </c>
      <c r="AI57" s="20" t="n">
        <v>16127.52</v>
      </c>
      <c r="AJ57" s="20" t="n">
        <v>16127.52</v>
      </c>
      <c r="AK57" s="20" t="n">
        <v>16127.52</v>
      </c>
      <c r="AL57" s="20" t="n">
        <v>16127.52</v>
      </c>
      <c r="AM57" s="20" t="n">
        <v>16127.52</v>
      </c>
      <c r="AN57" s="20" t="n">
        <v>16127.52</v>
      </c>
      <c r="AO57" s="20" t="n">
        <v>16127.52</v>
      </c>
      <c r="AP57" s="20" t="n">
        <v>16127.52</v>
      </c>
      <c r="AQ57" s="20" t="n">
        <v>16127.52</v>
      </c>
      <c r="AR57" s="20" t="n">
        <v>16127.52</v>
      </c>
      <c r="AS57" s="20" t="n">
        <v>16127.52</v>
      </c>
      <c r="AT57" s="20" t="n">
        <v>16127.52</v>
      </c>
      <c r="AU57" s="20" t="n">
        <v>16127.52</v>
      </c>
      <c r="AV57" s="20" t="n">
        <v>16127.52</v>
      </c>
      <c r="AW57" s="20" t="n">
        <v>16127.52</v>
      </c>
      <c r="AX57" s="20" t="n">
        <v>16127.52</v>
      </c>
      <c r="AY57" s="20" t="n">
        <v>16127.52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700</v>
      </c>
      <c r="E59" s="19" t="n">
        <v>1314.97</v>
      </c>
      <c r="F59" s="19" t="n">
        <v>0</v>
      </c>
      <c r="G59" s="19" t="n">
        <v>1765.21</v>
      </c>
      <c r="H59" s="19" t="n">
        <v>1212.27</v>
      </c>
      <c r="I59" s="19" t="n">
        <v>2109.7</v>
      </c>
      <c r="J59" s="19" t="n">
        <v>1976.84</v>
      </c>
      <c r="K59" s="19" t="n">
        <v>1147.41</v>
      </c>
      <c r="L59" s="19" t="n">
        <v>643.53</v>
      </c>
      <c r="M59" s="19" t="n">
        <v>1102.11</v>
      </c>
      <c r="N59" s="19" t="n">
        <v>924.95</v>
      </c>
      <c r="O59" s="19" t="n">
        <v>1137.71</v>
      </c>
      <c r="P59" s="19" t="n">
        <v>1702.39</v>
      </c>
      <c r="Q59" s="19" t="n">
        <v>409.9</v>
      </c>
      <c r="R59" s="19" t="n">
        <v>1181.98</v>
      </c>
      <c r="S59" s="19" t="n">
        <v>970.38</v>
      </c>
      <c r="T59" s="84" t="n">
        <v>1620.47</v>
      </c>
      <c r="U59" s="20" t="n">
        <v>1103.45</v>
      </c>
      <c r="V59" s="20" t="n">
        <v>1103.45</v>
      </c>
      <c r="W59" s="20" t="n">
        <v>1103.45</v>
      </c>
      <c r="X59" s="20" t="n">
        <v>1103.45</v>
      </c>
      <c r="Y59" s="20" t="n">
        <v>1103.45</v>
      </c>
      <c r="Z59" s="20" t="n">
        <v>1103.45</v>
      </c>
      <c r="AA59" s="20" t="n">
        <v>1103.45</v>
      </c>
      <c r="AB59" s="20" t="n">
        <v>1103.45</v>
      </c>
      <c r="AC59" s="20" t="n">
        <v>1103.45</v>
      </c>
      <c r="AD59" s="20" t="n">
        <v>1103.45</v>
      </c>
      <c r="AE59" s="20" t="n">
        <v>1103.45</v>
      </c>
      <c r="AF59" s="20" t="n">
        <v>1103.45</v>
      </c>
      <c r="AG59" s="20" t="n">
        <v>1103.45</v>
      </c>
      <c r="AH59" s="20" t="n">
        <v>1103.45</v>
      </c>
      <c r="AI59" s="20" t="n">
        <v>1103.45</v>
      </c>
      <c r="AJ59" s="20" t="n">
        <v>1103.45</v>
      </c>
      <c r="AK59" s="20" t="n">
        <v>1103.45</v>
      </c>
      <c r="AL59" s="20" t="n">
        <v>1103.45</v>
      </c>
      <c r="AM59" s="20" t="n">
        <v>1103.45</v>
      </c>
      <c r="AN59" s="20" t="n">
        <v>1103.45</v>
      </c>
      <c r="AO59" s="20" t="n">
        <v>1103.45</v>
      </c>
      <c r="AP59" s="20" t="n">
        <v>1103.45</v>
      </c>
      <c r="AQ59" s="20" t="n">
        <v>1103.45</v>
      </c>
      <c r="AR59" s="20" t="n">
        <v>1103.45</v>
      </c>
      <c r="AS59" s="20" t="n">
        <v>1103.45</v>
      </c>
      <c r="AT59" s="20" t="n">
        <v>1103.45</v>
      </c>
      <c r="AU59" s="20" t="n">
        <v>1103.45</v>
      </c>
      <c r="AV59" s="20" t="n">
        <v>1103.45</v>
      </c>
      <c r="AW59" s="20" t="n">
        <v>1103.45</v>
      </c>
      <c r="AX59" s="20" t="n">
        <v>1103.45</v>
      </c>
      <c r="AY59" s="20" t="n">
        <v>1103.45</v>
      </c>
    </row>
    <row r="60">
      <c r="B60" s="33" t="inlineStr">
        <is>
          <t xml:space="preserve">  705000 Property Maintenance</t>
        </is>
      </c>
      <c r="D60" s="19" t="n">
        <v>7605.49</v>
      </c>
      <c r="E60" s="19" t="n">
        <v>7265.05</v>
      </c>
      <c r="F60" s="19" t="n">
        <v>7866.22</v>
      </c>
      <c r="G60" s="19" t="n">
        <v>9238.219999999999</v>
      </c>
      <c r="H60" s="19" t="n">
        <v>7265.05</v>
      </c>
      <c r="I60" s="19" t="n">
        <v>7265.05</v>
      </c>
      <c r="J60" s="19" t="n">
        <v>7627.65</v>
      </c>
      <c r="K60" s="19" t="n">
        <v>8053.72</v>
      </c>
      <c r="L60" s="19" t="n">
        <v>7648.88</v>
      </c>
      <c r="M60" s="19" t="n">
        <v>7648.88</v>
      </c>
      <c r="N60" s="19" t="n">
        <v>7648.88</v>
      </c>
      <c r="O60" s="19" t="n">
        <v>7371.75</v>
      </c>
      <c r="P60" s="19" t="n">
        <v>7378.21</v>
      </c>
      <c r="Q60" s="19" t="n">
        <v>7323.54</v>
      </c>
      <c r="R60" s="19" t="n">
        <v>7971.04</v>
      </c>
      <c r="S60" s="19" t="n">
        <v>7323.54</v>
      </c>
      <c r="T60" s="84" t="n">
        <v>8225.23</v>
      </c>
      <c r="U60" s="20" t="n">
        <v>7761.37</v>
      </c>
      <c r="V60" s="20" t="n">
        <v>7761.37</v>
      </c>
      <c r="W60" s="20" t="n">
        <v>7761.37</v>
      </c>
      <c r="X60" s="20" t="n">
        <v>7761.37</v>
      </c>
      <c r="Y60" s="20" t="n">
        <v>7761.37</v>
      </c>
      <c r="Z60" s="20" t="n">
        <v>7761.37</v>
      </c>
      <c r="AA60" s="20" t="n">
        <v>7761.37</v>
      </c>
      <c r="AB60" s="20" t="n">
        <v>7761.37</v>
      </c>
      <c r="AC60" s="20" t="n">
        <v>7761.37</v>
      </c>
      <c r="AD60" s="20" t="n">
        <v>7761.37</v>
      </c>
      <c r="AE60" s="20" t="n">
        <v>7761.37</v>
      </c>
      <c r="AF60" s="20" t="n">
        <v>7761.37</v>
      </c>
      <c r="AG60" s="20" t="n">
        <v>7761.37</v>
      </c>
      <c r="AH60" s="20" t="n">
        <v>7761.37</v>
      </c>
      <c r="AI60" s="20" t="n">
        <v>7761.37</v>
      </c>
      <c r="AJ60" s="20" t="n">
        <v>7761.37</v>
      </c>
      <c r="AK60" s="20" t="n">
        <v>7761.37</v>
      </c>
      <c r="AL60" s="20" t="n">
        <v>7761.37</v>
      </c>
      <c r="AM60" s="20" t="n">
        <v>7761.37</v>
      </c>
      <c r="AN60" s="20" t="n">
        <v>7761.37</v>
      </c>
      <c r="AO60" s="20" t="n">
        <v>7761.37</v>
      </c>
      <c r="AP60" s="20" t="n">
        <v>7761.37</v>
      </c>
      <c r="AQ60" s="20" t="n">
        <v>7761.37</v>
      </c>
      <c r="AR60" s="20" t="n">
        <v>7761.37</v>
      </c>
      <c r="AS60" s="20" t="n">
        <v>7761.37</v>
      </c>
      <c r="AT60" s="20" t="n">
        <v>7761.37</v>
      </c>
      <c r="AU60" s="20" t="n">
        <v>7761.37</v>
      </c>
      <c r="AV60" s="20" t="n">
        <v>7761.37</v>
      </c>
      <c r="AW60" s="20" t="n">
        <v>7761.37</v>
      </c>
      <c r="AX60" s="20" t="n">
        <v>7761.37</v>
      </c>
      <c r="AY60" s="20" t="n">
        <v>7761.37</v>
      </c>
    </row>
    <row r="61">
      <c r="B61" s="32" t="inlineStr">
        <is>
          <t>Total Property Costs</t>
        </is>
      </c>
      <c r="C61" s="34" t="n"/>
      <c r="D61" s="35" t="n">
        <v>23888.01</v>
      </c>
      <c r="E61" s="35" t="n">
        <v>24162.54</v>
      </c>
      <c r="F61" s="35" t="n">
        <v>23448.74</v>
      </c>
      <c r="G61" s="35" t="n">
        <v>26585.95</v>
      </c>
      <c r="H61" s="35" t="n">
        <v>24059.84</v>
      </c>
      <c r="I61" s="35" t="n">
        <v>24957.27</v>
      </c>
      <c r="J61" s="35" t="n">
        <v>25910.47</v>
      </c>
      <c r="K61" s="35" t="n">
        <v>24783.65</v>
      </c>
      <c r="L61" s="35" t="n">
        <v>23874.93</v>
      </c>
      <c r="M61" s="35" t="n">
        <v>24371.9</v>
      </c>
      <c r="N61" s="35" t="n">
        <v>24156.35</v>
      </c>
      <c r="O61" s="35" t="n">
        <v>24091.98</v>
      </c>
      <c r="P61" s="35" t="n">
        <v>24992.34</v>
      </c>
      <c r="Q61" s="35" t="n">
        <v>23315.96</v>
      </c>
      <c r="R61" s="35" t="n">
        <v>24735.54</v>
      </c>
      <c r="S61" s="35" t="n">
        <v>23876.44</v>
      </c>
      <c r="T61" s="85" t="n">
        <v>25428.22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118754.59</v>
      </c>
      <c r="E62" s="35" t="n">
        <v>119657.58</v>
      </c>
      <c r="F62" s="35" t="n">
        <v>133513.63</v>
      </c>
      <c r="G62" s="35" t="n">
        <v>127748.94</v>
      </c>
      <c r="H62" s="35" t="n">
        <v>150434.04</v>
      </c>
      <c r="I62" s="35" t="n">
        <v>130305.44</v>
      </c>
      <c r="J62" s="35" t="n">
        <v>139357.7</v>
      </c>
      <c r="K62" s="35" t="n">
        <v>129397.84</v>
      </c>
      <c r="L62" s="35" t="n">
        <v>128812.84</v>
      </c>
      <c r="M62" s="35" t="n">
        <v>130390.29</v>
      </c>
      <c r="N62" s="35" t="n">
        <v>113447.97</v>
      </c>
      <c r="O62" s="35" t="n">
        <v>129777.29</v>
      </c>
      <c r="P62" s="35" t="n">
        <v>141682.39</v>
      </c>
      <c r="Q62" s="35" t="n">
        <v>122274.48</v>
      </c>
      <c r="R62" s="35" t="n">
        <v>118752.56</v>
      </c>
      <c r="S62" s="35" t="n">
        <v>114973.87</v>
      </c>
      <c r="T62" s="85" t="n">
        <v>121561.51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22854.13</v>
      </c>
      <c r="E63" s="35" t="n">
        <v>48112.07000000001</v>
      </c>
      <c r="F63" s="35" t="n">
        <v>69473.27999999997</v>
      </c>
      <c r="G63" s="35" t="n">
        <v>72298.39999999999</v>
      </c>
      <c r="H63" s="35" t="n">
        <v>38914.98999999993</v>
      </c>
      <c r="I63" s="35" t="n">
        <v>57382.53000000003</v>
      </c>
      <c r="J63" s="35" t="n">
        <v>50246.12</v>
      </c>
      <c r="K63" s="35" t="n">
        <v>74471.71000000002</v>
      </c>
      <c r="L63" s="35" t="n">
        <v>44678.14000000004</v>
      </c>
      <c r="M63" s="35" t="n">
        <v>44863.28999999995</v>
      </c>
      <c r="N63" s="35" t="n">
        <v>55537.78</v>
      </c>
      <c r="O63" s="35" t="n">
        <v>62336.22999999998</v>
      </c>
      <c r="P63" s="35" t="n">
        <v>80150.89999999999</v>
      </c>
      <c r="Q63" s="35" t="n">
        <v>59288.15999999997</v>
      </c>
      <c r="R63" s="35" t="n">
        <v>49495.37</v>
      </c>
      <c r="S63" s="35" t="n">
        <v>48932.91000000005</v>
      </c>
      <c r="T63" s="85" t="n">
        <v>38619.37999999998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1930.47</v>
      </c>
      <c r="E65" s="19" t="n">
        <v>1926.7</v>
      </c>
      <c r="F65" s="19" t="n">
        <v>1926.7</v>
      </c>
      <c r="G65" s="19" t="n">
        <v>1936.47</v>
      </c>
      <c r="H65" s="19" t="n">
        <v>1957.26</v>
      </c>
      <c r="I65" s="19" t="n">
        <v>1964.48</v>
      </c>
      <c r="J65" s="19" t="n">
        <v>1985.01</v>
      </c>
      <c r="K65" s="19" t="n">
        <v>1985.01</v>
      </c>
      <c r="L65" s="19" t="n">
        <v>1985.01</v>
      </c>
      <c r="M65" s="19" t="n">
        <v>1985.01</v>
      </c>
      <c r="N65" s="19" t="n">
        <v>1985.01</v>
      </c>
      <c r="O65" s="19" t="n">
        <v>5928.83</v>
      </c>
      <c r="P65" s="19" t="n">
        <v>2293.28</v>
      </c>
      <c r="Q65" s="19" t="n">
        <v>2293.28</v>
      </c>
      <c r="R65" s="19" t="n">
        <v>2293.28</v>
      </c>
      <c r="S65" s="19" t="n">
        <v>2310.25</v>
      </c>
      <c r="T65" s="84" t="n">
        <v>2293.28</v>
      </c>
      <c r="U65" s="20" t="n">
        <v>2293.28</v>
      </c>
      <c r="V65" s="20" t="n">
        <v>2293.28</v>
      </c>
      <c r="W65" s="20" t="n">
        <v>2293.28</v>
      </c>
      <c r="X65" s="20" t="n">
        <v>2293.28</v>
      </c>
      <c r="Y65" s="20" t="n">
        <v>2293.28</v>
      </c>
      <c r="Z65" s="20" t="n">
        <v>2293.28</v>
      </c>
      <c r="AA65" s="20" t="n">
        <v>2293.28</v>
      </c>
      <c r="AB65" s="20" t="n">
        <v>2293.28</v>
      </c>
      <c r="AC65" s="20" t="n">
        <v>2293.28</v>
      </c>
      <c r="AD65" s="20" t="n">
        <v>2293.28</v>
      </c>
      <c r="AE65" s="20" t="n">
        <v>2293.28</v>
      </c>
      <c r="AF65" s="20" t="n">
        <v>2293.28</v>
      </c>
      <c r="AG65" s="20" t="n">
        <v>2293.28</v>
      </c>
      <c r="AH65" s="20" t="n">
        <v>2293.28</v>
      </c>
      <c r="AI65" s="20" t="n">
        <v>2293.28</v>
      </c>
      <c r="AJ65" s="20" t="n">
        <v>2293.28</v>
      </c>
      <c r="AK65" s="20" t="n">
        <v>2293.28</v>
      </c>
      <c r="AL65" s="20" t="n">
        <v>2293.28</v>
      </c>
      <c r="AM65" s="20" t="n">
        <v>2293.28</v>
      </c>
      <c r="AN65" s="20">
        <f>AN69*0.355901</f>
        <v/>
      </c>
      <c r="AO65" s="20">
        <f>AO69*0.355901</f>
        <v/>
      </c>
      <c r="AP65" s="20">
        <f>AP69*0.355901</f>
        <v/>
      </c>
      <c r="AQ65" s="20">
        <f>AQ69*0.355901</f>
        <v/>
      </c>
      <c r="AR65" s="20">
        <f>AR69*0.355901</f>
        <v/>
      </c>
      <c r="AS65" s="20">
        <f>AS69*0.355901</f>
        <v/>
      </c>
      <c r="AT65" s="20">
        <f>AT69*0.355901</f>
        <v/>
      </c>
      <c r="AU65" s="20">
        <f>AU69*0.355901</f>
        <v/>
      </c>
      <c r="AV65" s="20">
        <f>AV69*0.355901</f>
        <v/>
      </c>
      <c r="AW65" s="20">
        <f>AW69*0.355901</f>
        <v/>
      </c>
      <c r="AX65" s="20">
        <f>AX69*0.355901</f>
        <v/>
      </c>
      <c r="AY65" s="20">
        <f>AY69*0.355901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3890</v>
      </c>
      <c r="Q66" s="19" t="n">
        <v>3890</v>
      </c>
      <c r="R66" s="19" t="n">
        <v>3890</v>
      </c>
      <c r="S66" s="19" t="n">
        <v>3890</v>
      </c>
      <c r="T66" s="84" t="n">
        <v>0</v>
      </c>
      <c r="U66" s="20">
        <f>U69*0.602586</f>
        <v/>
      </c>
      <c r="V66" s="20">
        <f>V69*0.602586</f>
        <v/>
      </c>
      <c r="W66" s="20">
        <f>W69*0.602586</f>
        <v/>
      </c>
      <c r="X66" s="20">
        <f>X69*0.602586</f>
        <v/>
      </c>
      <c r="Y66" s="20">
        <f>Y69*0.602586</f>
        <v/>
      </c>
      <c r="Z66" s="20">
        <f>Z69*0.602586</f>
        <v/>
      </c>
      <c r="AA66" s="20">
        <f>AA69*0.602586</f>
        <v/>
      </c>
      <c r="AB66" s="20">
        <f>AB69*0.602586</f>
        <v/>
      </c>
      <c r="AC66" s="20">
        <f>AC69*0.602586</f>
        <v/>
      </c>
      <c r="AD66" s="20">
        <f>AD69*0.602586</f>
        <v/>
      </c>
      <c r="AE66" s="20">
        <f>AE69*0.602586</f>
        <v/>
      </c>
      <c r="AF66" s="20">
        <f>AF69*0.602586</f>
        <v/>
      </c>
      <c r="AG66" s="20">
        <f>AG69*0.602586</f>
        <v/>
      </c>
      <c r="AH66" s="20">
        <f>AH69*0.602586</f>
        <v/>
      </c>
      <c r="AI66" s="20">
        <f>AI69*0.602586</f>
        <v/>
      </c>
      <c r="AJ66" s="20">
        <f>AJ69*0.602586</f>
        <v/>
      </c>
      <c r="AK66" s="20">
        <f>AK69*0.602586</f>
        <v/>
      </c>
      <c r="AL66" s="20">
        <f>AL69*0.602586</f>
        <v/>
      </c>
      <c r="AM66" s="20">
        <f>AM69*0.602586</f>
        <v/>
      </c>
      <c r="AN66" s="20">
        <f>AN69*0.602586</f>
        <v/>
      </c>
      <c r="AO66" s="20">
        <f>AO69*0.602586</f>
        <v/>
      </c>
      <c r="AP66" s="20">
        <f>AP69*0.602586</f>
        <v/>
      </c>
      <c r="AQ66" s="20">
        <f>AQ69*0.602586</f>
        <v/>
      </c>
      <c r="AR66" s="20">
        <f>AR69*0.602586</f>
        <v/>
      </c>
      <c r="AS66" s="20">
        <f>AS69*0.602586</f>
        <v/>
      </c>
      <c r="AT66" s="20">
        <f>AT69*0.602586</f>
        <v/>
      </c>
      <c r="AU66" s="20">
        <f>AU69*0.602586</f>
        <v/>
      </c>
      <c r="AV66" s="20">
        <f>AV69*0.602586</f>
        <v/>
      </c>
      <c r="AW66" s="20">
        <f>AW69*0.602586</f>
        <v/>
      </c>
      <c r="AX66" s="20">
        <f>AX69*0.602586</f>
        <v/>
      </c>
      <c r="AY66" s="20">
        <f>AY69*0.602586</f>
        <v/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1071.96</v>
      </c>
      <c r="R67" s="19" t="n">
        <v>0</v>
      </c>
      <c r="S67" s="19" t="n">
        <v>0</v>
      </c>
      <c r="T67" s="84" t="n">
        <v>0</v>
      </c>
      <c r="U67" s="20">
        <f>U69*0.041513</f>
        <v/>
      </c>
      <c r="V67" s="20">
        <f>V69*0.041513</f>
        <v/>
      </c>
      <c r="W67" s="20">
        <f>W69*0.041513</f>
        <v/>
      </c>
      <c r="X67" s="20">
        <f>X69*0.041513</f>
        <v/>
      </c>
      <c r="Y67" s="20">
        <f>Y69*0.041513</f>
        <v/>
      </c>
      <c r="Z67" s="20">
        <f>Z69*0.041513</f>
        <v/>
      </c>
      <c r="AA67" s="20">
        <f>AA69*0.041513</f>
        <v/>
      </c>
      <c r="AB67" s="20">
        <f>AB69*0.041513</f>
        <v/>
      </c>
      <c r="AC67" s="20">
        <f>AC69*0.041513</f>
        <v/>
      </c>
      <c r="AD67" s="20">
        <f>AD69*0.041513</f>
        <v/>
      </c>
      <c r="AE67" s="20">
        <f>AE69*0.041513</f>
        <v/>
      </c>
      <c r="AF67" s="20">
        <f>AF69*0.041513</f>
        <v/>
      </c>
      <c r="AG67" s="20">
        <f>AG69*0.041513</f>
        <v/>
      </c>
      <c r="AH67" s="20">
        <f>AH69*0.041513</f>
        <v/>
      </c>
      <c r="AI67" s="20">
        <f>AI69*0.041513</f>
        <v/>
      </c>
      <c r="AJ67" s="20">
        <f>AJ69*0.041513</f>
        <v/>
      </c>
      <c r="AK67" s="20">
        <f>AK69*0.041513</f>
        <v/>
      </c>
      <c r="AL67" s="20">
        <f>AL69*0.041513</f>
        <v/>
      </c>
      <c r="AM67" s="20">
        <f>AM69*0.041513</f>
        <v/>
      </c>
      <c r="AN67" s="20">
        <f>AN69*0.041513</f>
        <v/>
      </c>
      <c r="AO67" s="20">
        <f>AO69*0.041513</f>
        <v/>
      </c>
      <c r="AP67" s="20">
        <f>AP69*0.041513</f>
        <v/>
      </c>
      <c r="AQ67" s="20">
        <f>AQ69*0.041513</f>
        <v/>
      </c>
      <c r="AR67" s="20">
        <f>AR69*0.041513</f>
        <v/>
      </c>
      <c r="AS67" s="20">
        <f>AS69*0.041513</f>
        <v/>
      </c>
      <c r="AT67" s="20">
        <f>AT69*0.041513</f>
        <v/>
      </c>
      <c r="AU67" s="20">
        <f>AU69*0.041513</f>
        <v/>
      </c>
      <c r="AV67" s="20">
        <f>AV69*0.041513</f>
        <v/>
      </c>
      <c r="AW67" s="20">
        <f>AW69*0.041513</f>
        <v/>
      </c>
      <c r="AX67" s="20">
        <f>AX69*0.041513</f>
        <v/>
      </c>
      <c r="AY67" s="20">
        <f>AY69*0.041513</f>
        <v/>
      </c>
    </row>
    <row r="68">
      <c r="B68" s="33" t="inlineStr">
        <is>
          <t xml:space="preserve">  903000 Property taxes</t>
        </is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928.2</v>
      </c>
      <c r="J68" s="19" t="n">
        <v>3161.09</v>
      </c>
      <c r="K68" s="19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1930.47</v>
      </c>
      <c r="E69" s="35" t="n">
        <v>1926.7</v>
      </c>
      <c r="F69" s="35" t="n">
        <v>1926.7</v>
      </c>
      <c r="G69" s="35" t="n">
        <v>1936.47</v>
      </c>
      <c r="H69" s="35" t="n">
        <v>1957.26</v>
      </c>
      <c r="I69" s="35" t="n">
        <v>2892.68</v>
      </c>
      <c r="J69" s="35" t="n">
        <v>5146.1</v>
      </c>
      <c r="K69" s="35" t="n">
        <v>1985.01</v>
      </c>
      <c r="L69" s="35" t="n">
        <v>3930.01</v>
      </c>
      <c r="M69" s="35" t="n">
        <v>5875.01</v>
      </c>
      <c r="N69" s="35" t="n">
        <v>5875.01</v>
      </c>
      <c r="O69" s="35" t="n">
        <v>9818.83</v>
      </c>
      <c r="P69" s="35" t="n">
        <v>6183.280000000001</v>
      </c>
      <c r="Q69" s="35" t="n">
        <v>7255.240000000001</v>
      </c>
      <c r="R69" s="35" t="n">
        <v>6183.280000000001</v>
      </c>
      <c r="S69" s="35" t="n">
        <v>6200.25</v>
      </c>
      <c r="T69" s="85" t="n">
        <v>4238.280000000001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20923.66</v>
      </c>
      <c r="E70" s="35" t="n">
        <v>46185.37000000001</v>
      </c>
      <c r="F70" s="35" t="n">
        <v>67546.57999999997</v>
      </c>
      <c r="G70" s="35" t="n">
        <v>70361.92999999999</v>
      </c>
      <c r="H70" s="35" t="n">
        <v>36957.72999999993</v>
      </c>
      <c r="I70" s="35" t="n">
        <v>54489.85000000003</v>
      </c>
      <c r="J70" s="35" t="n">
        <v>45100.02</v>
      </c>
      <c r="K70" s="35" t="n">
        <v>72486.70000000003</v>
      </c>
      <c r="L70" s="35" t="n">
        <v>40748.13000000004</v>
      </c>
      <c r="M70" s="35" t="n">
        <v>38988.27999999995</v>
      </c>
      <c r="N70" s="35" t="n">
        <v>49662.77</v>
      </c>
      <c r="O70" s="35" t="n">
        <v>52517.39999999998</v>
      </c>
      <c r="P70" s="35" t="n">
        <v>73967.62</v>
      </c>
      <c r="Q70" s="35" t="n">
        <v>52032.91999999998</v>
      </c>
      <c r="R70" s="35" t="n">
        <v>43312.09</v>
      </c>
      <c r="S70" s="35" t="n">
        <v>42732.66000000005</v>
      </c>
      <c r="T70" s="85" t="n">
        <v>34381.09999999998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zoomScale="129" zoomScaleNormal="129" workbookViewId="0">
      <pane xSplit="3" ySplit="5" topLeftCell="O45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 Portal (WP)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>
        <v>0</v>
      </c>
      <c r="Q7" s="19" t="n">
        <v>0</v>
      </c>
      <c r="R7" s="19" t="n">
        <v>0</v>
      </c>
      <c r="S7" s="19" t="n">
        <v>0</v>
      </c>
      <c r="T7" s="84" t="n">
        <v>0</v>
      </c>
      <c r="U7" s="20">
        <f>U13*0.166667</f>
        <v/>
      </c>
      <c r="V7" s="20">
        <f>V13*0.166667</f>
        <v/>
      </c>
      <c r="W7" s="20">
        <f>W13*0.166667</f>
        <v/>
      </c>
      <c r="X7" s="20">
        <f>X13*0.166667</f>
        <v/>
      </c>
      <c r="Y7" s="20">
        <f>Y13*0.166667</f>
        <v/>
      </c>
      <c r="Z7" s="20">
        <f>Z13*0.166667</f>
        <v/>
      </c>
      <c r="AA7" s="20">
        <f>AA13*0.166667</f>
        <v/>
      </c>
      <c r="AB7" s="20">
        <f>AB13*0.166667</f>
        <v/>
      </c>
      <c r="AC7" s="20">
        <f>AC13*0.166667</f>
        <v/>
      </c>
      <c r="AD7" s="20">
        <f>AD13*0.166667</f>
        <v/>
      </c>
      <c r="AE7" s="20">
        <f>AE13*0.166667</f>
        <v/>
      </c>
      <c r="AF7" s="20">
        <f>AF13*0.166667</f>
        <v/>
      </c>
      <c r="AG7" s="20">
        <f>AG13*0.166667</f>
        <v/>
      </c>
      <c r="AH7" s="20">
        <f>AH13*0.166667</f>
        <v/>
      </c>
      <c r="AI7" s="20">
        <f>AI13*0.166667</f>
        <v/>
      </c>
      <c r="AJ7" s="20">
        <f>AJ13*0.166667</f>
        <v/>
      </c>
      <c r="AK7" s="20">
        <f>AK13*0.166667</f>
        <v/>
      </c>
      <c r="AL7" s="20">
        <f>AL13*0.166667</f>
        <v/>
      </c>
      <c r="AM7" s="20">
        <f>AM13*0.166667</f>
        <v/>
      </c>
      <c r="AN7" s="20">
        <f>AN13*0.166667</f>
        <v/>
      </c>
      <c r="AO7" s="20">
        <f>AO13*0.166667</f>
        <v/>
      </c>
      <c r="AP7" s="20">
        <f>AP13*0.166667</f>
        <v/>
      </c>
      <c r="AQ7" s="20">
        <f>AQ13*0.166667</f>
        <v/>
      </c>
      <c r="AR7" s="20">
        <f>AR13*0.166667</f>
        <v/>
      </c>
      <c r="AS7" s="20">
        <f>AS13*0.166667</f>
        <v/>
      </c>
      <c r="AT7" s="20">
        <f>AT13*0.166667</f>
        <v/>
      </c>
      <c r="AU7" s="20">
        <f>AU13*0.166667</f>
        <v/>
      </c>
      <c r="AV7" s="20">
        <f>AV13*0.166667</f>
        <v/>
      </c>
      <c r="AW7" s="20">
        <f>AW13*0.166667</f>
        <v/>
      </c>
      <c r="AX7" s="20">
        <f>AX13*0.166667</f>
        <v/>
      </c>
      <c r="AY7" s="20">
        <f>AY13*0.166667</f>
        <v/>
      </c>
    </row>
    <row r="8">
      <c r="B8" s="33" t="inlineStr">
        <is>
          <t xml:space="preserve">  401002 Private Pilates</t>
        </is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>
        <v>0</v>
      </c>
      <c r="Q8" s="19" t="n">
        <v>0</v>
      </c>
      <c r="R8" s="19" t="n">
        <v>0</v>
      </c>
      <c r="S8" s="19" t="n">
        <v>0</v>
      </c>
      <c r="T8" s="84" t="n">
        <v>0</v>
      </c>
      <c r="U8" s="20">
        <f>U13*0.166667</f>
        <v/>
      </c>
      <c r="V8" s="20">
        <f>V13*0.166667</f>
        <v/>
      </c>
      <c r="W8" s="20">
        <f>W13*0.166667</f>
        <v/>
      </c>
      <c r="X8" s="20">
        <f>X13*0.166667</f>
        <v/>
      </c>
      <c r="Y8" s="20">
        <f>Y13*0.166667</f>
        <v/>
      </c>
      <c r="Z8" s="20">
        <f>Z13*0.166667</f>
        <v/>
      </c>
      <c r="AA8" s="20">
        <f>AA13*0.166667</f>
        <v/>
      </c>
      <c r="AB8" s="20">
        <f>AB13*0.166667</f>
        <v/>
      </c>
      <c r="AC8" s="20">
        <f>AC13*0.166667</f>
        <v/>
      </c>
      <c r="AD8" s="20">
        <f>AD13*0.166667</f>
        <v/>
      </c>
      <c r="AE8" s="20">
        <f>AE13*0.166667</f>
        <v/>
      </c>
      <c r="AF8" s="20">
        <f>AF13*0.166667</f>
        <v/>
      </c>
      <c r="AG8" s="20">
        <f>AG13*0.166667</f>
        <v/>
      </c>
      <c r="AH8" s="20">
        <f>AH13*0.166667</f>
        <v/>
      </c>
      <c r="AI8" s="20">
        <f>AI13*0.166667</f>
        <v/>
      </c>
      <c r="AJ8" s="20">
        <f>AJ13*0.166667</f>
        <v/>
      </c>
      <c r="AK8" s="20">
        <f>AK13*0.166667</f>
        <v/>
      </c>
      <c r="AL8" s="20">
        <f>AL13*0.166667</f>
        <v/>
      </c>
      <c r="AM8" s="20">
        <f>AM13*0.166667</f>
        <v/>
      </c>
      <c r="AN8" s="20">
        <f>AN13*0.166667</f>
        <v/>
      </c>
      <c r="AO8" s="20">
        <f>AO13*0.166667</f>
        <v/>
      </c>
      <c r="AP8" s="20">
        <f>AP13*0.166667</f>
        <v/>
      </c>
      <c r="AQ8" s="20">
        <f>AQ13*0.166667</f>
        <v/>
      </c>
      <c r="AR8" s="20">
        <f>AR13*0.166667</f>
        <v/>
      </c>
      <c r="AS8" s="20">
        <f>AS13*0.166667</f>
        <v/>
      </c>
      <c r="AT8" s="20">
        <f>AT13*0.166667</f>
        <v/>
      </c>
      <c r="AU8" s="20">
        <f>AU13*0.166667</f>
        <v/>
      </c>
      <c r="AV8" s="20">
        <f>AV13*0.166667</f>
        <v/>
      </c>
      <c r="AW8" s="20">
        <f>AW13*0.166667</f>
        <v/>
      </c>
      <c r="AX8" s="20">
        <f>AX13*0.166667</f>
        <v/>
      </c>
      <c r="AY8" s="20">
        <f>AY13*0.166667</f>
        <v/>
      </c>
    </row>
    <row r="9">
      <c r="B9" s="33" t="inlineStr">
        <is>
          <t xml:space="preserve">  401003 Class Pass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>
        <v>0</v>
      </c>
      <c r="Q9" s="19" t="n">
        <v>0</v>
      </c>
      <c r="R9" s="19" t="n">
        <v>0</v>
      </c>
      <c r="S9" s="19" t="n">
        <v>0</v>
      </c>
      <c r="T9" s="84" t="n">
        <v>0</v>
      </c>
      <c r="U9" s="20">
        <f>U13*0.166667</f>
        <v/>
      </c>
      <c r="V9" s="20">
        <f>V13*0.166667</f>
        <v/>
      </c>
      <c r="W9" s="20">
        <f>W13*0.166667</f>
        <v/>
      </c>
      <c r="X9" s="20">
        <f>X13*0.166667</f>
        <v/>
      </c>
      <c r="Y9" s="20">
        <f>Y13*0.166667</f>
        <v/>
      </c>
      <c r="Z9" s="20">
        <f>Z13*0.166667</f>
        <v/>
      </c>
      <c r="AA9" s="20">
        <f>AA13*0.166667</f>
        <v/>
      </c>
      <c r="AB9" s="20">
        <f>AB13*0.166667</f>
        <v/>
      </c>
      <c r="AC9" s="20">
        <f>AC13*0.166667</f>
        <v/>
      </c>
      <c r="AD9" s="20">
        <f>AD13*0.166667</f>
        <v/>
      </c>
      <c r="AE9" s="20">
        <f>AE13*0.166667</f>
        <v/>
      </c>
      <c r="AF9" s="20">
        <f>AF13*0.166667</f>
        <v/>
      </c>
      <c r="AG9" s="20">
        <f>AG13*0.166667</f>
        <v/>
      </c>
      <c r="AH9" s="20">
        <f>AH13*0.166667</f>
        <v/>
      </c>
      <c r="AI9" s="20">
        <f>AI13*0.166667</f>
        <v/>
      </c>
      <c r="AJ9" s="20">
        <f>AJ13*0.166667</f>
        <v/>
      </c>
      <c r="AK9" s="20">
        <f>AK13*0.166667</f>
        <v/>
      </c>
      <c r="AL9" s="20">
        <f>AL13*0.166667</f>
        <v/>
      </c>
      <c r="AM9" s="20">
        <f>AM13*0.166667</f>
        <v/>
      </c>
      <c r="AN9" s="20">
        <f>AN13*0.166667</f>
        <v/>
      </c>
      <c r="AO9" s="20">
        <f>AO13*0.166667</f>
        <v/>
      </c>
      <c r="AP9" s="20">
        <f>AP13*0.166667</f>
        <v/>
      </c>
      <c r="AQ9" s="20">
        <f>AQ13*0.166667</f>
        <v/>
      </c>
      <c r="AR9" s="20">
        <f>AR13*0.166667</f>
        <v/>
      </c>
      <c r="AS9" s="20">
        <f>AS13*0.166667</f>
        <v/>
      </c>
      <c r="AT9" s="20">
        <f>AT13*0.166667</f>
        <v/>
      </c>
      <c r="AU9" s="20">
        <f>AU13*0.166667</f>
        <v/>
      </c>
      <c r="AV9" s="20">
        <f>AV13*0.166667</f>
        <v/>
      </c>
      <c r="AW9" s="20">
        <f>AW13*0.166667</f>
        <v/>
      </c>
      <c r="AX9" s="20">
        <f>AX13*0.166667</f>
        <v/>
      </c>
      <c r="AY9" s="20">
        <f>AY13*0.166667</f>
        <v/>
      </c>
    </row>
    <row r="10">
      <c r="B10" s="33" t="inlineStr">
        <is>
          <t xml:space="preserve">  401004 Mighty Teacher Training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>
        <v>0</v>
      </c>
      <c r="R10" s="19" t="n">
        <v>0</v>
      </c>
      <c r="S10" s="19" t="n">
        <v>0</v>
      </c>
      <c r="T10" s="84" t="n">
        <v>0</v>
      </c>
      <c r="U10" s="20">
        <f>U13*0.166667</f>
        <v/>
      </c>
      <c r="V10" s="20">
        <f>V13*0.166667</f>
        <v/>
      </c>
      <c r="W10" s="20">
        <f>W13*0.166667</f>
        <v/>
      </c>
      <c r="X10" s="20">
        <f>X13*0.166667</f>
        <v/>
      </c>
      <c r="Y10" s="20">
        <f>Y13*0.166667</f>
        <v/>
      </c>
      <c r="Z10" s="20">
        <f>Z13*0.166667</f>
        <v/>
      </c>
      <c r="AA10" s="20">
        <f>AA13*0.166667</f>
        <v/>
      </c>
      <c r="AB10" s="20">
        <f>AB13*0.166667</f>
        <v/>
      </c>
      <c r="AC10" s="20">
        <f>AC13*0.166667</f>
        <v/>
      </c>
      <c r="AD10" s="20">
        <f>AD13*0.166667</f>
        <v/>
      </c>
      <c r="AE10" s="20">
        <f>AE13*0.166667</f>
        <v/>
      </c>
      <c r="AF10" s="20">
        <f>AF13*0.166667</f>
        <v/>
      </c>
      <c r="AG10" s="20">
        <f>AG13*0.166667</f>
        <v/>
      </c>
      <c r="AH10" s="20">
        <f>AH13*0.166667</f>
        <v/>
      </c>
      <c r="AI10" s="20">
        <f>AI13*0.166667</f>
        <v/>
      </c>
      <c r="AJ10" s="20">
        <f>AJ13*0.166667</f>
        <v/>
      </c>
      <c r="AK10" s="20">
        <f>AK13*0.166667</f>
        <v/>
      </c>
      <c r="AL10" s="20">
        <f>AL13*0.166667</f>
        <v/>
      </c>
      <c r="AM10" s="20">
        <f>AM13*0.166667</f>
        <v/>
      </c>
      <c r="AN10" s="20">
        <f>AN13*0.166667</f>
        <v/>
      </c>
      <c r="AO10" s="20">
        <f>AO13*0.166667</f>
        <v/>
      </c>
      <c r="AP10" s="20">
        <f>AP13*0.166667</f>
        <v/>
      </c>
      <c r="AQ10" s="20">
        <f>AQ13*0.166667</f>
        <v/>
      </c>
      <c r="AR10" s="20">
        <f>AR13*0.166667</f>
        <v/>
      </c>
      <c r="AS10" s="20">
        <f>AS13*0.166667</f>
        <v/>
      </c>
      <c r="AT10" s="20">
        <f>AT13*0.166667</f>
        <v/>
      </c>
      <c r="AU10" s="20">
        <f>AU13*0.166667</f>
        <v/>
      </c>
      <c r="AV10" s="20">
        <f>AV13*0.166667</f>
        <v/>
      </c>
      <c r="AW10" s="20">
        <f>AW13*0.166667</f>
        <v/>
      </c>
      <c r="AX10" s="20">
        <f>AX13*0.166667</f>
        <v/>
      </c>
      <c r="AY10" s="20">
        <f>AY13*0.166667</f>
        <v/>
      </c>
    </row>
    <row r="11">
      <c r="B11" s="33" t="inlineStr">
        <is>
          <t xml:space="preserve">  401005 Livestream Classes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0</v>
      </c>
      <c r="Q11" s="19" t="n">
        <v>0</v>
      </c>
      <c r="R11" s="19" t="n">
        <v>0</v>
      </c>
      <c r="S11" s="19" t="n">
        <v>0</v>
      </c>
      <c r="T11" s="84" t="n">
        <v>0</v>
      </c>
      <c r="U11" s="20">
        <f>U13*0.166667</f>
        <v/>
      </c>
      <c r="V11" s="20">
        <f>V13*0.166667</f>
        <v/>
      </c>
      <c r="W11" s="20">
        <f>W13*0.166667</f>
        <v/>
      </c>
      <c r="X11" s="20">
        <f>X13*0.166667</f>
        <v/>
      </c>
      <c r="Y11" s="20">
        <f>Y13*0.166667</f>
        <v/>
      </c>
      <c r="Z11" s="20">
        <f>Z13*0.166667</f>
        <v/>
      </c>
      <c r="AA11" s="20">
        <f>AA13*0.166667</f>
        <v/>
      </c>
      <c r="AB11" s="20">
        <f>AB13*0.166667</f>
        <v/>
      </c>
      <c r="AC11" s="20">
        <f>AC13*0.166667</f>
        <v/>
      </c>
      <c r="AD11" s="20">
        <f>AD13*0.166667</f>
        <v/>
      </c>
      <c r="AE11" s="20">
        <f>AE13*0.166667</f>
        <v/>
      </c>
      <c r="AF11" s="20">
        <f>AF13*0.166667</f>
        <v/>
      </c>
      <c r="AG11" s="20">
        <f>AG13*0.166667</f>
        <v/>
      </c>
      <c r="AH11" s="20">
        <f>AH13*0.166667</f>
        <v/>
      </c>
      <c r="AI11" s="20">
        <f>AI13*0.166667</f>
        <v/>
      </c>
      <c r="AJ11" s="20">
        <f>AJ13*0.166667</f>
        <v/>
      </c>
      <c r="AK11" s="20">
        <f>AK13*0.166667</f>
        <v/>
      </c>
      <c r="AL11" s="20">
        <f>AL13*0.166667</f>
        <v/>
      </c>
      <c r="AM11" s="20">
        <f>AM13*0.166667</f>
        <v/>
      </c>
      <c r="AN11" s="20">
        <f>AN13*0.166667</f>
        <v/>
      </c>
      <c r="AO11" s="20">
        <f>AO13*0.166667</f>
        <v/>
      </c>
      <c r="AP11" s="20">
        <f>AP13*0.166667</f>
        <v/>
      </c>
      <c r="AQ11" s="20">
        <f>AQ13*0.166667</f>
        <v/>
      </c>
      <c r="AR11" s="20">
        <f>AR13*0.166667</f>
        <v/>
      </c>
      <c r="AS11" s="20">
        <f>AS13*0.166667</f>
        <v/>
      </c>
      <c r="AT11" s="20">
        <f>AT13*0.166667</f>
        <v/>
      </c>
      <c r="AU11" s="20">
        <f>AU13*0.166667</f>
        <v/>
      </c>
      <c r="AV11" s="20">
        <f>AV13*0.166667</f>
        <v/>
      </c>
      <c r="AW11" s="20">
        <f>AW13*0.166667</f>
        <v/>
      </c>
      <c r="AX11" s="20">
        <f>AX13*0.166667</f>
        <v/>
      </c>
      <c r="AY11" s="20">
        <f>AY13*0.166667</f>
        <v/>
      </c>
    </row>
    <row r="12">
      <c r="B12" s="33" t="inlineStr">
        <is>
          <t xml:space="preserve">  401006 Wellhub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>
        <v>0</v>
      </c>
      <c r="Q12" s="19" t="n">
        <v>0</v>
      </c>
      <c r="R12" s="19" t="n">
        <v>0</v>
      </c>
      <c r="S12" s="19" t="n">
        <v>0</v>
      </c>
      <c r="T12" s="84" t="n">
        <v>0</v>
      </c>
      <c r="U12" s="20">
        <f>U13*0.166667</f>
        <v/>
      </c>
      <c r="V12" s="20">
        <f>V13*0.166667</f>
        <v/>
      </c>
      <c r="W12" s="20">
        <f>W13*0.166667</f>
        <v/>
      </c>
      <c r="X12" s="20">
        <f>X13*0.166667</f>
        <v/>
      </c>
      <c r="Y12" s="20">
        <f>Y13*0.166667</f>
        <v/>
      </c>
      <c r="Z12" s="20">
        <f>Z13*0.166667</f>
        <v/>
      </c>
      <c r="AA12" s="20">
        <f>AA13*0.166667</f>
        <v/>
      </c>
      <c r="AB12" s="20">
        <f>AB13*0.166667</f>
        <v/>
      </c>
      <c r="AC12" s="20">
        <f>AC13*0.166667</f>
        <v/>
      </c>
      <c r="AD12" s="20">
        <f>AD13*0.166667</f>
        <v/>
      </c>
      <c r="AE12" s="20">
        <f>AE13*0.166667</f>
        <v/>
      </c>
      <c r="AF12" s="20">
        <f>AF13*0.166667</f>
        <v/>
      </c>
      <c r="AG12" s="20">
        <f>AG13*0.166667</f>
        <v/>
      </c>
      <c r="AH12" s="20">
        <f>AH13*0.166667</f>
        <v/>
      </c>
      <c r="AI12" s="20">
        <f>AI13*0.166667</f>
        <v/>
      </c>
      <c r="AJ12" s="20">
        <f>AJ13*0.166667</f>
        <v/>
      </c>
      <c r="AK12" s="20">
        <f>AK13*0.166667</f>
        <v/>
      </c>
      <c r="AL12" s="20">
        <f>AL13*0.166667</f>
        <v/>
      </c>
      <c r="AM12" s="20">
        <f>AM13*0.166667</f>
        <v/>
      </c>
      <c r="AN12" s="20">
        <f>AN13*0.166667</f>
        <v/>
      </c>
      <c r="AO12" s="20">
        <f>AO13*0.166667</f>
        <v/>
      </c>
      <c r="AP12" s="20">
        <f>AP13*0.166667</f>
        <v/>
      </c>
      <c r="AQ12" s="20">
        <f>AQ13*0.166667</f>
        <v/>
      </c>
      <c r="AR12" s="20">
        <f>AR13*0.166667</f>
        <v/>
      </c>
      <c r="AS12" s="20">
        <f>AS13*0.166667</f>
        <v/>
      </c>
      <c r="AT12" s="20">
        <f>AT13*0.166667</f>
        <v/>
      </c>
      <c r="AU12" s="20">
        <f>AU13*0.166667</f>
        <v/>
      </c>
      <c r="AV12" s="20">
        <f>AV13*0.166667</f>
        <v/>
      </c>
      <c r="AW12" s="20">
        <f>AW13*0.166667</f>
        <v/>
      </c>
      <c r="AX12" s="20">
        <f>AX13*0.166667</f>
        <v/>
      </c>
      <c r="AY12" s="20">
        <f>AY13*0.166667</f>
        <v/>
      </c>
    </row>
    <row r="13">
      <c r="B13" s="32" t="inlineStr">
        <is>
          <t>Total Sessions</t>
        </is>
      </c>
      <c r="C13" s="34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>
        <v>0</v>
      </c>
      <c r="Q13" s="35" t="n">
        <v>0</v>
      </c>
      <c r="R13" s="35" t="n">
        <v>0</v>
      </c>
      <c r="S13" s="35" t="n">
        <v>0</v>
      </c>
      <c r="T13" s="85" t="n">
        <v>0</v>
      </c>
      <c r="U13" s="17">
        <f>'Sales Forecast'!U16*Assumptions!$C$12+'Sales Forecast'!T16*Assumptions!$D$12+'Sales Forecast'!S16*Assumptions!$E$12+'Sales Forecast'!R16*Assumptions!$F$12+'Sales Forecast'!Q16*Assumptions!$G$12+'Sales Forecast'!P16*Assumptions!$H$12+'Sales Forecast'!U112*Assumptions!$I$12</f>
        <v/>
      </c>
      <c r="V13" s="17">
        <f>'Sales Forecast'!V16*Assumptions!$C$12+'Sales Forecast'!U16*Assumptions!$D$12+'Sales Forecast'!T16*Assumptions!$E$12+'Sales Forecast'!S16*Assumptions!$F$12+'Sales Forecast'!R16*Assumptions!$G$12+'Sales Forecast'!Q16*Assumptions!$H$12+'Sales Forecast'!P16*Assumptions!$I$12</f>
        <v/>
      </c>
      <c r="W13" s="17">
        <f>'Sales Forecast'!W16*Assumptions!$C$12+'Sales Forecast'!V16*Assumptions!$D$12+'Sales Forecast'!U16*Assumptions!$E$12+'Sales Forecast'!T16*Assumptions!$F$12+'Sales Forecast'!S16*Assumptions!$G$12+'Sales Forecast'!R16*Assumptions!$H$12+'Sales Forecast'!Q16*Assumptions!$I$12</f>
        <v/>
      </c>
      <c r="X13" s="17">
        <f>'Sales Forecast'!X16*Assumptions!$C$12+'Sales Forecast'!W16*Assumptions!$D$12+'Sales Forecast'!V16*Assumptions!$E$12+'Sales Forecast'!U16*Assumptions!$F$12+'Sales Forecast'!T16*Assumptions!$G$12+'Sales Forecast'!S16*Assumptions!$H$12+'Sales Forecast'!R16*Assumptions!$I$12</f>
        <v/>
      </c>
      <c r="Y13" s="17">
        <f>'Sales Forecast'!Y16*Assumptions!$C$12+'Sales Forecast'!X16*Assumptions!$D$12+'Sales Forecast'!W16*Assumptions!$E$12+'Sales Forecast'!V16*Assumptions!$F$12+'Sales Forecast'!U16*Assumptions!$G$12+'Sales Forecast'!T16*Assumptions!$H$12+'Sales Forecast'!S16*Assumptions!$I$12</f>
        <v/>
      </c>
      <c r="Z13" s="17">
        <f>'Sales Forecast'!Z16*Assumptions!$C$12+'Sales Forecast'!Y16*Assumptions!$D$12+'Sales Forecast'!X16*Assumptions!$E$12+'Sales Forecast'!W16*Assumptions!$F$12+'Sales Forecast'!V16*Assumptions!$G$12+'Sales Forecast'!U16*Assumptions!$H$12+'Sales Forecast'!T16*Assumptions!$I$12</f>
        <v/>
      </c>
      <c r="AA13" s="17">
        <f>'Sales Forecast'!AA16*Assumptions!$C$12+'Sales Forecast'!Z16*Assumptions!$D$12+'Sales Forecast'!Y16*Assumptions!$E$12+'Sales Forecast'!X16*Assumptions!$F$12+'Sales Forecast'!W16*Assumptions!$G$12+'Sales Forecast'!V16*Assumptions!$H$12+'Sales Forecast'!U16*Assumptions!$I$12</f>
        <v/>
      </c>
      <c r="AB13" s="17">
        <f>'Sales Forecast'!AB16*Assumptions!$C$12+'Sales Forecast'!AA16*Assumptions!$D$12+'Sales Forecast'!Z16*Assumptions!$E$12+'Sales Forecast'!Y16*Assumptions!$F$12+'Sales Forecast'!X16*Assumptions!$G$12+'Sales Forecast'!W16*Assumptions!$H$12+'Sales Forecast'!V16*Assumptions!$I$12</f>
        <v/>
      </c>
      <c r="AC13" s="17">
        <f>'Sales Forecast'!AC16*Assumptions!$C$12+'Sales Forecast'!AB16*Assumptions!$D$12+'Sales Forecast'!AA16*Assumptions!$E$12+'Sales Forecast'!Z16*Assumptions!$F$12+'Sales Forecast'!Y16*Assumptions!$G$12+'Sales Forecast'!X16*Assumptions!$H$12+'Sales Forecast'!W16*Assumptions!$I$12</f>
        <v/>
      </c>
      <c r="AD13" s="17">
        <f>'Sales Forecast'!AD16*Assumptions!$C$12+'Sales Forecast'!AC16*Assumptions!$D$12+'Sales Forecast'!AB16*Assumptions!$E$12+'Sales Forecast'!AA16*Assumptions!$F$12+'Sales Forecast'!Z16*Assumptions!$G$12+'Sales Forecast'!Y16*Assumptions!$H$12+'Sales Forecast'!X16*Assumptions!$I$12</f>
        <v/>
      </c>
      <c r="AE13" s="17">
        <f>'Sales Forecast'!AE16*Assumptions!$C$12+'Sales Forecast'!AD16*Assumptions!$D$12+'Sales Forecast'!AC16*Assumptions!$E$12+'Sales Forecast'!AB16*Assumptions!$F$12+'Sales Forecast'!AA16*Assumptions!$G$12+'Sales Forecast'!Z16*Assumptions!$H$12+'Sales Forecast'!Y16*Assumptions!$I$12</f>
        <v/>
      </c>
      <c r="AF13" s="17">
        <f>'Sales Forecast'!AF16*Assumptions!$C$12+'Sales Forecast'!AE16*Assumptions!$D$12+'Sales Forecast'!AD16*Assumptions!$E$12+'Sales Forecast'!AC16*Assumptions!$F$12+'Sales Forecast'!AB16*Assumptions!$G$12+'Sales Forecast'!AA16*Assumptions!$H$12+'Sales Forecast'!Z16*Assumptions!$I$12</f>
        <v/>
      </c>
      <c r="AG13" s="17">
        <f>'Sales Forecast'!AG16*Assumptions!$C$12+'Sales Forecast'!AF16*Assumptions!$D$12+'Sales Forecast'!AE16*Assumptions!$E$12+'Sales Forecast'!AD16*Assumptions!$F$12+'Sales Forecast'!AC16*Assumptions!$G$12+'Sales Forecast'!AB16*Assumptions!$H$12+'Sales Forecast'!AA16*Assumptions!$I$12</f>
        <v/>
      </c>
      <c r="AH13" s="17">
        <f>'Sales Forecast'!AH16*Assumptions!$C$12+'Sales Forecast'!AG16*Assumptions!$D$12+'Sales Forecast'!AF16*Assumptions!$E$12+'Sales Forecast'!AE16*Assumptions!$F$12+'Sales Forecast'!AD16*Assumptions!$G$12+'Sales Forecast'!AC16*Assumptions!$H$12+'Sales Forecast'!AB16*Assumptions!$I$12</f>
        <v/>
      </c>
      <c r="AI13" s="17">
        <f>'Sales Forecast'!AI16*Assumptions!$C$12+'Sales Forecast'!AH16*Assumptions!$D$12+'Sales Forecast'!AG16*Assumptions!$E$12+'Sales Forecast'!AF16*Assumptions!$F$12+'Sales Forecast'!AE16*Assumptions!$G$12+'Sales Forecast'!AD16*Assumptions!$H$12+'Sales Forecast'!AC16*Assumptions!$I$12</f>
        <v/>
      </c>
      <c r="AJ13" s="17">
        <f>'Sales Forecast'!AJ16*Assumptions!$C$12+'Sales Forecast'!AI16*Assumptions!$D$12+'Sales Forecast'!AH16*Assumptions!$E$12+'Sales Forecast'!AG16*Assumptions!$F$12+'Sales Forecast'!AF16*Assumptions!$G$12+'Sales Forecast'!AE16*Assumptions!$H$12+'Sales Forecast'!AD16*Assumptions!$I$12</f>
        <v/>
      </c>
      <c r="AK13" s="17">
        <f>'Sales Forecast'!AK16*Assumptions!$C$12+'Sales Forecast'!AJ16*Assumptions!$D$12+'Sales Forecast'!AI16*Assumptions!$E$12+'Sales Forecast'!AH16*Assumptions!$F$12+'Sales Forecast'!AG16*Assumptions!$G$12+'Sales Forecast'!AF16*Assumptions!$H$12+'Sales Forecast'!AE16*Assumptions!$I$12</f>
        <v/>
      </c>
      <c r="AL13" s="17">
        <f>'Sales Forecast'!AL16*Assumptions!$C$12+'Sales Forecast'!AK16*Assumptions!$D$12+'Sales Forecast'!AJ16*Assumptions!$E$12+'Sales Forecast'!AI16*Assumptions!$F$12+'Sales Forecast'!AH16*Assumptions!$G$12+'Sales Forecast'!AG16*Assumptions!$H$12+'Sales Forecast'!AF16*Assumptions!$I$12</f>
        <v/>
      </c>
      <c r="AM13" s="17">
        <f>'Sales Forecast'!AM16*Assumptions!$C$12+'Sales Forecast'!AL16*Assumptions!$D$12+'Sales Forecast'!AK16*Assumptions!$E$12+'Sales Forecast'!AJ16*Assumptions!$F$12+'Sales Forecast'!AI16*Assumptions!$G$12+'Sales Forecast'!AH16*Assumptions!$H$12+'Sales Forecast'!AG16*Assumptions!$I$12</f>
        <v/>
      </c>
      <c r="AN13" s="17">
        <f>'Sales Forecast'!AN16*Assumptions!$C$12+'Sales Forecast'!AM16*Assumptions!$D$12+'Sales Forecast'!AL16*Assumptions!$E$12+'Sales Forecast'!AK16*Assumptions!$F$12+'Sales Forecast'!AJ16*Assumptions!$G$12+'Sales Forecast'!AI16*Assumptions!$H$12+'Sales Forecast'!AH16*Assumptions!$I$12</f>
        <v/>
      </c>
      <c r="AO13" s="17">
        <f>'Sales Forecast'!AO16*Assumptions!$C$12+'Sales Forecast'!AN16*Assumptions!$D$12+'Sales Forecast'!AM16*Assumptions!$E$12+'Sales Forecast'!AL16*Assumptions!$F$12+'Sales Forecast'!AK16*Assumptions!$G$12+'Sales Forecast'!AJ16*Assumptions!$H$12+'Sales Forecast'!AI16*Assumptions!$I$12</f>
        <v/>
      </c>
      <c r="AP13" s="17">
        <f>'Sales Forecast'!AP16*Assumptions!$C$12+'Sales Forecast'!AO16*Assumptions!$D$12+'Sales Forecast'!AN16*Assumptions!$E$12+'Sales Forecast'!AM16*Assumptions!$F$12+'Sales Forecast'!AL16*Assumptions!$G$12+'Sales Forecast'!AK16*Assumptions!$H$12+'Sales Forecast'!AJ16*Assumptions!$I$12</f>
        <v/>
      </c>
      <c r="AQ13" s="17">
        <f>'Sales Forecast'!AQ16*Assumptions!$C$12+'Sales Forecast'!AP16*Assumptions!$D$12+'Sales Forecast'!AO16*Assumptions!$E$12+'Sales Forecast'!AN16*Assumptions!$F$12+'Sales Forecast'!AM16*Assumptions!$G$12+'Sales Forecast'!AL16*Assumptions!$H$12+'Sales Forecast'!AK16*Assumptions!$I$12</f>
        <v/>
      </c>
      <c r="AR13" s="17">
        <f>'Sales Forecast'!AR16*Assumptions!$C$12+'Sales Forecast'!AQ16*Assumptions!$D$12+'Sales Forecast'!AP16*Assumptions!$E$12+'Sales Forecast'!AO16*Assumptions!$F$12+'Sales Forecast'!AN16*Assumptions!$G$12+'Sales Forecast'!AM16*Assumptions!$H$12+'Sales Forecast'!AL16*Assumptions!$I$12</f>
        <v/>
      </c>
      <c r="AS13" s="17">
        <f>'Sales Forecast'!AS16*Assumptions!$C$12+'Sales Forecast'!AR16*Assumptions!$D$12+'Sales Forecast'!AQ16*Assumptions!$E$12+'Sales Forecast'!AP16*Assumptions!$F$12+'Sales Forecast'!AO16*Assumptions!$G$12+'Sales Forecast'!AN16*Assumptions!$H$12+'Sales Forecast'!AM16*Assumptions!$I$12</f>
        <v/>
      </c>
      <c r="AT13" s="17">
        <f>'Sales Forecast'!AT16*Assumptions!$C$12+'Sales Forecast'!AS16*Assumptions!$D$12+'Sales Forecast'!AR16*Assumptions!$E$12+'Sales Forecast'!AQ16*Assumptions!$F$12+'Sales Forecast'!AP16*Assumptions!$G$12+'Sales Forecast'!AO16*Assumptions!$H$12+'Sales Forecast'!AN16*Assumptions!$I$12</f>
        <v/>
      </c>
      <c r="AU13" s="17">
        <f>'Sales Forecast'!AU16*Assumptions!$C$12+'Sales Forecast'!AT16*Assumptions!$D$12+'Sales Forecast'!AS16*Assumptions!$E$12+'Sales Forecast'!AR16*Assumptions!$F$12+'Sales Forecast'!AQ16*Assumptions!$G$12+'Sales Forecast'!AP16*Assumptions!$H$12+'Sales Forecast'!AO16*Assumptions!$I$12</f>
        <v/>
      </c>
      <c r="AV13" s="17">
        <f>'Sales Forecast'!AV16*Assumptions!$C$12+'Sales Forecast'!AU16*Assumptions!$D$12+'Sales Forecast'!AT16*Assumptions!$E$12+'Sales Forecast'!AS16*Assumptions!$F$12+'Sales Forecast'!AR16*Assumptions!$G$12+'Sales Forecast'!AQ16*Assumptions!$H$12+'Sales Forecast'!AP16*Assumptions!$I$12</f>
        <v/>
      </c>
      <c r="AW13" s="17">
        <f>'Sales Forecast'!AW16*Assumptions!$C$12+'Sales Forecast'!AV16*Assumptions!$D$12+'Sales Forecast'!AU16*Assumptions!$E$12+'Sales Forecast'!AT16*Assumptions!$F$12+'Sales Forecast'!AS16*Assumptions!$G$12+'Sales Forecast'!AR16*Assumptions!$H$12+'Sales Forecast'!AQ16*Assumptions!$I$12</f>
        <v/>
      </c>
      <c r="AX13" s="17">
        <f>'Sales Forecast'!AX16*Assumptions!$C$12+'Sales Forecast'!AW16*Assumptions!$D$12+'Sales Forecast'!AV16*Assumptions!$E$12+'Sales Forecast'!AU16*Assumptions!$F$12+'Sales Forecast'!AT16*Assumptions!$G$12+'Sales Forecast'!AS16*Assumptions!$H$12+'Sales Forecast'!AR16*Assumptions!$I$12</f>
        <v/>
      </c>
      <c r="AY13" s="17">
        <f>'Sales Forecast'!AY16*Assumptions!$C$12+'Sales Forecast'!AX16*Assumptions!$D$12+'Sales Forecast'!AW16*Assumptions!$E$12+'Sales Forecast'!AV16*Assumptions!$F$12+'Sales Forecast'!AU16*Assumptions!$G$12+'Sales Forecast'!AT16*Assumptions!$H$12+'Sales Forecast'!AS16*Assumptions!$I$12</f>
        <v/>
      </c>
    </row>
    <row r="14">
      <c r="B14" s="33" t="inlineStr">
        <is>
          <t xml:space="preserve">  403001 Machine Breakage</t>
        </is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>
        <v>0</v>
      </c>
      <c r="Q14" s="19" t="n">
        <v>0</v>
      </c>
      <c r="R14" s="19" t="n">
        <v>0</v>
      </c>
      <c r="S14" s="19" t="n">
        <v>0</v>
      </c>
      <c r="T14" s="84" t="n">
        <v>0</v>
      </c>
      <c r="U14" s="20">
        <f>U17*0.333333</f>
        <v/>
      </c>
      <c r="V14" s="20">
        <f>V17*0.333333</f>
        <v/>
      </c>
      <c r="W14" s="20">
        <f>W17*0.333333</f>
        <v/>
      </c>
      <c r="X14" s="20">
        <f>X17*0.333333</f>
        <v/>
      </c>
      <c r="Y14" s="20">
        <f>Y17*0.333333</f>
        <v/>
      </c>
      <c r="Z14" s="20">
        <f>Z17*0.333333</f>
        <v/>
      </c>
      <c r="AA14" s="20">
        <f>AA17*0.333333</f>
        <v/>
      </c>
      <c r="AB14" s="20">
        <f>AB17*0.333333</f>
        <v/>
      </c>
      <c r="AC14" s="20">
        <f>AC17*0.333333</f>
        <v/>
      </c>
      <c r="AD14" s="20">
        <f>AD17*0.333333</f>
        <v/>
      </c>
      <c r="AE14" s="20">
        <f>AE17*0.333333</f>
        <v/>
      </c>
      <c r="AF14" s="20">
        <f>AF17*0.333333</f>
        <v/>
      </c>
      <c r="AG14" s="20">
        <f>AG17*0.333333</f>
        <v/>
      </c>
      <c r="AH14" s="20">
        <f>AH17*0.333333</f>
        <v/>
      </c>
      <c r="AI14" s="20">
        <f>AI17*0.333333</f>
        <v/>
      </c>
      <c r="AJ14" s="20">
        <f>AJ17*0.333333</f>
        <v/>
      </c>
      <c r="AK14" s="20">
        <f>AK17*0.333333</f>
        <v/>
      </c>
      <c r="AL14" s="20">
        <f>AL17*0.333333</f>
        <v/>
      </c>
      <c r="AM14" s="20">
        <f>AM17*0.333333</f>
        <v/>
      </c>
      <c r="AN14" s="20">
        <f>AN17*0.333333</f>
        <v/>
      </c>
      <c r="AO14" s="20">
        <f>AO17*0.333333</f>
        <v/>
      </c>
      <c r="AP14" s="20">
        <f>AP17*0.333333</f>
        <v/>
      </c>
      <c r="AQ14" s="20">
        <f>AQ17*0.333333</f>
        <v/>
      </c>
      <c r="AR14" s="20">
        <f>AR17*0.333333</f>
        <v/>
      </c>
      <c r="AS14" s="20">
        <f>AS17*0.333333</f>
        <v/>
      </c>
      <c r="AT14" s="20">
        <f>AT17*0.333333</f>
        <v/>
      </c>
      <c r="AU14" s="20">
        <f>AU17*0.333333</f>
        <v/>
      </c>
      <c r="AV14" s="20">
        <f>AV17*0.333333</f>
        <v/>
      </c>
      <c r="AW14" s="20">
        <f>AW17*0.333333</f>
        <v/>
      </c>
      <c r="AX14" s="20">
        <f>AX17*0.333333</f>
        <v/>
      </c>
      <c r="AY14" s="20">
        <f>AY17*0.333333</f>
        <v/>
      </c>
    </row>
    <row r="15">
      <c r="B15" s="33" t="inlineStr">
        <is>
          <t xml:space="preserve">  403003 Private Pilates Breakage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>
        <v>0</v>
      </c>
      <c r="Q15" s="19" t="n">
        <v>0</v>
      </c>
      <c r="R15" s="19" t="n">
        <v>0</v>
      </c>
      <c r="S15" s="19" t="n">
        <v>0</v>
      </c>
      <c r="T15" s="84" t="n">
        <v>0</v>
      </c>
      <c r="U15" s="20">
        <f>U17*0.333333</f>
        <v/>
      </c>
      <c r="V15" s="20">
        <f>V17*0.333333</f>
        <v/>
      </c>
      <c r="W15" s="20">
        <f>W17*0.333333</f>
        <v/>
      </c>
      <c r="X15" s="20">
        <f>X17*0.333333</f>
        <v/>
      </c>
      <c r="Y15" s="20">
        <f>Y17*0.333333</f>
        <v/>
      </c>
      <c r="Z15" s="20">
        <f>Z17*0.333333</f>
        <v/>
      </c>
      <c r="AA15" s="20">
        <f>AA17*0.333333</f>
        <v/>
      </c>
      <c r="AB15" s="20">
        <f>AB17*0.333333</f>
        <v/>
      </c>
      <c r="AC15" s="20">
        <f>AC17*0.333333</f>
        <v/>
      </c>
      <c r="AD15" s="20">
        <f>AD17*0.333333</f>
        <v/>
      </c>
      <c r="AE15" s="20">
        <f>AE17*0.333333</f>
        <v/>
      </c>
      <c r="AF15" s="20">
        <f>AF17*0.333333</f>
        <v/>
      </c>
      <c r="AG15" s="20">
        <f>AG17*0.333333</f>
        <v/>
      </c>
      <c r="AH15" s="20">
        <f>AH17*0.333333</f>
        <v/>
      </c>
      <c r="AI15" s="20">
        <f>AI17*0.333333</f>
        <v/>
      </c>
      <c r="AJ15" s="20">
        <f>AJ17*0.333333</f>
        <v/>
      </c>
      <c r="AK15" s="20">
        <f>AK17*0.333333</f>
        <v/>
      </c>
      <c r="AL15" s="20">
        <f>AL17*0.333333</f>
        <v/>
      </c>
      <c r="AM15" s="20">
        <f>AM17*0.333333</f>
        <v/>
      </c>
      <c r="AN15" s="20">
        <f>AN17*0.333333</f>
        <v/>
      </c>
      <c r="AO15" s="20">
        <f>AO17*0.333333</f>
        <v/>
      </c>
      <c r="AP15" s="20">
        <f>AP17*0.333333</f>
        <v/>
      </c>
      <c r="AQ15" s="20">
        <f>AQ17*0.333333</f>
        <v/>
      </c>
      <c r="AR15" s="20">
        <f>AR17*0.333333</f>
        <v/>
      </c>
      <c r="AS15" s="20">
        <f>AS17*0.333333</f>
        <v/>
      </c>
      <c r="AT15" s="20">
        <f>AT17*0.333333</f>
        <v/>
      </c>
      <c r="AU15" s="20">
        <f>AU17*0.333333</f>
        <v/>
      </c>
      <c r="AV15" s="20">
        <f>AV17*0.333333</f>
        <v/>
      </c>
      <c r="AW15" s="20">
        <f>AW17*0.333333</f>
        <v/>
      </c>
      <c r="AX15" s="20">
        <f>AX17*0.333333</f>
        <v/>
      </c>
      <c r="AY15" s="20">
        <f>AY17*0.333333</f>
        <v/>
      </c>
    </row>
    <row r="16">
      <c r="B16" s="33" t="inlineStr">
        <is>
          <t xml:space="preserve">  403004 Other Breakage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>
        <v>0</v>
      </c>
      <c r="Q16" s="19" t="n">
        <v>0</v>
      </c>
      <c r="R16" s="19" t="n">
        <v>0</v>
      </c>
      <c r="S16" s="19" t="n">
        <v>0</v>
      </c>
      <c r="T16" s="84" t="n">
        <v>0</v>
      </c>
      <c r="U16" s="20">
        <f>U17*0.333333</f>
        <v/>
      </c>
      <c r="V16" s="20">
        <f>V17*0.333333</f>
        <v/>
      </c>
      <c r="W16" s="20">
        <f>W17*0.333333</f>
        <v/>
      </c>
      <c r="X16" s="20">
        <f>X17*0.333333</f>
        <v/>
      </c>
      <c r="Y16" s="20">
        <f>Y17*0.333333</f>
        <v/>
      </c>
      <c r="Z16" s="20">
        <f>Z17*0.333333</f>
        <v/>
      </c>
      <c r="AA16" s="20">
        <f>AA17*0.333333</f>
        <v/>
      </c>
      <c r="AB16" s="20">
        <f>AB17*0.333333</f>
        <v/>
      </c>
      <c r="AC16" s="20">
        <f>AC17*0.333333</f>
        <v/>
      </c>
      <c r="AD16" s="20">
        <f>AD17*0.333333</f>
        <v/>
      </c>
      <c r="AE16" s="20">
        <f>AE17*0.333333</f>
        <v/>
      </c>
      <c r="AF16" s="20">
        <f>AF17*0.333333</f>
        <v/>
      </c>
      <c r="AG16" s="20">
        <f>AG17*0.333333</f>
        <v/>
      </c>
      <c r="AH16" s="20">
        <f>AH17*0.333333</f>
        <v/>
      </c>
      <c r="AI16" s="20">
        <f>AI17*0.333333</f>
        <v/>
      </c>
      <c r="AJ16" s="20">
        <f>AJ17*0.333333</f>
        <v/>
      </c>
      <c r="AK16" s="20">
        <f>AK17*0.333333</f>
        <v/>
      </c>
      <c r="AL16" s="20">
        <f>AL17*0.333333</f>
        <v/>
      </c>
      <c r="AM16" s="20">
        <f>AM17*0.333333</f>
        <v/>
      </c>
      <c r="AN16" s="20">
        <f>AN17*0.333333</f>
        <v/>
      </c>
      <c r="AO16" s="20">
        <f>AO17*0.333333</f>
        <v/>
      </c>
      <c r="AP16" s="20">
        <f>AP17*0.333333</f>
        <v/>
      </c>
      <c r="AQ16" s="20">
        <f>AQ17*0.333333</f>
        <v/>
      </c>
      <c r="AR16" s="20">
        <f>AR17*0.333333</f>
        <v/>
      </c>
      <c r="AS16" s="20">
        <f>AS17*0.333333</f>
        <v/>
      </c>
      <c r="AT16" s="20">
        <f>AT17*0.333333</f>
        <v/>
      </c>
      <c r="AU16" s="20">
        <f>AU17*0.333333</f>
        <v/>
      </c>
      <c r="AV16" s="20">
        <f>AV17*0.333333</f>
        <v/>
      </c>
      <c r="AW16" s="20">
        <f>AW17*0.333333</f>
        <v/>
      </c>
      <c r="AX16" s="20">
        <f>AX17*0.333333</f>
        <v/>
      </c>
      <c r="AY16" s="20">
        <f>AY17*0.333333</f>
        <v/>
      </c>
    </row>
    <row r="17">
      <c r="B17" s="32" t="inlineStr">
        <is>
          <t>Total Breakage Revenue</t>
        </is>
      </c>
      <c r="C17" s="34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>
        <v>0</v>
      </c>
      <c r="Q17" s="35" t="n">
        <v>0</v>
      </c>
      <c r="R17" s="35" t="n">
        <v>0</v>
      </c>
      <c r="S17" s="35" t="n">
        <v>0</v>
      </c>
      <c r="T17" s="85" t="n">
        <v>0</v>
      </c>
      <c r="U17" s="17">
        <f>'Sales Forecast'!U16*Assumptions!$C$13+'Sales Forecast'!T16*Assumptions!$D$13+'Sales Forecast'!S16*Assumptions!$E$13+'Sales Forecast'!R16*Assumptions!$F$13+'Sales Forecast'!Q16*Assumptions!$G$13+'Sales Forecast'!P16*Assumptions!$H$13+'Sales Forecast'!U112*Assumptions!$I$13</f>
        <v/>
      </c>
      <c r="V17" s="17">
        <f>'Sales Forecast'!V16*Assumptions!$C$13+'Sales Forecast'!U16*Assumptions!$D$13+'Sales Forecast'!T16*Assumptions!$E$13+'Sales Forecast'!S16*Assumptions!$F$13+'Sales Forecast'!R16*Assumptions!$G$13+'Sales Forecast'!Q16*Assumptions!$H$13+'Sales Forecast'!P16*Assumptions!$I$13</f>
        <v/>
      </c>
      <c r="W17" s="17">
        <f>'Sales Forecast'!W16*Assumptions!$C$13+'Sales Forecast'!V16*Assumptions!$D$13+'Sales Forecast'!U16*Assumptions!$E$13+'Sales Forecast'!T16*Assumptions!$F$13+'Sales Forecast'!S16*Assumptions!$G$13+'Sales Forecast'!R16*Assumptions!$H$13+'Sales Forecast'!Q16*Assumptions!$I$13</f>
        <v/>
      </c>
      <c r="X17" s="17">
        <f>'Sales Forecast'!X16*Assumptions!$C$13+'Sales Forecast'!W16*Assumptions!$D$13+'Sales Forecast'!V16*Assumptions!$E$13+'Sales Forecast'!U16*Assumptions!$F$13+'Sales Forecast'!T16*Assumptions!$G$13+'Sales Forecast'!S16*Assumptions!$H$13+'Sales Forecast'!R16*Assumptions!$I$13</f>
        <v/>
      </c>
      <c r="Y17" s="17">
        <f>'Sales Forecast'!Y16*Assumptions!$C$13+'Sales Forecast'!X16*Assumptions!$D$13+'Sales Forecast'!W16*Assumptions!$E$13+'Sales Forecast'!V16*Assumptions!$F$13+'Sales Forecast'!U16*Assumptions!$G$13+'Sales Forecast'!T16*Assumptions!$H$13+'Sales Forecast'!S16*Assumptions!$I$13</f>
        <v/>
      </c>
      <c r="Z17" s="17">
        <f>'Sales Forecast'!Z16*Assumptions!$C$13+'Sales Forecast'!Y16*Assumptions!$D$13+'Sales Forecast'!X16*Assumptions!$E$13+'Sales Forecast'!W16*Assumptions!$F$13+'Sales Forecast'!V16*Assumptions!$G$13+'Sales Forecast'!U16*Assumptions!$H$13+'Sales Forecast'!T16*Assumptions!$I$13</f>
        <v/>
      </c>
      <c r="AA17" s="17">
        <f>'Sales Forecast'!AA16*Assumptions!$C$13+'Sales Forecast'!Z16*Assumptions!$D$13+'Sales Forecast'!Y16*Assumptions!$E$13+'Sales Forecast'!X16*Assumptions!$F$13+'Sales Forecast'!W16*Assumptions!$G$13+'Sales Forecast'!V16*Assumptions!$H$13+'Sales Forecast'!U16*Assumptions!$I$13</f>
        <v/>
      </c>
      <c r="AB17" s="17">
        <f>'Sales Forecast'!AB16*Assumptions!$C$13+'Sales Forecast'!AA16*Assumptions!$D$13+'Sales Forecast'!Z16*Assumptions!$E$13+'Sales Forecast'!Y16*Assumptions!$F$13+'Sales Forecast'!X16*Assumptions!$G$13+'Sales Forecast'!W16*Assumptions!$H$13+'Sales Forecast'!V16*Assumptions!$I$13</f>
        <v/>
      </c>
      <c r="AC17" s="17">
        <f>'Sales Forecast'!AC16*Assumptions!$C$13+'Sales Forecast'!AB16*Assumptions!$D$13+'Sales Forecast'!AA16*Assumptions!$E$13+'Sales Forecast'!Z16*Assumptions!$F$13+'Sales Forecast'!Y16*Assumptions!$G$13+'Sales Forecast'!X16*Assumptions!$H$13+'Sales Forecast'!W16*Assumptions!$I$13</f>
        <v/>
      </c>
      <c r="AD17" s="17">
        <f>'Sales Forecast'!AD16*Assumptions!$C$13+'Sales Forecast'!AC16*Assumptions!$D$13+'Sales Forecast'!AB16*Assumptions!$E$13+'Sales Forecast'!AA16*Assumptions!$F$13+'Sales Forecast'!Z16*Assumptions!$G$13+'Sales Forecast'!Y16*Assumptions!$H$13+'Sales Forecast'!X16*Assumptions!$I$13</f>
        <v/>
      </c>
      <c r="AE17" s="17">
        <f>'Sales Forecast'!AE16*Assumptions!$C$13+'Sales Forecast'!AD16*Assumptions!$D$13+'Sales Forecast'!AC16*Assumptions!$E$13+'Sales Forecast'!AB16*Assumptions!$F$13+'Sales Forecast'!AA16*Assumptions!$G$13+'Sales Forecast'!Z16*Assumptions!$H$13+'Sales Forecast'!Y16*Assumptions!$I$13</f>
        <v/>
      </c>
      <c r="AF17" s="17">
        <f>'Sales Forecast'!AF16*Assumptions!$C$13+'Sales Forecast'!AE16*Assumptions!$D$13+'Sales Forecast'!AD16*Assumptions!$E$13+'Sales Forecast'!AC16*Assumptions!$F$13+'Sales Forecast'!AB16*Assumptions!$G$13+'Sales Forecast'!AA16*Assumptions!$H$13+'Sales Forecast'!Z16*Assumptions!$I$13</f>
        <v/>
      </c>
      <c r="AG17" s="17">
        <f>'Sales Forecast'!AG16*Assumptions!$C$13+'Sales Forecast'!AF16*Assumptions!$D$13+'Sales Forecast'!AE16*Assumptions!$E$13+'Sales Forecast'!AD16*Assumptions!$F$13+'Sales Forecast'!AC16*Assumptions!$G$13+'Sales Forecast'!AB16*Assumptions!$H$13+'Sales Forecast'!AA16*Assumptions!$I$13</f>
        <v/>
      </c>
      <c r="AH17" s="17">
        <f>'Sales Forecast'!AH16*Assumptions!$C$13+'Sales Forecast'!AG16*Assumptions!$D$13+'Sales Forecast'!AF16*Assumptions!$E$13+'Sales Forecast'!AE16*Assumptions!$F$13+'Sales Forecast'!AD16*Assumptions!$G$13+'Sales Forecast'!AC16*Assumptions!$H$13+'Sales Forecast'!AB16*Assumptions!$I$13</f>
        <v/>
      </c>
      <c r="AI17" s="17">
        <f>'Sales Forecast'!AI16*Assumptions!$C$13+'Sales Forecast'!AH16*Assumptions!$D$13+'Sales Forecast'!AG16*Assumptions!$E$13+'Sales Forecast'!AF16*Assumptions!$F$13+'Sales Forecast'!AE16*Assumptions!$G$13+'Sales Forecast'!AD16*Assumptions!$H$13+'Sales Forecast'!AC16*Assumptions!$I$13</f>
        <v/>
      </c>
      <c r="AJ17" s="17">
        <f>'Sales Forecast'!AJ16*Assumptions!$C$13+'Sales Forecast'!AI16*Assumptions!$D$13+'Sales Forecast'!AH16*Assumptions!$E$13+'Sales Forecast'!AG16*Assumptions!$F$13+'Sales Forecast'!AF16*Assumptions!$G$13+'Sales Forecast'!AE16*Assumptions!$H$13+'Sales Forecast'!AD16*Assumptions!$I$13</f>
        <v/>
      </c>
      <c r="AK17" s="17">
        <f>'Sales Forecast'!AK16*Assumptions!$C$13+'Sales Forecast'!AJ16*Assumptions!$D$13+'Sales Forecast'!AI16*Assumptions!$E$13+'Sales Forecast'!AH16*Assumptions!$F$13+'Sales Forecast'!AG16*Assumptions!$G$13+'Sales Forecast'!AF16*Assumptions!$H$13+'Sales Forecast'!AE16*Assumptions!$I$13</f>
        <v/>
      </c>
      <c r="AL17" s="17">
        <f>'Sales Forecast'!AL16*Assumptions!$C$13+'Sales Forecast'!AK16*Assumptions!$D$13+'Sales Forecast'!AJ16*Assumptions!$E$13+'Sales Forecast'!AI16*Assumptions!$F$13+'Sales Forecast'!AH16*Assumptions!$G$13+'Sales Forecast'!AG16*Assumptions!$H$13+'Sales Forecast'!AF16*Assumptions!$I$13</f>
        <v/>
      </c>
      <c r="AM17" s="17">
        <f>'Sales Forecast'!AM16*Assumptions!$C$13+'Sales Forecast'!AL16*Assumptions!$D$13+'Sales Forecast'!AK16*Assumptions!$E$13+'Sales Forecast'!AJ16*Assumptions!$F$13+'Sales Forecast'!AI16*Assumptions!$G$13+'Sales Forecast'!AH16*Assumptions!$H$13+'Sales Forecast'!AG16*Assumptions!$I$13</f>
        <v/>
      </c>
      <c r="AN17" s="17">
        <f>'Sales Forecast'!AN16*Assumptions!$C$13+'Sales Forecast'!AM16*Assumptions!$D$13+'Sales Forecast'!AL16*Assumptions!$E$13+'Sales Forecast'!AK16*Assumptions!$F$13+'Sales Forecast'!AJ16*Assumptions!$G$13+'Sales Forecast'!AI16*Assumptions!$H$13+'Sales Forecast'!AH16*Assumptions!$I$13</f>
        <v/>
      </c>
      <c r="AO17" s="17">
        <f>'Sales Forecast'!AO16*Assumptions!$C$13+'Sales Forecast'!AN16*Assumptions!$D$13+'Sales Forecast'!AM16*Assumptions!$E$13+'Sales Forecast'!AL16*Assumptions!$F$13+'Sales Forecast'!AK16*Assumptions!$G$13+'Sales Forecast'!AJ16*Assumptions!$H$13+'Sales Forecast'!AI16*Assumptions!$I$13</f>
        <v/>
      </c>
      <c r="AP17" s="17">
        <f>'Sales Forecast'!AP16*Assumptions!$C$13+'Sales Forecast'!AO16*Assumptions!$D$13+'Sales Forecast'!AN16*Assumptions!$E$13+'Sales Forecast'!AM16*Assumptions!$F$13+'Sales Forecast'!AL16*Assumptions!$G$13+'Sales Forecast'!AK16*Assumptions!$H$13+'Sales Forecast'!AJ16*Assumptions!$I$13</f>
        <v/>
      </c>
      <c r="AQ17" s="17">
        <f>'Sales Forecast'!AQ16*Assumptions!$C$13+'Sales Forecast'!AP16*Assumptions!$D$13+'Sales Forecast'!AO16*Assumptions!$E$13+'Sales Forecast'!AN16*Assumptions!$F$13+'Sales Forecast'!AM16*Assumptions!$G$13+'Sales Forecast'!AL16*Assumptions!$H$13+'Sales Forecast'!AK16*Assumptions!$I$13</f>
        <v/>
      </c>
      <c r="AR17" s="17">
        <f>'Sales Forecast'!AR16*Assumptions!$C$13+'Sales Forecast'!AQ16*Assumptions!$D$13+'Sales Forecast'!AP16*Assumptions!$E$13+'Sales Forecast'!AO16*Assumptions!$F$13+'Sales Forecast'!AN16*Assumptions!$G$13+'Sales Forecast'!AM16*Assumptions!$H$13+'Sales Forecast'!AL16*Assumptions!$I$13</f>
        <v/>
      </c>
      <c r="AS17" s="17">
        <f>'Sales Forecast'!AS16*Assumptions!$C$13+'Sales Forecast'!AR16*Assumptions!$D$13+'Sales Forecast'!AQ16*Assumptions!$E$13+'Sales Forecast'!AP16*Assumptions!$F$13+'Sales Forecast'!AO16*Assumptions!$G$13+'Sales Forecast'!AN16*Assumptions!$H$13+'Sales Forecast'!AM16*Assumptions!$I$13</f>
        <v/>
      </c>
      <c r="AT17" s="17">
        <f>'Sales Forecast'!AT16*Assumptions!$C$13+'Sales Forecast'!AS16*Assumptions!$D$13+'Sales Forecast'!AR16*Assumptions!$E$13+'Sales Forecast'!AQ16*Assumptions!$F$13+'Sales Forecast'!AP16*Assumptions!$G$13+'Sales Forecast'!AO16*Assumptions!$H$13+'Sales Forecast'!AN16*Assumptions!$I$13</f>
        <v/>
      </c>
      <c r="AU17" s="17">
        <f>'Sales Forecast'!AU16*Assumptions!$C$13+'Sales Forecast'!AT16*Assumptions!$D$13+'Sales Forecast'!AS16*Assumptions!$E$13+'Sales Forecast'!AR16*Assumptions!$F$13+'Sales Forecast'!AQ16*Assumptions!$G$13+'Sales Forecast'!AP16*Assumptions!$H$13+'Sales Forecast'!AO16*Assumptions!$I$13</f>
        <v/>
      </c>
      <c r="AV17" s="17">
        <f>'Sales Forecast'!AV16*Assumptions!$C$13+'Sales Forecast'!AU16*Assumptions!$D$13+'Sales Forecast'!AT16*Assumptions!$E$13+'Sales Forecast'!AS16*Assumptions!$F$13+'Sales Forecast'!AR16*Assumptions!$G$13+'Sales Forecast'!AQ16*Assumptions!$H$13+'Sales Forecast'!AP16*Assumptions!$I$13</f>
        <v/>
      </c>
      <c r="AW17" s="17">
        <f>'Sales Forecast'!AW16*Assumptions!$C$13+'Sales Forecast'!AV16*Assumptions!$D$13+'Sales Forecast'!AU16*Assumptions!$E$13+'Sales Forecast'!AT16*Assumptions!$F$13+'Sales Forecast'!AS16*Assumptions!$G$13+'Sales Forecast'!AR16*Assumptions!$H$13+'Sales Forecast'!AQ16*Assumptions!$I$13</f>
        <v/>
      </c>
      <c r="AX17" s="17">
        <f>'Sales Forecast'!AX16*Assumptions!$C$13+'Sales Forecast'!AW16*Assumptions!$D$13+'Sales Forecast'!AV16*Assumptions!$E$13+'Sales Forecast'!AU16*Assumptions!$F$13+'Sales Forecast'!AT16*Assumptions!$G$13+'Sales Forecast'!AS16*Assumptions!$H$13+'Sales Forecast'!AR16*Assumptions!$I$13</f>
        <v/>
      </c>
      <c r="AY17" s="17">
        <f>'Sales Forecast'!AY16*Assumptions!$C$13+'Sales Forecast'!AX16*Assumptions!$D$13+'Sales Forecast'!AW16*Assumptions!$E$13+'Sales Forecast'!AV16*Assumptions!$F$13+'Sales Forecast'!AU16*Assumptions!$G$13+'Sales Forecast'!AT16*Assumptions!$H$13+'Sales Forecast'!AS16*Assumptions!$I$13</f>
        <v/>
      </c>
    </row>
    <row r="18">
      <c r="B18" s="33" t="inlineStr">
        <is>
          <t xml:space="preserve">  404000 Retail Sales</t>
        </is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>
        <v>0</v>
      </c>
      <c r="Q18" s="19" t="n">
        <v>0</v>
      </c>
      <c r="R18" s="19" t="n">
        <v>0</v>
      </c>
      <c r="S18" s="19" t="n">
        <v>0</v>
      </c>
      <c r="T18" s="84" t="n">
        <v>0</v>
      </c>
      <c r="U18" s="20">
        <f>0</f>
        <v/>
      </c>
      <c r="V18" s="20">
        <f>0</f>
        <v/>
      </c>
      <c r="W18" s="20">
        <f>0</f>
        <v/>
      </c>
      <c r="X18" s="20">
        <f>0</f>
        <v/>
      </c>
      <c r="Y18" s="20">
        <f>0</f>
        <v/>
      </c>
      <c r="Z18" s="20">
        <f>0</f>
        <v/>
      </c>
      <c r="AA18" s="20">
        <f>0</f>
        <v/>
      </c>
      <c r="AB18" s="20">
        <f>0</f>
        <v/>
      </c>
      <c r="AC18" s="20">
        <f>0</f>
        <v/>
      </c>
      <c r="AD18" s="20">
        <f>0</f>
        <v/>
      </c>
      <c r="AE18" s="20">
        <f>0</f>
        <v/>
      </c>
      <c r="AF18" s="20">
        <f>0</f>
        <v/>
      </c>
      <c r="AG18" s="20">
        <f>0</f>
        <v/>
      </c>
      <c r="AH18" s="20">
        <f>0</f>
        <v/>
      </c>
      <c r="AI18" s="20">
        <f>0</f>
        <v/>
      </c>
      <c r="AJ18" s="20">
        <f>0</f>
        <v/>
      </c>
      <c r="AK18" s="20">
        <f>0</f>
        <v/>
      </c>
      <c r="AL18" s="20">
        <f>0</f>
        <v/>
      </c>
      <c r="AM18" s="20">
        <f>0</f>
        <v/>
      </c>
      <c r="AN18" s="20">
        <f>0</f>
        <v/>
      </c>
      <c r="AO18" s="20">
        <f>0</f>
        <v/>
      </c>
      <c r="AP18" s="20">
        <f>0</f>
        <v/>
      </c>
      <c r="AQ18" s="20">
        <f>0</f>
        <v/>
      </c>
      <c r="AR18" s="20">
        <f>0</f>
        <v/>
      </c>
      <c r="AS18" s="20">
        <f>0</f>
        <v/>
      </c>
      <c r="AT18" s="20">
        <f>0</f>
        <v/>
      </c>
      <c r="AU18" s="20">
        <f>0</f>
        <v/>
      </c>
      <c r="AV18" s="20">
        <f>0</f>
        <v/>
      </c>
      <c r="AW18" s="20">
        <f>0</f>
        <v/>
      </c>
      <c r="AX18" s="20">
        <f>0</f>
        <v/>
      </c>
      <c r="AY18" s="20">
        <f>0</f>
        <v/>
      </c>
    </row>
    <row r="19">
      <c r="B19" s="33" t="inlineStr">
        <is>
          <t xml:space="preserve">  406000 Refunds</t>
        </is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>
        <v>0</v>
      </c>
      <c r="Q19" s="19" t="n">
        <v>0</v>
      </c>
      <c r="R19" s="19" t="n">
        <v>0</v>
      </c>
      <c r="S19" s="19" t="n">
        <v>0</v>
      </c>
      <c r="T19" s="84" t="n">
        <v>0</v>
      </c>
      <c r="U19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Forecast'!P16*Assumptions!$H$13+0)*Assumptions!$C$17</f>
        <v/>
      </c>
      <c r="V19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Forecast'!P16*Assumptions!$I$13+0)*Assumptions!$C$17</f>
        <v/>
      </c>
      <c r="W19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Forecast'!Q16*Assumptions!$I$13+0)*Assumptions!$C$17</f>
        <v/>
      </c>
      <c r="X19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Forecast'!R16*Assumptions!$I$13+0)*Assumptions!$C$17</f>
        <v/>
      </c>
      <c r="Y19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Forecast'!S16*Assumptions!$I$13+0)*Assumptions!$C$17</f>
        <v/>
      </c>
      <c r="Z19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Forecast'!T16*Assumptions!$I$13+0)*Assumptions!$C$17</f>
        <v/>
      </c>
      <c r="AA19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Forecast'!U16*Assumptions!$I$13+0)*Assumptions!$C$17</f>
        <v/>
      </c>
      <c r="AB19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Forecast'!V16*Assumptions!$I$13+0)*Assumptions!$C$17</f>
        <v/>
      </c>
      <c r="AC19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Forecast'!W16*Assumptions!$I$13+0)*Assumptions!$C$17</f>
        <v/>
      </c>
      <c r="AD19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Forecast'!X16*Assumptions!$I$13+0)*Assumptions!$C$17</f>
        <v/>
      </c>
      <c r="AE19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Forecast'!Y16*Assumptions!$I$13+0)*Assumptions!$C$17</f>
        <v/>
      </c>
      <c r="AF19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Forecast'!Z16*Assumptions!$I$13+0)*Assumptions!$C$17</f>
        <v/>
      </c>
      <c r="AG19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Forecast'!AA16*Assumptions!$I$13+0)*Assumptions!$C$17</f>
        <v/>
      </c>
      <c r="AH19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Forecast'!AB16*Assumptions!$I$13+0)*Assumptions!$C$17</f>
        <v/>
      </c>
      <c r="AI19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Forecast'!AC16*Assumptions!$I$13+0)*Assumptions!$C$17</f>
        <v/>
      </c>
      <c r="AJ19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Forecast'!AD16*Assumptions!$I$13+0)*Assumptions!$C$17</f>
        <v/>
      </c>
      <c r="AK19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Forecast'!AE16*Assumptions!$I$13+0)*Assumptions!$C$17</f>
        <v/>
      </c>
      <c r="AL19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Forecast'!AF16*Assumptions!$I$13+0)*Assumptions!$C$17</f>
        <v/>
      </c>
      <c r="AM19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Forecast'!AG16*Assumptions!$I$13+0)*Assumptions!$C$17</f>
        <v/>
      </c>
      <c r="AN19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Forecast'!AH16*Assumptions!$I$13+0)*Assumptions!$C$17</f>
        <v/>
      </c>
      <c r="AO19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Forecast'!AI16*Assumptions!$I$13+0)*Assumptions!$C$17</f>
        <v/>
      </c>
      <c r="AP19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Forecast'!AJ16*Assumptions!$I$13+0)*Assumptions!$C$17</f>
        <v/>
      </c>
      <c r="AQ19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Forecast'!AK16*Assumptions!$I$13+0)*Assumptions!$C$17</f>
        <v/>
      </c>
      <c r="AR19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Forecast'!AL16*Assumptions!$I$13+0)*Assumptions!$C$17</f>
        <v/>
      </c>
      <c r="AS19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Forecast'!AM16*Assumptions!$I$13+0)*Assumptions!$C$17</f>
        <v/>
      </c>
      <c r="AT19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Forecast'!AN16*Assumptions!$I$13+0)*Assumptions!$C$17</f>
        <v/>
      </c>
      <c r="AU19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Forecast'!AO16*Assumptions!$I$13+0)*Assumptions!$C$17</f>
        <v/>
      </c>
      <c r="AV19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Forecast'!AP16*Assumptions!$I$13+0)*Assumptions!$C$17</f>
        <v/>
      </c>
      <c r="AW19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Forecast'!AQ16*Assumptions!$I$13+0)*Assumptions!$C$17</f>
        <v/>
      </c>
      <c r="AX19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Forecast'!AR16*Assumptions!$I$13+0)*Assumptions!$C$17</f>
        <v/>
      </c>
      <c r="AY19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Forecast'!AS16*Assumptions!$I$13+0)*Assumptions!$C$17</f>
        <v/>
      </c>
    </row>
    <row r="20">
      <c r="B20" s="33" t="inlineStr">
        <is>
          <t xml:space="preserve">  407000 Discounts</t>
        </is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>
        <v>0</v>
      </c>
      <c r="Q20" s="19" t="n">
        <v>0</v>
      </c>
      <c r="R20" s="19" t="n">
        <v>0</v>
      </c>
      <c r="S20" s="19" t="n">
        <v>0</v>
      </c>
      <c r="T20" s="84" t="n">
        <v>0</v>
      </c>
      <c r="U20" s="20">
        <f>('Sales Forecast'!U16*Assumptions!$C$12+'Sales Forecast'!T16*Assumptions!$D$12+'Sales Forecast'!S16*Assumptions!$E$12+'Sales Forecast'!R16*Assumptions!$F$12+'Sales Forecast'!Q16*Assumptions!$G$12+'Sales Forecast'!P16*Assumptions!$H$12+'Sales Forecast'!U16*Assumptions!$C$13+'Sales Forecast'!T16*Assumptions!$D$13+'Sales Forecast'!S16*Assumptions!$E$13+'Sales Forecast'!R16*Assumptions!$F$13+'Sales Forecast'!Q16*Assumptions!$G$13+'Sales Forecast'!P16*Assumptions!$H$13+0)*Assumptions!$C$18</f>
        <v/>
      </c>
      <c r="V20" s="20">
        <f>('Sales Forecast'!V16*Assumptions!$C$12+'Sales Forecast'!U16*Assumptions!$D$12+'Sales Forecast'!T16*Assumptions!$E$12+'Sales Forecast'!S16*Assumptions!$F$12+'Sales Forecast'!R16*Assumptions!$G$12+'Sales Forecast'!Q16*Assumptions!$H$12+'Sales Forecast'!P16*Assumptions!$I$12+'Sales Forecast'!V16*Assumptions!$C$13+'Sales Forecast'!U16*Assumptions!$D$13+'Sales Forecast'!T16*Assumptions!$E$13+'Sales Forecast'!S16*Assumptions!$F$13+'Sales Forecast'!R16*Assumptions!$G$13+'Sales Forecast'!Q16*Assumptions!$H$13+'Sales Forecast'!P16*Assumptions!$I$13+0)*Assumptions!$C$18</f>
        <v/>
      </c>
      <c r="W20" s="20">
        <f>('Sales Forecast'!W16*Assumptions!$C$12+'Sales Forecast'!V16*Assumptions!$D$12+'Sales Forecast'!U16*Assumptions!$E$12+'Sales Forecast'!T16*Assumptions!$F$12+'Sales Forecast'!S16*Assumptions!$G$12+'Sales Forecast'!R16*Assumptions!$H$12+'Sales Forecast'!Q16*Assumptions!$I$12+'Sales Forecast'!W16*Assumptions!$C$13+'Sales Forecast'!V16*Assumptions!$D$13+'Sales Forecast'!U16*Assumptions!$E$13+'Sales Forecast'!T16*Assumptions!$F$13+'Sales Forecast'!S16*Assumptions!$G$13+'Sales Forecast'!R16*Assumptions!$H$13+'Sales Forecast'!Q16*Assumptions!$I$13+0)*Assumptions!$C$18</f>
        <v/>
      </c>
      <c r="X20" s="20">
        <f>('Sales Forecast'!X16*Assumptions!$C$12+'Sales Forecast'!W16*Assumptions!$D$12+'Sales Forecast'!V16*Assumptions!$E$12+'Sales Forecast'!U16*Assumptions!$F$12+'Sales Forecast'!T16*Assumptions!$G$12+'Sales Forecast'!S16*Assumptions!$H$12+'Sales Forecast'!R16*Assumptions!$I$12+'Sales Forecast'!X16*Assumptions!$C$13+'Sales Forecast'!W16*Assumptions!$D$13+'Sales Forecast'!V16*Assumptions!$E$13+'Sales Forecast'!U16*Assumptions!$F$13+'Sales Forecast'!T16*Assumptions!$G$13+'Sales Forecast'!S16*Assumptions!$H$13+'Sales Forecast'!R16*Assumptions!$I$13+0)*Assumptions!$C$18</f>
        <v/>
      </c>
      <c r="Y20" s="20">
        <f>('Sales Forecast'!Y16*Assumptions!$C$12+'Sales Forecast'!X16*Assumptions!$D$12+'Sales Forecast'!W16*Assumptions!$E$12+'Sales Forecast'!V16*Assumptions!$F$12+'Sales Forecast'!U16*Assumptions!$G$12+'Sales Forecast'!T16*Assumptions!$H$12+'Sales Forecast'!S16*Assumptions!$I$12+'Sales Forecast'!Y16*Assumptions!$C$13+'Sales Forecast'!X16*Assumptions!$D$13+'Sales Forecast'!W16*Assumptions!$E$13+'Sales Forecast'!V16*Assumptions!$F$13+'Sales Forecast'!U16*Assumptions!$G$13+'Sales Forecast'!T16*Assumptions!$H$13+'Sales Forecast'!S16*Assumptions!$I$13+0)*Assumptions!$C$18</f>
        <v/>
      </c>
      <c r="Z20" s="20">
        <f>('Sales Forecast'!Z16*Assumptions!$C$12+'Sales Forecast'!Y16*Assumptions!$D$12+'Sales Forecast'!X16*Assumptions!$E$12+'Sales Forecast'!W16*Assumptions!$F$12+'Sales Forecast'!V16*Assumptions!$G$12+'Sales Forecast'!U16*Assumptions!$H$12+'Sales Forecast'!T16*Assumptions!$I$12+'Sales Forecast'!Z16*Assumptions!$C$13+'Sales Forecast'!Y16*Assumptions!$D$13+'Sales Forecast'!X16*Assumptions!$E$13+'Sales Forecast'!W16*Assumptions!$F$13+'Sales Forecast'!V16*Assumptions!$G$13+'Sales Forecast'!U16*Assumptions!$H$13+'Sales Forecast'!T16*Assumptions!$I$13+0)*Assumptions!$C$18</f>
        <v/>
      </c>
      <c r="AA20" s="20">
        <f>('Sales Forecast'!AA16*Assumptions!$C$12+'Sales Forecast'!Z16*Assumptions!$D$12+'Sales Forecast'!Y16*Assumptions!$E$12+'Sales Forecast'!X16*Assumptions!$F$12+'Sales Forecast'!W16*Assumptions!$G$12+'Sales Forecast'!V16*Assumptions!$H$12+'Sales Forecast'!U16*Assumptions!$I$12+'Sales Forecast'!AA16*Assumptions!$C$13+'Sales Forecast'!Z16*Assumptions!$D$13+'Sales Forecast'!Y16*Assumptions!$E$13+'Sales Forecast'!X16*Assumptions!$F$13+'Sales Forecast'!W16*Assumptions!$G$13+'Sales Forecast'!V16*Assumptions!$H$13+'Sales Forecast'!U16*Assumptions!$I$13+0)*Assumptions!$C$18</f>
        <v/>
      </c>
      <c r="AB20" s="20">
        <f>('Sales Forecast'!AB16*Assumptions!$C$12+'Sales Forecast'!AA16*Assumptions!$D$12+'Sales Forecast'!Z16*Assumptions!$E$12+'Sales Forecast'!Y16*Assumptions!$F$12+'Sales Forecast'!X16*Assumptions!$G$12+'Sales Forecast'!W16*Assumptions!$H$12+'Sales Forecast'!V16*Assumptions!$I$12+'Sales Forecast'!AB16*Assumptions!$C$13+'Sales Forecast'!AA16*Assumptions!$D$13+'Sales Forecast'!Z16*Assumptions!$E$13+'Sales Forecast'!Y16*Assumptions!$F$13+'Sales Forecast'!X16*Assumptions!$G$13+'Sales Forecast'!W16*Assumptions!$H$13+'Sales Forecast'!V16*Assumptions!$I$13+0)*Assumptions!$C$18</f>
        <v/>
      </c>
      <c r="AC20" s="20">
        <f>('Sales Forecast'!AC16*Assumptions!$C$12+'Sales Forecast'!AB16*Assumptions!$D$12+'Sales Forecast'!AA16*Assumptions!$E$12+'Sales Forecast'!Z16*Assumptions!$F$12+'Sales Forecast'!Y16*Assumptions!$G$12+'Sales Forecast'!X16*Assumptions!$H$12+'Sales Forecast'!W16*Assumptions!$I$12+'Sales Forecast'!AC16*Assumptions!$C$13+'Sales Forecast'!AB16*Assumptions!$D$13+'Sales Forecast'!AA16*Assumptions!$E$13+'Sales Forecast'!Z16*Assumptions!$F$13+'Sales Forecast'!Y16*Assumptions!$G$13+'Sales Forecast'!X16*Assumptions!$H$13+'Sales Forecast'!W16*Assumptions!$I$13+0)*Assumptions!$C$18</f>
        <v/>
      </c>
      <c r="AD20" s="20">
        <f>('Sales Forecast'!AD16*Assumptions!$C$12+'Sales Forecast'!AC16*Assumptions!$D$12+'Sales Forecast'!AB16*Assumptions!$E$12+'Sales Forecast'!AA16*Assumptions!$F$12+'Sales Forecast'!Z16*Assumptions!$G$12+'Sales Forecast'!Y16*Assumptions!$H$12+'Sales Forecast'!X16*Assumptions!$I$12+'Sales Forecast'!AD16*Assumptions!$C$13+'Sales Forecast'!AC16*Assumptions!$D$13+'Sales Forecast'!AB16*Assumptions!$E$13+'Sales Forecast'!AA16*Assumptions!$F$13+'Sales Forecast'!Z16*Assumptions!$G$13+'Sales Forecast'!Y16*Assumptions!$H$13+'Sales Forecast'!X16*Assumptions!$I$13+0)*Assumptions!$C$18</f>
        <v/>
      </c>
      <c r="AE20" s="20">
        <f>('Sales Forecast'!AE16*Assumptions!$C$12+'Sales Forecast'!AD16*Assumptions!$D$12+'Sales Forecast'!AC16*Assumptions!$E$12+'Sales Forecast'!AB16*Assumptions!$F$12+'Sales Forecast'!AA16*Assumptions!$G$12+'Sales Forecast'!Z16*Assumptions!$H$12+'Sales Forecast'!Y16*Assumptions!$I$12+'Sales Forecast'!AE16*Assumptions!$C$13+'Sales Forecast'!AD16*Assumptions!$D$13+'Sales Forecast'!AC16*Assumptions!$E$13+'Sales Forecast'!AB16*Assumptions!$F$13+'Sales Forecast'!AA16*Assumptions!$G$13+'Sales Forecast'!Z16*Assumptions!$H$13+'Sales Forecast'!Y16*Assumptions!$I$13+0)*Assumptions!$C$18</f>
        <v/>
      </c>
      <c r="AF20" s="20">
        <f>('Sales Forecast'!AF16*Assumptions!$C$12+'Sales Forecast'!AE16*Assumptions!$D$12+'Sales Forecast'!AD16*Assumptions!$E$12+'Sales Forecast'!AC16*Assumptions!$F$12+'Sales Forecast'!AB16*Assumptions!$G$12+'Sales Forecast'!AA16*Assumptions!$H$12+'Sales Forecast'!Z16*Assumptions!$I$12+'Sales Forecast'!AF16*Assumptions!$C$13+'Sales Forecast'!AE16*Assumptions!$D$13+'Sales Forecast'!AD16*Assumptions!$E$13+'Sales Forecast'!AC16*Assumptions!$F$13+'Sales Forecast'!AB16*Assumptions!$G$13+'Sales Forecast'!AA16*Assumptions!$H$13+'Sales Forecast'!Z16*Assumptions!$I$13+0)*Assumptions!$C$18</f>
        <v/>
      </c>
      <c r="AG20" s="20">
        <f>('Sales Forecast'!AG16*Assumptions!$C$12+'Sales Forecast'!AF16*Assumptions!$D$12+'Sales Forecast'!AE16*Assumptions!$E$12+'Sales Forecast'!AD16*Assumptions!$F$12+'Sales Forecast'!AC16*Assumptions!$G$12+'Sales Forecast'!AB16*Assumptions!$H$12+'Sales Forecast'!AA16*Assumptions!$I$12+'Sales Forecast'!AG16*Assumptions!$C$13+'Sales Forecast'!AF16*Assumptions!$D$13+'Sales Forecast'!AE16*Assumptions!$E$13+'Sales Forecast'!AD16*Assumptions!$F$13+'Sales Forecast'!AC16*Assumptions!$G$13+'Sales Forecast'!AB16*Assumptions!$H$13+'Sales Forecast'!AA16*Assumptions!$I$13+0)*Assumptions!$C$18</f>
        <v/>
      </c>
      <c r="AH20" s="20">
        <f>('Sales Forecast'!AH16*Assumptions!$C$12+'Sales Forecast'!AG16*Assumptions!$D$12+'Sales Forecast'!AF16*Assumptions!$E$12+'Sales Forecast'!AE16*Assumptions!$F$12+'Sales Forecast'!AD16*Assumptions!$G$12+'Sales Forecast'!AC16*Assumptions!$H$12+'Sales Forecast'!AB16*Assumptions!$I$12+'Sales Forecast'!AH16*Assumptions!$C$13+'Sales Forecast'!AG16*Assumptions!$D$13+'Sales Forecast'!AF16*Assumptions!$E$13+'Sales Forecast'!AE16*Assumptions!$F$13+'Sales Forecast'!AD16*Assumptions!$G$13+'Sales Forecast'!AC16*Assumptions!$H$13+'Sales Forecast'!AB16*Assumptions!$I$13+0)*Assumptions!$C$18</f>
        <v/>
      </c>
      <c r="AI20" s="20">
        <f>('Sales Forecast'!AI16*Assumptions!$C$12+'Sales Forecast'!AH16*Assumptions!$D$12+'Sales Forecast'!AG16*Assumptions!$E$12+'Sales Forecast'!AF16*Assumptions!$F$12+'Sales Forecast'!AE16*Assumptions!$G$12+'Sales Forecast'!AD16*Assumptions!$H$12+'Sales Forecast'!AC16*Assumptions!$I$12+'Sales Forecast'!AI16*Assumptions!$C$13+'Sales Forecast'!AH16*Assumptions!$D$13+'Sales Forecast'!AG16*Assumptions!$E$13+'Sales Forecast'!AF16*Assumptions!$F$13+'Sales Forecast'!AE16*Assumptions!$G$13+'Sales Forecast'!AD16*Assumptions!$H$13+'Sales Forecast'!AC16*Assumptions!$I$13+0)*Assumptions!$C$18</f>
        <v/>
      </c>
      <c r="AJ20" s="20">
        <f>('Sales Forecast'!AJ16*Assumptions!$C$12+'Sales Forecast'!AI16*Assumptions!$D$12+'Sales Forecast'!AH16*Assumptions!$E$12+'Sales Forecast'!AG16*Assumptions!$F$12+'Sales Forecast'!AF16*Assumptions!$G$12+'Sales Forecast'!AE16*Assumptions!$H$12+'Sales Forecast'!AD16*Assumptions!$I$12+'Sales Forecast'!AJ16*Assumptions!$C$13+'Sales Forecast'!AI16*Assumptions!$D$13+'Sales Forecast'!AH16*Assumptions!$E$13+'Sales Forecast'!AG16*Assumptions!$F$13+'Sales Forecast'!AF16*Assumptions!$G$13+'Sales Forecast'!AE16*Assumptions!$H$13+'Sales Forecast'!AD16*Assumptions!$I$13+0)*Assumptions!$C$18</f>
        <v/>
      </c>
      <c r="AK20" s="20">
        <f>('Sales Forecast'!AK16*Assumptions!$C$12+'Sales Forecast'!AJ16*Assumptions!$D$12+'Sales Forecast'!AI16*Assumptions!$E$12+'Sales Forecast'!AH16*Assumptions!$F$12+'Sales Forecast'!AG16*Assumptions!$G$12+'Sales Forecast'!AF16*Assumptions!$H$12+'Sales Forecast'!AE16*Assumptions!$I$12+'Sales Forecast'!AK16*Assumptions!$C$13+'Sales Forecast'!AJ16*Assumptions!$D$13+'Sales Forecast'!AI16*Assumptions!$E$13+'Sales Forecast'!AH16*Assumptions!$F$13+'Sales Forecast'!AG16*Assumptions!$G$13+'Sales Forecast'!AF16*Assumptions!$H$13+'Sales Forecast'!AE16*Assumptions!$I$13+0)*Assumptions!$C$18</f>
        <v/>
      </c>
      <c r="AL20" s="20">
        <f>('Sales Forecast'!AL16*Assumptions!$C$12+'Sales Forecast'!AK16*Assumptions!$D$12+'Sales Forecast'!AJ16*Assumptions!$E$12+'Sales Forecast'!AI16*Assumptions!$F$12+'Sales Forecast'!AH16*Assumptions!$G$12+'Sales Forecast'!AG16*Assumptions!$H$12+'Sales Forecast'!AF16*Assumptions!$I$12+'Sales Forecast'!AL16*Assumptions!$C$13+'Sales Forecast'!AK16*Assumptions!$D$13+'Sales Forecast'!AJ16*Assumptions!$E$13+'Sales Forecast'!AI16*Assumptions!$F$13+'Sales Forecast'!AH16*Assumptions!$G$13+'Sales Forecast'!AG16*Assumptions!$H$13+'Sales Forecast'!AF16*Assumptions!$I$13+0)*Assumptions!$C$18</f>
        <v/>
      </c>
      <c r="AM20" s="20">
        <f>('Sales Forecast'!AM16*Assumptions!$C$12+'Sales Forecast'!AL16*Assumptions!$D$12+'Sales Forecast'!AK16*Assumptions!$E$12+'Sales Forecast'!AJ16*Assumptions!$F$12+'Sales Forecast'!AI16*Assumptions!$G$12+'Sales Forecast'!AH16*Assumptions!$H$12+'Sales Forecast'!AG16*Assumptions!$I$12+'Sales Forecast'!AM16*Assumptions!$C$13+'Sales Forecast'!AL16*Assumptions!$D$13+'Sales Forecast'!AK16*Assumptions!$E$13+'Sales Forecast'!AJ16*Assumptions!$F$13+'Sales Forecast'!AI16*Assumptions!$G$13+'Sales Forecast'!AH16*Assumptions!$H$13+'Sales Forecast'!AG16*Assumptions!$I$13+0)*Assumptions!$C$18</f>
        <v/>
      </c>
      <c r="AN20" s="20">
        <f>('Sales Forecast'!AN16*Assumptions!$C$12+'Sales Forecast'!AM16*Assumptions!$D$12+'Sales Forecast'!AL16*Assumptions!$E$12+'Sales Forecast'!AK16*Assumptions!$F$12+'Sales Forecast'!AJ16*Assumptions!$G$12+'Sales Forecast'!AI16*Assumptions!$H$12+'Sales Forecast'!AH16*Assumptions!$I$12+'Sales Forecast'!AN16*Assumptions!$C$13+'Sales Forecast'!AM16*Assumptions!$D$13+'Sales Forecast'!AL16*Assumptions!$E$13+'Sales Forecast'!AK16*Assumptions!$F$13+'Sales Forecast'!AJ16*Assumptions!$G$13+'Sales Forecast'!AI16*Assumptions!$H$13+'Sales Forecast'!AH16*Assumptions!$I$13+0)*Assumptions!$C$18</f>
        <v/>
      </c>
      <c r="AO20" s="20">
        <f>('Sales Forecast'!AO16*Assumptions!$C$12+'Sales Forecast'!AN16*Assumptions!$D$12+'Sales Forecast'!AM16*Assumptions!$E$12+'Sales Forecast'!AL16*Assumptions!$F$12+'Sales Forecast'!AK16*Assumptions!$G$12+'Sales Forecast'!AJ16*Assumptions!$H$12+'Sales Forecast'!AI16*Assumptions!$I$12+'Sales Forecast'!AO16*Assumptions!$C$13+'Sales Forecast'!AN16*Assumptions!$D$13+'Sales Forecast'!AM16*Assumptions!$E$13+'Sales Forecast'!AL16*Assumptions!$F$13+'Sales Forecast'!AK16*Assumptions!$G$13+'Sales Forecast'!AJ16*Assumptions!$H$13+'Sales Forecast'!AI16*Assumptions!$I$13+0)*Assumptions!$C$18</f>
        <v/>
      </c>
      <c r="AP20" s="20">
        <f>('Sales Forecast'!AP16*Assumptions!$C$12+'Sales Forecast'!AO16*Assumptions!$D$12+'Sales Forecast'!AN16*Assumptions!$E$12+'Sales Forecast'!AM16*Assumptions!$F$12+'Sales Forecast'!AL16*Assumptions!$G$12+'Sales Forecast'!AK16*Assumptions!$H$12+'Sales Forecast'!AJ16*Assumptions!$I$12+'Sales Forecast'!AP16*Assumptions!$C$13+'Sales Forecast'!AO16*Assumptions!$D$13+'Sales Forecast'!AN16*Assumptions!$E$13+'Sales Forecast'!AM16*Assumptions!$F$13+'Sales Forecast'!AL16*Assumptions!$G$13+'Sales Forecast'!AK16*Assumptions!$H$13+'Sales Forecast'!AJ16*Assumptions!$I$13+0)*Assumptions!$C$18</f>
        <v/>
      </c>
      <c r="AQ20" s="20">
        <f>('Sales Forecast'!AQ16*Assumptions!$C$12+'Sales Forecast'!AP16*Assumptions!$D$12+'Sales Forecast'!AO16*Assumptions!$E$12+'Sales Forecast'!AN16*Assumptions!$F$12+'Sales Forecast'!AM16*Assumptions!$G$12+'Sales Forecast'!AL16*Assumptions!$H$12+'Sales Forecast'!AK16*Assumptions!$I$12+'Sales Forecast'!AQ16*Assumptions!$C$13+'Sales Forecast'!AP16*Assumptions!$D$13+'Sales Forecast'!AO16*Assumptions!$E$13+'Sales Forecast'!AN16*Assumptions!$F$13+'Sales Forecast'!AM16*Assumptions!$G$13+'Sales Forecast'!AL16*Assumptions!$H$13+'Sales Forecast'!AK16*Assumptions!$I$13+0)*Assumptions!$C$18</f>
        <v/>
      </c>
      <c r="AR20" s="20">
        <f>('Sales Forecast'!AR16*Assumptions!$C$12+'Sales Forecast'!AQ16*Assumptions!$D$12+'Sales Forecast'!AP16*Assumptions!$E$12+'Sales Forecast'!AO16*Assumptions!$F$12+'Sales Forecast'!AN16*Assumptions!$G$12+'Sales Forecast'!AM16*Assumptions!$H$12+'Sales Forecast'!AL16*Assumptions!$I$12+'Sales Forecast'!AR16*Assumptions!$C$13+'Sales Forecast'!AQ16*Assumptions!$D$13+'Sales Forecast'!AP16*Assumptions!$E$13+'Sales Forecast'!AO16*Assumptions!$F$13+'Sales Forecast'!AN16*Assumptions!$G$13+'Sales Forecast'!AM16*Assumptions!$H$13+'Sales Forecast'!AL16*Assumptions!$I$13+0)*Assumptions!$C$18</f>
        <v/>
      </c>
      <c r="AS20" s="20">
        <f>('Sales Forecast'!AS16*Assumptions!$C$12+'Sales Forecast'!AR16*Assumptions!$D$12+'Sales Forecast'!AQ16*Assumptions!$E$12+'Sales Forecast'!AP16*Assumptions!$F$12+'Sales Forecast'!AO16*Assumptions!$G$12+'Sales Forecast'!AN16*Assumptions!$H$12+'Sales Forecast'!AM16*Assumptions!$I$12+'Sales Forecast'!AS16*Assumptions!$C$13+'Sales Forecast'!AR16*Assumptions!$D$13+'Sales Forecast'!AQ16*Assumptions!$E$13+'Sales Forecast'!AP16*Assumptions!$F$13+'Sales Forecast'!AO16*Assumptions!$G$13+'Sales Forecast'!AN16*Assumptions!$H$13+'Sales Forecast'!AM16*Assumptions!$I$13+0)*Assumptions!$C$18</f>
        <v/>
      </c>
      <c r="AT20" s="20">
        <f>('Sales Forecast'!AT16*Assumptions!$C$12+'Sales Forecast'!AS16*Assumptions!$D$12+'Sales Forecast'!AR16*Assumptions!$E$12+'Sales Forecast'!AQ16*Assumptions!$F$12+'Sales Forecast'!AP16*Assumptions!$G$12+'Sales Forecast'!AO16*Assumptions!$H$12+'Sales Forecast'!AN16*Assumptions!$I$12+'Sales Forecast'!AT16*Assumptions!$C$13+'Sales Forecast'!AS16*Assumptions!$D$13+'Sales Forecast'!AR16*Assumptions!$E$13+'Sales Forecast'!AQ16*Assumptions!$F$13+'Sales Forecast'!AP16*Assumptions!$G$13+'Sales Forecast'!AO16*Assumptions!$H$13+'Sales Forecast'!AN16*Assumptions!$I$13+0)*Assumptions!$C$18</f>
        <v/>
      </c>
      <c r="AU20" s="20">
        <f>('Sales Forecast'!AU16*Assumptions!$C$12+'Sales Forecast'!AT16*Assumptions!$D$12+'Sales Forecast'!AS16*Assumptions!$E$12+'Sales Forecast'!AR16*Assumptions!$F$12+'Sales Forecast'!AQ16*Assumptions!$G$12+'Sales Forecast'!AP16*Assumptions!$H$12+'Sales Forecast'!AO16*Assumptions!$I$12+'Sales Forecast'!AU16*Assumptions!$C$13+'Sales Forecast'!AT16*Assumptions!$D$13+'Sales Forecast'!AS16*Assumptions!$E$13+'Sales Forecast'!AR16*Assumptions!$F$13+'Sales Forecast'!AQ16*Assumptions!$G$13+'Sales Forecast'!AP16*Assumptions!$H$13+'Sales Forecast'!AO16*Assumptions!$I$13+0)*Assumptions!$C$18</f>
        <v/>
      </c>
      <c r="AV20" s="20">
        <f>('Sales Forecast'!AV16*Assumptions!$C$12+'Sales Forecast'!AU16*Assumptions!$D$12+'Sales Forecast'!AT16*Assumptions!$E$12+'Sales Forecast'!AS16*Assumptions!$F$12+'Sales Forecast'!AR16*Assumptions!$G$12+'Sales Forecast'!AQ16*Assumptions!$H$12+'Sales Forecast'!AP16*Assumptions!$I$12+'Sales Forecast'!AV16*Assumptions!$C$13+'Sales Forecast'!AU16*Assumptions!$D$13+'Sales Forecast'!AT16*Assumptions!$E$13+'Sales Forecast'!AS16*Assumptions!$F$13+'Sales Forecast'!AR16*Assumptions!$G$13+'Sales Forecast'!AQ16*Assumptions!$H$13+'Sales Forecast'!AP16*Assumptions!$I$13+0)*Assumptions!$C$18</f>
        <v/>
      </c>
      <c r="AW20" s="20">
        <f>('Sales Forecast'!AW16*Assumptions!$C$12+'Sales Forecast'!AV16*Assumptions!$D$12+'Sales Forecast'!AU16*Assumptions!$E$12+'Sales Forecast'!AT16*Assumptions!$F$12+'Sales Forecast'!AS16*Assumptions!$G$12+'Sales Forecast'!AR16*Assumptions!$H$12+'Sales Forecast'!AQ16*Assumptions!$I$12+'Sales Forecast'!AW16*Assumptions!$C$13+'Sales Forecast'!AV16*Assumptions!$D$13+'Sales Forecast'!AU16*Assumptions!$E$13+'Sales Forecast'!AT16*Assumptions!$F$13+'Sales Forecast'!AS16*Assumptions!$G$13+'Sales Forecast'!AR16*Assumptions!$H$13+'Sales Forecast'!AQ16*Assumptions!$I$13+0)*Assumptions!$C$18</f>
        <v/>
      </c>
      <c r="AX20" s="20">
        <f>('Sales Forecast'!AX16*Assumptions!$C$12+'Sales Forecast'!AW16*Assumptions!$D$12+'Sales Forecast'!AV16*Assumptions!$E$12+'Sales Forecast'!AU16*Assumptions!$F$12+'Sales Forecast'!AT16*Assumptions!$G$12+'Sales Forecast'!AS16*Assumptions!$H$12+'Sales Forecast'!AR16*Assumptions!$I$12+'Sales Forecast'!AX16*Assumptions!$C$13+'Sales Forecast'!AW16*Assumptions!$D$13+'Sales Forecast'!AV16*Assumptions!$E$13+'Sales Forecast'!AU16*Assumptions!$F$13+'Sales Forecast'!AT16*Assumptions!$G$13+'Sales Forecast'!AS16*Assumptions!$H$13+'Sales Forecast'!AR16*Assumptions!$I$13+0)*Assumptions!$C$18</f>
        <v/>
      </c>
      <c r="AY20" s="20">
        <f>('Sales Forecast'!AY16*Assumptions!$C$12+'Sales Forecast'!AX16*Assumptions!$D$12+'Sales Forecast'!AW16*Assumptions!$E$12+'Sales Forecast'!AV16*Assumptions!$F$12+'Sales Forecast'!AU16*Assumptions!$G$12+'Sales Forecast'!AT16*Assumptions!$H$12+'Sales Forecast'!AS16*Assumptions!$I$12+'Sales Forecast'!AY16*Assumptions!$C$13+'Sales Forecast'!AX16*Assumptions!$D$13+'Sales Forecast'!AW16*Assumptions!$E$13+'Sales Forecast'!AV16*Assumptions!$F$13+'Sales Forecast'!AU16*Assumptions!$G$13+'Sales Forecast'!AT16*Assumptions!$H$13+'Sales Forecast'!AS16*Assumptions!$I$13+0)*Assumptions!$C$18</f>
        <v/>
      </c>
    </row>
    <row r="21">
      <c r="B21" s="32" t="inlineStr">
        <is>
          <t>TOTAL REVENUE</t>
        </is>
      </c>
      <c r="C21" s="34" t="n"/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  <c r="I21" s="35" t="n">
        <v>0</v>
      </c>
      <c r="J21" s="35" t="n">
        <v>0</v>
      </c>
      <c r="K21" s="35" t="n">
        <v>0</v>
      </c>
      <c r="L21" s="35" t="n">
        <v>0</v>
      </c>
      <c r="M21" s="35" t="n">
        <v>0</v>
      </c>
      <c r="N21" s="35" t="n">
        <v>0</v>
      </c>
      <c r="O21" s="35" t="n">
        <v>0</v>
      </c>
      <c r="P21" s="35" t="n">
        <v>0</v>
      </c>
      <c r="Q21" s="35" t="n">
        <v>0</v>
      </c>
      <c r="R21" s="35" t="n">
        <v>0</v>
      </c>
      <c r="S21" s="35" t="n">
        <v>0</v>
      </c>
      <c r="T21" s="85" t="n">
        <v>0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>
        <v>0</v>
      </c>
      <c r="Q23" s="19" t="n">
        <v>0</v>
      </c>
      <c r="R23" s="19" t="n">
        <v>0</v>
      </c>
      <c r="S23" s="19" t="n">
        <v>0</v>
      </c>
      <c r="T23" s="84" t="n">
        <v>0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  <c r="J24" s="19" t="n">
        <v>0</v>
      </c>
      <c r="K24" s="19" t="n">
        <v>0</v>
      </c>
      <c r="L24" s="19" t="n">
        <v>0</v>
      </c>
      <c r="M24" s="19" t="n">
        <v>0</v>
      </c>
      <c r="N24" s="19" t="n">
        <v>34.84</v>
      </c>
      <c r="O24" s="19" t="n">
        <v>120.72</v>
      </c>
      <c r="P24" s="19" t="n">
        <v>119.95</v>
      </c>
      <c r="Q24" s="19" t="n">
        <v>159.7</v>
      </c>
      <c r="R24" s="19" t="n">
        <v>49.02</v>
      </c>
      <c r="S24" s="19" t="n">
        <v>34.81</v>
      </c>
      <c r="T24" s="84" t="n">
        <v>3.12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0</v>
      </c>
      <c r="E25" s="35" t="n">
        <v>0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34.84</v>
      </c>
      <c r="O25" s="35" t="n">
        <v>120.72</v>
      </c>
      <c r="P25" s="35" t="n">
        <v>119.95</v>
      </c>
      <c r="Q25" s="35" t="n">
        <v>159.7</v>
      </c>
      <c r="R25" s="35" t="n">
        <v>49.02</v>
      </c>
      <c r="S25" s="35" t="n">
        <v>34.81</v>
      </c>
      <c r="T25" s="85" t="n">
        <v>3.12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-34.84</v>
      </c>
      <c r="O26" s="35" t="n">
        <v>-120.72</v>
      </c>
      <c r="P26" s="35" t="n">
        <v>-119.95</v>
      </c>
      <c r="Q26" s="35" t="n">
        <v>-159.7</v>
      </c>
      <c r="R26" s="35" t="n">
        <v>-49.02</v>
      </c>
      <c r="S26" s="35" t="n">
        <v>-34.81</v>
      </c>
      <c r="T26" s="85" t="n">
        <v>-3.12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2419.8</v>
      </c>
      <c r="O28" s="19" t="n">
        <v>1409.13</v>
      </c>
      <c r="P28" s="19" t="n">
        <v>1415.6</v>
      </c>
      <c r="Q28" s="19" t="n">
        <v>147.64</v>
      </c>
      <c r="R28" s="19" t="n">
        <v>0</v>
      </c>
      <c r="S28" s="19" t="n">
        <v>0</v>
      </c>
      <c r="T28" s="84" t="n">
        <v>0</v>
      </c>
      <c r="U28" s="20" t="n">
        <v>1415.6</v>
      </c>
      <c r="V28" s="20" t="n">
        <v>1415.6</v>
      </c>
      <c r="W28" s="20" t="n">
        <v>1415.6</v>
      </c>
      <c r="X28" s="20" t="n">
        <v>1415.6</v>
      </c>
      <c r="Y28" s="20" t="n">
        <v>1415.6</v>
      </c>
      <c r="Z28" s="20" t="n">
        <v>1415.6</v>
      </c>
      <c r="AA28" s="20" t="n">
        <v>1415.6</v>
      </c>
      <c r="AB28" s="20" t="n">
        <v>1415.6</v>
      </c>
      <c r="AC28" s="20" t="n">
        <v>1415.6</v>
      </c>
      <c r="AD28" s="20" t="n">
        <v>1415.6</v>
      </c>
      <c r="AE28" s="20" t="n">
        <v>1415.6</v>
      </c>
      <c r="AF28" s="20" t="n">
        <v>1415.6</v>
      </c>
      <c r="AG28" s="20" t="n">
        <v>1415.6</v>
      </c>
      <c r="AH28" s="20" t="n">
        <v>1415.6</v>
      </c>
      <c r="AI28" s="20" t="n">
        <v>1415.6</v>
      </c>
      <c r="AJ28" s="20" t="n">
        <v>1415.6</v>
      </c>
      <c r="AK28" s="20" t="n">
        <v>1415.6</v>
      </c>
      <c r="AL28" s="20" t="n">
        <v>1415.6</v>
      </c>
      <c r="AM28" s="20" t="n">
        <v>1415.6</v>
      </c>
      <c r="AN28" s="20" t="n">
        <v>1415.6</v>
      </c>
      <c r="AO28" s="20" t="n">
        <v>1415.6</v>
      </c>
      <c r="AP28" s="20" t="n">
        <v>1415.6</v>
      </c>
      <c r="AQ28" s="20" t="n">
        <v>1415.6</v>
      </c>
      <c r="AR28" s="20" t="n">
        <v>1415.6</v>
      </c>
      <c r="AS28" s="20" t="n">
        <v>1415.6</v>
      </c>
      <c r="AT28" s="20" t="n">
        <v>1415.6</v>
      </c>
      <c r="AU28" s="20" t="n">
        <v>1415.6</v>
      </c>
      <c r="AV28" s="20" t="n">
        <v>1415.6</v>
      </c>
      <c r="AW28" s="20" t="n">
        <v>1415.6</v>
      </c>
      <c r="AX28" s="20" t="n">
        <v>1415.6</v>
      </c>
      <c r="AY28" s="20" t="n">
        <v>1415.6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  <c r="N33" s="35" t="n">
        <v>2419.8</v>
      </c>
      <c r="O33" s="35" t="n">
        <v>1409.13</v>
      </c>
      <c r="P33" s="35" t="n">
        <v>1415.6</v>
      </c>
      <c r="Q33" s="35" t="n">
        <v>147.64</v>
      </c>
      <c r="R33" s="35" t="n">
        <v>0</v>
      </c>
      <c r="S33" s="35" t="n">
        <v>0</v>
      </c>
      <c r="T33" s="85" t="n">
        <v>0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879.61</v>
      </c>
      <c r="Q34" s="19" t="n">
        <v>2038</v>
      </c>
      <c r="R34" s="19" t="n">
        <v>3170.79</v>
      </c>
      <c r="S34" s="19" t="n">
        <v>3766.64</v>
      </c>
      <c r="T34" s="84" t="n">
        <v>3065.74</v>
      </c>
      <c r="U34" s="20" t="n">
        <v>17728.81</v>
      </c>
      <c r="V34" s="20" t="n">
        <v>19287.85</v>
      </c>
      <c r="W34" s="20" t="n">
        <v>20262.47</v>
      </c>
      <c r="X34" s="20" t="n">
        <v>22820.93</v>
      </c>
      <c r="Y34" s="20" t="n">
        <v>26059.36</v>
      </c>
      <c r="Z34" s="20" t="n">
        <v>29600.47</v>
      </c>
      <c r="AA34" s="20" t="n">
        <v>30926.77</v>
      </c>
      <c r="AB34" s="20" t="n">
        <v>33737.28</v>
      </c>
      <c r="AC34" s="20" t="n">
        <v>33991.43</v>
      </c>
      <c r="AD34" s="20" t="n">
        <v>33569.65</v>
      </c>
      <c r="AE34" s="20" t="n">
        <v>43951.69</v>
      </c>
      <c r="AF34" s="20" t="n">
        <v>36280.88</v>
      </c>
      <c r="AG34" s="20" t="n">
        <v>31765.31</v>
      </c>
      <c r="AH34" s="20" t="n">
        <v>28685.94</v>
      </c>
      <c r="AI34" s="20" t="n">
        <v>35944.24</v>
      </c>
      <c r="AJ34" s="20" t="n">
        <v>30549.51</v>
      </c>
      <c r="AK34" s="20" t="n">
        <v>31671.95</v>
      </c>
      <c r="AL34" s="20" t="n">
        <v>31337.25</v>
      </c>
      <c r="AM34" s="20" t="n">
        <v>31337.86</v>
      </c>
      <c r="AN34" s="20" t="n">
        <v>33737.28</v>
      </c>
      <c r="AO34" s="20" t="n">
        <v>33991.43</v>
      </c>
      <c r="AP34" s="20" t="n">
        <v>33569.65</v>
      </c>
      <c r="AQ34" s="20" t="n">
        <v>43951.69</v>
      </c>
      <c r="AR34" s="20" t="n">
        <v>36280.88</v>
      </c>
      <c r="AS34" s="20" t="n">
        <v>31765.31</v>
      </c>
      <c r="AT34" s="20" t="n">
        <v>28685.94</v>
      </c>
      <c r="AU34" s="20" t="n">
        <v>35944.24</v>
      </c>
      <c r="AV34" s="20" t="n">
        <v>30549.51</v>
      </c>
      <c r="AW34" s="20" t="n">
        <v>31671.95</v>
      </c>
      <c r="AX34" s="20" t="n">
        <v>31337.25</v>
      </c>
      <c r="AY34" s="20" t="n">
        <v>31337.86</v>
      </c>
    </row>
    <row r="35">
      <c r="B35" s="33" t="inlineStr">
        <is>
          <t xml:space="preserve">  602004 Payroll Taxes</t>
        </is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113.91</v>
      </c>
      <c r="Q35" s="19" t="n">
        <v>263.93</v>
      </c>
      <c r="R35" s="19" t="n">
        <v>410.61</v>
      </c>
      <c r="S35" s="19" t="n">
        <v>487.76</v>
      </c>
      <c r="T35" s="84" t="n">
        <v>346.29</v>
      </c>
      <c r="U35" s="20" t="n">
        <v>2295.85</v>
      </c>
      <c r="V35" s="20" t="n">
        <v>2497.74</v>
      </c>
      <c r="W35" s="20" t="n">
        <v>2623.95</v>
      </c>
      <c r="X35" s="20" t="n">
        <v>2955.27</v>
      </c>
      <c r="Y35" s="20" t="n">
        <v>3374.64</v>
      </c>
      <c r="Z35" s="20" t="n">
        <v>3833.21</v>
      </c>
      <c r="AA35" s="20" t="n">
        <v>4004.96</v>
      </c>
      <c r="AB35" s="20" t="n">
        <v>4368.92</v>
      </c>
      <c r="AC35" s="20" t="n">
        <v>4401.83</v>
      </c>
      <c r="AD35" s="20" t="n">
        <v>4347.21</v>
      </c>
      <c r="AE35" s="20" t="n">
        <v>5691.67</v>
      </c>
      <c r="AF35" s="20" t="n">
        <v>4698.31</v>
      </c>
      <c r="AG35" s="20" t="n">
        <v>4113.55</v>
      </c>
      <c r="AH35" s="20" t="n">
        <v>3714.78</v>
      </c>
      <c r="AI35" s="20" t="n">
        <v>4654.71</v>
      </c>
      <c r="AJ35" s="20" t="n">
        <v>3956.11</v>
      </c>
      <c r="AK35" s="20" t="n">
        <v>4101.46</v>
      </c>
      <c r="AL35" s="20" t="n">
        <v>4058.12</v>
      </c>
      <c r="AM35" s="20" t="n">
        <v>4058.2</v>
      </c>
      <c r="AN35" s="20" t="n">
        <v>4368.92</v>
      </c>
      <c r="AO35" s="20" t="n">
        <v>4401.83</v>
      </c>
      <c r="AP35" s="20" t="n">
        <v>4347.21</v>
      </c>
      <c r="AQ35" s="20" t="n">
        <v>5691.67</v>
      </c>
      <c r="AR35" s="20" t="n">
        <v>4698.31</v>
      </c>
      <c r="AS35" s="20" t="n">
        <v>4113.55</v>
      </c>
      <c r="AT35" s="20" t="n">
        <v>3714.78</v>
      </c>
      <c r="AU35" s="20" t="n">
        <v>4654.71</v>
      </c>
      <c r="AV35" s="20" t="n">
        <v>3956.11</v>
      </c>
      <c r="AW35" s="20" t="n">
        <v>4101.46</v>
      </c>
      <c r="AX35" s="20" t="n">
        <v>4058.12</v>
      </c>
      <c r="AY35" s="20" t="n">
        <v>4058.2</v>
      </c>
    </row>
    <row r="36">
      <c r="B36" s="33" t="inlineStr">
        <is>
          <t xml:space="preserve">  602005 Employee Benefits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0</v>
      </c>
      <c r="T36" s="84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0</v>
      </c>
      <c r="AS36" s="20" t="n">
        <v>0</v>
      </c>
      <c r="AT36" s="20" t="n">
        <v>0</v>
      </c>
      <c r="AU36" s="20" t="n">
        <v>0</v>
      </c>
      <c r="AV36" s="20" t="n">
        <v>0</v>
      </c>
      <c r="AW36" s="20" t="n">
        <v>0</v>
      </c>
      <c r="AX36" s="20" t="n">
        <v>0</v>
      </c>
      <c r="AY36" s="20" t="n">
        <v>0</v>
      </c>
    </row>
    <row r="37">
      <c r="B37" s="33" t="inlineStr">
        <is>
          <t xml:space="preserve">  602010 Payroll Processing Fees</t>
        </is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>
        <v>26.42</v>
      </c>
      <c r="Q37" s="19" t="n">
        <v>80.65000000000001</v>
      </c>
      <c r="R37" s="19" t="n">
        <v>182.48</v>
      </c>
      <c r="S37" s="19" t="n">
        <v>175.22</v>
      </c>
      <c r="T37" s="84" t="n">
        <v>143.12</v>
      </c>
      <c r="U37" s="20" t="n">
        <v>836.1</v>
      </c>
      <c r="V37" s="20" t="n">
        <v>909.63</v>
      </c>
      <c r="W37" s="20" t="n">
        <v>955.59</v>
      </c>
      <c r="X37" s="20" t="n">
        <v>1076.25</v>
      </c>
      <c r="Y37" s="20" t="n">
        <v>1228.98</v>
      </c>
      <c r="Z37" s="20" t="n">
        <v>1395.98</v>
      </c>
      <c r="AA37" s="20" t="n">
        <v>1458.53</v>
      </c>
      <c r="AB37" s="20" t="n">
        <v>1591.07</v>
      </c>
      <c r="AC37" s="20" t="n">
        <v>1603.06</v>
      </c>
      <c r="AD37" s="20" t="n">
        <v>1583.17</v>
      </c>
      <c r="AE37" s="20" t="n">
        <v>2072.79</v>
      </c>
      <c r="AF37" s="20" t="n">
        <v>1711.03</v>
      </c>
      <c r="AG37" s="20" t="n">
        <v>1498.07</v>
      </c>
      <c r="AH37" s="20" t="n">
        <v>1352.85</v>
      </c>
      <c r="AI37" s="20" t="n">
        <v>1695.15</v>
      </c>
      <c r="AJ37" s="20" t="n">
        <v>1440.73</v>
      </c>
      <c r="AK37" s="20" t="n">
        <v>1493.67</v>
      </c>
      <c r="AL37" s="20" t="n">
        <v>1477.88</v>
      </c>
      <c r="AM37" s="20" t="n">
        <v>1477.91</v>
      </c>
      <c r="AN37" s="20" t="n">
        <v>1591.07</v>
      </c>
      <c r="AO37" s="20" t="n">
        <v>1603.06</v>
      </c>
      <c r="AP37" s="20" t="n">
        <v>1583.17</v>
      </c>
      <c r="AQ37" s="20" t="n">
        <v>2072.79</v>
      </c>
      <c r="AR37" s="20" t="n">
        <v>1711.03</v>
      </c>
      <c r="AS37" s="20" t="n">
        <v>1498.07</v>
      </c>
      <c r="AT37" s="20" t="n">
        <v>1352.85</v>
      </c>
      <c r="AU37" s="20" t="n">
        <v>1695.15</v>
      </c>
      <c r="AV37" s="20" t="n">
        <v>1440.73</v>
      </c>
      <c r="AW37" s="20" t="n">
        <v>1493.67</v>
      </c>
      <c r="AX37" s="20" t="n">
        <v>1477.88</v>
      </c>
      <c r="AY37" s="20" t="n">
        <v>1477.91</v>
      </c>
    </row>
    <row r="38">
      <c r="B38" s="32" t="inlineStr">
        <is>
          <t>Total Payroll</t>
        </is>
      </c>
      <c r="C38" s="34" t="n"/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1019.94</v>
      </c>
      <c r="Q38" s="35" t="n">
        <v>2382.58</v>
      </c>
      <c r="R38" s="35" t="n">
        <v>3763.88</v>
      </c>
      <c r="S38" s="35" t="n">
        <v>4429.62</v>
      </c>
      <c r="T38" s="85" t="n">
        <v>3555.15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221.84</v>
      </c>
      <c r="N39" s="19" t="n">
        <v>932.17</v>
      </c>
      <c r="O39" s="19" t="n">
        <v>614</v>
      </c>
      <c r="P39" s="19" t="n">
        <v>614</v>
      </c>
      <c r="Q39" s="19" t="n">
        <v>1072.35</v>
      </c>
      <c r="R39" s="19" t="n">
        <v>614</v>
      </c>
      <c r="S39" s="19" t="n">
        <v>639.1799999999999</v>
      </c>
      <c r="T39" s="84" t="n">
        <v>639.1799999999999</v>
      </c>
      <c r="U39" s="20" t="n">
        <v>634.52</v>
      </c>
      <c r="V39" s="20" t="n">
        <v>634.52</v>
      </c>
      <c r="W39" s="20" t="n">
        <v>634.52</v>
      </c>
      <c r="X39" s="20" t="n">
        <v>634.52</v>
      </c>
      <c r="Y39" s="20" t="n">
        <v>634.52</v>
      </c>
      <c r="Z39" s="20" t="n">
        <v>634.52</v>
      </c>
      <c r="AA39" s="20" t="n">
        <v>634.52</v>
      </c>
      <c r="AB39" s="20" t="n">
        <v>634.52</v>
      </c>
      <c r="AC39" s="20" t="n">
        <v>634.52</v>
      </c>
      <c r="AD39" s="20" t="n">
        <v>634.52</v>
      </c>
      <c r="AE39" s="20" t="n">
        <v>634.52</v>
      </c>
      <c r="AF39" s="20" t="n">
        <v>634.52</v>
      </c>
      <c r="AG39" s="20" t="n">
        <v>634.52</v>
      </c>
      <c r="AH39" s="20" t="n">
        <v>634.52</v>
      </c>
      <c r="AI39" s="20" t="n">
        <v>634.52</v>
      </c>
      <c r="AJ39" s="20" t="n">
        <v>634.52</v>
      </c>
      <c r="AK39" s="20" t="n">
        <v>634.52</v>
      </c>
      <c r="AL39" s="20" t="n">
        <v>634.52</v>
      </c>
      <c r="AM39" s="20" t="n">
        <v>634.52</v>
      </c>
      <c r="AN39" s="20" t="n">
        <v>634.52</v>
      </c>
      <c r="AO39" s="20" t="n">
        <v>634.52</v>
      </c>
      <c r="AP39" s="20" t="n">
        <v>634.52</v>
      </c>
      <c r="AQ39" s="20" t="n">
        <v>634.52</v>
      </c>
      <c r="AR39" s="20" t="n">
        <v>634.52</v>
      </c>
      <c r="AS39" s="20" t="n">
        <v>634.52</v>
      </c>
      <c r="AT39" s="20" t="n">
        <v>634.52</v>
      </c>
      <c r="AU39" s="20" t="n">
        <v>634.52</v>
      </c>
      <c r="AV39" s="20" t="n">
        <v>634.52</v>
      </c>
      <c r="AW39" s="20" t="n">
        <v>634.52</v>
      </c>
      <c r="AX39" s="20" t="n">
        <v>634.52</v>
      </c>
      <c r="AY39" s="20" t="n">
        <v>634.52</v>
      </c>
    </row>
    <row r="40">
      <c r="B40" s="33" t="inlineStr">
        <is>
          <t xml:space="preserve">  608000 Insurance</t>
        </is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-329.09</v>
      </c>
      <c r="M40" s="19" t="n">
        <v>351.3</v>
      </c>
      <c r="N40" s="19" t="n">
        <v>351.3</v>
      </c>
      <c r="O40" s="19" t="n">
        <v>351.3</v>
      </c>
      <c r="P40" s="19" t="n">
        <v>565.83</v>
      </c>
      <c r="Q40" s="19" t="n">
        <v>565.83</v>
      </c>
      <c r="R40" s="19" t="n">
        <v>874.4400000000001</v>
      </c>
      <c r="S40" s="19" t="n">
        <v>778.03</v>
      </c>
      <c r="T40" s="84" t="n">
        <v>697.47</v>
      </c>
      <c r="U40" s="20" t="n">
        <v>600.98</v>
      </c>
      <c r="V40" s="20" t="n">
        <v>600.98</v>
      </c>
      <c r="W40" s="20" t="n">
        <v>600.98</v>
      </c>
      <c r="X40" s="20" t="n">
        <v>600.98</v>
      </c>
      <c r="Y40" s="20" t="n">
        <v>600.98</v>
      </c>
      <c r="Z40" s="20" t="n">
        <v>600.98</v>
      </c>
      <c r="AA40" s="20" t="n">
        <v>600.98</v>
      </c>
      <c r="AB40" s="20" t="n">
        <v>600.98</v>
      </c>
      <c r="AC40" s="20" t="n">
        <v>600.98</v>
      </c>
      <c r="AD40" s="20" t="n">
        <v>600.98</v>
      </c>
      <c r="AE40" s="20" t="n">
        <v>600.98</v>
      </c>
      <c r="AF40" s="20" t="n">
        <v>600.98</v>
      </c>
      <c r="AG40" s="20" t="n">
        <v>600.98</v>
      </c>
      <c r="AH40" s="20" t="n">
        <v>600.98</v>
      </c>
      <c r="AI40" s="20" t="n">
        <v>600.98</v>
      </c>
      <c r="AJ40" s="20" t="n">
        <v>600.98</v>
      </c>
      <c r="AK40" s="20" t="n">
        <v>600.98</v>
      </c>
      <c r="AL40" s="20" t="n">
        <v>600.98</v>
      </c>
      <c r="AM40" s="20" t="n">
        <v>600.98</v>
      </c>
      <c r="AN40" s="20" t="n">
        <v>600.98</v>
      </c>
      <c r="AO40" s="20" t="n">
        <v>600.98</v>
      </c>
      <c r="AP40" s="20" t="n">
        <v>600.98</v>
      </c>
      <c r="AQ40" s="20" t="n">
        <v>600.98</v>
      </c>
      <c r="AR40" s="20" t="n">
        <v>600.98</v>
      </c>
      <c r="AS40" s="20" t="n">
        <v>600.98</v>
      </c>
      <c r="AT40" s="20" t="n">
        <v>600.98</v>
      </c>
      <c r="AU40" s="20" t="n">
        <v>600.98</v>
      </c>
      <c r="AV40" s="20" t="n">
        <v>600.98</v>
      </c>
      <c r="AW40" s="20" t="n">
        <v>600.98</v>
      </c>
      <c r="AX40" s="20" t="n">
        <v>600.98</v>
      </c>
      <c r="AY40" s="20" t="n">
        <v>600.98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70.98999999999999</v>
      </c>
      <c r="Q41" s="19" t="n">
        <v>0</v>
      </c>
      <c r="R41" s="19" t="n">
        <v>0</v>
      </c>
      <c r="S41" s="19" t="n">
        <v>0</v>
      </c>
      <c r="T41" s="84" t="n">
        <v>0</v>
      </c>
      <c r="U41" s="20" t="n">
        <v>15.32</v>
      </c>
      <c r="V41" s="20" t="n">
        <v>15.32</v>
      </c>
      <c r="W41" s="20" t="n">
        <v>15.32</v>
      </c>
      <c r="X41" s="20" t="n">
        <v>15.32</v>
      </c>
      <c r="Y41" s="20" t="n">
        <v>15.32</v>
      </c>
      <c r="Z41" s="20" t="n">
        <v>15.32</v>
      </c>
      <c r="AA41" s="20" t="n">
        <v>15.32</v>
      </c>
      <c r="AB41" s="20" t="n">
        <v>15.32</v>
      </c>
      <c r="AC41" s="20" t="n">
        <v>15.32</v>
      </c>
      <c r="AD41" s="20" t="n">
        <v>15.32</v>
      </c>
      <c r="AE41" s="20" t="n">
        <v>15.32</v>
      </c>
      <c r="AF41" s="20" t="n">
        <v>15.32</v>
      </c>
      <c r="AG41" s="20" t="n">
        <v>15.32</v>
      </c>
      <c r="AH41" s="20" t="n">
        <v>15.32</v>
      </c>
      <c r="AI41" s="20" t="n">
        <v>15.32</v>
      </c>
      <c r="AJ41" s="20" t="n">
        <v>15.32</v>
      </c>
      <c r="AK41" s="20" t="n">
        <v>15.32</v>
      </c>
      <c r="AL41" s="20" t="n">
        <v>15.32</v>
      </c>
      <c r="AM41" s="20" t="n">
        <v>15.32</v>
      </c>
      <c r="AN41" s="20" t="n">
        <v>15.32</v>
      </c>
      <c r="AO41" s="20" t="n">
        <v>15.32</v>
      </c>
      <c r="AP41" s="20" t="n">
        <v>15.32</v>
      </c>
      <c r="AQ41" s="20" t="n">
        <v>15.32</v>
      </c>
      <c r="AR41" s="20" t="n">
        <v>15.32</v>
      </c>
      <c r="AS41" s="20" t="n">
        <v>15.32</v>
      </c>
      <c r="AT41" s="20" t="n">
        <v>15.32</v>
      </c>
      <c r="AU41" s="20" t="n">
        <v>15.32</v>
      </c>
      <c r="AV41" s="20" t="n">
        <v>15.32</v>
      </c>
      <c r="AW41" s="20" t="n">
        <v>15.32</v>
      </c>
      <c r="AX41" s="20" t="n">
        <v>15.32</v>
      </c>
      <c r="AY41" s="20" t="n">
        <v>15.32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5631.25</v>
      </c>
      <c r="O43" s="19" t="n">
        <v>0</v>
      </c>
      <c r="P43" s="19" t="n">
        <v>1814.98</v>
      </c>
      <c r="Q43" s="19" t="n">
        <v>2215.54</v>
      </c>
      <c r="R43" s="19" t="n">
        <v>0</v>
      </c>
      <c r="S43" s="19" t="n">
        <v>123</v>
      </c>
      <c r="T43" s="84" t="n">
        <v>0</v>
      </c>
      <c r="U43" s="20" t="n">
        <v>5881.66</v>
      </c>
      <c r="V43" s="20" t="n">
        <v>5881.66</v>
      </c>
      <c r="W43" s="20" t="n">
        <v>5881.66</v>
      </c>
      <c r="X43" s="20" t="n">
        <v>5881.66</v>
      </c>
      <c r="Y43" s="20" t="n">
        <v>5881.66</v>
      </c>
      <c r="Z43" s="20" t="n">
        <v>5881.66</v>
      </c>
      <c r="AA43" s="20" t="n">
        <v>5881.66</v>
      </c>
      <c r="AB43" s="20" t="n">
        <v>5881.66</v>
      </c>
      <c r="AC43" s="20" t="n">
        <v>5881.66</v>
      </c>
      <c r="AD43" s="20" t="n">
        <v>5881.66</v>
      </c>
      <c r="AE43" s="20" t="n">
        <v>5881.66</v>
      </c>
      <c r="AF43" s="20" t="n">
        <v>5881.66</v>
      </c>
      <c r="AG43" s="20" t="n">
        <v>5881.66</v>
      </c>
      <c r="AH43" s="20" t="n">
        <v>5881.66</v>
      </c>
      <c r="AI43" s="20" t="n">
        <v>5881.66</v>
      </c>
      <c r="AJ43" s="20" t="n">
        <v>5881.66</v>
      </c>
      <c r="AK43" s="20" t="n">
        <v>5881.66</v>
      </c>
      <c r="AL43" s="20" t="n">
        <v>5881.66</v>
      </c>
      <c r="AM43" s="20" t="n">
        <v>5881.66</v>
      </c>
      <c r="AN43" s="20" t="n">
        <v>5881.66</v>
      </c>
      <c r="AO43" s="20" t="n">
        <v>5881.66</v>
      </c>
      <c r="AP43" s="20" t="n">
        <v>5881.66</v>
      </c>
      <c r="AQ43" s="20" t="n">
        <v>5881.66</v>
      </c>
      <c r="AR43" s="20" t="n">
        <v>5881.66</v>
      </c>
      <c r="AS43" s="20" t="n">
        <v>5881.66</v>
      </c>
      <c r="AT43" s="20" t="n">
        <v>5881.66</v>
      </c>
      <c r="AU43" s="20" t="n">
        <v>5881.66</v>
      </c>
      <c r="AV43" s="20" t="n">
        <v>5881.66</v>
      </c>
      <c r="AW43" s="20" t="n">
        <v>5881.66</v>
      </c>
      <c r="AX43" s="20" t="n">
        <v>5881.66</v>
      </c>
      <c r="AY43" s="20" t="n">
        <v>5881.66</v>
      </c>
    </row>
    <row r="44">
      <c r="B44" s="33" t="inlineStr">
        <is>
          <t xml:space="preserve">  604200 Accounting</t>
        </is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>
        <v>0</v>
      </c>
      <c r="Q44" s="19" t="n">
        <v>0</v>
      </c>
      <c r="R44" s="19" t="n">
        <v>1760</v>
      </c>
      <c r="S44" s="19" t="n">
        <v>2430</v>
      </c>
      <c r="T44" s="84" t="n">
        <v>1116.82</v>
      </c>
      <c r="U44" s="20" t="n">
        <v>5933.32</v>
      </c>
      <c r="V44" s="20" t="n">
        <v>5933.32</v>
      </c>
      <c r="W44" s="20" t="n">
        <v>5933.32</v>
      </c>
      <c r="X44" s="20" t="n">
        <v>5933.32</v>
      </c>
      <c r="Y44" s="20" t="n">
        <v>5933.32</v>
      </c>
      <c r="Z44" s="20" t="n">
        <v>5933.32</v>
      </c>
      <c r="AA44" s="20" t="n">
        <v>5933.32</v>
      </c>
      <c r="AB44" s="20" t="n">
        <v>5933.32</v>
      </c>
      <c r="AC44" s="20" t="n">
        <v>5933.32</v>
      </c>
      <c r="AD44" s="20" t="n">
        <v>5933.32</v>
      </c>
      <c r="AE44" s="20" t="n">
        <v>5933.32</v>
      </c>
      <c r="AF44" s="20" t="n">
        <v>5933.32</v>
      </c>
      <c r="AG44" s="20" t="n">
        <v>5933.32</v>
      </c>
      <c r="AH44" s="20" t="n">
        <v>5933.32</v>
      </c>
      <c r="AI44" s="20" t="n">
        <v>5933.32</v>
      </c>
      <c r="AJ44" s="20" t="n">
        <v>5933.32</v>
      </c>
      <c r="AK44" s="20" t="n">
        <v>5933.32</v>
      </c>
      <c r="AL44" s="20" t="n">
        <v>5933.32</v>
      </c>
      <c r="AM44" s="20" t="n">
        <v>5933.32</v>
      </c>
      <c r="AN44" s="20" t="n">
        <v>5933.32</v>
      </c>
      <c r="AO44" s="20" t="n">
        <v>5933.32</v>
      </c>
      <c r="AP44" s="20" t="n">
        <v>5933.32</v>
      </c>
      <c r="AQ44" s="20" t="n">
        <v>5933.32</v>
      </c>
      <c r="AR44" s="20" t="n">
        <v>5933.32</v>
      </c>
      <c r="AS44" s="20" t="n">
        <v>5933.32</v>
      </c>
      <c r="AT44" s="20" t="n">
        <v>5933.32</v>
      </c>
      <c r="AU44" s="20" t="n">
        <v>5933.32</v>
      </c>
      <c r="AV44" s="20" t="n">
        <v>5933.32</v>
      </c>
      <c r="AW44" s="20" t="n">
        <v>5933.32</v>
      </c>
      <c r="AX44" s="20" t="n">
        <v>5933.32</v>
      </c>
      <c r="AY44" s="20" t="n">
        <v>5933.32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>
        <v>0</v>
      </c>
      <c r="Q46" s="19" t="n">
        <v>0</v>
      </c>
      <c r="R46" s="19" t="n">
        <v>0</v>
      </c>
      <c r="S46" s="19" t="n">
        <v>0</v>
      </c>
      <c r="T46" s="84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0" t="n">
        <v>0</v>
      </c>
      <c r="AQ46" s="20" t="n">
        <v>0</v>
      </c>
      <c r="AR46" s="20" t="n">
        <v>0</v>
      </c>
      <c r="AS46" s="20" t="n">
        <v>0</v>
      </c>
      <c r="AT46" s="20" t="n">
        <v>0</v>
      </c>
      <c r="AU46" s="20" t="n">
        <v>0</v>
      </c>
      <c r="AV46" s="20" t="n">
        <v>0</v>
      </c>
      <c r="AW46" s="20" t="n">
        <v>0</v>
      </c>
      <c r="AX46" s="20" t="n">
        <v>0</v>
      </c>
      <c r="AY46" s="20" t="n">
        <v>0</v>
      </c>
    </row>
    <row r="47">
      <c r="B47" s="32" t="inlineStr">
        <is>
          <t>Total Professional Fees</t>
        </is>
      </c>
      <c r="C47" s="34" t="n"/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5631.25</v>
      </c>
      <c r="O47" s="35" t="n">
        <v>0</v>
      </c>
      <c r="P47" s="35" t="n">
        <v>1814.98</v>
      </c>
      <c r="Q47" s="35" t="n">
        <v>2215.54</v>
      </c>
      <c r="R47" s="35" t="n">
        <v>1760</v>
      </c>
      <c r="S47" s="35" t="n">
        <v>2553</v>
      </c>
      <c r="T47" s="85" t="n">
        <v>1116.82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0</v>
      </c>
      <c r="Q48" s="19" t="n">
        <v>0</v>
      </c>
      <c r="R48" s="19" t="n">
        <v>0</v>
      </c>
      <c r="S48" s="19" t="n">
        <v>0</v>
      </c>
      <c r="T48" s="84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0</v>
      </c>
      <c r="AS48" s="20" t="n">
        <v>0</v>
      </c>
      <c r="AT48" s="20" t="n">
        <v>0</v>
      </c>
      <c r="AU48" s="20" t="n">
        <v>0</v>
      </c>
      <c r="AV48" s="20" t="n">
        <v>0</v>
      </c>
      <c r="AW48" s="20" t="n">
        <v>0</v>
      </c>
      <c r="AX48" s="20" t="n">
        <v>0</v>
      </c>
      <c r="AY48" s="20" t="n">
        <v>0</v>
      </c>
    </row>
    <row r="49">
      <c r="B49" s="33" t="inlineStr">
        <is>
          <t xml:space="preserve">  606000 Meals</t>
        </is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>
        <v>0</v>
      </c>
      <c r="Q49" s="19" t="n">
        <v>0</v>
      </c>
      <c r="R49" s="19" t="n">
        <v>0</v>
      </c>
      <c r="S49" s="19" t="n">
        <v>0</v>
      </c>
      <c r="T49" s="84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0</v>
      </c>
      <c r="AS49" s="20" t="n">
        <v>0</v>
      </c>
      <c r="AT49" s="20" t="n">
        <v>0</v>
      </c>
      <c r="AU49" s="20" t="n">
        <v>0</v>
      </c>
      <c r="AV49" s="20" t="n">
        <v>0</v>
      </c>
      <c r="AW49" s="20" t="n">
        <v>0</v>
      </c>
      <c r="AX49" s="20" t="n">
        <v>0</v>
      </c>
      <c r="AY49" s="20" t="n">
        <v>0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0</v>
      </c>
      <c r="Q52" s="19" t="n">
        <v>0</v>
      </c>
      <c r="R52" s="19" t="n">
        <v>0</v>
      </c>
      <c r="S52" s="19" t="n">
        <v>0</v>
      </c>
      <c r="T52" s="84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0</v>
      </c>
      <c r="AS52" s="20" t="n">
        <v>0</v>
      </c>
      <c r="AT52" s="20" t="n">
        <v>0</v>
      </c>
      <c r="AU52" s="20" t="n">
        <v>0</v>
      </c>
      <c r="AV52" s="20" t="n">
        <v>0</v>
      </c>
      <c r="AW52" s="20" t="n">
        <v>0</v>
      </c>
      <c r="AX52" s="20" t="n">
        <v>0</v>
      </c>
      <c r="AY52" s="20" t="n">
        <v>0</v>
      </c>
    </row>
    <row r="53">
      <c r="B53" s="33" t="inlineStr">
        <is>
          <t xml:space="preserve">  616003 Phone service</t>
        </is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87.65000000000001</v>
      </c>
      <c r="P53" s="19" t="n">
        <v>80.84999999999999</v>
      </c>
      <c r="Q53" s="19" t="n">
        <v>87.12</v>
      </c>
      <c r="R53" s="19" t="n">
        <v>86.36</v>
      </c>
      <c r="S53" s="19" t="n">
        <v>87.54000000000001</v>
      </c>
      <c r="T53" s="84" t="n">
        <v>81.03</v>
      </c>
      <c r="U53" s="20" t="n">
        <v>311.37</v>
      </c>
      <c r="V53" s="20" t="n">
        <v>311.37</v>
      </c>
      <c r="W53" s="20" t="n">
        <v>311.37</v>
      </c>
      <c r="X53" s="20" t="n">
        <v>311.37</v>
      </c>
      <c r="Y53" s="20" t="n">
        <v>311.37</v>
      </c>
      <c r="Z53" s="20" t="n">
        <v>311.37</v>
      </c>
      <c r="AA53" s="20" t="n">
        <v>311.37</v>
      </c>
      <c r="AB53" s="20" t="n">
        <v>311.37</v>
      </c>
      <c r="AC53" s="20" t="n">
        <v>311.37</v>
      </c>
      <c r="AD53" s="20" t="n">
        <v>311.37</v>
      </c>
      <c r="AE53" s="20" t="n">
        <v>311.37</v>
      </c>
      <c r="AF53" s="20" t="n">
        <v>311.37</v>
      </c>
      <c r="AG53" s="20" t="n">
        <v>311.37</v>
      </c>
      <c r="AH53" s="20" t="n">
        <v>311.37</v>
      </c>
      <c r="AI53" s="20" t="n">
        <v>311.37</v>
      </c>
      <c r="AJ53" s="20" t="n">
        <v>311.37</v>
      </c>
      <c r="AK53" s="20" t="n">
        <v>311.37</v>
      </c>
      <c r="AL53" s="20" t="n">
        <v>311.37</v>
      </c>
      <c r="AM53" s="20" t="n">
        <v>311.37</v>
      </c>
      <c r="AN53" s="20" t="n">
        <v>311.37</v>
      </c>
      <c r="AO53" s="20" t="n">
        <v>311.37</v>
      </c>
      <c r="AP53" s="20" t="n">
        <v>311.37</v>
      </c>
      <c r="AQ53" s="20" t="n">
        <v>311.37</v>
      </c>
      <c r="AR53" s="20" t="n">
        <v>311.37</v>
      </c>
      <c r="AS53" s="20" t="n">
        <v>311.37</v>
      </c>
      <c r="AT53" s="20" t="n">
        <v>311.37</v>
      </c>
      <c r="AU53" s="20" t="n">
        <v>311.37</v>
      </c>
      <c r="AV53" s="20" t="n">
        <v>311.37</v>
      </c>
      <c r="AW53" s="20" t="n">
        <v>311.37</v>
      </c>
      <c r="AX53" s="20" t="n">
        <v>311.37</v>
      </c>
      <c r="AY53" s="20" t="n">
        <v>311.37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19" t="n">
        <v>326.46</v>
      </c>
      <c r="P54" s="19" t="n">
        <v>34.88</v>
      </c>
      <c r="Q54" s="19" t="n">
        <v>34.88</v>
      </c>
      <c r="R54" s="19" t="n">
        <v>34.88</v>
      </c>
      <c r="S54" s="19" t="n">
        <v>0</v>
      </c>
      <c r="T54" s="84" t="n">
        <v>117.32</v>
      </c>
      <c r="U54" s="20" t="n">
        <v>95.31</v>
      </c>
      <c r="V54" s="20" t="n">
        <v>95.31</v>
      </c>
      <c r="W54" s="20" t="n">
        <v>95.31</v>
      </c>
      <c r="X54" s="20" t="n">
        <v>95.31</v>
      </c>
      <c r="Y54" s="20" t="n">
        <v>95.31</v>
      </c>
      <c r="Z54" s="20" t="n">
        <v>95.31</v>
      </c>
      <c r="AA54" s="20" t="n">
        <v>95.31</v>
      </c>
      <c r="AB54" s="20" t="n">
        <v>95.31</v>
      </c>
      <c r="AC54" s="20" t="n">
        <v>95.31</v>
      </c>
      <c r="AD54" s="20" t="n">
        <v>95.31</v>
      </c>
      <c r="AE54" s="20" t="n">
        <v>95.31</v>
      </c>
      <c r="AF54" s="20" t="n">
        <v>95.31</v>
      </c>
      <c r="AG54" s="20" t="n">
        <v>95.31</v>
      </c>
      <c r="AH54" s="20" t="n">
        <v>95.31</v>
      </c>
      <c r="AI54" s="20" t="n">
        <v>95.31</v>
      </c>
      <c r="AJ54" s="20" t="n">
        <v>95.31</v>
      </c>
      <c r="AK54" s="20" t="n">
        <v>95.31</v>
      </c>
      <c r="AL54" s="20" t="n">
        <v>95.31</v>
      </c>
      <c r="AM54" s="20" t="n">
        <v>95.31</v>
      </c>
      <c r="AN54" s="20" t="n">
        <v>95.31</v>
      </c>
      <c r="AO54" s="20" t="n">
        <v>95.31</v>
      </c>
      <c r="AP54" s="20" t="n">
        <v>95.31</v>
      </c>
      <c r="AQ54" s="20" t="n">
        <v>95.31</v>
      </c>
      <c r="AR54" s="20" t="n">
        <v>95.31</v>
      </c>
      <c r="AS54" s="20" t="n">
        <v>95.31</v>
      </c>
      <c r="AT54" s="20" t="n">
        <v>95.31</v>
      </c>
      <c r="AU54" s="20" t="n">
        <v>95.31</v>
      </c>
      <c r="AV54" s="20" t="n">
        <v>95.31</v>
      </c>
      <c r="AW54" s="20" t="n">
        <v>95.31</v>
      </c>
      <c r="AX54" s="20" t="n">
        <v>95.31</v>
      </c>
      <c r="AY54" s="20" t="n">
        <v>95.31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290.95</v>
      </c>
      <c r="O56" s="35" t="n">
        <v>414.11</v>
      </c>
      <c r="P56" s="35" t="n">
        <v>115.73</v>
      </c>
      <c r="Q56" s="35" t="n">
        <v>122</v>
      </c>
      <c r="R56" s="35" t="n">
        <v>121.24</v>
      </c>
      <c r="S56" s="35" t="n">
        <v>87.54000000000001</v>
      </c>
      <c r="T56" s="85" t="n">
        <v>198.35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10605.32</v>
      </c>
      <c r="M57" s="19" t="n">
        <v>10605.32</v>
      </c>
      <c r="N57" s="19" t="n">
        <v>10605.32</v>
      </c>
      <c r="O57" s="19" t="n">
        <v>10605.32</v>
      </c>
      <c r="P57" s="19" t="n">
        <v>10605.32</v>
      </c>
      <c r="Q57" s="19" t="n">
        <v>10605.32</v>
      </c>
      <c r="R57" s="19" t="n">
        <v>7176.75</v>
      </c>
      <c r="S57" s="19" t="n">
        <v>10605.32</v>
      </c>
      <c r="T57" s="84" t="n">
        <v>10605.32</v>
      </c>
      <c r="U57" s="20" t="n">
        <v>10605.32</v>
      </c>
      <c r="V57" s="20" t="n">
        <v>10605.32</v>
      </c>
      <c r="W57" s="20" t="n">
        <v>10605.32</v>
      </c>
      <c r="X57" s="20" t="n">
        <v>10605.32</v>
      </c>
      <c r="Y57" s="20" t="n">
        <v>10605.32</v>
      </c>
      <c r="Z57" s="20" t="n">
        <v>10605.32</v>
      </c>
      <c r="AA57" s="20" t="n">
        <v>10605.32</v>
      </c>
      <c r="AB57" s="20" t="n">
        <v>10605.32</v>
      </c>
      <c r="AC57" s="20" t="n">
        <v>10605.32</v>
      </c>
      <c r="AD57" s="20" t="n">
        <v>10605.32</v>
      </c>
      <c r="AE57" s="20" t="n">
        <v>10605.32</v>
      </c>
      <c r="AF57" s="20" t="n">
        <v>10605.32</v>
      </c>
      <c r="AG57" s="20" t="n">
        <v>10605.32</v>
      </c>
      <c r="AH57" s="20" t="n">
        <v>10605.32</v>
      </c>
      <c r="AI57" s="20" t="n">
        <v>10605.32</v>
      </c>
      <c r="AJ57" s="20" t="n">
        <v>10605.32</v>
      </c>
      <c r="AK57" s="20" t="n">
        <v>10605.32</v>
      </c>
      <c r="AL57" s="20" t="n">
        <v>10605.32</v>
      </c>
      <c r="AM57" s="20" t="n">
        <v>10605.32</v>
      </c>
      <c r="AN57" s="20" t="n">
        <v>10605.32</v>
      </c>
      <c r="AO57" s="20" t="n">
        <v>10605.32</v>
      </c>
      <c r="AP57" s="20" t="n">
        <v>10605.32</v>
      </c>
      <c r="AQ57" s="20" t="n">
        <v>10605.32</v>
      </c>
      <c r="AR57" s="20" t="n">
        <v>10605.32</v>
      </c>
      <c r="AS57" s="20" t="n">
        <v>10605.32</v>
      </c>
      <c r="AT57" s="20" t="n">
        <v>10605.32</v>
      </c>
      <c r="AU57" s="20" t="n">
        <v>10605.32</v>
      </c>
      <c r="AV57" s="20" t="n">
        <v>10605.32</v>
      </c>
      <c r="AW57" s="20" t="n">
        <v>10605.32</v>
      </c>
      <c r="AX57" s="20" t="n">
        <v>10605.32</v>
      </c>
      <c r="AY57" s="20" t="n">
        <v>10605.32</v>
      </c>
    </row>
    <row r="58">
      <c r="B58" s="33" t="inlineStr">
        <is>
          <t xml:space="preserve">  702000 Security</t>
        </is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128.75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  <c r="S59" s="19" t="n">
        <v>0</v>
      </c>
      <c r="T59" s="84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0" t="n">
        <v>0</v>
      </c>
      <c r="AQ59" s="20" t="n">
        <v>0</v>
      </c>
      <c r="AR59" s="20" t="n">
        <v>0</v>
      </c>
      <c r="AS59" s="20" t="n">
        <v>0</v>
      </c>
      <c r="AT59" s="20" t="n">
        <v>0</v>
      </c>
      <c r="AU59" s="20" t="n">
        <v>0</v>
      </c>
      <c r="AV59" s="20" t="n">
        <v>0</v>
      </c>
      <c r="AW59" s="20" t="n">
        <v>0</v>
      </c>
      <c r="AX59" s="20" t="n">
        <v>0</v>
      </c>
      <c r="AY59" s="20" t="n">
        <v>0</v>
      </c>
    </row>
    <row r="60">
      <c r="B60" s="33" t="inlineStr">
        <is>
          <t xml:space="preserve">  705000 Property Maintenance</t>
        </is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>
        <v>0</v>
      </c>
      <c r="Q60" s="19" t="n">
        <v>0</v>
      </c>
      <c r="R60" s="19" t="n">
        <v>0</v>
      </c>
      <c r="S60" s="19" t="n">
        <v>0</v>
      </c>
      <c r="T60" s="84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0</v>
      </c>
      <c r="AS60" s="20" t="n">
        <v>0</v>
      </c>
      <c r="AT60" s="20" t="n">
        <v>0</v>
      </c>
      <c r="AU60" s="20" t="n">
        <v>0</v>
      </c>
      <c r="AV60" s="20" t="n">
        <v>0</v>
      </c>
      <c r="AW60" s="20" t="n">
        <v>0</v>
      </c>
      <c r="AX60" s="20" t="n">
        <v>0</v>
      </c>
      <c r="AY60" s="20" t="n">
        <v>0</v>
      </c>
    </row>
    <row r="61">
      <c r="B61" s="32" t="inlineStr">
        <is>
          <t>Total Property Costs</t>
        </is>
      </c>
      <c r="C61" s="34" t="n"/>
      <c r="D61" s="35" t="n">
        <v>0</v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10605.32</v>
      </c>
      <c r="M61" s="35" t="n">
        <v>10734.07</v>
      </c>
      <c r="N61" s="35" t="n">
        <v>11567.02</v>
      </c>
      <c r="O61" s="35" t="n">
        <v>10605.32</v>
      </c>
      <c r="P61" s="35" t="n">
        <v>10605.32</v>
      </c>
      <c r="Q61" s="35" t="n">
        <v>10605.32</v>
      </c>
      <c r="R61" s="35" t="n">
        <v>7176.75</v>
      </c>
      <c r="S61" s="35" t="n">
        <v>10605.32</v>
      </c>
      <c r="T61" s="85" t="n">
        <v>10605.32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0</v>
      </c>
      <c r="E62" s="35" t="n">
        <v>0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4462</v>
      </c>
      <c r="L62" s="35" t="n">
        <v>10626.23</v>
      </c>
      <c r="M62" s="35" t="n">
        <v>11307.21</v>
      </c>
      <c r="N62" s="35" t="n">
        <v>21192.49</v>
      </c>
      <c r="O62" s="35" t="n">
        <v>13393.86</v>
      </c>
      <c r="P62" s="35" t="n">
        <v>16222.39</v>
      </c>
      <c r="Q62" s="35" t="n">
        <v>17111.26</v>
      </c>
      <c r="R62" s="35" t="n">
        <v>14310.31</v>
      </c>
      <c r="S62" s="35" t="n">
        <v>19092.69</v>
      </c>
      <c r="T62" s="85" t="n">
        <v>16812.29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-4462</v>
      </c>
      <c r="L63" s="35" t="n">
        <v>-10626.23</v>
      </c>
      <c r="M63" s="35" t="n">
        <v>-11307.21</v>
      </c>
      <c r="N63" s="35" t="n">
        <v>-21227.33</v>
      </c>
      <c r="O63" s="35" t="n">
        <v>-13514.58</v>
      </c>
      <c r="P63" s="35" t="n">
        <v>-16342.34</v>
      </c>
      <c r="Q63" s="35" t="n">
        <v>-17270.96</v>
      </c>
      <c r="R63" s="35" t="n">
        <v>-14359.33</v>
      </c>
      <c r="S63" s="35" t="n">
        <v>-19127.5</v>
      </c>
      <c r="T63" s="85" t="n">
        <v>-16815.41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4.88</v>
      </c>
      <c r="I65" s="19" t="n">
        <v>4.88</v>
      </c>
      <c r="J65" s="19" t="n">
        <v>14.63</v>
      </c>
      <c r="K65" s="19" t="n">
        <v>42.21</v>
      </c>
      <c r="L65" s="19" t="n">
        <v>469.44</v>
      </c>
      <c r="M65" s="19" t="n">
        <v>635.23</v>
      </c>
      <c r="N65" s="19" t="n">
        <v>635.23</v>
      </c>
      <c r="O65" s="19" t="n">
        <v>-201.99</v>
      </c>
      <c r="P65" s="19" t="n">
        <v>772.58</v>
      </c>
      <c r="Q65" s="19" t="n">
        <v>826.9299999999999</v>
      </c>
      <c r="R65" s="19" t="n">
        <v>1038.11</v>
      </c>
      <c r="S65" s="19" t="n">
        <v>1038.11</v>
      </c>
      <c r="T65" s="84" t="n">
        <v>1038.11</v>
      </c>
      <c r="U65" s="20" t="n">
        <v>1038.11</v>
      </c>
      <c r="V65" s="20" t="n">
        <v>1038.11</v>
      </c>
      <c r="W65" s="20" t="n">
        <v>1038.11</v>
      </c>
      <c r="X65" s="20" t="n">
        <v>1038.11</v>
      </c>
      <c r="Y65" s="20" t="n">
        <v>1038.11</v>
      </c>
      <c r="Z65" s="20" t="n">
        <v>1038.11</v>
      </c>
      <c r="AA65" s="20" t="n">
        <v>1038.11</v>
      </c>
      <c r="AB65" s="20" t="n">
        <v>1038.11</v>
      </c>
      <c r="AC65" s="20" t="n">
        <v>1038.11</v>
      </c>
      <c r="AD65" s="20" t="n">
        <v>1038.11</v>
      </c>
      <c r="AE65" s="20" t="n">
        <v>1038.11</v>
      </c>
      <c r="AF65" s="20" t="n">
        <v>1038.11</v>
      </c>
      <c r="AG65" s="20" t="n">
        <v>1038.11</v>
      </c>
      <c r="AH65" s="20" t="n">
        <v>1038.11</v>
      </c>
      <c r="AI65" s="20" t="n">
        <v>1038.11</v>
      </c>
      <c r="AJ65" s="20" t="n">
        <v>1038.11</v>
      </c>
      <c r="AK65" s="20" t="n">
        <v>1038.11</v>
      </c>
      <c r="AL65" s="20" t="n">
        <v>1038.11</v>
      </c>
      <c r="AM65" s="20" t="n">
        <v>1038.11</v>
      </c>
      <c r="AN65" s="20">
        <f>AN69*1</f>
        <v/>
      </c>
      <c r="AO65" s="20">
        <f>AO69*1</f>
        <v/>
      </c>
      <c r="AP65" s="20">
        <f>AP69*1</f>
        <v/>
      </c>
      <c r="AQ65" s="20">
        <f>AQ69*1</f>
        <v/>
      </c>
      <c r="AR65" s="20">
        <f>AR69*1</f>
        <v/>
      </c>
      <c r="AS65" s="20">
        <f>AS69*1</f>
        <v/>
      </c>
      <c r="AT65" s="20">
        <f>AT69*1</f>
        <v/>
      </c>
      <c r="AU65" s="20">
        <f>AU69*1</f>
        <v/>
      </c>
      <c r="AV65" s="20">
        <f>AV69*1</f>
        <v/>
      </c>
      <c r="AW65" s="20">
        <f>AW69*1</f>
        <v/>
      </c>
      <c r="AX65" s="20">
        <f>AX69*1</f>
        <v/>
      </c>
      <c r="AY65" s="20">
        <f>AY69*1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0</v>
      </c>
      <c r="R67" s="19" t="n">
        <v>0</v>
      </c>
      <c r="S67" s="19" t="n">
        <v>0</v>
      </c>
      <c r="T67" s="84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0" t="n">
        <v>0</v>
      </c>
      <c r="AQ67" s="20" t="n">
        <v>0</v>
      </c>
      <c r="AR67" s="20" t="n">
        <v>0</v>
      </c>
      <c r="AS67" s="20" t="n">
        <v>0</v>
      </c>
      <c r="AT67" s="20" t="n">
        <v>0</v>
      </c>
      <c r="AU67" s="20" t="n">
        <v>0</v>
      </c>
      <c r="AV67" s="20" t="n">
        <v>0</v>
      </c>
      <c r="AW67" s="20" t="n">
        <v>0</v>
      </c>
      <c r="AX67" s="20" t="n">
        <v>0</v>
      </c>
      <c r="AY67" s="20" t="n">
        <v>0</v>
      </c>
    </row>
    <row r="68">
      <c r="B68" s="33" t="inlineStr">
        <is>
          <t xml:space="preserve">  903000 Property taxes</t>
        </is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>
        <v>0</v>
      </c>
      <c r="Q68" s="19" t="n">
        <v>0</v>
      </c>
      <c r="R68" s="19" t="n">
        <v>0</v>
      </c>
      <c r="S68" s="19" t="n">
        <v>0</v>
      </c>
      <c r="T68" s="84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0" t="n">
        <v>0</v>
      </c>
      <c r="AQ68" s="20" t="n">
        <v>0</v>
      </c>
      <c r="AR68" s="20" t="n">
        <v>0</v>
      </c>
      <c r="AS68" s="20" t="n">
        <v>0</v>
      </c>
      <c r="AT68" s="20" t="n">
        <v>0</v>
      </c>
      <c r="AU68" s="20" t="n">
        <v>0</v>
      </c>
      <c r="AV68" s="20" t="n">
        <v>0</v>
      </c>
      <c r="AW68" s="20" t="n">
        <v>0</v>
      </c>
      <c r="AX68" s="20" t="n">
        <v>0</v>
      </c>
      <c r="AY68" s="20" t="n">
        <v>0</v>
      </c>
    </row>
    <row r="69">
      <c r="B69" s="32" t="inlineStr">
        <is>
          <t>Total Other Expenses</t>
        </is>
      </c>
      <c r="C69" s="34" t="n"/>
      <c r="D69" s="35" t="n">
        <v>0</v>
      </c>
      <c r="E69" s="35" t="n">
        <v>0</v>
      </c>
      <c r="F69" s="35" t="n">
        <v>0</v>
      </c>
      <c r="G69" s="35" t="n">
        <v>0</v>
      </c>
      <c r="H69" s="35" t="n">
        <v>4.88</v>
      </c>
      <c r="I69" s="35" t="n">
        <v>4.88</v>
      </c>
      <c r="J69" s="35" t="n">
        <v>14.63</v>
      </c>
      <c r="K69" s="35" t="n">
        <v>42.21</v>
      </c>
      <c r="L69" s="35" t="n">
        <v>469.44</v>
      </c>
      <c r="M69" s="35" t="n">
        <v>635.23</v>
      </c>
      <c r="N69" s="35" t="n">
        <v>635.23</v>
      </c>
      <c r="O69" s="35" t="n">
        <v>-201.99</v>
      </c>
      <c r="P69" s="35" t="n">
        <v>772.58</v>
      </c>
      <c r="Q69" s="35" t="n">
        <v>826.9299999999999</v>
      </c>
      <c r="R69" s="35" t="n">
        <v>1038.11</v>
      </c>
      <c r="S69" s="35" t="n">
        <v>1038.11</v>
      </c>
      <c r="T69" s="85" t="n">
        <v>1038.11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0</v>
      </c>
      <c r="E70" s="35" t="n">
        <v>0</v>
      </c>
      <c r="F70" s="35" t="n">
        <v>0</v>
      </c>
      <c r="G70" s="35" t="n">
        <v>0</v>
      </c>
      <c r="H70" s="35" t="n">
        <v>-4.88</v>
      </c>
      <c r="I70" s="35" t="n">
        <v>-4.88</v>
      </c>
      <c r="J70" s="35" t="n">
        <v>-14.63</v>
      </c>
      <c r="K70" s="35" t="n">
        <v>-4504.21</v>
      </c>
      <c r="L70" s="35" t="n">
        <v>-11095.67</v>
      </c>
      <c r="M70" s="35" t="n">
        <v>-11942.44</v>
      </c>
      <c r="N70" s="35" t="n">
        <v>-21862.56</v>
      </c>
      <c r="O70" s="35" t="n">
        <v>-13312.59</v>
      </c>
      <c r="P70" s="35" t="n">
        <v>-17114.92</v>
      </c>
      <c r="Q70" s="35" t="n">
        <v>-18097.89</v>
      </c>
      <c r="R70" s="35" t="n">
        <v>-15397.44</v>
      </c>
      <c r="S70" s="35" t="n">
        <v>-20165.61</v>
      </c>
      <c r="T70" s="85" t="n">
        <v>-17853.52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B2:AY70"/>
  <sheetViews>
    <sheetView showGridLines="0" workbookViewId="0">
      <pane xSplit="3" ySplit="5" topLeftCell="D35" activePane="bottomRight" state="frozen"/>
      <selection pane="topRight" activeCell="A1" sqref="A1"/>
      <selection pane="bottomLeft" activeCell="A1" sqref="A1"/>
      <selection pane="bottomRight" activeCell="K63" sqref="K63"/>
    </sheetView>
  </sheetViews>
  <sheetFormatPr baseColWidth="8" defaultColWidth="8.796875" defaultRowHeight="14.25"/>
  <cols>
    <col hidden="1" width="2" customWidth="1" style="142" min="1" max="1"/>
    <col width="32" customWidth="1" style="142" min="2" max="2"/>
    <col width="10" customWidth="1" style="142" min="3" max="3"/>
    <col width="12" customWidth="1" style="142" min="4" max="39"/>
  </cols>
  <sheetData>
    <row r="2" ht="21" customHeight="1" s="142">
      <c r="B2" s="9" t="inlineStr">
        <is>
          <t>Westwood (WW) — Profit &amp; Loss</t>
        </is>
      </c>
    </row>
    <row r="4" ht="16.05" customHeight="1" s="142">
      <c r="B4" s="10" t="inlineStr">
        <is>
          <t>Monthly P&amp;L (Detail)</t>
        </is>
      </c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</row>
    <row r="5">
      <c r="B5" s="12" t="inlineStr">
        <is>
          <t>Line Item</t>
        </is>
      </c>
      <c r="D5" s="14" t="inlineStr">
        <is>
          <t>Jan 2025</t>
        </is>
      </c>
      <c r="E5" s="14" t="inlineStr">
        <is>
          <t>Feb 2025</t>
        </is>
      </c>
      <c r="F5" s="14" t="inlineStr">
        <is>
          <t>Mar 2025</t>
        </is>
      </c>
      <c r="G5" s="14" t="inlineStr">
        <is>
          <t>Apr 2025</t>
        </is>
      </c>
      <c r="H5" s="14" t="inlineStr">
        <is>
          <t>May 2025</t>
        </is>
      </c>
      <c r="I5" s="14" t="inlineStr">
        <is>
          <t>Jun 2025</t>
        </is>
      </c>
      <c r="J5" s="14" t="inlineStr">
        <is>
          <t>Jul 2025</t>
        </is>
      </c>
      <c r="K5" s="14" t="inlineStr">
        <is>
          <t>Aug 2025</t>
        </is>
      </c>
      <c r="L5" s="14" t="inlineStr">
        <is>
          <t>Sep 2025</t>
        </is>
      </c>
      <c r="M5" s="14" t="inlineStr">
        <is>
          <t>Oct 2025</t>
        </is>
      </c>
      <c r="N5" s="14" t="inlineStr">
        <is>
          <t>Nov 2025</t>
        </is>
      </c>
      <c r="O5" s="14" t="inlineStr">
        <is>
          <t>Dec 2025</t>
        </is>
      </c>
      <c r="P5" s="14" t="inlineStr">
        <is>
          <t>Jan 2026</t>
        </is>
      </c>
      <c r="Q5" s="14" t="inlineStr">
        <is>
          <t>Feb 2026</t>
        </is>
      </c>
      <c r="R5" s="14" t="inlineStr">
        <is>
          <t>Mar 2026</t>
        </is>
      </c>
      <c r="S5" s="14" t="inlineStr">
        <is>
          <t>Apr 2026</t>
        </is>
      </c>
      <c r="T5" s="14" t="inlineStr">
        <is>
          <t>May 2026</t>
        </is>
      </c>
      <c r="U5" s="14" t="inlineStr">
        <is>
          <t>Jun 2026</t>
        </is>
      </c>
      <c r="V5" s="14" t="inlineStr">
        <is>
          <t>Jul 2026</t>
        </is>
      </c>
      <c r="W5" s="14" t="inlineStr">
        <is>
          <t>Aug 2026</t>
        </is>
      </c>
      <c r="X5" s="14" t="inlineStr">
        <is>
          <t>Sep 2026</t>
        </is>
      </c>
      <c r="Y5" s="14" t="inlineStr">
        <is>
          <t>Oct 2026</t>
        </is>
      </c>
      <c r="Z5" s="14" t="inlineStr">
        <is>
          <t>Nov 2026</t>
        </is>
      </c>
      <c r="AA5" s="14" t="inlineStr">
        <is>
          <t>Dec 2026</t>
        </is>
      </c>
      <c r="AB5" s="14" t="inlineStr">
        <is>
          <t>Jan 2027</t>
        </is>
      </c>
      <c r="AC5" s="14" t="inlineStr">
        <is>
          <t>Feb 2027</t>
        </is>
      </c>
      <c r="AD5" s="14" t="inlineStr">
        <is>
          <t>Mar 2027</t>
        </is>
      </c>
      <c r="AE5" s="14" t="inlineStr">
        <is>
          <t>Apr 2027</t>
        </is>
      </c>
      <c r="AF5" s="14" t="inlineStr">
        <is>
          <t>May 2027</t>
        </is>
      </c>
      <c r="AG5" s="14" t="inlineStr">
        <is>
          <t>Jun 2027</t>
        </is>
      </c>
      <c r="AH5" s="14" t="inlineStr">
        <is>
          <t>Jul 2027</t>
        </is>
      </c>
      <c r="AI5" s="14" t="inlineStr">
        <is>
          <t>Aug 2027</t>
        </is>
      </c>
      <c r="AJ5" s="14" t="inlineStr">
        <is>
          <t>Sep 2027</t>
        </is>
      </c>
      <c r="AK5" s="14" t="inlineStr">
        <is>
          <t>Oct 2027</t>
        </is>
      </c>
      <c r="AL5" s="14" t="inlineStr">
        <is>
          <t>Nov 2027</t>
        </is>
      </c>
      <c r="AM5" s="14" t="inlineStr">
        <is>
          <t>Dec 2027</t>
        </is>
      </c>
      <c r="AN5" s="14" t="inlineStr">
        <is>
          <t>Jan 2028</t>
        </is>
      </c>
      <c r="AO5" s="14" t="inlineStr">
        <is>
          <t>Feb 2028</t>
        </is>
      </c>
      <c r="AP5" s="14" t="inlineStr">
        <is>
          <t>Mar 2028</t>
        </is>
      </c>
      <c r="AQ5" s="14" t="inlineStr">
        <is>
          <t>Apr 2028</t>
        </is>
      </c>
      <c r="AR5" s="14" t="inlineStr">
        <is>
          <t>May 2028</t>
        </is>
      </c>
      <c r="AS5" s="14" t="inlineStr">
        <is>
          <t>Jun 2028</t>
        </is>
      </c>
      <c r="AT5" s="14" t="inlineStr">
        <is>
          <t>Jul 2028</t>
        </is>
      </c>
      <c r="AU5" s="14" t="inlineStr">
        <is>
          <t>Aug 2028</t>
        </is>
      </c>
      <c r="AV5" s="14" t="inlineStr">
        <is>
          <t>Sep 2028</t>
        </is>
      </c>
      <c r="AW5" s="14" t="inlineStr">
        <is>
          <t>Oct 2028</t>
        </is>
      </c>
      <c r="AX5" s="14" t="inlineStr">
        <is>
          <t>Nov 2028</t>
        </is>
      </c>
      <c r="AY5" s="14" t="inlineStr">
        <is>
          <t>Dec 2028</t>
        </is>
      </c>
    </row>
    <row r="6" ht="16.05" customHeight="1" s="142">
      <c r="B6" s="10" t="inlineStr">
        <is>
          <t>INCOME</t>
        </is>
      </c>
      <c r="C6" s="11" t="n"/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</row>
    <row r="7">
      <c r="B7" s="33" t="inlineStr">
        <is>
          <t xml:space="preserve">  401001 Machine</t>
        </is>
      </c>
      <c r="D7" s="19" t="n">
        <v>32137.11</v>
      </c>
      <c r="E7" s="19" t="n">
        <v>41947.41</v>
      </c>
      <c r="F7" s="19" t="n">
        <v>44519.3</v>
      </c>
      <c r="G7" s="19" t="n">
        <v>45286.77</v>
      </c>
      <c r="H7" s="19" t="n">
        <v>42018.94</v>
      </c>
      <c r="I7" s="19" t="n">
        <v>36617.04</v>
      </c>
      <c r="J7" s="19" t="n">
        <v>41689.02</v>
      </c>
      <c r="K7" s="19" t="n">
        <v>36724.81</v>
      </c>
      <c r="L7" s="19" t="n">
        <v>34206.18</v>
      </c>
      <c r="M7" s="19" t="n">
        <v>38423.47</v>
      </c>
      <c r="N7" s="19" t="n">
        <v>33434.44</v>
      </c>
      <c r="O7" s="19" t="n">
        <v>31426.15</v>
      </c>
      <c r="P7" s="19" t="n">
        <v>37940.63</v>
      </c>
      <c r="Q7" s="19" t="n">
        <v>36174.8</v>
      </c>
      <c r="R7" s="19" t="n">
        <v>34226.42</v>
      </c>
      <c r="S7" s="19" t="n">
        <v>30242.29</v>
      </c>
      <c r="T7" s="84" t="n">
        <v>29638.85</v>
      </c>
      <c r="U7" s="20">
        <f>U13*0.56594</f>
        <v/>
      </c>
      <c r="V7" s="20">
        <f>V13*0.56594</f>
        <v/>
      </c>
      <c r="W7" s="20">
        <f>W13*0.56594</f>
        <v/>
      </c>
      <c r="X7" s="20">
        <f>X13*0.56594</f>
        <v/>
      </c>
      <c r="Y7" s="20">
        <f>Y13*0.56594</f>
        <v/>
      </c>
      <c r="Z7" s="20">
        <f>Z13*0.56594</f>
        <v/>
      </c>
      <c r="AA7" s="20">
        <f>AA13*0.56594</f>
        <v/>
      </c>
      <c r="AB7" s="20">
        <f>AB13*0.56594</f>
        <v/>
      </c>
      <c r="AC7" s="20">
        <f>AC13*0.56594</f>
        <v/>
      </c>
      <c r="AD7" s="20">
        <f>AD13*0.56594</f>
        <v/>
      </c>
      <c r="AE7" s="20">
        <f>AE13*0.56594</f>
        <v/>
      </c>
      <c r="AF7" s="20">
        <f>AF13*0.56594</f>
        <v/>
      </c>
      <c r="AG7" s="20">
        <f>AG13*0.56594</f>
        <v/>
      </c>
      <c r="AH7" s="20">
        <f>AH13*0.56594</f>
        <v/>
      </c>
      <c r="AI7" s="20">
        <f>AI13*0.56594</f>
        <v/>
      </c>
      <c r="AJ7" s="20">
        <f>AJ13*0.56594</f>
        <v/>
      </c>
      <c r="AK7" s="20">
        <f>AK13*0.56594</f>
        <v/>
      </c>
      <c r="AL7" s="20">
        <f>AL13*0.56594</f>
        <v/>
      </c>
      <c r="AM7" s="20">
        <f>AM13*0.56594</f>
        <v/>
      </c>
      <c r="AN7" s="20">
        <f>AN13*0.56594</f>
        <v/>
      </c>
      <c r="AO7" s="20">
        <f>AO13*0.56594</f>
        <v/>
      </c>
      <c r="AP7" s="20">
        <f>AP13*0.56594</f>
        <v/>
      </c>
      <c r="AQ7" s="20">
        <f>AQ13*0.56594</f>
        <v/>
      </c>
      <c r="AR7" s="20">
        <f>AR13*0.56594</f>
        <v/>
      </c>
      <c r="AS7" s="20">
        <f>AS13*0.56594</f>
        <v/>
      </c>
      <c r="AT7" s="20">
        <f>AT13*0.56594</f>
        <v/>
      </c>
      <c r="AU7" s="20">
        <f>AU13*0.56594</f>
        <v/>
      </c>
      <c r="AV7" s="20">
        <f>AV13*0.56594</f>
        <v/>
      </c>
      <c r="AW7" s="20">
        <f>AW13*0.56594</f>
        <v/>
      </c>
      <c r="AX7" s="20">
        <f>AX13*0.56594</f>
        <v/>
      </c>
      <c r="AY7" s="20">
        <f>AY13*0.56594</f>
        <v/>
      </c>
    </row>
    <row r="8">
      <c r="B8" s="33" t="inlineStr">
        <is>
          <t xml:space="preserve">  401002 Private Pilates</t>
        </is>
      </c>
      <c r="D8" s="19" t="n">
        <v>3585</v>
      </c>
      <c r="E8" s="19" t="n">
        <v>7013.75</v>
      </c>
      <c r="F8" s="19" t="n">
        <v>7482.5</v>
      </c>
      <c r="G8" s="19" t="n">
        <v>5435</v>
      </c>
      <c r="H8" s="19" t="n">
        <v>6560</v>
      </c>
      <c r="I8" s="19" t="n">
        <v>6851.43</v>
      </c>
      <c r="J8" s="19" t="n">
        <v>6622.32</v>
      </c>
      <c r="K8" s="19" t="n">
        <v>6285.54</v>
      </c>
      <c r="L8" s="19" t="n">
        <v>5266.43</v>
      </c>
      <c r="M8" s="19" t="n">
        <v>5268</v>
      </c>
      <c r="N8" s="19" t="n">
        <v>3484.75</v>
      </c>
      <c r="O8" s="19" t="n">
        <v>4515.25</v>
      </c>
      <c r="P8" s="19" t="n">
        <v>4066</v>
      </c>
      <c r="Q8" s="19" t="n">
        <v>5239.25</v>
      </c>
      <c r="R8" s="19" t="n">
        <v>6355.25</v>
      </c>
      <c r="S8" s="19" t="n">
        <v>5943.5</v>
      </c>
      <c r="T8" s="84" t="n">
        <v>6046</v>
      </c>
      <c r="U8" s="20">
        <f>U13*0.088225</f>
        <v/>
      </c>
      <c r="V8" s="20">
        <f>V13*0.088225</f>
        <v/>
      </c>
      <c r="W8" s="20">
        <f>W13*0.088225</f>
        <v/>
      </c>
      <c r="X8" s="20">
        <f>X13*0.088225</f>
        <v/>
      </c>
      <c r="Y8" s="20">
        <f>Y13*0.088225</f>
        <v/>
      </c>
      <c r="Z8" s="20">
        <f>Z13*0.088225</f>
        <v/>
      </c>
      <c r="AA8" s="20">
        <f>AA13*0.088225</f>
        <v/>
      </c>
      <c r="AB8" s="20">
        <f>AB13*0.088225</f>
        <v/>
      </c>
      <c r="AC8" s="20">
        <f>AC13*0.088225</f>
        <v/>
      </c>
      <c r="AD8" s="20">
        <f>AD13*0.088225</f>
        <v/>
      </c>
      <c r="AE8" s="20">
        <f>AE13*0.088225</f>
        <v/>
      </c>
      <c r="AF8" s="20">
        <f>AF13*0.088225</f>
        <v/>
      </c>
      <c r="AG8" s="20">
        <f>AG13*0.088225</f>
        <v/>
      </c>
      <c r="AH8" s="20">
        <f>AH13*0.088225</f>
        <v/>
      </c>
      <c r="AI8" s="20">
        <f>AI13*0.088225</f>
        <v/>
      </c>
      <c r="AJ8" s="20">
        <f>AJ13*0.088225</f>
        <v/>
      </c>
      <c r="AK8" s="20">
        <f>AK13*0.088225</f>
        <v/>
      </c>
      <c r="AL8" s="20">
        <f>AL13*0.088225</f>
        <v/>
      </c>
      <c r="AM8" s="20">
        <f>AM13*0.088225</f>
        <v/>
      </c>
      <c r="AN8" s="20">
        <f>AN13*0.088225</f>
        <v/>
      </c>
      <c r="AO8" s="20">
        <f>AO13*0.088225</f>
        <v/>
      </c>
      <c r="AP8" s="20">
        <f>AP13*0.088225</f>
        <v/>
      </c>
      <c r="AQ8" s="20">
        <f>AQ13*0.088225</f>
        <v/>
      </c>
      <c r="AR8" s="20">
        <f>AR13*0.088225</f>
        <v/>
      </c>
      <c r="AS8" s="20">
        <f>AS13*0.088225</f>
        <v/>
      </c>
      <c r="AT8" s="20">
        <f>AT13*0.088225</f>
        <v/>
      </c>
      <c r="AU8" s="20">
        <f>AU13*0.088225</f>
        <v/>
      </c>
      <c r="AV8" s="20">
        <f>AV13*0.088225</f>
        <v/>
      </c>
      <c r="AW8" s="20">
        <f>AW13*0.088225</f>
        <v/>
      </c>
      <c r="AX8" s="20">
        <f>AX13*0.088225</f>
        <v/>
      </c>
      <c r="AY8" s="20">
        <f>AY13*0.088225</f>
        <v/>
      </c>
    </row>
    <row r="9">
      <c r="B9" s="33" t="inlineStr">
        <is>
          <t xml:space="preserve">  401003 Class Pass</t>
        </is>
      </c>
      <c r="D9" s="19" t="n">
        <v>16877.59</v>
      </c>
      <c r="E9" s="19" t="n">
        <v>22141.88</v>
      </c>
      <c r="F9" s="19" t="n">
        <v>25865.51</v>
      </c>
      <c r="G9" s="19" t="n">
        <v>24468.92</v>
      </c>
      <c r="H9" s="19" t="n">
        <v>21413.8</v>
      </c>
      <c r="I9" s="19" t="n">
        <v>18295.05</v>
      </c>
      <c r="J9" s="19" t="n">
        <v>15781.76</v>
      </c>
      <c r="K9" s="19" t="n">
        <v>17353.59</v>
      </c>
      <c r="L9" s="19" t="n">
        <v>14927.71</v>
      </c>
      <c r="M9" s="19" t="n">
        <v>16726.97</v>
      </c>
      <c r="N9" s="19" t="n">
        <v>17142.96</v>
      </c>
      <c r="O9" s="19" t="n">
        <v>15853.73</v>
      </c>
      <c r="P9" s="19" t="n">
        <v>20991.71</v>
      </c>
      <c r="Q9" s="19" t="n">
        <v>16098.88</v>
      </c>
      <c r="R9" s="19" t="n">
        <v>15697.36</v>
      </c>
      <c r="S9" s="19" t="n">
        <v>14902</v>
      </c>
      <c r="T9" s="84" t="n">
        <v>12802.12</v>
      </c>
      <c r="U9" s="20">
        <f>U13*0.276427</f>
        <v/>
      </c>
      <c r="V9" s="20">
        <f>V13*0.276427</f>
        <v/>
      </c>
      <c r="W9" s="20">
        <f>W13*0.276427</f>
        <v/>
      </c>
      <c r="X9" s="20">
        <f>X13*0.276427</f>
        <v/>
      </c>
      <c r="Y9" s="20">
        <f>Y13*0.276427</f>
        <v/>
      </c>
      <c r="Z9" s="20">
        <f>Z13*0.276427</f>
        <v/>
      </c>
      <c r="AA9" s="20">
        <f>AA13*0.276427</f>
        <v/>
      </c>
      <c r="AB9" s="20">
        <f>AB13*0.276427</f>
        <v/>
      </c>
      <c r="AC9" s="20">
        <f>AC13*0.276427</f>
        <v/>
      </c>
      <c r="AD9" s="20">
        <f>AD13*0.276427</f>
        <v/>
      </c>
      <c r="AE9" s="20">
        <f>AE13*0.276427</f>
        <v/>
      </c>
      <c r="AF9" s="20">
        <f>AF13*0.276427</f>
        <v/>
      </c>
      <c r="AG9" s="20">
        <f>AG13*0.276427</f>
        <v/>
      </c>
      <c r="AH9" s="20">
        <f>AH13*0.276427</f>
        <v/>
      </c>
      <c r="AI9" s="20">
        <f>AI13*0.276427</f>
        <v/>
      </c>
      <c r="AJ9" s="20">
        <f>AJ13*0.276427</f>
        <v/>
      </c>
      <c r="AK9" s="20">
        <f>AK13*0.276427</f>
        <v/>
      </c>
      <c r="AL9" s="20">
        <f>AL13*0.276427</f>
        <v/>
      </c>
      <c r="AM9" s="20">
        <f>AM13*0.276427</f>
        <v/>
      </c>
      <c r="AN9" s="20">
        <f>AN13*0.276427</f>
        <v/>
      </c>
      <c r="AO9" s="20">
        <f>AO13*0.276427</f>
        <v/>
      </c>
      <c r="AP9" s="20">
        <f>AP13*0.276427</f>
        <v/>
      </c>
      <c r="AQ9" s="20">
        <f>AQ13*0.276427</f>
        <v/>
      </c>
      <c r="AR9" s="20">
        <f>AR13*0.276427</f>
        <v/>
      </c>
      <c r="AS9" s="20">
        <f>AS13*0.276427</f>
        <v/>
      </c>
      <c r="AT9" s="20">
        <f>AT13*0.276427</f>
        <v/>
      </c>
      <c r="AU9" s="20">
        <f>AU13*0.276427</f>
        <v/>
      </c>
      <c r="AV9" s="20">
        <f>AV13*0.276427</f>
        <v/>
      </c>
      <c r="AW9" s="20">
        <f>AW13*0.276427</f>
        <v/>
      </c>
      <c r="AX9" s="20">
        <f>AX13*0.276427</f>
        <v/>
      </c>
      <c r="AY9" s="20">
        <f>AY13*0.276427</f>
        <v/>
      </c>
    </row>
    <row r="10">
      <c r="B10" s="33" t="inlineStr">
        <is>
          <t xml:space="preserve">  401004 Mighty Teacher Training</t>
        </is>
      </c>
      <c r="D10" s="19" t="n">
        <v>640</v>
      </c>
      <c r="E10" s="19" t="n">
        <v>1480</v>
      </c>
      <c r="F10" s="19" t="n">
        <v>18272</v>
      </c>
      <c r="G10" s="19" t="n">
        <v>0</v>
      </c>
      <c r="H10" s="19" t="n">
        <v>4140</v>
      </c>
      <c r="I10" s="19" t="n">
        <v>6500</v>
      </c>
      <c r="J10" s="19" t="n">
        <v>13540</v>
      </c>
      <c r="K10" s="19" t="n">
        <v>320</v>
      </c>
      <c r="L10" s="19" t="n">
        <v>6280</v>
      </c>
      <c r="M10" s="19" t="n">
        <v>0</v>
      </c>
      <c r="N10" s="19" t="n">
        <v>0</v>
      </c>
      <c r="O10" s="19" t="n">
        <v>0</v>
      </c>
      <c r="P10" s="19" t="n">
        <v>4819</v>
      </c>
      <c r="Q10" s="19" t="n">
        <v>10543.63</v>
      </c>
      <c r="R10" s="19" t="n">
        <v>1235.63</v>
      </c>
      <c r="S10" s="19" t="n">
        <v>0</v>
      </c>
      <c r="T10" s="84" t="n">
        <v>22654.3</v>
      </c>
      <c r="U10" s="20">
        <f>U13*0.067783</f>
        <v/>
      </c>
      <c r="V10" s="20">
        <f>V13*0.067783</f>
        <v/>
      </c>
      <c r="W10" s="20">
        <f>W13*0.067783</f>
        <v/>
      </c>
      <c r="X10" s="20">
        <f>X13*0.067783</f>
        <v/>
      </c>
      <c r="Y10" s="20">
        <f>Y13*0.067783</f>
        <v/>
      </c>
      <c r="Z10" s="20">
        <f>Z13*0.067783</f>
        <v/>
      </c>
      <c r="AA10" s="20">
        <f>AA13*0.067783</f>
        <v/>
      </c>
      <c r="AB10" s="20">
        <f>AB13*0.067783</f>
        <v/>
      </c>
      <c r="AC10" s="20">
        <f>AC13*0.067783</f>
        <v/>
      </c>
      <c r="AD10" s="20">
        <f>AD13*0.067783</f>
        <v/>
      </c>
      <c r="AE10" s="20">
        <f>AE13*0.067783</f>
        <v/>
      </c>
      <c r="AF10" s="20">
        <f>AF13*0.067783</f>
        <v/>
      </c>
      <c r="AG10" s="20">
        <f>AG13*0.067783</f>
        <v/>
      </c>
      <c r="AH10" s="20">
        <f>AH13*0.067783</f>
        <v/>
      </c>
      <c r="AI10" s="20">
        <f>AI13*0.067783</f>
        <v/>
      </c>
      <c r="AJ10" s="20">
        <f>AJ13*0.067783</f>
        <v/>
      </c>
      <c r="AK10" s="20">
        <f>AK13*0.067783</f>
        <v/>
      </c>
      <c r="AL10" s="20">
        <f>AL13*0.067783</f>
        <v/>
      </c>
      <c r="AM10" s="20">
        <f>AM13*0.067783</f>
        <v/>
      </c>
      <c r="AN10" s="20">
        <f>AN13*0.067783</f>
        <v/>
      </c>
      <c r="AO10" s="20">
        <f>AO13*0.067783</f>
        <v/>
      </c>
      <c r="AP10" s="20">
        <f>AP13*0.067783</f>
        <v/>
      </c>
      <c r="AQ10" s="20">
        <f>AQ13*0.067783</f>
        <v/>
      </c>
      <c r="AR10" s="20">
        <f>AR13*0.067783</f>
        <v/>
      </c>
      <c r="AS10" s="20">
        <f>AS13*0.067783</f>
        <v/>
      </c>
      <c r="AT10" s="20">
        <f>AT13*0.067783</f>
        <v/>
      </c>
      <c r="AU10" s="20">
        <f>AU13*0.067783</f>
        <v/>
      </c>
      <c r="AV10" s="20">
        <f>AV13*0.067783</f>
        <v/>
      </c>
      <c r="AW10" s="20">
        <f>AW13*0.067783</f>
        <v/>
      </c>
      <c r="AX10" s="20">
        <f>AX13*0.067783</f>
        <v/>
      </c>
      <c r="AY10" s="20">
        <f>AY13*0.067783</f>
        <v/>
      </c>
    </row>
    <row r="11">
      <c r="B11" s="33" t="inlineStr">
        <is>
          <t xml:space="preserve">  401005 Livestream Classes</t>
        </is>
      </c>
      <c r="D11" s="19" t="n">
        <v>14</v>
      </c>
      <c r="E11" s="19" t="n">
        <v>0</v>
      </c>
      <c r="F11" s="19" t="n">
        <v>0</v>
      </c>
      <c r="G11" s="19" t="n">
        <v>14</v>
      </c>
      <c r="H11" s="19" t="n">
        <v>0</v>
      </c>
      <c r="I11" s="19" t="n">
        <v>0</v>
      </c>
      <c r="J11" s="19" t="n">
        <v>14</v>
      </c>
      <c r="K11" s="19" t="n">
        <v>56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12.06</v>
      </c>
      <c r="Q11" s="19" t="n">
        <v>21.27</v>
      </c>
      <c r="R11" s="19" t="n">
        <v>15.46</v>
      </c>
      <c r="S11" s="19" t="n">
        <v>15.45</v>
      </c>
      <c r="T11" s="84" t="n">
        <v>15.97</v>
      </c>
      <c r="U11" s="20">
        <f>U13*0.000262</f>
        <v/>
      </c>
      <c r="V11" s="20">
        <f>V13*0.000262</f>
        <v/>
      </c>
      <c r="W11" s="20">
        <f>W13*0.000262</f>
        <v/>
      </c>
      <c r="X11" s="20">
        <f>X13*0.000262</f>
        <v/>
      </c>
      <c r="Y11" s="20">
        <f>Y13*0.000262</f>
        <v/>
      </c>
      <c r="Z11" s="20">
        <f>Z13*0.000262</f>
        <v/>
      </c>
      <c r="AA11" s="20">
        <f>AA13*0.000262</f>
        <v/>
      </c>
      <c r="AB11" s="20">
        <f>AB13*0.000262</f>
        <v/>
      </c>
      <c r="AC11" s="20">
        <f>AC13*0.000262</f>
        <v/>
      </c>
      <c r="AD11" s="20">
        <f>AD13*0.000262</f>
        <v/>
      </c>
      <c r="AE11" s="20">
        <f>AE13*0.000262</f>
        <v/>
      </c>
      <c r="AF11" s="20">
        <f>AF13*0.000262</f>
        <v/>
      </c>
      <c r="AG11" s="20">
        <f>AG13*0.000262</f>
        <v/>
      </c>
      <c r="AH11" s="20">
        <f>AH13*0.000262</f>
        <v/>
      </c>
      <c r="AI11" s="20">
        <f>AI13*0.000262</f>
        <v/>
      </c>
      <c r="AJ11" s="20">
        <f>AJ13*0.000262</f>
        <v/>
      </c>
      <c r="AK11" s="20">
        <f>AK13*0.000262</f>
        <v/>
      </c>
      <c r="AL11" s="20">
        <f>AL13*0.000262</f>
        <v/>
      </c>
      <c r="AM11" s="20">
        <f>AM13*0.000262</f>
        <v/>
      </c>
      <c r="AN11" s="20">
        <f>AN13*0.000262</f>
        <v/>
      </c>
      <c r="AO11" s="20">
        <f>AO13*0.000262</f>
        <v/>
      </c>
      <c r="AP11" s="20">
        <f>AP13*0.000262</f>
        <v/>
      </c>
      <c r="AQ11" s="20">
        <f>AQ13*0.000262</f>
        <v/>
      </c>
      <c r="AR11" s="20">
        <f>AR13*0.000262</f>
        <v/>
      </c>
      <c r="AS11" s="20">
        <f>AS13*0.000262</f>
        <v/>
      </c>
      <c r="AT11" s="20">
        <f>AT13*0.000262</f>
        <v/>
      </c>
      <c r="AU11" s="20">
        <f>AU13*0.000262</f>
        <v/>
      </c>
      <c r="AV11" s="20">
        <f>AV13*0.000262</f>
        <v/>
      </c>
      <c r="AW11" s="20">
        <f>AW13*0.000262</f>
        <v/>
      </c>
      <c r="AX11" s="20">
        <f>AX13*0.000262</f>
        <v/>
      </c>
      <c r="AY11" s="20">
        <f>AY13*0.000262</f>
        <v/>
      </c>
    </row>
    <row r="12">
      <c r="B12" s="33" t="inlineStr">
        <is>
          <t xml:space="preserve">  401006 Wellhub</t>
        </is>
      </c>
      <c r="D12" s="19" t="n">
        <v>0</v>
      </c>
      <c r="E12" s="19" t="n">
        <v>0</v>
      </c>
      <c r="F12" s="19" t="n">
        <v>0</v>
      </c>
      <c r="G12" s="19" t="n">
        <v>26.27</v>
      </c>
      <c r="H12" s="19" t="n">
        <v>70.93000000000001</v>
      </c>
      <c r="I12" s="19" t="n">
        <v>105.08</v>
      </c>
      <c r="J12" s="19" t="n">
        <v>176.01</v>
      </c>
      <c r="K12" s="19" t="n">
        <v>386.17</v>
      </c>
      <c r="L12" s="19" t="n">
        <v>262.7</v>
      </c>
      <c r="M12" s="19" t="n">
        <v>262.7</v>
      </c>
      <c r="N12" s="19" t="n">
        <v>157.62</v>
      </c>
      <c r="O12" s="19" t="n">
        <v>131.35</v>
      </c>
      <c r="P12" s="19" t="n">
        <v>123.47</v>
      </c>
      <c r="Q12" s="19" t="n">
        <v>131.35</v>
      </c>
      <c r="R12" s="19" t="n">
        <v>52.54</v>
      </c>
      <c r="S12" s="19" t="n">
        <v>26.27</v>
      </c>
      <c r="T12" s="84" t="n">
        <v>105.08</v>
      </c>
      <c r="U12" s="20">
        <f>U13*0.001362</f>
        <v/>
      </c>
      <c r="V12" s="20">
        <f>V13*0.001362</f>
        <v/>
      </c>
      <c r="W12" s="20">
        <f>W13*0.001362</f>
        <v/>
      </c>
      <c r="X12" s="20">
        <f>X13*0.001362</f>
        <v/>
      </c>
      <c r="Y12" s="20">
        <f>Y13*0.001362</f>
        <v/>
      </c>
      <c r="Z12" s="20">
        <f>Z13*0.001362</f>
        <v/>
      </c>
      <c r="AA12" s="20">
        <f>AA13*0.001362</f>
        <v/>
      </c>
      <c r="AB12" s="20">
        <f>AB13*0.001362</f>
        <v/>
      </c>
      <c r="AC12" s="20">
        <f>AC13*0.001362</f>
        <v/>
      </c>
      <c r="AD12" s="20">
        <f>AD13*0.001362</f>
        <v/>
      </c>
      <c r="AE12" s="20">
        <f>AE13*0.001362</f>
        <v/>
      </c>
      <c r="AF12" s="20">
        <f>AF13*0.001362</f>
        <v/>
      </c>
      <c r="AG12" s="20">
        <f>AG13*0.001362</f>
        <v/>
      </c>
      <c r="AH12" s="20">
        <f>AH13*0.001362</f>
        <v/>
      </c>
      <c r="AI12" s="20">
        <f>AI13*0.001362</f>
        <v/>
      </c>
      <c r="AJ12" s="20">
        <f>AJ13*0.001362</f>
        <v/>
      </c>
      <c r="AK12" s="20">
        <f>AK13*0.001362</f>
        <v/>
      </c>
      <c r="AL12" s="20">
        <f>AL13*0.001362</f>
        <v/>
      </c>
      <c r="AM12" s="20">
        <f>AM13*0.001362</f>
        <v/>
      </c>
      <c r="AN12" s="20">
        <f>AN13*0.001362</f>
        <v/>
      </c>
      <c r="AO12" s="20">
        <f>AO13*0.001362</f>
        <v/>
      </c>
      <c r="AP12" s="20">
        <f>AP13*0.001362</f>
        <v/>
      </c>
      <c r="AQ12" s="20">
        <f>AQ13*0.001362</f>
        <v/>
      </c>
      <c r="AR12" s="20">
        <f>AR13*0.001362</f>
        <v/>
      </c>
      <c r="AS12" s="20">
        <f>AS13*0.001362</f>
        <v/>
      </c>
      <c r="AT12" s="20">
        <f>AT13*0.001362</f>
        <v/>
      </c>
      <c r="AU12" s="20">
        <f>AU13*0.001362</f>
        <v/>
      </c>
      <c r="AV12" s="20">
        <f>AV13*0.001362</f>
        <v/>
      </c>
      <c r="AW12" s="20">
        <f>AW13*0.001362</f>
        <v/>
      </c>
      <c r="AX12" s="20">
        <f>AX13*0.001362</f>
        <v/>
      </c>
      <c r="AY12" s="20">
        <f>AY13*0.001362</f>
        <v/>
      </c>
    </row>
    <row r="13">
      <c r="B13" s="32" t="inlineStr">
        <is>
          <t>Total Sessions</t>
        </is>
      </c>
      <c r="C13" s="34" t="n"/>
      <c r="D13" s="35" t="n">
        <v>53253.7</v>
      </c>
      <c r="E13" s="35" t="n">
        <v>72583.04000000001</v>
      </c>
      <c r="F13" s="35" t="n">
        <v>96139.31</v>
      </c>
      <c r="G13" s="35" t="n">
        <v>75230.96000000001</v>
      </c>
      <c r="H13" s="35" t="n">
        <v>74203.67</v>
      </c>
      <c r="I13" s="35" t="n">
        <v>68368.60000000001</v>
      </c>
      <c r="J13" s="35" t="n">
        <v>77823.11</v>
      </c>
      <c r="K13" s="35" t="n">
        <v>61126.11</v>
      </c>
      <c r="L13" s="35" t="n">
        <v>60943.02</v>
      </c>
      <c r="M13" s="35" t="n">
        <v>60681.14</v>
      </c>
      <c r="N13" s="35" t="n">
        <v>54219.77</v>
      </c>
      <c r="O13" s="35" t="n">
        <v>51926.48</v>
      </c>
      <c r="P13" s="35" t="n">
        <v>67952.87</v>
      </c>
      <c r="Q13" s="35" t="n">
        <v>68209.18000000001</v>
      </c>
      <c r="R13" s="35" t="n">
        <v>57582.66</v>
      </c>
      <c r="S13" s="35" t="n">
        <v>51129.51</v>
      </c>
      <c r="T13" s="85" t="n">
        <v>71262.32000000001</v>
      </c>
      <c r="U13" s="17">
        <f>'Sales Forecast'!U17*Assumptions!$C$12+'Sales Forecast'!T17*Assumptions!$D$12+'Sales Forecast'!S17*Assumptions!$E$12+'Sales Forecast'!R17*Assumptions!$F$12+'Sales Forecast'!Q17*Assumptions!$G$12+'Sales Forecast'!P17*Assumptions!$H$12+'Sales Forecast'!U113*Assumptions!$I$12</f>
        <v/>
      </c>
      <c r="V13" s="17">
        <f>'Sales Forecast'!V17*Assumptions!$C$12+'Sales Forecast'!U17*Assumptions!$D$12+'Sales Forecast'!T17*Assumptions!$E$12+'Sales Forecast'!S17*Assumptions!$F$12+'Sales Forecast'!R17*Assumptions!$G$12+'Sales Forecast'!Q17*Assumptions!$H$12+'Sales Forecast'!P17*Assumptions!$I$12</f>
        <v/>
      </c>
      <c r="W13" s="17">
        <f>'Sales Forecast'!W17*Assumptions!$C$12+'Sales Forecast'!V17*Assumptions!$D$12+'Sales Forecast'!U17*Assumptions!$E$12+'Sales Forecast'!T17*Assumptions!$F$12+'Sales Forecast'!S17*Assumptions!$G$12+'Sales Forecast'!R17*Assumptions!$H$12+'Sales Forecast'!Q17*Assumptions!$I$12</f>
        <v/>
      </c>
      <c r="X13" s="17">
        <f>'Sales Forecast'!X17*Assumptions!$C$12+'Sales Forecast'!W17*Assumptions!$D$12+'Sales Forecast'!V17*Assumptions!$E$12+'Sales Forecast'!U17*Assumptions!$F$12+'Sales Forecast'!T17*Assumptions!$G$12+'Sales Forecast'!S17*Assumptions!$H$12+'Sales Forecast'!R17*Assumptions!$I$12</f>
        <v/>
      </c>
      <c r="Y13" s="17">
        <f>'Sales Forecast'!Y17*Assumptions!$C$12+'Sales Forecast'!X17*Assumptions!$D$12+'Sales Forecast'!W17*Assumptions!$E$12+'Sales Forecast'!V17*Assumptions!$F$12+'Sales Forecast'!U17*Assumptions!$G$12+'Sales Forecast'!T17*Assumptions!$H$12+'Sales Forecast'!S17*Assumptions!$I$12</f>
        <v/>
      </c>
      <c r="Z13" s="17">
        <f>'Sales Forecast'!Z17*Assumptions!$C$12+'Sales Forecast'!Y17*Assumptions!$D$12+'Sales Forecast'!X17*Assumptions!$E$12+'Sales Forecast'!W17*Assumptions!$F$12+'Sales Forecast'!V17*Assumptions!$G$12+'Sales Forecast'!U17*Assumptions!$H$12+'Sales Forecast'!T17*Assumptions!$I$12</f>
        <v/>
      </c>
      <c r="AA13" s="17">
        <f>'Sales Forecast'!AA17*Assumptions!$C$12+'Sales Forecast'!Z17*Assumptions!$D$12+'Sales Forecast'!Y17*Assumptions!$E$12+'Sales Forecast'!X17*Assumptions!$F$12+'Sales Forecast'!W17*Assumptions!$G$12+'Sales Forecast'!V17*Assumptions!$H$12+'Sales Forecast'!U17*Assumptions!$I$12</f>
        <v/>
      </c>
      <c r="AB13" s="17">
        <f>'Sales Forecast'!AB17*Assumptions!$C$12+'Sales Forecast'!AA17*Assumptions!$D$12+'Sales Forecast'!Z17*Assumptions!$E$12+'Sales Forecast'!Y17*Assumptions!$F$12+'Sales Forecast'!X17*Assumptions!$G$12+'Sales Forecast'!W17*Assumptions!$H$12+'Sales Forecast'!V17*Assumptions!$I$12</f>
        <v/>
      </c>
      <c r="AC13" s="17">
        <f>'Sales Forecast'!AC17*Assumptions!$C$12+'Sales Forecast'!AB17*Assumptions!$D$12+'Sales Forecast'!AA17*Assumptions!$E$12+'Sales Forecast'!Z17*Assumptions!$F$12+'Sales Forecast'!Y17*Assumptions!$G$12+'Sales Forecast'!X17*Assumptions!$H$12+'Sales Forecast'!W17*Assumptions!$I$12</f>
        <v/>
      </c>
      <c r="AD13" s="17">
        <f>'Sales Forecast'!AD17*Assumptions!$C$12+'Sales Forecast'!AC17*Assumptions!$D$12+'Sales Forecast'!AB17*Assumptions!$E$12+'Sales Forecast'!AA17*Assumptions!$F$12+'Sales Forecast'!Z17*Assumptions!$G$12+'Sales Forecast'!Y17*Assumptions!$H$12+'Sales Forecast'!X17*Assumptions!$I$12</f>
        <v/>
      </c>
      <c r="AE13" s="17">
        <f>'Sales Forecast'!AE17*Assumptions!$C$12+'Sales Forecast'!AD17*Assumptions!$D$12+'Sales Forecast'!AC17*Assumptions!$E$12+'Sales Forecast'!AB17*Assumptions!$F$12+'Sales Forecast'!AA17*Assumptions!$G$12+'Sales Forecast'!Z17*Assumptions!$H$12+'Sales Forecast'!Y17*Assumptions!$I$12</f>
        <v/>
      </c>
      <c r="AF13" s="17">
        <f>'Sales Forecast'!AF17*Assumptions!$C$12+'Sales Forecast'!AE17*Assumptions!$D$12+'Sales Forecast'!AD17*Assumptions!$E$12+'Sales Forecast'!AC17*Assumptions!$F$12+'Sales Forecast'!AB17*Assumptions!$G$12+'Sales Forecast'!AA17*Assumptions!$H$12+'Sales Forecast'!Z17*Assumptions!$I$12</f>
        <v/>
      </c>
      <c r="AG13" s="17">
        <f>'Sales Forecast'!AG17*Assumptions!$C$12+'Sales Forecast'!AF17*Assumptions!$D$12+'Sales Forecast'!AE17*Assumptions!$E$12+'Sales Forecast'!AD17*Assumptions!$F$12+'Sales Forecast'!AC17*Assumptions!$G$12+'Sales Forecast'!AB17*Assumptions!$H$12+'Sales Forecast'!AA17*Assumptions!$I$12</f>
        <v/>
      </c>
      <c r="AH13" s="17">
        <f>'Sales Forecast'!AH17*Assumptions!$C$12+'Sales Forecast'!AG17*Assumptions!$D$12+'Sales Forecast'!AF17*Assumptions!$E$12+'Sales Forecast'!AE17*Assumptions!$F$12+'Sales Forecast'!AD17*Assumptions!$G$12+'Sales Forecast'!AC17*Assumptions!$H$12+'Sales Forecast'!AB17*Assumptions!$I$12</f>
        <v/>
      </c>
      <c r="AI13" s="17">
        <f>'Sales Forecast'!AI17*Assumptions!$C$12+'Sales Forecast'!AH17*Assumptions!$D$12+'Sales Forecast'!AG17*Assumptions!$E$12+'Sales Forecast'!AF17*Assumptions!$F$12+'Sales Forecast'!AE17*Assumptions!$G$12+'Sales Forecast'!AD17*Assumptions!$H$12+'Sales Forecast'!AC17*Assumptions!$I$12</f>
        <v/>
      </c>
      <c r="AJ13" s="17">
        <f>'Sales Forecast'!AJ17*Assumptions!$C$12+'Sales Forecast'!AI17*Assumptions!$D$12+'Sales Forecast'!AH17*Assumptions!$E$12+'Sales Forecast'!AG17*Assumptions!$F$12+'Sales Forecast'!AF17*Assumptions!$G$12+'Sales Forecast'!AE17*Assumptions!$H$12+'Sales Forecast'!AD17*Assumptions!$I$12</f>
        <v/>
      </c>
      <c r="AK13" s="17">
        <f>'Sales Forecast'!AK17*Assumptions!$C$12+'Sales Forecast'!AJ17*Assumptions!$D$12+'Sales Forecast'!AI17*Assumptions!$E$12+'Sales Forecast'!AH17*Assumptions!$F$12+'Sales Forecast'!AG17*Assumptions!$G$12+'Sales Forecast'!AF17*Assumptions!$H$12+'Sales Forecast'!AE17*Assumptions!$I$12</f>
        <v/>
      </c>
      <c r="AL13" s="17">
        <f>'Sales Forecast'!AL17*Assumptions!$C$12+'Sales Forecast'!AK17*Assumptions!$D$12+'Sales Forecast'!AJ17*Assumptions!$E$12+'Sales Forecast'!AI17*Assumptions!$F$12+'Sales Forecast'!AH17*Assumptions!$G$12+'Sales Forecast'!AG17*Assumptions!$H$12+'Sales Forecast'!AF17*Assumptions!$I$12</f>
        <v/>
      </c>
      <c r="AM13" s="17">
        <f>'Sales Forecast'!AM17*Assumptions!$C$12+'Sales Forecast'!AL17*Assumptions!$D$12+'Sales Forecast'!AK17*Assumptions!$E$12+'Sales Forecast'!AJ17*Assumptions!$F$12+'Sales Forecast'!AI17*Assumptions!$G$12+'Sales Forecast'!AH17*Assumptions!$H$12+'Sales Forecast'!AG17*Assumptions!$I$12</f>
        <v/>
      </c>
      <c r="AN13" s="17">
        <f>'Sales Forecast'!AN17*Assumptions!$C$12+'Sales Forecast'!AM17*Assumptions!$D$12+'Sales Forecast'!AL17*Assumptions!$E$12+'Sales Forecast'!AK17*Assumptions!$F$12+'Sales Forecast'!AJ17*Assumptions!$G$12+'Sales Forecast'!AI17*Assumptions!$H$12+'Sales Forecast'!AH17*Assumptions!$I$12</f>
        <v/>
      </c>
      <c r="AO13" s="17">
        <f>'Sales Forecast'!AO17*Assumptions!$C$12+'Sales Forecast'!AN17*Assumptions!$D$12+'Sales Forecast'!AM17*Assumptions!$E$12+'Sales Forecast'!AL17*Assumptions!$F$12+'Sales Forecast'!AK17*Assumptions!$G$12+'Sales Forecast'!AJ17*Assumptions!$H$12+'Sales Forecast'!AI17*Assumptions!$I$12</f>
        <v/>
      </c>
      <c r="AP13" s="17">
        <f>'Sales Forecast'!AP17*Assumptions!$C$12+'Sales Forecast'!AO17*Assumptions!$D$12+'Sales Forecast'!AN17*Assumptions!$E$12+'Sales Forecast'!AM17*Assumptions!$F$12+'Sales Forecast'!AL17*Assumptions!$G$12+'Sales Forecast'!AK17*Assumptions!$H$12+'Sales Forecast'!AJ17*Assumptions!$I$12</f>
        <v/>
      </c>
      <c r="AQ13" s="17">
        <f>'Sales Forecast'!AQ17*Assumptions!$C$12+'Sales Forecast'!AP17*Assumptions!$D$12+'Sales Forecast'!AO17*Assumptions!$E$12+'Sales Forecast'!AN17*Assumptions!$F$12+'Sales Forecast'!AM17*Assumptions!$G$12+'Sales Forecast'!AL17*Assumptions!$H$12+'Sales Forecast'!AK17*Assumptions!$I$12</f>
        <v/>
      </c>
      <c r="AR13" s="17">
        <f>'Sales Forecast'!AR17*Assumptions!$C$12+'Sales Forecast'!AQ17*Assumptions!$D$12+'Sales Forecast'!AP17*Assumptions!$E$12+'Sales Forecast'!AO17*Assumptions!$F$12+'Sales Forecast'!AN17*Assumptions!$G$12+'Sales Forecast'!AM17*Assumptions!$H$12+'Sales Forecast'!AL17*Assumptions!$I$12</f>
        <v/>
      </c>
      <c r="AS13" s="17">
        <f>'Sales Forecast'!AS17*Assumptions!$C$12+'Sales Forecast'!AR17*Assumptions!$D$12+'Sales Forecast'!AQ17*Assumptions!$E$12+'Sales Forecast'!AP17*Assumptions!$F$12+'Sales Forecast'!AO17*Assumptions!$G$12+'Sales Forecast'!AN17*Assumptions!$H$12+'Sales Forecast'!AM17*Assumptions!$I$12</f>
        <v/>
      </c>
      <c r="AT13" s="17">
        <f>'Sales Forecast'!AT17*Assumptions!$C$12+'Sales Forecast'!AS17*Assumptions!$D$12+'Sales Forecast'!AR17*Assumptions!$E$12+'Sales Forecast'!AQ17*Assumptions!$F$12+'Sales Forecast'!AP17*Assumptions!$G$12+'Sales Forecast'!AO17*Assumptions!$H$12+'Sales Forecast'!AN17*Assumptions!$I$12</f>
        <v/>
      </c>
      <c r="AU13" s="17">
        <f>'Sales Forecast'!AU17*Assumptions!$C$12+'Sales Forecast'!AT17*Assumptions!$D$12+'Sales Forecast'!AS17*Assumptions!$E$12+'Sales Forecast'!AR17*Assumptions!$F$12+'Sales Forecast'!AQ17*Assumptions!$G$12+'Sales Forecast'!AP17*Assumptions!$H$12+'Sales Forecast'!AO17*Assumptions!$I$12</f>
        <v/>
      </c>
      <c r="AV13" s="17">
        <f>'Sales Forecast'!AV17*Assumptions!$C$12+'Sales Forecast'!AU17*Assumptions!$D$12+'Sales Forecast'!AT17*Assumptions!$E$12+'Sales Forecast'!AS17*Assumptions!$F$12+'Sales Forecast'!AR17*Assumptions!$G$12+'Sales Forecast'!AQ17*Assumptions!$H$12+'Sales Forecast'!AP17*Assumptions!$I$12</f>
        <v/>
      </c>
      <c r="AW13" s="17">
        <f>'Sales Forecast'!AW17*Assumptions!$C$12+'Sales Forecast'!AV17*Assumptions!$D$12+'Sales Forecast'!AU17*Assumptions!$E$12+'Sales Forecast'!AT17*Assumptions!$F$12+'Sales Forecast'!AS17*Assumptions!$G$12+'Sales Forecast'!AR17*Assumptions!$H$12+'Sales Forecast'!AQ17*Assumptions!$I$12</f>
        <v/>
      </c>
      <c r="AX13" s="17">
        <f>'Sales Forecast'!AX17*Assumptions!$C$12+'Sales Forecast'!AW17*Assumptions!$D$12+'Sales Forecast'!AV17*Assumptions!$E$12+'Sales Forecast'!AU17*Assumptions!$F$12+'Sales Forecast'!AT17*Assumptions!$G$12+'Sales Forecast'!AS17*Assumptions!$H$12+'Sales Forecast'!AR17*Assumptions!$I$12</f>
        <v/>
      </c>
      <c r="AY13" s="17">
        <f>'Sales Forecast'!AY17*Assumptions!$C$12+'Sales Forecast'!AX17*Assumptions!$D$12+'Sales Forecast'!AW17*Assumptions!$E$12+'Sales Forecast'!AV17*Assumptions!$F$12+'Sales Forecast'!AU17*Assumptions!$G$12+'Sales Forecast'!AT17*Assumptions!$H$12+'Sales Forecast'!AS17*Assumptions!$I$12</f>
        <v/>
      </c>
    </row>
    <row r="14">
      <c r="B14" s="33" t="inlineStr">
        <is>
          <t xml:space="preserve">  403001 Machine Breakage</t>
        </is>
      </c>
      <c r="D14" s="19" t="n">
        <v>4839</v>
      </c>
      <c r="E14" s="19" t="n">
        <v>6272.2</v>
      </c>
      <c r="F14" s="19" t="n">
        <v>10426.7</v>
      </c>
      <c r="G14" s="19" t="n">
        <v>13423.2</v>
      </c>
      <c r="H14" s="19" t="n">
        <v>10291.36</v>
      </c>
      <c r="I14" s="19" t="n">
        <v>11899.57</v>
      </c>
      <c r="J14" s="19" t="n">
        <v>9913.809999999999</v>
      </c>
      <c r="K14" s="19" t="n">
        <v>12502.81</v>
      </c>
      <c r="L14" s="19" t="n">
        <v>9702.5</v>
      </c>
      <c r="M14" s="19" t="n">
        <v>11728.26</v>
      </c>
      <c r="N14" s="19" t="n">
        <v>10875.53</v>
      </c>
      <c r="O14" s="19" t="n">
        <v>18491.73</v>
      </c>
      <c r="P14" s="19" t="n">
        <v>13157.19</v>
      </c>
      <c r="Q14" s="19" t="n">
        <v>12037.93</v>
      </c>
      <c r="R14" s="19" t="n">
        <v>10513.08</v>
      </c>
      <c r="S14" s="19" t="n">
        <v>11003.92</v>
      </c>
      <c r="T14" s="84" t="n">
        <v>8279.93</v>
      </c>
      <c r="U14" s="20">
        <f>U17*0.878488</f>
        <v/>
      </c>
      <c r="V14" s="20">
        <f>V17*0.878488</f>
        <v/>
      </c>
      <c r="W14" s="20">
        <f>W17*0.878488</f>
        <v/>
      </c>
      <c r="X14" s="20">
        <f>X17*0.878488</f>
        <v/>
      </c>
      <c r="Y14" s="20">
        <f>Y17*0.878488</f>
        <v/>
      </c>
      <c r="Z14" s="20">
        <f>Z17*0.878488</f>
        <v/>
      </c>
      <c r="AA14" s="20">
        <f>AA17*0.878488</f>
        <v/>
      </c>
      <c r="AB14" s="20">
        <f>AB17*0.878488</f>
        <v/>
      </c>
      <c r="AC14" s="20">
        <f>AC17*0.878488</f>
        <v/>
      </c>
      <c r="AD14" s="20">
        <f>AD17*0.878488</f>
        <v/>
      </c>
      <c r="AE14" s="20">
        <f>AE17*0.878488</f>
        <v/>
      </c>
      <c r="AF14" s="20">
        <f>AF17*0.878488</f>
        <v/>
      </c>
      <c r="AG14" s="20">
        <f>AG17*0.878488</f>
        <v/>
      </c>
      <c r="AH14" s="20">
        <f>AH17*0.878488</f>
        <v/>
      </c>
      <c r="AI14" s="20">
        <f>AI17*0.878488</f>
        <v/>
      </c>
      <c r="AJ14" s="20">
        <f>AJ17*0.878488</f>
        <v/>
      </c>
      <c r="AK14" s="20">
        <f>AK17*0.878488</f>
        <v/>
      </c>
      <c r="AL14" s="20">
        <f>AL17*0.878488</f>
        <v/>
      </c>
      <c r="AM14" s="20">
        <f>AM17*0.878488</f>
        <v/>
      </c>
      <c r="AN14" s="20">
        <f>AN17*0.878488</f>
        <v/>
      </c>
      <c r="AO14" s="20">
        <f>AO17*0.878488</f>
        <v/>
      </c>
      <c r="AP14" s="20">
        <f>AP17*0.878488</f>
        <v/>
      </c>
      <c r="AQ14" s="20">
        <f>AQ17*0.878488</f>
        <v/>
      </c>
      <c r="AR14" s="20">
        <f>AR17*0.878488</f>
        <v/>
      </c>
      <c r="AS14" s="20">
        <f>AS17*0.878488</f>
        <v/>
      </c>
      <c r="AT14" s="20">
        <f>AT17*0.878488</f>
        <v/>
      </c>
      <c r="AU14" s="20">
        <f>AU17*0.878488</f>
        <v/>
      </c>
      <c r="AV14" s="20">
        <f>AV17*0.878488</f>
        <v/>
      </c>
      <c r="AW14" s="20">
        <f>AW17*0.878488</f>
        <v/>
      </c>
      <c r="AX14" s="20">
        <f>AX17*0.878488</f>
        <v/>
      </c>
      <c r="AY14" s="20">
        <f>AY17*0.878488</f>
        <v/>
      </c>
    </row>
    <row r="15">
      <c r="B15" s="33" t="inlineStr">
        <is>
          <t xml:space="preserve">  403003 Private Pilates Breakage</t>
        </is>
      </c>
      <c r="D15" s="19" t="n">
        <v>166</v>
      </c>
      <c r="E15" s="19" t="n">
        <v>2245</v>
      </c>
      <c r="F15" s="19" t="n">
        <v>466.25</v>
      </c>
      <c r="G15" s="19" t="n">
        <v>1377.5</v>
      </c>
      <c r="H15" s="19" t="n">
        <v>1225</v>
      </c>
      <c r="I15" s="19" t="n">
        <v>2135</v>
      </c>
      <c r="J15" s="19" t="n">
        <v>1745</v>
      </c>
      <c r="K15" s="19" t="n">
        <v>857.14</v>
      </c>
      <c r="L15" s="19" t="n">
        <v>1180</v>
      </c>
      <c r="M15" s="19" t="n">
        <v>3338</v>
      </c>
      <c r="N15" s="19" t="n">
        <v>1280</v>
      </c>
      <c r="O15" s="19" t="n">
        <v>750</v>
      </c>
      <c r="P15" s="19" t="n">
        <v>450</v>
      </c>
      <c r="Q15" s="19" t="n">
        <v>1155</v>
      </c>
      <c r="R15" s="19" t="n">
        <v>744</v>
      </c>
      <c r="S15" s="19" t="n">
        <v>225</v>
      </c>
      <c r="T15" s="84" t="n">
        <v>300</v>
      </c>
      <c r="U15" s="20">
        <f>U17*0.048408</f>
        <v/>
      </c>
      <c r="V15" s="20">
        <f>V17*0.048408</f>
        <v/>
      </c>
      <c r="W15" s="20">
        <f>W17*0.048408</f>
        <v/>
      </c>
      <c r="X15" s="20">
        <f>X17*0.048408</f>
        <v/>
      </c>
      <c r="Y15" s="20">
        <f>Y17*0.048408</f>
        <v/>
      </c>
      <c r="Z15" s="20">
        <f>Z17*0.048408</f>
        <v/>
      </c>
      <c r="AA15" s="20">
        <f>AA17*0.048408</f>
        <v/>
      </c>
      <c r="AB15" s="20">
        <f>AB17*0.048408</f>
        <v/>
      </c>
      <c r="AC15" s="20">
        <f>AC17*0.048408</f>
        <v/>
      </c>
      <c r="AD15" s="20">
        <f>AD17*0.048408</f>
        <v/>
      </c>
      <c r="AE15" s="20">
        <f>AE17*0.048408</f>
        <v/>
      </c>
      <c r="AF15" s="20">
        <f>AF17*0.048408</f>
        <v/>
      </c>
      <c r="AG15" s="20">
        <f>AG17*0.048408</f>
        <v/>
      </c>
      <c r="AH15" s="20">
        <f>AH17*0.048408</f>
        <v/>
      </c>
      <c r="AI15" s="20">
        <f>AI17*0.048408</f>
        <v/>
      </c>
      <c r="AJ15" s="20">
        <f>AJ17*0.048408</f>
        <v/>
      </c>
      <c r="AK15" s="20">
        <f>AK17*0.048408</f>
        <v/>
      </c>
      <c r="AL15" s="20">
        <f>AL17*0.048408</f>
        <v/>
      </c>
      <c r="AM15" s="20">
        <f>AM17*0.048408</f>
        <v/>
      </c>
      <c r="AN15" s="20">
        <f>AN17*0.048408</f>
        <v/>
      </c>
      <c r="AO15" s="20">
        <f>AO17*0.048408</f>
        <v/>
      </c>
      <c r="AP15" s="20">
        <f>AP17*0.048408</f>
        <v/>
      </c>
      <c r="AQ15" s="20">
        <f>AQ17*0.048408</f>
        <v/>
      </c>
      <c r="AR15" s="20">
        <f>AR17*0.048408</f>
        <v/>
      </c>
      <c r="AS15" s="20">
        <f>AS17*0.048408</f>
        <v/>
      </c>
      <c r="AT15" s="20">
        <f>AT17*0.048408</f>
        <v/>
      </c>
      <c r="AU15" s="20">
        <f>AU17*0.048408</f>
        <v/>
      </c>
      <c r="AV15" s="20">
        <f>AV17*0.048408</f>
        <v/>
      </c>
      <c r="AW15" s="20">
        <f>AW17*0.048408</f>
        <v/>
      </c>
      <c r="AX15" s="20">
        <f>AX17*0.048408</f>
        <v/>
      </c>
      <c r="AY15" s="20">
        <f>AY17*0.048408</f>
        <v/>
      </c>
    </row>
    <row r="16">
      <c r="B16" s="33" t="inlineStr">
        <is>
          <t xml:space="preserve">  403004 Other Breakage</t>
        </is>
      </c>
      <c r="D16" s="19" t="n">
        <v>480</v>
      </c>
      <c r="E16" s="19" t="n">
        <v>160</v>
      </c>
      <c r="F16" s="19" t="n">
        <v>160</v>
      </c>
      <c r="G16" s="19" t="n">
        <v>0</v>
      </c>
      <c r="H16" s="19" t="n">
        <v>715</v>
      </c>
      <c r="I16" s="19" t="n">
        <v>320</v>
      </c>
      <c r="J16" s="19" t="n">
        <v>1440</v>
      </c>
      <c r="K16" s="19" t="n">
        <v>320</v>
      </c>
      <c r="L16" s="19" t="n">
        <v>160</v>
      </c>
      <c r="M16" s="19" t="n">
        <v>640</v>
      </c>
      <c r="N16" s="19" t="n">
        <v>1280</v>
      </c>
      <c r="O16" s="19" t="n">
        <v>1600</v>
      </c>
      <c r="P16" s="19" t="n">
        <v>960</v>
      </c>
      <c r="Q16" s="19" t="n">
        <v>640</v>
      </c>
      <c r="R16" s="19" t="n">
        <v>687.2</v>
      </c>
      <c r="S16" s="19" t="n">
        <v>1600</v>
      </c>
      <c r="T16" s="84" t="n">
        <v>960</v>
      </c>
      <c r="U16" s="20">
        <f>U17*0.073104</f>
        <v/>
      </c>
      <c r="V16" s="20">
        <f>V17*0.073104</f>
        <v/>
      </c>
      <c r="W16" s="20">
        <f>W17*0.073104</f>
        <v/>
      </c>
      <c r="X16" s="20">
        <f>X17*0.073104</f>
        <v/>
      </c>
      <c r="Y16" s="20">
        <f>Y17*0.073104</f>
        <v/>
      </c>
      <c r="Z16" s="20">
        <f>Z17*0.073104</f>
        <v/>
      </c>
      <c r="AA16" s="20">
        <f>AA17*0.073104</f>
        <v/>
      </c>
      <c r="AB16" s="20">
        <f>AB17*0.073104</f>
        <v/>
      </c>
      <c r="AC16" s="20">
        <f>AC17*0.073104</f>
        <v/>
      </c>
      <c r="AD16" s="20">
        <f>AD17*0.073104</f>
        <v/>
      </c>
      <c r="AE16" s="20">
        <f>AE17*0.073104</f>
        <v/>
      </c>
      <c r="AF16" s="20">
        <f>AF17*0.073104</f>
        <v/>
      </c>
      <c r="AG16" s="20">
        <f>AG17*0.073104</f>
        <v/>
      </c>
      <c r="AH16" s="20">
        <f>AH17*0.073104</f>
        <v/>
      </c>
      <c r="AI16" s="20">
        <f>AI17*0.073104</f>
        <v/>
      </c>
      <c r="AJ16" s="20">
        <f>AJ17*0.073104</f>
        <v/>
      </c>
      <c r="AK16" s="20">
        <f>AK17*0.073104</f>
        <v/>
      </c>
      <c r="AL16" s="20">
        <f>AL17*0.073104</f>
        <v/>
      </c>
      <c r="AM16" s="20">
        <f>AM17*0.073104</f>
        <v/>
      </c>
      <c r="AN16" s="20">
        <f>AN17*0.073104</f>
        <v/>
      </c>
      <c r="AO16" s="20">
        <f>AO17*0.073104</f>
        <v/>
      </c>
      <c r="AP16" s="20">
        <f>AP17*0.073104</f>
        <v/>
      </c>
      <c r="AQ16" s="20">
        <f>AQ17*0.073104</f>
        <v/>
      </c>
      <c r="AR16" s="20">
        <f>AR17*0.073104</f>
        <v/>
      </c>
      <c r="AS16" s="20">
        <f>AS17*0.073104</f>
        <v/>
      </c>
      <c r="AT16" s="20">
        <f>AT17*0.073104</f>
        <v/>
      </c>
      <c r="AU16" s="20">
        <f>AU17*0.073104</f>
        <v/>
      </c>
      <c r="AV16" s="20">
        <f>AV17*0.073104</f>
        <v/>
      </c>
      <c r="AW16" s="20">
        <f>AW17*0.073104</f>
        <v/>
      </c>
      <c r="AX16" s="20">
        <f>AX17*0.073104</f>
        <v/>
      </c>
      <c r="AY16" s="20">
        <f>AY17*0.073104</f>
        <v/>
      </c>
    </row>
    <row r="17">
      <c r="B17" s="32" t="inlineStr">
        <is>
          <t>Total Breakage Revenue</t>
        </is>
      </c>
      <c r="C17" s="34" t="n"/>
      <c r="D17" s="35" t="n">
        <v>5485</v>
      </c>
      <c r="E17" s="35" t="n">
        <v>8677.200000000001</v>
      </c>
      <c r="F17" s="35" t="n">
        <v>11052.95</v>
      </c>
      <c r="G17" s="35" t="n">
        <v>14800.7</v>
      </c>
      <c r="H17" s="35" t="n">
        <v>12231.36</v>
      </c>
      <c r="I17" s="35" t="n">
        <v>14354.57</v>
      </c>
      <c r="J17" s="35" t="n">
        <v>13632.81</v>
      </c>
      <c r="K17" s="35" t="n">
        <v>13679.95</v>
      </c>
      <c r="L17" s="35" t="n">
        <v>11042.5</v>
      </c>
      <c r="M17" s="35" t="n">
        <v>15706.26</v>
      </c>
      <c r="N17" s="35" t="n">
        <v>15035.53</v>
      </c>
      <c r="O17" s="35" t="n">
        <v>23526.73</v>
      </c>
      <c r="P17" s="35" t="n">
        <v>14567.19</v>
      </c>
      <c r="Q17" s="35" t="n">
        <v>13832.93</v>
      </c>
      <c r="R17" s="35" t="n">
        <v>11944.28</v>
      </c>
      <c r="S17" s="35" t="n">
        <v>12828.92</v>
      </c>
      <c r="T17" s="85" t="n">
        <v>9539.93</v>
      </c>
      <c r="U17" s="17">
        <f>'Sales Forecast'!U17*Assumptions!$C$13+'Sales Forecast'!T17*Assumptions!$D$13+'Sales Forecast'!S17*Assumptions!$E$13+'Sales Forecast'!R17*Assumptions!$F$13+'Sales Forecast'!Q17*Assumptions!$G$13+'Sales Forecast'!P17*Assumptions!$H$13+'Sales Forecast'!U113*Assumptions!$I$13</f>
        <v/>
      </c>
      <c r="V17" s="17">
        <f>'Sales Forecast'!V17*Assumptions!$C$13+'Sales Forecast'!U17*Assumptions!$D$13+'Sales Forecast'!T17*Assumptions!$E$13+'Sales Forecast'!S17*Assumptions!$F$13+'Sales Forecast'!R17*Assumptions!$G$13+'Sales Forecast'!Q17*Assumptions!$H$13+'Sales Forecast'!P17*Assumptions!$I$13</f>
        <v/>
      </c>
      <c r="W17" s="17">
        <f>'Sales Forecast'!W17*Assumptions!$C$13+'Sales Forecast'!V17*Assumptions!$D$13+'Sales Forecast'!U17*Assumptions!$E$13+'Sales Forecast'!T17*Assumptions!$F$13+'Sales Forecast'!S17*Assumptions!$G$13+'Sales Forecast'!R17*Assumptions!$H$13+'Sales Forecast'!Q17*Assumptions!$I$13</f>
        <v/>
      </c>
      <c r="X17" s="17">
        <f>'Sales Forecast'!X17*Assumptions!$C$13+'Sales Forecast'!W17*Assumptions!$D$13+'Sales Forecast'!V17*Assumptions!$E$13+'Sales Forecast'!U17*Assumptions!$F$13+'Sales Forecast'!T17*Assumptions!$G$13+'Sales Forecast'!S17*Assumptions!$H$13+'Sales Forecast'!R17*Assumptions!$I$13</f>
        <v/>
      </c>
      <c r="Y17" s="17">
        <f>'Sales Forecast'!Y17*Assumptions!$C$13+'Sales Forecast'!X17*Assumptions!$D$13+'Sales Forecast'!W17*Assumptions!$E$13+'Sales Forecast'!V17*Assumptions!$F$13+'Sales Forecast'!U17*Assumptions!$G$13+'Sales Forecast'!T17*Assumptions!$H$13+'Sales Forecast'!S17*Assumptions!$I$13</f>
        <v/>
      </c>
      <c r="Z17" s="17">
        <f>'Sales Forecast'!Z17*Assumptions!$C$13+'Sales Forecast'!Y17*Assumptions!$D$13+'Sales Forecast'!X17*Assumptions!$E$13+'Sales Forecast'!W17*Assumptions!$F$13+'Sales Forecast'!V17*Assumptions!$G$13+'Sales Forecast'!U17*Assumptions!$H$13+'Sales Forecast'!T17*Assumptions!$I$13</f>
        <v/>
      </c>
      <c r="AA17" s="17">
        <f>'Sales Forecast'!AA17*Assumptions!$C$13+'Sales Forecast'!Z17*Assumptions!$D$13+'Sales Forecast'!Y17*Assumptions!$E$13+'Sales Forecast'!X17*Assumptions!$F$13+'Sales Forecast'!W17*Assumptions!$G$13+'Sales Forecast'!V17*Assumptions!$H$13+'Sales Forecast'!U17*Assumptions!$I$13</f>
        <v/>
      </c>
      <c r="AB17" s="17">
        <f>'Sales Forecast'!AB17*Assumptions!$C$13+'Sales Forecast'!AA17*Assumptions!$D$13+'Sales Forecast'!Z17*Assumptions!$E$13+'Sales Forecast'!Y17*Assumptions!$F$13+'Sales Forecast'!X17*Assumptions!$G$13+'Sales Forecast'!W17*Assumptions!$H$13+'Sales Forecast'!V17*Assumptions!$I$13</f>
        <v/>
      </c>
      <c r="AC17" s="17">
        <f>'Sales Forecast'!AC17*Assumptions!$C$13+'Sales Forecast'!AB17*Assumptions!$D$13+'Sales Forecast'!AA17*Assumptions!$E$13+'Sales Forecast'!Z17*Assumptions!$F$13+'Sales Forecast'!Y17*Assumptions!$G$13+'Sales Forecast'!X17*Assumptions!$H$13+'Sales Forecast'!W17*Assumptions!$I$13</f>
        <v/>
      </c>
      <c r="AD17" s="17">
        <f>'Sales Forecast'!AD17*Assumptions!$C$13+'Sales Forecast'!AC17*Assumptions!$D$13+'Sales Forecast'!AB17*Assumptions!$E$13+'Sales Forecast'!AA17*Assumptions!$F$13+'Sales Forecast'!Z17*Assumptions!$G$13+'Sales Forecast'!Y17*Assumptions!$H$13+'Sales Forecast'!X17*Assumptions!$I$13</f>
        <v/>
      </c>
      <c r="AE17" s="17">
        <f>'Sales Forecast'!AE17*Assumptions!$C$13+'Sales Forecast'!AD17*Assumptions!$D$13+'Sales Forecast'!AC17*Assumptions!$E$13+'Sales Forecast'!AB17*Assumptions!$F$13+'Sales Forecast'!AA17*Assumptions!$G$13+'Sales Forecast'!Z17*Assumptions!$H$13+'Sales Forecast'!Y17*Assumptions!$I$13</f>
        <v/>
      </c>
      <c r="AF17" s="17">
        <f>'Sales Forecast'!AF17*Assumptions!$C$13+'Sales Forecast'!AE17*Assumptions!$D$13+'Sales Forecast'!AD17*Assumptions!$E$13+'Sales Forecast'!AC17*Assumptions!$F$13+'Sales Forecast'!AB17*Assumptions!$G$13+'Sales Forecast'!AA17*Assumptions!$H$13+'Sales Forecast'!Z17*Assumptions!$I$13</f>
        <v/>
      </c>
      <c r="AG17" s="17">
        <f>'Sales Forecast'!AG17*Assumptions!$C$13+'Sales Forecast'!AF17*Assumptions!$D$13+'Sales Forecast'!AE17*Assumptions!$E$13+'Sales Forecast'!AD17*Assumptions!$F$13+'Sales Forecast'!AC17*Assumptions!$G$13+'Sales Forecast'!AB17*Assumptions!$H$13+'Sales Forecast'!AA17*Assumptions!$I$13</f>
        <v/>
      </c>
      <c r="AH17" s="17">
        <f>'Sales Forecast'!AH17*Assumptions!$C$13+'Sales Forecast'!AG17*Assumptions!$D$13+'Sales Forecast'!AF17*Assumptions!$E$13+'Sales Forecast'!AE17*Assumptions!$F$13+'Sales Forecast'!AD17*Assumptions!$G$13+'Sales Forecast'!AC17*Assumptions!$H$13+'Sales Forecast'!AB17*Assumptions!$I$13</f>
        <v/>
      </c>
      <c r="AI17" s="17">
        <f>'Sales Forecast'!AI17*Assumptions!$C$13+'Sales Forecast'!AH17*Assumptions!$D$13+'Sales Forecast'!AG17*Assumptions!$E$13+'Sales Forecast'!AF17*Assumptions!$F$13+'Sales Forecast'!AE17*Assumptions!$G$13+'Sales Forecast'!AD17*Assumptions!$H$13+'Sales Forecast'!AC17*Assumptions!$I$13</f>
        <v/>
      </c>
      <c r="AJ17" s="17">
        <f>'Sales Forecast'!AJ17*Assumptions!$C$13+'Sales Forecast'!AI17*Assumptions!$D$13+'Sales Forecast'!AH17*Assumptions!$E$13+'Sales Forecast'!AG17*Assumptions!$F$13+'Sales Forecast'!AF17*Assumptions!$G$13+'Sales Forecast'!AE17*Assumptions!$H$13+'Sales Forecast'!AD17*Assumptions!$I$13</f>
        <v/>
      </c>
      <c r="AK17" s="17">
        <f>'Sales Forecast'!AK17*Assumptions!$C$13+'Sales Forecast'!AJ17*Assumptions!$D$13+'Sales Forecast'!AI17*Assumptions!$E$13+'Sales Forecast'!AH17*Assumptions!$F$13+'Sales Forecast'!AG17*Assumptions!$G$13+'Sales Forecast'!AF17*Assumptions!$H$13+'Sales Forecast'!AE17*Assumptions!$I$13</f>
        <v/>
      </c>
      <c r="AL17" s="17">
        <f>'Sales Forecast'!AL17*Assumptions!$C$13+'Sales Forecast'!AK17*Assumptions!$D$13+'Sales Forecast'!AJ17*Assumptions!$E$13+'Sales Forecast'!AI17*Assumptions!$F$13+'Sales Forecast'!AH17*Assumptions!$G$13+'Sales Forecast'!AG17*Assumptions!$H$13+'Sales Forecast'!AF17*Assumptions!$I$13</f>
        <v/>
      </c>
      <c r="AM17" s="17">
        <f>'Sales Forecast'!AM17*Assumptions!$C$13+'Sales Forecast'!AL17*Assumptions!$D$13+'Sales Forecast'!AK17*Assumptions!$E$13+'Sales Forecast'!AJ17*Assumptions!$F$13+'Sales Forecast'!AI17*Assumptions!$G$13+'Sales Forecast'!AH17*Assumptions!$H$13+'Sales Forecast'!AG17*Assumptions!$I$13</f>
        <v/>
      </c>
      <c r="AN17" s="17">
        <f>'Sales Forecast'!AN17*Assumptions!$C$13+'Sales Forecast'!AM17*Assumptions!$D$13+'Sales Forecast'!AL17*Assumptions!$E$13+'Sales Forecast'!AK17*Assumptions!$F$13+'Sales Forecast'!AJ17*Assumptions!$G$13+'Sales Forecast'!AI17*Assumptions!$H$13+'Sales Forecast'!AH17*Assumptions!$I$13</f>
        <v/>
      </c>
      <c r="AO17" s="17">
        <f>'Sales Forecast'!AO17*Assumptions!$C$13+'Sales Forecast'!AN17*Assumptions!$D$13+'Sales Forecast'!AM17*Assumptions!$E$13+'Sales Forecast'!AL17*Assumptions!$F$13+'Sales Forecast'!AK17*Assumptions!$G$13+'Sales Forecast'!AJ17*Assumptions!$H$13+'Sales Forecast'!AI17*Assumptions!$I$13</f>
        <v/>
      </c>
      <c r="AP17" s="17">
        <f>'Sales Forecast'!AP17*Assumptions!$C$13+'Sales Forecast'!AO17*Assumptions!$D$13+'Sales Forecast'!AN17*Assumptions!$E$13+'Sales Forecast'!AM17*Assumptions!$F$13+'Sales Forecast'!AL17*Assumptions!$G$13+'Sales Forecast'!AK17*Assumptions!$H$13+'Sales Forecast'!AJ17*Assumptions!$I$13</f>
        <v/>
      </c>
      <c r="AQ17" s="17">
        <f>'Sales Forecast'!AQ17*Assumptions!$C$13+'Sales Forecast'!AP17*Assumptions!$D$13+'Sales Forecast'!AO17*Assumptions!$E$13+'Sales Forecast'!AN17*Assumptions!$F$13+'Sales Forecast'!AM17*Assumptions!$G$13+'Sales Forecast'!AL17*Assumptions!$H$13+'Sales Forecast'!AK17*Assumptions!$I$13</f>
        <v/>
      </c>
      <c r="AR17" s="17">
        <f>'Sales Forecast'!AR17*Assumptions!$C$13+'Sales Forecast'!AQ17*Assumptions!$D$13+'Sales Forecast'!AP17*Assumptions!$E$13+'Sales Forecast'!AO17*Assumptions!$F$13+'Sales Forecast'!AN17*Assumptions!$G$13+'Sales Forecast'!AM17*Assumptions!$H$13+'Sales Forecast'!AL17*Assumptions!$I$13</f>
        <v/>
      </c>
      <c r="AS17" s="17">
        <f>'Sales Forecast'!AS17*Assumptions!$C$13+'Sales Forecast'!AR17*Assumptions!$D$13+'Sales Forecast'!AQ17*Assumptions!$E$13+'Sales Forecast'!AP17*Assumptions!$F$13+'Sales Forecast'!AO17*Assumptions!$G$13+'Sales Forecast'!AN17*Assumptions!$H$13+'Sales Forecast'!AM17*Assumptions!$I$13</f>
        <v/>
      </c>
      <c r="AT17" s="17">
        <f>'Sales Forecast'!AT17*Assumptions!$C$13+'Sales Forecast'!AS17*Assumptions!$D$13+'Sales Forecast'!AR17*Assumptions!$E$13+'Sales Forecast'!AQ17*Assumptions!$F$13+'Sales Forecast'!AP17*Assumptions!$G$13+'Sales Forecast'!AO17*Assumptions!$H$13+'Sales Forecast'!AN17*Assumptions!$I$13</f>
        <v/>
      </c>
      <c r="AU17" s="17">
        <f>'Sales Forecast'!AU17*Assumptions!$C$13+'Sales Forecast'!AT17*Assumptions!$D$13+'Sales Forecast'!AS17*Assumptions!$E$13+'Sales Forecast'!AR17*Assumptions!$F$13+'Sales Forecast'!AQ17*Assumptions!$G$13+'Sales Forecast'!AP17*Assumptions!$H$13+'Sales Forecast'!AO17*Assumptions!$I$13</f>
        <v/>
      </c>
      <c r="AV17" s="17">
        <f>'Sales Forecast'!AV17*Assumptions!$C$13+'Sales Forecast'!AU17*Assumptions!$D$13+'Sales Forecast'!AT17*Assumptions!$E$13+'Sales Forecast'!AS17*Assumptions!$F$13+'Sales Forecast'!AR17*Assumptions!$G$13+'Sales Forecast'!AQ17*Assumptions!$H$13+'Sales Forecast'!AP17*Assumptions!$I$13</f>
        <v/>
      </c>
      <c r="AW17" s="17">
        <f>'Sales Forecast'!AW17*Assumptions!$C$13+'Sales Forecast'!AV17*Assumptions!$D$13+'Sales Forecast'!AU17*Assumptions!$E$13+'Sales Forecast'!AT17*Assumptions!$F$13+'Sales Forecast'!AS17*Assumptions!$G$13+'Sales Forecast'!AR17*Assumptions!$H$13+'Sales Forecast'!AQ17*Assumptions!$I$13</f>
        <v/>
      </c>
      <c r="AX17" s="17">
        <f>'Sales Forecast'!AX17*Assumptions!$C$13+'Sales Forecast'!AW17*Assumptions!$D$13+'Sales Forecast'!AV17*Assumptions!$E$13+'Sales Forecast'!AU17*Assumptions!$F$13+'Sales Forecast'!AT17*Assumptions!$G$13+'Sales Forecast'!AS17*Assumptions!$H$13+'Sales Forecast'!AR17*Assumptions!$I$13</f>
        <v/>
      </c>
      <c r="AY17" s="17">
        <f>'Sales Forecast'!AY17*Assumptions!$C$13+'Sales Forecast'!AX17*Assumptions!$D$13+'Sales Forecast'!AW17*Assumptions!$E$13+'Sales Forecast'!AV17*Assumptions!$F$13+'Sales Forecast'!AU17*Assumptions!$G$13+'Sales Forecast'!AT17*Assumptions!$H$13+'Sales Forecast'!AS17*Assumptions!$I$13</f>
        <v/>
      </c>
    </row>
    <row r="18">
      <c r="B18" s="33" t="inlineStr">
        <is>
          <t xml:space="preserve">  404000 Retail Sales</t>
        </is>
      </c>
      <c r="D18" s="19" t="n">
        <v>6152</v>
      </c>
      <c r="E18" s="19" t="n">
        <v>3339.92</v>
      </c>
      <c r="F18" s="19" t="n">
        <v>2502</v>
      </c>
      <c r="G18" s="19" t="n">
        <v>2155</v>
      </c>
      <c r="H18" s="19" t="n">
        <v>2116</v>
      </c>
      <c r="I18" s="19" t="n">
        <v>1734</v>
      </c>
      <c r="J18" s="19" t="n">
        <v>2791</v>
      </c>
      <c r="K18" s="19" t="n">
        <v>2366</v>
      </c>
      <c r="L18" s="19" t="n">
        <v>1863</v>
      </c>
      <c r="M18" s="19" t="n">
        <v>2455</v>
      </c>
      <c r="N18" s="19" t="n">
        <v>1235</v>
      </c>
      <c r="O18" s="19" t="n">
        <v>1964</v>
      </c>
      <c r="P18" s="19" t="n">
        <v>2763</v>
      </c>
      <c r="Q18" s="19" t="n">
        <v>2407</v>
      </c>
      <c r="R18" s="19" t="n">
        <v>1522</v>
      </c>
      <c r="S18" s="19" t="n">
        <v>1074</v>
      </c>
      <c r="T18" s="84" t="n">
        <v>1255</v>
      </c>
      <c r="U18" s="20">
        <f>1941.5</f>
        <v/>
      </c>
      <c r="V18" s="20">
        <f>1941.5</f>
        <v/>
      </c>
      <c r="W18" s="20">
        <f>1941.5</f>
        <v/>
      </c>
      <c r="X18" s="20">
        <f>1941.5</f>
        <v/>
      </c>
      <c r="Y18" s="20">
        <f>1941.5</f>
        <v/>
      </c>
      <c r="Z18" s="20">
        <f>1941.5</f>
        <v/>
      </c>
      <c r="AA18" s="20">
        <f>1941.5</f>
        <v/>
      </c>
      <c r="AB18" s="20">
        <f>1941.5</f>
        <v/>
      </c>
      <c r="AC18" s="20">
        <f>1941.5</f>
        <v/>
      </c>
      <c r="AD18" s="20">
        <f>1941.5</f>
        <v/>
      </c>
      <c r="AE18" s="20">
        <f>1941.5</f>
        <v/>
      </c>
      <c r="AF18" s="20">
        <f>1941.5</f>
        <v/>
      </c>
      <c r="AG18" s="20">
        <f>1941.5</f>
        <v/>
      </c>
      <c r="AH18" s="20">
        <f>1941.5</f>
        <v/>
      </c>
      <c r="AI18" s="20">
        <f>1941.5</f>
        <v/>
      </c>
      <c r="AJ18" s="20">
        <f>1941.5</f>
        <v/>
      </c>
      <c r="AK18" s="20">
        <f>1941.5</f>
        <v/>
      </c>
      <c r="AL18" s="20">
        <f>1941.5</f>
        <v/>
      </c>
      <c r="AM18" s="20">
        <f>1941.5</f>
        <v/>
      </c>
      <c r="AN18" s="20">
        <f>1941.5</f>
        <v/>
      </c>
      <c r="AO18" s="20">
        <f>1941.5</f>
        <v/>
      </c>
      <c r="AP18" s="20">
        <f>1941.5</f>
        <v/>
      </c>
      <c r="AQ18" s="20">
        <f>1941.5</f>
        <v/>
      </c>
      <c r="AR18" s="20">
        <f>1941.5</f>
        <v/>
      </c>
      <c r="AS18" s="20">
        <f>1941.5</f>
        <v/>
      </c>
      <c r="AT18" s="20">
        <f>1941.5</f>
        <v/>
      </c>
      <c r="AU18" s="20">
        <f>1941.5</f>
        <v/>
      </c>
      <c r="AV18" s="20">
        <f>1941.5</f>
        <v/>
      </c>
      <c r="AW18" s="20">
        <f>1941.5</f>
        <v/>
      </c>
      <c r="AX18" s="20">
        <f>1941.5</f>
        <v/>
      </c>
      <c r="AY18" s="20">
        <f>1941.5</f>
        <v/>
      </c>
    </row>
    <row r="19">
      <c r="B19" s="33" t="inlineStr">
        <is>
          <t xml:space="preserve">  406000 Refunds</t>
        </is>
      </c>
      <c r="D19" s="19" t="n">
        <v>-385</v>
      </c>
      <c r="E19" s="19" t="n">
        <v>-58</v>
      </c>
      <c r="F19" s="19" t="n">
        <v>-1918</v>
      </c>
      <c r="G19" s="19" t="n">
        <v>-565</v>
      </c>
      <c r="H19" s="19" t="n">
        <v>-1870</v>
      </c>
      <c r="I19" s="19" t="n">
        <v>-3281</v>
      </c>
      <c r="J19" s="19" t="n">
        <v>-1484</v>
      </c>
      <c r="K19" s="19" t="n">
        <v>0</v>
      </c>
      <c r="L19" s="19" t="n">
        <v>-3722</v>
      </c>
      <c r="M19" s="19" t="n">
        <v>-1053</v>
      </c>
      <c r="N19" s="19" t="n">
        <v>-1318.5</v>
      </c>
      <c r="O19" s="19" t="n">
        <v>-1619.5</v>
      </c>
      <c r="P19" s="19" t="n">
        <v>4628.5</v>
      </c>
      <c r="Q19" s="19" t="n">
        <v>694.5</v>
      </c>
      <c r="R19" s="19" t="n">
        <v>2634.25</v>
      </c>
      <c r="S19" s="19" t="n">
        <v>160</v>
      </c>
      <c r="T19" s="84" t="n">
        <v>969</v>
      </c>
      <c r="U19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Forecast'!P17*Assumptions!$H$13+1941.5)*Assumptions!$C$17</f>
        <v/>
      </c>
      <c r="V19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Forecast'!P17*Assumptions!$I$13+1941.5)*Assumptions!$C$17</f>
        <v/>
      </c>
      <c r="W19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Forecast'!Q17*Assumptions!$I$13+1941.5)*Assumptions!$C$17</f>
        <v/>
      </c>
      <c r="X19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Forecast'!R17*Assumptions!$I$13+1941.5)*Assumptions!$C$17</f>
        <v/>
      </c>
      <c r="Y19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Forecast'!S17*Assumptions!$I$13+1941.5)*Assumptions!$C$17</f>
        <v/>
      </c>
      <c r="Z19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Forecast'!T17*Assumptions!$I$13+1941.5)*Assumptions!$C$17</f>
        <v/>
      </c>
      <c r="AA19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Forecast'!U17*Assumptions!$I$13+1941.5)*Assumptions!$C$17</f>
        <v/>
      </c>
      <c r="AB19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Forecast'!V17*Assumptions!$I$13+1941.5)*Assumptions!$C$17</f>
        <v/>
      </c>
      <c r="AC19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Forecast'!W17*Assumptions!$I$13+1941.5)*Assumptions!$C$17</f>
        <v/>
      </c>
      <c r="AD19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Forecast'!X17*Assumptions!$I$13+1941.5)*Assumptions!$C$17</f>
        <v/>
      </c>
      <c r="AE19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Forecast'!Y17*Assumptions!$I$13+1941.5)*Assumptions!$C$17</f>
        <v/>
      </c>
      <c r="AF19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Forecast'!Z17*Assumptions!$I$13+1941.5)*Assumptions!$C$17</f>
        <v/>
      </c>
      <c r="AG19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Forecast'!AA17*Assumptions!$I$13+1941.5)*Assumptions!$C$17</f>
        <v/>
      </c>
      <c r="AH19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Forecast'!AB17*Assumptions!$I$13+1941.5)*Assumptions!$C$17</f>
        <v/>
      </c>
      <c r="AI19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Forecast'!AC17*Assumptions!$I$13+1941.5)*Assumptions!$C$17</f>
        <v/>
      </c>
      <c r="AJ19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Forecast'!AD17*Assumptions!$I$13+1941.5)*Assumptions!$C$17</f>
        <v/>
      </c>
      <c r="AK19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Forecast'!AE17*Assumptions!$I$13+1941.5)*Assumptions!$C$17</f>
        <v/>
      </c>
      <c r="AL19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Forecast'!AF17*Assumptions!$I$13+1941.5)*Assumptions!$C$17</f>
        <v/>
      </c>
      <c r="AM19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Forecast'!AG17*Assumptions!$I$13+1941.5)*Assumptions!$C$17</f>
        <v/>
      </c>
      <c r="AN19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Forecast'!AH17*Assumptions!$I$13+1941.5)*Assumptions!$C$17</f>
        <v/>
      </c>
      <c r="AO19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Forecast'!AI17*Assumptions!$I$13+1941.5)*Assumptions!$C$17</f>
        <v/>
      </c>
      <c r="AP19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Forecast'!AJ17*Assumptions!$I$13+1941.5)*Assumptions!$C$17</f>
        <v/>
      </c>
      <c r="AQ19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Forecast'!AK17*Assumptions!$I$13+1941.5)*Assumptions!$C$17</f>
        <v/>
      </c>
      <c r="AR19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Forecast'!AL17*Assumptions!$I$13+1941.5)*Assumptions!$C$17</f>
        <v/>
      </c>
      <c r="AS19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Forecast'!AM17*Assumptions!$I$13+1941.5)*Assumptions!$C$17</f>
        <v/>
      </c>
      <c r="AT19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Forecast'!AN17*Assumptions!$I$13+1941.5)*Assumptions!$C$17</f>
        <v/>
      </c>
      <c r="AU19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Forecast'!AO17*Assumptions!$I$13+1941.5)*Assumptions!$C$17</f>
        <v/>
      </c>
      <c r="AV19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Forecast'!AP17*Assumptions!$I$13+1941.5)*Assumptions!$C$17</f>
        <v/>
      </c>
      <c r="AW19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Forecast'!AQ17*Assumptions!$I$13+1941.5)*Assumptions!$C$17</f>
        <v/>
      </c>
      <c r="AX19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Forecast'!AR17*Assumptions!$I$13+1941.5)*Assumptions!$C$17</f>
        <v/>
      </c>
      <c r="AY19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Forecast'!AS17*Assumptions!$I$13+1941.5)*Assumptions!$C$17</f>
        <v/>
      </c>
    </row>
    <row r="20">
      <c r="B20" s="33" t="inlineStr">
        <is>
          <t xml:space="preserve">  407000 Discounts</t>
        </is>
      </c>
      <c r="D20" s="19" t="n">
        <v>-11260.9</v>
      </c>
      <c r="E20" s="19" t="n">
        <v>-10833.7</v>
      </c>
      <c r="F20" s="19" t="n">
        <v>-13115.9</v>
      </c>
      <c r="G20" s="19" t="n">
        <v>-9269.83</v>
      </c>
      <c r="H20" s="19" t="n">
        <v>-8808</v>
      </c>
      <c r="I20" s="19" t="n">
        <v>-6955.6</v>
      </c>
      <c r="J20" s="19" t="n">
        <v>-3731.55</v>
      </c>
      <c r="K20" s="19" t="n">
        <v>-8091</v>
      </c>
      <c r="L20" s="19" t="n">
        <v>-8771.5</v>
      </c>
      <c r="M20" s="19" t="n">
        <v>-5432.72</v>
      </c>
      <c r="N20" s="19" t="n">
        <v>-5242.4</v>
      </c>
      <c r="O20" s="19" t="n">
        <v>-2693.2</v>
      </c>
      <c r="P20" s="19" t="n">
        <v>2292.4</v>
      </c>
      <c r="Q20" s="19" t="n">
        <v>4554.8</v>
      </c>
      <c r="R20" s="19" t="n">
        <v>4726.3</v>
      </c>
      <c r="S20" s="19" t="n">
        <v>3387.4</v>
      </c>
      <c r="T20" s="84" t="n">
        <v>2775.4</v>
      </c>
      <c r="U20" s="20">
        <f>('Sales Forecast'!U17*Assumptions!$C$12+'Sales Forecast'!T17*Assumptions!$D$12+'Sales Forecast'!S17*Assumptions!$E$12+'Sales Forecast'!R17*Assumptions!$F$12+'Sales Forecast'!Q17*Assumptions!$G$12+'Sales Forecast'!P17*Assumptions!$H$12+'Sales Forecast'!U17*Assumptions!$C$13+'Sales Forecast'!T17*Assumptions!$D$13+'Sales Forecast'!S17*Assumptions!$E$13+'Sales Forecast'!R17*Assumptions!$F$13+'Sales Forecast'!Q17*Assumptions!$G$13+'Sales Forecast'!P17*Assumptions!$H$13+1941.5)*Assumptions!$C$18</f>
        <v/>
      </c>
      <c r="V20" s="20">
        <f>('Sales Forecast'!V17*Assumptions!$C$12+'Sales Forecast'!U17*Assumptions!$D$12+'Sales Forecast'!T17*Assumptions!$E$12+'Sales Forecast'!S17*Assumptions!$F$12+'Sales Forecast'!R17*Assumptions!$G$12+'Sales Forecast'!Q17*Assumptions!$H$12+'Sales Forecast'!P17*Assumptions!$I$12+'Sales Forecast'!V17*Assumptions!$C$13+'Sales Forecast'!U17*Assumptions!$D$13+'Sales Forecast'!T17*Assumptions!$E$13+'Sales Forecast'!S17*Assumptions!$F$13+'Sales Forecast'!R17*Assumptions!$G$13+'Sales Forecast'!Q17*Assumptions!$H$13+'Sales Forecast'!P17*Assumptions!$I$13+1941.5)*Assumptions!$C$18</f>
        <v/>
      </c>
      <c r="W20" s="20">
        <f>('Sales Forecast'!W17*Assumptions!$C$12+'Sales Forecast'!V17*Assumptions!$D$12+'Sales Forecast'!U17*Assumptions!$E$12+'Sales Forecast'!T17*Assumptions!$F$12+'Sales Forecast'!S17*Assumptions!$G$12+'Sales Forecast'!R17*Assumptions!$H$12+'Sales Forecast'!Q17*Assumptions!$I$12+'Sales Forecast'!W17*Assumptions!$C$13+'Sales Forecast'!V17*Assumptions!$D$13+'Sales Forecast'!U17*Assumptions!$E$13+'Sales Forecast'!T17*Assumptions!$F$13+'Sales Forecast'!S17*Assumptions!$G$13+'Sales Forecast'!R17*Assumptions!$H$13+'Sales Forecast'!Q17*Assumptions!$I$13+1941.5)*Assumptions!$C$18</f>
        <v/>
      </c>
      <c r="X20" s="20">
        <f>('Sales Forecast'!X17*Assumptions!$C$12+'Sales Forecast'!W17*Assumptions!$D$12+'Sales Forecast'!V17*Assumptions!$E$12+'Sales Forecast'!U17*Assumptions!$F$12+'Sales Forecast'!T17*Assumptions!$G$12+'Sales Forecast'!S17*Assumptions!$H$12+'Sales Forecast'!R17*Assumptions!$I$12+'Sales Forecast'!X17*Assumptions!$C$13+'Sales Forecast'!W17*Assumptions!$D$13+'Sales Forecast'!V17*Assumptions!$E$13+'Sales Forecast'!U17*Assumptions!$F$13+'Sales Forecast'!T17*Assumptions!$G$13+'Sales Forecast'!S17*Assumptions!$H$13+'Sales Forecast'!R17*Assumptions!$I$13+1941.5)*Assumptions!$C$18</f>
        <v/>
      </c>
      <c r="Y20" s="20">
        <f>('Sales Forecast'!Y17*Assumptions!$C$12+'Sales Forecast'!X17*Assumptions!$D$12+'Sales Forecast'!W17*Assumptions!$E$12+'Sales Forecast'!V17*Assumptions!$F$12+'Sales Forecast'!U17*Assumptions!$G$12+'Sales Forecast'!T17*Assumptions!$H$12+'Sales Forecast'!S17*Assumptions!$I$12+'Sales Forecast'!Y17*Assumptions!$C$13+'Sales Forecast'!X17*Assumptions!$D$13+'Sales Forecast'!W17*Assumptions!$E$13+'Sales Forecast'!V17*Assumptions!$F$13+'Sales Forecast'!U17*Assumptions!$G$13+'Sales Forecast'!T17*Assumptions!$H$13+'Sales Forecast'!S17*Assumptions!$I$13+1941.5)*Assumptions!$C$18</f>
        <v/>
      </c>
      <c r="Z20" s="20">
        <f>('Sales Forecast'!Z17*Assumptions!$C$12+'Sales Forecast'!Y17*Assumptions!$D$12+'Sales Forecast'!X17*Assumptions!$E$12+'Sales Forecast'!W17*Assumptions!$F$12+'Sales Forecast'!V17*Assumptions!$G$12+'Sales Forecast'!U17*Assumptions!$H$12+'Sales Forecast'!T17*Assumptions!$I$12+'Sales Forecast'!Z17*Assumptions!$C$13+'Sales Forecast'!Y17*Assumptions!$D$13+'Sales Forecast'!X17*Assumptions!$E$13+'Sales Forecast'!W17*Assumptions!$F$13+'Sales Forecast'!V17*Assumptions!$G$13+'Sales Forecast'!U17*Assumptions!$H$13+'Sales Forecast'!T17*Assumptions!$I$13+1941.5)*Assumptions!$C$18</f>
        <v/>
      </c>
      <c r="AA20" s="20">
        <f>('Sales Forecast'!AA17*Assumptions!$C$12+'Sales Forecast'!Z17*Assumptions!$D$12+'Sales Forecast'!Y17*Assumptions!$E$12+'Sales Forecast'!X17*Assumptions!$F$12+'Sales Forecast'!W17*Assumptions!$G$12+'Sales Forecast'!V17*Assumptions!$H$12+'Sales Forecast'!U17*Assumptions!$I$12+'Sales Forecast'!AA17*Assumptions!$C$13+'Sales Forecast'!Z17*Assumptions!$D$13+'Sales Forecast'!Y17*Assumptions!$E$13+'Sales Forecast'!X17*Assumptions!$F$13+'Sales Forecast'!W17*Assumptions!$G$13+'Sales Forecast'!V17*Assumptions!$H$13+'Sales Forecast'!U17*Assumptions!$I$13+1941.5)*Assumptions!$C$18</f>
        <v/>
      </c>
      <c r="AB20" s="20">
        <f>('Sales Forecast'!AB17*Assumptions!$C$12+'Sales Forecast'!AA17*Assumptions!$D$12+'Sales Forecast'!Z17*Assumptions!$E$12+'Sales Forecast'!Y17*Assumptions!$F$12+'Sales Forecast'!X17*Assumptions!$G$12+'Sales Forecast'!W17*Assumptions!$H$12+'Sales Forecast'!V17*Assumptions!$I$12+'Sales Forecast'!AB17*Assumptions!$C$13+'Sales Forecast'!AA17*Assumptions!$D$13+'Sales Forecast'!Z17*Assumptions!$E$13+'Sales Forecast'!Y17*Assumptions!$F$13+'Sales Forecast'!X17*Assumptions!$G$13+'Sales Forecast'!W17*Assumptions!$H$13+'Sales Forecast'!V17*Assumptions!$I$13+1941.5)*Assumptions!$C$18</f>
        <v/>
      </c>
      <c r="AC20" s="20">
        <f>('Sales Forecast'!AC17*Assumptions!$C$12+'Sales Forecast'!AB17*Assumptions!$D$12+'Sales Forecast'!AA17*Assumptions!$E$12+'Sales Forecast'!Z17*Assumptions!$F$12+'Sales Forecast'!Y17*Assumptions!$G$12+'Sales Forecast'!X17*Assumptions!$H$12+'Sales Forecast'!W17*Assumptions!$I$12+'Sales Forecast'!AC17*Assumptions!$C$13+'Sales Forecast'!AB17*Assumptions!$D$13+'Sales Forecast'!AA17*Assumptions!$E$13+'Sales Forecast'!Z17*Assumptions!$F$13+'Sales Forecast'!Y17*Assumptions!$G$13+'Sales Forecast'!X17*Assumptions!$H$13+'Sales Forecast'!W17*Assumptions!$I$13+1941.5)*Assumptions!$C$18</f>
        <v/>
      </c>
      <c r="AD20" s="20">
        <f>('Sales Forecast'!AD17*Assumptions!$C$12+'Sales Forecast'!AC17*Assumptions!$D$12+'Sales Forecast'!AB17*Assumptions!$E$12+'Sales Forecast'!AA17*Assumptions!$F$12+'Sales Forecast'!Z17*Assumptions!$G$12+'Sales Forecast'!Y17*Assumptions!$H$12+'Sales Forecast'!X17*Assumptions!$I$12+'Sales Forecast'!AD17*Assumptions!$C$13+'Sales Forecast'!AC17*Assumptions!$D$13+'Sales Forecast'!AB17*Assumptions!$E$13+'Sales Forecast'!AA17*Assumptions!$F$13+'Sales Forecast'!Z17*Assumptions!$G$13+'Sales Forecast'!Y17*Assumptions!$H$13+'Sales Forecast'!X17*Assumptions!$I$13+1941.5)*Assumptions!$C$18</f>
        <v/>
      </c>
      <c r="AE20" s="20">
        <f>('Sales Forecast'!AE17*Assumptions!$C$12+'Sales Forecast'!AD17*Assumptions!$D$12+'Sales Forecast'!AC17*Assumptions!$E$12+'Sales Forecast'!AB17*Assumptions!$F$12+'Sales Forecast'!AA17*Assumptions!$G$12+'Sales Forecast'!Z17*Assumptions!$H$12+'Sales Forecast'!Y17*Assumptions!$I$12+'Sales Forecast'!AE17*Assumptions!$C$13+'Sales Forecast'!AD17*Assumptions!$D$13+'Sales Forecast'!AC17*Assumptions!$E$13+'Sales Forecast'!AB17*Assumptions!$F$13+'Sales Forecast'!AA17*Assumptions!$G$13+'Sales Forecast'!Z17*Assumptions!$H$13+'Sales Forecast'!Y17*Assumptions!$I$13+1941.5)*Assumptions!$C$18</f>
        <v/>
      </c>
      <c r="AF20" s="20">
        <f>('Sales Forecast'!AF17*Assumptions!$C$12+'Sales Forecast'!AE17*Assumptions!$D$12+'Sales Forecast'!AD17*Assumptions!$E$12+'Sales Forecast'!AC17*Assumptions!$F$12+'Sales Forecast'!AB17*Assumptions!$G$12+'Sales Forecast'!AA17*Assumptions!$H$12+'Sales Forecast'!Z17*Assumptions!$I$12+'Sales Forecast'!AF17*Assumptions!$C$13+'Sales Forecast'!AE17*Assumptions!$D$13+'Sales Forecast'!AD17*Assumptions!$E$13+'Sales Forecast'!AC17*Assumptions!$F$13+'Sales Forecast'!AB17*Assumptions!$G$13+'Sales Forecast'!AA17*Assumptions!$H$13+'Sales Forecast'!Z17*Assumptions!$I$13+1941.5)*Assumptions!$C$18</f>
        <v/>
      </c>
      <c r="AG20" s="20">
        <f>('Sales Forecast'!AG17*Assumptions!$C$12+'Sales Forecast'!AF17*Assumptions!$D$12+'Sales Forecast'!AE17*Assumptions!$E$12+'Sales Forecast'!AD17*Assumptions!$F$12+'Sales Forecast'!AC17*Assumptions!$G$12+'Sales Forecast'!AB17*Assumptions!$H$12+'Sales Forecast'!AA17*Assumptions!$I$12+'Sales Forecast'!AG17*Assumptions!$C$13+'Sales Forecast'!AF17*Assumptions!$D$13+'Sales Forecast'!AE17*Assumptions!$E$13+'Sales Forecast'!AD17*Assumptions!$F$13+'Sales Forecast'!AC17*Assumptions!$G$13+'Sales Forecast'!AB17*Assumptions!$H$13+'Sales Forecast'!AA17*Assumptions!$I$13+1941.5)*Assumptions!$C$18</f>
        <v/>
      </c>
      <c r="AH20" s="20">
        <f>('Sales Forecast'!AH17*Assumptions!$C$12+'Sales Forecast'!AG17*Assumptions!$D$12+'Sales Forecast'!AF17*Assumptions!$E$12+'Sales Forecast'!AE17*Assumptions!$F$12+'Sales Forecast'!AD17*Assumptions!$G$12+'Sales Forecast'!AC17*Assumptions!$H$12+'Sales Forecast'!AB17*Assumptions!$I$12+'Sales Forecast'!AH17*Assumptions!$C$13+'Sales Forecast'!AG17*Assumptions!$D$13+'Sales Forecast'!AF17*Assumptions!$E$13+'Sales Forecast'!AE17*Assumptions!$F$13+'Sales Forecast'!AD17*Assumptions!$G$13+'Sales Forecast'!AC17*Assumptions!$H$13+'Sales Forecast'!AB17*Assumptions!$I$13+1941.5)*Assumptions!$C$18</f>
        <v/>
      </c>
      <c r="AI20" s="20">
        <f>('Sales Forecast'!AI17*Assumptions!$C$12+'Sales Forecast'!AH17*Assumptions!$D$12+'Sales Forecast'!AG17*Assumptions!$E$12+'Sales Forecast'!AF17*Assumptions!$F$12+'Sales Forecast'!AE17*Assumptions!$G$12+'Sales Forecast'!AD17*Assumptions!$H$12+'Sales Forecast'!AC17*Assumptions!$I$12+'Sales Forecast'!AI17*Assumptions!$C$13+'Sales Forecast'!AH17*Assumptions!$D$13+'Sales Forecast'!AG17*Assumptions!$E$13+'Sales Forecast'!AF17*Assumptions!$F$13+'Sales Forecast'!AE17*Assumptions!$G$13+'Sales Forecast'!AD17*Assumptions!$H$13+'Sales Forecast'!AC17*Assumptions!$I$13+1941.5)*Assumptions!$C$18</f>
        <v/>
      </c>
      <c r="AJ20" s="20">
        <f>('Sales Forecast'!AJ17*Assumptions!$C$12+'Sales Forecast'!AI17*Assumptions!$D$12+'Sales Forecast'!AH17*Assumptions!$E$12+'Sales Forecast'!AG17*Assumptions!$F$12+'Sales Forecast'!AF17*Assumptions!$G$12+'Sales Forecast'!AE17*Assumptions!$H$12+'Sales Forecast'!AD17*Assumptions!$I$12+'Sales Forecast'!AJ17*Assumptions!$C$13+'Sales Forecast'!AI17*Assumptions!$D$13+'Sales Forecast'!AH17*Assumptions!$E$13+'Sales Forecast'!AG17*Assumptions!$F$13+'Sales Forecast'!AF17*Assumptions!$G$13+'Sales Forecast'!AE17*Assumptions!$H$13+'Sales Forecast'!AD17*Assumptions!$I$13+1941.5)*Assumptions!$C$18</f>
        <v/>
      </c>
      <c r="AK20" s="20">
        <f>('Sales Forecast'!AK17*Assumptions!$C$12+'Sales Forecast'!AJ17*Assumptions!$D$12+'Sales Forecast'!AI17*Assumptions!$E$12+'Sales Forecast'!AH17*Assumptions!$F$12+'Sales Forecast'!AG17*Assumptions!$G$12+'Sales Forecast'!AF17*Assumptions!$H$12+'Sales Forecast'!AE17*Assumptions!$I$12+'Sales Forecast'!AK17*Assumptions!$C$13+'Sales Forecast'!AJ17*Assumptions!$D$13+'Sales Forecast'!AI17*Assumptions!$E$13+'Sales Forecast'!AH17*Assumptions!$F$13+'Sales Forecast'!AG17*Assumptions!$G$13+'Sales Forecast'!AF17*Assumptions!$H$13+'Sales Forecast'!AE17*Assumptions!$I$13+1941.5)*Assumptions!$C$18</f>
        <v/>
      </c>
      <c r="AL20" s="20">
        <f>('Sales Forecast'!AL17*Assumptions!$C$12+'Sales Forecast'!AK17*Assumptions!$D$12+'Sales Forecast'!AJ17*Assumptions!$E$12+'Sales Forecast'!AI17*Assumptions!$F$12+'Sales Forecast'!AH17*Assumptions!$G$12+'Sales Forecast'!AG17*Assumptions!$H$12+'Sales Forecast'!AF17*Assumptions!$I$12+'Sales Forecast'!AL17*Assumptions!$C$13+'Sales Forecast'!AK17*Assumptions!$D$13+'Sales Forecast'!AJ17*Assumptions!$E$13+'Sales Forecast'!AI17*Assumptions!$F$13+'Sales Forecast'!AH17*Assumptions!$G$13+'Sales Forecast'!AG17*Assumptions!$H$13+'Sales Forecast'!AF17*Assumptions!$I$13+1941.5)*Assumptions!$C$18</f>
        <v/>
      </c>
      <c r="AM20" s="20">
        <f>('Sales Forecast'!AM17*Assumptions!$C$12+'Sales Forecast'!AL17*Assumptions!$D$12+'Sales Forecast'!AK17*Assumptions!$E$12+'Sales Forecast'!AJ17*Assumptions!$F$12+'Sales Forecast'!AI17*Assumptions!$G$12+'Sales Forecast'!AH17*Assumptions!$H$12+'Sales Forecast'!AG17*Assumptions!$I$12+'Sales Forecast'!AM17*Assumptions!$C$13+'Sales Forecast'!AL17*Assumptions!$D$13+'Sales Forecast'!AK17*Assumptions!$E$13+'Sales Forecast'!AJ17*Assumptions!$F$13+'Sales Forecast'!AI17*Assumptions!$G$13+'Sales Forecast'!AH17*Assumptions!$H$13+'Sales Forecast'!AG17*Assumptions!$I$13+1941.5)*Assumptions!$C$18</f>
        <v/>
      </c>
      <c r="AN20" s="20">
        <f>('Sales Forecast'!AN17*Assumptions!$C$12+'Sales Forecast'!AM17*Assumptions!$D$12+'Sales Forecast'!AL17*Assumptions!$E$12+'Sales Forecast'!AK17*Assumptions!$F$12+'Sales Forecast'!AJ17*Assumptions!$G$12+'Sales Forecast'!AI17*Assumptions!$H$12+'Sales Forecast'!AH17*Assumptions!$I$12+'Sales Forecast'!AN17*Assumptions!$C$13+'Sales Forecast'!AM17*Assumptions!$D$13+'Sales Forecast'!AL17*Assumptions!$E$13+'Sales Forecast'!AK17*Assumptions!$F$13+'Sales Forecast'!AJ17*Assumptions!$G$13+'Sales Forecast'!AI17*Assumptions!$H$13+'Sales Forecast'!AH17*Assumptions!$I$13+1941.5)*Assumptions!$C$18</f>
        <v/>
      </c>
      <c r="AO20" s="20">
        <f>('Sales Forecast'!AO17*Assumptions!$C$12+'Sales Forecast'!AN17*Assumptions!$D$12+'Sales Forecast'!AM17*Assumptions!$E$12+'Sales Forecast'!AL17*Assumptions!$F$12+'Sales Forecast'!AK17*Assumptions!$G$12+'Sales Forecast'!AJ17*Assumptions!$H$12+'Sales Forecast'!AI17*Assumptions!$I$12+'Sales Forecast'!AO17*Assumptions!$C$13+'Sales Forecast'!AN17*Assumptions!$D$13+'Sales Forecast'!AM17*Assumptions!$E$13+'Sales Forecast'!AL17*Assumptions!$F$13+'Sales Forecast'!AK17*Assumptions!$G$13+'Sales Forecast'!AJ17*Assumptions!$H$13+'Sales Forecast'!AI17*Assumptions!$I$13+1941.5)*Assumptions!$C$18</f>
        <v/>
      </c>
      <c r="AP20" s="20">
        <f>('Sales Forecast'!AP17*Assumptions!$C$12+'Sales Forecast'!AO17*Assumptions!$D$12+'Sales Forecast'!AN17*Assumptions!$E$12+'Sales Forecast'!AM17*Assumptions!$F$12+'Sales Forecast'!AL17*Assumptions!$G$12+'Sales Forecast'!AK17*Assumptions!$H$12+'Sales Forecast'!AJ17*Assumptions!$I$12+'Sales Forecast'!AP17*Assumptions!$C$13+'Sales Forecast'!AO17*Assumptions!$D$13+'Sales Forecast'!AN17*Assumptions!$E$13+'Sales Forecast'!AM17*Assumptions!$F$13+'Sales Forecast'!AL17*Assumptions!$G$13+'Sales Forecast'!AK17*Assumptions!$H$13+'Sales Forecast'!AJ17*Assumptions!$I$13+1941.5)*Assumptions!$C$18</f>
        <v/>
      </c>
      <c r="AQ20" s="20">
        <f>('Sales Forecast'!AQ17*Assumptions!$C$12+'Sales Forecast'!AP17*Assumptions!$D$12+'Sales Forecast'!AO17*Assumptions!$E$12+'Sales Forecast'!AN17*Assumptions!$F$12+'Sales Forecast'!AM17*Assumptions!$G$12+'Sales Forecast'!AL17*Assumptions!$H$12+'Sales Forecast'!AK17*Assumptions!$I$12+'Sales Forecast'!AQ17*Assumptions!$C$13+'Sales Forecast'!AP17*Assumptions!$D$13+'Sales Forecast'!AO17*Assumptions!$E$13+'Sales Forecast'!AN17*Assumptions!$F$13+'Sales Forecast'!AM17*Assumptions!$G$13+'Sales Forecast'!AL17*Assumptions!$H$13+'Sales Forecast'!AK17*Assumptions!$I$13+1941.5)*Assumptions!$C$18</f>
        <v/>
      </c>
      <c r="AR20" s="20">
        <f>('Sales Forecast'!AR17*Assumptions!$C$12+'Sales Forecast'!AQ17*Assumptions!$D$12+'Sales Forecast'!AP17*Assumptions!$E$12+'Sales Forecast'!AO17*Assumptions!$F$12+'Sales Forecast'!AN17*Assumptions!$G$12+'Sales Forecast'!AM17*Assumptions!$H$12+'Sales Forecast'!AL17*Assumptions!$I$12+'Sales Forecast'!AR17*Assumptions!$C$13+'Sales Forecast'!AQ17*Assumptions!$D$13+'Sales Forecast'!AP17*Assumptions!$E$13+'Sales Forecast'!AO17*Assumptions!$F$13+'Sales Forecast'!AN17*Assumptions!$G$13+'Sales Forecast'!AM17*Assumptions!$H$13+'Sales Forecast'!AL17*Assumptions!$I$13+1941.5)*Assumptions!$C$18</f>
        <v/>
      </c>
      <c r="AS20" s="20">
        <f>('Sales Forecast'!AS17*Assumptions!$C$12+'Sales Forecast'!AR17*Assumptions!$D$12+'Sales Forecast'!AQ17*Assumptions!$E$12+'Sales Forecast'!AP17*Assumptions!$F$12+'Sales Forecast'!AO17*Assumptions!$G$12+'Sales Forecast'!AN17*Assumptions!$H$12+'Sales Forecast'!AM17*Assumptions!$I$12+'Sales Forecast'!AS17*Assumptions!$C$13+'Sales Forecast'!AR17*Assumptions!$D$13+'Sales Forecast'!AQ17*Assumptions!$E$13+'Sales Forecast'!AP17*Assumptions!$F$13+'Sales Forecast'!AO17*Assumptions!$G$13+'Sales Forecast'!AN17*Assumptions!$H$13+'Sales Forecast'!AM17*Assumptions!$I$13+1941.5)*Assumptions!$C$18</f>
        <v/>
      </c>
      <c r="AT20" s="20">
        <f>('Sales Forecast'!AT17*Assumptions!$C$12+'Sales Forecast'!AS17*Assumptions!$D$12+'Sales Forecast'!AR17*Assumptions!$E$12+'Sales Forecast'!AQ17*Assumptions!$F$12+'Sales Forecast'!AP17*Assumptions!$G$12+'Sales Forecast'!AO17*Assumptions!$H$12+'Sales Forecast'!AN17*Assumptions!$I$12+'Sales Forecast'!AT17*Assumptions!$C$13+'Sales Forecast'!AS17*Assumptions!$D$13+'Sales Forecast'!AR17*Assumptions!$E$13+'Sales Forecast'!AQ17*Assumptions!$F$13+'Sales Forecast'!AP17*Assumptions!$G$13+'Sales Forecast'!AO17*Assumptions!$H$13+'Sales Forecast'!AN17*Assumptions!$I$13+1941.5)*Assumptions!$C$18</f>
        <v/>
      </c>
      <c r="AU20" s="20">
        <f>('Sales Forecast'!AU17*Assumptions!$C$12+'Sales Forecast'!AT17*Assumptions!$D$12+'Sales Forecast'!AS17*Assumptions!$E$12+'Sales Forecast'!AR17*Assumptions!$F$12+'Sales Forecast'!AQ17*Assumptions!$G$12+'Sales Forecast'!AP17*Assumptions!$H$12+'Sales Forecast'!AO17*Assumptions!$I$12+'Sales Forecast'!AU17*Assumptions!$C$13+'Sales Forecast'!AT17*Assumptions!$D$13+'Sales Forecast'!AS17*Assumptions!$E$13+'Sales Forecast'!AR17*Assumptions!$F$13+'Sales Forecast'!AQ17*Assumptions!$G$13+'Sales Forecast'!AP17*Assumptions!$H$13+'Sales Forecast'!AO17*Assumptions!$I$13+1941.5)*Assumptions!$C$18</f>
        <v/>
      </c>
      <c r="AV20" s="20">
        <f>('Sales Forecast'!AV17*Assumptions!$C$12+'Sales Forecast'!AU17*Assumptions!$D$12+'Sales Forecast'!AT17*Assumptions!$E$12+'Sales Forecast'!AS17*Assumptions!$F$12+'Sales Forecast'!AR17*Assumptions!$G$12+'Sales Forecast'!AQ17*Assumptions!$H$12+'Sales Forecast'!AP17*Assumptions!$I$12+'Sales Forecast'!AV17*Assumptions!$C$13+'Sales Forecast'!AU17*Assumptions!$D$13+'Sales Forecast'!AT17*Assumptions!$E$13+'Sales Forecast'!AS17*Assumptions!$F$13+'Sales Forecast'!AR17*Assumptions!$G$13+'Sales Forecast'!AQ17*Assumptions!$H$13+'Sales Forecast'!AP17*Assumptions!$I$13+1941.5)*Assumptions!$C$18</f>
        <v/>
      </c>
      <c r="AW20" s="20">
        <f>('Sales Forecast'!AW17*Assumptions!$C$12+'Sales Forecast'!AV17*Assumptions!$D$12+'Sales Forecast'!AU17*Assumptions!$E$12+'Sales Forecast'!AT17*Assumptions!$F$12+'Sales Forecast'!AS17*Assumptions!$G$12+'Sales Forecast'!AR17*Assumptions!$H$12+'Sales Forecast'!AQ17*Assumptions!$I$12+'Sales Forecast'!AW17*Assumptions!$C$13+'Sales Forecast'!AV17*Assumptions!$D$13+'Sales Forecast'!AU17*Assumptions!$E$13+'Sales Forecast'!AT17*Assumptions!$F$13+'Sales Forecast'!AS17*Assumptions!$G$13+'Sales Forecast'!AR17*Assumptions!$H$13+'Sales Forecast'!AQ17*Assumptions!$I$13+1941.5)*Assumptions!$C$18</f>
        <v/>
      </c>
      <c r="AX20" s="20">
        <f>('Sales Forecast'!AX17*Assumptions!$C$12+'Sales Forecast'!AW17*Assumptions!$D$12+'Sales Forecast'!AV17*Assumptions!$E$12+'Sales Forecast'!AU17*Assumptions!$F$12+'Sales Forecast'!AT17*Assumptions!$G$12+'Sales Forecast'!AS17*Assumptions!$H$12+'Sales Forecast'!AR17*Assumptions!$I$12+'Sales Forecast'!AX17*Assumptions!$C$13+'Sales Forecast'!AW17*Assumptions!$D$13+'Sales Forecast'!AV17*Assumptions!$E$13+'Sales Forecast'!AU17*Assumptions!$F$13+'Sales Forecast'!AT17*Assumptions!$G$13+'Sales Forecast'!AS17*Assumptions!$H$13+'Sales Forecast'!AR17*Assumptions!$I$13+1941.5)*Assumptions!$C$18</f>
        <v/>
      </c>
      <c r="AY20" s="20">
        <f>('Sales Forecast'!AY17*Assumptions!$C$12+'Sales Forecast'!AX17*Assumptions!$D$12+'Sales Forecast'!AW17*Assumptions!$E$12+'Sales Forecast'!AV17*Assumptions!$F$12+'Sales Forecast'!AU17*Assumptions!$G$12+'Sales Forecast'!AT17*Assumptions!$H$12+'Sales Forecast'!AS17*Assumptions!$I$12+'Sales Forecast'!AY17*Assumptions!$C$13+'Sales Forecast'!AX17*Assumptions!$D$13+'Sales Forecast'!AW17*Assumptions!$E$13+'Sales Forecast'!AV17*Assumptions!$F$13+'Sales Forecast'!AU17*Assumptions!$G$13+'Sales Forecast'!AT17*Assumptions!$H$13+'Sales Forecast'!AS17*Assumptions!$I$13+1941.5)*Assumptions!$C$18</f>
        <v/>
      </c>
    </row>
    <row r="21">
      <c r="B21" s="32" t="inlineStr">
        <is>
          <t>TOTAL REVENUE</t>
        </is>
      </c>
      <c r="C21" s="34" t="n"/>
      <c r="D21" s="35" t="n">
        <v>64463.02999999999</v>
      </c>
      <c r="E21" s="35" t="n">
        <v>79792.51000000001</v>
      </c>
      <c r="F21" s="35" t="n">
        <v>97840.41</v>
      </c>
      <c r="G21" s="35" t="n">
        <v>83903.77</v>
      </c>
      <c r="H21" s="35" t="n">
        <v>78473.75</v>
      </c>
      <c r="I21" s="35" t="n">
        <v>74619.28</v>
      </c>
      <c r="J21" s="35" t="n">
        <v>89249.84</v>
      </c>
      <c r="K21" s="35" t="n">
        <v>69295.19</v>
      </c>
      <c r="L21" s="35" t="n">
        <v>61491.32000000001</v>
      </c>
      <c r="M21" s="35" t="n">
        <v>72451.08</v>
      </c>
      <c r="N21" s="35" t="n">
        <v>63966.4</v>
      </c>
      <c r="O21" s="35" t="n">
        <v>73183.51000000001</v>
      </c>
      <c r="P21" s="35" t="n">
        <v>78362.16</v>
      </c>
      <c r="Q21" s="35" t="n">
        <v>79199.81000000001</v>
      </c>
      <c r="R21" s="35" t="n">
        <v>63688.39</v>
      </c>
      <c r="S21" s="35" t="n">
        <v>61485.03</v>
      </c>
      <c r="T21" s="85" t="n">
        <v>78312.85000000001</v>
      </c>
      <c r="U21" s="17">
        <f>U13+U17+U18+U19+U20</f>
        <v/>
      </c>
      <c r="V21" s="17">
        <f>V13+V17+V18+V19+V20</f>
        <v/>
      </c>
      <c r="W21" s="17">
        <f>W13+W17+W18+W19+W20</f>
        <v/>
      </c>
      <c r="X21" s="17">
        <f>X13+X17+X18+X19+X20</f>
        <v/>
      </c>
      <c r="Y21" s="17">
        <f>Y13+Y17+Y18+Y19+Y20</f>
        <v/>
      </c>
      <c r="Z21" s="17">
        <f>Z13+Z17+Z18+Z19+Z20</f>
        <v/>
      </c>
      <c r="AA21" s="17">
        <f>AA13+AA17+AA18+AA19+AA20</f>
        <v/>
      </c>
      <c r="AB21" s="17">
        <f>AB13+AB17+AB18+AB19+AB20</f>
        <v/>
      </c>
      <c r="AC21" s="17">
        <f>AC13+AC17+AC18+AC19+AC20</f>
        <v/>
      </c>
      <c r="AD21" s="17">
        <f>AD13+AD17+AD18+AD19+AD20</f>
        <v/>
      </c>
      <c r="AE21" s="17">
        <f>AE13+AE17+AE18+AE19+AE20</f>
        <v/>
      </c>
      <c r="AF21" s="17">
        <f>AF13+AF17+AF18+AF19+AF20</f>
        <v/>
      </c>
      <c r="AG21" s="17">
        <f>AG13+AG17+AG18+AG19+AG20</f>
        <v/>
      </c>
      <c r="AH21" s="17">
        <f>AH13+AH17+AH18+AH19+AH20</f>
        <v/>
      </c>
      <c r="AI21" s="17">
        <f>AI13+AI17+AI18+AI19+AI20</f>
        <v/>
      </c>
      <c r="AJ21" s="17">
        <f>AJ13+AJ17+AJ18+AJ19+AJ20</f>
        <v/>
      </c>
      <c r="AK21" s="17">
        <f>AK13+AK17+AK18+AK19+AK20</f>
        <v/>
      </c>
      <c r="AL21" s="17">
        <f>AL13+AL17+AL18+AL19+AL20</f>
        <v/>
      </c>
      <c r="AM21" s="17">
        <f>AM13+AM17+AM18+AM19+AM20</f>
        <v/>
      </c>
      <c r="AN21" s="17">
        <f>AN13+AN17+AN18+AN19+AN20</f>
        <v/>
      </c>
      <c r="AO21" s="17">
        <f>AO13+AO17+AO18+AO19+AO20</f>
        <v/>
      </c>
      <c r="AP21" s="17">
        <f>AP13+AP17+AP18+AP19+AP20</f>
        <v/>
      </c>
      <c r="AQ21" s="17">
        <f>AQ13+AQ17+AQ18+AQ19+AQ20</f>
        <v/>
      </c>
      <c r="AR21" s="17">
        <f>AR13+AR17+AR18+AR19+AR20</f>
        <v/>
      </c>
      <c r="AS21" s="17">
        <f>AS13+AS17+AS18+AS19+AS20</f>
        <v/>
      </c>
      <c r="AT21" s="17">
        <f>AT13+AT17+AT18+AT19+AT20</f>
        <v/>
      </c>
      <c r="AU21" s="17">
        <f>AU13+AU17+AU18+AU19+AU20</f>
        <v/>
      </c>
      <c r="AV21" s="17">
        <f>AV13+AV17+AV18+AV19+AV20</f>
        <v/>
      </c>
      <c r="AW21" s="17">
        <f>AW13+AW17+AW18+AW19+AW20</f>
        <v/>
      </c>
      <c r="AX21" s="17">
        <f>AX13+AX17+AX18+AX19+AX20</f>
        <v/>
      </c>
      <c r="AY21" s="17">
        <f>AY13+AY17+AY18+AY19+AY20</f>
        <v/>
      </c>
    </row>
    <row r="22" ht="16.05" customHeight="1" s="142">
      <c r="B22" s="10" t="inlineStr">
        <is>
          <t>COST OF GOODS SOLD</t>
        </is>
      </c>
      <c r="C22" s="11" t="n"/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</row>
    <row r="23">
      <c r="B23" s="33" t="inlineStr">
        <is>
          <t xml:space="preserve">  501000 Product Cost</t>
        </is>
      </c>
      <c r="D23" s="19" t="n">
        <v>2799.5</v>
      </c>
      <c r="E23" s="19" t="n">
        <v>1557.5</v>
      </c>
      <c r="F23" s="19" t="n">
        <v>1159.5</v>
      </c>
      <c r="G23" s="19" t="n">
        <v>1021.25</v>
      </c>
      <c r="H23" s="19" t="n">
        <v>1015</v>
      </c>
      <c r="I23" s="19" t="n">
        <v>839</v>
      </c>
      <c r="J23" s="19" t="n">
        <v>1382</v>
      </c>
      <c r="K23" s="19" t="n">
        <v>1147.25</v>
      </c>
      <c r="L23" s="19" t="n">
        <v>933</v>
      </c>
      <c r="M23" s="19" t="n">
        <v>1188</v>
      </c>
      <c r="N23" s="19" t="n">
        <v>614</v>
      </c>
      <c r="O23" s="19" t="n">
        <v>915</v>
      </c>
      <c r="P23" s="19" t="n">
        <v>1291.5</v>
      </c>
      <c r="Q23" s="19" t="n">
        <v>1155</v>
      </c>
      <c r="R23" s="19" t="n">
        <v>743.5</v>
      </c>
      <c r="S23" s="19" t="n">
        <v>538.5</v>
      </c>
      <c r="T23" s="84" t="n">
        <v>627</v>
      </c>
      <c r="U23" s="20">
        <f>U21*Assumptions!$C$20</f>
        <v/>
      </c>
      <c r="V23" s="20">
        <f>V21*Assumptions!$C$20</f>
        <v/>
      </c>
      <c r="W23" s="20">
        <f>W21*Assumptions!$C$20</f>
        <v/>
      </c>
      <c r="X23" s="20">
        <f>X21*Assumptions!$C$20</f>
        <v/>
      </c>
      <c r="Y23" s="20">
        <f>Y21*Assumptions!$C$20</f>
        <v/>
      </c>
      <c r="Z23" s="20">
        <f>Z21*Assumptions!$C$20</f>
        <v/>
      </c>
      <c r="AA23" s="20">
        <f>AA21*Assumptions!$C$20</f>
        <v/>
      </c>
      <c r="AB23" s="20">
        <f>AB21*Assumptions!$C$20</f>
        <v/>
      </c>
      <c r="AC23" s="20">
        <f>AC21*Assumptions!$C$20</f>
        <v/>
      </c>
      <c r="AD23" s="20">
        <f>AD21*Assumptions!$C$20</f>
        <v/>
      </c>
      <c r="AE23" s="20">
        <f>AE21*Assumptions!$C$20</f>
        <v/>
      </c>
      <c r="AF23" s="20">
        <f>AF21*Assumptions!$C$20</f>
        <v/>
      </c>
      <c r="AG23" s="20">
        <f>AG21*Assumptions!$C$20</f>
        <v/>
      </c>
      <c r="AH23" s="20">
        <f>AH21*Assumptions!$C$20</f>
        <v/>
      </c>
      <c r="AI23" s="20">
        <f>AI21*Assumptions!$C$20</f>
        <v/>
      </c>
      <c r="AJ23" s="20">
        <f>AJ21*Assumptions!$C$20</f>
        <v/>
      </c>
      <c r="AK23" s="20">
        <f>AK21*Assumptions!$C$20</f>
        <v/>
      </c>
      <c r="AL23" s="20">
        <f>AL21*Assumptions!$C$20</f>
        <v/>
      </c>
      <c r="AM23" s="20">
        <f>AM21*Assumptions!$C$20</f>
        <v/>
      </c>
      <c r="AN23" s="20">
        <f>AN21*Assumptions!$C$20</f>
        <v/>
      </c>
      <c r="AO23" s="20">
        <f>AO21*Assumptions!$C$20</f>
        <v/>
      </c>
      <c r="AP23" s="20">
        <f>AP21*Assumptions!$C$20</f>
        <v/>
      </c>
      <c r="AQ23" s="20">
        <f>AQ21*Assumptions!$C$20</f>
        <v/>
      </c>
      <c r="AR23" s="20">
        <f>AR21*Assumptions!$C$20</f>
        <v/>
      </c>
      <c r="AS23" s="20">
        <f>AS21*Assumptions!$C$20</f>
        <v/>
      </c>
      <c r="AT23" s="20">
        <f>AT21*Assumptions!$C$20</f>
        <v/>
      </c>
      <c r="AU23" s="20">
        <f>AU21*Assumptions!$C$20</f>
        <v/>
      </c>
      <c r="AV23" s="20">
        <f>AV21*Assumptions!$C$20</f>
        <v/>
      </c>
      <c r="AW23" s="20">
        <f>AW21*Assumptions!$C$20</f>
        <v/>
      </c>
      <c r="AX23" s="20">
        <f>AX21*Assumptions!$C$20</f>
        <v/>
      </c>
      <c r="AY23" s="20">
        <f>AY21*Assumptions!$C$20</f>
        <v/>
      </c>
    </row>
    <row r="24">
      <c r="B24" s="33" t="inlineStr">
        <is>
          <t xml:space="preserve">  506000 Merchant Account Fees</t>
        </is>
      </c>
      <c r="D24" s="19" t="n">
        <v>2921.69</v>
      </c>
      <c r="E24" s="19" t="n">
        <v>2096.46</v>
      </c>
      <c r="F24" s="19" t="n">
        <v>2432.33</v>
      </c>
      <c r="G24" s="19" t="n">
        <v>1768.34</v>
      </c>
      <c r="H24" s="19" t="n">
        <v>2119.79</v>
      </c>
      <c r="I24" s="19" t="n">
        <v>2070.91</v>
      </c>
      <c r="J24" s="19" t="n">
        <v>2121.41</v>
      </c>
      <c r="K24" s="19" t="n">
        <v>1369.72</v>
      </c>
      <c r="L24" s="19" t="n">
        <v>2153.23</v>
      </c>
      <c r="M24" s="19" t="n">
        <v>1736.16</v>
      </c>
      <c r="N24" s="19" t="n">
        <v>1871.58</v>
      </c>
      <c r="O24" s="19" t="n">
        <v>1686.79</v>
      </c>
      <c r="P24" s="19" t="n">
        <v>1953.48</v>
      </c>
      <c r="Q24" s="19" t="n">
        <v>1708.35</v>
      </c>
      <c r="R24" s="19" t="n">
        <v>1947.17</v>
      </c>
      <c r="S24" s="19" t="n">
        <v>1189.07</v>
      </c>
      <c r="T24" s="84" t="n">
        <v>1424.49</v>
      </c>
      <c r="U24" s="20">
        <f>U21*Assumptions!$C$19</f>
        <v/>
      </c>
      <c r="V24" s="20">
        <f>V21*Assumptions!$C$19</f>
        <v/>
      </c>
      <c r="W24" s="20">
        <f>W21*Assumptions!$C$19</f>
        <v/>
      </c>
      <c r="X24" s="20">
        <f>X21*Assumptions!$C$19</f>
        <v/>
      </c>
      <c r="Y24" s="20">
        <f>Y21*Assumptions!$C$19</f>
        <v/>
      </c>
      <c r="Z24" s="20">
        <f>Z21*Assumptions!$C$19</f>
        <v/>
      </c>
      <c r="AA24" s="20">
        <f>AA21*Assumptions!$C$19</f>
        <v/>
      </c>
      <c r="AB24" s="20">
        <f>AB21*Assumptions!$C$19</f>
        <v/>
      </c>
      <c r="AC24" s="20">
        <f>AC21*Assumptions!$C$19</f>
        <v/>
      </c>
      <c r="AD24" s="20">
        <f>AD21*Assumptions!$C$19</f>
        <v/>
      </c>
      <c r="AE24" s="20">
        <f>AE21*Assumptions!$C$19</f>
        <v/>
      </c>
      <c r="AF24" s="20">
        <f>AF21*Assumptions!$C$19</f>
        <v/>
      </c>
      <c r="AG24" s="20">
        <f>AG21*Assumptions!$C$19</f>
        <v/>
      </c>
      <c r="AH24" s="20">
        <f>AH21*Assumptions!$C$19</f>
        <v/>
      </c>
      <c r="AI24" s="20">
        <f>AI21*Assumptions!$C$19</f>
        <v/>
      </c>
      <c r="AJ24" s="20">
        <f>AJ21*Assumptions!$C$19</f>
        <v/>
      </c>
      <c r="AK24" s="20">
        <f>AK21*Assumptions!$C$19</f>
        <v/>
      </c>
      <c r="AL24" s="20">
        <f>AL21*Assumptions!$C$19</f>
        <v/>
      </c>
      <c r="AM24" s="20">
        <f>AM21*Assumptions!$C$19</f>
        <v/>
      </c>
      <c r="AN24" s="20">
        <f>AN21*Assumptions!$C$19</f>
        <v/>
      </c>
      <c r="AO24" s="20">
        <f>AO21*Assumptions!$C$19</f>
        <v/>
      </c>
      <c r="AP24" s="20">
        <f>AP21*Assumptions!$C$19</f>
        <v/>
      </c>
      <c r="AQ24" s="20">
        <f>AQ21*Assumptions!$C$19</f>
        <v/>
      </c>
      <c r="AR24" s="20">
        <f>AR21*Assumptions!$C$19</f>
        <v/>
      </c>
      <c r="AS24" s="20">
        <f>AS21*Assumptions!$C$19</f>
        <v/>
      </c>
      <c r="AT24" s="20">
        <f>AT21*Assumptions!$C$19</f>
        <v/>
      </c>
      <c r="AU24" s="20">
        <f>AU21*Assumptions!$C$19</f>
        <v/>
      </c>
      <c r="AV24" s="20">
        <f>AV21*Assumptions!$C$19</f>
        <v/>
      </c>
      <c r="AW24" s="20">
        <f>AW21*Assumptions!$C$19</f>
        <v/>
      </c>
      <c r="AX24" s="20">
        <f>AX21*Assumptions!$C$19</f>
        <v/>
      </c>
      <c r="AY24" s="20">
        <f>AY21*Assumptions!$C$19</f>
        <v/>
      </c>
    </row>
    <row r="25">
      <c r="B25" s="32" t="inlineStr">
        <is>
          <t>Total Cost of Goods Sold</t>
        </is>
      </c>
      <c r="C25" s="34" t="n"/>
      <c r="D25" s="35" t="n">
        <v>5721.190000000001</v>
      </c>
      <c r="E25" s="35" t="n">
        <v>3653.96</v>
      </c>
      <c r="F25" s="35" t="n">
        <v>3591.83</v>
      </c>
      <c r="G25" s="35" t="n">
        <v>2789.59</v>
      </c>
      <c r="H25" s="35" t="n">
        <v>3134.79</v>
      </c>
      <c r="I25" s="35" t="n">
        <v>2909.91</v>
      </c>
      <c r="J25" s="35" t="n">
        <v>3503.41</v>
      </c>
      <c r="K25" s="35" t="n">
        <v>2516.97</v>
      </c>
      <c r="L25" s="35" t="n">
        <v>3086.23</v>
      </c>
      <c r="M25" s="35" t="n">
        <v>2924.16</v>
      </c>
      <c r="N25" s="35" t="n">
        <v>2485.58</v>
      </c>
      <c r="O25" s="35" t="n">
        <v>4209.63</v>
      </c>
      <c r="P25" s="35" t="n">
        <v>3244.98</v>
      </c>
      <c r="Q25" s="35" t="n">
        <v>2863.35</v>
      </c>
      <c r="R25" s="35" t="n">
        <v>2690.67</v>
      </c>
      <c r="S25" s="35" t="n">
        <v>1727.57</v>
      </c>
      <c r="T25" s="85" t="n">
        <v>2051.49</v>
      </c>
      <c r="U25" s="17">
        <f>U23+U24</f>
        <v/>
      </c>
      <c r="V25" s="17">
        <f>V23+V24</f>
        <v/>
      </c>
      <c r="W25" s="17">
        <f>W23+W24</f>
        <v/>
      </c>
      <c r="X25" s="17">
        <f>X23+X24</f>
        <v/>
      </c>
      <c r="Y25" s="17">
        <f>Y23+Y24</f>
        <v/>
      </c>
      <c r="Z25" s="17">
        <f>Z23+Z24</f>
        <v/>
      </c>
      <c r="AA25" s="17">
        <f>AA23+AA24</f>
        <v/>
      </c>
      <c r="AB25" s="17">
        <f>AB23+AB24</f>
        <v/>
      </c>
      <c r="AC25" s="17">
        <f>AC23+AC24</f>
        <v/>
      </c>
      <c r="AD25" s="17">
        <f>AD23+AD24</f>
        <v/>
      </c>
      <c r="AE25" s="17">
        <f>AE23+AE24</f>
        <v/>
      </c>
      <c r="AF25" s="17">
        <f>AF23+AF24</f>
        <v/>
      </c>
      <c r="AG25" s="17">
        <f>AG23+AG24</f>
        <v/>
      </c>
      <c r="AH25" s="17">
        <f>AH23+AH24</f>
        <v/>
      </c>
      <c r="AI25" s="17">
        <f>AI23+AI24</f>
        <v/>
      </c>
      <c r="AJ25" s="17">
        <f>AJ23+AJ24</f>
        <v/>
      </c>
      <c r="AK25" s="17">
        <f>AK23+AK24</f>
        <v/>
      </c>
      <c r="AL25" s="17">
        <f>AL23+AL24</f>
        <v/>
      </c>
      <c r="AM25" s="17">
        <f>AM23+AM24</f>
        <v/>
      </c>
      <c r="AN25" s="17">
        <f>AN23+AN24</f>
        <v/>
      </c>
      <c r="AO25" s="17">
        <f>AO23+AO24</f>
        <v/>
      </c>
      <c r="AP25" s="17">
        <f>AP23+AP24</f>
        <v/>
      </c>
      <c r="AQ25" s="17">
        <f>AQ23+AQ24</f>
        <v/>
      </c>
      <c r="AR25" s="17">
        <f>AR23+AR24</f>
        <v/>
      </c>
      <c r="AS25" s="17">
        <f>AS23+AS24</f>
        <v/>
      </c>
      <c r="AT25" s="17">
        <f>AT23+AT24</f>
        <v/>
      </c>
      <c r="AU25" s="17">
        <f>AU23+AU24</f>
        <v/>
      </c>
      <c r="AV25" s="17">
        <f>AV23+AV24</f>
        <v/>
      </c>
      <c r="AW25" s="17">
        <f>AW23+AW24</f>
        <v/>
      </c>
      <c r="AX25" s="17">
        <f>AX23+AX24</f>
        <v/>
      </c>
      <c r="AY25" s="17">
        <f>AY23+AY24</f>
        <v/>
      </c>
    </row>
    <row r="26">
      <c r="B26" s="32" t="inlineStr">
        <is>
          <t>GROSS PROFIT</t>
        </is>
      </c>
      <c r="C26" s="34" t="n"/>
      <c r="D26" s="35" t="n">
        <v>58741.83999999999</v>
      </c>
      <c r="E26" s="35" t="n">
        <v>76138.55</v>
      </c>
      <c r="F26" s="35" t="n">
        <v>94248.58</v>
      </c>
      <c r="G26" s="35" t="n">
        <v>81114.18000000001</v>
      </c>
      <c r="H26" s="35" t="n">
        <v>75338.96000000001</v>
      </c>
      <c r="I26" s="35" t="n">
        <v>71709.37</v>
      </c>
      <c r="J26" s="35" t="n">
        <v>85746.42999999999</v>
      </c>
      <c r="K26" s="35" t="n">
        <v>66778.22</v>
      </c>
      <c r="L26" s="35" t="n">
        <v>58405.09</v>
      </c>
      <c r="M26" s="35" t="n">
        <v>69526.92</v>
      </c>
      <c r="N26" s="35" t="n">
        <v>61480.82</v>
      </c>
      <c r="O26" s="35" t="n">
        <v>68973.88</v>
      </c>
      <c r="P26" s="35" t="n">
        <v>75117.18000000001</v>
      </c>
      <c r="Q26" s="35" t="n">
        <v>76336.46000000001</v>
      </c>
      <c r="R26" s="35" t="n">
        <v>60997.72</v>
      </c>
      <c r="S26" s="35" t="n">
        <v>59757.46</v>
      </c>
      <c r="T26" s="85" t="n">
        <v>76261.36</v>
      </c>
      <c r="U26" s="17">
        <f>U21-U25</f>
        <v/>
      </c>
      <c r="V26" s="17">
        <f>V21-V25</f>
        <v/>
      </c>
      <c r="W26" s="17">
        <f>W21-W25</f>
        <v/>
      </c>
      <c r="X26" s="17">
        <f>X21-X25</f>
        <v/>
      </c>
      <c r="Y26" s="17">
        <f>Y21-Y25</f>
        <v/>
      </c>
      <c r="Z26" s="17">
        <f>Z21-Z25</f>
        <v/>
      </c>
      <c r="AA26" s="17">
        <f>AA21-AA25</f>
        <v/>
      </c>
      <c r="AB26" s="17">
        <f>AB21-AB25</f>
        <v/>
      </c>
      <c r="AC26" s="17">
        <f>AC21-AC25</f>
        <v/>
      </c>
      <c r="AD26" s="17">
        <f>AD21-AD25</f>
        <v/>
      </c>
      <c r="AE26" s="17">
        <f>AE21-AE25</f>
        <v/>
      </c>
      <c r="AF26" s="17">
        <f>AF21-AF25</f>
        <v/>
      </c>
      <c r="AG26" s="17">
        <f>AG21-AG25</f>
        <v/>
      </c>
      <c r="AH26" s="17">
        <f>AH21-AH25</f>
        <v/>
      </c>
      <c r="AI26" s="17">
        <f>AI21-AI25</f>
        <v/>
      </c>
      <c r="AJ26" s="17">
        <f>AJ21-AJ25</f>
        <v/>
      </c>
      <c r="AK26" s="17">
        <f>AK21-AK25</f>
        <v/>
      </c>
      <c r="AL26" s="17">
        <f>AL21-AL25</f>
        <v/>
      </c>
      <c r="AM26" s="17">
        <f>AM21-AM25</f>
        <v/>
      </c>
      <c r="AN26" s="17">
        <f>AN21-AN25</f>
        <v/>
      </c>
      <c r="AO26" s="17">
        <f>AO21-AO25</f>
        <v/>
      </c>
      <c r="AP26" s="17">
        <f>AP21-AP25</f>
        <v/>
      </c>
      <c r="AQ26" s="17">
        <f>AQ21-AQ25</f>
        <v/>
      </c>
      <c r="AR26" s="17">
        <f>AR21-AR25</f>
        <v/>
      </c>
      <c r="AS26" s="17">
        <f>AS21-AS25</f>
        <v/>
      </c>
      <c r="AT26" s="17">
        <f>AT21-AT25</f>
        <v/>
      </c>
      <c r="AU26" s="17">
        <f>AU21-AU25</f>
        <v/>
      </c>
      <c r="AV26" s="17">
        <f>AV21-AV25</f>
        <v/>
      </c>
      <c r="AW26" s="17">
        <f>AW21-AW25</f>
        <v/>
      </c>
      <c r="AX26" s="17">
        <f>AX21-AX25</f>
        <v/>
      </c>
      <c r="AY26" s="17">
        <f>AY21-AY25</f>
        <v/>
      </c>
    </row>
    <row r="27" ht="16.05" customHeight="1" s="142">
      <c r="B27" s="10" t="inlineStr">
        <is>
          <t>OPERATING EXPENSES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</row>
    <row r="28">
      <c r="B28" s="33" t="inlineStr">
        <is>
          <t xml:space="preserve">  601001 Paid Ads</t>
        </is>
      </c>
      <c r="D28" s="19" t="n">
        <v>5583.91</v>
      </c>
      <c r="E28" s="19" t="n">
        <v>4111.28</v>
      </c>
      <c r="F28" s="19" t="n">
        <v>5455.76</v>
      </c>
      <c r="G28" s="19" t="n">
        <v>4201.5</v>
      </c>
      <c r="H28" s="19" t="n">
        <v>5710.77</v>
      </c>
      <c r="I28" s="19" t="n">
        <v>5142.58</v>
      </c>
      <c r="J28" s="19" t="n">
        <v>2513.85</v>
      </c>
      <c r="K28" s="19" t="n">
        <v>3737.88</v>
      </c>
      <c r="L28" s="19" t="n">
        <v>2396.1</v>
      </c>
      <c r="M28" s="19" t="n">
        <v>2483.27</v>
      </c>
      <c r="N28" s="19" t="n">
        <v>3074.26</v>
      </c>
      <c r="O28" s="19" t="n">
        <v>1974.29</v>
      </c>
      <c r="P28" s="19" t="n">
        <v>1824.66</v>
      </c>
      <c r="Q28" s="19" t="n">
        <v>4578.22</v>
      </c>
      <c r="R28" s="19" t="n">
        <v>2803.96</v>
      </c>
      <c r="S28" s="19" t="n">
        <v>755.11</v>
      </c>
      <c r="T28" s="84" t="n">
        <v>747.4299999999999</v>
      </c>
      <c r="U28" s="20" t="n">
        <v>2500</v>
      </c>
      <c r="V28" s="20" t="n">
        <v>2500</v>
      </c>
      <c r="W28" s="20" t="n">
        <v>2500</v>
      </c>
      <c r="X28" s="20" t="n">
        <v>2500</v>
      </c>
      <c r="Y28" s="20" t="n">
        <v>2500</v>
      </c>
      <c r="Z28" s="20" t="n">
        <v>2500</v>
      </c>
      <c r="AA28" s="20" t="n">
        <v>2500</v>
      </c>
      <c r="AB28" s="20" t="n">
        <v>2500</v>
      </c>
      <c r="AC28" s="20" t="n">
        <v>2500</v>
      </c>
      <c r="AD28" s="20" t="n">
        <v>2500</v>
      </c>
      <c r="AE28" s="20" t="n">
        <v>2500</v>
      </c>
      <c r="AF28" s="20" t="n">
        <v>2500</v>
      </c>
      <c r="AG28" s="20" t="n">
        <v>2500</v>
      </c>
      <c r="AH28" s="20" t="n">
        <v>2500</v>
      </c>
      <c r="AI28" s="20" t="n">
        <v>2500</v>
      </c>
      <c r="AJ28" s="20" t="n">
        <v>2500</v>
      </c>
      <c r="AK28" s="20" t="n">
        <v>2500</v>
      </c>
      <c r="AL28" s="20" t="n">
        <v>2500</v>
      </c>
      <c r="AM28" s="20" t="n">
        <v>2500</v>
      </c>
      <c r="AN28" s="20" t="n">
        <v>2500</v>
      </c>
      <c r="AO28" s="20" t="n">
        <v>2500</v>
      </c>
      <c r="AP28" s="20" t="n">
        <v>2500</v>
      </c>
      <c r="AQ28" s="20" t="n">
        <v>2500</v>
      </c>
      <c r="AR28" s="20" t="n">
        <v>2500</v>
      </c>
      <c r="AS28" s="20" t="n">
        <v>2500</v>
      </c>
      <c r="AT28" s="20" t="n">
        <v>2500</v>
      </c>
      <c r="AU28" s="20" t="n">
        <v>2500</v>
      </c>
      <c r="AV28" s="20" t="n">
        <v>2500</v>
      </c>
      <c r="AW28" s="20" t="n">
        <v>2500</v>
      </c>
      <c r="AX28" s="20" t="n">
        <v>2500</v>
      </c>
      <c r="AY28" s="20" t="n">
        <v>2500</v>
      </c>
    </row>
    <row r="29">
      <c r="B29" s="33" t="inlineStr">
        <is>
          <t xml:space="preserve">  601005 Content Creation</t>
        </is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>
        <v>0</v>
      </c>
      <c r="Q29" s="19" t="n">
        <v>0</v>
      </c>
      <c r="R29" s="19" t="n">
        <v>0</v>
      </c>
      <c r="S29" s="19" t="n">
        <v>0</v>
      </c>
      <c r="T29" s="84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</row>
    <row r="30">
      <c r="B30" s="33" t="inlineStr">
        <is>
          <t xml:space="preserve">  601006 General Marketing</t>
        </is>
      </c>
      <c r="D30" s="19" t="n">
        <v>0</v>
      </c>
      <c r="E30" s="19" t="n">
        <v>0</v>
      </c>
      <c r="F30" s="19" t="n">
        <v>0</v>
      </c>
      <c r="G30" s="19" t="n">
        <v>336.84</v>
      </c>
      <c r="H30" s="19" t="n">
        <v>238.02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84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0" t="n">
        <v>0</v>
      </c>
      <c r="AQ30" s="20" t="n">
        <v>0</v>
      </c>
      <c r="AR30" s="20" t="n">
        <v>0</v>
      </c>
      <c r="AS30" s="20" t="n">
        <v>0</v>
      </c>
      <c r="AT30" s="20" t="n">
        <v>0</v>
      </c>
      <c r="AU30" s="20" t="n">
        <v>0</v>
      </c>
      <c r="AV30" s="20" t="n">
        <v>0</v>
      </c>
      <c r="AW30" s="20" t="n">
        <v>0</v>
      </c>
      <c r="AX30" s="20" t="n">
        <v>0</v>
      </c>
      <c r="AY30" s="20" t="n">
        <v>0</v>
      </c>
    </row>
    <row r="31">
      <c r="B31" s="33" t="inlineStr">
        <is>
          <t xml:space="preserve">  601007 Contractors/Agencies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>
        <v>0</v>
      </c>
      <c r="Q31" s="19" t="n">
        <v>0</v>
      </c>
      <c r="R31" s="19" t="n">
        <v>0</v>
      </c>
      <c r="S31" s="19" t="n">
        <v>0</v>
      </c>
      <c r="T31" s="84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</row>
    <row r="32">
      <c r="B32" s="33" t="inlineStr">
        <is>
          <t xml:space="preserve">  601010 Website Development</t>
        </is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>
        <v>0</v>
      </c>
      <c r="Q32" s="19" t="n">
        <v>0</v>
      </c>
      <c r="R32" s="19" t="n">
        <v>0</v>
      </c>
      <c r="S32" s="19" t="n">
        <v>0</v>
      </c>
      <c r="T32" s="84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0</v>
      </c>
      <c r="AS32" s="20" t="n">
        <v>0</v>
      </c>
      <c r="AT32" s="20" t="n">
        <v>0</v>
      </c>
      <c r="AU32" s="20" t="n">
        <v>0</v>
      </c>
      <c r="AV32" s="20" t="n">
        <v>0</v>
      </c>
      <c r="AW32" s="20" t="n">
        <v>0</v>
      </c>
      <c r="AX32" s="20" t="n">
        <v>0</v>
      </c>
      <c r="AY32" s="20" t="n">
        <v>0</v>
      </c>
    </row>
    <row r="33">
      <c r="B33" s="32" t="inlineStr">
        <is>
          <t>Total Marketing</t>
        </is>
      </c>
      <c r="C33" s="34" t="n"/>
      <c r="D33" s="35" t="n">
        <v>5583.91</v>
      </c>
      <c r="E33" s="35" t="n">
        <v>4111.28</v>
      </c>
      <c r="F33" s="35" t="n">
        <v>5455.76</v>
      </c>
      <c r="G33" s="35" t="n">
        <v>4538.34</v>
      </c>
      <c r="H33" s="35" t="n">
        <v>5948.790000000001</v>
      </c>
      <c r="I33" s="35" t="n">
        <v>5142.58</v>
      </c>
      <c r="J33" s="35" t="n">
        <v>2513.85</v>
      </c>
      <c r="K33" s="35" t="n">
        <v>3737.88</v>
      </c>
      <c r="L33" s="35" t="n">
        <v>2396.1</v>
      </c>
      <c r="M33" s="35" t="n">
        <v>2483.27</v>
      </c>
      <c r="N33" s="35" t="n">
        <v>3074.26</v>
      </c>
      <c r="O33" s="35" t="n">
        <v>1974.29</v>
      </c>
      <c r="P33" s="35" t="n">
        <v>1824.66</v>
      </c>
      <c r="Q33" s="35" t="n">
        <v>4578.22</v>
      </c>
      <c r="R33" s="35" t="n">
        <v>2803.96</v>
      </c>
      <c r="S33" s="35" t="n">
        <v>755.11</v>
      </c>
      <c r="T33" s="85" t="n">
        <v>747.4299999999999</v>
      </c>
      <c r="U33" s="17">
        <f>U28+U29+U30+U31+U32</f>
        <v/>
      </c>
      <c r="V33" s="17">
        <f>V28+V29+V30+V31+V32</f>
        <v/>
      </c>
      <c r="W33" s="17">
        <f>W28+W29+W30+W31+W32</f>
        <v/>
      </c>
      <c r="X33" s="17">
        <f>X28+X29+X30+X31+X32</f>
        <v/>
      </c>
      <c r="Y33" s="17">
        <f>Y28+Y29+Y30+Y31+Y32</f>
        <v/>
      </c>
      <c r="Z33" s="17">
        <f>Z28+Z29+Z30+Z31+Z32</f>
        <v/>
      </c>
      <c r="AA33" s="17">
        <f>AA28+AA29+AA30+AA31+AA32</f>
        <v/>
      </c>
      <c r="AB33" s="17">
        <f>AB28+AB29+AB30+AB31+AB32</f>
        <v/>
      </c>
      <c r="AC33" s="17">
        <f>AC28+AC29+AC30+AC31+AC32</f>
        <v/>
      </c>
      <c r="AD33" s="17">
        <f>AD28+AD29+AD30+AD31+AD32</f>
        <v/>
      </c>
      <c r="AE33" s="17">
        <f>AE28+AE29+AE30+AE31+AE32</f>
        <v/>
      </c>
      <c r="AF33" s="17">
        <f>AF28+AF29+AF30+AF31+AF32</f>
        <v/>
      </c>
      <c r="AG33" s="17">
        <f>AG28+AG29+AG30+AG31+AG32</f>
        <v/>
      </c>
      <c r="AH33" s="17">
        <f>AH28+AH29+AH30+AH31+AH32</f>
        <v/>
      </c>
      <c r="AI33" s="17">
        <f>AI28+AI29+AI30+AI31+AI32</f>
        <v/>
      </c>
      <c r="AJ33" s="17">
        <f>AJ28+AJ29+AJ30+AJ31+AJ32</f>
        <v/>
      </c>
      <c r="AK33" s="17">
        <f>AK28+AK29+AK30+AK31+AK32</f>
        <v/>
      </c>
      <c r="AL33" s="17">
        <f>AL28+AL29+AL30+AL31+AL32</f>
        <v/>
      </c>
      <c r="AM33" s="17">
        <f>AM28+AM29+AM30+AM31+AM32</f>
        <v/>
      </c>
      <c r="AN33" s="17">
        <f>AN28+AN29+AN30+AN31+AN32</f>
        <v/>
      </c>
      <c r="AO33" s="17">
        <f>AO28+AO29+AO30+AO31+AO32</f>
        <v/>
      </c>
      <c r="AP33" s="17">
        <f>AP28+AP29+AP30+AP31+AP32</f>
        <v/>
      </c>
      <c r="AQ33" s="17">
        <f>AQ28+AQ29+AQ30+AQ31+AQ32</f>
        <v/>
      </c>
      <c r="AR33" s="17">
        <f>AR28+AR29+AR30+AR31+AR32</f>
        <v/>
      </c>
      <c r="AS33" s="17">
        <f>AS28+AS29+AS30+AS31+AS32</f>
        <v/>
      </c>
      <c r="AT33" s="17">
        <f>AT28+AT29+AT30+AT31+AT32</f>
        <v/>
      </c>
      <c r="AU33" s="17">
        <f>AU28+AU29+AU30+AU31+AU32</f>
        <v/>
      </c>
      <c r="AV33" s="17">
        <f>AV28+AV29+AV30+AV31+AV32</f>
        <v/>
      </c>
      <c r="AW33" s="17">
        <f>AW28+AW29+AW30+AW31+AW32</f>
        <v/>
      </c>
      <c r="AX33" s="17">
        <f>AX28+AX29+AX30+AX31+AX32</f>
        <v/>
      </c>
      <c r="AY33" s="17">
        <f>AY28+AY29+AY30+AY31+AY32</f>
        <v/>
      </c>
    </row>
    <row r="34">
      <c r="B34" s="33" t="inlineStr">
        <is>
          <t xml:space="preserve">  602001 Wages</t>
        </is>
      </c>
      <c r="D34" s="19" t="n">
        <v>27077.73</v>
      </c>
      <c r="E34" s="19" t="n">
        <v>32061.5</v>
      </c>
      <c r="F34" s="19" t="n">
        <v>37591.94</v>
      </c>
      <c r="G34" s="19" t="n">
        <v>32272.05</v>
      </c>
      <c r="H34" s="19" t="n">
        <v>35638.26</v>
      </c>
      <c r="I34" s="19" t="n">
        <v>33008.3</v>
      </c>
      <c r="J34" s="19" t="n">
        <v>33445.76</v>
      </c>
      <c r="K34" s="19" t="n">
        <v>34893.25</v>
      </c>
      <c r="L34" s="19" t="n">
        <v>34455.83</v>
      </c>
      <c r="M34" s="19" t="n">
        <v>34637.82</v>
      </c>
      <c r="N34" s="19" t="n">
        <v>27904.25</v>
      </c>
      <c r="O34" s="19" t="n">
        <v>28309.03</v>
      </c>
      <c r="P34" s="19" t="n">
        <v>36361.46</v>
      </c>
      <c r="Q34" s="19" t="n">
        <v>34881.33</v>
      </c>
      <c r="R34" s="19" t="n">
        <v>35148.06</v>
      </c>
      <c r="S34" s="19" t="n">
        <v>32450.36</v>
      </c>
      <c r="T34" s="84" t="n">
        <v>31192.12</v>
      </c>
      <c r="U34" s="20" t="n">
        <v>30250.04</v>
      </c>
      <c r="V34" s="20" t="n">
        <v>31074.46</v>
      </c>
      <c r="W34" s="20" t="n">
        <v>34625.92</v>
      </c>
      <c r="X34" s="20" t="n">
        <v>34372.17</v>
      </c>
      <c r="Y34" s="20" t="n">
        <v>38494.3</v>
      </c>
      <c r="Z34" s="20" t="n">
        <v>34625.92</v>
      </c>
      <c r="AA34" s="20" t="n">
        <v>32977.07</v>
      </c>
      <c r="AB34" s="20" t="n">
        <v>31626.63</v>
      </c>
      <c r="AC34" s="20" t="n">
        <v>31626.63</v>
      </c>
      <c r="AD34" s="20" t="n">
        <v>31626.63</v>
      </c>
      <c r="AE34" s="20" t="n">
        <v>31626.63</v>
      </c>
      <c r="AF34" s="20" t="n">
        <v>31626.63</v>
      </c>
      <c r="AG34" s="20" t="n">
        <v>31626.63</v>
      </c>
      <c r="AH34" s="20" t="n">
        <v>31626.63</v>
      </c>
      <c r="AI34" s="20" t="n">
        <v>31626.63</v>
      </c>
      <c r="AJ34" s="20" t="n">
        <v>31626.63</v>
      </c>
      <c r="AK34" s="20" t="n">
        <v>31626.63</v>
      </c>
      <c r="AL34" s="20" t="n">
        <v>31626.63</v>
      </c>
      <c r="AM34" s="20" t="n">
        <v>31626.63</v>
      </c>
      <c r="AN34" s="20" t="n">
        <v>31626.63</v>
      </c>
      <c r="AO34" s="20" t="n">
        <v>31626.63</v>
      </c>
      <c r="AP34" s="20" t="n">
        <v>31626.63</v>
      </c>
      <c r="AQ34" s="20" t="n">
        <v>31626.63</v>
      </c>
      <c r="AR34" s="20" t="n">
        <v>31626.63</v>
      </c>
      <c r="AS34" s="20" t="n">
        <v>31626.63</v>
      </c>
      <c r="AT34" s="20" t="n">
        <v>31626.63</v>
      </c>
      <c r="AU34" s="20" t="n">
        <v>31626.63</v>
      </c>
      <c r="AV34" s="20" t="n">
        <v>31626.63</v>
      </c>
      <c r="AW34" s="20" t="n">
        <v>31626.63</v>
      </c>
      <c r="AX34" s="20" t="n">
        <v>31626.63</v>
      </c>
      <c r="AY34" s="20" t="n">
        <v>31626.63</v>
      </c>
    </row>
    <row r="35">
      <c r="B35" s="33" t="inlineStr">
        <is>
          <t xml:space="preserve">  602004 Payroll Taxes</t>
        </is>
      </c>
      <c r="D35" s="19" t="n">
        <v>4220.65</v>
      </c>
      <c r="E35" s="19" t="n">
        <v>4852.48</v>
      </c>
      <c r="F35" s="19" t="n">
        <v>4990.88</v>
      </c>
      <c r="G35" s="19" t="n">
        <v>3964.9</v>
      </c>
      <c r="H35" s="19" t="n">
        <v>4114.33</v>
      </c>
      <c r="I35" s="19" t="n">
        <v>3607.11</v>
      </c>
      <c r="J35" s="19" t="n">
        <v>3610.81</v>
      </c>
      <c r="K35" s="19" t="n">
        <v>3622.97</v>
      </c>
      <c r="L35" s="19" t="n">
        <v>3601.54</v>
      </c>
      <c r="M35" s="19" t="n">
        <v>3653.63</v>
      </c>
      <c r="N35" s="19" t="n">
        <v>3253.01</v>
      </c>
      <c r="O35" s="19" t="n">
        <v>3298.43</v>
      </c>
      <c r="P35" s="19" t="n">
        <v>7649.27</v>
      </c>
      <c r="Q35" s="19" t="n">
        <v>3941.7</v>
      </c>
      <c r="R35" s="19" t="n">
        <v>3566.17</v>
      </c>
      <c r="S35" s="19" t="n">
        <v>3153.97</v>
      </c>
      <c r="T35" s="84" t="n">
        <v>2914.77</v>
      </c>
      <c r="U35" s="20" t="n">
        <v>3989.53</v>
      </c>
      <c r="V35" s="20" t="n">
        <v>4098.26</v>
      </c>
      <c r="W35" s="20" t="n">
        <v>4566.65</v>
      </c>
      <c r="X35" s="20" t="n">
        <v>4533.18</v>
      </c>
      <c r="Y35" s="20" t="n">
        <v>5076.83</v>
      </c>
      <c r="Z35" s="20" t="n">
        <v>4566.65</v>
      </c>
      <c r="AA35" s="20" t="n">
        <v>4349.19</v>
      </c>
      <c r="AB35" s="20" t="n">
        <v>4171.09</v>
      </c>
      <c r="AC35" s="20" t="n">
        <v>4171.09</v>
      </c>
      <c r="AD35" s="20" t="n">
        <v>4171.09</v>
      </c>
      <c r="AE35" s="20" t="n">
        <v>4171.09</v>
      </c>
      <c r="AF35" s="20" t="n">
        <v>4171.09</v>
      </c>
      <c r="AG35" s="20" t="n">
        <v>4171.09</v>
      </c>
      <c r="AH35" s="20" t="n">
        <v>4171.09</v>
      </c>
      <c r="AI35" s="20" t="n">
        <v>4171.09</v>
      </c>
      <c r="AJ35" s="20" t="n">
        <v>4171.09</v>
      </c>
      <c r="AK35" s="20" t="n">
        <v>4171.09</v>
      </c>
      <c r="AL35" s="20" t="n">
        <v>4171.09</v>
      </c>
      <c r="AM35" s="20" t="n">
        <v>4171.09</v>
      </c>
      <c r="AN35" s="20" t="n">
        <v>4171.09</v>
      </c>
      <c r="AO35" s="20" t="n">
        <v>4171.09</v>
      </c>
      <c r="AP35" s="20" t="n">
        <v>4171.09</v>
      </c>
      <c r="AQ35" s="20" t="n">
        <v>4171.09</v>
      </c>
      <c r="AR35" s="20" t="n">
        <v>4171.09</v>
      </c>
      <c r="AS35" s="20" t="n">
        <v>4171.09</v>
      </c>
      <c r="AT35" s="20" t="n">
        <v>4171.09</v>
      </c>
      <c r="AU35" s="20" t="n">
        <v>4171.09</v>
      </c>
      <c r="AV35" s="20" t="n">
        <v>4171.09</v>
      </c>
      <c r="AW35" s="20" t="n">
        <v>4171.09</v>
      </c>
      <c r="AX35" s="20" t="n">
        <v>4171.09</v>
      </c>
      <c r="AY35" s="20" t="n">
        <v>4171.09</v>
      </c>
    </row>
    <row r="36">
      <c r="B36" s="33" t="inlineStr">
        <is>
          <t xml:space="preserve">  602005 Employee Benefits</t>
        </is>
      </c>
      <c r="D36" s="19" t="n">
        <v>353.07</v>
      </c>
      <c r="E36" s="19" t="n">
        <v>450.16</v>
      </c>
      <c r="F36" s="19" t="n">
        <v>447.54</v>
      </c>
      <c r="G36" s="19" t="n">
        <v>3061.35</v>
      </c>
      <c r="H36" s="19" t="n">
        <v>839.33</v>
      </c>
      <c r="I36" s="19" t="n">
        <v>1226.49</v>
      </c>
      <c r="J36" s="19" t="n">
        <v>172.52</v>
      </c>
      <c r="K36" s="19" t="n">
        <v>698.71</v>
      </c>
      <c r="L36" s="19" t="n">
        <v>889.77</v>
      </c>
      <c r="M36" s="19" t="n">
        <v>740.48</v>
      </c>
      <c r="N36" s="19" t="n">
        <v>711.2</v>
      </c>
      <c r="O36" s="19" t="n">
        <v>679.5599999999999</v>
      </c>
      <c r="P36" s="19" t="n">
        <v>458.86</v>
      </c>
      <c r="Q36" s="19" t="n">
        <v>549.23</v>
      </c>
      <c r="R36" s="19" t="n">
        <v>682.76</v>
      </c>
      <c r="S36" s="19" t="n">
        <v>429.23</v>
      </c>
      <c r="T36" s="84" t="n">
        <v>1372.71</v>
      </c>
      <c r="U36" s="20" t="n">
        <v>461.91</v>
      </c>
      <c r="V36" s="20" t="n">
        <v>474.5</v>
      </c>
      <c r="W36" s="20" t="n">
        <v>528.73</v>
      </c>
      <c r="X36" s="20" t="n">
        <v>524.86</v>
      </c>
      <c r="Y36" s="20" t="n">
        <v>587.8</v>
      </c>
      <c r="Z36" s="20" t="n">
        <v>528.73</v>
      </c>
      <c r="AA36" s="20" t="n">
        <v>503.55</v>
      </c>
      <c r="AB36" s="20" t="n">
        <v>482.93</v>
      </c>
      <c r="AC36" s="20" t="n">
        <v>482.93</v>
      </c>
      <c r="AD36" s="20" t="n">
        <v>482.93</v>
      </c>
      <c r="AE36" s="20" t="n">
        <v>482.93</v>
      </c>
      <c r="AF36" s="20" t="n">
        <v>482.93</v>
      </c>
      <c r="AG36" s="20" t="n">
        <v>482.93</v>
      </c>
      <c r="AH36" s="20" t="n">
        <v>482.93</v>
      </c>
      <c r="AI36" s="20" t="n">
        <v>482.93</v>
      </c>
      <c r="AJ36" s="20" t="n">
        <v>482.93</v>
      </c>
      <c r="AK36" s="20" t="n">
        <v>482.93</v>
      </c>
      <c r="AL36" s="20" t="n">
        <v>482.93</v>
      </c>
      <c r="AM36" s="20" t="n">
        <v>482.93</v>
      </c>
      <c r="AN36" s="20" t="n">
        <v>482.93</v>
      </c>
      <c r="AO36" s="20" t="n">
        <v>482.93</v>
      </c>
      <c r="AP36" s="20" t="n">
        <v>482.93</v>
      </c>
      <c r="AQ36" s="20" t="n">
        <v>482.93</v>
      </c>
      <c r="AR36" s="20" t="n">
        <v>482.93</v>
      </c>
      <c r="AS36" s="20" t="n">
        <v>482.93</v>
      </c>
      <c r="AT36" s="20" t="n">
        <v>482.93</v>
      </c>
      <c r="AU36" s="20" t="n">
        <v>482.93</v>
      </c>
      <c r="AV36" s="20" t="n">
        <v>482.93</v>
      </c>
      <c r="AW36" s="20" t="n">
        <v>482.93</v>
      </c>
      <c r="AX36" s="20" t="n">
        <v>482.93</v>
      </c>
      <c r="AY36" s="20" t="n">
        <v>482.93</v>
      </c>
    </row>
    <row r="37">
      <c r="B37" s="33" t="inlineStr">
        <is>
          <t xml:space="preserve">  602010 Payroll Processing Fees</t>
        </is>
      </c>
      <c r="D37" s="19" t="n">
        <v>1642.89</v>
      </c>
      <c r="E37" s="19" t="n">
        <v>411.29</v>
      </c>
      <c r="F37" s="19" t="n">
        <v>428.39</v>
      </c>
      <c r="G37" s="19" t="n">
        <v>546.36</v>
      </c>
      <c r="H37" s="19" t="n">
        <v>419.84</v>
      </c>
      <c r="I37" s="19" t="n">
        <v>425.54</v>
      </c>
      <c r="J37" s="19" t="n">
        <v>534.96</v>
      </c>
      <c r="K37" s="19" t="n">
        <v>609.8099999999999</v>
      </c>
      <c r="L37" s="19" t="n">
        <v>650.08</v>
      </c>
      <c r="M37" s="19" t="n">
        <v>425.54</v>
      </c>
      <c r="N37" s="19" t="n">
        <v>641.53</v>
      </c>
      <c r="O37" s="19" t="n">
        <v>992.14</v>
      </c>
      <c r="P37" s="19" t="n">
        <v>3625.62</v>
      </c>
      <c r="Q37" s="19" t="n">
        <v>1699.97</v>
      </c>
      <c r="R37" s="19" t="n">
        <v>2295.93</v>
      </c>
      <c r="S37" s="19" t="n">
        <v>1515.49</v>
      </c>
      <c r="T37" s="84" t="n">
        <v>1402.71</v>
      </c>
      <c r="U37" s="20" t="n">
        <v>1990.73</v>
      </c>
      <c r="V37" s="20" t="n">
        <v>2044.98</v>
      </c>
      <c r="W37" s="20" t="n">
        <v>2278.7</v>
      </c>
      <c r="X37" s="20" t="n">
        <v>2262</v>
      </c>
      <c r="Y37" s="20" t="n">
        <v>2533.27</v>
      </c>
      <c r="Z37" s="20" t="n">
        <v>2278.7</v>
      </c>
      <c r="AA37" s="20" t="n">
        <v>2170.19</v>
      </c>
      <c r="AB37" s="20" t="n">
        <v>2081.32</v>
      </c>
      <c r="AC37" s="20" t="n">
        <v>2081.32</v>
      </c>
      <c r="AD37" s="20" t="n">
        <v>2081.32</v>
      </c>
      <c r="AE37" s="20" t="n">
        <v>2081.32</v>
      </c>
      <c r="AF37" s="20" t="n">
        <v>2081.32</v>
      </c>
      <c r="AG37" s="20" t="n">
        <v>2081.32</v>
      </c>
      <c r="AH37" s="20" t="n">
        <v>2081.32</v>
      </c>
      <c r="AI37" s="20" t="n">
        <v>2081.32</v>
      </c>
      <c r="AJ37" s="20" t="n">
        <v>2081.32</v>
      </c>
      <c r="AK37" s="20" t="n">
        <v>2081.32</v>
      </c>
      <c r="AL37" s="20" t="n">
        <v>2081.32</v>
      </c>
      <c r="AM37" s="20" t="n">
        <v>2081.32</v>
      </c>
      <c r="AN37" s="20" t="n">
        <v>2081.32</v>
      </c>
      <c r="AO37" s="20" t="n">
        <v>2081.32</v>
      </c>
      <c r="AP37" s="20" t="n">
        <v>2081.32</v>
      </c>
      <c r="AQ37" s="20" t="n">
        <v>2081.32</v>
      </c>
      <c r="AR37" s="20" t="n">
        <v>2081.32</v>
      </c>
      <c r="AS37" s="20" t="n">
        <v>2081.32</v>
      </c>
      <c r="AT37" s="20" t="n">
        <v>2081.32</v>
      </c>
      <c r="AU37" s="20" t="n">
        <v>2081.32</v>
      </c>
      <c r="AV37" s="20" t="n">
        <v>2081.32</v>
      </c>
      <c r="AW37" s="20" t="n">
        <v>2081.32</v>
      </c>
      <c r="AX37" s="20" t="n">
        <v>2081.32</v>
      </c>
      <c r="AY37" s="20" t="n">
        <v>2081.32</v>
      </c>
    </row>
    <row r="38">
      <c r="B38" s="32" t="inlineStr">
        <is>
          <t>Total Payroll</t>
        </is>
      </c>
      <c r="C38" s="34" t="n"/>
      <c r="D38" s="35" t="n">
        <v>41686.02</v>
      </c>
      <c r="E38" s="35" t="n">
        <v>48516.96000000001</v>
      </c>
      <c r="F38" s="35" t="n">
        <v>53506.38</v>
      </c>
      <c r="G38" s="35" t="n">
        <v>48424.94</v>
      </c>
      <c r="H38" s="35" t="n">
        <v>49565.77</v>
      </c>
      <c r="I38" s="35" t="n">
        <v>43723.78000000001</v>
      </c>
      <c r="J38" s="35" t="n">
        <v>43425.73</v>
      </c>
      <c r="K38" s="35" t="n">
        <v>45404.95</v>
      </c>
      <c r="L38" s="35" t="n">
        <v>45501.65</v>
      </c>
      <c r="M38" s="35" t="n">
        <v>45520.52</v>
      </c>
      <c r="N38" s="35" t="n">
        <v>38773.28</v>
      </c>
      <c r="O38" s="35" t="n">
        <v>35362.74</v>
      </c>
      <c r="P38" s="35" t="n">
        <v>48095.21</v>
      </c>
      <c r="Q38" s="35" t="n">
        <v>41072.23</v>
      </c>
      <c r="R38" s="35" t="n">
        <v>41692.92</v>
      </c>
      <c r="S38" s="35" t="n">
        <v>48549.05</v>
      </c>
      <c r="T38" s="85" t="n">
        <v>36882.31</v>
      </c>
      <c r="U38" s="17">
        <f>U34+U35+U36+U37</f>
        <v/>
      </c>
      <c r="V38" s="17">
        <f>V34+V35+V36+V37</f>
        <v/>
      </c>
      <c r="W38" s="17">
        <f>W34+W35+W36+W37</f>
        <v/>
      </c>
      <c r="X38" s="17">
        <f>X34+X35+X36+X37</f>
        <v/>
      </c>
      <c r="Y38" s="17">
        <f>Y34+Y35+Y36+Y37</f>
        <v/>
      </c>
      <c r="Z38" s="17">
        <f>Z34+Z35+Z36+Z37</f>
        <v/>
      </c>
      <c r="AA38" s="17">
        <f>AA34+AA35+AA36+AA37</f>
        <v/>
      </c>
      <c r="AB38" s="17">
        <f>AB34+AB35+AB36+AB37</f>
        <v/>
      </c>
      <c r="AC38" s="17">
        <f>AC34+AC35+AC36+AC37</f>
        <v/>
      </c>
      <c r="AD38" s="17">
        <f>AD34+AD35+AD36+AD37</f>
        <v/>
      </c>
      <c r="AE38" s="17">
        <f>AE34+AE35+AE36+AE37</f>
        <v/>
      </c>
      <c r="AF38" s="17">
        <f>AF34+AF35+AF36+AF37</f>
        <v/>
      </c>
      <c r="AG38" s="17">
        <f>AG34+AG35+AG36+AG37</f>
        <v/>
      </c>
      <c r="AH38" s="17">
        <f>AH34+AH35+AH36+AH37</f>
        <v/>
      </c>
      <c r="AI38" s="17">
        <f>AI34+AI35+AI36+AI37</f>
        <v/>
      </c>
      <c r="AJ38" s="17">
        <f>AJ34+AJ35+AJ36+AJ37</f>
        <v/>
      </c>
      <c r="AK38" s="17">
        <f>AK34+AK35+AK36+AK37</f>
        <v/>
      </c>
      <c r="AL38" s="17">
        <f>AL34+AL35+AL36+AL37</f>
        <v/>
      </c>
      <c r="AM38" s="17">
        <f>AM34+AM35+AM36+AM37</f>
        <v/>
      </c>
      <c r="AN38" s="17">
        <f>AN34+AN35+AN36+AN37</f>
        <v/>
      </c>
      <c r="AO38" s="17">
        <f>AO34+AO35+AO36+AO37</f>
        <v/>
      </c>
      <c r="AP38" s="17">
        <f>AP34+AP35+AP36+AP37</f>
        <v/>
      </c>
      <c r="AQ38" s="17">
        <f>AQ34+AQ35+AQ36+AQ37</f>
        <v/>
      </c>
      <c r="AR38" s="17">
        <f>AR34+AR35+AR36+AR37</f>
        <v/>
      </c>
      <c r="AS38" s="17">
        <f>AS34+AS35+AS36+AS37</f>
        <v/>
      </c>
      <c r="AT38" s="17">
        <f>AT34+AT35+AT36+AT37</f>
        <v/>
      </c>
      <c r="AU38" s="17">
        <f>AU34+AU35+AU36+AU37</f>
        <v/>
      </c>
      <c r="AV38" s="17">
        <f>AV34+AV35+AV36+AV37</f>
        <v/>
      </c>
      <c r="AW38" s="17">
        <f>AW34+AW35+AW36+AW37</f>
        <v/>
      </c>
      <c r="AX38" s="17">
        <f>AX34+AX35+AX36+AX37</f>
        <v/>
      </c>
      <c r="AY38" s="17">
        <f>AY34+AY35+AY36+AY37</f>
        <v/>
      </c>
    </row>
    <row r="39">
      <c r="B39" s="33" t="inlineStr">
        <is>
          <t xml:space="preserve">  603000 Software &amp; Web Services</t>
        </is>
      </c>
      <c r="D39" s="19" t="n">
        <v>740.83</v>
      </c>
      <c r="E39" s="19" t="n">
        <v>694.22</v>
      </c>
      <c r="F39" s="19" t="n">
        <v>618.25</v>
      </c>
      <c r="G39" s="19" t="n">
        <v>1500.01</v>
      </c>
      <c r="H39" s="19" t="n">
        <v>1288.95</v>
      </c>
      <c r="I39" s="19" t="n">
        <v>486.45</v>
      </c>
      <c r="J39" s="19" t="n">
        <v>762.9400000000001</v>
      </c>
      <c r="K39" s="19" t="n">
        <v>1714.72</v>
      </c>
      <c r="L39" s="19" t="n">
        <v>645</v>
      </c>
      <c r="M39" s="19" t="n">
        <v>753.1</v>
      </c>
      <c r="N39" s="19" t="n">
        <v>777.6</v>
      </c>
      <c r="O39" s="19" t="n">
        <v>780.6</v>
      </c>
      <c r="P39" s="19" t="n">
        <v>777.6</v>
      </c>
      <c r="Q39" s="19" t="n">
        <v>5303.49</v>
      </c>
      <c r="R39" s="19" t="n">
        <v>723.1</v>
      </c>
      <c r="S39" s="19" t="n">
        <v>748.28</v>
      </c>
      <c r="T39" s="84" t="n">
        <v>779.28</v>
      </c>
      <c r="U39" s="20" t="n">
        <v>1426.46</v>
      </c>
      <c r="V39" s="20" t="n">
        <v>1426.46</v>
      </c>
      <c r="W39" s="20" t="n">
        <v>1426.46</v>
      </c>
      <c r="X39" s="20" t="n">
        <v>1426.46</v>
      </c>
      <c r="Y39" s="20" t="n">
        <v>1426.46</v>
      </c>
      <c r="Z39" s="20" t="n">
        <v>1426.46</v>
      </c>
      <c r="AA39" s="20" t="n">
        <v>1426.46</v>
      </c>
      <c r="AB39" s="20" t="n">
        <v>1426.46</v>
      </c>
      <c r="AC39" s="20" t="n">
        <v>1426.46</v>
      </c>
      <c r="AD39" s="20" t="n">
        <v>1426.46</v>
      </c>
      <c r="AE39" s="20" t="n">
        <v>1426.46</v>
      </c>
      <c r="AF39" s="20" t="n">
        <v>1426.46</v>
      </c>
      <c r="AG39" s="20" t="n">
        <v>1426.46</v>
      </c>
      <c r="AH39" s="20" t="n">
        <v>1426.46</v>
      </c>
      <c r="AI39" s="20" t="n">
        <v>1426.46</v>
      </c>
      <c r="AJ39" s="20" t="n">
        <v>1426.46</v>
      </c>
      <c r="AK39" s="20" t="n">
        <v>1426.46</v>
      </c>
      <c r="AL39" s="20" t="n">
        <v>1426.46</v>
      </c>
      <c r="AM39" s="20" t="n">
        <v>1426.46</v>
      </c>
      <c r="AN39" s="20" t="n">
        <v>1426.46</v>
      </c>
      <c r="AO39" s="20" t="n">
        <v>1426.46</v>
      </c>
      <c r="AP39" s="20" t="n">
        <v>1426.46</v>
      </c>
      <c r="AQ39" s="20" t="n">
        <v>1426.46</v>
      </c>
      <c r="AR39" s="20" t="n">
        <v>1426.46</v>
      </c>
      <c r="AS39" s="20" t="n">
        <v>1426.46</v>
      </c>
      <c r="AT39" s="20" t="n">
        <v>1426.46</v>
      </c>
      <c r="AU39" s="20" t="n">
        <v>1426.46</v>
      </c>
      <c r="AV39" s="20" t="n">
        <v>1426.46</v>
      </c>
      <c r="AW39" s="20" t="n">
        <v>1426.46</v>
      </c>
      <c r="AX39" s="20" t="n">
        <v>1426.46</v>
      </c>
      <c r="AY39" s="20" t="n">
        <v>1426.46</v>
      </c>
    </row>
    <row r="40">
      <c r="B40" s="33" t="inlineStr">
        <is>
          <t xml:space="preserve">  608000 Insurance</t>
        </is>
      </c>
      <c r="D40" s="19" t="n">
        <v>1804.29</v>
      </c>
      <c r="E40" s="19" t="n">
        <v>2018.29</v>
      </c>
      <c r="F40" s="19" t="n">
        <v>1911.29</v>
      </c>
      <c r="G40" s="19" t="n">
        <v>1911.29</v>
      </c>
      <c r="H40" s="19" t="n">
        <v>1911.29</v>
      </c>
      <c r="I40" s="19" t="n">
        <v>1911.29</v>
      </c>
      <c r="J40" s="19" t="n">
        <v>1911.29</v>
      </c>
      <c r="K40" s="19" t="n">
        <v>1911.29</v>
      </c>
      <c r="L40" s="19" t="n">
        <v>1911.29</v>
      </c>
      <c r="M40" s="19" t="n">
        <v>2269.41</v>
      </c>
      <c r="N40" s="19" t="n">
        <v>2269.41</v>
      </c>
      <c r="O40" s="19" t="n">
        <v>2269.41</v>
      </c>
      <c r="P40" s="19" t="n">
        <v>1583.83</v>
      </c>
      <c r="Q40" s="19" t="n">
        <v>1583.83</v>
      </c>
      <c r="R40" s="19" t="n">
        <v>1813.75</v>
      </c>
      <c r="S40" s="19" t="n">
        <v>1813.75</v>
      </c>
      <c r="T40" s="84" t="n">
        <v>1779.35</v>
      </c>
      <c r="U40" s="20" t="n">
        <v>1283.42</v>
      </c>
      <c r="V40" s="20" t="n">
        <v>1283.42</v>
      </c>
      <c r="W40" s="20" t="n">
        <v>1283.42</v>
      </c>
      <c r="X40" s="20" t="n">
        <v>1283.42</v>
      </c>
      <c r="Y40" s="20" t="n">
        <v>1283.42</v>
      </c>
      <c r="Z40" s="20" t="n">
        <v>1283.42</v>
      </c>
      <c r="AA40" s="20" t="n">
        <v>1283.42</v>
      </c>
      <c r="AB40" s="20" t="n">
        <v>1283.42</v>
      </c>
      <c r="AC40" s="20" t="n">
        <v>1283.42</v>
      </c>
      <c r="AD40" s="20" t="n">
        <v>1283.42</v>
      </c>
      <c r="AE40" s="20" t="n">
        <v>1283.42</v>
      </c>
      <c r="AF40" s="20" t="n">
        <v>1283.42</v>
      </c>
      <c r="AG40" s="20" t="n">
        <v>1283.42</v>
      </c>
      <c r="AH40" s="20" t="n">
        <v>1283.42</v>
      </c>
      <c r="AI40" s="20" t="n">
        <v>1283.42</v>
      </c>
      <c r="AJ40" s="20" t="n">
        <v>1283.42</v>
      </c>
      <c r="AK40" s="20" t="n">
        <v>1283.42</v>
      </c>
      <c r="AL40" s="20" t="n">
        <v>1283.42</v>
      </c>
      <c r="AM40" s="20" t="n">
        <v>1283.42</v>
      </c>
      <c r="AN40" s="20" t="n">
        <v>1283.42</v>
      </c>
      <c r="AO40" s="20" t="n">
        <v>1283.42</v>
      </c>
      <c r="AP40" s="20" t="n">
        <v>1283.42</v>
      </c>
      <c r="AQ40" s="20" t="n">
        <v>1283.42</v>
      </c>
      <c r="AR40" s="20" t="n">
        <v>1283.42</v>
      </c>
      <c r="AS40" s="20" t="n">
        <v>1283.42</v>
      </c>
      <c r="AT40" s="20" t="n">
        <v>1283.42</v>
      </c>
      <c r="AU40" s="20" t="n">
        <v>1283.42</v>
      </c>
      <c r="AV40" s="20" t="n">
        <v>1283.42</v>
      </c>
      <c r="AW40" s="20" t="n">
        <v>1283.42</v>
      </c>
      <c r="AX40" s="20" t="n">
        <v>1283.42</v>
      </c>
      <c r="AY40" s="20" t="n">
        <v>1283.42</v>
      </c>
    </row>
    <row r="41">
      <c r="B41" s="33" t="inlineStr">
        <is>
          <t xml:space="preserve">  610000 Office Supplies</t>
        </is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>
        <v>777.45</v>
      </c>
      <c r="Q41" s="19" t="n">
        <v>21.3</v>
      </c>
      <c r="R41" s="19" t="n">
        <v>627.75</v>
      </c>
      <c r="S41" s="19" t="n">
        <v>793.25</v>
      </c>
      <c r="T41" s="84" t="n">
        <v>0</v>
      </c>
      <c r="U41" s="20" t="n">
        <v>419.25</v>
      </c>
      <c r="V41" s="20" t="n">
        <v>419.25</v>
      </c>
      <c r="W41" s="20" t="n">
        <v>419.25</v>
      </c>
      <c r="X41" s="20" t="n">
        <v>419.25</v>
      </c>
      <c r="Y41" s="20" t="n">
        <v>419.25</v>
      </c>
      <c r="Z41" s="20" t="n">
        <v>419.25</v>
      </c>
      <c r="AA41" s="20" t="n">
        <v>419.25</v>
      </c>
      <c r="AB41" s="20" t="n">
        <v>419.25</v>
      </c>
      <c r="AC41" s="20" t="n">
        <v>419.25</v>
      </c>
      <c r="AD41" s="20" t="n">
        <v>419.25</v>
      </c>
      <c r="AE41" s="20" t="n">
        <v>419.25</v>
      </c>
      <c r="AF41" s="20" t="n">
        <v>419.25</v>
      </c>
      <c r="AG41" s="20" t="n">
        <v>419.25</v>
      </c>
      <c r="AH41" s="20" t="n">
        <v>419.25</v>
      </c>
      <c r="AI41" s="20" t="n">
        <v>419.25</v>
      </c>
      <c r="AJ41" s="20" t="n">
        <v>419.25</v>
      </c>
      <c r="AK41" s="20" t="n">
        <v>419.25</v>
      </c>
      <c r="AL41" s="20" t="n">
        <v>419.25</v>
      </c>
      <c r="AM41" s="20" t="n">
        <v>419.25</v>
      </c>
      <c r="AN41" s="20" t="n">
        <v>419.25</v>
      </c>
      <c r="AO41" s="20" t="n">
        <v>419.25</v>
      </c>
      <c r="AP41" s="20" t="n">
        <v>419.25</v>
      </c>
      <c r="AQ41" s="20" t="n">
        <v>419.25</v>
      </c>
      <c r="AR41" s="20" t="n">
        <v>419.25</v>
      </c>
      <c r="AS41" s="20" t="n">
        <v>419.25</v>
      </c>
      <c r="AT41" s="20" t="n">
        <v>419.25</v>
      </c>
      <c r="AU41" s="20" t="n">
        <v>419.25</v>
      </c>
      <c r="AV41" s="20" t="n">
        <v>419.25</v>
      </c>
      <c r="AW41" s="20" t="n">
        <v>419.25</v>
      </c>
      <c r="AX41" s="20" t="n">
        <v>419.25</v>
      </c>
      <c r="AY41" s="20" t="n">
        <v>419.25</v>
      </c>
    </row>
    <row r="42">
      <c r="B42" s="32" t="inlineStr">
        <is>
          <t>Total Software &amp; Admin</t>
        </is>
      </c>
      <c r="C42" s="34" t="n"/>
      <c r="D42" s="35">
        <f>D39+D40+D41</f>
        <v/>
      </c>
      <c r="E42" s="35">
        <f>E39+E40+E41</f>
        <v/>
      </c>
      <c r="F42" s="35">
        <f>F39+F40+F41</f>
        <v/>
      </c>
      <c r="G42" s="35">
        <f>G39+G40+G41</f>
        <v/>
      </c>
      <c r="H42" s="35">
        <f>H39+H40+H41</f>
        <v/>
      </c>
      <c r="I42" s="35">
        <f>I39+I40+I41</f>
        <v/>
      </c>
      <c r="J42" s="35">
        <f>J39+J40+J41</f>
        <v/>
      </c>
      <c r="K42" s="35">
        <f>K39+K40+K41</f>
        <v/>
      </c>
      <c r="L42" s="35">
        <f>L39+L40+L41</f>
        <v/>
      </c>
      <c r="M42" s="35">
        <f>M39+M40+M41</f>
        <v/>
      </c>
      <c r="N42" s="35">
        <f>N39+N40+N41</f>
        <v/>
      </c>
      <c r="O42" s="35">
        <f>O39+O40+O41</f>
        <v/>
      </c>
      <c r="P42" s="35">
        <f>P39+P40+P41</f>
        <v/>
      </c>
      <c r="Q42" s="35">
        <f>Q39+Q40+Q41</f>
        <v/>
      </c>
      <c r="R42" s="35">
        <f>R39+R40+R41</f>
        <v/>
      </c>
      <c r="S42" s="35">
        <f>S39+S40+S41</f>
        <v/>
      </c>
      <c r="T42" s="17">
        <f>T39+T40+T41</f>
        <v/>
      </c>
      <c r="U42" s="17">
        <f>U39+U40+U41</f>
        <v/>
      </c>
      <c r="V42" s="17">
        <f>V39+V40+V41</f>
        <v/>
      </c>
      <c r="W42" s="17">
        <f>W39+W40+W41</f>
        <v/>
      </c>
      <c r="X42" s="17">
        <f>X39+X40+X41</f>
        <v/>
      </c>
      <c r="Y42" s="17">
        <f>Y39+Y40+Y41</f>
        <v/>
      </c>
      <c r="Z42" s="17">
        <f>Z39+Z40+Z41</f>
        <v/>
      </c>
      <c r="AA42" s="17">
        <f>AA39+AA40+AA41</f>
        <v/>
      </c>
      <c r="AB42" s="17">
        <f>AB39+AB40+AB41</f>
        <v/>
      </c>
      <c r="AC42" s="17">
        <f>AC39+AC40+AC41</f>
        <v/>
      </c>
      <c r="AD42" s="17">
        <f>AD39+AD40+AD41</f>
        <v/>
      </c>
      <c r="AE42" s="17">
        <f>AE39+AE40+AE41</f>
        <v/>
      </c>
      <c r="AF42" s="17">
        <f>AF39+AF40+AF41</f>
        <v/>
      </c>
      <c r="AG42" s="17">
        <f>AG39+AG40+AG41</f>
        <v/>
      </c>
      <c r="AH42" s="17">
        <f>AH39+AH40+AH41</f>
        <v/>
      </c>
      <c r="AI42" s="17">
        <f>AI39+AI40+AI41</f>
        <v/>
      </c>
      <c r="AJ42" s="17">
        <f>AJ39+AJ40+AJ41</f>
        <v/>
      </c>
      <c r="AK42" s="17">
        <f>AK39+AK40+AK41</f>
        <v/>
      </c>
      <c r="AL42" s="17">
        <f>AL39+AL40+AL41</f>
        <v/>
      </c>
      <c r="AM42" s="17">
        <f>AM39+AM40+AM41</f>
        <v/>
      </c>
      <c r="AN42" s="17">
        <f>AN39+AN40+AN41</f>
        <v/>
      </c>
      <c r="AO42" s="17">
        <f>AO39+AO40+AO41</f>
        <v/>
      </c>
      <c r="AP42" s="17">
        <f>AP39+AP40+AP41</f>
        <v/>
      </c>
      <c r="AQ42" s="17">
        <f>AQ39+AQ40+AQ41</f>
        <v/>
      </c>
      <c r="AR42" s="17">
        <f>AR39+AR40+AR41</f>
        <v/>
      </c>
      <c r="AS42" s="17">
        <f>AS39+AS40+AS41</f>
        <v/>
      </c>
      <c r="AT42" s="17">
        <f>AT39+AT40+AT41</f>
        <v/>
      </c>
      <c r="AU42" s="17">
        <f>AU39+AU40+AU41</f>
        <v/>
      </c>
      <c r="AV42" s="17">
        <f>AV39+AV40+AV41</f>
        <v/>
      </c>
      <c r="AW42" s="17">
        <f>AW39+AW40+AW41</f>
        <v/>
      </c>
      <c r="AX42" s="17">
        <f>AX39+AX40+AX41</f>
        <v/>
      </c>
      <c r="AY42" s="17">
        <f>AY39+AY40+AY41</f>
        <v/>
      </c>
    </row>
    <row r="43">
      <c r="B43" s="33" t="inlineStr">
        <is>
          <t xml:space="preserve">  604100 Legal Fees</t>
        </is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>
        <v>0</v>
      </c>
      <c r="Q43" s="19" t="n">
        <v>0</v>
      </c>
      <c r="R43" s="19" t="n">
        <v>0</v>
      </c>
      <c r="S43" s="19" t="n">
        <v>0</v>
      </c>
      <c r="T43" s="84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0" t="n">
        <v>0</v>
      </c>
      <c r="AQ43" s="20" t="n">
        <v>0</v>
      </c>
      <c r="AR43" s="20" t="n">
        <v>0</v>
      </c>
      <c r="AS43" s="20" t="n">
        <v>0</v>
      </c>
      <c r="AT43" s="20" t="n">
        <v>0</v>
      </c>
      <c r="AU43" s="20" t="n">
        <v>0</v>
      </c>
      <c r="AV43" s="20" t="n">
        <v>0</v>
      </c>
      <c r="AW43" s="20" t="n">
        <v>0</v>
      </c>
      <c r="AX43" s="20" t="n">
        <v>0</v>
      </c>
      <c r="AY43" s="20" t="n">
        <v>0</v>
      </c>
    </row>
    <row r="44">
      <c r="B44" s="33" t="inlineStr">
        <is>
          <t xml:space="preserve">  604200 Accounting</t>
        </is>
      </c>
      <c r="D44" s="19" t="n">
        <v>321.75</v>
      </c>
      <c r="E44" s="19" t="n">
        <v>140.5</v>
      </c>
      <c r="F44" s="19" t="n">
        <v>248</v>
      </c>
      <c r="G44" s="19" t="n">
        <v>45.25</v>
      </c>
      <c r="H44" s="19" t="n">
        <v>1345</v>
      </c>
      <c r="I44" s="19" t="n">
        <v>45.5</v>
      </c>
      <c r="J44" s="19" t="n">
        <v>45.5</v>
      </c>
      <c r="K44" s="19" t="n">
        <v>951.75</v>
      </c>
      <c r="L44" s="19" t="n">
        <v>52.5</v>
      </c>
      <c r="M44" s="19" t="n">
        <v>162.5</v>
      </c>
      <c r="N44" s="19" t="n">
        <v>154.54</v>
      </c>
      <c r="O44" s="19" t="n">
        <v>101.59</v>
      </c>
      <c r="P44" s="19" t="n">
        <v>0</v>
      </c>
      <c r="Q44" s="19" t="n">
        <v>301.8</v>
      </c>
      <c r="R44" s="19" t="n">
        <v>440</v>
      </c>
      <c r="S44" s="19" t="n">
        <v>0</v>
      </c>
      <c r="T44" s="84" t="n">
        <v>1116.8</v>
      </c>
      <c r="U44" s="20" t="n">
        <v>136.42</v>
      </c>
      <c r="V44" s="20" t="n">
        <v>136.42</v>
      </c>
      <c r="W44" s="20" t="n">
        <v>136.42</v>
      </c>
      <c r="X44" s="20" t="n">
        <v>136.42</v>
      </c>
      <c r="Y44" s="20" t="n">
        <v>136.42</v>
      </c>
      <c r="Z44" s="20" t="n">
        <v>136.42</v>
      </c>
      <c r="AA44" s="20" t="n">
        <v>136.42</v>
      </c>
      <c r="AB44" s="20" t="n">
        <v>136.42</v>
      </c>
      <c r="AC44" s="20" t="n">
        <v>136.42</v>
      </c>
      <c r="AD44" s="20" t="n">
        <v>136.42</v>
      </c>
      <c r="AE44" s="20" t="n">
        <v>136.42</v>
      </c>
      <c r="AF44" s="20" t="n">
        <v>136.42</v>
      </c>
      <c r="AG44" s="20" t="n">
        <v>136.42</v>
      </c>
      <c r="AH44" s="20" t="n">
        <v>136.42</v>
      </c>
      <c r="AI44" s="20" t="n">
        <v>136.42</v>
      </c>
      <c r="AJ44" s="20" t="n">
        <v>136.42</v>
      </c>
      <c r="AK44" s="20" t="n">
        <v>136.42</v>
      </c>
      <c r="AL44" s="20" t="n">
        <v>136.42</v>
      </c>
      <c r="AM44" s="20" t="n">
        <v>136.42</v>
      </c>
      <c r="AN44" s="20" t="n">
        <v>136.42</v>
      </c>
      <c r="AO44" s="20" t="n">
        <v>136.42</v>
      </c>
      <c r="AP44" s="20" t="n">
        <v>136.42</v>
      </c>
      <c r="AQ44" s="20" t="n">
        <v>136.42</v>
      </c>
      <c r="AR44" s="20" t="n">
        <v>136.42</v>
      </c>
      <c r="AS44" s="20" t="n">
        <v>136.42</v>
      </c>
      <c r="AT44" s="20" t="n">
        <v>136.42</v>
      </c>
      <c r="AU44" s="20" t="n">
        <v>136.42</v>
      </c>
      <c r="AV44" s="20" t="n">
        <v>136.42</v>
      </c>
      <c r="AW44" s="20" t="n">
        <v>136.42</v>
      </c>
      <c r="AX44" s="20" t="n">
        <v>136.42</v>
      </c>
      <c r="AY44" s="20" t="n">
        <v>136.42</v>
      </c>
    </row>
    <row r="45">
      <c r="B45" s="33" t="inlineStr">
        <is>
          <t xml:space="preserve">  604300 Recruiting</t>
        </is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>
        <v>0</v>
      </c>
      <c r="Q45" s="19" t="n">
        <v>0</v>
      </c>
      <c r="R45" s="19" t="n">
        <v>0</v>
      </c>
      <c r="S45" s="19" t="n">
        <v>0</v>
      </c>
      <c r="T45" s="84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0" t="n">
        <v>0</v>
      </c>
      <c r="AQ45" s="20" t="n">
        <v>0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0" t="n">
        <v>0</v>
      </c>
      <c r="AX45" s="20" t="n">
        <v>0</v>
      </c>
      <c r="AY45" s="20" t="n">
        <v>0</v>
      </c>
    </row>
    <row r="46">
      <c r="B46" s="33" t="inlineStr">
        <is>
          <t xml:space="preserve">  604400 Other Professional Fees</t>
        </is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479.1</v>
      </c>
      <c r="K46" s="19" t="n">
        <v>479.1</v>
      </c>
      <c r="L46" s="19" t="n">
        <v>479.1</v>
      </c>
      <c r="M46" s="19" t="n">
        <v>743.5</v>
      </c>
      <c r="N46" s="19" t="n">
        <v>481</v>
      </c>
      <c r="O46" s="19" t="n">
        <v>497.18</v>
      </c>
      <c r="P46" s="19" t="n">
        <v>516</v>
      </c>
      <c r="Q46" s="19" t="n">
        <v>516</v>
      </c>
      <c r="R46" s="19" t="n">
        <v>516</v>
      </c>
      <c r="S46" s="19" t="n">
        <v>516</v>
      </c>
      <c r="T46" s="84" t="n">
        <v>516</v>
      </c>
      <c r="U46" s="20" t="n">
        <v>379.58</v>
      </c>
      <c r="V46" s="20" t="n">
        <v>379.58</v>
      </c>
      <c r="W46" s="20" t="n">
        <v>379.58</v>
      </c>
      <c r="X46" s="20" t="n">
        <v>379.58</v>
      </c>
      <c r="Y46" s="20" t="n">
        <v>379.58</v>
      </c>
      <c r="Z46" s="20" t="n">
        <v>379.58</v>
      </c>
      <c r="AA46" s="20" t="n">
        <v>379.58</v>
      </c>
      <c r="AB46" s="20" t="n">
        <v>379.58</v>
      </c>
      <c r="AC46" s="20" t="n">
        <v>379.58</v>
      </c>
      <c r="AD46" s="20" t="n">
        <v>379.58</v>
      </c>
      <c r="AE46" s="20" t="n">
        <v>379.58</v>
      </c>
      <c r="AF46" s="20" t="n">
        <v>379.58</v>
      </c>
      <c r="AG46" s="20" t="n">
        <v>379.58</v>
      </c>
      <c r="AH46" s="20" t="n">
        <v>379.58</v>
      </c>
      <c r="AI46" s="20" t="n">
        <v>379.58</v>
      </c>
      <c r="AJ46" s="20" t="n">
        <v>379.58</v>
      </c>
      <c r="AK46" s="20" t="n">
        <v>379.58</v>
      </c>
      <c r="AL46" s="20" t="n">
        <v>379.58</v>
      </c>
      <c r="AM46" s="20" t="n">
        <v>379.58</v>
      </c>
      <c r="AN46" s="20" t="n">
        <v>379.58</v>
      </c>
      <c r="AO46" s="20" t="n">
        <v>379.58</v>
      </c>
      <c r="AP46" s="20" t="n">
        <v>379.58</v>
      </c>
      <c r="AQ46" s="20" t="n">
        <v>379.58</v>
      </c>
      <c r="AR46" s="20" t="n">
        <v>379.58</v>
      </c>
      <c r="AS46" s="20" t="n">
        <v>379.58</v>
      </c>
      <c r="AT46" s="20" t="n">
        <v>379.58</v>
      </c>
      <c r="AU46" s="20" t="n">
        <v>379.58</v>
      </c>
      <c r="AV46" s="20" t="n">
        <v>379.58</v>
      </c>
      <c r="AW46" s="20" t="n">
        <v>379.58</v>
      </c>
      <c r="AX46" s="20" t="n">
        <v>379.58</v>
      </c>
      <c r="AY46" s="20" t="n">
        <v>379.58</v>
      </c>
    </row>
    <row r="47">
      <c r="B47" s="32" t="inlineStr">
        <is>
          <t>Total Professional Fees</t>
        </is>
      </c>
      <c r="C47" s="34" t="n"/>
      <c r="D47" s="35" t="n">
        <v>321.75</v>
      </c>
      <c r="E47" s="35" t="n">
        <v>140.5</v>
      </c>
      <c r="F47" s="35" t="n">
        <v>248</v>
      </c>
      <c r="G47" s="35" t="n">
        <v>45.25</v>
      </c>
      <c r="H47" s="35" t="n">
        <v>1345</v>
      </c>
      <c r="I47" s="35" t="n">
        <v>45.5</v>
      </c>
      <c r="J47" s="35" t="n">
        <v>524.6</v>
      </c>
      <c r="K47" s="35" t="n">
        <v>1430.85</v>
      </c>
      <c r="L47" s="35" t="n">
        <v>531.6</v>
      </c>
      <c r="M47" s="35" t="n">
        <v>906</v>
      </c>
      <c r="N47" s="35" t="n">
        <v>635.54</v>
      </c>
      <c r="O47" s="35" t="n">
        <v>598.77</v>
      </c>
      <c r="P47" s="35" t="n">
        <v>516</v>
      </c>
      <c r="Q47" s="35" t="n">
        <v>817.8</v>
      </c>
      <c r="R47" s="35" t="n">
        <v>956</v>
      </c>
      <c r="S47" s="35" t="n">
        <v>516</v>
      </c>
      <c r="T47" s="85" t="n">
        <v>1632.8</v>
      </c>
      <c r="U47" s="17">
        <f>U43+U44+U45+U46</f>
        <v/>
      </c>
      <c r="V47" s="17">
        <f>V43+V44+V45+V46</f>
        <v/>
      </c>
      <c r="W47" s="17">
        <f>W43+W44+W45+W46</f>
        <v/>
      </c>
      <c r="X47" s="17">
        <f>X43+X44+X45+X46</f>
        <v/>
      </c>
      <c r="Y47" s="17">
        <f>Y43+Y44+Y45+Y46</f>
        <v/>
      </c>
      <c r="Z47" s="17">
        <f>Z43+Z44+Z45+Z46</f>
        <v/>
      </c>
      <c r="AA47" s="17">
        <f>AA43+AA44+AA45+AA46</f>
        <v/>
      </c>
      <c r="AB47" s="17">
        <f>AB43+AB44+AB45+AB46</f>
        <v/>
      </c>
      <c r="AC47" s="17">
        <f>AC43+AC44+AC45+AC46</f>
        <v/>
      </c>
      <c r="AD47" s="17">
        <f>AD43+AD44+AD45+AD46</f>
        <v/>
      </c>
      <c r="AE47" s="17">
        <f>AE43+AE44+AE45+AE46</f>
        <v/>
      </c>
      <c r="AF47" s="17">
        <f>AF43+AF44+AF45+AF46</f>
        <v/>
      </c>
      <c r="AG47" s="17">
        <f>AG43+AG44+AG45+AG46</f>
        <v/>
      </c>
      <c r="AH47" s="17">
        <f>AH43+AH44+AH45+AH46</f>
        <v/>
      </c>
      <c r="AI47" s="17">
        <f>AI43+AI44+AI45+AI46</f>
        <v/>
      </c>
      <c r="AJ47" s="17">
        <f>AJ43+AJ44+AJ45+AJ46</f>
        <v/>
      </c>
      <c r="AK47" s="17">
        <f>AK43+AK44+AK45+AK46</f>
        <v/>
      </c>
      <c r="AL47" s="17">
        <f>AL43+AL44+AL45+AL46</f>
        <v/>
      </c>
      <c r="AM47" s="17">
        <f>AM43+AM44+AM45+AM46</f>
        <v/>
      </c>
      <c r="AN47" s="17">
        <f>AN43+AN44+AN45+AN46</f>
        <v/>
      </c>
      <c r="AO47" s="17">
        <f>AO43+AO44+AO45+AO46</f>
        <v/>
      </c>
      <c r="AP47" s="17">
        <f>AP43+AP44+AP45+AP46</f>
        <v/>
      </c>
      <c r="AQ47" s="17">
        <f>AQ43+AQ44+AQ45+AQ46</f>
        <v/>
      </c>
      <c r="AR47" s="17">
        <f>AR43+AR44+AR45+AR46</f>
        <v/>
      </c>
      <c r="AS47" s="17">
        <f>AS43+AS44+AS45+AS46</f>
        <v/>
      </c>
      <c r="AT47" s="17">
        <f>AT43+AT44+AT45+AT46</f>
        <v/>
      </c>
      <c r="AU47" s="17">
        <f>AU43+AU44+AU45+AU46</f>
        <v/>
      </c>
      <c r="AV47" s="17">
        <f>AV43+AV44+AV45+AV46</f>
        <v/>
      </c>
      <c r="AW47" s="17">
        <f>AW43+AW44+AW45+AW46</f>
        <v/>
      </c>
      <c r="AX47" s="17">
        <f>AX43+AX44+AX45+AX46</f>
        <v/>
      </c>
      <c r="AY47" s="17">
        <f>AY43+AY44+AY45+AY46</f>
        <v/>
      </c>
    </row>
    <row r="48">
      <c r="B48" s="33" t="inlineStr">
        <is>
          <t xml:space="preserve">  605000 Travel</t>
        </is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>
        <v>81.41</v>
      </c>
      <c r="Q48" s="19" t="n">
        <v>76.58</v>
      </c>
      <c r="R48" s="19" t="n">
        <v>78.47</v>
      </c>
      <c r="S48" s="19" t="n">
        <v>18.13</v>
      </c>
      <c r="T48" s="84" t="n">
        <v>0</v>
      </c>
      <c r="U48" s="20" t="n">
        <v>69.5</v>
      </c>
      <c r="V48" s="20" t="n">
        <v>69.5</v>
      </c>
      <c r="W48" s="20" t="n">
        <v>69.5</v>
      </c>
      <c r="X48" s="20" t="n">
        <v>69.5</v>
      </c>
      <c r="Y48" s="20" t="n">
        <v>69.5</v>
      </c>
      <c r="Z48" s="20" t="n">
        <v>69.5</v>
      </c>
      <c r="AA48" s="20" t="n">
        <v>69.5</v>
      </c>
      <c r="AB48" s="20" t="n">
        <v>69.5</v>
      </c>
      <c r="AC48" s="20" t="n">
        <v>69.5</v>
      </c>
      <c r="AD48" s="20" t="n">
        <v>69.5</v>
      </c>
      <c r="AE48" s="20" t="n">
        <v>69.5</v>
      </c>
      <c r="AF48" s="20" t="n">
        <v>69.5</v>
      </c>
      <c r="AG48" s="20" t="n">
        <v>69.5</v>
      </c>
      <c r="AH48" s="20" t="n">
        <v>69.5</v>
      </c>
      <c r="AI48" s="20" t="n">
        <v>69.5</v>
      </c>
      <c r="AJ48" s="20" t="n">
        <v>69.5</v>
      </c>
      <c r="AK48" s="20" t="n">
        <v>69.5</v>
      </c>
      <c r="AL48" s="20" t="n">
        <v>69.5</v>
      </c>
      <c r="AM48" s="20" t="n">
        <v>69.5</v>
      </c>
      <c r="AN48" s="20" t="n">
        <v>69.5</v>
      </c>
      <c r="AO48" s="20" t="n">
        <v>69.5</v>
      </c>
      <c r="AP48" s="20" t="n">
        <v>69.5</v>
      </c>
      <c r="AQ48" s="20" t="n">
        <v>69.5</v>
      </c>
      <c r="AR48" s="20" t="n">
        <v>69.5</v>
      </c>
      <c r="AS48" s="20" t="n">
        <v>69.5</v>
      </c>
      <c r="AT48" s="20" t="n">
        <v>69.5</v>
      </c>
      <c r="AU48" s="20" t="n">
        <v>69.5</v>
      </c>
      <c r="AV48" s="20" t="n">
        <v>69.5</v>
      </c>
      <c r="AW48" s="20" t="n">
        <v>69.5</v>
      </c>
      <c r="AX48" s="20" t="n">
        <v>69.5</v>
      </c>
      <c r="AY48" s="20" t="n">
        <v>69.5</v>
      </c>
    </row>
    <row r="49">
      <c r="B49" s="33" t="inlineStr">
        <is>
          <t xml:space="preserve">  606000 Meals</t>
        </is>
      </c>
      <c r="D49" s="19" t="n">
        <v>0</v>
      </c>
      <c r="E49" s="19" t="n">
        <v>72.86</v>
      </c>
      <c r="F49" s="19" t="n">
        <v>51.25</v>
      </c>
      <c r="G49" s="19" t="n">
        <v>156.68</v>
      </c>
      <c r="H49" s="19" t="n">
        <v>111.67</v>
      </c>
      <c r="I49" s="19" t="n">
        <v>0</v>
      </c>
      <c r="J49" s="19" t="n">
        <v>130.25</v>
      </c>
      <c r="K49" s="19" t="n">
        <v>0</v>
      </c>
      <c r="L49" s="19" t="n">
        <v>205.66</v>
      </c>
      <c r="M49" s="19" t="n">
        <v>88.48999999999999</v>
      </c>
      <c r="N49" s="19" t="n">
        <v>0</v>
      </c>
      <c r="O49" s="19" t="n">
        <v>154.36</v>
      </c>
      <c r="P49" s="19" t="n">
        <v>48.55</v>
      </c>
      <c r="Q49" s="19" t="n">
        <v>0</v>
      </c>
      <c r="R49" s="19" t="n">
        <v>28.15</v>
      </c>
      <c r="S49" s="19" t="n">
        <v>144.77</v>
      </c>
      <c r="T49" s="84" t="n">
        <v>22.44</v>
      </c>
      <c r="U49" s="20" t="n">
        <v>60.46</v>
      </c>
      <c r="V49" s="20" t="n">
        <v>60.46</v>
      </c>
      <c r="W49" s="20" t="n">
        <v>60.46</v>
      </c>
      <c r="X49" s="20" t="n">
        <v>60.46</v>
      </c>
      <c r="Y49" s="20" t="n">
        <v>60.46</v>
      </c>
      <c r="Z49" s="20" t="n">
        <v>60.46</v>
      </c>
      <c r="AA49" s="20" t="n">
        <v>60.46</v>
      </c>
      <c r="AB49" s="20" t="n">
        <v>60.46</v>
      </c>
      <c r="AC49" s="20" t="n">
        <v>60.46</v>
      </c>
      <c r="AD49" s="20" t="n">
        <v>60.46</v>
      </c>
      <c r="AE49" s="20" t="n">
        <v>60.46</v>
      </c>
      <c r="AF49" s="20" t="n">
        <v>60.46</v>
      </c>
      <c r="AG49" s="20" t="n">
        <v>60.46</v>
      </c>
      <c r="AH49" s="20" t="n">
        <v>60.46</v>
      </c>
      <c r="AI49" s="20" t="n">
        <v>60.46</v>
      </c>
      <c r="AJ49" s="20" t="n">
        <v>60.46</v>
      </c>
      <c r="AK49" s="20" t="n">
        <v>60.46</v>
      </c>
      <c r="AL49" s="20" t="n">
        <v>60.46</v>
      </c>
      <c r="AM49" s="20" t="n">
        <v>60.46</v>
      </c>
      <c r="AN49" s="20" t="n">
        <v>60.46</v>
      </c>
      <c r="AO49" s="20" t="n">
        <v>60.46</v>
      </c>
      <c r="AP49" s="20" t="n">
        <v>60.46</v>
      </c>
      <c r="AQ49" s="20" t="n">
        <v>60.46</v>
      </c>
      <c r="AR49" s="20" t="n">
        <v>60.46</v>
      </c>
      <c r="AS49" s="20" t="n">
        <v>60.46</v>
      </c>
      <c r="AT49" s="20" t="n">
        <v>60.46</v>
      </c>
      <c r="AU49" s="20" t="n">
        <v>60.46</v>
      </c>
      <c r="AV49" s="20" t="n">
        <v>60.46</v>
      </c>
      <c r="AW49" s="20" t="n">
        <v>60.46</v>
      </c>
      <c r="AX49" s="20" t="n">
        <v>60.46</v>
      </c>
      <c r="AY49" s="20" t="n">
        <v>60.46</v>
      </c>
    </row>
    <row r="50">
      <c r="B50" s="32" t="inlineStr">
        <is>
          <t>Total Travel &amp; Meals</t>
        </is>
      </c>
      <c r="C50" s="34" t="n"/>
      <c r="D50" s="35">
        <f>D48+D49</f>
        <v/>
      </c>
      <c r="E50" s="35">
        <f>E48+E49</f>
        <v/>
      </c>
      <c r="F50" s="35">
        <f>F48+F49</f>
        <v/>
      </c>
      <c r="G50" s="35">
        <f>G48+G49</f>
        <v/>
      </c>
      <c r="H50" s="35">
        <f>H48+H49</f>
        <v/>
      </c>
      <c r="I50" s="35">
        <f>I48+I49</f>
        <v/>
      </c>
      <c r="J50" s="35">
        <f>J48+J49</f>
        <v/>
      </c>
      <c r="K50" s="35">
        <f>K48+K49</f>
        <v/>
      </c>
      <c r="L50" s="35">
        <f>L48+L49</f>
        <v/>
      </c>
      <c r="M50" s="35">
        <f>M48+M49</f>
        <v/>
      </c>
      <c r="N50" s="35">
        <f>N48+N49</f>
        <v/>
      </c>
      <c r="O50" s="35">
        <f>O48+O49</f>
        <v/>
      </c>
      <c r="P50" s="35">
        <f>P48+P49</f>
        <v/>
      </c>
      <c r="Q50" s="35">
        <f>Q48+Q49</f>
        <v/>
      </c>
      <c r="R50" s="35">
        <f>R48+R49</f>
        <v/>
      </c>
      <c r="S50" s="35">
        <f>S48+S49</f>
        <v/>
      </c>
      <c r="T50" s="17">
        <f>T48+T49</f>
        <v/>
      </c>
      <c r="U50" s="17">
        <f>U48+U49</f>
        <v/>
      </c>
      <c r="V50" s="17">
        <f>V48+V49</f>
        <v/>
      </c>
      <c r="W50" s="17">
        <f>W48+W49</f>
        <v/>
      </c>
      <c r="X50" s="17">
        <f>X48+X49</f>
        <v/>
      </c>
      <c r="Y50" s="17">
        <f>Y48+Y49</f>
        <v/>
      </c>
      <c r="Z50" s="17">
        <f>Z48+Z49</f>
        <v/>
      </c>
      <c r="AA50" s="17">
        <f>AA48+AA49</f>
        <v/>
      </c>
      <c r="AB50" s="17">
        <f>AB48+AB49</f>
        <v/>
      </c>
      <c r="AC50" s="17">
        <f>AC48+AC49</f>
        <v/>
      </c>
      <c r="AD50" s="17">
        <f>AD48+AD49</f>
        <v/>
      </c>
      <c r="AE50" s="17">
        <f>AE48+AE49</f>
        <v/>
      </c>
      <c r="AF50" s="17">
        <f>AF48+AF49</f>
        <v/>
      </c>
      <c r="AG50" s="17">
        <f>AG48+AG49</f>
        <v/>
      </c>
      <c r="AH50" s="17">
        <f>AH48+AH49</f>
        <v/>
      </c>
      <c r="AI50" s="17">
        <f>AI48+AI49</f>
        <v/>
      </c>
      <c r="AJ50" s="17">
        <f>AJ48+AJ49</f>
        <v/>
      </c>
      <c r="AK50" s="17">
        <f>AK48+AK49</f>
        <v/>
      </c>
      <c r="AL50" s="17">
        <f>AL48+AL49</f>
        <v/>
      </c>
      <c r="AM50" s="17">
        <f>AM48+AM49</f>
        <v/>
      </c>
      <c r="AN50" s="17">
        <f>AN48+AN49</f>
        <v/>
      </c>
      <c r="AO50" s="17">
        <f>AO48+AO49</f>
        <v/>
      </c>
      <c r="AP50" s="17">
        <f>AP48+AP49</f>
        <v/>
      </c>
      <c r="AQ50" s="17">
        <f>AQ48+AQ49</f>
        <v/>
      </c>
      <c r="AR50" s="17">
        <f>AR48+AR49</f>
        <v/>
      </c>
      <c r="AS50" s="17">
        <f>AS48+AS49</f>
        <v/>
      </c>
      <c r="AT50" s="17">
        <f>AT48+AT49</f>
        <v/>
      </c>
      <c r="AU50" s="17">
        <f>AU48+AU49</f>
        <v/>
      </c>
      <c r="AV50" s="17">
        <f>AV48+AV49</f>
        <v/>
      </c>
      <c r="AW50" s="17">
        <f>AW48+AW49</f>
        <v/>
      </c>
      <c r="AX50" s="17">
        <f>AX48+AX49</f>
        <v/>
      </c>
      <c r="AY50" s="17">
        <f>AY48+AY49</f>
        <v/>
      </c>
    </row>
    <row r="51">
      <c r="B51" s="33" t="inlineStr">
        <is>
          <t xml:space="preserve">  616001 Electricity</t>
        </is>
      </c>
      <c r="D51" s="19" t="n">
        <v>634.51</v>
      </c>
      <c r="E51" s="19" t="n">
        <v>0</v>
      </c>
      <c r="F51" s="19" t="n">
        <v>0</v>
      </c>
      <c r="G51" s="19" t="n">
        <v>504.23</v>
      </c>
      <c r="H51" s="19" t="n">
        <v>303.91</v>
      </c>
      <c r="I51" s="19" t="n">
        <v>214.85</v>
      </c>
      <c r="J51" s="19" t="n">
        <v>0</v>
      </c>
      <c r="K51" s="19" t="n">
        <v>1498.15</v>
      </c>
      <c r="L51" s="19" t="n">
        <v>316.89</v>
      </c>
      <c r="M51" s="19" t="n">
        <v>633.78</v>
      </c>
      <c r="N51" s="19" t="n">
        <v>591.92</v>
      </c>
      <c r="O51" s="19" t="n">
        <v>275.03</v>
      </c>
      <c r="P51" s="19" t="n">
        <v>0</v>
      </c>
      <c r="Q51" s="19" t="n">
        <v>0</v>
      </c>
      <c r="R51" s="19" t="n">
        <v>0</v>
      </c>
      <c r="S51" s="19" t="n">
        <v>0</v>
      </c>
      <c r="T51" s="84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0</v>
      </c>
      <c r="AS51" s="20" t="n">
        <v>0</v>
      </c>
      <c r="AT51" s="20" t="n">
        <v>0</v>
      </c>
      <c r="AU51" s="20" t="n">
        <v>0</v>
      </c>
      <c r="AV51" s="20" t="n">
        <v>0</v>
      </c>
      <c r="AW51" s="20" t="n">
        <v>0</v>
      </c>
      <c r="AX51" s="20" t="n">
        <v>0</v>
      </c>
      <c r="AY51" s="20" t="n">
        <v>0</v>
      </c>
    </row>
    <row r="52">
      <c r="B52" s="33" t="inlineStr">
        <is>
          <t xml:space="preserve">  616002 Internet &amp; TV</t>
        </is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>
        <v>141.25</v>
      </c>
      <c r="Q52" s="19" t="n">
        <v>141.25</v>
      </c>
      <c r="R52" s="19" t="n">
        <v>145.25</v>
      </c>
      <c r="S52" s="19" t="n">
        <v>145.25</v>
      </c>
      <c r="T52" s="84" t="n">
        <v>0</v>
      </c>
      <c r="U52" s="20" t="n">
        <v>105.02</v>
      </c>
      <c r="V52" s="20" t="n">
        <v>105.02</v>
      </c>
      <c r="W52" s="20" t="n">
        <v>105.02</v>
      </c>
      <c r="X52" s="20" t="n">
        <v>105.02</v>
      </c>
      <c r="Y52" s="20" t="n">
        <v>105.02</v>
      </c>
      <c r="Z52" s="20" t="n">
        <v>105.02</v>
      </c>
      <c r="AA52" s="20" t="n">
        <v>105.02</v>
      </c>
      <c r="AB52" s="20" t="n">
        <v>105.02</v>
      </c>
      <c r="AC52" s="20" t="n">
        <v>105.02</v>
      </c>
      <c r="AD52" s="20" t="n">
        <v>105.02</v>
      </c>
      <c r="AE52" s="20" t="n">
        <v>105.02</v>
      </c>
      <c r="AF52" s="20" t="n">
        <v>105.02</v>
      </c>
      <c r="AG52" s="20" t="n">
        <v>105.02</v>
      </c>
      <c r="AH52" s="20" t="n">
        <v>105.02</v>
      </c>
      <c r="AI52" s="20" t="n">
        <v>105.02</v>
      </c>
      <c r="AJ52" s="20" t="n">
        <v>105.02</v>
      </c>
      <c r="AK52" s="20" t="n">
        <v>105.02</v>
      </c>
      <c r="AL52" s="20" t="n">
        <v>105.02</v>
      </c>
      <c r="AM52" s="20" t="n">
        <v>105.02</v>
      </c>
      <c r="AN52" s="20" t="n">
        <v>105.02</v>
      </c>
      <c r="AO52" s="20" t="n">
        <v>105.02</v>
      </c>
      <c r="AP52" s="20" t="n">
        <v>105.02</v>
      </c>
      <c r="AQ52" s="20" t="n">
        <v>105.02</v>
      </c>
      <c r="AR52" s="20" t="n">
        <v>105.02</v>
      </c>
      <c r="AS52" s="20" t="n">
        <v>105.02</v>
      </c>
      <c r="AT52" s="20" t="n">
        <v>105.02</v>
      </c>
      <c r="AU52" s="20" t="n">
        <v>105.02</v>
      </c>
      <c r="AV52" s="20" t="n">
        <v>105.02</v>
      </c>
      <c r="AW52" s="20" t="n">
        <v>105.02</v>
      </c>
      <c r="AX52" s="20" t="n">
        <v>105.02</v>
      </c>
      <c r="AY52" s="20" t="n">
        <v>105.02</v>
      </c>
    </row>
    <row r="53">
      <c r="B53" s="33" t="inlineStr">
        <is>
          <t xml:space="preserve">  616003 Phone service</t>
        </is>
      </c>
      <c r="D53" s="19" t="n">
        <v>131.2</v>
      </c>
      <c r="E53" s="19" t="n">
        <v>165.49</v>
      </c>
      <c r="F53" s="19" t="n">
        <v>229</v>
      </c>
      <c r="G53" s="19" t="n">
        <v>67.52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19" t="n">
        <v>87.64</v>
      </c>
      <c r="P53" s="19" t="n">
        <v>87.68000000000001</v>
      </c>
      <c r="Q53" s="19" t="n">
        <v>87.11</v>
      </c>
      <c r="R53" s="19" t="n">
        <v>86.36</v>
      </c>
      <c r="S53" s="19" t="n">
        <v>87.54000000000001</v>
      </c>
      <c r="T53" s="84" t="n">
        <v>81.03</v>
      </c>
      <c r="U53" s="20" t="n">
        <v>63.91</v>
      </c>
      <c r="V53" s="20" t="n">
        <v>63.91</v>
      </c>
      <c r="W53" s="20" t="n">
        <v>63.91</v>
      </c>
      <c r="X53" s="20" t="n">
        <v>63.91</v>
      </c>
      <c r="Y53" s="20" t="n">
        <v>63.91</v>
      </c>
      <c r="Z53" s="20" t="n">
        <v>63.91</v>
      </c>
      <c r="AA53" s="20" t="n">
        <v>63.91</v>
      </c>
      <c r="AB53" s="20" t="n">
        <v>63.91</v>
      </c>
      <c r="AC53" s="20" t="n">
        <v>63.91</v>
      </c>
      <c r="AD53" s="20" t="n">
        <v>63.91</v>
      </c>
      <c r="AE53" s="20" t="n">
        <v>63.91</v>
      </c>
      <c r="AF53" s="20" t="n">
        <v>63.91</v>
      </c>
      <c r="AG53" s="20" t="n">
        <v>63.91</v>
      </c>
      <c r="AH53" s="20" t="n">
        <v>63.91</v>
      </c>
      <c r="AI53" s="20" t="n">
        <v>63.91</v>
      </c>
      <c r="AJ53" s="20" t="n">
        <v>63.91</v>
      </c>
      <c r="AK53" s="20" t="n">
        <v>63.91</v>
      </c>
      <c r="AL53" s="20" t="n">
        <v>63.91</v>
      </c>
      <c r="AM53" s="20" t="n">
        <v>63.91</v>
      </c>
      <c r="AN53" s="20" t="n">
        <v>63.91</v>
      </c>
      <c r="AO53" s="20" t="n">
        <v>63.91</v>
      </c>
      <c r="AP53" s="20" t="n">
        <v>63.91</v>
      </c>
      <c r="AQ53" s="20" t="n">
        <v>63.91</v>
      </c>
      <c r="AR53" s="20" t="n">
        <v>63.91</v>
      </c>
      <c r="AS53" s="20" t="n">
        <v>63.91</v>
      </c>
      <c r="AT53" s="20" t="n">
        <v>63.91</v>
      </c>
      <c r="AU53" s="20" t="n">
        <v>63.91</v>
      </c>
      <c r="AV53" s="20" t="n">
        <v>63.91</v>
      </c>
      <c r="AW53" s="20" t="n">
        <v>63.91</v>
      </c>
      <c r="AX53" s="20" t="n">
        <v>63.91</v>
      </c>
      <c r="AY53" s="20" t="n">
        <v>63.91</v>
      </c>
    </row>
    <row r="54">
      <c r="B54" s="33" t="inlineStr">
        <is>
          <t xml:space="preserve">  616004 Water &amp; sewer</t>
        </is>
      </c>
      <c r="D54" s="19" t="n">
        <v>0</v>
      </c>
      <c r="E54" s="19" t="n">
        <v>323.39</v>
      </c>
      <c r="F54" s="19" t="n">
        <v>167.83</v>
      </c>
      <c r="G54" s="19" t="n">
        <v>167.82</v>
      </c>
      <c r="H54" s="19" t="n">
        <v>186.23</v>
      </c>
      <c r="I54" s="19" t="n">
        <v>186.22</v>
      </c>
      <c r="J54" s="19" t="n">
        <v>0</v>
      </c>
      <c r="K54" s="19" t="n">
        <v>360.18</v>
      </c>
      <c r="L54" s="19" t="n">
        <v>0</v>
      </c>
      <c r="M54" s="19" t="n">
        <v>458.86</v>
      </c>
      <c r="N54" s="19" t="n">
        <v>0</v>
      </c>
      <c r="O54" s="19" t="n">
        <v>0</v>
      </c>
      <c r="P54" s="19" t="n">
        <v>0</v>
      </c>
      <c r="Q54" s="19" t="n">
        <v>0</v>
      </c>
      <c r="R54" s="19" t="n">
        <v>0</v>
      </c>
      <c r="S54" s="19" t="n">
        <v>0</v>
      </c>
      <c r="T54" s="84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0" t="n">
        <v>0</v>
      </c>
      <c r="AQ54" s="20" t="n">
        <v>0</v>
      </c>
      <c r="AR54" s="20" t="n">
        <v>0</v>
      </c>
      <c r="AS54" s="20" t="n">
        <v>0</v>
      </c>
      <c r="AT54" s="20" t="n">
        <v>0</v>
      </c>
      <c r="AU54" s="20" t="n">
        <v>0</v>
      </c>
      <c r="AV54" s="20" t="n">
        <v>0</v>
      </c>
      <c r="AW54" s="20" t="n">
        <v>0</v>
      </c>
      <c r="AX54" s="20" t="n">
        <v>0</v>
      </c>
      <c r="AY54" s="20" t="n">
        <v>0</v>
      </c>
    </row>
    <row r="55">
      <c r="B55" s="33" t="inlineStr">
        <is>
          <t xml:space="preserve">  616005 Disposal Services</t>
        </is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>
        <v>0</v>
      </c>
      <c r="Q55" s="19" t="n">
        <v>0</v>
      </c>
      <c r="R55" s="19" t="n">
        <v>0</v>
      </c>
      <c r="S55" s="19" t="n">
        <v>0</v>
      </c>
      <c r="T55" s="84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0" t="n">
        <v>0</v>
      </c>
      <c r="AQ55" s="20" t="n">
        <v>0</v>
      </c>
      <c r="AR55" s="20" t="n">
        <v>0</v>
      </c>
      <c r="AS55" s="20" t="n">
        <v>0</v>
      </c>
      <c r="AT55" s="20" t="n">
        <v>0</v>
      </c>
      <c r="AU55" s="20" t="n">
        <v>0</v>
      </c>
      <c r="AV55" s="20" t="n">
        <v>0</v>
      </c>
      <c r="AW55" s="20" t="n">
        <v>0</v>
      </c>
      <c r="AX55" s="20" t="n">
        <v>0</v>
      </c>
      <c r="AY55" s="20" t="n">
        <v>0</v>
      </c>
    </row>
    <row r="56">
      <c r="B56" s="32" t="inlineStr">
        <is>
          <t>Total Utilities</t>
        </is>
      </c>
      <c r="C56" s="34" t="n"/>
      <c r="D56" s="35" t="n">
        <v>886.95</v>
      </c>
      <c r="E56" s="35" t="n">
        <v>610.12</v>
      </c>
      <c r="F56" s="35" t="n">
        <v>518.0700000000001</v>
      </c>
      <c r="G56" s="35" t="n">
        <v>860.8099999999999</v>
      </c>
      <c r="H56" s="35" t="n">
        <v>611.38</v>
      </c>
      <c r="I56" s="35" t="n">
        <v>522.3099999999999</v>
      </c>
      <c r="J56" s="35" t="n">
        <v>121.24</v>
      </c>
      <c r="K56" s="35" t="n">
        <v>1979.57</v>
      </c>
      <c r="L56" s="35" t="n">
        <v>438.13</v>
      </c>
      <c r="M56" s="35" t="n">
        <v>1213.88</v>
      </c>
      <c r="N56" s="35" t="n">
        <v>768.3699999999999</v>
      </c>
      <c r="O56" s="35" t="n">
        <v>443.92</v>
      </c>
      <c r="P56" s="35" t="n">
        <v>228.93</v>
      </c>
      <c r="Q56" s="35" t="n">
        <v>228.36</v>
      </c>
      <c r="R56" s="35" t="n">
        <v>231.61</v>
      </c>
      <c r="S56" s="35" t="n">
        <v>232.79</v>
      </c>
      <c r="T56" s="85" t="n">
        <v>226.28</v>
      </c>
      <c r="U56" s="17">
        <f>U51+U52+U53+U54+U55</f>
        <v/>
      </c>
      <c r="V56" s="17">
        <f>V51+V52+V53+V54+V55</f>
        <v/>
      </c>
      <c r="W56" s="17">
        <f>W51+W52+W53+W54+W55</f>
        <v/>
      </c>
      <c r="X56" s="17">
        <f>X51+X52+X53+X54+X55</f>
        <v/>
      </c>
      <c r="Y56" s="17">
        <f>Y51+Y52+Y53+Y54+Y55</f>
        <v/>
      </c>
      <c r="Z56" s="17">
        <f>Z51+Z52+Z53+Z54+Z55</f>
        <v/>
      </c>
      <c r="AA56" s="17">
        <f>AA51+AA52+AA53+AA54+AA55</f>
        <v/>
      </c>
      <c r="AB56" s="17">
        <f>AB51+AB52+AB53+AB54+AB55</f>
        <v/>
      </c>
      <c r="AC56" s="17">
        <f>AC51+AC52+AC53+AC54+AC55</f>
        <v/>
      </c>
      <c r="AD56" s="17">
        <f>AD51+AD52+AD53+AD54+AD55</f>
        <v/>
      </c>
      <c r="AE56" s="17">
        <f>AE51+AE52+AE53+AE54+AE55</f>
        <v/>
      </c>
      <c r="AF56" s="17">
        <f>AF51+AF52+AF53+AF54+AF55</f>
        <v/>
      </c>
      <c r="AG56" s="17">
        <f>AG51+AG52+AG53+AG54+AG55</f>
        <v/>
      </c>
      <c r="AH56" s="17">
        <f>AH51+AH52+AH53+AH54+AH55</f>
        <v/>
      </c>
      <c r="AI56" s="17">
        <f>AI51+AI52+AI53+AI54+AI55</f>
        <v/>
      </c>
      <c r="AJ56" s="17">
        <f>AJ51+AJ52+AJ53+AJ54+AJ55</f>
        <v/>
      </c>
      <c r="AK56" s="17">
        <f>AK51+AK52+AK53+AK54+AK55</f>
        <v/>
      </c>
      <c r="AL56" s="17">
        <f>AL51+AL52+AL53+AL54+AL55</f>
        <v/>
      </c>
      <c r="AM56" s="17">
        <f>AM51+AM52+AM53+AM54+AM55</f>
        <v/>
      </c>
      <c r="AN56" s="17">
        <f>AN51+AN52+AN53+AN54+AN55</f>
        <v/>
      </c>
      <c r="AO56" s="17">
        <f>AO51+AO52+AO53+AO54+AO55</f>
        <v/>
      </c>
      <c r="AP56" s="17">
        <f>AP51+AP52+AP53+AP54+AP55</f>
        <v/>
      </c>
      <c r="AQ56" s="17">
        <f>AQ51+AQ52+AQ53+AQ54+AQ55</f>
        <v/>
      </c>
      <c r="AR56" s="17">
        <f>AR51+AR52+AR53+AR54+AR55</f>
        <v/>
      </c>
      <c r="AS56" s="17">
        <f>AS51+AS52+AS53+AS54+AS55</f>
        <v/>
      </c>
      <c r="AT56" s="17">
        <f>AT51+AT52+AT53+AT54+AT55</f>
        <v/>
      </c>
      <c r="AU56" s="17">
        <f>AU51+AU52+AU53+AU54+AU55</f>
        <v/>
      </c>
      <c r="AV56" s="17">
        <f>AV51+AV52+AV53+AV54+AV55</f>
        <v/>
      </c>
      <c r="AW56" s="17">
        <f>AW51+AW52+AW53+AW54+AW55</f>
        <v/>
      </c>
      <c r="AX56" s="17">
        <f>AX51+AX52+AX53+AX54+AX55</f>
        <v/>
      </c>
      <c r="AY56" s="17">
        <f>AY51+AY52+AY53+AY54+AY55</f>
        <v/>
      </c>
    </row>
    <row r="57">
      <c r="B57" s="33" t="inlineStr">
        <is>
          <t xml:space="preserve">  701000 Rent</t>
        </is>
      </c>
      <c r="D57" s="19" t="n">
        <v>19577.86</v>
      </c>
      <c r="E57" s="19" t="n">
        <v>19577.86</v>
      </c>
      <c r="F57" s="19" t="n">
        <v>19577.86</v>
      </c>
      <c r="G57" s="19" t="n">
        <v>19577.86</v>
      </c>
      <c r="H57" s="19" t="n">
        <v>19577.86</v>
      </c>
      <c r="I57" s="19" t="n">
        <v>19577.86</v>
      </c>
      <c r="J57" s="19" t="n">
        <v>19577.86</v>
      </c>
      <c r="K57" s="19" t="n">
        <v>19616.62</v>
      </c>
      <c r="L57" s="19" t="n">
        <v>19577.86</v>
      </c>
      <c r="M57" s="19" t="n">
        <v>19577.86</v>
      </c>
      <c r="N57" s="19" t="n">
        <v>19577.86</v>
      </c>
      <c r="O57" s="19" t="n">
        <v>19577.86</v>
      </c>
      <c r="P57" s="19" t="n">
        <v>19577.86</v>
      </c>
      <c r="Q57" s="19" t="n">
        <v>19577.86</v>
      </c>
      <c r="R57" s="19" t="n">
        <v>19577.86</v>
      </c>
      <c r="S57" s="19" t="n">
        <v>19577.86</v>
      </c>
      <c r="T57" s="84" t="n">
        <v>19577.86</v>
      </c>
      <c r="U57" s="20" t="n">
        <v>19523.9</v>
      </c>
      <c r="V57" s="20" t="n">
        <v>19523.9</v>
      </c>
      <c r="W57" s="20" t="n">
        <v>19523.9</v>
      </c>
      <c r="X57" s="20" t="n">
        <v>19523.9</v>
      </c>
      <c r="Y57" s="20" t="n">
        <v>19523.9</v>
      </c>
      <c r="Z57" s="20" t="n">
        <v>19523.9</v>
      </c>
      <c r="AA57" s="20" t="n">
        <v>19523.9</v>
      </c>
      <c r="AB57" s="20" t="n">
        <v>19523.9</v>
      </c>
      <c r="AC57" s="20" t="n">
        <v>19523.9</v>
      </c>
      <c r="AD57" s="20" t="n">
        <v>19523.9</v>
      </c>
      <c r="AE57" s="20" t="n">
        <v>19523.9</v>
      </c>
      <c r="AF57" s="20" t="n">
        <v>19523.9</v>
      </c>
      <c r="AG57" s="20" t="n">
        <v>19523.9</v>
      </c>
      <c r="AH57" s="20" t="n">
        <v>19523.9</v>
      </c>
      <c r="AI57" s="20" t="n">
        <v>19523.9</v>
      </c>
      <c r="AJ57" s="20" t="n">
        <v>19523.9</v>
      </c>
      <c r="AK57" s="20" t="n">
        <v>19523.9</v>
      </c>
      <c r="AL57" s="20" t="n">
        <v>19523.9</v>
      </c>
      <c r="AM57" s="20" t="n">
        <v>19523.9</v>
      </c>
      <c r="AN57" s="20" t="n">
        <v>19523.9</v>
      </c>
      <c r="AO57" s="20" t="n">
        <v>19523.9</v>
      </c>
      <c r="AP57" s="20" t="n">
        <v>19523.9</v>
      </c>
      <c r="AQ57" s="20" t="n">
        <v>19523.9</v>
      </c>
      <c r="AR57" s="20" t="n">
        <v>19523.9</v>
      </c>
      <c r="AS57" s="20" t="n">
        <v>19523.9</v>
      </c>
      <c r="AT57" s="20" t="n">
        <v>19523.9</v>
      </c>
      <c r="AU57" s="20" t="n">
        <v>19523.9</v>
      </c>
      <c r="AV57" s="20" t="n">
        <v>19523.9</v>
      </c>
      <c r="AW57" s="20" t="n">
        <v>19523.9</v>
      </c>
      <c r="AX57" s="20" t="n">
        <v>19523.9</v>
      </c>
      <c r="AY57" s="20" t="n">
        <v>19523.9</v>
      </c>
    </row>
    <row r="58">
      <c r="B58" s="33" t="inlineStr">
        <is>
          <t xml:space="preserve">  702000 Security</t>
        </is>
      </c>
      <c r="D58" s="19" t="n">
        <v>0</v>
      </c>
      <c r="E58" s="19" t="n">
        <v>0</v>
      </c>
      <c r="F58" s="19" t="n">
        <v>185</v>
      </c>
      <c r="G58" s="19" t="n">
        <v>0</v>
      </c>
      <c r="H58" s="19" t="n">
        <v>587.5</v>
      </c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19" t="n">
        <v>0</v>
      </c>
      <c r="R58" s="19" t="n">
        <v>0</v>
      </c>
      <c r="S58" s="19" t="n">
        <v>0</v>
      </c>
      <c r="T58" s="84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0" t="n">
        <v>0</v>
      </c>
      <c r="AQ58" s="20" t="n">
        <v>0</v>
      </c>
      <c r="AR58" s="20" t="n">
        <v>0</v>
      </c>
      <c r="AS58" s="20" t="n">
        <v>0</v>
      </c>
      <c r="AT58" s="20" t="n">
        <v>0</v>
      </c>
      <c r="AU58" s="20" t="n">
        <v>0</v>
      </c>
      <c r="AV58" s="20" t="n">
        <v>0</v>
      </c>
      <c r="AW58" s="20" t="n">
        <v>0</v>
      </c>
      <c r="AX58" s="20" t="n">
        <v>0</v>
      </c>
      <c r="AY58" s="20" t="n">
        <v>0</v>
      </c>
    </row>
    <row r="59">
      <c r="B59" s="33" t="inlineStr">
        <is>
          <t xml:space="preserve">  703000 Cleaning</t>
        </is>
      </c>
      <c r="D59" s="19" t="n">
        <v>783.16</v>
      </c>
      <c r="E59" s="19" t="n">
        <v>128.11</v>
      </c>
      <c r="F59" s="19" t="n">
        <v>63</v>
      </c>
      <c r="G59" s="19" t="n">
        <v>0</v>
      </c>
      <c r="H59" s="19" t="n">
        <v>27.67</v>
      </c>
      <c r="I59" s="19" t="n">
        <v>234.71</v>
      </c>
      <c r="J59" s="19" t="n">
        <v>343.49</v>
      </c>
      <c r="K59" s="19" t="n">
        <v>68.45</v>
      </c>
      <c r="L59" s="19" t="n">
        <v>50.52</v>
      </c>
      <c r="M59" s="19" t="n">
        <v>145.17</v>
      </c>
      <c r="N59" s="19" t="n">
        <v>388.16</v>
      </c>
      <c r="O59" s="19" t="n">
        <v>363.22</v>
      </c>
      <c r="P59" s="19" t="n">
        <v>162.91</v>
      </c>
      <c r="Q59" s="19" t="n">
        <v>0</v>
      </c>
      <c r="R59" s="19" t="n">
        <v>573.27</v>
      </c>
      <c r="S59" s="19" t="n">
        <v>161.21</v>
      </c>
      <c r="T59" s="84" t="n">
        <v>201.75</v>
      </c>
      <c r="U59" s="20" t="n">
        <v>223.73</v>
      </c>
      <c r="V59" s="20" t="n">
        <v>223.73</v>
      </c>
      <c r="W59" s="20" t="n">
        <v>223.73</v>
      </c>
      <c r="X59" s="20" t="n">
        <v>223.73</v>
      </c>
      <c r="Y59" s="20" t="n">
        <v>223.73</v>
      </c>
      <c r="Z59" s="20" t="n">
        <v>223.73</v>
      </c>
      <c r="AA59" s="20" t="n">
        <v>223.73</v>
      </c>
      <c r="AB59" s="20" t="n">
        <v>223.73</v>
      </c>
      <c r="AC59" s="20" t="n">
        <v>223.73</v>
      </c>
      <c r="AD59" s="20" t="n">
        <v>223.73</v>
      </c>
      <c r="AE59" s="20" t="n">
        <v>223.73</v>
      </c>
      <c r="AF59" s="20" t="n">
        <v>223.73</v>
      </c>
      <c r="AG59" s="20" t="n">
        <v>223.73</v>
      </c>
      <c r="AH59" s="20" t="n">
        <v>223.73</v>
      </c>
      <c r="AI59" s="20" t="n">
        <v>223.73</v>
      </c>
      <c r="AJ59" s="20" t="n">
        <v>223.73</v>
      </c>
      <c r="AK59" s="20" t="n">
        <v>223.73</v>
      </c>
      <c r="AL59" s="20" t="n">
        <v>223.73</v>
      </c>
      <c r="AM59" s="20" t="n">
        <v>223.73</v>
      </c>
      <c r="AN59" s="20" t="n">
        <v>223.73</v>
      </c>
      <c r="AO59" s="20" t="n">
        <v>223.73</v>
      </c>
      <c r="AP59" s="20" t="n">
        <v>223.73</v>
      </c>
      <c r="AQ59" s="20" t="n">
        <v>223.73</v>
      </c>
      <c r="AR59" s="20" t="n">
        <v>223.73</v>
      </c>
      <c r="AS59" s="20" t="n">
        <v>223.73</v>
      </c>
      <c r="AT59" s="20" t="n">
        <v>223.73</v>
      </c>
      <c r="AU59" s="20" t="n">
        <v>223.73</v>
      </c>
      <c r="AV59" s="20" t="n">
        <v>223.73</v>
      </c>
      <c r="AW59" s="20" t="n">
        <v>223.73</v>
      </c>
      <c r="AX59" s="20" t="n">
        <v>223.73</v>
      </c>
      <c r="AY59" s="20" t="n">
        <v>223.73</v>
      </c>
    </row>
    <row r="60">
      <c r="B60" s="33" t="inlineStr">
        <is>
          <t xml:space="preserve">  705000 Property Maintenance</t>
        </is>
      </c>
      <c r="D60" s="19" t="n">
        <v>1888.83</v>
      </c>
      <c r="E60" s="19" t="n">
        <v>1888.83</v>
      </c>
      <c r="F60" s="19" t="n">
        <v>3187.57</v>
      </c>
      <c r="G60" s="19" t="n">
        <v>1888.83</v>
      </c>
      <c r="H60" s="19" t="n">
        <v>1888.83</v>
      </c>
      <c r="I60" s="19" t="n">
        <v>1888.83</v>
      </c>
      <c r="J60" s="19" t="n">
        <v>1888.83</v>
      </c>
      <c r="K60" s="19" t="n">
        <v>1888.83</v>
      </c>
      <c r="L60" s="19" t="n">
        <v>1888.83</v>
      </c>
      <c r="M60" s="19" t="n">
        <v>1888.83</v>
      </c>
      <c r="N60" s="19" t="n">
        <v>1888.83</v>
      </c>
      <c r="O60" s="19" t="n">
        <v>1888.83</v>
      </c>
      <c r="P60" s="19" t="n">
        <v>2488</v>
      </c>
      <c r="Q60" s="19" t="n">
        <v>2488</v>
      </c>
      <c r="R60" s="19" t="n">
        <v>2488</v>
      </c>
      <c r="S60" s="19" t="n">
        <v>2488</v>
      </c>
      <c r="T60" s="84" t="n">
        <v>2488</v>
      </c>
      <c r="U60" s="20" t="n">
        <v>2481.14</v>
      </c>
      <c r="V60" s="20" t="n">
        <v>2481.14</v>
      </c>
      <c r="W60" s="20" t="n">
        <v>2481.14</v>
      </c>
      <c r="X60" s="20" t="n">
        <v>2481.14</v>
      </c>
      <c r="Y60" s="20" t="n">
        <v>2481.14</v>
      </c>
      <c r="Z60" s="20" t="n">
        <v>2481.14</v>
      </c>
      <c r="AA60" s="20" t="n">
        <v>2481.14</v>
      </c>
      <c r="AB60" s="20" t="n">
        <v>2481.14</v>
      </c>
      <c r="AC60" s="20" t="n">
        <v>2481.14</v>
      </c>
      <c r="AD60" s="20" t="n">
        <v>2481.14</v>
      </c>
      <c r="AE60" s="20" t="n">
        <v>2481.14</v>
      </c>
      <c r="AF60" s="20" t="n">
        <v>2481.14</v>
      </c>
      <c r="AG60" s="20" t="n">
        <v>2481.14</v>
      </c>
      <c r="AH60" s="20" t="n">
        <v>2481.14</v>
      </c>
      <c r="AI60" s="20" t="n">
        <v>2481.14</v>
      </c>
      <c r="AJ60" s="20" t="n">
        <v>2481.14</v>
      </c>
      <c r="AK60" s="20" t="n">
        <v>2481.14</v>
      </c>
      <c r="AL60" s="20" t="n">
        <v>2481.14</v>
      </c>
      <c r="AM60" s="20" t="n">
        <v>2481.14</v>
      </c>
      <c r="AN60" s="20" t="n">
        <v>2481.14</v>
      </c>
      <c r="AO60" s="20" t="n">
        <v>2481.14</v>
      </c>
      <c r="AP60" s="20" t="n">
        <v>2481.14</v>
      </c>
      <c r="AQ60" s="20" t="n">
        <v>2481.14</v>
      </c>
      <c r="AR60" s="20" t="n">
        <v>2481.14</v>
      </c>
      <c r="AS60" s="20" t="n">
        <v>2481.14</v>
      </c>
      <c r="AT60" s="20" t="n">
        <v>2481.14</v>
      </c>
      <c r="AU60" s="20" t="n">
        <v>2481.14</v>
      </c>
      <c r="AV60" s="20" t="n">
        <v>2481.14</v>
      </c>
      <c r="AW60" s="20" t="n">
        <v>2481.14</v>
      </c>
      <c r="AX60" s="20" t="n">
        <v>2481.14</v>
      </c>
      <c r="AY60" s="20" t="n">
        <v>2481.14</v>
      </c>
    </row>
    <row r="61">
      <c r="B61" s="32" t="inlineStr">
        <is>
          <t>Total Property Costs</t>
        </is>
      </c>
      <c r="C61" s="34" t="n"/>
      <c r="D61" s="35" t="n">
        <v>22249.85</v>
      </c>
      <c r="E61" s="35" t="n">
        <v>21594.8</v>
      </c>
      <c r="F61" s="35" t="n">
        <v>23013.43</v>
      </c>
      <c r="G61" s="35" t="n">
        <v>21466.69</v>
      </c>
      <c r="H61" s="35" t="n">
        <v>22102.11</v>
      </c>
      <c r="I61" s="35" t="n">
        <v>21701.4</v>
      </c>
      <c r="J61" s="35" t="n">
        <v>21810.18</v>
      </c>
      <c r="K61" s="35" t="n">
        <v>21573.9</v>
      </c>
      <c r="L61" s="35" t="n">
        <v>21828.18</v>
      </c>
      <c r="M61" s="35" t="n">
        <v>21611.86</v>
      </c>
      <c r="N61" s="35" t="n">
        <v>22029.85</v>
      </c>
      <c r="O61" s="35" t="n">
        <v>21829.91</v>
      </c>
      <c r="P61" s="35" t="n">
        <v>22228.77</v>
      </c>
      <c r="Q61" s="35" t="n">
        <v>22095.47</v>
      </c>
      <c r="R61" s="35" t="n">
        <v>22639.13</v>
      </c>
      <c r="S61" s="35" t="n">
        <v>22238.02</v>
      </c>
      <c r="T61" s="85" t="n">
        <v>22267.61</v>
      </c>
      <c r="U61" s="17">
        <f>U57+U58+U59+U60</f>
        <v/>
      </c>
      <c r="V61" s="17">
        <f>V57+V58+V59+V60</f>
        <v/>
      </c>
      <c r="W61" s="17">
        <f>W57+W58+W59+W60</f>
        <v/>
      </c>
      <c r="X61" s="17">
        <f>X57+X58+X59+X60</f>
        <v/>
      </c>
      <c r="Y61" s="17">
        <f>Y57+Y58+Y59+Y60</f>
        <v/>
      </c>
      <c r="Z61" s="17">
        <f>Z57+Z58+Z59+Z60</f>
        <v/>
      </c>
      <c r="AA61" s="17">
        <f>AA57+AA58+AA59+AA60</f>
        <v/>
      </c>
      <c r="AB61" s="17">
        <f>AB57+AB58+AB59+AB60</f>
        <v/>
      </c>
      <c r="AC61" s="17">
        <f>AC57+AC58+AC59+AC60</f>
        <v/>
      </c>
      <c r="AD61" s="17">
        <f>AD57+AD58+AD59+AD60</f>
        <v/>
      </c>
      <c r="AE61" s="17">
        <f>AE57+AE58+AE59+AE60</f>
        <v/>
      </c>
      <c r="AF61" s="17">
        <f>AF57+AF58+AF59+AF60</f>
        <v/>
      </c>
      <c r="AG61" s="17">
        <f>AG57+AG58+AG59+AG60</f>
        <v/>
      </c>
      <c r="AH61" s="17">
        <f>AH57+AH58+AH59+AH60</f>
        <v/>
      </c>
      <c r="AI61" s="17">
        <f>AI57+AI58+AI59+AI60</f>
        <v/>
      </c>
      <c r="AJ61" s="17">
        <f>AJ57+AJ58+AJ59+AJ60</f>
        <v/>
      </c>
      <c r="AK61" s="17">
        <f>AK57+AK58+AK59+AK60</f>
        <v/>
      </c>
      <c r="AL61" s="17">
        <f>AL57+AL58+AL59+AL60</f>
        <v/>
      </c>
      <c r="AM61" s="17">
        <f>AM57+AM58+AM59+AM60</f>
        <v/>
      </c>
      <c r="AN61" s="17">
        <f>AN57+AN58+AN59+AN60</f>
        <v/>
      </c>
      <c r="AO61" s="17">
        <f>AO57+AO58+AO59+AO60</f>
        <v/>
      </c>
      <c r="AP61" s="17">
        <f>AP57+AP58+AP59+AP60</f>
        <v/>
      </c>
      <c r="AQ61" s="17">
        <f>AQ57+AQ58+AQ59+AQ60</f>
        <v/>
      </c>
      <c r="AR61" s="17">
        <f>AR57+AR58+AR59+AR60</f>
        <v/>
      </c>
      <c r="AS61" s="17">
        <f>AS57+AS58+AS59+AS60</f>
        <v/>
      </c>
      <c r="AT61" s="17">
        <f>AT57+AT58+AT59+AT60</f>
        <v/>
      </c>
      <c r="AU61" s="17">
        <f>AU57+AU58+AU59+AU60</f>
        <v/>
      </c>
      <c r="AV61" s="17">
        <f>AV57+AV58+AV59+AV60</f>
        <v/>
      </c>
      <c r="AW61" s="17">
        <f>AW57+AW58+AW59+AW60</f>
        <v/>
      </c>
      <c r="AX61" s="17">
        <f>AX57+AX58+AX59+AX60</f>
        <v/>
      </c>
      <c r="AY61" s="17">
        <f>AY57+AY58+AY59+AY60</f>
        <v/>
      </c>
    </row>
    <row r="62">
      <c r="B62" s="32" t="inlineStr">
        <is>
          <t>TOTAL OPERATING EXPENSES</t>
        </is>
      </c>
      <c r="C62" s="34" t="n"/>
      <c r="D62" s="35" t="n">
        <v>74715.5</v>
      </c>
      <c r="E62" s="35" t="n">
        <v>79972.21000000002</v>
      </c>
      <c r="F62" s="35" t="n">
        <v>86871.42000000001</v>
      </c>
      <c r="G62" s="35" t="n">
        <v>80987.43000000001</v>
      </c>
      <c r="H62" s="35" t="n">
        <v>84089.39</v>
      </c>
      <c r="I62" s="35" t="n">
        <v>74296.08</v>
      </c>
      <c r="J62" s="35" t="n">
        <v>72219.26999999999</v>
      </c>
      <c r="K62" s="35" t="n">
        <v>78468.29999999999</v>
      </c>
      <c r="L62" s="35" t="n">
        <v>74380.94</v>
      </c>
      <c r="M62" s="35" t="n">
        <v>78501.21999999999</v>
      </c>
      <c r="N62" s="35" t="n">
        <v>70171.54999999999</v>
      </c>
      <c r="O62" s="35" t="n">
        <v>65201.82999999999</v>
      </c>
      <c r="P62" s="35" t="n">
        <v>78163.23000000001</v>
      </c>
      <c r="Q62" s="35" t="n">
        <v>75750.32000000001</v>
      </c>
      <c r="R62" s="35" t="n">
        <v>71612.56</v>
      </c>
      <c r="S62" s="35" t="n">
        <v>75826.87</v>
      </c>
      <c r="T62" s="85" t="n">
        <v>66022.22</v>
      </c>
      <c r="U62" s="17">
        <f>U33+U38+U42+U47+U50+U56+U61</f>
        <v/>
      </c>
      <c r="V62" s="17">
        <f>V33+V38+V42+V47+V50+V56+V61</f>
        <v/>
      </c>
      <c r="W62" s="17">
        <f>W33+W38+W42+W47+W50+W56+W61</f>
        <v/>
      </c>
      <c r="X62" s="17">
        <f>X33+X38+X42+X47+X50+X56+X61</f>
        <v/>
      </c>
      <c r="Y62" s="17">
        <f>Y33+Y38+Y42+Y47+Y50+Y56+Y61</f>
        <v/>
      </c>
      <c r="Z62" s="17">
        <f>Z33+Z38+Z42+Z47+Z50+Z56+Z61</f>
        <v/>
      </c>
      <c r="AA62" s="17">
        <f>AA33+AA38+AA42+AA47+AA50+AA56+AA61</f>
        <v/>
      </c>
      <c r="AB62" s="17">
        <f>AB33+AB38+AB42+AB47+AB50+AB56+AB61</f>
        <v/>
      </c>
      <c r="AC62" s="17">
        <f>AC33+AC38+AC42+AC47+AC50+AC56+AC61</f>
        <v/>
      </c>
      <c r="AD62" s="17">
        <f>AD33+AD38+AD42+AD47+AD50+AD56+AD61</f>
        <v/>
      </c>
      <c r="AE62" s="17">
        <f>AE33+AE38+AE42+AE47+AE50+AE56+AE61</f>
        <v/>
      </c>
      <c r="AF62" s="17">
        <f>AF33+AF38+AF42+AF47+AF50+AF56+AF61</f>
        <v/>
      </c>
      <c r="AG62" s="17">
        <f>AG33+AG38+AG42+AG47+AG50+AG56+AG61</f>
        <v/>
      </c>
      <c r="AH62" s="17">
        <f>AH33+AH38+AH42+AH47+AH50+AH56+AH61</f>
        <v/>
      </c>
      <c r="AI62" s="17">
        <f>AI33+AI38+AI42+AI47+AI50+AI56+AI61</f>
        <v/>
      </c>
      <c r="AJ62" s="17">
        <f>AJ33+AJ38+AJ42+AJ47+AJ50+AJ56+AJ61</f>
        <v/>
      </c>
      <c r="AK62" s="17">
        <f>AK33+AK38+AK42+AK47+AK50+AK56+AK61</f>
        <v/>
      </c>
      <c r="AL62" s="17">
        <f>AL33+AL38+AL42+AL47+AL50+AL56+AL61</f>
        <v/>
      </c>
      <c r="AM62" s="17">
        <f>AM33+AM38+AM42+AM47+AM50+AM56+AM61</f>
        <v/>
      </c>
      <c r="AN62" s="17">
        <f>AN33+AN38+AN42+AN47+AN50+AN56+AN61</f>
        <v/>
      </c>
      <c r="AO62" s="17">
        <f>AO33+AO38+AO42+AO47+AO50+AO56+AO61</f>
        <v/>
      </c>
      <c r="AP62" s="17">
        <f>AP33+AP38+AP42+AP47+AP50+AP56+AP61</f>
        <v/>
      </c>
      <c r="AQ62" s="17">
        <f>AQ33+AQ38+AQ42+AQ47+AQ50+AQ56+AQ61</f>
        <v/>
      </c>
      <c r="AR62" s="17">
        <f>AR33+AR38+AR42+AR47+AR50+AR56+AR61</f>
        <v/>
      </c>
      <c r="AS62" s="17">
        <f>AS33+AS38+AS42+AS47+AS50+AS56+AS61</f>
        <v/>
      </c>
      <c r="AT62" s="17">
        <f>AT33+AT38+AT42+AT47+AT50+AT56+AT61</f>
        <v/>
      </c>
      <c r="AU62" s="17">
        <f>AU33+AU38+AU42+AU47+AU50+AU56+AU61</f>
        <v/>
      </c>
      <c r="AV62" s="17">
        <f>AV33+AV38+AV42+AV47+AV50+AV56+AV61</f>
        <v/>
      </c>
      <c r="AW62" s="17">
        <f>AW33+AW38+AW42+AW47+AW50+AW56+AW61</f>
        <v/>
      </c>
      <c r="AX62" s="17">
        <f>AX33+AX38+AX42+AX47+AX50+AX56+AX61</f>
        <v/>
      </c>
      <c r="AY62" s="17">
        <f>AY33+AY38+AY42+AY47+AY50+AY56+AY61</f>
        <v/>
      </c>
    </row>
    <row r="63">
      <c r="B63" s="32" t="inlineStr">
        <is>
          <t>NET OPERATING INCOME (EBITDA)</t>
        </is>
      </c>
      <c r="C63" s="34" t="n"/>
      <c r="D63" s="35" t="n">
        <v>-15973.66000000001</v>
      </c>
      <c r="E63" s="35" t="n">
        <v>-3833.660000000018</v>
      </c>
      <c r="F63" s="35" t="n">
        <v>7377.159999999989</v>
      </c>
      <c r="G63" s="35" t="n">
        <v>126.75</v>
      </c>
      <c r="H63" s="35" t="n">
        <v>-8750.429999999993</v>
      </c>
      <c r="I63" s="35" t="n">
        <v>-2586.710000000006</v>
      </c>
      <c r="J63" s="35" t="n">
        <v>13527.16</v>
      </c>
      <c r="K63" s="35" t="n">
        <v>-11690.07999999999</v>
      </c>
      <c r="L63" s="35" t="n">
        <v>-15975.85</v>
      </c>
      <c r="M63" s="35" t="n">
        <v>-8974.299999999988</v>
      </c>
      <c r="N63" s="35" t="n">
        <v>-8690.729999999989</v>
      </c>
      <c r="O63" s="35" t="n">
        <v>3772.05000000001</v>
      </c>
      <c r="P63" s="35" t="n">
        <v>-3046.050000000003</v>
      </c>
      <c r="Q63" s="35" t="n">
        <v>586.1399999999994</v>
      </c>
      <c r="R63" s="35" t="n">
        <v>-10614.84</v>
      </c>
      <c r="S63" s="35" t="n">
        <v>-16069.41</v>
      </c>
      <c r="T63" s="85" t="n">
        <v>10239.14</v>
      </c>
      <c r="U63" s="17">
        <f>U26-U62</f>
        <v/>
      </c>
      <c r="V63" s="17">
        <f>V26-V62</f>
        <v/>
      </c>
      <c r="W63" s="17">
        <f>W26-W62</f>
        <v/>
      </c>
      <c r="X63" s="17">
        <f>X26-X62</f>
        <v/>
      </c>
      <c r="Y63" s="17">
        <f>Y26-Y62</f>
        <v/>
      </c>
      <c r="Z63" s="17">
        <f>Z26-Z62</f>
        <v/>
      </c>
      <c r="AA63" s="17">
        <f>AA26-AA62</f>
        <v/>
      </c>
      <c r="AB63" s="17">
        <f>AB26-AB62</f>
        <v/>
      </c>
      <c r="AC63" s="17">
        <f>AC26-AC62</f>
        <v/>
      </c>
      <c r="AD63" s="17">
        <f>AD26-AD62</f>
        <v/>
      </c>
      <c r="AE63" s="17">
        <f>AE26-AE62</f>
        <v/>
      </c>
      <c r="AF63" s="17">
        <f>AF26-AF62</f>
        <v/>
      </c>
      <c r="AG63" s="17">
        <f>AG26-AG62</f>
        <v/>
      </c>
      <c r="AH63" s="17">
        <f>AH26-AH62</f>
        <v/>
      </c>
      <c r="AI63" s="17">
        <f>AI26-AI62</f>
        <v/>
      </c>
      <c r="AJ63" s="17">
        <f>AJ26-AJ62</f>
        <v/>
      </c>
      <c r="AK63" s="17">
        <f>AK26-AK62</f>
        <v/>
      </c>
      <c r="AL63" s="17">
        <f>AL26-AL62</f>
        <v/>
      </c>
      <c r="AM63" s="17">
        <f>AM26-AM62</f>
        <v/>
      </c>
      <c r="AN63" s="17">
        <f>AN26-AN62</f>
        <v/>
      </c>
      <c r="AO63" s="17">
        <f>AO26-AO62</f>
        <v/>
      </c>
      <c r="AP63" s="17">
        <f>AP26-AP62</f>
        <v/>
      </c>
      <c r="AQ63" s="17">
        <f>AQ26-AQ62</f>
        <v/>
      </c>
      <c r="AR63" s="17">
        <f>AR26-AR62</f>
        <v/>
      </c>
      <c r="AS63" s="17">
        <f>AS26-AS62</f>
        <v/>
      </c>
      <c r="AT63" s="17">
        <f>AT26-AT62</f>
        <v/>
      </c>
      <c r="AU63" s="17">
        <f>AU26-AU62</f>
        <v/>
      </c>
      <c r="AV63" s="17">
        <f>AV26-AV62</f>
        <v/>
      </c>
      <c r="AW63" s="17">
        <f>AW26-AW62</f>
        <v/>
      </c>
      <c r="AX63" s="17">
        <f>AX26-AX62</f>
        <v/>
      </c>
      <c r="AY63" s="17">
        <f>AY26-AY62</f>
        <v/>
      </c>
    </row>
    <row r="64" ht="16.05" customHeight="1" s="142">
      <c r="B64" s="10" t="inlineStr">
        <is>
          <t>OTHER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</row>
    <row r="65">
      <c r="B65" s="33" t="inlineStr">
        <is>
          <t xml:space="preserve">  810000 Depreciation</t>
        </is>
      </c>
      <c r="D65" s="19" t="n">
        <v>1861.07</v>
      </c>
      <c r="E65" s="19" t="n">
        <v>1866.22</v>
      </c>
      <c r="F65" s="19" t="n">
        <v>1927.7</v>
      </c>
      <c r="G65" s="19" t="n">
        <v>1941.94</v>
      </c>
      <c r="H65" s="19" t="n">
        <v>1941.94</v>
      </c>
      <c r="I65" s="19" t="n">
        <v>1941.94</v>
      </c>
      <c r="J65" s="19" t="n">
        <v>1947.15</v>
      </c>
      <c r="K65" s="19" t="n">
        <v>1950.35</v>
      </c>
      <c r="L65" s="19" t="n">
        <v>1950.35</v>
      </c>
      <c r="M65" s="19" t="n">
        <v>1950.35</v>
      </c>
      <c r="N65" s="19" t="n">
        <v>1991.93</v>
      </c>
      <c r="O65" s="19" t="n">
        <v>-199.17</v>
      </c>
      <c r="P65" s="19" t="n">
        <v>1780.99</v>
      </c>
      <c r="Q65" s="19" t="n">
        <v>1780.99</v>
      </c>
      <c r="R65" s="19" t="n">
        <v>1780.99</v>
      </c>
      <c r="S65" s="19" t="n">
        <v>1780.99</v>
      </c>
      <c r="T65" s="84" t="n">
        <v>1780.99</v>
      </c>
      <c r="U65" s="20" t="n">
        <v>1780.99</v>
      </c>
      <c r="V65" s="20" t="n">
        <v>1780.99</v>
      </c>
      <c r="W65" s="20" t="n">
        <v>1780.99</v>
      </c>
      <c r="X65" s="20" t="n">
        <v>1780.99</v>
      </c>
      <c r="Y65" s="20" t="n">
        <v>1780.99</v>
      </c>
      <c r="Z65" s="20" t="n">
        <v>1780.99</v>
      </c>
      <c r="AA65" s="20" t="n">
        <v>1780.99</v>
      </c>
      <c r="AB65" s="20" t="n">
        <v>1780.99</v>
      </c>
      <c r="AC65" s="20" t="n">
        <v>1780.99</v>
      </c>
      <c r="AD65" s="20" t="n">
        <v>1780.99</v>
      </c>
      <c r="AE65" s="20" t="n">
        <v>1780.99</v>
      </c>
      <c r="AF65" s="20" t="n">
        <v>1780.99</v>
      </c>
      <c r="AG65" s="20" t="n">
        <v>1780.99</v>
      </c>
      <c r="AH65" s="20" t="n">
        <v>1780.99</v>
      </c>
      <c r="AI65" s="20" t="n">
        <v>1780.99</v>
      </c>
      <c r="AJ65" s="20" t="n">
        <v>1780.99</v>
      </c>
      <c r="AK65" s="20" t="n">
        <v>1780.99</v>
      </c>
      <c r="AL65" s="20" t="n">
        <v>1780.99</v>
      </c>
      <c r="AM65" s="20" t="n">
        <v>1780.99</v>
      </c>
      <c r="AN65" s="20">
        <f>AN69*0.319296</f>
        <v/>
      </c>
      <c r="AO65" s="20">
        <f>AO69*0.319296</f>
        <v/>
      </c>
      <c r="AP65" s="20">
        <f>AP69*0.319296</f>
        <v/>
      </c>
      <c r="AQ65" s="20">
        <f>AQ69*0.319296</f>
        <v/>
      </c>
      <c r="AR65" s="20">
        <f>AR69*0.319296</f>
        <v/>
      </c>
      <c r="AS65" s="20">
        <f>AS69*0.319296</f>
        <v/>
      </c>
      <c r="AT65" s="20">
        <f>AT69*0.319296</f>
        <v/>
      </c>
      <c r="AU65" s="20">
        <f>AU69*0.319296</f>
        <v/>
      </c>
      <c r="AV65" s="20">
        <f>AV69*0.319296</f>
        <v/>
      </c>
      <c r="AW65" s="20">
        <f>AW69*0.319296</f>
        <v/>
      </c>
      <c r="AX65" s="20">
        <f>AX69*0.319296</f>
        <v/>
      </c>
      <c r="AY65" s="20">
        <f>AY69*0.319296</f>
        <v/>
      </c>
    </row>
    <row r="66">
      <c r="B66" s="33" t="inlineStr">
        <is>
          <t xml:space="preserve">  901000 Interest Expense</t>
        </is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>
        <v>0</v>
      </c>
      <c r="Q66" s="19" t="n">
        <v>0</v>
      </c>
      <c r="R66" s="19" t="n">
        <v>0</v>
      </c>
      <c r="S66" s="19" t="n">
        <v>0</v>
      </c>
      <c r="T66" s="84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0" t="n">
        <v>0</v>
      </c>
      <c r="AQ66" s="20" t="n">
        <v>0</v>
      </c>
      <c r="AR66" s="20" t="n">
        <v>0</v>
      </c>
      <c r="AS66" s="20" t="n">
        <v>0</v>
      </c>
      <c r="AT66" s="20" t="n">
        <v>0</v>
      </c>
      <c r="AU66" s="20" t="n">
        <v>0</v>
      </c>
      <c r="AV66" s="20" t="n">
        <v>0</v>
      </c>
      <c r="AW66" s="20" t="n">
        <v>0</v>
      </c>
      <c r="AX66" s="20" t="n">
        <v>0</v>
      </c>
      <c r="AY66" s="20" t="n">
        <v>0</v>
      </c>
    </row>
    <row r="67">
      <c r="B67" s="33" t="inlineStr">
        <is>
          <t xml:space="preserve">  902000 Taxes Paid</t>
        </is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>
        <v>0</v>
      </c>
      <c r="Q67" s="19" t="n">
        <v>495.5</v>
      </c>
      <c r="R67" s="19" t="n">
        <v>0</v>
      </c>
      <c r="S67" s="19" t="n">
        <v>0</v>
      </c>
      <c r="T67" s="84" t="n">
        <v>0</v>
      </c>
      <c r="U67" s="20">
        <f>U69*0.022208</f>
        <v/>
      </c>
      <c r="V67" s="20">
        <f>V69*0.022208</f>
        <v/>
      </c>
      <c r="W67" s="20">
        <f>W69*0.022208</f>
        <v/>
      </c>
      <c r="X67" s="20">
        <f>X69*0.022208</f>
        <v/>
      </c>
      <c r="Y67" s="20">
        <f>Y69*0.022208</f>
        <v/>
      </c>
      <c r="Z67" s="20">
        <f>Z69*0.022208</f>
        <v/>
      </c>
      <c r="AA67" s="20">
        <f>AA69*0.022208</f>
        <v/>
      </c>
      <c r="AB67" s="20">
        <f>AB69*0.022208</f>
        <v/>
      </c>
      <c r="AC67" s="20">
        <f>AC69*0.022208</f>
        <v/>
      </c>
      <c r="AD67" s="20">
        <f>AD69*0.022208</f>
        <v/>
      </c>
      <c r="AE67" s="20">
        <f>AE69*0.022208</f>
        <v/>
      </c>
      <c r="AF67" s="20">
        <f>AF69*0.022208</f>
        <v/>
      </c>
      <c r="AG67" s="20">
        <f>AG69*0.022208</f>
        <v/>
      </c>
      <c r="AH67" s="20">
        <f>AH69*0.022208</f>
        <v/>
      </c>
      <c r="AI67" s="20">
        <f>AI69*0.022208</f>
        <v/>
      </c>
      <c r="AJ67" s="20">
        <f>AJ69*0.022208</f>
        <v/>
      </c>
      <c r="AK67" s="20">
        <f>AK69*0.022208</f>
        <v/>
      </c>
      <c r="AL67" s="20">
        <f>AL69*0.022208</f>
        <v/>
      </c>
      <c r="AM67" s="20">
        <f>AM69*0.022208</f>
        <v/>
      </c>
      <c r="AN67" s="20">
        <f>AN69*0.022208</f>
        <v/>
      </c>
      <c r="AO67" s="20">
        <f>AO69*0.022208</f>
        <v/>
      </c>
      <c r="AP67" s="20">
        <f>AP69*0.022208</f>
        <v/>
      </c>
      <c r="AQ67" s="20">
        <f>AQ69*0.022208</f>
        <v/>
      </c>
      <c r="AR67" s="20">
        <f>AR69*0.022208</f>
        <v/>
      </c>
      <c r="AS67" s="20">
        <f>AS69*0.022208</f>
        <v/>
      </c>
      <c r="AT67" s="20">
        <f>AT69*0.022208</f>
        <v/>
      </c>
      <c r="AU67" s="20">
        <f>AU69*0.022208</f>
        <v/>
      </c>
      <c r="AV67" s="20">
        <f>AV69*0.022208</f>
        <v/>
      </c>
      <c r="AW67" s="20">
        <f>AW69*0.022208</f>
        <v/>
      </c>
      <c r="AX67" s="20">
        <f>AX69*0.022208</f>
        <v/>
      </c>
      <c r="AY67" s="20">
        <f>AY69*0.022208</f>
        <v/>
      </c>
    </row>
    <row r="68">
      <c r="B68" s="33" t="inlineStr">
        <is>
          <t xml:space="preserve">  903000 Property taxes</t>
        </is>
      </c>
      <c r="D68" s="19" t="n">
        <v>3356.51</v>
      </c>
      <c r="E68" s="19" t="n">
        <v>3526.51</v>
      </c>
      <c r="F68" s="19" t="n">
        <v>3441.51</v>
      </c>
      <c r="G68" s="19" t="n">
        <v>3441.51</v>
      </c>
      <c r="H68" s="19" t="n">
        <v>3441.51</v>
      </c>
      <c r="I68" s="19" t="n">
        <v>3441.51</v>
      </c>
      <c r="J68" s="19" t="n">
        <v>5341.36</v>
      </c>
      <c r="K68" s="19" t="n">
        <v>3441.51</v>
      </c>
      <c r="L68" s="19" t="n">
        <v>3441.51</v>
      </c>
      <c r="M68" s="19" t="n">
        <v>3441.51</v>
      </c>
      <c r="N68" s="19" t="n">
        <v>3441.51</v>
      </c>
      <c r="O68" s="19" t="n">
        <v>3441.52</v>
      </c>
      <c r="P68" s="19" t="n">
        <v>3673</v>
      </c>
      <c r="Q68" s="19" t="n">
        <v>3673</v>
      </c>
      <c r="R68" s="19" t="n">
        <v>3673</v>
      </c>
      <c r="S68" s="19" t="n">
        <v>3673</v>
      </c>
      <c r="T68" s="84" t="n">
        <v>3673</v>
      </c>
      <c r="U68" s="20">
        <f>U69*0.658496</f>
        <v/>
      </c>
      <c r="V68" s="20">
        <f>V69*0.658496</f>
        <v/>
      </c>
      <c r="W68" s="20">
        <f>W69*0.658496</f>
        <v/>
      </c>
      <c r="X68" s="20">
        <f>X69*0.658496</f>
        <v/>
      </c>
      <c r="Y68" s="20">
        <f>Y69*0.658496</f>
        <v/>
      </c>
      <c r="Z68" s="20">
        <f>Z69*0.658496</f>
        <v/>
      </c>
      <c r="AA68" s="20">
        <f>AA69*0.658496</f>
        <v/>
      </c>
      <c r="AB68" s="20">
        <f>AB69*0.658496</f>
        <v/>
      </c>
      <c r="AC68" s="20">
        <f>AC69*0.658496</f>
        <v/>
      </c>
      <c r="AD68" s="20">
        <f>AD69*0.658496</f>
        <v/>
      </c>
      <c r="AE68" s="20">
        <f>AE69*0.658496</f>
        <v/>
      </c>
      <c r="AF68" s="20">
        <f>AF69*0.658496</f>
        <v/>
      </c>
      <c r="AG68" s="20">
        <f>AG69*0.658496</f>
        <v/>
      </c>
      <c r="AH68" s="20">
        <f>AH69*0.658496</f>
        <v/>
      </c>
      <c r="AI68" s="20">
        <f>AI69*0.658496</f>
        <v/>
      </c>
      <c r="AJ68" s="20">
        <f>AJ69*0.658496</f>
        <v/>
      </c>
      <c r="AK68" s="20">
        <f>AK69*0.658496</f>
        <v/>
      </c>
      <c r="AL68" s="20">
        <f>AL69*0.658496</f>
        <v/>
      </c>
      <c r="AM68" s="20">
        <f>AM69*0.658496</f>
        <v/>
      </c>
      <c r="AN68" s="20">
        <f>AN69*0.658496</f>
        <v/>
      </c>
      <c r="AO68" s="20">
        <f>AO69*0.658496</f>
        <v/>
      </c>
      <c r="AP68" s="20">
        <f>AP69*0.658496</f>
        <v/>
      </c>
      <c r="AQ68" s="20">
        <f>AQ69*0.658496</f>
        <v/>
      </c>
      <c r="AR68" s="20">
        <f>AR69*0.658496</f>
        <v/>
      </c>
      <c r="AS68" s="20">
        <f>AS69*0.658496</f>
        <v/>
      </c>
      <c r="AT68" s="20">
        <f>AT69*0.658496</f>
        <v/>
      </c>
      <c r="AU68" s="20">
        <f>AU69*0.658496</f>
        <v/>
      </c>
      <c r="AV68" s="20">
        <f>AV69*0.658496</f>
        <v/>
      </c>
      <c r="AW68" s="20">
        <f>AW69*0.658496</f>
        <v/>
      </c>
      <c r="AX68" s="20">
        <f>AX69*0.658496</f>
        <v/>
      </c>
      <c r="AY68" s="20">
        <f>AY69*0.658496</f>
        <v/>
      </c>
    </row>
    <row r="69">
      <c r="B69" s="32" t="inlineStr">
        <is>
          <t>Total Other Expenses</t>
        </is>
      </c>
      <c r="C69" s="34" t="n"/>
      <c r="D69" s="35" t="n">
        <v>5217.58</v>
      </c>
      <c r="E69" s="35" t="n">
        <v>5392.73</v>
      </c>
      <c r="F69" s="35" t="n">
        <v>5369.21</v>
      </c>
      <c r="G69" s="35" t="n">
        <v>5383.450000000001</v>
      </c>
      <c r="H69" s="35" t="n">
        <v>5383.450000000001</v>
      </c>
      <c r="I69" s="35" t="n">
        <v>5383.450000000001</v>
      </c>
      <c r="J69" s="35" t="n">
        <v>7288.51</v>
      </c>
      <c r="K69" s="35" t="n">
        <v>5391.860000000001</v>
      </c>
      <c r="L69" s="35" t="n">
        <v>5391.860000000001</v>
      </c>
      <c r="M69" s="35" t="n">
        <v>5391.860000000001</v>
      </c>
      <c r="N69" s="35" t="n">
        <v>4433.440000000001</v>
      </c>
      <c r="O69" s="35" t="n">
        <v>3242.35</v>
      </c>
      <c r="P69" s="35" t="n">
        <v>5453.99</v>
      </c>
      <c r="Q69" s="35" t="n">
        <v>5949.49</v>
      </c>
      <c r="R69" s="35" t="n">
        <v>5453.99</v>
      </c>
      <c r="S69" s="35" t="n">
        <v>5453.99</v>
      </c>
      <c r="T69" s="85" t="n">
        <v>5453.99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</row>
    <row r="70">
      <c r="B70" s="32" t="inlineStr">
        <is>
          <t>NET INCOME</t>
        </is>
      </c>
      <c r="C70" s="34" t="n"/>
      <c r="D70" s="35" t="n">
        <v>-21191.24000000001</v>
      </c>
      <c r="E70" s="35" t="n">
        <v>-9226.390000000018</v>
      </c>
      <c r="F70" s="35" t="n">
        <v>2007.949999999989</v>
      </c>
      <c r="G70" s="35" t="n">
        <v>-5256.700000000001</v>
      </c>
      <c r="H70" s="35" t="n">
        <v>-14133.87999999999</v>
      </c>
      <c r="I70" s="35" t="n">
        <v>-7970.160000000007</v>
      </c>
      <c r="J70" s="35" t="n">
        <v>6238.650000000003</v>
      </c>
      <c r="K70" s="35" t="n">
        <v>-17081.93999999999</v>
      </c>
      <c r="L70" s="35" t="n">
        <v>-21367.71</v>
      </c>
      <c r="M70" s="35" t="n">
        <v>-14366.15999999999</v>
      </c>
      <c r="N70" s="35" t="n">
        <v>-13124.16999999999</v>
      </c>
      <c r="O70" s="35" t="n">
        <v>529.7000000000103</v>
      </c>
      <c r="P70" s="35" t="n">
        <v>-8500.040000000003</v>
      </c>
      <c r="Q70" s="35" t="n">
        <v>-5363.35</v>
      </c>
      <c r="R70" s="35" t="n">
        <v>-16068.83</v>
      </c>
      <c r="S70" s="35" t="n">
        <v>-21523.4</v>
      </c>
      <c r="T70" s="85" t="n">
        <v>4785.15</v>
      </c>
      <c r="U70" s="17">
        <f>U63-U69</f>
        <v/>
      </c>
      <c r="V70" s="17">
        <f>V63-V69</f>
        <v/>
      </c>
      <c r="W70" s="17">
        <f>W63-W69</f>
        <v/>
      </c>
      <c r="X70" s="17">
        <f>X63-X69</f>
        <v/>
      </c>
      <c r="Y70" s="17">
        <f>Y63-Y69</f>
        <v/>
      </c>
      <c r="Z70" s="17">
        <f>Z63-Z69</f>
        <v/>
      </c>
      <c r="AA70" s="17">
        <f>AA63-AA69</f>
        <v/>
      </c>
      <c r="AB70" s="17">
        <f>AB63-AB69</f>
        <v/>
      </c>
      <c r="AC70" s="17">
        <f>AC63-AC69</f>
        <v/>
      </c>
      <c r="AD70" s="17">
        <f>AD63-AD69</f>
        <v/>
      </c>
      <c r="AE70" s="17">
        <f>AE63-AE69</f>
        <v/>
      </c>
      <c r="AF70" s="17">
        <f>AF63-AF69</f>
        <v/>
      </c>
      <c r="AG70" s="17">
        <f>AG63-AG69</f>
        <v/>
      </c>
      <c r="AH70" s="17">
        <f>AH63-AH69</f>
        <v/>
      </c>
      <c r="AI70" s="17">
        <f>AI63-AI69</f>
        <v/>
      </c>
      <c r="AJ70" s="17">
        <f>AJ63-AJ69</f>
        <v/>
      </c>
      <c r="AK70" s="17">
        <f>AK63-AK69</f>
        <v/>
      </c>
      <c r="AL70" s="17">
        <f>AL63-AL69</f>
        <v/>
      </c>
      <c r="AM70" s="17">
        <f>AM63-AM69</f>
        <v/>
      </c>
      <c r="AN70" s="17">
        <f>AN63-AN69</f>
        <v/>
      </c>
      <c r="AO70" s="17">
        <f>AO63-AO69</f>
        <v/>
      </c>
      <c r="AP70" s="17">
        <f>AP63-AP69</f>
        <v/>
      </c>
      <c r="AQ70" s="17">
        <f>AQ63-AQ69</f>
        <v/>
      </c>
      <c r="AR70" s="17">
        <f>AR63-AR69</f>
        <v/>
      </c>
      <c r="AS70" s="17">
        <f>AS63-AS69</f>
        <v/>
      </c>
      <c r="AT70" s="17">
        <f>AT63-AT69</f>
        <v/>
      </c>
      <c r="AU70" s="17">
        <f>AU63-AU69</f>
        <v/>
      </c>
      <c r="AV70" s="17">
        <f>AV63-AV69</f>
        <v/>
      </c>
      <c r="AW70" s="17">
        <f>AW63-AW69</f>
        <v/>
      </c>
      <c r="AX70" s="17">
        <f>AX63-AX69</f>
        <v/>
      </c>
      <c r="AY70" s="17">
        <f>AY63-AY69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ED7D31"/>
    <outlinePr summaryBelow="1" summaryRight="1"/>
    <pageSetUpPr/>
  </sheetPr>
  <dimension ref="B2:AY4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K37" sqref="K37"/>
    </sheetView>
  </sheetViews>
  <sheetFormatPr baseColWidth="8" defaultColWidth="8.796875" defaultRowHeight="14.25"/>
  <cols>
    <col hidden="1" width="2" customWidth="1" style="142" min="1" max="1"/>
    <col width="34" customWidth="1" style="142" min="2" max="2"/>
    <col width="10" customWidth="1" style="142" min="3" max="3"/>
    <col width="12" customWidth="1" style="142" min="4" max="39"/>
  </cols>
  <sheetData>
    <row r="2" ht="21" customHeight="1" s="142">
      <c r="B2" s="42" t="inlineStr">
        <is>
          <t>Head Office (HO) — Profit &amp; Loss</t>
        </is>
      </c>
    </row>
    <row r="3">
      <c r="B3" s="43" t="inlineStr">
        <is>
          <t>Corporate overhead. No revenue — flows into consolidated P&amp;L as an OpEx contribution that reduces consolidated EBITDA.</t>
        </is>
      </c>
    </row>
    <row r="4" ht="16.05" customHeight="1" s="142">
      <c r="B4" s="44" t="inlineStr">
        <is>
          <t>Monthly P&amp;L (Overhead)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</row>
    <row r="5">
      <c r="B5" s="46" t="inlineStr">
        <is>
          <t>Line Item</t>
        </is>
      </c>
      <c r="D5" s="47" t="inlineStr">
        <is>
          <t>Jan 2025 (A)</t>
        </is>
      </c>
      <c r="E5" s="47" t="inlineStr">
        <is>
          <t>Feb 2025 (A)</t>
        </is>
      </c>
      <c r="F5" s="47" t="inlineStr">
        <is>
          <t>Mar 2025 (A)</t>
        </is>
      </c>
      <c r="G5" s="47" t="inlineStr">
        <is>
          <t>Apr 2025 (A)</t>
        </is>
      </c>
      <c r="H5" s="47" t="inlineStr">
        <is>
          <t>May 2025 (A)</t>
        </is>
      </c>
      <c r="I5" s="47" t="inlineStr">
        <is>
          <t>Jun 2025 (A)</t>
        </is>
      </c>
      <c r="J5" s="47" t="inlineStr">
        <is>
          <t>Jul 2025 (A)</t>
        </is>
      </c>
      <c r="K5" s="47" t="inlineStr">
        <is>
          <t>Aug 2025 (A)</t>
        </is>
      </c>
      <c r="L5" s="47" t="inlineStr">
        <is>
          <t>Sep 2025 (A)</t>
        </is>
      </c>
      <c r="M5" s="47" t="inlineStr">
        <is>
          <t>Oct 2025 (A)</t>
        </is>
      </c>
      <c r="N5" s="47" t="inlineStr">
        <is>
          <t>Nov 2025 (A)</t>
        </is>
      </c>
      <c r="O5" s="47" t="inlineStr">
        <is>
          <t>Dec 2025 (A)</t>
        </is>
      </c>
      <c r="P5" s="47" t="inlineStr">
        <is>
          <t>Jan 2026 (A)</t>
        </is>
      </c>
      <c r="Q5" s="47" t="inlineStr">
        <is>
          <t>Feb 2026 (A)</t>
        </is>
      </c>
      <c r="R5" s="47" t="inlineStr">
        <is>
          <t>Mar 2026 (A)</t>
        </is>
      </c>
      <c r="S5" s="47" t="inlineStr">
        <is>
          <t>Apr 2026 (A)</t>
        </is>
      </c>
      <c r="T5" s="87" t="inlineStr">
        <is>
          <t>May 2026 (A)</t>
        </is>
      </c>
      <c r="U5" s="48" t="inlineStr">
        <is>
          <t>Jun 2026</t>
        </is>
      </c>
      <c r="V5" s="48" t="inlineStr">
        <is>
          <t>Jul 2026</t>
        </is>
      </c>
      <c r="W5" s="48" t="inlineStr">
        <is>
          <t>Aug 2026</t>
        </is>
      </c>
      <c r="X5" s="48" t="inlineStr">
        <is>
          <t>Sep 2026</t>
        </is>
      </c>
      <c r="Y5" s="48" t="inlineStr">
        <is>
          <t>Oct 2026</t>
        </is>
      </c>
      <c r="Z5" s="48" t="inlineStr">
        <is>
          <t>Nov 2026</t>
        </is>
      </c>
      <c r="AA5" s="48" t="inlineStr">
        <is>
          <t>Dec 2026</t>
        </is>
      </c>
      <c r="AB5" s="48" t="inlineStr">
        <is>
          <t>Jan 2027</t>
        </is>
      </c>
      <c r="AC5" s="48" t="inlineStr">
        <is>
          <t>Feb 2027</t>
        </is>
      </c>
      <c r="AD5" s="48" t="inlineStr">
        <is>
          <t>Mar 2027</t>
        </is>
      </c>
      <c r="AE5" s="48" t="inlineStr">
        <is>
          <t>Apr 2027</t>
        </is>
      </c>
      <c r="AF5" s="48" t="inlineStr">
        <is>
          <t>May 2027</t>
        </is>
      </c>
      <c r="AG5" s="48" t="inlineStr">
        <is>
          <t>Jun 2027</t>
        </is>
      </c>
      <c r="AH5" s="48" t="inlineStr">
        <is>
          <t>Jul 2027</t>
        </is>
      </c>
      <c r="AI5" s="48" t="inlineStr">
        <is>
          <t>Aug 2027</t>
        </is>
      </c>
      <c r="AJ5" s="48" t="inlineStr">
        <is>
          <t>Sep 2027</t>
        </is>
      </c>
      <c r="AK5" s="48" t="inlineStr">
        <is>
          <t>Oct 2027</t>
        </is>
      </c>
      <c r="AL5" s="48" t="inlineStr">
        <is>
          <t>Nov 2027</t>
        </is>
      </c>
      <c r="AM5" s="48" t="inlineStr">
        <is>
          <t>Dec 2027</t>
        </is>
      </c>
      <c r="AN5" s="48" t="inlineStr">
        <is>
          <t>Jan 2028</t>
        </is>
      </c>
      <c r="AO5" s="48" t="inlineStr">
        <is>
          <t>Feb 2028</t>
        </is>
      </c>
      <c r="AP5" s="48" t="inlineStr">
        <is>
          <t>Mar 2028</t>
        </is>
      </c>
      <c r="AQ5" s="48" t="inlineStr">
        <is>
          <t>Apr 2028</t>
        </is>
      </c>
      <c r="AR5" s="48" t="inlineStr">
        <is>
          <t>May 2028</t>
        </is>
      </c>
      <c r="AS5" s="48" t="inlineStr">
        <is>
          <t>Jun 2028</t>
        </is>
      </c>
      <c r="AT5" s="48" t="inlineStr">
        <is>
          <t>Jul 2028</t>
        </is>
      </c>
      <c r="AU5" s="48" t="inlineStr">
        <is>
          <t>Aug 2028</t>
        </is>
      </c>
      <c r="AV5" s="48" t="inlineStr">
        <is>
          <t>Sep 2028</t>
        </is>
      </c>
      <c r="AW5" s="48" t="inlineStr">
        <is>
          <t>Oct 2028</t>
        </is>
      </c>
      <c r="AX5" s="48" t="inlineStr">
        <is>
          <t>Nov 2028</t>
        </is>
      </c>
      <c r="AY5" s="48" t="inlineStr">
        <is>
          <t>Dec 2028</t>
        </is>
      </c>
    </row>
    <row r="6" ht="16.05" customHeight="1" s="142">
      <c r="B6" s="44" t="inlineStr">
        <is>
          <t>OPERATING EXPENSES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  <c r="AL6" s="45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</row>
    <row r="7">
      <c r="B7" s="49" t="inlineStr">
        <is>
          <t xml:space="preserve">  601001 Paid Ads</t>
        </is>
      </c>
      <c r="D7" s="40" t="n">
        <v>5222.87</v>
      </c>
      <c r="E7" s="40" t="n">
        <v>3500</v>
      </c>
      <c r="F7" s="40" t="n">
        <v>8928.360000000001</v>
      </c>
      <c r="G7" s="40" t="n">
        <v>1654.75</v>
      </c>
      <c r="H7" s="40" t="n">
        <v>4571.34</v>
      </c>
      <c r="I7" s="40" t="n">
        <v>2578.32</v>
      </c>
      <c r="J7" s="40" t="n">
        <v>6766.11</v>
      </c>
      <c r="K7" s="40" t="n">
        <v>304.07</v>
      </c>
      <c r="L7" s="40" t="n">
        <v>8806.35</v>
      </c>
      <c r="M7" s="40" t="n">
        <v>7580</v>
      </c>
      <c r="N7" s="40" t="n">
        <v>4545.88</v>
      </c>
      <c r="O7" s="40" t="n">
        <v>5019.72</v>
      </c>
      <c r="P7" s="40" t="n">
        <v>6769.14</v>
      </c>
      <c r="Q7" s="40" t="n">
        <v>0</v>
      </c>
      <c r="R7" s="40" t="n">
        <v>0</v>
      </c>
      <c r="S7" s="40" t="n">
        <v>0</v>
      </c>
      <c r="T7" s="40" t="n">
        <v>0</v>
      </c>
      <c r="U7" s="41" t="n">
        <v>1437.9</v>
      </c>
      <c r="V7" s="41" t="n">
        <v>1437.9</v>
      </c>
      <c r="W7" s="41" t="n">
        <v>1437.9</v>
      </c>
      <c r="X7" s="41" t="n">
        <v>1437.9</v>
      </c>
      <c r="Y7" s="41" t="n">
        <v>1437.9</v>
      </c>
      <c r="Z7" s="41" t="n">
        <v>1437.9</v>
      </c>
      <c r="AA7" s="41" t="n">
        <v>1437.9</v>
      </c>
      <c r="AB7" s="41" t="n">
        <v>1509.8</v>
      </c>
      <c r="AC7" s="41" t="n">
        <v>1509.8</v>
      </c>
      <c r="AD7" s="41" t="n">
        <v>1509.8</v>
      </c>
      <c r="AE7" s="41" t="n">
        <v>1509.8</v>
      </c>
      <c r="AF7" s="41" t="n">
        <v>1509.8</v>
      </c>
      <c r="AG7" s="41" t="n">
        <v>1509.8</v>
      </c>
      <c r="AH7" s="41" t="n">
        <v>1509.8</v>
      </c>
      <c r="AI7" s="41" t="n">
        <v>1509.8</v>
      </c>
      <c r="AJ7" s="41" t="n">
        <v>1509.8</v>
      </c>
      <c r="AK7" s="41" t="n">
        <v>1509.8</v>
      </c>
      <c r="AL7" s="41" t="n">
        <v>1509.8</v>
      </c>
      <c r="AM7" s="41" t="n">
        <v>1509.8</v>
      </c>
      <c r="AN7" s="41" t="n">
        <v>1509.8</v>
      </c>
      <c r="AO7" s="41" t="n">
        <v>1509.8</v>
      </c>
      <c r="AP7" s="41" t="n">
        <v>1509.8</v>
      </c>
      <c r="AQ7" s="41" t="n">
        <v>1509.8</v>
      </c>
      <c r="AR7" s="41" t="n">
        <v>1509.8</v>
      </c>
      <c r="AS7" s="41" t="n">
        <v>1509.8</v>
      </c>
      <c r="AT7" s="41" t="n">
        <v>1509.8</v>
      </c>
      <c r="AU7" s="41" t="n">
        <v>1509.8</v>
      </c>
      <c r="AV7" s="41" t="n">
        <v>1509.8</v>
      </c>
      <c r="AW7" s="41" t="n">
        <v>1509.8</v>
      </c>
      <c r="AX7" s="41" t="n">
        <v>1509.8</v>
      </c>
      <c r="AY7" s="41" t="n">
        <v>1509.8</v>
      </c>
    </row>
    <row r="8">
      <c r="B8" s="49" t="inlineStr">
        <is>
          <t xml:space="preserve">  601005 Content Creation</t>
        </is>
      </c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>
        <v>0</v>
      </c>
      <c r="Q8" s="40" t="n">
        <v>0</v>
      </c>
      <c r="R8" s="40" t="n">
        <v>0</v>
      </c>
      <c r="S8" s="40" t="n">
        <v>0</v>
      </c>
      <c r="T8" s="40" t="n">
        <v>0</v>
      </c>
      <c r="U8" s="41" t="n">
        <v>0</v>
      </c>
      <c r="V8" s="41" t="n">
        <v>0</v>
      </c>
      <c r="W8" s="41" t="n">
        <v>0</v>
      </c>
      <c r="X8" s="41" t="n">
        <v>0</v>
      </c>
      <c r="Y8" s="41" t="n">
        <v>0</v>
      </c>
      <c r="Z8" s="41" t="n">
        <v>0</v>
      </c>
      <c r="AA8" s="41" t="n">
        <v>0</v>
      </c>
      <c r="AB8" s="41" t="n">
        <v>0</v>
      </c>
      <c r="AC8" s="41" t="n">
        <v>0</v>
      </c>
      <c r="AD8" s="41" t="n">
        <v>0</v>
      </c>
      <c r="AE8" s="41" t="n">
        <v>0</v>
      </c>
      <c r="AF8" s="41" t="n">
        <v>0</v>
      </c>
      <c r="AG8" s="41" t="n">
        <v>0</v>
      </c>
      <c r="AH8" s="41" t="n">
        <v>0</v>
      </c>
      <c r="AI8" s="41" t="n">
        <v>0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</row>
    <row r="9">
      <c r="B9" s="49" t="inlineStr">
        <is>
          <t xml:space="preserve">  601006 General Marketing</t>
        </is>
      </c>
      <c r="D9" s="40" t="n">
        <v>0</v>
      </c>
      <c r="E9" s="40" t="n">
        <v>0</v>
      </c>
      <c r="F9" s="40" t="n">
        <v>1107.42</v>
      </c>
      <c r="G9" s="40" t="n">
        <v>0</v>
      </c>
      <c r="H9" s="40" t="n">
        <v>1218.03</v>
      </c>
      <c r="I9" s="40" t="n">
        <v>0</v>
      </c>
      <c r="J9" s="40" t="n">
        <v>0</v>
      </c>
      <c r="K9" s="40" t="n">
        <v>1588.47</v>
      </c>
      <c r="L9" s="40" t="n">
        <v>20.84</v>
      </c>
      <c r="M9" s="40" t="n">
        <v>396.92</v>
      </c>
      <c r="N9" s="40" t="n">
        <v>0</v>
      </c>
      <c r="O9" s="40" t="n">
        <v>254.31</v>
      </c>
      <c r="P9" s="40" t="n">
        <v>0</v>
      </c>
      <c r="Q9" s="40" t="n">
        <v>0</v>
      </c>
      <c r="R9" s="40" t="n">
        <v>0</v>
      </c>
      <c r="S9" s="40" t="n">
        <v>0</v>
      </c>
      <c r="T9" s="40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</row>
    <row r="10">
      <c r="B10" s="49" t="inlineStr">
        <is>
          <t xml:space="preserve">  601007 Contractors/Agencies</t>
        </is>
      </c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>
        <v>0</v>
      </c>
      <c r="Q10" s="40" t="n">
        <v>0</v>
      </c>
      <c r="R10" s="40" t="n">
        <v>0</v>
      </c>
      <c r="S10" s="40" t="n">
        <v>0</v>
      </c>
      <c r="T10" s="40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  <c r="AI10" s="41" t="n">
        <v>0</v>
      </c>
      <c r="AJ10" s="41" t="n">
        <v>0</v>
      </c>
      <c r="AK10" s="41" t="n">
        <v>0</v>
      </c>
      <c r="AL10" s="41" t="n">
        <v>0</v>
      </c>
      <c r="AM10" s="41" t="n">
        <v>0</v>
      </c>
      <c r="AN10" s="41" t="n">
        <v>0</v>
      </c>
      <c r="AO10" s="41" t="n">
        <v>0</v>
      </c>
      <c r="AP10" s="41" t="n">
        <v>0</v>
      </c>
      <c r="AQ10" s="41" t="n">
        <v>0</v>
      </c>
      <c r="AR10" s="41" t="n">
        <v>0</v>
      </c>
      <c r="AS10" s="41" t="n">
        <v>0</v>
      </c>
      <c r="AT10" s="41" t="n">
        <v>0</v>
      </c>
      <c r="AU10" s="41" t="n">
        <v>0</v>
      </c>
      <c r="AV10" s="41" t="n">
        <v>0</v>
      </c>
      <c r="AW10" s="41" t="n">
        <v>0</v>
      </c>
      <c r="AX10" s="41" t="n">
        <v>0</v>
      </c>
      <c r="AY10" s="41" t="n">
        <v>0</v>
      </c>
    </row>
    <row r="11">
      <c r="B11" s="49" t="inlineStr">
        <is>
          <t xml:space="preserve">  601010 Website Development</t>
        </is>
      </c>
      <c r="D11" s="40" t="n">
        <v>4218.75</v>
      </c>
      <c r="E11" s="40" t="n">
        <v>4375</v>
      </c>
      <c r="F11" s="40" t="n">
        <v>2500</v>
      </c>
      <c r="G11" s="40" t="n">
        <v>2500</v>
      </c>
      <c r="H11" s="40" t="n">
        <v>3143.75</v>
      </c>
      <c r="I11" s="40" t="n">
        <v>2500</v>
      </c>
      <c r="J11" s="40" t="n">
        <v>2500</v>
      </c>
      <c r="K11" s="40" t="n">
        <v>2500</v>
      </c>
      <c r="L11" s="40" t="n">
        <v>2500</v>
      </c>
      <c r="M11" s="40" t="n">
        <v>2500</v>
      </c>
      <c r="N11" s="40" t="n">
        <v>2500</v>
      </c>
      <c r="O11" s="40" t="n">
        <v>2500</v>
      </c>
      <c r="P11" s="40" t="n">
        <v>2500</v>
      </c>
      <c r="Q11" s="40" t="n">
        <v>2500</v>
      </c>
      <c r="R11" s="40" t="n">
        <v>0</v>
      </c>
      <c r="S11" s="40" t="n">
        <v>0</v>
      </c>
      <c r="T11" s="40" t="n">
        <v>0</v>
      </c>
      <c r="U11" s="41" t="n">
        <v>1062.1</v>
      </c>
      <c r="V11" s="41" t="n">
        <v>1062.1</v>
      </c>
      <c r="W11" s="41" t="n">
        <v>1062.1</v>
      </c>
      <c r="X11" s="41" t="n">
        <v>1062.1</v>
      </c>
      <c r="Y11" s="41" t="n">
        <v>1062.1</v>
      </c>
      <c r="Z11" s="41" t="n">
        <v>1062.1</v>
      </c>
      <c r="AA11" s="41" t="n">
        <v>1062.1</v>
      </c>
      <c r="AB11" s="41" t="n">
        <v>1115.2</v>
      </c>
      <c r="AC11" s="41" t="n">
        <v>1115.2</v>
      </c>
      <c r="AD11" s="41" t="n">
        <v>1115.2</v>
      </c>
      <c r="AE11" s="41" t="n">
        <v>1115.2</v>
      </c>
      <c r="AF11" s="41" t="n">
        <v>1115.2</v>
      </c>
      <c r="AG11" s="41" t="n">
        <v>1115.2</v>
      </c>
      <c r="AH11" s="41" t="n">
        <v>1115.2</v>
      </c>
      <c r="AI11" s="41" t="n">
        <v>1115.2</v>
      </c>
      <c r="AJ11" s="41" t="n">
        <v>1115.2</v>
      </c>
      <c r="AK11" s="41" t="n">
        <v>1115.2</v>
      </c>
      <c r="AL11" s="41" t="n">
        <v>1115.2</v>
      </c>
      <c r="AM11" s="41" t="n">
        <v>1115.2</v>
      </c>
      <c r="AN11" s="41" t="n">
        <v>1115.2</v>
      </c>
      <c r="AO11" s="41" t="n">
        <v>1115.2</v>
      </c>
      <c r="AP11" s="41" t="n">
        <v>1115.2</v>
      </c>
      <c r="AQ11" s="41" t="n">
        <v>1115.2</v>
      </c>
      <c r="AR11" s="41" t="n">
        <v>1115.2</v>
      </c>
      <c r="AS11" s="41" t="n">
        <v>1115.2</v>
      </c>
      <c r="AT11" s="41" t="n">
        <v>1115.2</v>
      </c>
      <c r="AU11" s="41" t="n">
        <v>1115.2</v>
      </c>
      <c r="AV11" s="41" t="n">
        <v>1115.2</v>
      </c>
      <c r="AW11" s="41" t="n">
        <v>1115.2</v>
      </c>
      <c r="AX11" s="41" t="n">
        <v>1115.2</v>
      </c>
      <c r="AY11" s="41" t="n">
        <v>1115.2</v>
      </c>
    </row>
    <row r="12">
      <c r="B12" s="50" t="inlineStr">
        <is>
          <t>Total Marketing</t>
        </is>
      </c>
      <c r="C12" s="51" t="n"/>
      <c r="D12" s="52" t="n">
        <v>9441.620000000001</v>
      </c>
      <c r="E12" s="52" t="n">
        <v>7875</v>
      </c>
      <c r="F12" s="52" t="n">
        <v>12535.78</v>
      </c>
      <c r="G12" s="52" t="n">
        <v>4154.75</v>
      </c>
      <c r="H12" s="52" t="n">
        <v>8933.119999999999</v>
      </c>
      <c r="I12" s="52" t="n">
        <v>5078.32</v>
      </c>
      <c r="J12" s="52" t="n">
        <v>9266.110000000001</v>
      </c>
      <c r="K12" s="52" t="n">
        <v>4392.54</v>
      </c>
      <c r="L12" s="52" t="n">
        <v>11327.19</v>
      </c>
      <c r="M12" s="52" t="n">
        <v>10476.92</v>
      </c>
      <c r="N12" s="52" t="n">
        <v>7045.88</v>
      </c>
      <c r="O12" s="52" t="n">
        <v>7774.030000000001</v>
      </c>
      <c r="P12" s="52" t="n">
        <v>9269.139999999999</v>
      </c>
      <c r="Q12" s="52" t="n">
        <v>2500</v>
      </c>
      <c r="R12" s="52" t="n">
        <v>860</v>
      </c>
      <c r="S12" s="52" t="n">
        <v>0</v>
      </c>
      <c r="T12" s="52" t="n">
        <v>0</v>
      </c>
      <c r="U12" s="53">
        <f>U7+U8+U9+U10+U11</f>
        <v/>
      </c>
      <c r="V12" s="53">
        <f>V7+V8+V9+V10+V11</f>
        <v/>
      </c>
      <c r="W12" s="53">
        <f>W7+W8+W9+W10+W11</f>
        <v/>
      </c>
      <c r="X12" s="53">
        <f>X7+X8+X9+X10+X11</f>
        <v/>
      </c>
      <c r="Y12" s="53">
        <f>Y7+Y8+Y9+Y10+Y11</f>
        <v/>
      </c>
      <c r="Z12" s="53">
        <f>Z7+Z8+Z9+Z10+Z11</f>
        <v/>
      </c>
      <c r="AA12" s="53">
        <f>AA7+AA8+AA9+AA10+AA11</f>
        <v/>
      </c>
      <c r="AB12" s="53">
        <f>AB7+AB8+AB9+AB10+AB11</f>
        <v/>
      </c>
      <c r="AC12" s="53">
        <f>AC7+AC8+AC9+AC10+AC11</f>
        <v/>
      </c>
      <c r="AD12" s="53">
        <f>AD7+AD8+AD9+AD10+AD11</f>
        <v/>
      </c>
      <c r="AE12" s="53">
        <f>AE7+AE8+AE9+AE10+AE11</f>
        <v/>
      </c>
      <c r="AF12" s="53">
        <f>AF7+AF8+AF9+AF10+AF11</f>
        <v/>
      </c>
      <c r="AG12" s="53">
        <f>AG7+AG8+AG9+AG10+AG11</f>
        <v/>
      </c>
      <c r="AH12" s="53">
        <f>AH7+AH8+AH9+AH10+AH11</f>
        <v/>
      </c>
      <c r="AI12" s="53">
        <f>AI7+AI8+AI9+AI10+AI11</f>
        <v/>
      </c>
      <c r="AJ12" s="53">
        <f>AJ7+AJ8+AJ9+AJ10+AJ11</f>
        <v/>
      </c>
      <c r="AK12" s="53">
        <f>AK7+AK8+AK9+AK10+AK11</f>
        <v/>
      </c>
      <c r="AL12" s="53">
        <f>AL7+AL8+AL9+AL10+AL11</f>
        <v/>
      </c>
      <c r="AM12" s="53">
        <f>AM7+AM8+AM9+AM10+AM11</f>
        <v/>
      </c>
      <c r="AN12" s="53">
        <f>AN7+AN8+AN9+AN10+AN11</f>
        <v/>
      </c>
      <c r="AO12" s="53">
        <f>AO7+AO8+AO9+AO10+AO11</f>
        <v/>
      </c>
      <c r="AP12" s="53">
        <f>AP7+AP8+AP9+AP10+AP11</f>
        <v/>
      </c>
      <c r="AQ12" s="53">
        <f>AQ7+AQ8+AQ9+AQ10+AQ11</f>
        <v/>
      </c>
      <c r="AR12" s="53">
        <f>AR7+AR8+AR9+AR10+AR11</f>
        <v/>
      </c>
      <c r="AS12" s="53">
        <f>AS7+AS8+AS9+AS10+AS11</f>
        <v/>
      </c>
      <c r="AT12" s="53">
        <f>AT7+AT8+AT9+AT10+AT11</f>
        <v/>
      </c>
      <c r="AU12" s="53">
        <f>AU7+AU8+AU9+AU10+AU11</f>
        <v/>
      </c>
      <c r="AV12" s="53">
        <f>AV7+AV8+AV9+AV10+AV11</f>
        <v/>
      </c>
      <c r="AW12" s="53">
        <f>AW7+AW8+AW9+AW10+AW11</f>
        <v/>
      </c>
      <c r="AX12" s="53">
        <f>AX7+AX8+AX9+AX10+AX11</f>
        <v/>
      </c>
      <c r="AY12" s="53">
        <f>AY7+AY8+AY9+AY10+AY11</f>
        <v/>
      </c>
    </row>
    <row r="13">
      <c r="B13" s="49" t="inlineStr">
        <is>
          <t xml:space="preserve">  602001 Wages</t>
        </is>
      </c>
      <c r="D13" s="40" t="n">
        <v>46604.9</v>
      </c>
      <c r="E13" s="40" t="n">
        <v>40553.62</v>
      </c>
      <c r="F13" s="40" t="n">
        <v>47993.76</v>
      </c>
      <c r="G13" s="40" t="n">
        <v>46363.05</v>
      </c>
      <c r="H13" s="40" t="n">
        <v>66787.03</v>
      </c>
      <c r="I13" s="40" t="n">
        <v>71896.64999999999</v>
      </c>
      <c r="J13" s="40" t="n">
        <v>72722.8</v>
      </c>
      <c r="K13" s="40" t="n">
        <v>71497.48</v>
      </c>
      <c r="L13" s="40" t="n">
        <v>74650.55</v>
      </c>
      <c r="M13" s="40" t="n">
        <v>74274.97</v>
      </c>
      <c r="N13" s="40" t="n">
        <v>75085.28999999999</v>
      </c>
      <c r="O13" s="40" t="n">
        <v>103922.36</v>
      </c>
      <c r="P13" s="40" t="n">
        <v>104383.39</v>
      </c>
      <c r="Q13" s="40" t="n">
        <v>100043.77</v>
      </c>
      <c r="R13" s="40" t="n">
        <v>118026.97</v>
      </c>
      <c r="S13" s="40" t="n">
        <v>95811.32000000001</v>
      </c>
      <c r="T13" s="40" t="n">
        <v>116092.27</v>
      </c>
      <c r="U13" s="41" t="n">
        <v>107196.71</v>
      </c>
      <c r="V13" s="41" t="n">
        <v>107196.71</v>
      </c>
      <c r="W13" s="41" t="n">
        <v>107196.71</v>
      </c>
      <c r="X13" s="41" t="n">
        <v>107196.71</v>
      </c>
      <c r="Y13" s="41" t="n">
        <v>107196.71</v>
      </c>
      <c r="Z13" s="41" t="n">
        <v>107196.71</v>
      </c>
      <c r="AA13" s="41" t="n">
        <v>107196.71</v>
      </c>
      <c r="AB13" s="41" t="n">
        <v>112556.54</v>
      </c>
      <c r="AC13" s="41" t="n">
        <v>112556.54</v>
      </c>
      <c r="AD13" s="41" t="n">
        <v>112556.54</v>
      </c>
      <c r="AE13" s="41" t="n">
        <v>112556.54</v>
      </c>
      <c r="AF13" s="41" t="n">
        <v>112556.54</v>
      </c>
      <c r="AG13" s="41" t="n">
        <v>112556.54</v>
      </c>
      <c r="AH13" s="41" t="n">
        <v>112556.54</v>
      </c>
      <c r="AI13" s="41" t="n">
        <v>112556.54</v>
      </c>
      <c r="AJ13" s="41" t="n">
        <v>112556.54</v>
      </c>
      <c r="AK13" s="41" t="n">
        <v>112556.54</v>
      </c>
      <c r="AL13" s="41" t="n">
        <v>112556.54</v>
      </c>
      <c r="AM13" s="41" t="n">
        <v>112556.54</v>
      </c>
      <c r="AN13" s="41" t="n">
        <v>112556.54</v>
      </c>
      <c r="AO13" s="41" t="n">
        <v>112556.54</v>
      </c>
      <c r="AP13" s="41" t="n">
        <v>112556.54</v>
      </c>
      <c r="AQ13" s="41" t="n">
        <v>112556.54</v>
      </c>
      <c r="AR13" s="41" t="n">
        <v>112556.54</v>
      </c>
      <c r="AS13" s="41" t="n">
        <v>112556.54</v>
      </c>
      <c r="AT13" s="41" t="n">
        <v>112556.54</v>
      </c>
      <c r="AU13" s="41" t="n">
        <v>112556.54</v>
      </c>
      <c r="AV13" s="41" t="n">
        <v>112556.54</v>
      </c>
      <c r="AW13" s="41" t="n">
        <v>112556.54</v>
      </c>
      <c r="AX13" s="41" t="n">
        <v>112556.54</v>
      </c>
      <c r="AY13" s="41" t="n">
        <v>112556.54</v>
      </c>
    </row>
    <row r="14">
      <c r="B14" s="49" t="inlineStr">
        <is>
          <t xml:space="preserve">  602004 Payroll Taxes</t>
        </is>
      </c>
      <c r="D14" s="40" t="n">
        <v>4557.48</v>
      </c>
      <c r="E14" s="40" t="n">
        <v>3823.52</v>
      </c>
      <c r="F14" s="40" t="n">
        <v>3987.9</v>
      </c>
      <c r="G14" s="40" t="n">
        <v>3454.02</v>
      </c>
      <c r="H14" s="40" t="n">
        <v>5002.82</v>
      </c>
      <c r="I14" s="40" t="n">
        <v>5522.13</v>
      </c>
      <c r="J14" s="40" t="n">
        <v>5773.53</v>
      </c>
      <c r="K14" s="40" t="n">
        <v>6141.48</v>
      </c>
      <c r="L14" s="40" t="n">
        <v>6340.75</v>
      </c>
      <c r="M14" s="40" t="n">
        <v>5695.16</v>
      </c>
      <c r="N14" s="40" t="n">
        <v>4643.07</v>
      </c>
      <c r="O14" s="40" t="n">
        <v>12840.78</v>
      </c>
      <c r="P14" s="40" t="n">
        <v>10904.51</v>
      </c>
      <c r="Q14" s="40" t="n">
        <v>7827.04</v>
      </c>
      <c r="R14" s="40" t="n">
        <v>9030.51</v>
      </c>
      <c r="S14" s="40" t="n">
        <v>7329.78</v>
      </c>
      <c r="T14" s="40" t="n">
        <v>8881.43</v>
      </c>
      <c r="U14" s="41" t="n">
        <v>8993.639999999999</v>
      </c>
      <c r="V14" s="41" t="n">
        <v>8993.639999999999</v>
      </c>
      <c r="W14" s="41" t="n">
        <v>8993.639999999999</v>
      </c>
      <c r="X14" s="41" t="n">
        <v>8993.639999999999</v>
      </c>
      <c r="Y14" s="41" t="n">
        <v>8993.639999999999</v>
      </c>
      <c r="Z14" s="41" t="n">
        <v>8993.639999999999</v>
      </c>
      <c r="AA14" s="41" t="n">
        <v>8993.639999999999</v>
      </c>
      <c r="AB14" s="41" t="n">
        <v>9443.32</v>
      </c>
      <c r="AC14" s="41" t="n">
        <v>9443.32</v>
      </c>
      <c r="AD14" s="41" t="n">
        <v>9443.32</v>
      </c>
      <c r="AE14" s="41" t="n">
        <v>9443.32</v>
      </c>
      <c r="AF14" s="41" t="n">
        <v>9443.32</v>
      </c>
      <c r="AG14" s="41" t="n">
        <v>9443.32</v>
      </c>
      <c r="AH14" s="41" t="n">
        <v>9443.32</v>
      </c>
      <c r="AI14" s="41" t="n">
        <v>9443.32</v>
      </c>
      <c r="AJ14" s="41" t="n">
        <v>9443.32</v>
      </c>
      <c r="AK14" s="41" t="n">
        <v>9443.32</v>
      </c>
      <c r="AL14" s="41" t="n">
        <v>9443.32</v>
      </c>
      <c r="AM14" s="41" t="n">
        <v>9443.32</v>
      </c>
      <c r="AN14" s="41" t="n">
        <v>9443.32</v>
      </c>
      <c r="AO14" s="41" t="n">
        <v>9443.32</v>
      </c>
      <c r="AP14" s="41" t="n">
        <v>9443.32</v>
      </c>
      <c r="AQ14" s="41" t="n">
        <v>9443.32</v>
      </c>
      <c r="AR14" s="41" t="n">
        <v>9443.32</v>
      </c>
      <c r="AS14" s="41" t="n">
        <v>9443.32</v>
      </c>
      <c r="AT14" s="41" t="n">
        <v>9443.32</v>
      </c>
      <c r="AU14" s="41" t="n">
        <v>9443.32</v>
      </c>
      <c r="AV14" s="41" t="n">
        <v>9443.32</v>
      </c>
      <c r="AW14" s="41" t="n">
        <v>9443.32</v>
      </c>
      <c r="AX14" s="41" t="n">
        <v>9443.32</v>
      </c>
      <c r="AY14" s="41" t="n">
        <v>9443.32</v>
      </c>
    </row>
    <row r="15">
      <c r="B15" s="49" t="inlineStr">
        <is>
          <t xml:space="preserve">  602005 Employee Benefits</t>
        </is>
      </c>
      <c r="D15" s="40" t="n">
        <v>0</v>
      </c>
      <c r="E15" s="40" t="n">
        <v>-200.13</v>
      </c>
      <c r="F15" s="40" t="n">
        <v>-874.15</v>
      </c>
      <c r="G15" s="40" t="n">
        <v>-1650.62</v>
      </c>
      <c r="H15" s="40" t="n">
        <v>-1945.37</v>
      </c>
      <c r="I15" s="40" t="n">
        <v>-555.8</v>
      </c>
      <c r="J15" s="40" t="n">
        <v>-1397.68</v>
      </c>
      <c r="K15" s="40" t="n">
        <v>3027.07</v>
      </c>
      <c r="L15" s="40" t="n">
        <v>387.74</v>
      </c>
      <c r="M15" s="40" t="n">
        <v>347.38</v>
      </c>
      <c r="N15" s="40" t="n">
        <v>2459.78</v>
      </c>
      <c r="O15" s="40" t="n">
        <v>1309.8</v>
      </c>
      <c r="P15" s="40" t="n">
        <v>3395.21</v>
      </c>
      <c r="Q15" s="40" t="n">
        <v>3008.85</v>
      </c>
      <c r="R15" s="40" t="n">
        <v>1739.96</v>
      </c>
      <c r="S15" s="40" t="n">
        <v>2002.04</v>
      </c>
      <c r="T15" s="40" t="n">
        <v>2065.32</v>
      </c>
      <c r="U15" s="41" t="n">
        <v>2600.32</v>
      </c>
      <c r="V15" s="41" t="n">
        <v>2600.32</v>
      </c>
      <c r="W15" s="41" t="n">
        <v>2600.32</v>
      </c>
      <c r="X15" s="41" t="n">
        <v>2600.32</v>
      </c>
      <c r="Y15" s="41" t="n">
        <v>2600.32</v>
      </c>
      <c r="Z15" s="41" t="n">
        <v>2600.32</v>
      </c>
      <c r="AA15" s="41" t="n">
        <v>2600.32</v>
      </c>
      <c r="AB15" s="41" t="n">
        <v>2730.34</v>
      </c>
      <c r="AC15" s="41" t="n">
        <v>2730.34</v>
      </c>
      <c r="AD15" s="41" t="n">
        <v>2730.34</v>
      </c>
      <c r="AE15" s="41" t="n">
        <v>2730.34</v>
      </c>
      <c r="AF15" s="41" t="n">
        <v>2730.34</v>
      </c>
      <c r="AG15" s="41" t="n">
        <v>2730.34</v>
      </c>
      <c r="AH15" s="41" t="n">
        <v>2730.34</v>
      </c>
      <c r="AI15" s="41" t="n">
        <v>2730.34</v>
      </c>
      <c r="AJ15" s="41" t="n">
        <v>2730.34</v>
      </c>
      <c r="AK15" s="41" t="n">
        <v>2730.34</v>
      </c>
      <c r="AL15" s="41" t="n">
        <v>2730.34</v>
      </c>
      <c r="AM15" s="41" t="n">
        <v>2730.34</v>
      </c>
      <c r="AN15" s="41" t="n">
        <v>2730.34</v>
      </c>
      <c r="AO15" s="41" t="n">
        <v>2730.34</v>
      </c>
      <c r="AP15" s="41" t="n">
        <v>2730.34</v>
      </c>
      <c r="AQ15" s="41" t="n">
        <v>2730.34</v>
      </c>
      <c r="AR15" s="41" t="n">
        <v>2730.34</v>
      </c>
      <c r="AS15" s="41" t="n">
        <v>2730.34</v>
      </c>
      <c r="AT15" s="41" t="n">
        <v>2730.34</v>
      </c>
      <c r="AU15" s="41" t="n">
        <v>2730.34</v>
      </c>
      <c r="AV15" s="41" t="n">
        <v>2730.34</v>
      </c>
      <c r="AW15" s="41" t="n">
        <v>2730.34</v>
      </c>
      <c r="AX15" s="41" t="n">
        <v>2730.34</v>
      </c>
      <c r="AY15" s="41" t="n">
        <v>2730.34</v>
      </c>
    </row>
    <row r="16">
      <c r="B16" s="49" t="inlineStr">
        <is>
          <t xml:space="preserve">  602010 Payroll Processing Fees</t>
        </is>
      </c>
      <c r="D16" s="40" t="n">
        <v>209.52</v>
      </c>
      <c r="E16" s="40" t="n">
        <v>187.92</v>
      </c>
      <c r="F16" s="40" t="n">
        <v>1734.88</v>
      </c>
      <c r="G16" s="40" t="n">
        <v>1522.77</v>
      </c>
      <c r="H16" s="40" t="n">
        <v>215.28</v>
      </c>
      <c r="I16" s="40" t="n">
        <v>1685.49</v>
      </c>
      <c r="J16" s="40" t="n">
        <v>1611.01</v>
      </c>
      <c r="K16" s="40" t="n">
        <v>1769.85</v>
      </c>
      <c r="L16" s="40" t="n">
        <v>1793.54</v>
      </c>
      <c r="M16" s="40" t="n">
        <v>3489.71</v>
      </c>
      <c r="N16" s="40" t="n">
        <v>758.72</v>
      </c>
      <c r="O16" s="40" t="n">
        <v>882.0599999999999</v>
      </c>
      <c r="P16" s="40" t="n">
        <v>7151.5</v>
      </c>
      <c r="Q16" s="40" t="n">
        <v>7603.55</v>
      </c>
      <c r="R16" s="40" t="n">
        <v>10486.27</v>
      </c>
      <c r="S16" s="40" t="n">
        <v>7346.8</v>
      </c>
      <c r="T16" s="40" t="n">
        <v>7396.81</v>
      </c>
      <c r="U16" s="41" t="n">
        <v>8351.969999999999</v>
      </c>
      <c r="V16" s="41" t="n">
        <v>8351.969999999999</v>
      </c>
      <c r="W16" s="41" t="n">
        <v>8351.969999999999</v>
      </c>
      <c r="X16" s="41" t="n">
        <v>8351.969999999999</v>
      </c>
      <c r="Y16" s="41" t="n">
        <v>8351.969999999999</v>
      </c>
      <c r="Z16" s="41" t="n">
        <v>8351.969999999999</v>
      </c>
      <c r="AA16" s="41" t="n">
        <v>8351.969999999999</v>
      </c>
      <c r="AB16" s="41" t="n">
        <v>8769.57</v>
      </c>
      <c r="AC16" s="41" t="n">
        <v>8769.57</v>
      </c>
      <c r="AD16" s="41" t="n">
        <v>8769.57</v>
      </c>
      <c r="AE16" s="41" t="n">
        <v>8769.57</v>
      </c>
      <c r="AF16" s="41" t="n">
        <v>8769.57</v>
      </c>
      <c r="AG16" s="41" t="n">
        <v>8769.57</v>
      </c>
      <c r="AH16" s="41" t="n">
        <v>8769.57</v>
      </c>
      <c r="AI16" s="41" t="n">
        <v>8769.57</v>
      </c>
      <c r="AJ16" s="41" t="n">
        <v>8769.57</v>
      </c>
      <c r="AK16" s="41" t="n">
        <v>8769.57</v>
      </c>
      <c r="AL16" s="41" t="n">
        <v>8769.57</v>
      </c>
      <c r="AM16" s="41" t="n">
        <v>8769.57</v>
      </c>
      <c r="AN16" s="41" t="n">
        <v>8769.57</v>
      </c>
      <c r="AO16" s="41" t="n">
        <v>8769.57</v>
      </c>
      <c r="AP16" s="41" t="n">
        <v>8769.57</v>
      </c>
      <c r="AQ16" s="41" t="n">
        <v>8769.57</v>
      </c>
      <c r="AR16" s="41" t="n">
        <v>8769.57</v>
      </c>
      <c r="AS16" s="41" t="n">
        <v>8769.57</v>
      </c>
      <c r="AT16" s="41" t="n">
        <v>8769.57</v>
      </c>
      <c r="AU16" s="41" t="n">
        <v>8769.57</v>
      </c>
      <c r="AV16" s="41" t="n">
        <v>8769.57</v>
      </c>
      <c r="AW16" s="41" t="n">
        <v>8769.57</v>
      </c>
      <c r="AX16" s="41" t="n">
        <v>8769.57</v>
      </c>
      <c r="AY16" s="41" t="n">
        <v>8769.57</v>
      </c>
    </row>
    <row r="17">
      <c r="B17" s="50" t="inlineStr">
        <is>
          <t>Total Payroll</t>
        </is>
      </c>
      <c r="C17" s="51" t="n"/>
      <c r="D17" s="52" t="n">
        <v>62648.89999999999</v>
      </c>
      <c r="E17" s="52" t="n">
        <v>58481.13</v>
      </c>
      <c r="F17" s="52" t="n">
        <v>59031.05</v>
      </c>
      <c r="G17" s="52" t="n">
        <v>60132.63</v>
      </c>
      <c r="H17" s="52" t="n">
        <v>79736.25999999998</v>
      </c>
      <c r="I17" s="52" t="n">
        <v>89413.07000000001</v>
      </c>
      <c r="J17" s="52" t="n">
        <v>89900.96000000001</v>
      </c>
      <c r="K17" s="52" t="n">
        <v>96141.71000000001</v>
      </c>
      <c r="L17" s="52" t="n">
        <v>97319.71000000001</v>
      </c>
      <c r="M17" s="52" t="n">
        <v>98018.94000000002</v>
      </c>
      <c r="N17" s="52" t="n">
        <v>97152.52</v>
      </c>
      <c r="O17" s="52" t="n">
        <v>119448.68</v>
      </c>
      <c r="P17" s="52" t="n">
        <v>125834.61</v>
      </c>
      <c r="Q17" s="52" t="n">
        <v>118483.21</v>
      </c>
      <c r="R17" s="52" t="n">
        <v>139283.71</v>
      </c>
      <c r="S17" s="52" t="n">
        <v>112489.94</v>
      </c>
      <c r="T17" s="52" t="n">
        <v>134435.83</v>
      </c>
      <c r="U17" s="53">
        <f>U13+U14+U15+U16</f>
        <v/>
      </c>
      <c r="V17" s="53">
        <f>V13+V14+V15+V16</f>
        <v/>
      </c>
      <c r="W17" s="53">
        <f>W13+W14+W15+W16</f>
        <v/>
      </c>
      <c r="X17" s="53">
        <f>X13+X14+X15+X16</f>
        <v/>
      </c>
      <c r="Y17" s="53">
        <f>Y13+Y14+Y15+Y16</f>
        <v/>
      </c>
      <c r="Z17" s="53">
        <f>Z13+Z14+Z15+Z16</f>
        <v/>
      </c>
      <c r="AA17" s="53">
        <f>AA13+AA14+AA15+AA16</f>
        <v/>
      </c>
      <c r="AB17" s="53">
        <f>AB13+AB14+AB15+AB16</f>
        <v/>
      </c>
      <c r="AC17" s="53">
        <f>AC13+AC14+AC15+AC16</f>
        <v/>
      </c>
      <c r="AD17" s="53">
        <f>AD13+AD14+AD15+AD16</f>
        <v/>
      </c>
      <c r="AE17" s="53">
        <f>AE13+AE14+AE15+AE16</f>
        <v/>
      </c>
      <c r="AF17" s="53">
        <f>AF13+AF14+AF15+AF16</f>
        <v/>
      </c>
      <c r="AG17" s="53">
        <f>AG13+AG14+AG15+AG16</f>
        <v/>
      </c>
      <c r="AH17" s="53">
        <f>AH13+AH14+AH15+AH16</f>
        <v/>
      </c>
      <c r="AI17" s="53">
        <f>AI13+AI14+AI15+AI16</f>
        <v/>
      </c>
      <c r="AJ17" s="53">
        <f>AJ13+AJ14+AJ15+AJ16</f>
        <v/>
      </c>
      <c r="AK17" s="53">
        <f>AK13+AK14+AK15+AK16</f>
        <v/>
      </c>
      <c r="AL17" s="53">
        <f>AL13+AL14+AL15+AL16</f>
        <v/>
      </c>
      <c r="AM17" s="53">
        <f>AM13+AM14+AM15+AM16</f>
        <v/>
      </c>
      <c r="AN17" s="53">
        <f>AN13+AN14+AN15+AN16</f>
        <v/>
      </c>
      <c r="AO17" s="53">
        <f>AO13+AO14+AO15+AO16</f>
        <v/>
      </c>
      <c r="AP17" s="53">
        <f>AP13+AP14+AP15+AP16</f>
        <v/>
      </c>
      <c r="AQ17" s="53">
        <f>AQ13+AQ14+AQ15+AQ16</f>
        <v/>
      </c>
      <c r="AR17" s="53">
        <f>AR13+AR14+AR15+AR16</f>
        <v/>
      </c>
      <c r="AS17" s="53">
        <f>AS13+AS14+AS15+AS16</f>
        <v/>
      </c>
      <c r="AT17" s="53">
        <f>AT13+AT14+AT15+AT16</f>
        <v/>
      </c>
      <c r="AU17" s="53">
        <f>AU13+AU14+AU15+AU16</f>
        <v/>
      </c>
      <c r="AV17" s="53">
        <f>AV13+AV14+AV15+AV16</f>
        <v/>
      </c>
      <c r="AW17" s="53">
        <f>AW13+AW14+AW15+AW16</f>
        <v/>
      </c>
      <c r="AX17" s="53">
        <f>AX13+AX14+AX15+AX16</f>
        <v/>
      </c>
      <c r="AY17" s="53">
        <f>AY13+AY14+AY15+AY16</f>
        <v/>
      </c>
    </row>
    <row r="18">
      <c r="B18" s="49" t="inlineStr">
        <is>
          <t xml:space="preserve">  603000 Software &amp; Web Services</t>
        </is>
      </c>
      <c r="D18" s="40" t="n">
        <v>6798.1</v>
      </c>
      <c r="E18" s="40" t="n">
        <v>1494.34</v>
      </c>
      <c r="F18" s="40" t="n">
        <v>3285.23</v>
      </c>
      <c r="G18" s="40" t="n">
        <v>3326.92</v>
      </c>
      <c r="H18" s="40" t="n">
        <v>-292.94</v>
      </c>
      <c r="I18" s="40" t="n">
        <v>4017.87</v>
      </c>
      <c r="J18" s="40" t="n">
        <v>1418.36</v>
      </c>
      <c r="K18" s="40" t="n">
        <v>1759.49</v>
      </c>
      <c r="L18" s="40" t="n">
        <v>3577.78</v>
      </c>
      <c r="M18" s="40" t="n">
        <v>2899.03</v>
      </c>
      <c r="N18" s="40" t="n">
        <v>1231.38</v>
      </c>
      <c r="O18" s="40" t="n">
        <v>3764.77</v>
      </c>
      <c r="P18" s="40" t="n">
        <v>1377.91</v>
      </c>
      <c r="Q18" s="40" t="n">
        <v>894.23</v>
      </c>
      <c r="R18" s="40" t="n">
        <v>776.21</v>
      </c>
      <c r="S18" s="40" t="n">
        <v>1225.46</v>
      </c>
      <c r="T18" s="40" t="n">
        <v>1684.6</v>
      </c>
      <c r="U18" s="41" t="n">
        <v>849.78</v>
      </c>
      <c r="V18" s="41" t="n">
        <v>849.78</v>
      </c>
      <c r="W18" s="41" t="n">
        <v>849.78</v>
      </c>
      <c r="X18" s="41" t="n">
        <v>849.78</v>
      </c>
      <c r="Y18" s="41" t="n">
        <v>849.78</v>
      </c>
      <c r="Z18" s="41" t="n">
        <v>849.78</v>
      </c>
      <c r="AA18" s="41" t="n">
        <v>849.78</v>
      </c>
      <c r="AB18" s="41" t="n">
        <v>892.27</v>
      </c>
      <c r="AC18" s="41" t="n">
        <v>892.27</v>
      </c>
      <c r="AD18" s="41" t="n">
        <v>892.27</v>
      </c>
      <c r="AE18" s="41" t="n">
        <v>892.27</v>
      </c>
      <c r="AF18" s="41" t="n">
        <v>892.27</v>
      </c>
      <c r="AG18" s="41" t="n">
        <v>892.27</v>
      </c>
      <c r="AH18" s="41" t="n">
        <v>892.27</v>
      </c>
      <c r="AI18" s="41" t="n">
        <v>892.27</v>
      </c>
      <c r="AJ18" s="41" t="n">
        <v>892.27</v>
      </c>
      <c r="AK18" s="41" t="n">
        <v>892.27</v>
      </c>
      <c r="AL18" s="41" t="n">
        <v>892.27</v>
      </c>
      <c r="AM18" s="41" t="n">
        <v>892.27</v>
      </c>
      <c r="AN18" s="41" t="n">
        <v>892.27</v>
      </c>
      <c r="AO18" s="41" t="n">
        <v>892.27</v>
      </c>
      <c r="AP18" s="41" t="n">
        <v>892.27</v>
      </c>
      <c r="AQ18" s="41" t="n">
        <v>892.27</v>
      </c>
      <c r="AR18" s="41" t="n">
        <v>892.27</v>
      </c>
      <c r="AS18" s="41" t="n">
        <v>892.27</v>
      </c>
      <c r="AT18" s="41" t="n">
        <v>892.27</v>
      </c>
      <c r="AU18" s="41" t="n">
        <v>892.27</v>
      </c>
      <c r="AV18" s="41" t="n">
        <v>892.27</v>
      </c>
      <c r="AW18" s="41" t="n">
        <v>892.27</v>
      </c>
      <c r="AX18" s="41" t="n">
        <v>892.27</v>
      </c>
      <c r="AY18" s="41" t="n">
        <v>892.27</v>
      </c>
    </row>
    <row r="19">
      <c r="B19" s="49" t="inlineStr">
        <is>
          <t xml:space="preserve">  608000 Insurance</t>
        </is>
      </c>
      <c r="D19" s="40" t="n">
        <v>0</v>
      </c>
      <c r="E19" s="40" t="n">
        <v>483.35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40" t="n">
        <v>0</v>
      </c>
      <c r="P19" s="40" t="n">
        <v>0</v>
      </c>
      <c r="Q19" s="40" t="n">
        <v>0</v>
      </c>
      <c r="R19" s="40" t="n">
        <v>0</v>
      </c>
      <c r="S19" s="40" t="n">
        <v>0</v>
      </c>
      <c r="T19" s="40" t="n">
        <v>0</v>
      </c>
      <c r="U19" s="41" t="n">
        <v>0</v>
      </c>
      <c r="V19" s="41" t="n">
        <v>0</v>
      </c>
      <c r="W19" s="41" t="n">
        <v>0</v>
      </c>
      <c r="X19" s="41" t="n">
        <v>0</v>
      </c>
      <c r="Y19" s="41" t="n">
        <v>0</v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1" t="n">
        <v>0</v>
      </c>
      <c r="AG19" s="41" t="n">
        <v>0</v>
      </c>
      <c r="AH19" s="41" t="n">
        <v>0</v>
      </c>
      <c r="AI19" s="41" t="n">
        <v>0</v>
      </c>
      <c r="AJ19" s="41" t="n">
        <v>0</v>
      </c>
      <c r="AK19" s="41" t="n">
        <v>0</v>
      </c>
      <c r="AL19" s="41" t="n">
        <v>0</v>
      </c>
      <c r="AM19" s="41" t="n">
        <v>0</v>
      </c>
      <c r="AN19" s="41" t="n">
        <v>0</v>
      </c>
      <c r="AO19" s="41" t="n">
        <v>0</v>
      </c>
      <c r="AP19" s="41" t="n">
        <v>0</v>
      </c>
      <c r="AQ19" s="41" t="n">
        <v>0</v>
      </c>
      <c r="AR19" s="41" t="n">
        <v>0</v>
      </c>
      <c r="AS19" s="41" t="n">
        <v>0</v>
      </c>
      <c r="AT19" s="41" t="n">
        <v>0</v>
      </c>
      <c r="AU19" s="41" t="n">
        <v>0</v>
      </c>
      <c r="AV19" s="41" t="n">
        <v>0</v>
      </c>
      <c r="AW19" s="41" t="n">
        <v>0</v>
      </c>
      <c r="AX19" s="41" t="n">
        <v>0</v>
      </c>
      <c r="AY19" s="41" t="n">
        <v>0</v>
      </c>
    </row>
    <row r="20">
      <c r="B20" s="49" t="inlineStr">
        <is>
          <t xml:space="preserve">  610000 Office Supplies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>
        <v>4144.25</v>
      </c>
      <c r="L20" s="40" t="n">
        <v>2058</v>
      </c>
      <c r="M20" s="40" t="n"/>
      <c r="N20" s="40" t="n"/>
      <c r="O20" s="40" t="n"/>
      <c r="P20" s="40" t="n">
        <v>1012.63</v>
      </c>
      <c r="Q20" s="40" t="n">
        <v>2592.88</v>
      </c>
      <c r="R20" s="40" t="n">
        <v>1393.88</v>
      </c>
      <c r="S20" s="40" t="n">
        <v>356.27</v>
      </c>
      <c r="T20" s="40" t="n">
        <v>0</v>
      </c>
      <c r="U20" s="41" t="n">
        <v>1064.89</v>
      </c>
      <c r="V20" s="41" t="n">
        <v>1064.89</v>
      </c>
      <c r="W20" s="41" t="n">
        <v>1064.89</v>
      </c>
      <c r="X20" s="41" t="n">
        <v>1064.89</v>
      </c>
      <c r="Y20" s="41" t="n">
        <v>1064.89</v>
      </c>
      <c r="Z20" s="41" t="n">
        <v>1064.89</v>
      </c>
      <c r="AA20" s="41" t="n">
        <v>1064.89</v>
      </c>
      <c r="AB20" s="41" t="n">
        <v>1118.14</v>
      </c>
      <c r="AC20" s="41" t="n">
        <v>1118.14</v>
      </c>
      <c r="AD20" s="41" t="n">
        <v>1118.14</v>
      </c>
      <c r="AE20" s="41" t="n">
        <v>1118.14</v>
      </c>
      <c r="AF20" s="41" t="n">
        <v>1118.14</v>
      </c>
      <c r="AG20" s="41" t="n">
        <v>1118.14</v>
      </c>
      <c r="AH20" s="41" t="n">
        <v>1118.14</v>
      </c>
      <c r="AI20" s="41" t="n">
        <v>1118.14</v>
      </c>
      <c r="AJ20" s="41" t="n">
        <v>1118.14</v>
      </c>
      <c r="AK20" s="41" t="n">
        <v>1118.14</v>
      </c>
      <c r="AL20" s="41" t="n">
        <v>1118.14</v>
      </c>
      <c r="AM20" s="41" t="n">
        <v>1118.14</v>
      </c>
      <c r="AN20" s="41" t="n">
        <v>1118.14</v>
      </c>
      <c r="AO20" s="41" t="n">
        <v>1118.14</v>
      </c>
      <c r="AP20" s="41" t="n">
        <v>1118.14</v>
      </c>
      <c r="AQ20" s="41" t="n">
        <v>1118.14</v>
      </c>
      <c r="AR20" s="41" t="n">
        <v>1118.14</v>
      </c>
      <c r="AS20" s="41" t="n">
        <v>1118.14</v>
      </c>
      <c r="AT20" s="41" t="n">
        <v>1118.14</v>
      </c>
      <c r="AU20" s="41" t="n">
        <v>1118.14</v>
      </c>
      <c r="AV20" s="41" t="n">
        <v>1118.14</v>
      </c>
      <c r="AW20" s="41" t="n">
        <v>1118.14</v>
      </c>
      <c r="AX20" s="41" t="n">
        <v>1118.14</v>
      </c>
      <c r="AY20" s="41" t="n">
        <v>1118.14</v>
      </c>
    </row>
    <row r="21">
      <c r="B21" s="49" t="inlineStr">
        <is>
          <t xml:space="preserve">  613000 Bank Fees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>
        <v>627.26</v>
      </c>
      <c r="Q21" s="40" t="n">
        <v>642.7</v>
      </c>
      <c r="R21" s="40" t="n">
        <v>313.17</v>
      </c>
      <c r="S21" s="40" t="n">
        <v>321.83</v>
      </c>
      <c r="T21" s="40" t="n">
        <v>0</v>
      </c>
      <c r="U21" s="41" t="n">
        <v>378.77</v>
      </c>
      <c r="V21" s="41" t="n">
        <v>378.77</v>
      </c>
      <c r="W21" s="41" t="n">
        <v>378.77</v>
      </c>
      <c r="X21" s="41" t="n">
        <v>378.77</v>
      </c>
      <c r="Y21" s="41" t="n">
        <v>378.77</v>
      </c>
      <c r="Z21" s="41" t="n">
        <v>378.77</v>
      </c>
      <c r="AA21" s="41" t="n">
        <v>378.77</v>
      </c>
      <c r="AB21" s="41" t="n">
        <v>397.71</v>
      </c>
      <c r="AC21" s="41" t="n">
        <v>397.71</v>
      </c>
      <c r="AD21" s="41" t="n">
        <v>397.71</v>
      </c>
      <c r="AE21" s="41" t="n">
        <v>397.71</v>
      </c>
      <c r="AF21" s="41" t="n">
        <v>397.71</v>
      </c>
      <c r="AG21" s="41" t="n">
        <v>397.71</v>
      </c>
      <c r="AH21" s="41" t="n">
        <v>397.71</v>
      </c>
      <c r="AI21" s="41" t="n">
        <v>397.71</v>
      </c>
      <c r="AJ21" s="41" t="n">
        <v>397.71</v>
      </c>
      <c r="AK21" s="41" t="n">
        <v>397.71</v>
      </c>
      <c r="AL21" s="41" t="n">
        <v>397.71</v>
      </c>
      <c r="AM21" s="41" t="n">
        <v>397.71</v>
      </c>
      <c r="AN21" s="41" t="n">
        <v>397.71</v>
      </c>
      <c r="AO21" s="41" t="n">
        <v>397.71</v>
      </c>
      <c r="AP21" s="41" t="n">
        <v>397.71</v>
      </c>
      <c r="AQ21" s="41" t="n">
        <v>397.71</v>
      </c>
      <c r="AR21" s="41" t="n">
        <v>397.71</v>
      </c>
      <c r="AS21" s="41" t="n">
        <v>397.71</v>
      </c>
      <c r="AT21" s="41" t="n">
        <v>397.71</v>
      </c>
      <c r="AU21" s="41" t="n">
        <v>397.71</v>
      </c>
      <c r="AV21" s="41" t="n">
        <v>397.71</v>
      </c>
      <c r="AW21" s="41" t="n">
        <v>397.71</v>
      </c>
      <c r="AX21" s="41" t="n">
        <v>397.71</v>
      </c>
      <c r="AY21" s="41" t="n">
        <v>397.71</v>
      </c>
    </row>
    <row r="22">
      <c r="B22" s="50" t="inlineStr">
        <is>
          <t>Total Software &amp; Admin</t>
        </is>
      </c>
      <c r="C22" s="51" t="n"/>
      <c r="D22" s="52">
        <f>D19+D20+D21</f>
        <v/>
      </c>
      <c r="E22" s="52">
        <f>E19+E20+E21</f>
        <v/>
      </c>
      <c r="F22" s="52">
        <f>F19+F20+F21</f>
        <v/>
      </c>
      <c r="G22" s="52">
        <f>G19+G20+G21</f>
        <v/>
      </c>
      <c r="H22" s="52">
        <f>H19+H20+H21</f>
        <v/>
      </c>
      <c r="I22" s="52">
        <f>I19+I20+I21</f>
        <v/>
      </c>
      <c r="J22" s="52">
        <f>J19+J20+J21</f>
        <v/>
      </c>
      <c r="K22" s="52">
        <f>K19+K20+K21</f>
        <v/>
      </c>
      <c r="L22" s="52">
        <f>L19+L20+L21</f>
        <v/>
      </c>
      <c r="M22" s="52">
        <f>M19+M20+M21</f>
        <v/>
      </c>
      <c r="N22" s="52">
        <f>N19+N20+N21</f>
        <v/>
      </c>
      <c r="O22" s="52">
        <f>O19+O20+O21</f>
        <v/>
      </c>
      <c r="P22" s="52">
        <f>P18+P19+P20+P21</f>
        <v/>
      </c>
      <c r="Q22" s="52">
        <f>Q18+Q19+Q20+Q21</f>
        <v/>
      </c>
      <c r="R22" s="52">
        <f>R18+R19+R20+R21</f>
        <v/>
      </c>
      <c r="S22" s="52">
        <f>S18+S19+S20+S21</f>
        <v/>
      </c>
      <c r="T22" s="52">
        <f>T18+T19+T20+T21</f>
        <v/>
      </c>
      <c r="U22" s="53">
        <f>U18+U19+U20+U21</f>
        <v/>
      </c>
      <c r="V22" s="53">
        <f>V18+V19+V20+V21</f>
        <v/>
      </c>
      <c r="W22" s="53">
        <f>W18+W19+W20+W21</f>
        <v/>
      </c>
      <c r="X22" s="53">
        <f>X18+X19+X20+X21</f>
        <v/>
      </c>
      <c r="Y22" s="53">
        <f>Y18+Y19+Y20+Y21</f>
        <v/>
      </c>
      <c r="Z22" s="53">
        <f>Z18+Z19+Z20+Z21</f>
        <v/>
      </c>
      <c r="AA22" s="53">
        <f>AA18+AA19+AA20+AA21</f>
        <v/>
      </c>
      <c r="AB22" s="53">
        <f>AB18+AB19+AB20+AB21</f>
        <v/>
      </c>
      <c r="AC22" s="53">
        <f>AC18+AC19+AC20+AC21</f>
        <v/>
      </c>
      <c r="AD22" s="53">
        <f>AD18+AD19+AD20+AD21</f>
        <v/>
      </c>
      <c r="AE22" s="53">
        <f>AE18+AE19+AE20+AE21</f>
        <v/>
      </c>
      <c r="AF22" s="53">
        <f>AF18+AF19+AF20+AF21</f>
        <v/>
      </c>
      <c r="AG22" s="53">
        <f>AG18+AG19+AG20+AG21</f>
        <v/>
      </c>
      <c r="AH22" s="53">
        <f>AH18+AH19+AH20+AH21</f>
        <v/>
      </c>
      <c r="AI22" s="53">
        <f>AI18+AI19+AI20+AI21</f>
        <v/>
      </c>
      <c r="AJ22" s="53">
        <f>AJ18+AJ19+AJ20+AJ21</f>
        <v/>
      </c>
      <c r="AK22" s="53">
        <f>AK18+AK19+AK20+AK21</f>
        <v/>
      </c>
      <c r="AL22" s="53">
        <f>AL18+AL19+AL20+AL21</f>
        <v/>
      </c>
      <c r="AM22" s="53">
        <f>AM18+AM19+AM20+AM21</f>
        <v/>
      </c>
      <c r="AN22" s="53">
        <f>AN18+AN19+AN20+AN21</f>
        <v/>
      </c>
      <c r="AO22" s="53">
        <f>AO18+AO19+AO20+AO21</f>
        <v/>
      </c>
      <c r="AP22" s="53">
        <f>AP18+AP19+AP20+AP21</f>
        <v/>
      </c>
      <c r="AQ22" s="53">
        <f>AQ18+AQ19+AQ20+AQ21</f>
        <v/>
      </c>
      <c r="AR22" s="53">
        <f>AR18+AR19+AR20+AR21</f>
        <v/>
      </c>
      <c r="AS22" s="53">
        <f>AS18+AS19+AS20+AS21</f>
        <v/>
      </c>
      <c r="AT22" s="53">
        <f>AT18+AT19+AT20+AT21</f>
        <v/>
      </c>
      <c r="AU22" s="53">
        <f>AU18+AU19+AU20+AU21</f>
        <v/>
      </c>
      <c r="AV22" s="53">
        <f>AV18+AV19+AV20+AV21</f>
        <v/>
      </c>
      <c r="AW22" s="53">
        <f>AW18+AW19+AW20+AW21</f>
        <v/>
      </c>
      <c r="AX22" s="53">
        <f>AX18+AX19+AX20+AX21</f>
        <v/>
      </c>
      <c r="AY22" s="53">
        <f>AY18+AY19+AY20+AY21</f>
        <v/>
      </c>
    </row>
    <row r="23">
      <c r="B23" s="49" t="inlineStr">
        <is>
          <t xml:space="preserve">  604100 Legal Fees</t>
        </is>
      </c>
      <c r="D23" s="40" t="n">
        <v>0</v>
      </c>
      <c r="E23" s="40" t="n">
        <v>0</v>
      </c>
      <c r="F23" s="40" t="n">
        <v>0</v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2540</v>
      </c>
      <c r="N23" s="40" t="n">
        <v>0</v>
      </c>
      <c r="O23" s="40" t="n">
        <v>2359.5</v>
      </c>
      <c r="P23" s="40" t="n">
        <v>1142.5</v>
      </c>
      <c r="Q23" s="40" t="n">
        <v>0</v>
      </c>
      <c r="R23" s="40" t="n">
        <v>3995.5</v>
      </c>
      <c r="S23" s="40" t="n">
        <v>0</v>
      </c>
      <c r="T23" s="40" t="n">
        <v>0</v>
      </c>
      <c r="U23" s="41" t="n">
        <v>1205.96</v>
      </c>
      <c r="V23" s="41" t="n">
        <v>1205.96</v>
      </c>
      <c r="W23" s="41" t="n">
        <v>1205.96</v>
      </c>
      <c r="X23" s="41" t="n">
        <v>1205.96</v>
      </c>
      <c r="Y23" s="41" t="n">
        <v>1205.96</v>
      </c>
      <c r="Z23" s="41" t="n">
        <v>1205.96</v>
      </c>
      <c r="AA23" s="41" t="n">
        <v>1205.96</v>
      </c>
      <c r="AB23" s="41" t="n">
        <v>1429.14</v>
      </c>
      <c r="AC23" s="41" t="n">
        <v>1429.14</v>
      </c>
      <c r="AD23" s="41" t="n">
        <v>1429.14</v>
      </c>
      <c r="AE23" s="41" t="n">
        <v>1429.14</v>
      </c>
      <c r="AF23" s="41" t="n">
        <v>1429.14</v>
      </c>
      <c r="AG23" s="41" t="n">
        <v>1429.14</v>
      </c>
      <c r="AH23" s="41" t="n">
        <v>1429.14</v>
      </c>
      <c r="AI23" s="41" t="n">
        <v>1429.14</v>
      </c>
      <c r="AJ23" s="41" t="n">
        <v>1429.14</v>
      </c>
      <c r="AK23" s="41" t="n">
        <v>1429.14</v>
      </c>
      <c r="AL23" s="41" t="n">
        <v>1429.14</v>
      </c>
      <c r="AM23" s="41" t="n">
        <v>1429.14</v>
      </c>
      <c r="AN23" s="41" t="n">
        <v>1429.14</v>
      </c>
      <c r="AO23" s="41" t="n">
        <v>1429.14</v>
      </c>
      <c r="AP23" s="41" t="n">
        <v>1429.14</v>
      </c>
      <c r="AQ23" s="41" t="n">
        <v>1429.14</v>
      </c>
      <c r="AR23" s="41" t="n">
        <v>1429.14</v>
      </c>
      <c r="AS23" s="41" t="n">
        <v>1429.14</v>
      </c>
      <c r="AT23" s="41" t="n">
        <v>1429.14</v>
      </c>
      <c r="AU23" s="41" t="n">
        <v>1429.14</v>
      </c>
      <c r="AV23" s="41" t="n">
        <v>1429.14</v>
      </c>
      <c r="AW23" s="41" t="n">
        <v>1429.14</v>
      </c>
      <c r="AX23" s="41" t="n">
        <v>1429.14</v>
      </c>
      <c r="AY23" s="41" t="n">
        <v>1429.14</v>
      </c>
    </row>
    <row r="24">
      <c r="B24" s="49" t="inlineStr">
        <is>
          <t xml:space="preserve">  604200 Accounting</t>
        </is>
      </c>
      <c r="D24" s="40" t="n">
        <v>3000</v>
      </c>
      <c r="E24" s="40" t="n">
        <v>0</v>
      </c>
      <c r="F24" s="40" t="n">
        <v>0</v>
      </c>
      <c r="G24" s="40" t="n">
        <v>0</v>
      </c>
      <c r="H24" s="40" t="n">
        <v>0</v>
      </c>
      <c r="I24" s="40" t="n">
        <v>760</v>
      </c>
      <c r="J24" s="40" t="n">
        <v>0</v>
      </c>
      <c r="K24" s="40" t="n">
        <v>1700</v>
      </c>
      <c r="L24" s="40" t="n">
        <v>11470.95</v>
      </c>
      <c r="M24" s="40" t="n">
        <v>46756</v>
      </c>
      <c r="N24" s="40" t="n">
        <v>29843.1</v>
      </c>
      <c r="O24" s="40" t="n">
        <v>35183.5</v>
      </c>
      <c r="P24" s="40" t="n">
        <v>26943.5</v>
      </c>
      <c r="Q24" s="40" t="n">
        <v>11648.28</v>
      </c>
      <c r="R24" s="40" t="n">
        <v>7356</v>
      </c>
      <c r="S24" s="40" t="n">
        <v>11836</v>
      </c>
      <c r="T24" s="40" t="n">
        <v>12311</v>
      </c>
      <c r="U24" s="41" t="n">
        <v>13562.61</v>
      </c>
      <c r="V24" s="41" t="n">
        <v>13562.61</v>
      </c>
      <c r="W24" s="41" t="n">
        <v>13562.61</v>
      </c>
      <c r="X24" s="41" t="n">
        <v>13562.61</v>
      </c>
      <c r="Y24" s="41" t="n">
        <v>13562.61</v>
      </c>
      <c r="Z24" s="41" t="n">
        <v>13562.61</v>
      </c>
      <c r="AA24" s="41" t="n">
        <v>13562.61</v>
      </c>
      <c r="AB24" s="41" t="n">
        <v>16072.61</v>
      </c>
      <c r="AC24" s="41" t="n">
        <v>16072.61</v>
      </c>
      <c r="AD24" s="41" t="n">
        <v>16072.61</v>
      </c>
      <c r="AE24" s="41" t="n">
        <v>16072.61</v>
      </c>
      <c r="AF24" s="41" t="n">
        <v>16072.61</v>
      </c>
      <c r="AG24" s="41" t="n">
        <v>16072.61</v>
      </c>
      <c r="AH24" s="41" t="n">
        <v>16072.61</v>
      </c>
      <c r="AI24" s="41" t="n">
        <v>16072.61</v>
      </c>
      <c r="AJ24" s="41" t="n">
        <v>16072.61</v>
      </c>
      <c r="AK24" s="41" t="n">
        <v>16072.61</v>
      </c>
      <c r="AL24" s="41" t="n">
        <v>16072.61</v>
      </c>
      <c r="AM24" s="41" t="n">
        <v>16072.61</v>
      </c>
      <c r="AN24" s="41" t="n">
        <v>16072.61</v>
      </c>
      <c r="AO24" s="41" t="n">
        <v>16072.61</v>
      </c>
      <c r="AP24" s="41" t="n">
        <v>16072.61</v>
      </c>
      <c r="AQ24" s="41" t="n">
        <v>16072.61</v>
      </c>
      <c r="AR24" s="41" t="n">
        <v>16072.61</v>
      </c>
      <c r="AS24" s="41" t="n">
        <v>16072.61</v>
      </c>
      <c r="AT24" s="41" t="n">
        <v>16072.61</v>
      </c>
      <c r="AU24" s="41" t="n">
        <v>16072.61</v>
      </c>
      <c r="AV24" s="41" t="n">
        <v>16072.61</v>
      </c>
      <c r="AW24" s="41" t="n">
        <v>16072.61</v>
      </c>
      <c r="AX24" s="41" t="n">
        <v>16072.61</v>
      </c>
      <c r="AY24" s="41" t="n">
        <v>16072.61</v>
      </c>
    </row>
    <row r="25">
      <c r="B25" s="49" t="inlineStr">
        <is>
          <t xml:space="preserve">  604300 Recruiting</t>
        </is>
      </c>
      <c r="D25" s="40" t="n">
        <v>0</v>
      </c>
      <c r="E25" s="40" t="n">
        <v>868.67</v>
      </c>
      <c r="F25" s="40" t="n">
        <v>2092.62</v>
      </c>
      <c r="G25" s="40" t="n">
        <v>678.14</v>
      </c>
      <c r="H25" s="40" t="n">
        <v>2640.46</v>
      </c>
      <c r="I25" s="40" t="n">
        <v>3147.1</v>
      </c>
      <c r="J25" s="40" t="n">
        <v>2516.42</v>
      </c>
      <c r="K25" s="40" t="n">
        <v>3708.19</v>
      </c>
      <c r="L25" s="40" t="n">
        <v>2281.03</v>
      </c>
      <c r="M25" s="40" t="n">
        <v>2641.54</v>
      </c>
      <c r="N25" s="40" t="n">
        <v>2685.63</v>
      </c>
      <c r="O25" s="40" t="n">
        <v>2859.99</v>
      </c>
      <c r="P25" s="40" t="n">
        <v>2409.4</v>
      </c>
      <c r="Q25" s="40" t="n">
        <v>270.88</v>
      </c>
      <c r="R25" s="40" t="n">
        <v>223.34</v>
      </c>
      <c r="S25" s="40" t="n">
        <v>0</v>
      </c>
      <c r="T25" s="40" t="n">
        <v>0</v>
      </c>
      <c r="U25" s="41" t="n">
        <v>681.52</v>
      </c>
      <c r="V25" s="41" t="n">
        <v>681.52</v>
      </c>
      <c r="W25" s="41" t="n">
        <v>681.52</v>
      </c>
      <c r="X25" s="41" t="n">
        <v>681.52</v>
      </c>
      <c r="Y25" s="41" t="n">
        <v>681.52</v>
      </c>
      <c r="Z25" s="41" t="n">
        <v>681.52</v>
      </c>
      <c r="AA25" s="41" t="n">
        <v>681.52</v>
      </c>
      <c r="AB25" s="41" t="n">
        <v>807.64</v>
      </c>
      <c r="AC25" s="41" t="n">
        <v>807.64</v>
      </c>
      <c r="AD25" s="41" t="n">
        <v>807.64</v>
      </c>
      <c r="AE25" s="41" t="n">
        <v>807.64</v>
      </c>
      <c r="AF25" s="41" t="n">
        <v>807.64</v>
      </c>
      <c r="AG25" s="41" t="n">
        <v>807.64</v>
      </c>
      <c r="AH25" s="41" t="n">
        <v>807.64</v>
      </c>
      <c r="AI25" s="41" t="n">
        <v>807.64</v>
      </c>
      <c r="AJ25" s="41" t="n">
        <v>807.64</v>
      </c>
      <c r="AK25" s="41" t="n">
        <v>807.64</v>
      </c>
      <c r="AL25" s="41" t="n">
        <v>807.64</v>
      </c>
      <c r="AM25" s="41" t="n">
        <v>807.64</v>
      </c>
      <c r="AN25" s="41" t="n">
        <v>807.64</v>
      </c>
      <c r="AO25" s="41" t="n">
        <v>807.64</v>
      </c>
      <c r="AP25" s="41" t="n">
        <v>807.64</v>
      </c>
      <c r="AQ25" s="41" t="n">
        <v>807.64</v>
      </c>
      <c r="AR25" s="41" t="n">
        <v>807.64</v>
      </c>
      <c r="AS25" s="41" t="n">
        <v>807.64</v>
      </c>
      <c r="AT25" s="41" t="n">
        <v>807.64</v>
      </c>
      <c r="AU25" s="41" t="n">
        <v>807.64</v>
      </c>
      <c r="AV25" s="41" t="n">
        <v>807.64</v>
      </c>
      <c r="AW25" s="41" t="n">
        <v>807.64</v>
      </c>
      <c r="AX25" s="41" t="n">
        <v>807.64</v>
      </c>
      <c r="AY25" s="41" t="n">
        <v>807.64</v>
      </c>
    </row>
    <row r="26">
      <c r="B26" s="49" t="inlineStr">
        <is>
          <t xml:space="preserve">  604400 Other Professional Fees</t>
        </is>
      </c>
      <c r="D26" s="40" t="n">
        <v>5831.51</v>
      </c>
      <c r="E26" s="40" t="n">
        <v>1732.5</v>
      </c>
      <c r="F26" s="40" t="n">
        <v>0</v>
      </c>
      <c r="G26" s="40" t="n">
        <v>240</v>
      </c>
      <c r="H26" s="40" t="n">
        <v>0</v>
      </c>
      <c r="I26" s="40" t="n">
        <v>23840</v>
      </c>
      <c r="J26" s="40" t="n">
        <v>8249.1</v>
      </c>
      <c r="K26" s="40" t="n">
        <v>479.1</v>
      </c>
      <c r="L26" s="40" t="n">
        <v>5684.01</v>
      </c>
      <c r="M26" s="40" t="n">
        <v>481</v>
      </c>
      <c r="N26" s="40" t="n">
        <v>481</v>
      </c>
      <c r="O26" s="40" t="n">
        <v>11500</v>
      </c>
      <c r="P26" s="40" t="n">
        <v>4746.41</v>
      </c>
      <c r="Q26" s="40" t="n">
        <v>0</v>
      </c>
      <c r="R26" s="40" t="n">
        <v>25</v>
      </c>
      <c r="S26" s="40" t="n">
        <v>0</v>
      </c>
      <c r="T26" s="40" t="n">
        <v>0</v>
      </c>
      <c r="U26" s="41" t="n">
        <v>1119.91</v>
      </c>
      <c r="V26" s="41" t="n">
        <v>1119.91</v>
      </c>
      <c r="W26" s="41" t="n">
        <v>1119.91</v>
      </c>
      <c r="X26" s="41" t="n">
        <v>1119.91</v>
      </c>
      <c r="Y26" s="41" t="n">
        <v>1119.91</v>
      </c>
      <c r="Z26" s="41" t="n">
        <v>1119.91</v>
      </c>
      <c r="AA26" s="41" t="n">
        <v>1119.91</v>
      </c>
      <c r="AB26" s="41" t="n">
        <v>1327.17</v>
      </c>
      <c r="AC26" s="41" t="n">
        <v>1327.17</v>
      </c>
      <c r="AD26" s="41" t="n">
        <v>1327.17</v>
      </c>
      <c r="AE26" s="41" t="n">
        <v>1327.17</v>
      </c>
      <c r="AF26" s="41" t="n">
        <v>1327.17</v>
      </c>
      <c r="AG26" s="41" t="n">
        <v>1327.17</v>
      </c>
      <c r="AH26" s="41" t="n">
        <v>1327.17</v>
      </c>
      <c r="AI26" s="41" t="n">
        <v>1327.17</v>
      </c>
      <c r="AJ26" s="41" t="n">
        <v>1327.17</v>
      </c>
      <c r="AK26" s="41" t="n">
        <v>1327.17</v>
      </c>
      <c r="AL26" s="41" t="n">
        <v>1327.17</v>
      </c>
      <c r="AM26" s="41" t="n">
        <v>1327.17</v>
      </c>
      <c r="AN26" s="41" t="n">
        <v>1327.17</v>
      </c>
      <c r="AO26" s="41" t="n">
        <v>1327.17</v>
      </c>
      <c r="AP26" s="41" t="n">
        <v>1327.17</v>
      </c>
      <c r="AQ26" s="41" t="n">
        <v>1327.17</v>
      </c>
      <c r="AR26" s="41" t="n">
        <v>1327.17</v>
      </c>
      <c r="AS26" s="41" t="n">
        <v>1327.17</v>
      </c>
      <c r="AT26" s="41" t="n">
        <v>1327.17</v>
      </c>
      <c r="AU26" s="41" t="n">
        <v>1327.17</v>
      </c>
      <c r="AV26" s="41" t="n">
        <v>1327.17</v>
      </c>
      <c r="AW26" s="41" t="n">
        <v>1327.17</v>
      </c>
      <c r="AX26" s="41" t="n">
        <v>1327.17</v>
      </c>
      <c r="AY26" s="41" t="n">
        <v>1327.17</v>
      </c>
    </row>
    <row r="27">
      <c r="B27" s="50" t="inlineStr">
        <is>
          <t>Total Professional Fees</t>
        </is>
      </c>
      <c r="C27" s="51" t="n"/>
      <c r="D27" s="52" t="n">
        <v>8831.51</v>
      </c>
      <c r="E27" s="52" t="n">
        <v>2601.17</v>
      </c>
      <c r="F27" s="52" t="n">
        <v>2092.62</v>
      </c>
      <c r="G27" s="52" t="n">
        <v>918.14</v>
      </c>
      <c r="H27" s="52" t="n">
        <v>2640.46</v>
      </c>
      <c r="I27" s="52" t="n">
        <v>27747.1</v>
      </c>
      <c r="J27" s="52" t="n">
        <v>10765.52</v>
      </c>
      <c r="K27" s="52" t="n">
        <v>5887.290000000001</v>
      </c>
      <c r="L27" s="52" t="n">
        <v>19435.99</v>
      </c>
      <c r="M27" s="52" t="n">
        <v>52418.54</v>
      </c>
      <c r="N27" s="52" t="n">
        <v>33009.73</v>
      </c>
      <c r="O27" s="52" t="n">
        <v>51902.99</v>
      </c>
      <c r="P27" s="52" t="n">
        <v>35241.81</v>
      </c>
      <c r="Q27" s="52" t="n">
        <v>11919.16</v>
      </c>
      <c r="R27" s="52" t="n">
        <v>11599.84</v>
      </c>
      <c r="S27" s="52" t="n">
        <v>11836</v>
      </c>
      <c r="T27" s="52" t="n">
        <v>12311</v>
      </c>
      <c r="U27" s="53">
        <f>U23+U24+U25+U26</f>
        <v/>
      </c>
      <c r="V27" s="53">
        <f>V23+V24+V25+V26</f>
        <v/>
      </c>
      <c r="W27" s="53">
        <f>W23+W24+W25+W26</f>
        <v/>
      </c>
      <c r="X27" s="53">
        <f>X23+X24+X25+X26</f>
        <v/>
      </c>
      <c r="Y27" s="53">
        <f>Y23+Y24+Y25+Y26</f>
        <v/>
      </c>
      <c r="Z27" s="53">
        <f>Z23+Z24+Z25+Z26</f>
        <v/>
      </c>
      <c r="AA27" s="53">
        <f>AA23+AA24+AA25+AA26</f>
        <v/>
      </c>
      <c r="AB27" s="53">
        <f>AB23+AB24+AB25+AB26</f>
        <v/>
      </c>
      <c r="AC27" s="53">
        <f>AC23+AC24+AC25+AC26</f>
        <v/>
      </c>
      <c r="AD27" s="53">
        <f>AD23+AD24+AD25+AD26</f>
        <v/>
      </c>
      <c r="AE27" s="53">
        <f>AE23+AE24+AE25+AE26</f>
        <v/>
      </c>
      <c r="AF27" s="53">
        <f>AF23+AF24+AF25+AF26</f>
        <v/>
      </c>
      <c r="AG27" s="53">
        <f>AG23+AG24+AG25+AG26</f>
        <v/>
      </c>
      <c r="AH27" s="53">
        <f>AH23+AH24+AH25+AH26</f>
        <v/>
      </c>
      <c r="AI27" s="53">
        <f>AI23+AI24+AI25+AI26</f>
        <v/>
      </c>
      <c r="AJ27" s="53">
        <f>AJ23+AJ24+AJ25+AJ26</f>
        <v/>
      </c>
      <c r="AK27" s="53">
        <f>AK23+AK24+AK25+AK26</f>
        <v/>
      </c>
      <c r="AL27" s="53">
        <f>AL23+AL24+AL25+AL26</f>
        <v/>
      </c>
      <c r="AM27" s="53">
        <f>AM23+AM24+AM25+AM26</f>
        <v/>
      </c>
      <c r="AN27" s="53">
        <f>AN23+AN24+AN25+AN26</f>
        <v/>
      </c>
      <c r="AO27" s="53">
        <f>AO23+AO24+AO25+AO26</f>
        <v/>
      </c>
      <c r="AP27" s="53">
        <f>AP23+AP24+AP25+AP26</f>
        <v/>
      </c>
      <c r="AQ27" s="53">
        <f>AQ23+AQ24+AQ25+AQ26</f>
        <v/>
      </c>
      <c r="AR27" s="53">
        <f>AR23+AR24+AR25+AR26</f>
        <v/>
      </c>
      <c r="AS27" s="53">
        <f>AS23+AS24+AS25+AS26</f>
        <v/>
      </c>
      <c r="AT27" s="53">
        <f>AT23+AT24+AT25+AT26</f>
        <v/>
      </c>
      <c r="AU27" s="53">
        <f>AU23+AU24+AU25+AU26</f>
        <v/>
      </c>
      <c r="AV27" s="53">
        <f>AV23+AV24+AV25+AV26</f>
        <v/>
      </c>
      <c r="AW27" s="53">
        <f>AW23+AW24+AW25+AW26</f>
        <v/>
      </c>
      <c r="AX27" s="53">
        <f>AX23+AX24+AX25+AX26</f>
        <v/>
      </c>
      <c r="AY27" s="53">
        <f>AY23+AY24+AY25+AY26</f>
        <v/>
      </c>
    </row>
    <row r="28">
      <c r="B28" s="49" t="inlineStr">
        <is>
          <t xml:space="preserve">  605000 Travel</t>
        </is>
      </c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>
        <v>796.5700000000001</v>
      </c>
      <c r="Q28" s="40" t="n">
        <v>283.06</v>
      </c>
      <c r="R28" s="40" t="n">
        <v>2275.29</v>
      </c>
      <c r="S28" s="40" t="n">
        <v>1381.14</v>
      </c>
      <c r="T28" s="40" t="n">
        <v>0</v>
      </c>
      <c r="U28" s="41" t="n">
        <v>1376.87</v>
      </c>
      <c r="V28" s="41" t="n">
        <v>1376.87</v>
      </c>
      <c r="W28" s="41" t="n">
        <v>1376.87</v>
      </c>
      <c r="X28" s="41" t="n">
        <v>1376.87</v>
      </c>
      <c r="Y28" s="41" t="n">
        <v>1376.87</v>
      </c>
      <c r="Z28" s="41" t="n">
        <v>1376.87</v>
      </c>
      <c r="AA28" s="41" t="n">
        <v>1376.87</v>
      </c>
      <c r="AB28" s="41" t="n">
        <v>1431.94</v>
      </c>
      <c r="AC28" s="41" t="n">
        <v>1431.94</v>
      </c>
      <c r="AD28" s="41" t="n">
        <v>1431.94</v>
      </c>
      <c r="AE28" s="41" t="n">
        <v>1431.94</v>
      </c>
      <c r="AF28" s="41" t="n">
        <v>1431.94</v>
      </c>
      <c r="AG28" s="41" t="n">
        <v>1431.94</v>
      </c>
      <c r="AH28" s="41" t="n">
        <v>1431.94</v>
      </c>
      <c r="AI28" s="41" t="n">
        <v>1431.94</v>
      </c>
      <c r="AJ28" s="41" t="n">
        <v>1431.94</v>
      </c>
      <c r="AK28" s="41" t="n">
        <v>1431.94</v>
      </c>
      <c r="AL28" s="41" t="n">
        <v>1431.94</v>
      </c>
      <c r="AM28" s="41" t="n">
        <v>1431.94</v>
      </c>
      <c r="AN28" s="41" t="n">
        <v>1489.22</v>
      </c>
      <c r="AO28" s="41" t="n">
        <v>1489.22</v>
      </c>
      <c r="AP28" s="41" t="n">
        <v>1489.22</v>
      </c>
      <c r="AQ28" s="41" t="n">
        <v>1489.22</v>
      </c>
      <c r="AR28" s="41" t="n">
        <v>1489.22</v>
      </c>
      <c r="AS28" s="41" t="n">
        <v>1489.22</v>
      </c>
      <c r="AT28" s="41" t="n">
        <v>1489.22</v>
      </c>
      <c r="AU28" s="41" t="n">
        <v>1489.22</v>
      </c>
      <c r="AV28" s="41" t="n">
        <v>1489.22</v>
      </c>
      <c r="AW28" s="41" t="n">
        <v>1489.22</v>
      </c>
      <c r="AX28" s="41" t="n">
        <v>1489.22</v>
      </c>
      <c r="AY28" s="41" t="n">
        <v>1489.22</v>
      </c>
    </row>
    <row r="29">
      <c r="B29" s="49" t="inlineStr">
        <is>
          <t xml:space="preserve">  606000 Meals</t>
        </is>
      </c>
      <c r="D29" s="40" t="n">
        <v>175.46</v>
      </c>
      <c r="E29" s="40" t="n">
        <v>1090.72</v>
      </c>
      <c r="F29" s="40" t="n">
        <v>1456.61</v>
      </c>
      <c r="G29" s="40" t="n">
        <v>13.02</v>
      </c>
      <c r="H29" s="40" t="n">
        <v>255.81</v>
      </c>
      <c r="I29" s="40" t="n">
        <v>140.05</v>
      </c>
      <c r="J29" s="40" t="n">
        <v>297.99</v>
      </c>
      <c r="K29" s="40" t="n">
        <v>339.46</v>
      </c>
      <c r="L29" s="40" t="n">
        <v>152.42</v>
      </c>
      <c r="M29" s="40" t="n">
        <v>1248.47</v>
      </c>
      <c r="N29" s="40" t="n">
        <v>1142.38</v>
      </c>
      <c r="O29" s="40" t="n">
        <v>297.01</v>
      </c>
      <c r="P29" s="40" t="n">
        <v>37.11</v>
      </c>
      <c r="Q29" s="40" t="n">
        <v>0</v>
      </c>
      <c r="R29" s="40" t="n">
        <v>224.62</v>
      </c>
      <c r="S29" s="40" t="n">
        <v>115.35</v>
      </c>
      <c r="T29" s="40" t="n">
        <v>85.94</v>
      </c>
      <c r="U29" s="41" t="n">
        <v>109.62</v>
      </c>
      <c r="V29" s="41" t="n">
        <v>109.62</v>
      </c>
      <c r="W29" s="41" t="n">
        <v>109.62</v>
      </c>
      <c r="X29" s="41" t="n">
        <v>109.62</v>
      </c>
      <c r="Y29" s="41" t="n">
        <v>109.62</v>
      </c>
      <c r="Z29" s="41" t="n">
        <v>109.62</v>
      </c>
      <c r="AA29" s="41" t="n">
        <v>109.62</v>
      </c>
      <c r="AB29" s="41" t="n">
        <v>114.01</v>
      </c>
      <c r="AC29" s="41" t="n">
        <v>114.01</v>
      </c>
      <c r="AD29" s="41" t="n">
        <v>114.01</v>
      </c>
      <c r="AE29" s="41" t="n">
        <v>114.01</v>
      </c>
      <c r="AF29" s="41" t="n">
        <v>114.01</v>
      </c>
      <c r="AG29" s="41" t="n">
        <v>114.01</v>
      </c>
      <c r="AH29" s="41" t="n">
        <v>114.01</v>
      </c>
      <c r="AI29" s="41" t="n">
        <v>114.01</v>
      </c>
      <c r="AJ29" s="41" t="n">
        <v>114.01</v>
      </c>
      <c r="AK29" s="41" t="n">
        <v>114.01</v>
      </c>
      <c r="AL29" s="41" t="n">
        <v>114.01</v>
      </c>
      <c r="AM29" s="41" t="n">
        <v>114.01</v>
      </c>
      <c r="AN29" s="41" t="n">
        <v>118.57</v>
      </c>
      <c r="AO29" s="41" t="n">
        <v>118.57</v>
      </c>
      <c r="AP29" s="41" t="n">
        <v>118.57</v>
      </c>
      <c r="AQ29" s="41" t="n">
        <v>118.57</v>
      </c>
      <c r="AR29" s="41" t="n">
        <v>118.57</v>
      </c>
      <c r="AS29" s="41" t="n">
        <v>118.57</v>
      </c>
      <c r="AT29" s="41" t="n">
        <v>118.57</v>
      </c>
      <c r="AU29" s="41" t="n">
        <v>118.57</v>
      </c>
      <c r="AV29" s="41" t="n">
        <v>118.57</v>
      </c>
      <c r="AW29" s="41" t="n">
        <v>118.57</v>
      </c>
      <c r="AX29" s="41" t="n">
        <v>118.57</v>
      </c>
      <c r="AY29" s="41" t="n">
        <v>118.57</v>
      </c>
    </row>
    <row r="30">
      <c r="B30" s="50" t="inlineStr">
        <is>
          <t>Total Travel &amp; Meals</t>
        </is>
      </c>
      <c r="C30" s="51" t="n"/>
      <c r="D30" s="52">
        <f>D28+D29</f>
        <v/>
      </c>
      <c r="E30" s="52">
        <f>E28+E29</f>
        <v/>
      </c>
      <c r="F30" s="52">
        <f>F28+F29</f>
        <v/>
      </c>
      <c r="G30" s="52">
        <f>G28+G29</f>
        <v/>
      </c>
      <c r="H30" s="52">
        <f>H28+H29</f>
        <v/>
      </c>
      <c r="I30" s="52">
        <f>I28+I29</f>
        <v/>
      </c>
      <c r="J30" s="52">
        <f>J28+J29</f>
        <v/>
      </c>
      <c r="K30" s="52">
        <f>K28+K29</f>
        <v/>
      </c>
      <c r="L30" s="52">
        <f>L28+L29</f>
        <v/>
      </c>
      <c r="M30" s="52">
        <f>M28+M29</f>
        <v/>
      </c>
      <c r="N30" s="52">
        <f>N28+N29</f>
        <v/>
      </c>
      <c r="O30" s="52">
        <f>O28+O29</f>
        <v/>
      </c>
      <c r="P30" s="52">
        <f>P28+P29</f>
        <v/>
      </c>
      <c r="Q30" s="52">
        <f>Q28+Q29</f>
        <v/>
      </c>
      <c r="R30" s="52">
        <f>R28+R29</f>
        <v/>
      </c>
      <c r="S30" s="52">
        <f>S28+S29</f>
        <v/>
      </c>
      <c r="T30" s="52">
        <f>T28+T29</f>
        <v/>
      </c>
      <c r="U30" s="53">
        <f>U28+U29</f>
        <v/>
      </c>
      <c r="V30" s="53">
        <f>V28+V29</f>
        <v/>
      </c>
      <c r="W30" s="53">
        <f>W28+W29</f>
        <v/>
      </c>
      <c r="X30" s="53">
        <f>X28+X29</f>
        <v/>
      </c>
      <c r="Y30" s="53">
        <f>Y28+Y29</f>
        <v/>
      </c>
      <c r="Z30" s="53">
        <f>Z28+Z29</f>
        <v/>
      </c>
      <c r="AA30" s="53">
        <f>AA28+AA29</f>
        <v/>
      </c>
      <c r="AB30" s="53">
        <f>AB28+AB29</f>
        <v/>
      </c>
      <c r="AC30" s="53">
        <f>AC28+AC29</f>
        <v/>
      </c>
      <c r="AD30" s="53">
        <f>AD28+AD29</f>
        <v/>
      </c>
      <c r="AE30" s="53">
        <f>AE28+AE29</f>
        <v/>
      </c>
      <c r="AF30" s="53">
        <f>AF28+AF29</f>
        <v/>
      </c>
      <c r="AG30" s="53">
        <f>AG28+AG29</f>
        <v/>
      </c>
      <c r="AH30" s="53">
        <f>AH28+AH29</f>
        <v/>
      </c>
      <c r="AI30" s="53">
        <f>AI28+AI29</f>
        <v/>
      </c>
      <c r="AJ30" s="53">
        <f>AJ28+AJ29</f>
        <v/>
      </c>
      <c r="AK30" s="53">
        <f>AK28+AK29</f>
        <v/>
      </c>
      <c r="AL30" s="53">
        <f>AL28+AL29</f>
        <v/>
      </c>
      <c r="AM30" s="53">
        <f>AM28+AM29</f>
        <v/>
      </c>
      <c r="AN30" s="53">
        <f>AN28+AN29</f>
        <v/>
      </c>
      <c r="AO30" s="53">
        <f>AO28+AO29</f>
        <v/>
      </c>
      <c r="AP30" s="53">
        <f>AP28+AP29</f>
        <v/>
      </c>
      <c r="AQ30" s="53">
        <f>AQ28+AQ29</f>
        <v/>
      </c>
      <c r="AR30" s="53">
        <f>AR28+AR29</f>
        <v/>
      </c>
      <c r="AS30" s="53">
        <f>AS28+AS29</f>
        <v/>
      </c>
      <c r="AT30" s="53">
        <f>AT28+AT29</f>
        <v/>
      </c>
      <c r="AU30" s="53">
        <f>AU28+AU29</f>
        <v/>
      </c>
      <c r="AV30" s="53">
        <f>AV28+AV29</f>
        <v/>
      </c>
      <c r="AW30" s="53">
        <f>AW28+AW29</f>
        <v/>
      </c>
      <c r="AX30" s="53">
        <f>AX28+AX29</f>
        <v/>
      </c>
      <c r="AY30" s="53">
        <f>AY28+AY29</f>
        <v/>
      </c>
    </row>
    <row r="31">
      <c r="B31" s="49" t="inlineStr">
        <is>
          <t xml:space="preserve">  701000 Rent / Virtual Office</t>
        </is>
      </c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>
        <v>0</v>
      </c>
      <c r="Q31" s="40" t="n">
        <v>0</v>
      </c>
      <c r="R31" s="40" t="n">
        <v>0</v>
      </c>
      <c r="S31" s="40" t="n">
        <v>0</v>
      </c>
      <c r="T31" s="40" t="n">
        <v>0</v>
      </c>
      <c r="U31" s="41" t="n">
        <v>0</v>
      </c>
      <c r="V31" s="41" t="n">
        <v>0</v>
      </c>
      <c r="W31" s="41" t="n">
        <v>0</v>
      </c>
      <c r="X31" s="41" t="n">
        <v>0</v>
      </c>
      <c r="Y31" s="41" t="n">
        <v>0</v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1" t="n">
        <v>0</v>
      </c>
      <c r="AG31" s="41" t="n">
        <v>0</v>
      </c>
      <c r="AH31" s="41" t="n">
        <v>0</v>
      </c>
      <c r="AI31" s="41" t="n">
        <v>0</v>
      </c>
      <c r="AJ31" s="41" t="n">
        <v>0</v>
      </c>
      <c r="AK31" s="41" t="n">
        <v>0</v>
      </c>
      <c r="AL31" s="41" t="n">
        <v>0</v>
      </c>
      <c r="AM31" s="41" t="n">
        <v>0</v>
      </c>
      <c r="AN31" s="41" t="n">
        <v>0</v>
      </c>
      <c r="AO31" s="41" t="n">
        <v>0</v>
      </c>
      <c r="AP31" s="41" t="n">
        <v>0</v>
      </c>
      <c r="AQ31" s="41" t="n">
        <v>0</v>
      </c>
      <c r="AR31" s="41" t="n">
        <v>0</v>
      </c>
      <c r="AS31" s="41" t="n">
        <v>0</v>
      </c>
      <c r="AT31" s="41" t="n">
        <v>0</v>
      </c>
      <c r="AU31" s="41" t="n">
        <v>0</v>
      </c>
      <c r="AV31" s="41" t="n">
        <v>0</v>
      </c>
      <c r="AW31" s="41" t="n">
        <v>0</v>
      </c>
      <c r="AX31" s="41" t="n">
        <v>0</v>
      </c>
      <c r="AY31" s="41" t="n">
        <v>0</v>
      </c>
    </row>
    <row r="32">
      <c r="B32" s="50" t="inlineStr">
        <is>
          <t>Total Property Costs</t>
        </is>
      </c>
      <c r="C32" s="51" t="n"/>
      <c r="D32" s="52" t="n">
        <v>202.42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52" t="n">
        <v>0</v>
      </c>
      <c r="K32" s="52" t="n">
        <v>66.8</v>
      </c>
      <c r="L32" s="52" t="n">
        <v>0</v>
      </c>
      <c r="M32" s="52" t="n">
        <v>0</v>
      </c>
      <c r="N32" s="52" t="n">
        <v>993.46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639.3299999999999</v>
      </c>
      <c r="T32" s="52" t="n">
        <v>26.02</v>
      </c>
      <c r="U32" s="53">
        <f>U31</f>
        <v/>
      </c>
      <c r="V32" s="53">
        <f>V31</f>
        <v/>
      </c>
      <c r="W32" s="53">
        <f>W31</f>
        <v/>
      </c>
      <c r="X32" s="53">
        <f>X31</f>
        <v/>
      </c>
      <c r="Y32" s="53">
        <f>Y31</f>
        <v/>
      </c>
      <c r="Z32" s="53">
        <f>Z31</f>
        <v/>
      </c>
      <c r="AA32" s="53">
        <f>AA31</f>
        <v/>
      </c>
      <c r="AB32" s="53">
        <f>AB31</f>
        <v/>
      </c>
      <c r="AC32" s="53">
        <f>AC31</f>
        <v/>
      </c>
      <c r="AD32" s="53">
        <f>AD31</f>
        <v/>
      </c>
      <c r="AE32" s="53">
        <f>AE31</f>
        <v/>
      </c>
      <c r="AF32" s="53">
        <f>AF31</f>
        <v/>
      </c>
      <c r="AG32" s="53">
        <f>AG31</f>
        <v/>
      </c>
      <c r="AH32" s="53">
        <f>AH31</f>
        <v/>
      </c>
      <c r="AI32" s="53">
        <f>AI31</f>
        <v/>
      </c>
      <c r="AJ32" s="53">
        <f>AJ31</f>
        <v/>
      </c>
      <c r="AK32" s="53">
        <f>AK31</f>
        <v/>
      </c>
      <c r="AL32" s="53">
        <f>AL31</f>
        <v/>
      </c>
      <c r="AM32" s="53">
        <f>AM31</f>
        <v/>
      </c>
      <c r="AN32" s="53">
        <f>AN31</f>
        <v/>
      </c>
      <c r="AO32" s="53">
        <f>AO31</f>
        <v/>
      </c>
      <c r="AP32" s="53">
        <f>AP31</f>
        <v/>
      </c>
      <c r="AQ32" s="53">
        <f>AQ31</f>
        <v/>
      </c>
      <c r="AR32" s="53">
        <f>AR31</f>
        <v/>
      </c>
      <c r="AS32" s="53">
        <f>AS31</f>
        <v/>
      </c>
      <c r="AT32" s="53">
        <f>AT31</f>
        <v/>
      </c>
      <c r="AU32" s="53">
        <f>AU31</f>
        <v/>
      </c>
      <c r="AV32" s="53">
        <f>AV31</f>
        <v/>
      </c>
      <c r="AW32" s="53">
        <f>AW31</f>
        <v/>
      </c>
      <c r="AX32" s="53">
        <f>AX31</f>
        <v/>
      </c>
      <c r="AY32" s="53">
        <f>AY31</f>
        <v/>
      </c>
    </row>
    <row r="33">
      <c r="B33" s="49" t="inlineStr">
        <is>
          <t xml:space="preserve">  902000 Taxes (Franchise/State)</t>
        </is>
      </c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1" t="n">
        <v>5387.33</v>
      </c>
      <c r="V33" s="41" t="n">
        <v>5387.33</v>
      </c>
      <c r="W33" s="41" t="n">
        <v>5387.33</v>
      </c>
      <c r="X33" s="41" t="n">
        <v>5387.33</v>
      </c>
      <c r="Y33" s="41" t="n">
        <v>5387.33</v>
      </c>
      <c r="Z33" s="41" t="n">
        <v>5387.33</v>
      </c>
      <c r="AA33" s="41" t="n">
        <v>5387.33</v>
      </c>
      <c r="AB33" s="41" t="n">
        <v>5602.82</v>
      </c>
      <c r="AC33" s="41" t="n">
        <v>5602.82</v>
      </c>
      <c r="AD33" s="41" t="n">
        <v>5602.82</v>
      </c>
      <c r="AE33" s="41" t="n">
        <v>5602.82</v>
      </c>
      <c r="AF33" s="41" t="n">
        <v>5602.82</v>
      </c>
      <c r="AG33" s="41" t="n">
        <v>5602.82</v>
      </c>
      <c r="AH33" s="41" t="n">
        <v>5602.82</v>
      </c>
      <c r="AI33" s="41" t="n">
        <v>5602.82</v>
      </c>
      <c r="AJ33" s="41" t="n">
        <v>5602.82</v>
      </c>
      <c r="AK33" s="41" t="n">
        <v>5602.82</v>
      </c>
      <c r="AL33" s="41" t="n">
        <v>5602.82</v>
      </c>
      <c r="AM33" s="41" t="n">
        <v>5602.82</v>
      </c>
      <c r="AN33" s="41" t="n">
        <v>5826.93</v>
      </c>
      <c r="AO33" s="41" t="n">
        <v>5826.93</v>
      </c>
      <c r="AP33" s="41" t="n">
        <v>5826.93</v>
      </c>
      <c r="AQ33" s="41" t="n">
        <v>5826.93</v>
      </c>
      <c r="AR33" s="41" t="n">
        <v>5826.93</v>
      </c>
      <c r="AS33" s="41" t="n">
        <v>5826.93</v>
      </c>
      <c r="AT33" s="41" t="n">
        <v>5826.93</v>
      </c>
      <c r="AU33" s="41" t="n">
        <v>5826.93</v>
      </c>
      <c r="AV33" s="41" t="n">
        <v>5826.93</v>
      </c>
      <c r="AW33" s="41" t="n">
        <v>5826.93</v>
      </c>
      <c r="AX33" s="41" t="n">
        <v>5826.93</v>
      </c>
      <c r="AY33" s="41" t="n">
        <v>5826.93</v>
      </c>
    </row>
    <row r="34">
      <c r="B34" s="50" t="inlineStr">
        <is>
          <t>Total Taxes</t>
        </is>
      </c>
      <c r="C34" s="51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>
        <f>P33</f>
        <v/>
      </c>
      <c r="Q34" s="52">
        <f>Q33</f>
        <v/>
      </c>
      <c r="R34" s="52">
        <f>R33</f>
        <v/>
      </c>
      <c r="S34" s="52">
        <f>S33</f>
        <v/>
      </c>
      <c r="T34" s="52">
        <f>T33</f>
        <v/>
      </c>
      <c r="U34" s="53">
        <f>U33</f>
        <v/>
      </c>
      <c r="V34" s="53">
        <f>V33</f>
        <v/>
      </c>
      <c r="W34" s="53">
        <f>W33</f>
        <v/>
      </c>
      <c r="X34" s="53">
        <f>X33</f>
        <v/>
      </c>
      <c r="Y34" s="53">
        <f>Y33</f>
        <v/>
      </c>
      <c r="Z34" s="53">
        <f>Z33</f>
        <v/>
      </c>
      <c r="AA34" s="53">
        <f>AA33</f>
        <v/>
      </c>
      <c r="AB34" s="53">
        <f>AB33</f>
        <v/>
      </c>
      <c r="AC34" s="53">
        <f>AC33</f>
        <v/>
      </c>
      <c r="AD34" s="53">
        <f>AD33</f>
        <v/>
      </c>
      <c r="AE34" s="53">
        <f>AE33</f>
        <v/>
      </c>
      <c r="AF34" s="53">
        <f>AF33</f>
        <v/>
      </c>
      <c r="AG34" s="53">
        <f>AG33</f>
        <v/>
      </c>
      <c r="AH34" s="53">
        <f>AH33</f>
        <v/>
      </c>
      <c r="AI34" s="53">
        <f>AI33</f>
        <v/>
      </c>
      <c r="AJ34" s="53">
        <f>AJ33</f>
        <v/>
      </c>
      <c r="AK34" s="53">
        <f>AK33</f>
        <v/>
      </c>
      <c r="AL34" s="53">
        <f>AL33</f>
        <v/>
      </c>
      <c r="AM34" s="53">
        <f>AM33</f>
        <v/>
      </c>
      <c r="AN34" s="53">
        <f>AN33</f>
        <v/>
      </c>
      <c r="AO34" s="53">
        <f>AO33</f>
        <v/>
      </c>
      <c r="AP34" s="53">
        <f>AP33</f>
        <v/>
      </c>
      <c r="AQ34" s="53">
        <f>AQ33</f>
        <v/>
      </c>
      <c r="AR34" s="53">
        <f>AR33</f>
        <v/>
      </c>
      <c r="AS34" s="53">
        <f>AS33</f>
        <v/>
      </c>
      <c r="AT34" s="53">
        <f>AT33</f>
        <v/>
      </c>
      <c r="AU34" s="53">
        <f>AU33</f>
        <v/>
      </c>
      <c r="AV34" s="53">
        <f>AV33</f>
        <v/>
      </c>
      <c r="AW34" s="53">
        <f>AW33</f>
        <v/>
      </c>
      <c r="AX34" s="53">
        <f>AX33</f>
        <v/>
      </c>
      <c r="AY34" s="53">
        <f>AY33</f>
        <v/>
      </c>
    </row>
    <row r="35">
      <c r="B35" s="50" t="inlineStr">
        <is>
          <t>TOTAL OPERATING EXPENSES</t>
        </is>
      </c>
      <c r="C35" s="51" t="n"/>
      <c r="D35" s="52" t="n">
        <v>93736.42</v>
      </c>
      <c r="E35" s="52" t="n">
        <v>78385.84000000001</v>
      </c>
      <c r="F35" s="52" t="n">
        <v>81821.95</v>
      </c>
      <c r="G35" s="52" t="n">
        <v>71244.76000000002</v>
      </c>
      <c r="H35" s="52" t="n">
        <v>93472.14999999998</v>
      </c>
      <c r="I35" s="52" t="n">
        <v>133860.62</v>
      </c>
      <c r="J35" s="52" t="n">
        <v>114239.98</v>
      </c>
      <c r="K35" s="52">
        <f>112568.03+4144.25</f>
        <v/>
      </c>
      <c r="L35" s="52">
        <f>135055.3+2025</f>
        <v/>
      </c>
      <c r="M35" s="52" t="n">
        <v>177046.83</v>
      </c>
      <c r="N35" s="52" t="n">
        <v>143855.32</v>
      </c>
      <c r="O35" s="52" t="n">
        <v>192371.09</v>
      </c>
      <c r="P35" s="52" t="n">
        <v>174197.04</v>
      </c>
      <c r="Q35" s="52" t="n">
        <v>143590.21</v>
      </c>
      <c r="R35" s="52" t="n">
        <v>158758.31</v>
      </c>
      <c r="S35" s="52" t="n">
        <v>128370.27</v>
      </c>
      <c r="T35" s="52" t="n">
        <v>149174.89</v>
      </c>
      <c r="U35" s="53">
        <f>U12+U17+U22+U27+U30+U32+U34</f>
        <v/>
      </c>
      <c r="V35" s="53">
        <f>V12+V17+V22+V27+V30+V32+V34</f>
        <v/>
      </c>
      <c r="W35" s="53">
        <f>W12+W17+W22+W27+W30+W32+W34</f>
        <v/>
      </c>
      <c r="X35" s="53">
        <f>X12+X17+X22+X27+X30+X32+X34</f>
        <v/>
      </c>
      <c r="Y35" s="53">
        <f>Y12+Y17+Y22+Y27+Y30+Y32+Y34</f>
        <v/>
      </c>
      <c r="Z35" s="53">
        <f>Z12+Z17+Z22+Z27+Z30+Z32+Z34</f>
        <v/>
      </c>
      <c r="AA35" s="53">
        <f>AA12+AA17+AA22+AA27+AA30+AA32+AA34</f>
        <v/>
      </c>
      <c r="AB35" s="53">
        <f>AB12+AB17+AB22+AB27+AB30+AB32+AB34</f>
        <v/>
      </c>
      <c r="AC35" s="53">
        <f>AC12+AC17+AC22+AC27+AC30+AC32+AC34</f>
        <v/>
      </c>
      <c r="AD35" s="53">
        <f>AD12+AD17+AD22+AD27+AD30+AD32+AD34</f>
        <v/>
      </c>
      <c r="AE35" s="53">
        <f>AE12+AE17+AE22+AE27+AE30+AE32+AE34</f>
        <v/>
      </c>
      <c r="AF35" s="53">
        <f>AF12+AF17+AF22+AF27+AF30+AF32+AF34</f>
        <v/>
      </c>
      <c r="AG35" s="53">
        <f>AG12+AG17+AG22+AG27+AG30+AG32+AG34</f>
        <v/>
      </c>
      <c r="AH35" s="53">
        <f>AH12+AH17+AH22+AH27+AH30+AH32+AH34</f>
        <v/>
      </c>
      <c r="AI35" s="53">
        <f>AI12+AI17+AI22+AI27+AI30+AI32+AI34</f>
        <v/>
      </c>
      <c r="AJ35" s="53">
        <f>AJ12+AJ17+AJ22+AJ27+AJ30+AJ32+AJ34</f>
        <v/>
      </c>
      <c r="AK35" s="53">
        <f>AK12+AK17+AK22+AK27+AK30+AK32+AK34</f>
        <v/>
      </c>
      <c r="AL35" s="53">
        <f>AL12+AL17+AL22+AL27+AL30+AL32+AL34</f>
        <v/>
      </c>
      <c r="AM35" s="53">
        <f>AM12+AM17+AM22+AM27+AM30+AM32+AM34</f>
        <v/>
      </c>
      <c r="AN35" s="53">
        <f>AN12+AN17+AN22+AN27+AN30+AN32+AN34</f>
        <v/>
      </c>
      <c r="AO35" s="53">
        <f>AO12+AO17+AO22+AO27+AO30+AO32+AO34</f>
        <v/>
      </c>
      <c r="AP35" s="53">
        <f>AP12+AP17+AP22+AP27+AP30+AP32+AP34</f>
        <v/>
      </c>
      <c r="AQ35" s="53">
        <f>AQ12+AQ17+AQ22+AQ27+AQ30+AQ32+AQ34</f>
        <v/>
      </c>
      <c r="AR35" s="53">
        <f>AR12+AR17+AR22+AR27+AR30+AR32+AR34</f>
        <v/>
      </c>
      <c r="AS35" s="53">
        <f>AS12+AS17+AS22+AS27+AS30+AS32+AS34</f>
        <v/>
      </c>
      <c r="AT35" s="53">
        <f>AT12+AT17+AT22+AT27+AT30+AT32+AT34</f>
        <v/>
      </c>
      <c r="AU35" s="53">
        <f>AU12+AU17+AU22+AU27+AU30+AU32+AU34</f>
        <v/>
      </c>
      <c r="AV35" s="53">
        <f>AV12+AV17+AV22+AV27+AV30+AV32+AV34</f>
        <v/>
      </c>
      <c r="AW35" s="53">
        <f>AW12+AW17+AW22+AW27+AW30+AW32+AW34</f>
        <v/>
      </c>
      <c r="AX35" s="53">
        <f>AX12+AX17+AX22+AX27+AX30+AX32+AX34</f>
        <v/>
      </c>
      <c r="AY35" s="53">
        <f>AY12+AY17+AY22+AY27+AY30+AY32+AY34</f>
        <v/>
      </c>
    </row>
    <row r="36">
      <c r="B36" s="50" t="inlineStr">
        <is>
          <t>NET OPERATING INCOME (EBITDA)</t>
        </is>
      </c>
      <c r="C36" s="51" t="n"/>
      <c r="D36" s="52" t="n">
        <v>-102558.76</v>
      </c>
      <c r="E36" s="52" t="n">
        <v>-78385.84000000001</v>
      </c>
      <c r="F36" s="52" t="n">
        <v>-81821.95</v>
      </c>
      <c r="G36" s="52" t="n">
        <v>-71244.76000000002</v>
      </c>
      <c r="H36" s="52" t="n">
        <v>-93472.14999999998</v>
      </c>
      <c r="I36" s="52" t="n">
        <v>-133860.62</v>
      </c>
      <c r="J36" s="52" t="n">
        <v>-114239.98</v>
      </c>
      <c r="K36" s="52">
        <f>-112568.03-4144.25</f>
        <v/>
      </c>
      <c r="L36" s="52">
        <f>-135055.3-2058</f>
        <v/>
      </c>
      <c r="M36" s="52" t="n">
        <v>-177046.83</v>
      </c>
      <c r="N36" s="52" t="n">
        <v>-143855.32</v>
      </c>
      <c r="O36" s="52" t="n">
        <v>-192371.09</v>
      </c>
      <c r="P36" s="52" t="n">
        <v>-174197.04</v>
      </c>
      <c r="Q36" s="52" t="n">
        <v>-143590.21</v>
      </c>
      <c r="R36" s="52" t="n">
        <v>-158758.31</v>
      </c>
      <c r="S36" s="52" t="n">
        <v>-128370.27</v>
      </c>
      <c r="T36" s="52" t="n">
        <v>-149174.89</v>
      </c>
      <c r="U36" s="53">
        <f>-U35</f>
        <v/>
      </c>
      <c r="V36" s="53">
        <f>-V35</f>
        <v/>
      </c>
      <c r="W36" s="53">
        <f>-W35</f>
        <v/>
      </c>
      <c r="X36" s="53">
        <f>-X35</f>
        <v/>
      </c>
      <c r="Y36" s="53">
        <f>-Y35</f>
        <v/>
      </c>
      <c r="Z36" s="53">
        <f>-Z35</f>
        <v/>
      </c>
      <c r="AA36" s="53">
        <f>-AA35</f>
        <v/>
      </c>
      <c r="AB36" s="53">
        <f>-AB35</f>
        <v/>
      </c>
      <c r="AC36" s="53">
        <f>-AC35</f>
        <v/>
      </c>
      <c r="AD36" s="53">
        <f>-AD35</f>
        <v/>
      </c>
      <c r="AE36" s="53">
        <f>-AE35</f>
        <v/>
      </c>
      <c r="AF36" s="53">
        <f>-AF35</f>
        <v/>
      </c>
      <c r="AG36" s="53">
        <f>-AG35</f>
        <v/>
      </c>
      <c r="AH36" s="53">
        <f>-AH35</f>
        <v/>
      </c>
      <c r="AI36" s="53">
        <f>-AI35</f>
        <v/>
      </c>
      <c r="AJ36" s="53">
        <f>-AJ35</f>
        <v/>
      </c>
      <c r="AK36" s="53">
        <f>-AK35</f>
        <v/>
      </c>
      <c r="AL36" s="53">
        <f>-AL35</f>
        <v/>
      </c>
      <c r="AM36" s="53">
        <f>-AM35</f>
        <v/>
      </c>
      <c r="AN36" s="53">
        <f>-AN35</f>
        <v/>
      </c>
      <c r="AO36" s="53">
        <f>-AO35</f>
        <v/>
      </c>
      <c r="AP36" s="53">
        <f>-AP35</f>
        <v/>
      </c>
      <c r="AQ36" s="53">
        <f>-AQ35</f>
        <v/>
      </c>
      <c r="AR36" s="53">
        <f>-AR35</f>
        <v/>
      </c>
      <c r="AS36" s="53">
        <f>-AS35</f>
        <v/>
      </c>
      <c r="AT36" s="53">
        <f>-AT35</f>
        <v/>
      </c>
      <c r="AU36" s="53">
        <f>-AU35</f>
        <v/>
      </c>
      <c r="AV36" s="53">
        <f>-AV35</f>
        <v/>
      </c>
      <c r="AW36" s="53">
        <f>-AW35</f>
        <v/>
      </c>
      <c r="AX36" s="53">
        <f>-AX35</f>
        <v/>
      </c>
      <c r="AY36" s="53">
        <f>-AY35</f>
        <v/>
      </c>
    </row>
    <row r="37" ht="16.05" customHeight="1" s="142">
      <c r="B37" s="44" t="inlineStr">
        <is>
          <t>OTHER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  <c r="AL37" s="45" t="n"/>
      <c r="AM37" s="45" t="n"/>
      <c r="AN37" s="45" t="n"/>
      <c r="AO37" s="45" t="n"/>
      <c r="AP37" s="45" t="n"/>
      <c r="AQ37" s="45" t="n"/>
      <c r="AR37" s="45" t="n"/>
      <c r="AS37" s="45" t="n"/>
      <c r="AT37" s="45" t="n"/>
      <c r="AU37" s="45" t="n"/>
      <c r="AV37" s="45" t="n"/>
      <c r="AW37" s="45" t="n"/>
      <c r="AX37" s="45" t="n"/>
      <c r="AY37" s="45" t="n"/>
    </row>
    <row r="38">
      <c r="B38" s="49" t="inlineStr">
        <is>
          <t xml:space="preserve">  810000 Depreciation</t>
        </is>
      </c>
      <c r="D38" s="40" t="n">
        <v>407.03</v>
      </c>
      <c r="E38" s="40" t="n">
        <v>407.03</v>
      </c>
      <c r="F38" s="40" t="n">
        <v>407.03</v>
      </c>
      <c r="G38" s="40" t="n">
        <v>408.58</v>
      </c>
      <c r="H38" s="40" t="n">
        <v>408.58</v>
      </c>
      <c r="I38" s="40" t="n">
        <v>382.03</v>
      </c>
      <c r="J38" s="40" t="n">
        <v>382.03</v>
      </c>
      <c r="K38" s="40" t="n">
        <v>382.03</v>
      </c>
      <c r="L38" s="40" t="n">
        <v>382.03</v>
      </c>
      <c r="M38" s="40" t="n">
        <v>886.49</v>
      </c>
      <c r="N38" s="40" t="n">
        <v>968.13</v>
      </c>
      <c r="O38" s="40" t="n">
        <v>-5828.02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1" t="n">
        <v>0</v>
      </c>
      <c r="V38" s="41" t="n">
        <v>0</v>
      </c>
      <c r="W38" s="41" t="n">
        <v>0</v>
      </c>
      <c r="X38" s="41" t="n">
        <v>0</v>
      </c>
      <c r="Y38" s="41" t="n">
        <v>0</v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1" t="n">
        <v>0</v>
      </c>
      <c r="AG38" s="41" t="n">
        <v>0</v>
      </c>
      <c r="AH38" s="41" t="n">
        <v>0</v>
      </c>
      <c r="AI38" s="41" t="n">
        <v>0</v>
      </c>
      <c r="AJ38" s="41" t="n">
        <v>0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0</v>
      </c>
      <c r="AQ38" s="41" t="n">
        <v>0</v>
      </c>
      <c r="AR38" s="41" t="n">
        <v>0</v>
      </c>
      <c r="AS38" s="41" t="n">
        <v>0</v>
      </c>
      <c r="AT38" s="41" t="n">
        <v>0</v>
      </c>
      <c r="AU38" s="41" t="n">
        <v>0</v>
      </c>
      <c r="AV38" s="41" t="n">
        <v>0</v>
      </c>
      <c r="AW38" s="41" t="n">
        <v>0</v>
      </c>
      <c r="AX38" s="41" t="n">
        <v>0</v>
      </c>
      <c r="AY38" s="41" t="n">
        <v>0</v>
      </c>
    </row>
    <row r="39">
      <c r="B39" s="49" t="inlineStr">
        <is>
          <t xml:space="preserve">  901000 Interest Expense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>
        <v>19562.5</v>
      </c>
      <c r="Q39" s="40" t="n">
        <v>19562.5</v>
      </c>
      <c r="R39" s="40" t="n">
        <v>19562.5</v>
      </c>
      <c r="S39" s="40" t="n">
        <v>19562.5</v>
      </c>
      <c r="T39" s="40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1" t="n">
        <v>0</v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1" t="n">
        <v>0</v>
      </c>
      <c r="AG39" s="41" t="n">
        <v>0</v>
      </c>
      <c r="AH39" s="41" t="n">
        <v>0</v>
      </c>
      <c r="AI39" s="41" t="n">
        <v>0</v>
      </c>
      <c r="AJ39" s="41" t="n">
        <v>0</v>
      </c>
      <c r="AK39" s="41" t="n">
        <v>0</v>
      </c>
      <c r="AL39" s="41" t="n">
        <v>0</v>
      </c>
      <c r="AM39" s="41" t="n">
        <v>0</v>
      </c>
      <c r="AN39" s="41" t="n">
        <v>0</v>
      </c>
      <c r="AO39" s="41" t="n">
        <v>0</v>
      </c>
      <c r="AP39" s="41" t="n">
        <v>0</v>
      </c>
      <c r="AQ39" s="41" t="n">
        <v>0</v>
      </c>
      <c r="AR39" s="41" t="n">
        <v>0</v>
      </c>
      <c r="AS39" s="41" t="n">
        <v>0</v>
      </c>
      <c r="AT39" s="41" t="n">
        <v>0</v>
      </c>
      <c r="AU39" s="41" t="n">
        <v>0</v>
      </c>
      <c r="AV39" s="41" t="n">
        <v>0</v>
      </c>
      <c r="AW39" s="41" t="n">
        <v>0</v>
      </c>
      <c r="AX39" s="41" t="n">
        <v>0</v>
      </c>
      <c r="AY39" s="41" t="n">
        <v>0</v>
      </c>
    </row>
    <row r="40">
      <c r="B40" s="49" t="inlineStr">
        <is>
          <t xml:space="preserve">  900000 Other Income/(Expense)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>
        <v>-22.9</v>
      </c>
      <c r="Q40" s="40" t="n">
        <v>0</v>
      </c>
      <c r="R40" s="40" t="n">
        <v>0</v>
      </c>
      <c r="S40" s="40" t="n">
        <v>0</v>
      </c>
      <c r="T40" s="40" t="n">
        <v>0</v>
      </c>
      <c r="U40" s="41" t="n">
        <v>0</v>
      </c>
      <c r="V40" s="41" t="n">
        <v>0</v>
      </c>
      <c r="W40" s="41" t="n">
        <v>0</v>
      </c>
      <c r="X40" s="41" t="n">
        <v>0</v>
      </c>
      <c r="Y40" s="41" t="n">
        <v>0</v>
      </c>
      <c r="Z40" s="41" t="n">
        <v>0</v>
      </c>
      <c r="AA40" s="41" t="n">
        <v>0</v>
      </c>
      <c r="AB40" s="41" t="n">
        <v>0</v>
      </c>
      <c r="AC40" s="41" t="n">
        <v>0</v>
      </c>
      <c r="AD40" s="41" t="n">
        <v>0</v>
      </c>
      <c r="AE40" s="41" t="n">
        <v>0</v>
      </c>
      <c r="AF40" s="41" t="n">
        <v>0</v>
      </c>
      <c r="AG40" s="41" t="n">
        <v>0</v>
      </c>
      <c r="AH40" s="41" t="n">
        <v>0</v>
      </c>
      <c r="AI40" s="41" t="n">
        <v>0</v>
      </c>
      <c r="AJ40" s="41" t="n">
        <v>0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0</v>
      </c>
      <c r="AQ40" s="41" t="n">
        <v>0</v>
      </c>
      <c r="AR40" s="41" t="n">
        <v>0</v>
      </c>
      <c r="AS40" s="41" t="n">
        <v>0</v>
      </c>
      <c r="AT40" s="41" t="n">
        <v>0</v>
      </c>
      <c r="AU40" s="41" t="n">
        <v>0</v>
      </c>
      <c r="AV40" s="41" t="n">
        <v>0</v>
      </c>
      <c r="AW40" s="41" t="n">
        <v>0</v>
      </c>
      <c r="AX40" s="41" t="n">
        <v>0</v>
      </c>
      <c r="AY40" s="41" t="n">
        <v>0</v>
      </c>
    </row>
    <row r="41">
      <c r="B41" s="50" t="inlineStr">
        <is>
          <t>Total Other Expenses</t>
        </is>
      </c>
      <c r="C41" s="51" t="n"/>
      <c r="D41" s="52" t="n">
        <v>407.03</v>
      </c>
      <c r="E41" s="52" t="n">
        <v>9448.27</v>
      </c>
      <c r="F41" s="52" t="n">
        <v>2107.03</v>
      </c>
      <c r="G41" s="52" t="n">
        <v>1208.58</v>
      </c>
      <c r="H41" s="52" t="n">
        <v>408.58</v>
      </c>
      <c r="I41" s="52" t="n">
        <v>382.03</v>
      </c>
      <c r="J41" s="52" t="n">
        <v>382.03</v>
      </c>
      <c r="K41" s="52" t="n">
        <v>382.03</v>
      </c>
      <c r="L41" s="52" t="n">
        <v>12882.03</v>
      </c>
      <c r="M41" s="52" t="n">
        <v>12676.49</v>
      </c>
      <c r="N41" s="52" t="n">
        <v>11780.63</v>
      </c>
      <c r="O41" s="52" t="n">
        <v>4984.48</v>
      </c>
      <c r="P41" s="52" t="n">
        <v>19539.6</v>
      </c>
      <c r="Q41" s="52" t="n">
        <v>19562.5</v>
      </c>
      <c r="R41" s="52" t="n">
        <v>19562.5</v>
      </c>
      <c r="S41" s="52" t="n">
        <v>19562.5</v>
      </c>
      <c r="T41" s="52" t="n">
        <v>25362.5</v>
      </c>
      <c r="U41" s="53">
        <f>U38+U39+U40</f>
        <v/>
      </c>
      <c r="V41" s="53">
        <f>V38+V39+V40</f>
        <v/>
      </c>
      <c r="W41" s="53">
        <f>W38+W39+W40</f>
        <v/>
      </c>
      <c r="X41" s="53">
        <f>X38+X39+X40</f>
        <v/>
      </c>
      <c r="Y41" s="53">
        <f>Y38+Y39+Y40</f>
        <v/>
      </c>
      <c r="Z41" s="53">
        <f>Z38+Z39+Z40</f>
        <v/>
      </c>
      <c r="AA41" s="53">
        <f>AA38+AA39+AA40</f>
        <v/>
      </c>
      <c r="AB41" s="53">
        <f>AB38+AB39+AB40</f>
        <v/>
      </c>
      <c r="AC41" s="53">
        <f>AC38+AC39+AC40</f>
        <v/>
      </c>
      <c r="AD41" s="53">
        <f>AD38+AD39+AD40</f>
        <v/>
      </c>
      <c r="AE41" s="53">
        <f>AE38+AE39+AE40</f>
        <v/>
      </c>
      <c r="AF41" s="53">
        <f>AF38+AF39+AF40</f>
        <v/>
      </c>
      <c r="AG41" s="53">
        <f>AG38+AG39+AG40</f>
        <v/>
      </c>
      <c r="AH41" s="53">
        <f>AH38+AH39+AH40</f>
        <v/>
      </c>
      <c r="AI41" s="53">
        <f>AI38+AI39+AI40</f>
        <v/>
      </c>
      <c r="AJ41" s="53">
        <f>AJ38+AJ39+AJ40</f>
        <v/>
      </c>
      <c r="AK41" s="53">
        <f>AK38+AK39+AK40</f>
        <v/>
      </c>
      <c r="AL41" s="53">
        <f>AL38+AL39+AL40</f>
        <v/>
      </c>
      <c r="AM41" s="53">
        <f>AM38+AM39+AM40</f>
        <v/>
      </c>
      <c r="AN41" s="53">
        <f>AN38+AN39+AN40</f>
        <v/>
      </c>
      <c r="AO41" s="53">
        <f>AO38+AO39+AO40</f>
        <v/>
      </c>
      <c r="AP41" s="53">
        <f>AP38+AP39+AP40</f>
        <v/>
      </c>
      <c r="AQ41" s="53">
        <f>AQ38+AQ39+AQ40</f>
        <v/>
      </c>
      <c r="AR41" s="53">
        <f>AR38+AR39+AR40</f>
        <v/>
      </c>
      <c r="AS41" s="53">
        <f>AS38+AS39+AS40</f>
        <v/>
      </c>
      <c r="AT41" s="53">
        <f>AT38+AT39+AT40</f>
        <v/>
      </c>
      <c r="AU41" s="53">
        <f>AU38+AU39+AU40</f>
        <v/>
      </c>
      <c r="AV41" s="53">
        <f>AV38+AV39+AV40</f>
        <v/>
      </c>
      <c r="AW41" s="53">
        <f>AW38+AW39+AW40</f>
        <v/>
      </c>
      <c r="AX41" s="53">
        <f>AX38+AX39+AX40</f>
        <v/>
      </c>
      <c r="AY41" s="53">
        <f>AY38+AY39+AY40</f>
        <v/>
      </c>
    </row>
    <row r="42">
      <c r="B42" s="50" t="inlineStr">
        <is>
          <t>NET INCOME</t>
        </is>
      </c>
      <c r="C42" s="51" t="n"/>
      <c r="D42" s="52" t="n">
        <v>-102965.79</v>
      </c>
      <c r="E42" s="52" t="n">
        <v>-87834.11000000002</v>
      </c>
      <c r="F42" s="52" t="n">
        <v>-83928.98</v>
      </c>
      <c r="G42" s="52" t="n">
        <v>-72453.34000000003</v>
      </c>
      <c r="H42" s="52" t="n">
        <v>-93880.72999999998</v>
      </c>
      <c r="I42" s="52" t="n">
        <v>-134242.65</v>
      </c>
      <c r="J42" s="52" t="n">
        <v>-114622.01</v>
      </c>
      <c r="K42" s="52" t="n">
        <v>-112950.06</v>
      </c>
      <c r="L42" s="52" t="n">
        <v>-147937.33</v>
      </c>
      <c r="M42" s="52" t="n">
        <v>-189723.32</v>
      </c>
      <c r="N42" s="52" t="n">
        <v>-155635.95</v>
      </c>
      <c r="O42" s="52" t="n">
        <v>-197355.57</v>
      </c>
      <c r="P42" s="52" t="n">
        <v>-193736.64</v>
      </c>
      <c r="Q42" s="52" t="n">
        <v>-163152.71</v>
      </c>
      <c r="R42" s="52" t="n">
        <v>-178320.81</v>
      </c>
      <c r="S42" s="52" t="n">
        <v>-147932.77</v>
      </c>
      <c r="T42" s="52" t="n">
        <v>-174537.39</v>
      </c>
      <c r="U42" s="53">
        <f>U36-U41</f>
        <v/>
      </c>
      <c r="V42" s="53">
        <f>V36-V41</f>
        <v/>
      </c>
      <c r="W42" s="53">
        <f>W36-W41</f>
        <v/>
      </c>
      <c r="X42" s="53">
        <f>X36-X41</f>
        <v/>
      </c>
      <c r="Y42" s="53">
        <f>Y36-Y41</f>
        <v/>
      </c>
      <c r="Z42" s="53">
        <f>Z36-Z41</f>
        <v/>
      </c>
      <c r="AA42" s="53">
        <f>AA36-AA41</f>
        <v/>
      </c>
      <c r="AB42" s="53">
        <f>AB36-AB41</f>
        <v/>
      </c>
      <c r="AC42" s="53">
        <f>AC36-AC41</f>
        <v/>
      </c>
      <c r="AD42" s="53">
        <f>AD36-AD41</f>
        <v/>
      </c>
      <c r="AE42" s="53">
        <f>AE36-AE41</f>
        <v/>
      </c>
      <c r="AF42" s="53">
        <f>AF36-AF41</f>
        <v/>
      </c>
      <c r="AG42" s="53">
        <f>AG36-AG41</f>
        <v/>
      </c>
      <c r="AH42" s="53">
        <f>AH36-AH41</f>
        <v/>
      </c>
      <c r="AI42" s="53">
        <f>AI36-AI41</f>
        <v/>
      </c>
      <c r="AJ42" s="53">
        <f>AJ36-AJ41</f>
        <v/>
      </c>
      <c r="AK42" s="53">
        <f>AK36-AK41</f>
        <v/>
      </c>
      <c r="AL42" s="53">
        <f>AL36-AL41</f>
        <v/>
      </c>
      <c r="AM42" s="53">
        <f>AM36-AM41</f>
        <v/>
      </c>
      <c r="AN42" s="53">
        <f>AN36-AN41</f>
        <v/>
      </c>
      <c r="AO42" s="53">
        <f>AO36-AO41</f>
        <v/>
      </c>
      <c r="AP42" s="53">
        <f>AP36-AP41</f>
        <v/>
      </c>
      <c r="AQ42" s="53">
        <f>AQ36-AQ41</f>
        <v/>
      </c>
      <c r="AR42" s="53">
        <f>AR36-AR41</f>
        <v/>
      </c>
      <c r="AS42" s="53">
        <f>AS36-AS41</f>
        <v/>
      </c>
      <c r="AT42" s="53">
        <f>AT36-AT41</f>
        <v/>
      </c>
      <c r="AU42" s="53">
        <f>AU36-AU41</f>
        <v/>
      </c>
      <c r="AV42" s="53">
        <f>AV36-AV41</f>
        <v/>
      </c>
      <c r="AW42" s="53">
        <f>AW36-AW41</f>
        <v/>
      </c>
      <c r="AX42" s="53">
        <f>AX36-AX41</f>
        <v/>
      </c>
      <c r="AY42" s="53">
        <f>AY36-AY41</f>
        <v/>
      </c>
    </row>
    <row r="46">
      <c r="K46" s="88" t="n"/>
      <c r="L46" s="8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D966"/>
    <outlinePr summaryBelow="1" summaryRight="1"/>
    <pageSetUpPr/>
  </sheetPr>
  <dimension ref="B2:G15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30" customWidth="1" style="142" min="2" max="2"/>
    <col width="14" customWidth="1" style="142" min="3" max="3"/>
    <col width="16" customWidth="1" style="142" min="4" max="4"/>
    <col width="14" customWidth="1" style="142" min="5" max="7"/>
  </cols>
  <sheetData>
    <row r="2" ht="21" customHeight="1" s="142">
      <c r="B2" s="9" t="inlineStr">
        <is>
          <t>CapEx &amp; Studio Buildout</t>
        </is>
      </c>
    </row>
    <row r="3">
      <c r="B3" s="3" t="inlineStr">
        <is>
          <t>Add planned capital expenditures here. Outflows feed Cash Flow Forecast investing section.</t>
        </is>
      </c>
    </row>
    <row r="4" ht="16.05" customHeight="1" s="142">
      <c r="B4" s="10" t="inlineStr">
        <is>
          <t>Projects</t>
        </is>
      </c>
      <c r="C4" s="11" t="n"/>
      <c r="D4" s="11" t="n"/>
      <c r="E4" s="11" t="n"/>
      <c r="F4" s="11" t="n"/>
      <c r="G4" s="11" t="n"/>
    </row>
    <row r="5">
      <c r="B5" s="14" t="inlineStr">
        <is>
          <t>Project</t>
        </is>
      </c>
      <c r="C5" s="14" t="inlineStr">
        <is>
          <t>Type</t>
        </is>
      </c>
      <c r="D5" s="14" t="inlineStr">
        <is>
          <t>Location</t>
        </is>
      </c>
      <c r="E5" s="14" t="inlineStr">
        <is>
          <t>Total Budget</t>
        </is>
      </c>
      <c r="F5" s="14" t="inlineStr">
        <is>
          <t>Start Month</t>
        </is>
      </c>
      <c r="G5" s="14" t="inlineStr">
        <is>
          <t>Duration (mo)</t>
        </is>
      </c>
    </row>
    <row r="6">
      <c r="B6" s="73" t="inlineStr">
        <is>
          <t>West Portal Build-Out</t>
        </is>
      </c>
      <c r="C6" s="73" t="inlineStr">
        <is>
          <t>WP</t>
        </is>
      </c>
      <c r="D6" s="73" t="inlineStr">
        <is>
          <t>WP</t>
        </is>
      </c>
      <c r="E6" s="74" t="n">
        <v>400000</v>
      </c>
      <c r="F6" s="73" t="inlineStr">
        <is>
          <t>2026-07</t>
        </is>
      </c>
      <c r="G6" s="75" t="n">
        <v>2</v>
      </c>
    </row>
    <row r="7">
      <c r="B7" s="73" t="inlineStr">
        <is>
          <t>Santa Monica Redo</t>
        </is>
      </c>
      <c r="C7" s="73" t="inlineStr">
        <is>
          <t>SM</t>
        </is>
      </c>
      <c r="D7" s="73" t="inlineStr">
        <is>
          <t>SM</t>
        </is>
      </c>
      <c r="E7" s="74" t="n">
        <v>35000</v>
      </c>
      <c r="F7" s="73" t="inlineStr">
        <is>
          <t>2026-07</t>
        </is>
      </c>
      <c r="G7" s="75" t="n">
        <v>1</v>
      </c>
    </row>
    <row r="8">
      <c r="B8" s="38" t="n"/>
      <c r="C8" s="38" t="n"/>
      <c r="D8" s="38" t="n"/>
      <c r="E8" s="38" t="n"/>
      <c r="F8" s="38" t="n"/>
      <c r="G8" s="38" t="n"/>
    </row>
    <row r="9">
      <c r="B9" s="38" t="n"/>
      <c r="C9" s="38" t="n"/>
      <c r="D9" s="38" t="n"/>
      <c r="E9" s="38" t="n"/>
      <c r="F9" s="38" t="n"/>
      <c r="G9" s="38" t="n"/>
    </row>
    <row r="10">
      <c r="B10" s="38" t="n"/>
      <c r="C10" s="38" t="n"/>
      <c r="D10" s="38" t="n"/>
      <c r="E10" s="38" t="n"/>
      <c r="F10" s="38" t="n"/>
      <c r="G10" s="38" t="n"/>
    </row>
    <row r="11">
      <c r="B11" s="38" t="n"/>
      <c r="C11" s="38" t="n"/>
      <c r="D11" s="38" t="n"/>
      <c r="E11" s="38" t="n"/>
      <c r="F11" s="38" t="n"/>
      <c r="G11" s="38" t="n"/>
    </row>
    <row r="12">
      <c r="B12" s="38" t="n"/>
      <c r="C12" s="38" t="n"/>
      <c r="D12" s="38" t="n"/>
      <c r="E12" s="38" t="n"/>
      <c r="F12" s="38" t="n"/>
      <c r="G12" s="38" t="n"/>
    </row>
    <row r="13">
      <c r="B13" s="38" t="n"/>
      <c r="C13" s="38" t="n"/>
      <c r="D13" s="38" t="n"/>
      <c r="E13" s="38" t="n"/>
      <c r="F13" s="38" t="n"/>
      <c r="G13" s="38" t="n"/>
    </row>
    <row r="14">
      <c r="B14" s="38" t="n"/>
      <c r="C14" s="38" t="n"/>
      <c r="D14" s="38" t="n"/>
      <c r="E14" s="38" t="n"/>
      <c r="F14" s="38" t="n"/>
      <c r="G14" s="38" t="n"/>
    </row>
    <row r="15">
      <c r="B15" s="38" t="n"/>
      <c r="C15" s="38" t="n"/>
      <c r="D15" s="38" t="n"/>
      <c r="E15" s="38" t="n"/>
      <c r="F15" s="38" t="n"/>
      <c r="G15" s="3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D9D9D9"/>
    <outlinePr summaryBelow="1" summaryRight="1"/>
    <pageSetUpPr/>
  </sheetPr>
  <dimension ref="B2:H293"/>
  <sheetViews>
    <sheetView showGridLines="0" topLeftCell="B1" workbookViewId="0">
      <selection activeCell="A1" sqref="A1"/>
    </sheetView>
  </sheetViews>
  <sheetFormatPr baseColWidth="8" defaultColWidth="8.796875" defaultRowHeight="14.25"/>
  <cols>
    <col hidden="1" width="2" customWidth="1" style="142" min="1" max="1"/>
    <col width="50" customWidth="1" style="142" min="2" max="2"/>
    <col width="14" customWidth="1" style="142" min="3" max="10"/>
  </cols>
  <sheetData>
    <row r="2" ht="21" customHeight="1" s="142">
      <c r="B2" s="9" t="inlineStr">
        <is>
          <t>QBO Actuals (Accountant-Booked)</t>
        </is>
      </c>
    </row>
    <row r="3">
      <c r="B3" s="3" t="inlineStr">
        <is>
          <t>Source data from accountant. Read-only reference. Used in formulas via the P&amp;L tab.</t>
        </is>
      </c>
    </row>
    <row r="5" ht="16.05" customHeight="1" s="142">
      <c r="B5" s="10" t="inlineStr">
        <is>
          <t>P&amp;L</t>
        </is>
      </c>
      <c r="C5" s="11" t="n"/>
      <c r="D5" s="11" t="n"/>
      <c r="E5" s="11" t="n"/>
      <c r="F5" s="11" t="n"/>
      <c r="G5" s="11" t="n"/>
      <c r="H5" s="11" t="n"/>
    </row>
    <row r="6">
      <c r="B6" s="15" t="inlineStr">
        <is>
          <t>Account</t>
        </is>
      </c>
      <c r="C6" s="14" t="inlineStr">
        <is>
          <t>Jan 2026</t>
        </is>
      </c>
      <c r="D6" s="14" t="inlineStr">
        <is>
          <t>Feb 2026</t>
        </is>
      </c>
      <c r="E6" s="14" t="inlineStr">
        <is>
          <t>Mar 2026</t>
        </is>
      </c>
      <c r="F6" s="14" t="inlineStr">
        <is>
          <t>Apr 2026</t>
        </is>
      </c>
    </row>
    <row r="7">
      <c r="B7" s="18" t="inlineStr">
        <is>
          <t>401000 Sessions</t>
        </is>
      </c>
      <c r="C7" s="19" t="n">
        <v>1000203.99</v>
      </c>
      <c r="D7" s="19" t="n">
        <v>866507.65</v>
      </c>
      <c r="E7" s="19" t="n">
        <v>867748.3999999999</v>
      </c>
      <c r="F7" s="19" t="n">
        <v>790938.8199999999</v>
      </c>
    </row>
    <row r="8">
      <c r="B8" s="18" t="inlineStr">
        <is>
          <t>401001 Machine</t>
        </is>
      </c>
      <c r="C8" s="19" t="n">
        <v>564086.1699999999</v>
      </c>
      <c r="D8" s="19" t="n">
        <v>518893.65</v>
      </c>
      <c r="E8" s="19" t="n">
        <v>545263.48</v>
      </c>
      <c r="F8" s="19" t="n">
        <v>504657.5099999999</v>
      </c>
    </row>
    <row r="9">
      <c r="B9" s="18" t="inlineStr">
        <is>
          <t>401002 Private Pilates</t>
        </is>
      </c>
      <c r="C9" s="19" t="n">
        <v>81456.55</v>
      </c>
      <c r="D9" s="19" t="n">
        <v>83665.87</v>
      </c>
      <c r="E9" s="19" t="n">
        <v>90674.98999999999</v>
      </c>
      <c r="F9" s="19" t="n">
        <v>79854.69</v>
      </c>
    </row>
    <row r="10">
      <c r="B10" s="18" t="inlineStr">
        <is>
          <t>401003 Class Pass</t>
        </is>
      </c>
      <c r="C10" s="19" t="n">
        <v>206440.45</v>
      </c>
      <c r="D10" s="19" t="n">
        <v>182905.94</v>
      </c>
      <c r="E10" s="19" t="n">
        <v>207043.41</v>
      </c>
      <c r="F10" s="19" t="n">
        <v>197416</v>
      </c>
    </row>
    <row r="11">
      <c r="B11" s="18" t="inlineStr">
        <is>
          <t>401004 Mighty Teacher Training</t>
        </is>
      </c>
      <c r="C11" s="19" t="n">
        <v>138895.69</v>
      </c>
      <c r="D11" s="19" t="n">
        <v>73896.97</v>
      </c>
      <c r="E11" s="19" t="n">
        <v>15316.04</v>
      </c>
      <c r="F11" s="19" t="n">
        <v>0</v>
      </c>
    </row>
    <row r="12">
      <c r="B12" s="18" t="inlineStr">
        <is>
          <t>401005 Livestream Classes</t>
        </is>
      </c>
      <c r="C12" s="19" t="n">
        <v>1799.08</v>
      </c>
      <c r="D12" s="19" t="n">
        <v>1778.91</v>
      </c>
      <c r="E12" s="19" t="n">
        <v>1833.2</v>
      </c>
      <c r="F12" s="19" t="n">
        <v>1652.51</v>
      </c>
    </row>
    <row r="13">
      <c r="B13" s="18" t="inlineStr">
        <is>
          <t>401006 Wellhub</t>
        </is>
      </c>
      <c r="C13" s="19" t="n">
        <v>7526.05</v>
      </c>
      <c r="D13" s="19" t="n">
        <v>5366.31</v>
      </c>
      <c r="E13" s="19" t="n">
        <v>7617.28</v>
      </c>
      <c r="F13" s="19" t="n">
        <v>7358.11</v>
      </c>
    </row>
    <row r="14">
      <c r="B14" s="18" t="inlineStr">
        <is>
          <t>403000 Breakage Revenue</t>
        </is>
      </c>
      <c r="C14" s="19" t="n">
        <v>139780.94</v>
      </c>
      <c r="D14" s="19" t="n">
        <v>155452.01</v>
      </c>
      <c r="E14" s="19" t="n">
        <v>132350.01</v>
      </c>
      <c r="F14" s="19" t="n">
        <v>142563.17</v>
      </c>
    </row>
    <row r="15">
      <c r="B15" s="18" t="inlineStr">
        <is>
          <t>403001 Machine Breakage</t>
        </is>
      </c>
      <c r="C15" s="19" t="n">
        <v>130180.44</v>
      </c>
      <c r="D15" s="19" t="n">
        <v>147627.44</v>
      </c>
      <c r="E15" s="19" t="n">
        <v>119914.69</v>
      </c>
      <c r="F15" s="19" t="n">
        <v>129315.33</v>
      </c>
    </row>
    <row r="16">
      <c r="B16" s="18" t="inlineStr">
        <is>
          <t>403002 Mighty Teacher Training Breakage</t>
        </is>
      </c>
      <c r="C16" s="19" t="n">
        <v>0</v>
      </c>
      <c r="D16" s="19" t="n">
        <v>0</v>
      </c>
      <c r="E16" s="19" t="n">
        <v>0</v>
      </c>
      <c r="F16" s="19" t="n">
        <v>0</v>
      </c>
    </row>
    <row r="17">
      <c r="B17" s="18" t="inlineStr">
        <is>
          <t>403003 Private Pilates Breakage</t>
        </is>
      </c>
      <c r="C17" s="19" t="n">
        <v>8640.5</v>
      </c>
      <c r="D17" s="19" t="n">
        <v>7137.37</v>
      </c>
      <c r="E17" s="19" t="n">
        <v>11748.12</v>
      </c>
      <c r="F17" s="19" t="n">
        <v>11530.84</v>
      </c>
    </row>
    <row r="18">
      <c r="B18" s="18" t="inlineStr">
        <is>
          <t>403004 Other Breakage</t>
        </is>
      </c>
      <c r="C18" s="19" t="n">
        <v>960</v>
      </c>
      <c r="D18" s="19" t="n">
        <v>687.2</v>
      </c>
      <c r="E18" s="19" t="n">
        <v>687.2</v>
      </c>
      <c r="F18" s="19" t="n">
        <v>1717</v>
      </c>
    </row>
    <row r="19">
      <c r="B19" s="18" t="inlineStr">
        <is>
          <t>404000 Retail Sales</t>
        </is>
      </c>
      <c r="C19" s="19" t="n">
        <v>23308</v>
      </c>
      <c r="D19" s="19" t="n">
        <v>19847</v>
      </c>
      <c r="E19" s="19" t="n">
        <v>17655</v>
      </c>
      <c r="F19" s="19" t="n">
        <v>18479</v>
      </c>
    </row>
    <row r="20">
      <c r="B20" s="18" t="inlineStr">
        <is>
          <t>406000 Refunds</t>
        </is>
      </c>
      <c r="C20" s="19" t="n">
        <v>-20830.24</v>
      </c>
      <c r="D20" s="19" t="n">
        <v>-15645.66</v>
      </c>
      <c r="E20" s="19" t="n">
        <v>-16880.65</v>
      </c>
      <c r="F20" s="19" t="n">
        <v>-12793.11</v>
      </c>
    </row>
    <row r="21">
      <c r="B21" s="18" t="inlineStr">
        <is>
          <t>407000 Discounts</t>
        </is>
      </c>
      <c r="C21" s="19" t="n">
        <v>-59600.85000000001</v>
      </c>
      <c r="D21" s="19" t="n">
        <v>-56707.91</v>
      </c>
      <c r="E21" s="19" t="n">
        <v>-53962.12</v>
      </c>
      <c r="F21" s="19" t="n">
        <v>-51310.18</v>
      </c>
    </row>
    <row r="22">
      <c r="B22" s="18" t="inlineStr">
        <is>
          <t>501000 Product Cost</t>
        </is>
      </c>
      <c r="C22" s="19" t="n">
        <v>10902.4</v>
      </c>
      <c r="D22" s="19" t="n">
        <v>9574.799999999999</v>
      </c>
      <c r="E22" s="19" t="n">
        <v>8193.700000000001</v>
      </c>
      <c r="F22" s="19" t="n">
        <v>8508</v>
      </c>
    </row>
    <row r="23">
      <c r="B23" s="18" t="inlineStr">
        <is>
          <t>506000 Merchant Account Fees</t>
        </is>
      </c>
      <c r="C23" s="19" t="n">
        <v>27107.45</v>
      </c>
      <c r="D23" s="19" t="n">
        <v>28922.23</v>
      </c>
      <c r="E23" s="19" t="n">
        <v>26766.83</v>
      </c>
      <c r="F23" s="19" t="n">
        <v>28428.49</v>
      </c>
    </row>
    <row r="24">
      <c r="B24" s="18" t="inlineStr">
        <is>
          <t>601000 Sales &amp; Marketing</t>
        </is>
      </c>
      <c r="C24" s="19" t="n">
        <v>0</v>
      </c>
      <c r="D24" s="19" t="n">
        <v>0</v>
      </c>
      <c r="E24" s="19" t="n">
        <v>0</v>
      </c>
      <c r="F24" s="19" t="n">
        <v>0</v>
      </c>
    </row>
    <row r="25">
      <c r="B25" s="18" t="inlineStr">
        <is>
          <t>601001 Paid Ads</t>
        </is>
      </c>
      <c r="C25" s="19" t="n">
        <v>21945.18</v>
      </c>
      <c r="D25" s="19" t="n">
        <v>22262.49</v>
      </c>
      <c r="E25" s="19" t="n">
        <v>13576.8</v>
      </c>
      <c r="F25" s="19" t="n">
        <v>3775.58</v>
      </c>
    </row>
    <row r="26">
      <c r="B26" s="18" t="inlineStr">
        <is>
          <t>601005 Content Creation</t>
        </is>
      </c>
      <c r="C26" s="19" t="n">
        <v>750</v>
      </c>
      <c r="D26" s="19" t="n">
        <v>0</v>
      </c>
      <c r="E26" s="19" t="n">
        <v>0</v>
      </c>
      <c r="F26" s="19" t="n">
        <v>0</v>
      </c>
    </row>
    <row r="27">
      <c r="B27" s="18" t="inlineStr">
        <is>
          <t>601006 General Marketing</t>
        </is>
      </c>
      <c r="C27" s="19" t="n">
        <v>2245</v>
      </c>
      <c r="D27" s="19" t="n">
        <v>2245</v>
      </c>
      <c r="E27" s="19" t="n">
        <v>2245</v>
      </c>
      <c r="F27" s="19" t="n">
        <v>2200</v>
      </c>
    </row>
    <row r="28">
      <c r="B28" s="18" t="inlineStr">
        <is>
          <t>601007 Marketing Contractors/Agencies</t>
        </is>
      </c>
      <c r="C28" s="19" t="n">
        <v>300</v>
      </c>
      <c r="D28" s="19" t="n">
        <v>0</v>
      </c>
      <c r="E28" s="19" t="n">
        <v>0</v>
      </c>
      <c r="F28" s="19" t="n">
        <v>0</v>
      </c>
    </row>
    <row r="29">
      <c r="B29" s="18" t="inlineStr">
        <is>
          <t>601010 Website Development</t>
        </is>
      </c>
      <c r="C29" s="19" t="n">
        <v>2500</v>
      </c>
      <c r="D29" s="19" t="n">
        <v>2500</v>
      </c>
      <c r="E29" s="19" t="n">
        <v>0</v>
      </c>
      <c r="F29" s="19" t="n">
        <v>0</v>
      </c>
    </row>
    <row r="30">
      <c r="B30" s="18" t="inlineStr">
        <is>
          <t>601011 Trade Shows/Events</t>
        </is>
      </c>
      <c r="C30" s="19" t="n">
        <v>0</v>
      </c>
      <c r="D30" s="19" t="n">
        <v>0</v>
      </c>
      <c r="E30" s="19" t="n">
        <v>860</v>
      </c>
      <c r="F30" s="19" t="n">
        <v>0</v>
      </c>
    </row>
    <row r="31">
      <c r="B31" s="18" t="inlineStr">
        <is>
          <t>602000 Payroll</t>
        </is>
      </c>
      <c r="C31" s="19" t="n">
        <v>0</v>
      </c>
      <c r="D31" s="19" t="n">
        <v>0</v>
      </c>
      <c r="E31" s="19" t="n">
        <v>0</v>
      </c>
      <c r="F31" s="19" t="n">
        <v>0</v>
      </c>
    </row>
    <row r="32">
      <c r="B32" s="18" t="inlineStr">
        <is>
          <t>602001 Wages</t>
        </is>
      </c>
      <c r="C32" s="19" t="n">
        <v>552670.01</v>
      </c>
      <c r="D32" s="19" t="n">
        <v>503290.24</v>
      </c>
      <c r="E32" s="19" t="n">
        <v>533410.78</v>
      </c>
      <c r="F32" s="19" t="n">
        <v>489542.03</v>
      </c>
    </row>
    <row r="33">
      <c r="B33" s="18" t="inlineStr">
        <is>
          <t>602002 1099 Compensation</t>
        </is>
      </c>
      <c r="C33" s="19" t="n">
        <v>0</v>
      </c>
      <c r="D33" s="19" t="n">
        <v>0</v>
      </c>
      <c r="E33" s="19" t="n">
        <v>0</v>
      </c>
      <c r="F33" s="19" t="n">
        <v>11000</v>
      </c>
    </row>
    <row r="34">
      <c r="B34" s="18" t="inlineStr">
        <is>
          <t>602003 Bonus</t>
        </is>
      </c>
      <c r="C34" s="19" t="n">
        <v>0</v>
      </c>
      <c r="D34" s="19" t="n">
        <v>0</v>
      </c>
      <c r="E34" s="19" t="n">
        <v>0</v>
      </c>
      <c r="F34" s="19" t="n">
        <v>0</v>
      </c>
    </row>
    <row r="35">
      <c r="B35" s="18" t="inlineStr">
        <is>
          <t>602004 Payroll Taxes</t>
        </is>
      </c>
      <c r="C35" s="19" t="n">
        <v>88937.46000000001</v>
      </c>
      <c r="D35" s="19" t="n">
        <v>49644.07</v>
      </c>
      <c r="E35" s="19" t="n">
        <v>49584.56</v>
      </c>
      <c r="F35" s="19" t="n">
        <v>43553.81</v>
      </c>
    </row>
    <row r="36">
      <c r="B36" s="18" t="inlineStr">
        <is>
          <t>602005 Employee Benefits</t>
        </is>
      </c>
      <c r="C36" s="19" t="n">
        <v>11661.41</v>
      </c>
      <c r="D36" s="19" t="n">
        <v>9680.25</v>
      </c>
      <c r="E36" s="19" t="n">
        <v>8294.690000000001</v>
      </c>
      <c r="F36" s="19" t="n">
        <v>6778.74</v>
      </c>
    </row>
    <row r="37">
      <c r="B37" s="18" t="inlineStr">
        <is>
          <t>602010 Payroll Processing Fees</t>
        </is>
      </c>
      <c r="C37" s="19" t="n">
        <v>27964.1</v>
      </c>
      <c r="D37" s="19" t="n">
        <v>27797.5</v>
      </c>
      <c r="E37" s="19" t="n">
        <v>37663.78</v>
      </c>
      <c r="F37" s="19" t="n">
        <v>25606.4</v>
      </c>
    </row>
    <row r="38">
      <c r="B38" s="18" t="inlineStr">
        <is>
          <t>603000 Software &amp; Web Services</t>
        </is>
      </c>
      <c r="C38" s="19" t="n">
        <v>14854.43</v>
      </c>
      <c r="D38" s="19" t="n">
        <v>23709.03</v>
      </c>
      <c r="E38" s="19" t="n">
        <v>10924.01</v>
      </c>
      <c r="F38" s="19" t="n">
        <v>13421.72</v>
      </c>
    </row>
    <row r="39">
      <c r="B39" s="18" t="inlineStr">
        <is>
          <t>604000 Professional Fees</t>
        </is>
      </c>
      <c r="C39" s="19" t="n">
        <v>0</v>
      </c>
      <c r="D39" s="19" t="n">
        <v>0</v>
      </c>
      <c r="E39" s="19" t="n">
        <v>0</v>
      </c>
      <c r="F39" s="19" t="n">
        <v>0</v>
      </c>
    </row>
    <row r="40">
      <c r="B40" s="18" t="inlineStr">
        <is>
          <t>604100 Legal Fees</t>
        </is>
      </c>
      <c r="C40" s="19" t="n">
        <v>2957.48</v>
      </c>
      <c r="D40" s="19" t="n">
        <v>2215.54</v>
      </c>
      <c r="E40" s="19" t="n">
        <v>3995.5</v>
      </c>
      <c r="F40" s="19" t="n">
        <v>123</v>
      </c>
    </row>
    <row r="41">
      <c r="B41" s="18" t="inlineStr">
        <is>
          <t>604200 Accounting</t>
        </is>
      </c>
      <c r="C41" s="19" t="n">
        <v>26943.5</v>
      </c>
      <c r="D41" s="19" t="n">
        <v>16038.88</v>
      </c>
      <c r="E41" s="19" t="n">
        <v>12636</v>
      </c>
      <c r="F41" s="19" t="n">
        <v>19566</v>
      </c>
    </row>
    <row r="42">
      <c r="B42" s="18" t="inlineStr">
        <is>
          <t>604300 Recruiting</t>
        </is>
      </c>
      <c r="C42" s="19" t="n">
        <v>2409.4</v>
      </c>
      <c r="D42" s="19" t="n">
        <v>270.88</v>
      </c>
      <c r="E42" s="19" t="n">
        <v>223.34</v>
      </c>
      <c r="F42" s="19" t="n">
        <v>0</v>
      </c>
    </row>
    <row r="43">
      <c r="B43" s="18" t="inlineStr">
        <is>
          <t>604400 Other Professional Fees</t>
        </is>
      </c>
      <c r="C43" s="19" t="n">
        <v>10423.41</v>
      </c>
      <c r="D43" s="19" t="n">
        <v>5677</v>
      </c>
      <c r="E43" s="19" t="n">
        <v>5702</v>
      </c>
      <c r="F43" s="19" t="n">
        <v>5677</v>
      </c>
    </row>
    <row r="44">
      <c r="B44" s="18" t="inlineStr">
        <is>
          <t>605000 Travel (Airfare/hotel/ground trans/etc)</t>
        </is>
      </c>
      <c r="C44" s="19" t="n">
        <v>4022.3</v>
      </c>
      <c r="D44" s="19" t="n">
        <v>2474.18</v>
      </c>
      <c r="E44" s="19" t="n">
        <v>4774.34</v>
      </c>
      <c r="F44" s="19" t="n">
        <v>1411.8</v>
      </c>
    </row>
    <row r="45">
      <c r="B45" s="18" t="inlineStr">
        <is>
          <t>606000 Meals</t>
        </is>
      </c>
      <c r="C45" s="19" t="n">
        <v>2796.73</v>
      </c>
      <c r="D45" s="19" t="n">
        <v>889.15</v>
      </c>
      <c r="E45" s="19" t="n">
        <v>1228.02</v>
      </c>
      <c r="F45" s="19" t="n">
        <v>1377.81</v>
      </c>
    </row>
    <row r="46">
      <c r="B46" s="18" t="inlineStr">
        <is>
          <t>607000 Entertainment</t>
        </is>
      </c>
      <c r="C46" s="19" t="n">
        <v>0</v>
      </c>
      <c r="D46" s="19" t="n">
        <v>180</v>
      </c>
      <c r="E46" s="19" t="n">
        <v>0</v>
      </c>
      <c r="F46" s="19" t="n">
        <v>0</v>
      </c>
    </row>
    <row r="47">
      <c r="B47" s="18" t="inlineStr">
        <is>
          <t>608000 Insurance</t>
        </is>
      </c>
      <c r="C47" s="19" t="n">
        <v>3922.55</v>
      </c>
      <c r="D47" s="19" t="n">
        <v>3592.72</v>
      </c>
      <c r="E47" s="19" t="n">
        <v>5696.7</v>
      </c>
      <c r="F47" s="19" t="n">
        <v>5320.03</v>
      </c>
    </row>
    <row r="48">
      <c r="B48" s="18" t="inlineStr">
        <is>
          <t>609000 Business licenses</t>
        </is>
      </c>
      <c r="C48" s="19" t="n">
        <v>0</v>
      </c>
      <c r="D48" s="19" t="n">
        <v>6315.51</v>
      </c>
      <c r="E48" s="19" t="n">
        <v>1889</v>
      </c>
      <c r="F48" s="19" t="n">
        <v>3071.36</v>
      </c>
    </row>
    <row r="49">
      <c r="B49" s="18" t="inlineStr">
        <is>
          <t>610000 Office Supplies &amp; General Expense</t>
        </is>
      </c>
      <c r="C49" s="19" t="n">
        <v>8362.969999999999</v>
      </c>
      <c r="D49" s="19" t="n">
        <v>7142.71</v>
      </c>
      <c r="E49" s="19" t="n">
        <v>14314.43</v>
      </c>
      <c r="F49" s="19" t="n">
        <v>6564.17</v>
      </c>
    </row>
    <row r="50">
      <c r="B50" s="18" t="inlineStr">
        <is>
          <t>610100 Furniture &amp; Equipment</t>
        </is>
      </c>
      <c r="C50" s="19" t="n">
        <v>1069</v>
      </c>
      <c r="D50" s="19" t="n">
        <v>485.28</v>
      </c>
      <c r="E50" s="19" t="n">
        <v>35.6</v>
      </c>
      <c r="F50" s="19" t="n">
        <v>973.98</v>
      </c>
    </row>
    <row r="51">
      <c r="B51" s="18" t="inlineStr">
        <is>
          <t>611000 Shipping &amp; postage</t>
        </is>
      </c>
      <c r="C51" s="19" t="n">
        <v>15.6</v>
      </c>
      <c r="D51" s="19" t="n">
        <v>132.79</v>
      </c>
      <c r="E51" s="19" t="n">
        <v>142.59</v>
      </c>
      <c r="F51" s="19" t="n">
        <v>15.1</v>
      </c>
    </row>
    <row r="52">
      <c r="B52" s="18" t="inlineStr">
        <is>
          <t>613000 Bank fees &amp; Service Charges</t>
        </is>
      </c>
      <c r="C52" s="19" t="n">
        <v>631.26</v>
      </c>
      <c r="D52" s="19" t="n">
        <v>646.7</v>
      </c>
      <c r="E52" s="19" t="n">
        <v>317.17</v>
      </c>
      <c r="F52" s="19" t="n">
        <v>325.83</v>
      </c>
    </row>
    <row r="53">
      <c r="B53" s="18" t="inlineStr">
        <is>
          <t>615000 Parking Lot Rental</t>
        </is>
      </c>
      <c r="C53" s="19" t="n">
        <v>3905</v>
      </c>
      <c r="D53" s="19" t="n">
        <v>2700</v>
      </c>
      <c r="E53" s="19" t="n">
        <v>1866.66</v>
      </c>
      <c r="F53" s="19" t="n">
        <v>2196.66</v>
      </c>
    </row>
    <row r="54">
      <c r="B54" s="18" t="inlineStr">
        <is>
          <t>616000 Utilities</t>
        </is>
      </c>
      <c r="C54" s="19" t="n">
        <v>0</v>
      </c>
      <c r="D54" s="19" t="n">
        <v>0</v>
      </c>
      <c r="E54" s="19" t="n">
        <v>0</v>
      </c>
      <c r="F54" s="19" t="n">
        <v>0</v>
      </c>
    </row>
    <row r="55">
      <c r="B55" s="18" t="inlineStr">
        <is>
          <t>616001 Electricity</t>
        </is>
      </c>
      <c r="C55" s="19" t="n">
        <v>2749.38</v>
      </c>
      <c r="D55" s="19" t="n">
        <v>2912.04</v>
      </c>
      <c r="E55" s="19" t="n">
        <v>2947.23</v>
      </c>
      <c r="F55" s="19" t="n">
        <v>3181.15</v>
      </c>
    </row>
    <row r="56">
      <c r="B56" s="18" t="inlineStr">
        <is>
          <t>616002 Internet &amp; TV services</t>
        </is>
      </c>
      <c r="C56" s="19" t="n">
        <v>1364.78</v>
      </c>
      <c r="D56" s="19" t="n">
        <v>1380.62</v>
      </c>
      <c r="E56" s="19" t="n">
        <v>1419.16</v>
      </c>
      <c r="F56" s="19" t="n">
        <v>1419.07</v>
      </c>
    </row>
    <row r="57">
      <c r="B57" s="18" t="inlineStr">
        <is>
          <t>616003 Phone service</t>
        </is>
      </c>
      <c r="C57" s="19" t="n">
        <v>1470.79</v>
      </c>
      <c r="D57" s="19" t="n">
        <v>4117.02</v>
      </c>
      <c r="E57" s="19" t="n">
        <v>1432.05</v>
      </c>
      <c r="F57" s="19" t="n">
        <v>1442.76</v>
      </c>
    </row>
    <row r="58">
      <c r="B58" s="18" t="inlineStr">
        <is>
          <t>616004 Water &amp; sewer</t>
        </is>
      </c>
      <c r="C58" s="19" t="n">
        <v>1062.24</v>
      </c>
      <c r="D58" s="19" t="n">
        <v>1014.36</v>
      </c>
      <c r="E58" s="19" t="n">
        <v>108.17</v>
      </c>
      <c r="F58" s="19" t="n">
        <v>686.58</v>
      </c>
    </row>
    <row r="59">
      <c r="B59" s="18" t="inlineStr">
        <is>
          <t>616005 Disposal Services</t>
        </is>
      </c>
      <c r="C59" s="19" t="n">
        <v>440.23</v>
      </c>
      <c r="D59" s="19" t="n">
        <v>549.05</v>
      </c>
      <c r="E59" s="19" t="n">
        <v>1128.11</v>
      </c>
      <c r="F59" s="19" t="n">
        <v>540.66</v>
      </c>
    </row>
    <row r="60">
      <c r="B60" s="18" t="inlineStr">
        <is>
          <t>700000 Property Costs</t>
        </is>
      </c>
      <c r="C60" s="19" t="n">
        <v>0</v>
      </c>
      <c r="D60" s="19" t="n">
        <v>0</v>
      </c>
      <c r="E60" s="19" t="n">
        <v>0</v>
      </c>
      <c r="F60" s="19" t="n">
        <v>0</v>
      </c>
    </row>
    <row r="61">
      <c r="B61" s="18" t="inlineStr">
        <is>
          <t>701000 Rent</t>
        </is>
      </c>
      <c r="C61" s="19" t="n">
        <v>126472.53</v>
      </c>
      <c r="D61" s="19" t="n">
        <v>126472.53</v>
      </c>
      <c r="E61" s="19" t="n">
        <v>123043.96</v>
      </c>
      <c r="F61" s="19" t="n">
        <v>126472.53</v>
      </c>
    </row>
    <row r="62">
      <c r="B62" s="18" t="inlineStr">
        <is>
          <t>702000 Security</t>
        </is>
      </c>
      <c r="C62" s="19" t="n">
        <v>279.99</v>
      </c>
      <c r="D62" s="19" t="n">
        <v>34.99</v>
      </c>
      <c r="E62" s="19" t="n">
        <v>181</v>
      </c>
      <c r="F62" s="19" t="n">
        <v>184.99</v>
      </c>
    </row>
    <row r="63">
      <c r="B63" s="18" t="inlineStr">
        <is>
          <t>703000 Cleaning</t>
        </is>
      </c>
      <c r="C63" s="19" t="n">
        <v>3601.54</v>
      </c>
      <c r="D63" s="19" t="n">
        <v>1896.93</v>
      </c>
      <c r="E63" s="19" t="n">
        <v>6674.4</v>
      </c>
      <c r="F63" s="19" t="n">
        <v>3766.01</v>
      </c>
    </row>
    <row r="64">
      <c r="B64" s="18" t="inlineStr">
        <is>
          <t>704000 Studio Repairs</t>
        </is>
      </c>
      <c r="C64" s="19" t="n">
        <v>500.97</v>
      </c>
      <c r="D64" s="19" t="n">
        <v>1340.04</v>
      </c>
      <c r="E64" s="19" t="n">
        <v>309.15</v>
      </c>
      <c r="F64" s="19" t="n">
        <v>1109.25</v>
      </c>
    </row>
    <row r="65">
      <c r="B65" s="18" t="inlineStr">
        <is>
          <t>705000 Property Maintenance</t>
        </is>
      </c>
      <c r="C65" s="19" t="n">
        <v>16258.43</v>
      </c>
      <c r="D65" s="19" t="n">
        <v>16600.16</v>
      </c>
      <c r="E65" s="19" t="n">
        <v>17174.15</v>
      </c>
      <c r="F65" s="19" t="n">
        <v>16526.65</v>
      </c>
    </row>
    <row r="66">
      <c r="B66" s="18" t="inlineStr">
        <is>
          <t>810000 Depreciation</t>
        </is>
      </c>
      <c r="C66" s="19" t="n">
        <v>30633.94</v>
      </c>
      <c r="D66" s="19" t="n">
        <v>30665.6</v>
      </c>
      <c r="E66" s="19" t="n">
        <v>30876.78</v>
      </c>
      <c r="F66" s="19" t="n">
        <v>30893.75</v>
      </c>
    </row>
    <row r="67">
      <c r="B67" s="18" t="inlineStr">
        <is>
          <t>900000 Other Expense/(Income)</t>
        </is>
      </c>
      <c r="C67" s="19" t="n">
        <v>-22.9</v>
      </c>
      <c r="D67" s="19" t="n">
        <v>0</v>
      </c>
      <c r="E67" s="19" t="n">
        <v>0</v>
      </c>
      <c r="F67" s="19" t="n">
        <v>-4000</v>
      </c>
    </row>
    <row r="68">
      <c r="B68" s="18" t="inlineStr">
        <is>
          <t>901000 Interest Expense/(Income)</t>
        </is>
      </c>
      <c r="C68" s="19" t="n">
        <v>28621.88</v>
      </c>
      <c r="D68" s="19" t="n">
        <v>28621.88</v>
      </c>
      <c r="E68" s="19" t="n">
        <v>28621.88</v>
      </c>
      <c r="F68" s="19" t="n">
        <v>32069.59</v>
      </c>
    </row>
    <row r="69">
      <c r="B69" s="18" t="inlineStr">
        <is>
          <t>902000 Taxes Paid</t>
        </is>
      </c>
      <c r="C69" s="19" t="n">
        <v>0</v>
      </c>
      <c r="D69" s="19" t="n">
        <v>5143</v>
      </c>
      <c r="E69" s="19" t="n">
        <v>0</v>
      </c>
      <c r="F69" s="19" t="n">
        <v>0</v>
      </c>
    </row>
    <row r="70">
      <c r="B70" s="18" t="inlineStr">
        <is>
          <t>903000 Property taxes</t>
        </is>
      </c>
      <c r="C70" s="19" t="n">
        <v>3673</v>
      </c>
      <c r="D70" s="19" t="n">
        <v>3673</v>
      </c>
      <c r="E70" s="19" t="n">
        <v>3673</v>
      </c>
      <c r="F70" s="19" t="n">
        <v>3673</v>
      </c>
    </row>
    <row r="71">
      <c r="B71" s="18" t="inlineStr">
        <is>
          <t>Cost of Goods Sold</t>
        </is>
      </c>
      <c r="C71" s="19" t="n">
        <v>0</v>
      </c>
      <c r="D71" s="19" t="n">
        <v>0</v>
      </c>
      <c r="E71" s="19" t="n">
        <v>0</v>
      </c>
      <c r="F71" s="19" t="n">
        <v>0</v>
      </c>
    </row>
    <row r="72">
      <c r="B72" s="18" t="inlineStr">
        <is>
          <t>Cost of goods sold</t>
        </is>
      </c>
      <c r="C72" s="19" t="n">
        <v>0</v>
      </c>
      <c r="D72" s="19" t="n">
        <v>0</v>
      </c>
      <c r="E72" s="19" t="n">
        <v>0</v>
      </c>
      <c r="F72" s="19" t="n">
        <v>0</v>
      </c>
    </row>
    <row r="73">
      <c r="B73" s="18" t="inlineStr">
        <is>
          <t>Expenses</t>
        </is>
      </c>
      <c r="C73" s="19" t="n">
        <v>0</v>
      </c>
      <c r="D73" s="19" t="n">
        <v>0</v>
      </c>
      <c r="E73" s="19" t="n">
        <v>0</v>
      </c>
      <c r="F73" s="19" t="n">
        <v>0</v>
      </c>
    </row>
    <row r="74">
      <c r="B74" s="18" t="inlineStr">
        <is>
          <t>Gross Profit</t>
        </is>
      </c>
      <c r="C74" s="19" t="n">
        <v>1044851.99</v>
      </c>
      <c r="D74" s="19" t="n">
        <v>930956.0599999999</v>
      </c>
      <c r="E74" s="19" t="n">
        <v>911950.1099999999</v>
      </c>
      <c r="F74" s="19" t="n">
        <v>850941.21</v>
      </c>
    </row>
    <row r="75">
      <c r="B75" s="18" t="inlineStr">
        <is>
          <t>Income</t>
        </is>
      </c>
      <c r="C75" s="19" t="n">
        <v>0</v>
      </c>
      <c r="D75" s="19" t="n">
        <v>0</v>
      </c>
      <c r="E75" s="19" t="n">
        <v>0</v>
      </c>
      <c r="F75" s="19" t="n">
        <v>0</v>
      </c>
    </row>
    <row r="76">
      <c r="B76" s="18" t="inlineStr">
        <is>
          <t>Net Income</t>
        </is>
      </c>
      <c r="C76" s="19" t="n">
        <v>36458.39999999995</v>
      </c>
      <c r="D76" s="19" t="n">
        <v>16644.91999999991</v>
      </c>
      <c r="E76" s="19" t="n">
        <v>-15019.90000000011</v>
      </c>
      <c r="F76" s="19" t="n">
        <v>-9525.800000000192</v>
      </c>
    </row>
    <row r="77">
      <c r="B77" s="18" t="inlineStr">
        <is>
          <t>Net Operating Income</t>
        </is>
      </c>
      <c r="C77" s="19" t="n">
        <v>99364.31999999996</v>
      </c>
      <c r="D77" s="19" t="n">
        <v>84748.39999999991</v>
      </c>
      <c r="E77" s="19" t="n">
        <v>48151.75999999989</v>
      </c>
      <c r="F77" s="19" t="n">
        <v>53110.5399999998</v>
      </c>
    </row>
    <row r="78">
      <c r="B78" s="18" t="inlineStr">
        <is>
          <t>Net Other Income</t>
        </is>
      </c>
      <c r="C78" s="19" t="n">
        <v>-62905.92</v>
      </c>
      <c r="D78" s="19" t="n">
        <v>-68103.48</v>
      </c>
      <c r="E78" s="19" t="n">
        <v>-63171.66</v>
      </c>
      <c r="F78" s="19" t="n">
        <v>-62636.34</v>
      </c>
    </row>
    <row r="79">
      <c r="B79" s="18" t="inlineStr">
        <is>
          <t>Other Expenses</t>
        </is>
      </c>
      <c r="C79" s="19" t="n">
        <v>0</v>
      </c>
      <c r="D79" s="19" t="n">
        <v>0</v>
      </c>
      <c r="E79" s="19" t="n">
        <v>0</v>
      </c>
      <c r="F79" s="19" t="n">
        <v>0</v>
      </c>
    </row>
    <row r="80">
      <c r="B80" s="18" t="inlineStr">
        <is>
          <t>Total 401000 Sessions</t>
        </is>
      </c>
      <c r="C80" s="19" t="n">
        <v>1000203.99</v>
      </c>
      <c r="D80" s="19" t="n">
        <v>866507.65</v>
      </c>
      <c r="E80" s="19" t="n">
        <v>867748.3999999999</v>
      </c>
      <c r="F80" s="19" t="n">
        <v>790938.8199999999</v>
      </c>
    </row>
    <row r="81">
      <c r="B81" s="18" t="inlineStr">
        <is>
          <t>Total 403000 Breakage Revenue</t>
        </is>
      </c>
      <c r="C81" s="19" t="n">
        <v>139780.94</v>
      </c>
      <c r="D81" s="19" t="n">
        <v>155452.01</v>
      </c>
      <c r="E81" s="19" t="n">
        <v>132350.01</v>
      </c>
      <c r="F81" s="19" t="n">
        <v>142563.17</v>
      </c>
    </row>
    <row r="82">
      <c r="B82" s="18" t="inlineStr">
        <is>
          <t>Total 601000 Sales &amp; Marketing</t>
        </is>
      </c>
      <c r="C82" s="19" t="n">
        <v>27740.18</v>
      </c>
      <c r="D82" s="19" t="n">
        <v>27007.49</v>
      </c>
      <c r="E82" s="19" t="n">
        <v>16681.8</v>
      </c>
      <c r="F82" s="19" t="n">
        <v>5975.58</v>
      </c>
    </row>
    <row r="83">
      <c r="B83" s="18" t="inlineStr">
        <is>
          <t>Total 602000 Payroll</t>
        </is>
      </c>
      <c r="C83" s="19" t="n">
        <v>681232.98</v>
      </c>
      <c r="D83" s="19" t="n">
        <v>590412.0599999999</v>
      </c>
      <c r="E83" s="19" t="n">
        <v>628953.8100000001</v>
      </c>
      <c r="F83" s="19" t="n">
        <v>576480.9800000001</v>
      </c>
    </row>
    <row r="84">
      <c r="B84" s="18" t="inlineStr">
        <is>
          <t>Total 604000 Professional Fees</t>
        </is>
      </c>
      <c r="C84" s="19" t="n">
        <v>42733.79</v>
      </c>
      <c r="D84" s="19" t="n">
        <v>24202.3</v>
      </c>
      <c r="E84" s="19" t="n">
        <v>22556.84</v>
      </c>
      <c r="F84" s="19" t="n">
        <v>25366</v>
      </c>
    </row>
    <row r="85">
      <c r="B85" s="18" t="inlineStr">
        <is>
          <t>Total 616000 Utilities</t>
        </is>
      </c>
      <c r="C85" s="19" t="n">
        <v>7087.42</v>
      </c>
      <c r="D85" s="19" t="n">
        <v>9973.09</v>
      </c>
      <c r="E85" s="19" t="n">
        <v>7034.72</v>
      </c>
      <c r="F85" s="19" t="n">
        <v>7270.22</v>
      </c>
    </row>
    <row r="86">
      <c r="B86" s="18" t="inlineStr">
        <is>
          <t>Total 700000 Property Costs</t>
        </is>
      </c>
      <c r="C86" s="19" t="n">
        <v>147113.46</v>
      </c>
      <c r="D86" s="19" t="n">
        <v>146344.65</v>
      </c>
      <c r="E86" s="19" t="n">
        <v>147382.66</v>
      </c>
      <c r="F86" s="19" t="n">
        <v>148059.43</v>
      </c>
    </row>
    <row r="87">
      <c r="B87" s="18" t="inlineStr">
        <is>
          <t>Total Cost of Goods Sold</t>
        </is>
      </c>
      <c r="C87" s="19" t="n">
        <v>38009.85</v>
      </c>
      <c r="D87" s="19" t="n">
        <v>38497.03</v>
      </c>
      <c r="E87" s="19" t="n">
        <v>34960.53</v>
      </c>
      <c r="F87" s="19" t="n">
        <v>36936.49000000001</v>
      </c>
    </row>
    <row r="88">
      <c r="B88" s="18" t="inlineStr">
        <is>
          <t>Total Cost of goods sold</t>
        </is>
      </c>
      <c r="C88" s="19" t="n">
        <v>10902.4</v>
      </c>
      <c r="D88" s="19" t="n">
        <v>9574.799999999999</v>
      </c>
      <c r="E88" s="19" t="n">
        <v>8193.700000000001</v>
      </c>
      <c r="F88" s="19" t="n">
        <v>8508</v>
      </c>
    </row>
    <row r="89">
      <c r="B89" s="18" t="inlineStr">
        <is>
          <t>Total Expenses</t>
        </is>
      </c>
      <c r="C89" s="19" t="n">
        <v>945487.6700000002</v>
      </c>
      <c r="D89" s="19" t="n">
        <v>846207.66</v>
      </c>
      <c r="E89" s="19" t="n">
        <v>863798.3500000001</v>
      </c>
      <c r="F89" s="19" t="n">
        <v>797830.6700000002</v>
      </c>
    </row>
    <row r="90">
      <c r="B90" s="18" t="inlineStr">
        <is>
          <t>Total Income</t>
        </is>
      </c>
      <c r="C90" s="19" t="n">
        <v>1082861.84</v>
      </c>
      <c r="D90" s="19" t="n">
        <v>969453.09</v>
      </c>
      <c r="E90" s="19" t="n">
        <v>946910.6399999999</v>
      </c>
      <c r="F90" s="19" t="n">
        <v>887877.7</v>
      </c>
    </row>
    <row r="91">
      <c r="B91" s="18" t="inlineStr">
        <is>
          <t>Total Other Expenses</t>
        </is>
      </c>
      <c r="C91" s="19" t="n">
        <v>62905.92</v>
      </c>
      <c r="D91" s="19" t="n">
        <v>68103.48</v>
      </c>
      <c r="E91" s="19" t="n">
        <v>63171.66</v>
      </c>
      <c r="F91" s="19" t="n">
        <v>62636.34</v>
      </c>
    </row>
    <row r="94" ht="16.05" customHeight="1" s="142">
      <c r="B94" s="10" t="inlineStr">
        <is>
          <t>Balance Sheet</t>
        </is>
      </c>
      <c r="C94" s="11" t="n"/>
      <c r="D94" s="11" t="n"/>
      <c r="E94" s="11" t="n"/>
      <c r="F94" s="11" t="n"/>
      <c r="G94" s="11" t="n"/>
      <c r="H94" s="11" t="n"/>
    </row>
    <row r="95">
      <c r="B95" s="15" t="inlineStr">
        <is>
          <t>Account</t>
        </is>
      </c>
      <c r="C95" s="14" t="inlineStr">
        <is>
          <t>Jan 2026</t>
        </is>
      </c>
      <c r="D95" s="14" t="inlineStr">
        <is>
          <t>Feb 2026</t>
        </is>
      </c>
      <c r="E95" s="14" t="inlineStr">
        <is>
          <t>Mar 2026</t>
        </is>
      </c>
      <c r="F95" s="14" t="inlineStr">
        <is>
          <t>Apr 2026</t>
        </is>
      </c>
    </row>
    <row r="96">
      <c r="B96" s="18" t="inlineStr">
        <is>
          <t>101000 Chase Checking - 1580</t>
        </is>
      </c>
      <c r="C96" s="19" t="n">
        <v>52004.13</v>
      </c>
      <c r="D96" s="19" t="n">
        <v>121193.63</v>
      </c>
      <c r="E96" s="19" t="n">
        <v>125540.09</v>
      </c>
      <c r="F96" s="19" t="n">
        <v>359704.82</v>
      </c>
    </row>
    <row r="97">
      <c r="B97" s="18" t="inlineStr">
        <is>
          <t>109000 Bill.com Money Out Clearing</t>
        </is>
      </c>
      <c r="C97" s="19" t="n">
        <v>0</v>
      </c>
      <c r="D97" s="19" t="n">
        <v>0</v>
      </c>
      <c r="E97" s="19" t="n">
        <v>0</v>
      </c>
      <c r="F97" s="19" t="n">
        <v>92.28</v>
      </c>
    </row>
    <row r="98">
      <c r="B98" s="18" t="inlineStr">
        <is>
          <t>120000 Accounts receivable (A/R)</t>
        </is>
      </c>
      <c r="C98" s="19" t="n">
        <v>3540.52</v>
      </c>
      <c r="D98" s="19" t="n">
        <v>3540.52</v>
      </c>
      <c r="E98" s="19" t="n">
        <v>0</v>
      </c>
      <c r="F98" s="19" t="n">
        <v>0</v>
      </c>
    </row>
    <row r="99">
      <c r="B99" s="18" t="inlineStr">
        <is>
          <t>131100 Prepaid expenses</t>
        </is>
      </c>
      <c r="C99" s="19" t="n">
        <v>21582.13</v>
      </c>
      <c r="D99" s="19" t="n">
        <v>13839.01</v>
      </c>
      <c r="E99" s="19" t="n">
        <v>15405.77</v>
      </c>
      <c r="F99" s="19" t="n">
        <v>-96.79000000000001</v>
      </c>
    </row>
    <row r="100">
      <c r="B100" s="18" t="inlineStr">
        <is>
          <t>133100 Merchant Clearing - Classpass</t>
        </is>
      </c>
      <c r="C100" s="19" t="n">
        <v>107730.22</v>
      </c>
      <c r="D100" s="19" t="n">
        <v>86444.78999999999</v>
      </c>
      <c r="E100" s="19" t="n">
        <v>107051.7</v>
      </c>
      <c r="F100" s="19" t="n">
        <v>98428.17999999999</v>
      </c>
    </row>
    <row r="101">
      <c r="B101" s="18" t="inlineStr">
        <is>
          <t>133200 Merchant Clearing - Mindbody</t>
        </is>
      </c>
      <c r="C101" s="19" t="n">
        <v>22618.37</v>
      </c>
      <c r="D101" s="19" t="n">
        <v>51166.59</v>
      </c>
      <c r="E101" s="19" t="n">
        <v>410.61</v>
      </c>
      <c r="F101" s="19" t="n">
        <v>11249.72</v>
      </c>
    </row>
    <row r="102">
      <c r="B102" s="18" t="inlineStr">
        <is>
          <t>133300 Merchant Clearing - Wellhub</t>
        </is>
      </c>
      <c r="C102" s="19" t="n">
        <v>4668.97</v>
      </c>
      <c r="D102" s="19" t="n">
        <v>2509.23</v>
      </c>
      <c r="E102" s="19" t="n">
        <v>4760.2</v>
      </c>
      <c r="F102" s="19" t="n">
        <v>4501.03</v>
      </c>
    </row>
    <row r="103">
      <c r="B103" s="18" t="inlineStr">
        <is>
          <t>139100 Inventory Asset</t>
        </is>
      </c>
      <c r="C103" s="19" t="n">
        <v>35680.04</v>
      </c>
      <c r="D103" s="19" t="n">
        <v>30928.8</v>
      </c>
      <c r="E103" s="19" t="n">
        <v>35468.39</v>
      </c>
      <c r="F103" s="19" t="n">
        <v>31477.23</v>
      </c>
    </row>
    <row r="104">
      <c r="B104" s="18" t="inlineStr">
        <is>
          <t>150000 Fixed Assets</t>
        </is>
      </c>
      <c r="C104" s="19" t="n">
        <v>0</v>
      </c>
      <c r="D104" s="19" t="n">
        <v>0</v>
      </c>
      <c r="E104" s="19" t="n">
        <v>0</v>
      </c>
      <c r="F104" s="19" t="n">
        <v>0</v>
      </c>
    </row>
    <row r="105">
      <c r="B105" s="18" t="inlineStr">
        <is>
          <t>151000 Furniture &amp; Fixtures</t>
        </is>
      </c>
      <c r="C105" s="19" t="n">
        <v>130477.89</v>
      </c>
      <c r="D105" s="19" t="n">
        <v>127980.49</v>
      </c>
      <c r="E105" s="19" t="n">
        <v>127980.49</v>
      </c>
      <c r="F105" s="19" t="n">
        <v>127980.49</v>
      </c>
    </row>
    <row r="106">
      <c r="B106" s="18" t="inlineStr">
        <is>
          <t>152000 Computers</t>
        </is>
      </c>
      <c r="C106" s="19" t="n">
        <v>31309.14</v>
      </c>
      <c r="D106" s="19" t="n">
        <v>31309.14</v>
      </c>
      <c r="E106" s="19" t="n">
        <v>31309.14</v>
      </c>
      <c r="F106" s="19" t="n">
        <v>31309.14</v>
      </c>
    </row>
    <row r="107">
      <c r="B107" s="18" t="inlineStr">
        <is>
          <t>153000 Pilates Equipment</t>
        </is>
      </c>
      <c r="C107" s="19" t="n">
        <v>856876.51</v>
      </c>
      <c r="D107" s="19" t="n">
        <v>856876.51</v>
      </c>
      <c r="E107" s="19" t="n">
        <v>856876.51</v>
      </c>
      <c r="F107" s="19" t="n">
        <v>856876.51</v>
      </c>
    </row>
    <row r="108">
      <c r="B108" s="18" t="inlineStr">
        <is>
          <t>154000 Large Equipments</t>
        </is>
      </c>
      <c r="C108" s="19" t="n">
        <v>17521.17</v>
      </c>
      <c r="D108" s="19" t="n">
        <v>17521.17</v>
      </c>
      <c r="E108" s="19" t="n">
        <v>17521.17</v>
      </c>
      <c r="F108" s="19" t="n">
        <v>17521.17</v>
      </c>
    </row>
    <row r="109">
      <c r="B109" s="18" t="inlineStr">
        <is>
          <t>155000 Leasehold Improvements</t>
        </is>
      </c>
      <c r="C109" s="19" t="n">
        <v>0</v>
      </c>
      <c r="D109" s="19" t="n">
        <v>0</v>
      </c>
      <c r="E109" s="19" t="n">
        <v>0</v>
      </c>
      <c r="F109" s="19" t="n">
        <v>0</v>
      </c>
    </row>
    <row r="110">
      <c r="B110" s="18" t="inlineStr">
        <is>
          <t>155001 Leasehold Improvements - Berkeley</t>
        </is>
      </c>
      <c r="C110" s="19" t="n">
        <v>57031.28</v>
      </c>
      <c r="D110" s="19" t="n">
        <v>57031.28</v>
      </c>
      <c r="E110" s="19" t="n">
        <v>57031.28</v>
      </c>
      <c r="F110" s="19" t="n">
        <v>57031.28</v>
      </c>
    </row>
    <row r="111">
      <c r="B111" s="18" t="inlineStr">
        <is>
          <t>155004 Leasehold Improvements - Danville</t>
        </is>
      </c>
      <c r="C111" s="19" t="n">
        <v>214322.14</v>
      </c>
      <c r="D111" s="19" t="n">
        <v>214322.14</v>
      </c>
      <c r="E111" s="19" t="n">
        <v>214322.14</v>
      </c>
      <c r="F111" s="19" t="n">
        <v>214322.14</v>
      </c>
    </row>
    <row r="112">
      <c r="B112" s="18" t="inlineStr">
        <is>
          <t>155005 Leasehold Improvements - Lafayette</t>
        </is>
      </c>
      <c r="C112" s="19" t="n">
        <v>121910</v>
      </c>
      <c r="D112" s="19" t="n">
        <v>121910</v>
      </c>
      <c r="E112" s="19" t="n">
        <v>121910</v>
      </c>
      <c r="F112" s="19" t="n">
        <v>121910</v>
      </c>
    </row>
    <row r="113">
      <c r="B113" s="18" t="inlineStr">
        <is>
          <t>155006 Leasehold Improvements - Marin</t>
        </is>
      </c>
      <c r="C113" s="19" t="n">
        <v>83300</v>
      </c>
      <c r="D113" s="19" t="n">
        <v>83300</v>
      </c>
      <c r="E113" s="19" t="n">
        <v>83300</v>
      </c>
      <c r="F113" s="19" t="n">
        <v>83300</v>
      </c>
    </row>
    <row r="114">
      <c r="B114" s="18" t="inlineStr">
        <is>
          <t>155008 Leasehold Improvements - Ocean Park</t>
        </is>
      </c>
      <c r="C114" s="19" t="n">
        <v>122865.78</v>
      </c>
      <c r="D114" s="19" t="n">
        <v>122865.78</v>
      </c>
      <c r="E114" s="19" t="n">
        <v>122865.78</v>
      </c>
      <c r="F114" s="19" t="n">
        <v>122865.78</v>
      </c>
    </row>
    <row r="115">
      <c r="B115" s="18" t="inlineStr">
        <is>
          <t>155010 Leasehold Improvements - Russian Hill</t>
        </is>
      </c>
      <c r="C115" s="19" t="n">
        <v>164830.92</v>
      </c>
      <c r="D115" s="19" t="n">
        <v>164830.92</v>
      </c>
      <c r="E115" s="19" t="n">
        <v>164830.92</v>
      </c>
      <c r="F115" s="19" t="n">
        <v>164830.92</v>
      </c>
    </row>
    <row r="116">
      <c r="B116" s="18" t="inlineStr">
        <is>
          <t>155011 Leasehold Improvements - Santa Barbara</t>
        </is>
      </c>
      <c r="C116" s="19" t="n">
        <v>134926.64</v>
      </c>
      <c r="D116" s="19" t="n">
        <v>135771.14</v>
      </c>
      <c r="E116" s="19" t="n">
        <v>135771.14</v>
      </c>
      <c r="F116" s="19" t="n">
        <v>135771.14</v>
      </c>
    </row>
    <row r="117">
      <c r="B117" s="18" t="inlineStr">
        <is>
          <t>155012 Leasehold Improvements- Culver</t>
        </is>
      </c>
      <c r="C117" s="19" t="n">
        <v>198250.55</v>
      </c>
      <c r="D117" s="19" t="n">
        <v>198250.55</v>
      </c>
      <c r="E117" s="19" t="n">
        <v>198250.55</v>
      </c>
      <c r="F117" s="19" t="n">
        <v>198250.55</v>
      </c>
    </row>
    <row r="118">
      <c r="B118" s="18" t="inlineStr">
        <is>
          <t>155014 Leasehold Improvements- Santa Monica</t>
        </is>
      </c>
      <c r="C118" s="19" t="n">
        <v>66120</v>
      </c>
      <c r="D118" s="19" t="n">
        <v>66120</v>
      </c>
      <c r="E118" s="19" t="n">
        <v>66120</v>
      </c>
      <c r="F118" s="19" t="n">
        <v>67155.5</v>
      </c>
    </row>
    <row r="119">
      <c r="B119" s="18" t="inlineStr">
        <is>
          <t>155015 Leasehold Improvements- Westportal</t>
        </is>
      </c>
      <c r="C119" s="19" t="n">
        <v>82312.14999999999</v>
      </c>
      <c r="D119" s="19" t="n">
        <v>88562.14999999999</v>
      </c>
      <c r="E119" s="19" t="n">
        <v>112637.15</v>
      </c>
      <c r="F119" s="19" t="n">
        <v>112637.15</v>
      </c>
    </row>
    <row r="120">
      <c r="B120" s="18" t="inlineStr">
        <is>
          <t>155016 Leasehold Improvements- Westwood</t>
        </is>
      </c>
      <c r="C120" s="19" t="n">
        <v>20090</v>
      </c>
      <c r="D120" s="19" t="n">
        <v>20090</v>
      </c>
      <c r="E120" s="19" t="n">
        <v>20090</v>
      </c>
      <c r="F120" s="19" t="n">
        <v>20090</v>
      </c>
    </row>
    <row r="121">
      <c r="B121" s="18" t="inlineStr">
        <is>
          <t>159000 Accumulated depreciation</t>
        </is>
      </c>
      <c r="C121" s="19" t="n">
        <v>0</v>
      </c>
      <c r="D121" s="19" t="n">
        <v>0</v>
      </c>
      <c r="E121" s="19" t="n">
        <v>0</v>
      </c>
      <c r="F121" s="19" t="n">
        <v>0</v>
      </c>
    </row>
    <row r="122">
      <c r="B122" s="18" t="inlineStr">
        <is>
          <t>159001 Accumulated Furniture &amp; Fittings</t>
        </is>
      </c>
      <c r="C122" s="19" t="n">
        <v>-13159.67</v>
      </c>
      <c r="D122" s="19" t="n">
        <v>-14683.23</v>
      </c>
      <c r="E122" s="19" t="n">
        <v>-16206.79</v>
      </c>
      <c r="F122" s="19" t="n">
        <v>-17730.35</v>
      </c>
    </row>
    <row r="123">
      <c r="B123" s="18" t="inlineStr">
        <is>
          <t>159002 Accumulated Computer</t>
        </is>
      </c>
      <c r="C123" s="19" t="n">
        <v>-5084.43</v>
      </c>
      <c r="D123" s="19" t="n">
        <v>-5606.26</v>
      </c>
      <c r="E123" s="19" t="n">
        <v>-6128.09</v>
      </c>
      <c r="F123" s="19" t="n">
        <v>-6649.92</v>
      </c>
    </row>
    <row r="124">
      <c r="B124" s="18" t="inlineStr">
        <is>
          <t>159003 Accumulated Pilates Equipment</t>
        </is>
      </c>
      <c r="C124" s="19" t="n">
        <v>-113334.7</v>
      </c>
      <c r="D124" s="19" t="n">
        <v>-123535.61</v>
      </c>
      <c r="E124" s="19" t="n">
        <v>-133736.52</v>
      </c>
      <c r="F124" s="19" t="n">
        <v>-143937.43</v>
      </c>
    </row>
    <row r="125">
      <c r="B125" s="18" t="inlineStr">
        <is>
          <t>159004 Accumulated Mach &amp; Equip</t>
        </is>
      </c>
      <c r="C125" s="19" t="n">
        <v>-2752.2</v>
      </c>
      <c r="D125" s="19" t="n">
        <v>-2960.78</v>
      </c>
      <c r="E125" s="19" t="n">
        <v>-3169.36</v>
      </c>
      <c r="F125" s="19" t="n">
        <v>-3377.94</v>
      </c>
    </row>
    <row r="126">
      <c r="B126" s="18" t="inlineStr">
        <is>
          <t>159005 Accumulated Leasehold Improvements</t>
        </is>
      </c>
      <c r="C126" s="19" t="n">
        <v>-181961.39</v>
      </c>
      <c r="D126" s="19" t="n">
        <v>-200172.11</v>
      </c>
      <c r="E126" s="19" t="n">
        <v>-218594.01</v>
      </c>
      <c r="F126" s="19" t="n">
        <v>-237032.88</v>
      </c>
    </row>
    <row r="127">
      <c r="B127" s="18" t="inlineStr">
        <is>
          <t>160000 Intangible Assets</t>
        </is>
      </c>
      <c r="C127" s="19" t="n">
        <v>0</v>
      </c>
      <c r="D127" s="19" t="n">
        <v>0</v>
      </c>
      <c r="E127" s="19" t="n">
        <v>0</v>
      </c>
      <c r="F127" s="19" t="n">
        <v>0</v>
      </c>
    </row>
    <row r="128">
      <c r="B128" s="18" t="inlineStr">
        <is>
          <t>161000 Goodwill</t>
        </is>
      </c>
      <c r="C128" s="19" t="n">
        <v>9038225</v>
      </c>
      <c r="D128" s="19" t="n">
        <v>9038225</v>
      </c>
      <c r="E128" s="19" t="n">
        <v>9038225</v>
      </c>
      <c r="F128" s="19" t="n">
        <v>9038225</v>
      </c>
    </row>
    <row r="129">
      <c r="B129" s="18" t="inlineStr">
        <is>
          <t>171000 Security deposits</t>
        </is>
      </c>
      <c r="C129" s="19" t="n">
        <v>185667.2</v>
      </c>
      <c r="D129" s="19" t="n">
        <v>185667.2</v>
      </c>
      <c r="E129" s="19" t="n">
        <v>185667.2</v>
      </c>
      <c r="F129" s="19" t="n">
        <v>185667.2</v>
      </c>
    </row>
    <row r="130">
      <c r="B130" s="18" t="inlineStr">
        <is>
          <t>172000 ROU Asset - Studio Leases</t>
        </is>
      </c>
      <c r="C130" s="19" t="n">
        <v>10855225.66</v>
      </c>
      <c r="D130" s="19" t="n">
        <v>10855225.66</v>
      </c>
      <c r="E130" s="19" t="n">
        <v>10855225.66</v>
      </c>
      <c r="F130" s="19" t="n">
        <v>10855225.66</v>
      </c>
    </row>
    <row r="131">
      <c r="B131" s="18" t="inlineStr">
        <is>
          <t>172500 ROU Asset - Studio Leases - A/D</t>
        </is>
      </c>
      <c r="C131" s="19" t="n">
        <v>-1376286.48</v>
      </c>
      <c r="D131" s="19" t="n">
        <v>-1502759.01</v>
      </c>
      <c r="E131" s="19" t="n">
        <v>-1629231.54</v>
      </c>
      <c r="F131" s="19" t="n">
        <v>-1755704.07</v>
      </c>
    </row>
    <row r="132">
      <c r="B132" s="18" t="inlineStr">
        <is>
          <t>210000 Accounts Payable (A/P)</t>
        </is>
      </c>
      <c r="C132" s="19" t="n">
        <v>28001.3</v>
      </c>
      <c r="D132" s="19" t="n">
        <v>94734.44</v>
      </c>
      <c r="E132" s="19" t="n">
        <v>295553.47</v>
      </c>
      <c r="F132" s="19" t="n">
        <v>359784.03</v>
      </c>
    </row>
    <row r="133">
      <c r="B133" s="18" t="inlineStr">
        <is>
          <t>222000 Chase Credit Cards</t>
        </is>
      </c>
      <c r="C133" s="19" t="n">
        <v>0</v>
      </c>
      <c r="D133" s="19" t="n">
        <v>0</v>
      </c>
      <c r="E133" s="19" t="n">
        <v>0</v>
      </c>
      <c r="F133" s="19" t="n">
        <v>0</v>
      </c>
    </row>
    <row r="134">
      <c r="B134" s="18" t="inlineStr">
        <is>
          <t>222001 A. GOLDSMITH (...4303) RUSSIAN HILL</t>
        </is>
      </c>
      <c r="C134" s="19" t="n">
        <v>2404.1</v>
      </c>
      <c r="D134" s="19" t="n">
        <v>2994.76</v>
      </c>
      <c r="E134" s="19" t="n">
        <v>4843.57</v>
      </c>
      <c r="F134" s="19" t="n">
        <v>1238.75</v>
      </c>
    </row>
    <row r="135">
      <c r="B135" s="18" t="inlineStr">
        <is>
          <t>222002 B. BASHAW (....2606) DANVILLE</t>
        </is>
      </c>
      <c r="C135" s="19" t="n">
        <v>1565.39</v>
      </c>
      <c r="D135" s="19" t="n">
        <v>1718.44</v>
      </c>
      <c r="E135" s="19" t="n">
        <v>1792.34</v>
      </c>
      <c r="F135" s="19" t="n">
        <v>1825.35</v>
      </c>
    </row>
    <row r="136">
      <c r="B136" s="18" t="inlineStr">
        <is>
          <t>222003 C. CLAY (....5523) OCEAN PARK</t>
        </is>
      </c>
      <c r="C136" s="19" t="n">
        <v>151.41</v>
      </c>
      <c r="D136" s="19" t="n">
        <v>739.46</v>
      </c>
      <c r="E136" s="19" t="n">
        <v>830.14</v>
      </c>
      <c r="F136" s="19" t="n">
        <v>1125.39</v>
      </c>
    </row>
    <row r="137">
      <c r="B137" s="18" t="inlineStr">
        <is>
          <t>222004 C. MARTIN (...8410) CULVER CITY</t>
        </is>
      </c>
      <c r="C137" s="19" t="n">
        <v>155.81</v>
      </c>
      <c r="D137" s="19" t="n">
        <v>146.71</v>
      </c>
      <c r="E137" s="19" t="n">
        <v>400.95</v>
      </c>
      <c r="F137" s="19" t="n">
        <v>437.25</v>
      </c>
    </row>
    <row r="138">
      <c r="B138" s="18" t="inlineStr">
        <is>
          <t>222005 C. WARDEIN (....5580) H/O</t>
        </is>
      </c>
      <c r="C138" s="19" t="n">
        <v>459.76</v>
      </c>
      <c r="D138" s="19" t="n">
        <v>314.95</v>
      </c>
      <c r="E138" s="19" t="n">
        <v>314.95</v>
      </c>
      <c r="F138" s="19" t="n">
        <v>314.95</v>
      </c>
    </row>
    <row r="139">
      <c r="B139" s="18" t="inlineStr">
        <is>
          <t>222006 G. FRIDENBERG (...4204) WESTWOOD - Inactive</t>
        </is>
      </c>
      <c r="C139" s="19" t="n">
        <v>0</v>
      </c>
      <c r="D139" s="19" t="n">
        <v>0</v>
      </c>
      <c r="E139" s="19" t="n">
        <v>0</v>
      </c>
      <c r="F139" s="19" t="n">
        <v>0</v>
      </c>
    </row>
    <row r="140">
      <c r="B140" s="18" t="inlineStr">
        <is>
          <t>222007 K. ABAD (...5110) LAFAYETTE</t>
        </is>
      </c>
      <c r="C140" s="19" t="n">
        <v>1619.02</v>
      </c>
      <c r="D140" s="19" t="n">
        <v>1118.99</v>
      </c>
      <c r="E140" s="19" t="n">
        <v>1021.98</v>
      </c>
      <c r="F140" s="19" t="n">
        <v>930.4</v>
      </c>
    </row>
    <row r="141">
      <c r="B141" s="18" t="inlineStr">
        <is>
          <t>222008 K. ROBINSON (...8230) H/O</t>
        </is>
      </c>
      <c r="C141" s="19" t="n">
        <v>21159.43</v>
      </c>
      <c r="D141" s="19" t="n">
        <v>23918.12</v>
      </c>
      <c r="E141" s="19" t="n">
        <v>18156.04</v>
      </c>
      <c r="F141" s="19" t="n">
        <v>5998.74</v>
      </c>
    </row>
    <row r="142">
      <c r="B142" s="18" t="inlineStr">
        <is>
          <t>222009 M. HATSUSHI (...2315) MARIN</t>
        </is>
      </c>
      <c r="C142" s="19" t="n">
        <v>232.75</v>
      </c>
      <c r="D142" s="19" t="n">
        <v>585.66</v>
      </c>
      <c r="E142" s="19" t="n">
        <v>155.91</v>
      </c>
      <c r="F142" s="19" t="n">
        <v>85.59999999999999</v>
      </c>
    </row>
    <row r="143">
      <c r="B143" s="18" t="inlineStr">
        <is>
          <t>222010 N. TEUBNER (...4931) SANTA MONICA</t>
        </is>
      </c>
      <c r="C143" s="19" t="n">
        <v>2369.32</v>
      </c>
      <c r="D143" s="19" t="n">
        <v>906.1900000000001</v>
      </c>
      <c r="E143" s="19" t="n">
        <v>484.21</v>
      </c>
      <c r="F143" s="19" t="n">
        <v>1369.6</v>
      </c>
    </row>
    <row r="144">
      <c r="B144" s="18" t="inlineStr">
        <is>
          <t>222011 P. KOENIGS (...5219) PRESIDIO HEIGHTS - Inactive</t>
        </is>
      </c>
      <c r="C144" s="19" t="n">
        <v>0</v>
      </c>
      <c r="D144" s="19" t="n">
        <v>0</v>
      </c>
      <c r="E144" s="19" t="n">
        <v>0</v>
      </c>
      <c r="F144" s="19" t="n">
        <v>0</v>
      </c>
    </row>
    <row r="145">
      <c r="B145" s="18" t="inlineStr">
        <is>
          <t>222012 S. CAAL-ROCA (...5045) BERKELEY</t>
        </is>
      </c>
      <c r="C145" s="19" t="n">
        <v>449.34</v>
      </c>
      <c r="D145" s="19" t="n">
        <v>802.67</v>
      </c>
      <c r="E145" s="19" t="n">
        <v>560.11</v>
      </c>
      <c r="F145" s="19" t="n">
        <v>632.59</v>
      </c>
    </row>
    <row r="146">
      <c r="B146" s="18" t="inlineStr">
        <is>
          <t>222013 LINDSEY HYSLOP (9212) SANTA BARBARA</t>
        </is>
      </c>
      <c r="C146" s="19" t="n">
        <v>838.09</v>
      </c>
      <c r="D146" s="19" t="n">
        <v>519.85</v>
      </c>
      <c r="E146" s="19" t="n">
        <v>598.58</v>
      </c>
      <c r="F146" s="19" t="n">
        <v>819.5</v>
      </c>
    </row>
    <row r="147">
      <c r="B147" s="18" t="inlineStr">
        <is>
          <t>222014 COSSU BRIDGET (..0566) PRESIDIO HEIGHTS</t>
        </is>
      </c>
      <c r="C147" s="19" t="n">
        <v>869.1900000000001</v>
      </c>
      <c r="D147" s="19" t="n">
        <v>393.95</v>
      </c>
      <c r="E147" s="19" t="n">
        <v>918.79</v>
      </c>
      <c r="F147" s="19" t="n">
        <v>433.36</v>
      </c>
    </row>
    <row r="148">
      <c r="B148" s="18" t="inlineStr">
        <is>
          <t>222015 BUCHANAN CIARA (..5486) WESTWOOD</t>
        </is>
      </c>
      <c r="C148" s="19" t="n">
        <v>654.3200000000001</v>
      </c>
      <c r="D148" s="19" t="n">
        <v>4167.3</v>
      </c>
      <c r="E148" s="19" t="n">
        <v>784.15</v>
      </c>
      <c r="F148" s="19" t="n">
        <v>712.97</v>
      </c>
    </row>
    <row r="149">
      <c r="B149" s="18" t="inlineStr">
        <is>
          <t>230000 Reimbursement Clearing</t>
        </is>
      </c>
      <c r="C149" s="19" t="n">
        <v>5300.54</v>
      </c>
      <c r="D149" s="19" t="n">
        <v>4988.51</v>
      </c>
      <c r="E149" s="19" t="n">
        <v>3465.98</v>
      </c>
      <c r="F149" s="19" t="n">
        <v>40</v>
      </c>
    </row>
    <row r="150">
      <c r="B150" s="18" t="inlineStr">
        <is>
          <t>232000 401k Liability</t>
        </is>
      </c>
      <c r="C150" s="19" t="n">
        <v>-14545.88</v>
      </c>
      <c r="D150" s="19" t="n">
        <v>-14545.88</v>
      </c>
      <c r="E150" s="19" t="n">
        <v>9623.860000000001</v>
      </c>
      <c r="F150" s="19" t="n">
        <v>11415.5</v>
      </c>
    </row>
    <row r="151">
      <c r="B151" s="18" t="inlineStr">
        <is>
          <t>233000 Payroll Liabilities</t>
        </is>
      </c>
      <c r="C151" s="19" t="n">
        <v>920.8</v>
      </c>
      <c r="D151" s="19" t="n">
        <v>920.8</v>
      </c>
      <c r="E151" s="19" t="n">
        <v>920.8</v>
      </c>
      <c r="F151" s="19" t="n">
        <v>920.8</v>
      </c>
    </row>
    <row r="152">
      <c r="B152" s="18" t="inlineStr">
        <is>
          <t>234000 Payroll Tax Liability</t>
        </is>
      </c>
      <c r="C152" s="19" t="n">
        <v>-26.9</v>
      </c>
      <c r="D152" s="19" t="n">
        <v>-26.9</v>
      </c>
      <c r="E152" s="19" t="n">
        <v>-26.9</v>
      </c>
      <c r="F152" s="19" t="n">
        <v>-26.9</v>
      </c>
    </row>
    <row r="153">
      <c r="B153" s="18" t="inlineStr">
        <is>
          <t>235100 Accrued Expense</t>
        </is>
      </c>
      <c r="C153" s="19" t="n">
        <v>18462.31</v>
      </c>
      <c r="D153" s="19" t="n">
        <v>18024.62</v>
      </c>
      <c r="E153" s="19" t="n">
        <v>17340.81</v>
      </c>
      <c r="F153" s="19" t="n">
        <v>17340.81</v>
      </c>
    </row>
    <row r="154">
      <c r="B154" s="18" t="inlineStr">
        <is>
          <t>235200 Deferred/Accrued Rent</t>
        </is>
      </c>
      <c r="C154" s="19" t="n">
        <v>0</v>
      </c>
      <c r="D154" s="19" t="n">
        <v>0</v>
      </c>
      <c r="E154" s="19" t="n">
        <v>0</v>
      </c>
      <c r="F154" s="19" t="n">
        <v>0</v>
      </c>
    </row>
    <row r="155">
      <c r="B155" s="18" t="inlineStr">
        <is>
          <t>235300 Accrued Payroll</t>
        </is>
      </c>
      <c r="C155" s="19" t="n">
        <v>217298.59</v>
      </c>
      <c r="D155" s="19" t="n">
        <v>212432.66</v>
      </c>
      <c r="E155" s="19" t="n">
        <v>35017.61</v>
      </c>
      <c r="F155" s="19" t="n">
        <v>63760.72</v>
      </c>
    </row>
    <row r="156">
      <c r="B156" s="18" t="inlineStr">
        <is>
          <t>236100 Sales Tax payable</t>
        </is>
      </c>
      <c r="C156" s="19" t="n">
        <v>11278.77</v>
      </c>
      <c r="D156" s="19" t="n">
        <v>13299.86</v>
      </c>
      <c r="E156" s="19" t="n">
        <v>14856.71</v>
      </c>
      <c r="F156" s="19" t="n">
        <v>16459.48</v>
      </c>
    </row>
    <row r="157">
      <c r="B157" s="18" t="inlineStr">
        <is>
          <t>237000 Deferred  Revenue</t>
        </is>
      </c>
      <c r="C157" s="19" t="n">
        <v>187235.71</v>
      </c>
      <c r="D157" s="19" t="n">
        <v>243652.95</v>
      </c>
      <c r="E157" s="19" t="n">
        <v>174025.69</v>
      </c>
      <c r="F157" s="19" t="n">
        <v>307306.98</v>
      </c>
    </row>
    <row r="158">
      <c r="B158" s="18" t="inlineStr">
        <is>
          <t>238000 Gift Card Liability</t>
        </is>
      </c>
      <c r="C158" s="19" t="n">
        <v>35052.38</v>
      </c>
      <c r="D158" s="19" t="n">
        <v>32468.38</v>
      </c>
      <c r="E158" s="19" t="n">
        <v>30855.38</v>
      </c>
      <c r="F158" s="19" t="n">
        <v>31760.38</v>
      </c>
    </row>
    <row r="159">
      <c r="B159" s="18" t="inlineStr">
        <is>
          <t>239000 ROU - Studio Lease Liabilities - S/T</t>
        </is>
      </c>
      <c r="C159" s="19" t="n">
        <v>1428793.11</v>
      </c>
      <c r="D159" s="19" t="n">
        <v>1433134.67</v>
      </c>
      <c r="E159" s="19" t="n">
        <v>1437486.06</v>
      </c>
      <c r="F159" s="19" t="n">
        <v>1441837.44</v>
      </c>
    </row>
    <row r="160">
      <c r="B160" s="18" t="inlineStr">
        <is>
          <t>239500 ROU - Studio Lease Liabilities - L/T</t>
        </is>
      </c>
      <c r="C160" s="19" t="n">
        <v>8336996.52</v>
      </c>
      <c r="D160" s="19" t="n">
        <v>8215965.64</v>
      </c>
      <c r="E160" s="19" t="n">
        <v>8094597.18</v>
      </c>
      <c r="F160" s="19" t="n">
        <v>7971922.65</v>
      </c>
    </row>
    <row r="161">
      <c r="B161" s="18" t="inlineStr">
        <is>
          <t>241000 Loan from Norbrook Inc</t>
        </is>
      </c>
      <c r="C161" s="19" t="n">
        <v>127318</v>
      </c>
      <c r="D161" s="19" t="n">
        <v>127318</v>
      </c>
      <c r="E161" s="19" t="n">
        <v>162318</v>
      </c>
      <c r="F161" s="19" t="n">
        <v>162318</v>
      </c>
    </row>
    <row r="162">
      <c r="B162" s="18" t="inlineStr">
        <is>
          <t>242000 MindBody Loan</t>
        </is>
      </c>
      <c r="C162" s="19" t="n">
        <v>0</v>
      </c>
      <c r="D162" s="19" t="n">
        <v>0</v>
      </c>
      <c r="E162" s="19" t="n">
        <v>0</v>
      </c>
      <c r="F162" s="19" t="n">
        <v>0</v>
      </c>
    </row>
    <row r="163">
      <c r="B163" s="18" t="inlineStr">
        <is>
          <t>242001 MindBody Loan - SM</t>
        </is>
      </c>
      <c r="C163" s="19" t="n">
        <v>128205.59</v>
      </c>
      <c r="D163" s="19" t="n">
        <v>109073.21</v>
      </c>
      <c r="E163" s="19" t="n">
        <v>79179.17999999999</v>
      </c>
      <c r="F163" s="19" t="n">
        <v>58962.71</v>
      </c>
    </row>
    <row r="164">
      <c r="B164" s="18" t="inlineStr">
        <is>
          <t>242001-1 MindBody Contra Loan - SM</t>
        </is>
      </c>
      <c r="C164" s="19" t="n">
        <v>-13615</v>
      </c>
      <c r="D164" s="19" t="n">
        <v>-9725</v>
      </c>
      <c r="E164" s="19" t="n">
        <v>-5835</v>
      </c>
      <c r="F164" s="19" t="n">
        <v>-1945</v>
      </c>
    </row>
    <row r="165">
      <c r="B165" s="18" t="inlineStr">
        <is>
          <t>242002 MindBody Loan - PH</t>
        </is>
      </c>
      <c r="C165" s="19" t="n">
        <v>81999.39</v>
      </c>
      <c r="D165" s="19" t="n">
        <v>54204.79</v>
      </c>
      <c r="E165" s="19" t="n">
        <v>39565.12</v>
      </c>
      <c r="F165" s="19" t="n">
        <v>13511.26</v>
      </c>
    </row>
    <row r="166">
      <c r="B166" s="18" t="inlineStr">
        <is>
          <t>242002-1 MindBody Contra Loan - PH</t>
        </is>
      </c>
      <c r="C166" s="19" t="n">
        <v>-9620</v>
      </c>
      <c r="D166" s="19" t="n">
        <v>-7215</v>
      </c>
      <c r="E166" s="19" t="n">
        <v>-4810</v>
      </c>
      <c r="F166" s="19" t="n">
        <v>-2405</v>
      </c>
    </row>
    <row r="167">
      <c r="B167" s="18" t="inlineStr">
        <is>
          <t>242003 MindBody Loan - LF</t>
        </is>
      </c>
      <c r="C167" s="19" t="n">
        <v>43749.59</v>
      </c>
      <c r="D167" s="19" t="n">
        <v>24394.6</v>
      </c>
      <c r="E167" s="19" t="n">
        <v>12903.68</v>
      </c>
      <c r="F167" s="19" t="n">
        <v>0</v>
      </c>
    </row>
    <row r="168">
      <c r="B168" s="18" t="inlineStr">
        <is>
          <t>242003-1 MindBody Contra Loan - LF</t>
        </is>
      </c>
      <c r="C168" s="19" t="n">
        <v>-5590.48</v>
      </c>
      <c r="D168" s="19" t="n">
        <v>-4192.85</v>
      </c>
      <c r="E168" s="19" t="n">
        <v>-2795.22</v>
      </c>
      <c r="F168" s="19" t="n">
        <v>0</v>
      </c>
    </row>
    <row r="169">
      <c r="B169" s="18" t="inlineStr">
        <is>
          <t>242004 MindBody Loan - MR</t>
        </is>
      </c>
      <c r="C169" s="19" t="n">
        <v>36540.39</v>
      </c>
      <c r="D169" s="19" t="n">
        <v>19598.8</v>
      </c>
      <c r="E169" s="19" t="n">
        <v>7646.27</v>
      </c>
      <c r="F169" s="19" t="n">
        <v>0</v>
      </c>
    </row>
    <row r="170">
      <c r="B170" s="18" t="inlineStr">
        <is>
          <t>242004-1 MindBody Contra Loan - MR</t>
        </is>
      </c>
      <c r="C170" s="19" t="n">
        <v>-6150.37</v>
      </c>
      <c r="D170" s="19" t="n">
        <v>-4783.62</v>
      </c>
      <c r="E170" s="19" t="n">
        <v>-3416.87</v>
      </c>
      <c r="F170" s="19" t="n">
        <v>0</v>
      </c>
    </row>
    <row r="171">
      <c r="B171" s="18" t="inlineStr">
        <is>
          <t>243000 Samson Loan</t>
        </is>
      </c>
      <c r="C171" s="19" t="n">
        <v>205426.16</v>
      </c>
      <c r="D171" s="19" t="n">
        <v>189034.12</v>
      </c>
      <c r="E171" s="19" t="n">
        <v>154505.72</v>
      </c>
      <c r="F171" s="19" t="n">
        <v>129045.5</v>
      </c>
    </row>
    <row r="172">
      <c r="B172" s="18" t="inlineStr">
        <is>
          <t>244000 Specialty Capital Loan</t>
        </is>
      </c>
      <c r="C172" s="19" t="n">
        <v>187921.05</v>
      </c>
      <c r="D172" s="19" t="n">
        <v>165407.89</v>
      </c>
      <c r="E172" s="19" t="n">
        <v>135078.94</v>
      </c>
      <c r="F172" s="19" t="n">
        <v>112565.78</v>
      </c>
    </row>
    <row r="173">
      <c r="B173" s="18" t="inlineStr">
        <is>
          <t>245000 Contingent  Liability</t>
        </is>
      </c>
      <c r="C173" s="19" t="n">
        <v>1300000</v>
      </c>
      <c r="D173" s="19" t="n">
        <v>1300000</v>
      </c>
      <c r="E173" s="19" t="n">
        <v>1300000</v>
      </c>
      <c r="F173" s="19" t="n">
        <v>1300000</v>
      </c>
    </row>
    <row r="174">
      <c r="B174" s="18" t="inlineStr">
        <is>
          <t>251000 Due to Cricket</t>
        </is>
      </c>
      <c r="C174" s="19" t="n">
        <v>97455.03999999999</v>
      </c>
      <c r="D174" s="19" t="n">
        <v>97455.03999999999</v>
      </c>
      <c r="E174" s="19" t="n">
        <v>97455.03999999999</v>
      </c>
      <c r="F174" s="19" t="n">
        <v>97455.03999999999</v>
      </c>
    </row>
    <row r="175">
      <c r="B175" s="18" t="inlineStr">
        <is>
          <t>309000 Norbrook Inc Investment</t>
        </is>
      </c>
      <c r="C175" s="19" t="n">
        <v>8425798</v>
      </c>
      <c r="D175" s="19" t="n">
        <v>8425798</v>
      </c>
      <c r="E175" s="19" t="n">
        <v>8425798</v>
      </c>
      <c r="F175" s="19" t="n">
        <v>8425798</v>
      </c>
    </row>
    <row r="176">
      <c r="B176" s="18" t="inlineStr">
        <is>
          <t>390000 Retained Earnings</t>
        </is>
      </c>
      <c r="C176" s="19" t="n">
        <v>13033.3</v>
      </c>
      <c r="D176" s="19" t="n">
        <v>13033.3</v>
      </c>
      <c r="E176" s="19" t="n">
        <v>13033.3</v>
      </c>
      <c r="F176" s="19" t="n">
        <v>13033.3</v>
      </c>
    </row>
    <row r="177">
      <c r="B177" s="18" t="inlineStr">
        <is>
          <t>ASSETS</t>
        </is>
      </c>
      <c r="C177" s="19" t="n">
        <v>0</v>
      </c>
      <c r="D177" s="19" t="n">
        <v>0</v>
      </c>
      <c r="E177" s="19" t="n">
        <v>0</v>
      </c>
      <c r="F177" s="19" t="n">
        <v>0</v>
      </c>
    </row>
    <row r="178">
      <c r="B178" s="18" t="inlineStr">
        <is>
          <t>Accounts Payable</t>
        </is>
      </c>
      <c r="C178" s="19" t="n">
        <v>0</v>
      </c>
      <c r="D178" s="19" t="n">
        <v>0</v>
      </c>
      <c r="E178" s="19" t="n">
        <v>0</v>
      </c>
      <c r="F178" s="19" t="n">
        <v>0</v>
      </c>
    </row>
    <row r="179">
      <c r="B179" s="18" t="inlineStr">
        <is>
          <t>Accounts Receivable</t>
        </is>
      </c>
      <c r="C179" s="19" t="n">
        <v>0</v>
      </c>
      <c r="D179" s="19" t="n">
        <v>0</v>
      </c>
      <c r="E179" s="19" t="n">
        <v>0</v>
      </c>
      <c r="F179" s="19" t="n">
        <v>0</v>
      </c>
    </row>
    <row r="180">
      <c r="B180" s="18" t="inlineStr">
        <is>
          <t>Bank Accounts</t>
        </is>
      </c>
      <c r="C180" s="19" t="n">
        <v>0</v>
      </c>
      <c r="D180" s="19" t="n">
        <v>0</v>
      </c>
      <c r="E180" s="19" t="n">
        <v>0</v>
      </c>
      <c r="F180" s="19" t="n">
        <v>0</v>
      </c>
    </row>
    <row r="181">
      <c r="B181" s="18" t="inlineStr">
        <is>
          <t>California Department of Tax and Fee Administration Payable</t>
        </is>
      </c>
      <c r="C181" s="19" t="n">
        <v>0</v>
      </c>
      <c r="D181" s="19" t="n">
        <v>0</v>
      </c>
      <c r="E181" s="19" t="n">
        <v>0</v>
      </c>
      <c r="F181" s="19" t="n">
        <v>0</v>
      </c>
    </row>
    <row r="182">
      <c r="B182" s="18" t="inlineStr">
        <is>
          <t>Credit Cards</t>
        </is>
      </c>
      <c r="C182" s="19" t="n">
        <v>0</v>
      </c>
      <c r="D182" s="19" t="n">
        <v>0</v>
      </c>
      <c r="E182" s="19" t="n">
        <v>0</v>
      </c>
      <c r="F182" s="19" t="n">
        <v>0</v>
      </c>
    </row>
    <row r="183">
      <c r="B183" s="18" t="inlineStr">
        <is>
          <t>Current Assets</t>
        </is>
      </c>
      <c r="C183" s="19" t="n">
        <v>0</v>
      </c>
      <c r="D183" s="19" t="n">
        <v>0</v>
      </c>
      <c r="E183" s="19" t="n">
        <v>0</v>
      </c>
      <c r="F183" s="19" t="n">
        <v>0</v>
      </c>
    </row>
    <row r="184">
      <c r="B184" s="18" t="inlineStr">
        <is>
          <t>Current Liabilities</t>
        </is>
      </c>
      <c r="C184" s="19" t="n">
        <v>0</v>
      </c>
      <c r="D184" s="19" t="n">
        <v>0</v>
      </c>
      <c r="E184" s="19" t="n">
        <v>0</v>
      </c>
      <c r="F184" s="19" t="n">
        <v>0</v>
      </c>
    </row>
    <row r="185">
      <c r="B185" s="18" t="inlineStr">
        <is>
          <t>Due to Khary</t>
        </is>
      </c>
      <c r="C185" s="19" t="n">
        <v>0</v>
      </c>
      <c r="D185" s="19" t="n">
        <v>0</v>
      </c>
      <c r="E185" s="19" t="n">
        <v>98333.33</v>
      </c>
      <c r="F185" s="19" t="n">
        <v>176666.66</v>
      </c>
    </row>
    <row r="186">
      <c r="B186" s="18" t="inlineStr">
        <is>
          <t>Equity</t>
        </is>
      </c>
      <c r="C186" s="19" t="n">
        <v>0</v>
      </c>
      <c r="D186" s="19" t="n">
        <v>0</v>
      </c>
      <c r="E186" s="19" t="n">
        <v>0</v>
      </c>
      <c r="F186" s="19" t="n">
        <v>0</v>
      </c>
    </row>
    <row r="187">
      <c r="B187" s="18" t="inlineStr">
        <is>
          <t>Fixed Assets</t>
        </is>
      </c>
      <c r="C187" s="19" t="n">
        <v>0</v>
      </c>
      <c r="D187" s="19" t="n">
        <v>0</v>
      </c>
      <c r="E187" s="19" t="n">
        <v>0</v>
      </c>
      <c r="F187" s="19" t="n">
        <v>0</v>
      </c>
    </row>
    <row r="188">
      <c r="B188" s="18" t="inlineStr">
        <is>
          <t>LIABILITIES AND EQUITY</t>
        </is>
      </c>
      <c r="C188" s="19" t="n">
        <v>0</v>
      </c>
      <c r="D188" s="19" t="n">
        <v>0</v>
      </c>
      <c r="E188" s="19" t="n">
        <v>0</v>
      </c>
      <c r="F188" s="19" t="n">
        <v>0</v>
      </c>
    </row>
    <row r="189">
      <c r="B189" s="18" t="inlineStr">
        <is>
          <t>Liabilities</t>
        </is>
      </c>
      <c r="C189" s="19" t="n">
        <v>0</v>
      </c>
      <c r="D189" s="19" t="n">
        <v>0</v>
      </c>
      <c r="E189" s="19" t="n">
        <v>0</v>
      </c>
      <c r="F189" s="19" t="n">
        <v>0</v>
      </c>
    </row>
    <row r="190">
      <c r="B190" s="18" t="inlineStr">
        <is>
          <t>Long-Term Liabilities</t>
        </is>
      </c>
      <c r="C190" s="19" t="n">
        <v>0</v>
      </c>
      <c r="D190" s="19" t="n">
        <v>0</v>
      </c>
      <c r="E190" s="19" t="n">
        <v>0</v>
      </c>
      <c r="F190" s="19" t="n">
        <v>0</v>
      </c>
    </row>
    <row r="191">
      <c r="B191" s="18" t="inlineStr">
        <is>
          <t>Net Income</t>
        </is>
      </c>
      <c r="C191" s="19" t="n">
        <v>36458.4</v>
      </c>
      <c r="D191" s="19" t="n">
        <v>53103.32</v>
      </c>
      <c r="E191" s="19" t="n">
        <v>38083.42</v>
      </c>
      <c r="F191" s="19" t="n">
        <v>28557.62</v>
      </c>
    </row>
    <row r="192">
      <c r="B192" s="18" t="inlineStr">
        <is>
          <t>Opening balance equity</t>
        </is>
      </c>
      <c r="C192" s="19" t="n">
        <v>0</v>
      </c>
      <c r="D192" s="19" t="n">
        <v>0</v>
      </c>
      <c r="E192" s="19" t="n">
        <v>0</v>
      </c>
      <c r="F192" s="19" t="n">
        <v>0</v>
      </c>
    </row>
    <row r="193">
      <c r="B193" s="18" t="inlineStr">
        <is>
          <t>Other Assets</t>
        </is>
      </c>
      <c r="C193" s="19" t="n">
        <v>0</v>
      </c>
      <c r="D193" s="19" t="n">
        <v>0</v>
      </c>
      <c r="E193" s="19" t="n">
        <v>0</v>
      </c>
      <c r="F193" s="19" t="n">
        <v>0</v>
      </c>
    </row>
    <row r="194">
      <c r="B194" s="18" t="inlineStr">
        <is>
          <t>Other Current Assets</t>
        </is>
      </c>
      <c r="C194" s="19" t="n">
        <v>0</v>
      </c>
      <c r="D194" s="19" t="n">
        <v>0</v>
      </c>
      <c r="E194" s="19" t="n">
        <v>0</v>
      </c>
      <c r="F194" s="19" t="n">
        <v>0</v>
      </c>
    </row>
    <row r="195">
      <c r="B195" s="18" t="inlineStr">
        <is>
          <t>Other Current Liabilities</t>
        </is>
      </c>
      <c r="C195" s="19" t="n">
        <v>0</v>
      </c>
      <c r="D195" s="19" t="n">
        <v>0</v>
      </c>
      <c r="E195" s="19" t="n">
        <v>0</v>
      </c>
      <c r="F195" s="19" t="n">
        <v>0</v>
      </c>
    </row>
    <row r="196">
      <c r="B196" s="18" t="inlineStr">
        <is>
          <t>Payments to deposit</t>
        </is>
      </c>
      <c r="C196" s="19" t="n">
        <v>0</v>
      </c>
      <c r="D196" s="19" t="n">
        <v>0</v>
      </c>
      <c r="E196" s="19" t="n">
        <v>0</v>
      </c>
      <c r="F196" s="19" t="n">
        <v>0</v>
      </c>
    </row>
    <row r="197">
      <c r="B197" s="18" t="inlineStr">
        <is>
          <t>Prepaid Phone Service</t>
        </is>
      </c>
      <c r="C197" s="19" t="n">
        <v>116.7</v>
      </c>
      <c r="D197" s="19" t="n">
        <v>116.7</v>
      </c>
      <c r="E197" s="19" t="n">
        <v>116.7</v>
      </c>
      <c r="F197" s="19" t="n">
        <v>116.7</v>
      </c>
    </row>
    <row r="198">
      <c r="B198" s="18" t="inlineStr">
        <is>
          <t>TOTAL ASSETS</t>
        </is>
      </c>
      <c r="C198" s="19" t="n">
        <v>20936624.24</v>
      </c>
      <c r="D198" s="19" t="n">
        <v>20845881.4</v>
      </c>
      <c r="E198" s="19" t="n">
        <v>20691621.28</v>
      </c>
      <c r="F198" s="19" t="n">
        <v>20752010.21</v>
      </c>
    </row>
    <row r="199">
      <c r="B199" s="18" t="inlineStr">
        <is>
          <t>TOTAL LIABILITIES AND EQUITY</t>
        </is>
      </c>
      <c r="C199" s="19" t="n">
        <v>20936624.24</v>
      </c>
      <c r="D199" s="19" t="n">
        <v>20845881.4</v>
      </c>
      <c r="E199" s="19" t="n">
        <v>20691621.28</v>
      </c>
      <c r="F199" s="19" t="n">
        <v>20752010.21</v>
      </c>
    </row>
    <row r="200">
      <c r="B200" s="18" t="inlineStr">
        <is>
          <t>Total 131100 Prepaid expenses</t>
        </is>
      </c>
      <c r="C200" s="19" t="n">
        <v>21698.83</v>
      </c>
      <c r="D200" s="19" t="n">
        <v>13955.71</v>
      </c>
      <c r="E200" s="19" t="n">
        <v>15522.47</v>
      </c>
      <c r="F200" s="19" t="n">
        <v>19.91</v>
      </c>
    </row>
    <row r="201">
      <c r="B201" s="18" t="inlineStr">
        <is>
          <t>Total 150000 Fixed Assets</t>
        </is>
      </c>
      <c r="C201" s="19" t="n">
        <v>2302144.17</v>
      </c>
      <c r="D201" s="19" t="n">
        <v>2306741.27</v>
      </c>
      <c r="E201" s="19" t="n">
        <v>2330816.27</v>
      </c>
      <c r="F201" s="19" t="n">
        <v>2331851.77</v>
      </c>
    </row>
    <row r="202">
      <c r="B202" s="18" t="inlineStr">
        <is>
          <t>Total 155000 Leasehold Improvements</t>
        </is>
      </c>
      <c r="C202" s="19" t="n">
        <v>1265959.46</v>
      </c>
      <c r="D202" s="19" t="n">
        <v>1273053.96</v>
      </c>
      <c r="E202" s="19" t="n">
        <v>1297128.96</v>
      </c>
      <c r="F202" s="19" t="n">
        <v>1298164.46</v>
      </c>
    </row>
    <row r="203">
      <c r="B203" s="18" t="inlineStr">
        <is>
          <t>Total 159000 Accumulated depreciation</t>
        </is>
      </c>
      <c r="C203" s="19" t="n">
        <v>-316292.39</v>
      </c>
      <c r="D203" s="19" t="n">
        <v>-346957.99</v>
      </c>
      <c r="E203" s="19" t="n">
        <v>-377834.77</v>
      </c>
      <c r="F203" s="19" t="n">
        <v>-408728.52</v>
      </c>
    </row>
    <row r="204">
      <c r="B204" s="18" t="inlineStr">
        <is>
          <t>Total 160000 Intangible Assets</t>
        </is>
      </c>
      <c r="C204" s="19" t="n">
        <v>9038225</v>
      </c>
      <c r="D204" s="19" t="n">
        <v>9038225</v>
      </c>
      <c r="E204" s="19" t="n">
        <v>9038225</v>
      </c>
      <c r="F204" s="19" t="n">
        <v>9038225</v>
      </c>
    </row>
    <row r="205">
      <c r="B205" s="18" t="inlineStr">
        <is>
          <t>Total 172000 ROU Asset - Studio Leases</t>
        </is>
      </c>
      <c r="C205" s="19" t="n">
        <v>9478939.18</v>
      </c>
      <c r="D205" s="19" t="n">
        <v>9352466.65</v>
      </c>
      <c r="E205" s="19" t="n">
        <v>9225994.119999999</v>
      </c>
      <c r="F205" s="19" t="n">
        <v>9099521.59</v>
      </c>
    </row>
    <row r="206">
      <c r="B206" s="18" t="inlineStr">
        <is>
          <t>Total 222000 Chase Credit Cards</t>
        </is>
      </c>
      <c r="C206" s="19" t="n">
        <v>32927.93</v>
      </c>
      <c r="D206" s="19" t="n">
        <v>38327.05</v>
      </c>
      <c r="E206" s="19" t="n">
        <v>30861.72</v>
      </c>
      <c r="F206" s="19" t="n">
        <v>15924.45</v>
      </c>
    </row>
    <row r="207">
      <c r="B207" s="18" t="inlineStr">
        <is>
          <t>Total 242000 MindBody Loan</t>
        </is>
      </c>
      <c r="C207" s="19" t="n">
        <v>255519.11</v>
      </c>
      <c r="D207" s="19" t="n">
        <v>181354.93</v>
      </c>
      <c r="E207" s="19" t="n">
        <v>122437.16</v>
      </c>
      <c r="F207" s="19" t="n">
        <v>68123.97</v>
      </c>
    </row>
    <row r="208">
      <c r="B208" s="18" t="inlineStr">
        <is>
          <t>Total 242001 MindBody Loan - SM</t>
        </is>
      </c>
      <c r="C208" s="19" t="n">
        <v>114590.59</v>
      </c>
      <c r="D208" s="19" t="n">
        <v>99348.21000000001</v>
      </c>
      <c r="E208" s="19" t="n">
        <v>73344.17999999999</v>
      </c>
      <c r="F208" s="19" t="n">
        <v>57017.71</v>
      </c>
    </row>
    <row r="209">
      <c r="B209" s="18" t="inlineStr">
        <is>
          <t>Total 242002 MindBody Loan - PH</t>
        </is>
      </c>
      <c r="C209" s="19" t="n">
        <v>72379.39</v>
      </c>
      <c r="D209" s="19" t="n">
        <v>46989.79</v>
      </c>
      <c r="E209" s="19" t="n">
        <v>34755.12</v>
      </c>
      <c r="F209" s="19" t="n">
        <v>11106.26</v>
      </c>
    </row>
    <row r="210">
      <c r="B210" s="18" t="inlineStr">
        <is>
          <t>Total 242003 MindBody Loan - LF</t>
        </is>
      </c>
      <c r="C210" s="19" t="n">
        <v>38159.11</v>
      </c>
      <c r="D210" s="19" t="n">
        <v>20201.75</v>
      </c>
      <c r="E210" s="19" t="n">
        <v>10108.46</v>
      </c>
      <c r="F210" s="19" t="n">
        <v>0</v>
      </c>
    </row>
    <row r="211">
      <c r="B211" s="18" t="inlineStr">
        <is>
          <t>Total 242004 MindBody Loan - MR</t>
        </is>
      </c>
      <c r="C211" s="19" t="n">
        <v>30390.02</v>
      </c>
      <c r="D211" s="19" t="n">
        <v>14815.18</v>
      </c>
      <c r="E211" s="19" t="n">
        <v>4229.400000000001</v>
      </c>
      <c r="F211" s="19" t="n">
        <v>0</v>
      </c>
    </row>
    <row r="212">
      <c r="B212" s="18" t="inlineStr">
        <is>
          <t>Total Accounts Payable</t>
        </is>
      </c>
      <c r="C212" s="19" t="n">
        <v>28001.3</v>
      </c>
      <c r="D212" s="19" t="n">
        <v>94734.44</v>
      </c>
      <c r="E212" s="19" t="n">
        <v>295553.47</v>
      </c>
      <c r="F212" s="19" t="n">
        <v>359784.03</v>
      </c>
    </row>
    <row r="213">
      <c r="B213" s="18" t="inlineStr">
        <is>
          <t>Total Accounts Receivable</t>
        </is>
      </c>
      <c r="C213" s="19" t="n">
        <v>3540.52</v>
      </c>
      <c r="D213" s="19" t="n">
        <v>3540.52</v>
      </c>
      <c r="E213" s="19" t="n">
        <v>0</v>
      </c>
      <c r="F213" s="19" t="n">
        <v>0</v>
      </c>
    </row>
    <row r="214">
      <c r="B214" s="18" t="inlineStr">
        <is>
          <t>Total Bank Accounts</t>
        </is>
      </c>
      <c r="C214" s="19" t="n">
        <v>187021.69</v>
      </c>
      <c r="D214" s="19" t="n">
        <v>261314.24</v>
      </c>
      <c r="E214" s="19" t="n">
        <v>237762.6</v>
      </c>
      <c r="F214" s="19" t="n">
        <v>473976.03</v>
      </c>
    </row>
    <row r="215">
      <c r="B215" s="18" t="inlineStr">
        <is>
          <t>Total Credit Cards</t>
        </is>
      </c>
      <c r="C215" s="19" t="n">
        <v>32927.93</v>
      </c>
      <c r="D215" s="19" t="n">
        <v>38327.05</v>
      </c>
      <c r="E215" s="19" t="n">
        <v>30861.72</v>
      </c>
      <c r="F215" s="19" t="n">
        <v>15924.45</v>
      </c>
    </row>
    <row r="216">
      <c r="B216" s="18" t="inlineStr">
        <is>
          <t>Total Current Assets</t>
        </is>
      </c>
      <c r="C216" s="19" t="n">
        <v>247941.08</v>
      </c>
      <c r="D216" s="19" t="n">
        <v>309739.27</v>
      </c>
      <c r="E216" s="19" t="n">
        <v>288753.46</v>
      </c>
      <c r="F216" s="19" t="n">
        <v>505473.17</v>
      </c>
    </row>
    <row r="217">
      <c r="B217" s="18" t="inlineStr">
        <is>
          <t>Total Current Liabilities</t>
        </is>
      </c>
      <c r="C217" s="19" t="n">
        <v>2697020.02</v>
      </c>
      <c r="D217" s="19" t="n">
        <v>2710663.140000001</v>
      </c>
      <c r="E217" s="19" t="n">
        <v>2657791.38</v>
      </c>
      <c r="F217" s="19" t="n">
        <v>2850380.64</v>
      </c>
    </row>
    <row r="218">
      <c r="B218" s="18" t="inlineStr">
        <is>
          <t>Total Equity</t>
        </is>
      </c>
      <c r="C218" s="19" t="n">
        <v>8475289.700000001</v>
      </c>
      <c r="D218" s="19" t="n">
        <v>8491934.620000001</v>
      </c>
      <c r="E218" s="19" t="n">
        <v>8476914.720000001</v>
      </c>
      <c r="F218" s="19" t="n">
        <v>8467388.92</v>
      </c>
    </row>
    <row r="219">
      <c r="B219" s="18" t="inlineStr">
        <is>
          <t>Total Fixed Assets</t>
        </is>
      </c>
      <c r="C219" s="19" t="n">
        <v>11024076.78</v>
      </c>
      <c r="D219" s="19" t="n">
        <v>10998008.28</v>
      </c>
      <c r="E219" s="19" t="n">
        <v>10991206.5</v>
      </c>
      <c r="F219" s="19" t="n">
        <v>10961348.25</v>
      </c>
    </row>
    <row r="220">
      <c r="B220" s="18" t="inlineStr">
        <is>
          <t>Total Liabilities</t>
        </is>
      </c>
      <c r="C220" s="19" t="n">
        <v>12461334.54</v>
      </c>
      <c r="D220" s="19" t="n">
        <v>12353946.78</v>
      </c>
      <c r="E220" s="19" t="n">
        <v>12214706.56</v>
      </c>
      <c r="F220" s="19" t="n">
        <v>12284621.29</v>
      </c>
    </row>
    <row r="221">
      <c r="B221" s="18" t="inlineStr">
        <is>
          <t>Total Long-Term Liabilities</t>
        </is>
      </c>
      <c r="C221" s="19" t="n">
        <v>9764314.52</v>
      </c>
      <c r="D221" s="19" t="n">
        <v>9643283.640000001</v>
      </c>
      <c r="E221" s="19" t="n">
        <v>9556915.18</v>
      </c>
      <c r="F221" s="19" t="n">
        <v>9434240.65</v>
      </c>
    </row>
    <row r="222">
      <c r="B222" s="18" t="inlineStr">
        <is>
          <t>Total Other Assets</t>
        </is>
      </c>
      <c r="C222" s="19" t="n">
        <v>9664606.380000001</v>
      </c>
      <c r="D222" s="19" t="n">
        <v>9538133.85</v>
      </c>
      <c r="E222" s="19" t="n">
        <v>9411661.32</v>
      </c>
      <c r="F222" s="19" t="n">
        <v>9285188.789999999</v>
      </c>
    </row>
    <row r="223">
      <c r="B223" s="18" t="inlineStr">
        <is>
          <t>Total Other Current Assets</t>
        </is>
      </c>
      <c r="C223" s="19" t="n">
        <v>57378.87</v>
      </c>
      <c r="D223" s="19" t="n">
        <v>44884.51</v>
      </c>
      <c r="E223" s="19" t="n">
        <v>50990.86</v>
      </c>
      <c r="F223" s="19" t="n">
        <v>31497.14</v>
      </c>
    </row>
    <row r="224">
      <c r="B224" s="18" t="inlineStr">
        <is>
          <t>Total Other Current Liabilities</t>
        </is>
      </c>
      <c r="C224" s="19" t="n">
        <v>2636090.79</v>
      </c>
      <c r="D224" s="19" t="n">
        <v>2577601.65</v>
      </c>
      <c r="E224" s="19" t="n">
        <v>2331376.19</v>
      </c>
      <c r="F224" s="19" t="n">
        <v>2474672.16</v>
      </c>
    </row>
    <row r="227" ht="16.05" customHeight="1" s="142">
      <c r="B227" s="10" t="inlineStr">
        <is>
          <t>Cash Flow Statement</t>
        </is>
      </c>
      <c r="C227" s="11" t="n"/>
      <c r="D227" s="11" t="n"/>
      <c r="E227" s="11" t="n"/>
      <c r="F227" s="11" t="n"/>
      <c r="G227" s="11" t="n"/>
      <c r="H227" s="11" t="n"/>
    </row>
    <row r="228">
      <c r="B228" s="15" t="inlineStr">
        <is>
          <t>Account</t>
        </is>
      </c>
      <c r="C228" s="14" t="inlineStr">
        <is>
          <t>Jan 2026</t>
        </is>
      </c>
      <c r="D228" s="14" t="inlineStr">
        <is>
          <t>Feb 2026</t>
        </is>
      </c>
      <c r="E228" s="14" t="inlineStr">
        <is>
          <t>Mar 2026</t>
        </is>
      </c>
      <c r="F228" s="14" t="inlineStr">
        <is>
          <t>Apr 2026</t>
        </is>
      </c>
    </row>
    <row r="229">
      <c r="B229" s="18" t="inlineStr">
        <is>
          <t>120000 Accounts receivable (A/R)</t>
        </is>
      </c>
      <c r="C229" s="19" t="n">
        <v>6668.1</v>
      </c>
      <c r="D229" s="19" t="n">
        <v>0</v>
      </c>
      <c r="E229" s="19" t="n">
        <v>3540.52</v>
      </c>
      <c r="F229" s="19" t="n">
        <v>0</v>
      </c>
    </row>
    <row r="230">
      <c r="B230" s="18" t="inlineStr">
        <is>
          <t>131100 Prepaid expenses</t>
        </is>
      </c>
      <c r="C230" s="19" t="n">
        <v>12620.43</v>
      </c>
      <c r="D230" s="19" t="n">
        <v>7743.12</v>
      </c>
      <c r="E230" s="19" t="n">
        <v>-1566.76</v>
      </c>
      <c r="F230" s="19" t="n">
        <v>15502.56</v>
      </c>
    </row>
    <row r="231">
      <c r="B231" s="18" t="inlineStr">
        <is>
          <t>139100 Inventory Asset</t>
        </is>
      </c>
      <c r="C231" s="19" t="n">
        <v>4957.34</v>
      </c>
      <c r="D231" s="19" t="n">
        <v>4751.24</v>
      </c>
      <c r="E231" s="19" t="n">
        <v>-4539.59</v>
      </c>
      <c r="F231" s="19" t="n">
        <v>3991.16</v>
      </c>
    </row>
    <row r="232">
      <c r="B232" s="18" t="inlineStr">
        <is>
          <t>151000 Fixed Assets:Furniture &amp; Fixtures</t>
        </is>
      </c>
      <c r="C232" s="19" t="n">
        <v>0</v>
      </c>
      <c r="D232" s="19" t="n">
        <v>2497.4</v>
      </c>
      <c r="E232" s="19" t="n">
        <v>0</v>
      </c>
      <c r="F232" s="19" t="n">
        <v>0</v>
      </c>
    </row>
    <row r="233">
      <c r="B233" s="18" t="inlineStr">
        <is>
          <t>155011 Fixed Assets:Leasehold Improvements:Leasehold Improvements - Santa Barbara</t>
        </is>
      </c>
      <c r="C233" s="19" t="n">
        <v>0</v>
      </c>
      <c r="D233" s="19" t="n">
        <v>-844.5</v>
      </c>
      <c r="E233" s="19" t="n">
        <v>0</v>
      </c>
      <c r="F233" s="19" t="n">
        <v>0</v>
      </c>
    </row>
    <row r="234">
      <c r="B234" s="18" t="inlineStr">
        <is>
          <t>155014 Fixed Assets:Leasehold Improvements:Leasehold Improvements- Santa Monica</t>
        </is>
      </c>
      <c r="C234" s="19" t="n">
        <v>0</v>
      </c>
      <c r="D234" s="19" t="n">
        <v>0</v>
      </c>
      <c r="E234" s="19" t="n">
        <v>0</v>
      </c>
      <c r="F234" s="19" t="n">
        <v>-1035.5</v>
      </c>
    </row>
    <row r="235">
      <c r="B235" s="18" t="inlineStr">
        <is>
          <t>155015 Fixed Assets:Leasehold Improvements:Leasehold Improvements- Westportal</t>
        </is>
      </c>
      <c r="C235" s="19" t="n">
        <v>-17810.67</v>
      </c>
      <c r="D235" s="19" t="n">
        <v>-6250</v>
      </c>
      <c r="E235" s="19" t="n">
        <v>-24075</v>
      </c>
      <c r="F235" s="19" t="n">
        <v>0</v>
      </c>
    </row>
    <row r="236">
      <c r="B236" s="18" t="inlineStr">
        <is>
          <t>159001 Accumulated depreciation:Accumulated Furniture &amp; Fittings</t>
        </is>
      </c>
      <c r="C236" s="19" t="n">
        <v>1553.29</v>
      </c>
      <c r="D236" s="19" t="n">
        <v>1523.56</v>
      </c>
      <c r="E236" s="19" t="n">
        <v>1523.56</v>
      </c>
      <c r="F236" s="19" t="n">
        <v>1523.56</v>
      </c>
    </row>
    <row r="237">
      <c r="B237" s="18" t="inlineStr">
        <is>
          <t>159002 Accumulated depreciation:Accumulated Computer</t>
        </is>
      </c>
      <c r="C237" s="19" t="n">
        <v>521.83</v>
      </c>
      <c r="D237" s="19" t="n">
        <v>521.83</v>
      </c>
      <c r="E237" s="19" t="n">
        <v>521.83</v>
      </c>
      <c r="F237" s="19" t="n">
        <v>521.83</v>
      </c>
    </row>
    <row r="238">
      <c r="B238" s="18" t="inlineStr">
        <is>
          <t>159003 Accumulated depreciation:Accumulated Pilates Equipment</t>
        </is>
      </c>
      <c r="C238" s="19" t="n">
        <v>10200.91</v>
      </c>
      <c r="D238" s="19" t="n">
        <v>10200.91</v>
      </c>
      <c r="E238" s="19" t="n">
        <v>10200.91</v>
      </c>
      <c r="F238" s="19" t="n">
        <v>10200.91</v>
      </c>
    </row>
    <row r="239">
      <c r="B239" s="18" t="inlineStr">
        <is>
          <t>159004 Accumulated depreciation:Accumulated Mach &amp; Equip</t>
        </is>
      </c>
      <c r="C239" s="19" t="n">
        <v>208.58</v>
      </c>
      <c r="D239" s="19" t="n">
        <v>208.58</v>
      </c>
      <c r="E239" s="19" t="n">
        <v>208.58</v>
      </c>
      <c r="F239" s="19" t="n">
        <v>208.58</v>
      </c>
    </row>
    <row r="240">
      <c r="B240" s="18" t="inlineStr">
        <is>
          <t>159005 Accumulated depreciation:Accumulated Leasehold Improvements</t>
        </is>
      </c>
      <c r="C240" s="19" t="n">
        <v>18149.33</v>
      </c>
      <c r="D240" s="19" t="n">
        <v>18210.72</v>
      </c>
      <c r="E240" s="19" t="n">
        <v>18421.9</v>
      </c>
      <c r="F240" s="19" t="n">
        <v>18438.87</v>
      </c>
    </row>
    <row r="241">
      <c r="B241" s="18" t="inlineStr">
        <is>
          <t>172500 ROU Asset - Studio Leases:ROU Asset - Studio Leases - A/D</t>
        </is>
      </c>
      <c r="C241" s="19" t="n">
        <v>126472.53</v>
      </c>
      <c r="D241" s="19" t="n">
        <v>126472.53</v>
      </c>
      <c r="E241" s="19" t="n">
        <v>126472.53</v>
      </c>
      <c r="F241" s="19" t="n">
        <v>126472.53</v>
      </c>
    </row>
    <row r="242">
      <c r="B242" s="18" t="inlineStr">
        <is>
          <t>210000 Accounts Payable (A/P)</t>
        </is>
      </c>
      <c r="C242" s="19" t="n">
        <v>-22221.38</v>
      </c>
      <c r="D242" s="19" t="n">
        <v>66733.14</v>
      </c>
      <c r="E242" s="19" t="n">
        <v>200819.03</v>
      </c>
      <c r="F242" s="19" t="n">
        <v>64230.56</v>
      </c>
    </row>
    <row r="243">
      <c r="B243" s="18" t="inlineStr">
        <is>
          <t>222001 Chase Credit Cards:A. GOLDSMITH (...4303) RUSSIAN HILL</t>
        </is>
      </c>
      <c r="C243" s="19" t="n">
        <v>1639.54</v>
      </c>
      <c r="D243" s="19" t="n">
        <v>590.66</v>
      </c>
      <c r="E243" s="19" t="n">
        <v>1848.81</v>
      </c>
      <c r="F243" s="19" t="n">
        <v>-3604.82</v>
      </c>
    </row>
    <row r="244">
      <c r="B244" s="18" t="inlineStr">
        <is>
          <t>222002 Chase Credit Cards:B. BASHAW (....2606) DANVILLE</t>
        </is>
      </c>
      <c r="C244" s="19" t="n">
        <v>519.37</v>
      </c>
      <c r="D244" s="19" t="n">
        <v>153.05</v>
      </c>
      <c r="E244" s="19" t="n">
        <v>73.90000000000001</v>
      </c>
      <c r="F244" s="19" t="n">
        <v>33.01</v>
      </c>
    </row>
    <row r="245">
      <c r="B245" s="18" t="inlineStr">
        <is>
          <t>222003 Chase Credit Cards:C. CLAY (....5523) OCEAN PARK</t>
        </is>
      </c>
      <c r="C245" s="19" t="n">
        <v>-308.34</v>
      </c>
      <c r="D245" s="19" t="n">
        <v>588.05</v>
      </c>
      <c r="E245" s="19" t="n">
        <v>90.68000000000001</v>
      </c>
      <c r="F245" s="19" t="n">
        <v>295.25</v>
      </c>
    </row>
    <row r="246">
      <c r="B246" s="18" t="inlineStr">
        <is>
          <t>222004 Chase Credit Cards:C. MARTIN (...8410) CULVER CITY</t>
        </is>
      </c>
      <c r="C246" s="19" t="n">
        <v>-1512.34</v>
      </c>
      <c r="D246" s="19" t="n">
        <v>-9.1</v>
      </c>
      <c r="E246" s="19" t="n">
        <v>254.24</v>
      </c>
      <c r="F246" s="19" t="n">
        <v>36.3</v>
      </c>
    </row>
    <row r="247">
      <c r="B247" s="18" t="inlineStr">
        <is>
          <t>222005 Chase Credit Cards:C. WARDEIN (....5580) H/O</t>
        </is>
      </c>
      <c r="C247" s="19" t="n">
        <v>-502.22</v>
      </c>
      <c r="D247" s="19" t="n">
        <v>-144.81</v>
      </c>
      <c r="E247" s="19" t="n">
        <v>0</v>
      </c>
      <c r="F247" s="19" t="n">
        <v>0</v>
      </c>
    </row>
    <row r="248">
      <c r="B248" s="18" t="inlineStr">
        <is>
          <t>222006 Chase Credit Cards:G. FRIDENBERG (...4204) WESTWOOD - Inactive</t>
        </is>
      </c>
      <c r="C248" s="19" t="n">
        <v>0</v>
      </c>
      <c r="D248" s="19" t="n">
        <v>0</v>
      </c>
      <c r="E248" s="19" t="n">
        <v>0</v>
      </c>
      <c r="F248" s="19" t="n">
        <v>0</v>
      </c>
    </row>
    <row r="249">
      <c r="B249" s="18" t="inlineStr">
        <is>
          <t>222007 Chase Credit Cards:K. ABAD (...5110) LAFAYETTE</t>
        </is>
      </c>
      <c r="C249" s="19" t="n">
        <v>-24.03</v>
      </c>
      <c r="D249" s="19" t="n">
        <v>-500.03</v>
      </c>
      <c r="E249" s="19" t="n">
        <v>-97.01000000000001</v>
      </c>
      <c r="F249" s="19" t="n">
        <v>-91.58</v>
      </c>
    </row>
    <row r="250">
      <c r="B250" s="18" t="inlineStr">
        <is>
          <t>222008 Chase Credit Cards:K. ROBINSON (...8230) H/O</t>
        </is>
      </c>
      <c r="C250" s="19" t="n">
        <v>-4531.85</v>
      </c>
      <c r="D250" s="19" t="n">
        <v>2758.69</v>
      </c>
      <c r="E250" s="19" t="n">
        <v>-5762.08</v>
      </c>
      <c r="F250" s="19" t="n">
        <v>-12157.3</v>
      </c>
    </row>
    <row r="251">
      <c r="B251" s="18" t="inlineStr">
        <is>
          <t>222009 Chase Credit Cards:M. HATSUSHI (...2315) MARIN</t>
        </is>
      </c>
      <c r="C251" s="19" t="n">
        <v>-14.31</v>
      </c>
      <c r="D251" s="19" t="n">
        <v>352.91</v>
      </c>
      <c r="E251" s="19" t="n">
        <v>-429.75</v>
      </c>
      <c r="F251" s="19" t="n">
        <v>-70.31</v>
      </c>
    </row>
    <row r="252">
      <c r="B252" s="18" t="inlineStr">
        <is>
          <t>222010 Chase Credit Cards:N. TEUBNER (...4931) SANTA MONICA</t>
        </is>
      </c>
      <c r="C252" s="19" t="n">
        <v>1613.83</v>
      </c>
      <c r="D252" s="19" t="n">
        <v>-1463.13</v>
      </c>
      <c r="E252" s="19" t="n">
        <v>-421.98</v>
      </c>
      <c r="F252" s="19" t="n">
        <v>885.39</v>
      </c>
    </row>
    <row r="253">
      <c r="B253" s="18" t="inlineStr">
        <is>
          <t>222011 Chase Credit Cards:P. KOENIGS (...5219) PRESIDIO HEIGHTS - Inactive</t>
        </is>
      </c>
      <c r="C253" s="19" t="n">
        <v>0</v>
      </c>
      <c r="D253" s="19" t="n">
        <v>0</v>
      </c>
      <c r="E253" s="19" t="n">
        <v>0</v>
      </c>
      <c r="F253" s="19" t="n">
        <v>0</v>
      </c>
    </row>
    <row r="254">
      <c r="B254" s="18" t="inlineStr">
        <is>
          <t>222012 Chase Credit Cards:S. CAAL-ROCA (...5045) BERKELEY</t>
        </is>
      </c>
      <c r="C254" s="19" t="n">
        <v>33.87</v>
      </c>
      <c r="D254" s="19" t="n">
        <v>353.33</v>
      </c>
      <c r="E254" s="19" t="n">
        <v>-242.56</v>
      </c>
      <c r="F254" s="19" t="n">
        <v>72.48</v>
      </c>
    </row>
    <row r="255">
      <c r="B255" s="18" t="inlineStr">
        <is>
          <t>222013 Chase Credit Cards:LINDSEY HYSLOP (9212) SANTA BARBARA</t>
        </is>
      </c>
      <c r="C255" s="19" t="n">
        <v>-614.26</v>
      </c>
      <c r="D255" s="19" t="n">
        <v>-318.24</v>
      </c>
      <c r="E255" s="19" t="n">
        <v>78.73</v>
      </c>
      <c r="F255" s="19" t="n">
        <v>220.92</v>
      </c>
    </row>
    <row r="256">
      <c r="B256" s="18" t="inlineStr">
        <is>
          <t>222014 Chase Credit Cards:COSSU BRIDGET (..0566) PRESIDIO HEIGHTS</t>
        </is>
      </c>
      <c r="C256" s="19" t="n">
        <v>869.1900000000001</v>
      </c>
      <c r="D256" s="19" t="n">
        <v>-475.24</v>
      </c>
      <c r="E256" s="19" t="n">
        <v>524.84</v>
      </c>
      <c r="F256" s="19" t="n">
        <v>-485.43</v>
      </c>
    </row>
    <row r="257">
      <c r="B257" s="18" t="inlineStr">
        <is>
          <t>222015 Chase Credit Cards:BUCHANAN CIARA (..5486) WESTWOOD</t>
        </is>
      </c>
      <c r="C257" s="19" t="n">
        <v>782.72</v>
      </c>
      <c r="D257" s="19" t="n">
        <v>3512.98</v>
      </c>
      <c r="E257" s="19" t="n">
        <v>-3383.15</v>
      </c>
      <c r="F257" s="19" t="n">
        <v>-71.18000000000001</v>
      </c>
    </row>
    <row r="258">
      <c r="B258" s="18" t="inlineStr">
        <is>
          <t>230000 Reimbursement Clearing</t>
        </is>
      </c>
      <c r="C258" s="19" t="n">
        <v>1615.94</v>
      </c>
      <c r="D258" s="19" t="n">
        <v>-312.03</v>
      </c>
      <c r="E258" s="19" t="n">
        <v>-1522.53</v>
      </c>
      <c r="F258" s="19" t="n">
        <v>-3425.98</v>
      </c>
    </row>
    <row r="259">
      <c r="B259" s="18" t="inlineStr">
        <is>
          <t>232000 401k Liability</t>
        </is>
      </c>
      <c r="C259" s="19" t="n">
        <v>-755.55</v>
      </c>
      <c r="D259" s="19" t="n">
        <v>0</v>
      </c>
      <c r="E259" s="19" t="n">
        <v>24169.74</v>
      </c>
      <c r="F259" s="19" t="n">
        <v>1791.64</v>
      </c>
    </row>
    <row r="260">
      <c r="B260" s="18" t="inlineStr">
        <is>
          <t>233000 Payroll Liabilities</t>
        </is>
      </c>
      <c r="C260" s="19" t="n">
        <v>0</v>
      </c>
      <c r="D260" s="19" t="n">
        <v>0</v>
      </c>
      <c r="E260" s="19" t="n">
        <v>0</v>
      </c>
      <c r="F260" s="19" t="n">
        <v>0</v>
      </c>
    </row>
    <row r="261">
      <c r="B261" s="18" t="inlineStr">
        <is>
          <t>234000 Payroll Tax Liability</t>
        </is>
      </c>
      <c r="C261" s="19" t="n">
        <v>0</v>
      </c>
      <c r="D261" s="19" t="n">
        <v>0</v>
      </c>
      <c r="E261" s="19" t="n">
        <v>0</v>
      </c>
      <c r="F261" s="19" t="n">
        <v>0</v>
      </c>
    </row>
    <row r="262">
      <c r="B262" s="18" t="inlineStr">
        <is>
          <t>235100 Accrued Expense</t>
        </is>
      </c>
      <c r="C262" s="19" t="n">
        <v>209.2</v>
      </c>
      <c r="D262" s="19" t="n">
        <v>-437.69</v>
      </c>
      <c r="E262" s="19" t="n">
        <v>-683.8099999999999</v>
      </c>
      <c r="F262" s="19" t="n">
        <v>0</v>
      </c>
    </row>
    <row r="263">
      <c r="B263" s="18" t="inlineStr">
        <is>
          <t>235200 Deferred/Accrued Rent</t>
        </is>
      </c>
      <c r="C263" s="19" t="n">
        <v>0</v>
      </c>
      <c r="D263" s="19" t="n">
        <v>0</v>
      </c>
      <c r="E263" s="19" t="n">
        <v>0</v>
      </c>
      <c r="F263" s="19" t="n">
        <v>0</v>
      </c>
    </row>
    <row r="264">
      <c r="B264" s="18" t="inlineStr">
        <is>
          <t>235300 Accrued Payroll</t>
        </is>
      </c>
      <c r="C264" s="19" t="n">
        <v>82189.7</v>
      </c>
      <c r="D264" s="19" t="n">
        <v>-4865.93</v>
      </c>
      <c r="E264" s="19" t="n">
        <v>-177415.05</v>
      </c>
      <c r="F264" s="19" t="n">
        <v>28743.11</v>
      </c>
    </row>
    <row r="265">
      <c r="B265" s="18" t="inlineStr">
        <is>
          <t>236100 Sales Tax payable</t>
        </is>
      </c>
      <c r="C265" s="19" t="n">
        <v>2082.15</v>
      </c>
      <c r="D265" s="19" t="n">
        <v>2021.09</v>
      </c>
      <c r="E265" s="19" t="n">
        <v>1556.85</v>
      </c>
      <c r="F265" s="19" t="n">
        <v>1602.77</v>
      </c>
    </row>
    <row r="266">
      <c r="B266" s="18" t="inlineStr">
        <is>
          <t>237000 Deferred  Revenue</t>
        </is>
      </c>
      <c r="C266" s="19" t="n">
        <v>-145856.51</v>
      </c>
      <c r="D266" s="19" t="n">
        <v>56417.24</v>
      </c>
      <c r="E266" s="19" t="n">
        <v>-69627.25999999999</v>
      </c>
      <c r="F266" s="19" t="n">
        <v>133281.29</v>
      </c>
    </row>
    <row r="267">
      <c r="B267" s="18" t="inlineStr">
        <is>
          <t>238000 Gift Card Liability</t>
        </is>
      </c>
      <c r="C267" s="19" t="n">
        <v>-3625.5</v>
      </c>
      <c r="D267" s="19" t="n">
        <v>-2584</v>
      </c>
      <c r="E267" s="19" t="n">
        <v>-1613</v>
      </c>
      <c r="F267" s="19" t="n">
        <v>905</v>
      </c>
    </row>
    <row r="268">
      <c r="B268" s="18" t="inlineStr">
        <is>
          <t>239000 ROU - Studio Lease Liabilities - S/T</t>
        </is>
      </c>
      <c r="C268" s="19" t="n">
        <v>19042.06</v>
      </c>
      <c r="D268" s="19" t="n">
        <v>4341.56</v>
      </c>
      <c r="E268" s="19" t="n">
        <v>4351.39</v>
      </c>
      <c r="F268" s="19" t="n">
        <v>4351.38</v>
      </c>
    </row>
    <row r="269">
      <c r="B269" s="18" t="inlineStr">
        <is>
          <t>239500 ROU - Studio Lease Liabilities - L/T</t>
        </is>
      </c>
      <c r="C269" s="19" t="n">
        <v>-120768.38</v>
      </c>
      <c r="D269" s="19" t="n">
        <v>-121030.88</v>
      </c>
      <c r="E269" s="19" t="n">
        <v>-121368.46</v>
      </c>
      <c r="F269" s="19" t="n">
        <v>-122674.53</v>
      </c>
    </row>
    <row r="270">
      <c r="B270" s="18" t="inlineStr">
        <is>
          <t>241000 Loan from Norbrook Inc</t>
        </is>
      </c>
      <c r="C270" s="19" t="n">
        <v>0</v>
      </c>
      <c r="D270" s="19" t="n">
        <v>0</v>
      </c>
      <c r="E270" s="19" t="n">
        <v>35000</v>
      </c>
      <c r="F270" s="19" t="n">
        <v>0</v>
      </c>
    </row>
    <row r="271">
      <c r="B271" s="18" t="inlineStr">
        <is>
          <t>242000 MindBody Loan</t>
        </is>
      </c>
      <c r="C271" s="19" t="n">
        <v>0</v>
      </c>
      <c r="D271" s="19" t="n">
        <v>0</v>
      </c>
      <c r="E271" s="19" t="n">
        <v>0</v>
      </c>
      <c r="F271" s="19" t="n">
        <v>0</v>
      </c>
    </row>
    <row r="272">
      <c r="B272" s="18" t="inlineStr">
        <is>
          <t>242001 MindBody Loan:MindBody Loan - SM</t>
        </is>
      </c>
      <c r="C272" s="19" t="n">
        <v>-24126.06</v>
      </c>
      <c r="D272" s="19" t="n">
        <v>-19132.38</v>
      </c>
      <c r="E272" s="19" t="n">
        <v>-29894.03</v>
      </c>
      <c r="F272" s="19" t="n">
        <v>-20216.47</v>
      </c>
    </row>
    <row r="273">
      <c r="B273" s="18" t="inlineStr">
        <is>
          <t>242001-1 MindBody Loan:MindBody Loan - SM:MindBody Contra Loan - SM</t>
        </is>
      </c>
      <c r="C273" s="19" t="n">
        <v>3890</v>
      </c>
      <c r="D273" s="19" t="n">
        <v>3890</v>
      </c>
      <c r="E273" s="19" t="n">
        <v>3890</v>
      </c>
      <c r="F273" s="19" t="n">
        <v>3890</v>
      </c>
    </row>
    <row r="274">
      <c r="B274" s="18" t="inlineStr">
        <is>
          <t>242002 MindBody Loan:MindBody Loan - PH</t>
        </is>
      </c>
      <c r="C274" s="19" t="n">
        <v>-17256.18</v>
      </c>
      <c r="D274" s="19" t="n">
        <v>-27794.6</v>
      </c>
      <c r="E274" s="19" t="n">
        <v>-14639.67</v>
      </c>
      <c r="F274" s="19" t="n">
        <v>-26053.86</v>
      </c>
    </row>
    <row r="275">
      <c r="B275" s="18" t="inlineStr">
        <is>
          <t>242002-1 MindBody Loan:MindBody Loan - PH:MindBody Contra Loan - PH</t>
        </is>
      </c>
      <c r="C275" s="19" t="n">
        <v>2405</v>
      </c>
      <c r="D275" s="19" t="n">
        <v>2405</v>
      </c>
      <c r="E275" s="19" t="n">
        <v>2405</v>
      </c>
      <c r="F275" s="19" t="n">
        <v>2405</v>
      </c>
    </row>
    <row r="276">
      <c r="B276" s="18" t="inlineStr">
        <is>
          <t>242003 MindBody Loan:MindBody Loan - LF</t>
        </is>
      </c>
      <c r="C276" s="19" t="n">
        <v>-13252.35</v>
      </c>
      <c r="D276" s="19" t="n">
        <v>-19354.99</v>
      </c>
      <c r="E276" s="19" t="n">
        <v>-11490.92</v>
      </c>
      <c r="F276" s="19" t="n">
        <v>-12903.68</v>
      </c>
    </row>
    <row r="277">
      <c r="B277" s="18" t="inlineStr">
        <is>
          <t>242003-1 MindBody Loan:MindBody Loan - LF:MindBody Contra Loan - LF</t>
        </is>
      </c>
      <c r="C277" s="19" t="n">
        <v>1397.63</v>
      </c>
      <c r="D277" s="19" t="n">
        <v>1397.63</v>
      </c>
      <c r="E277" s="19" t="n">
        <v>1397.63</v>
      </c>
      <c r="F277" s="19" t="n">
        <v>2795.22</v>
      </c>
    </row>
    <row r="278">
      <c r="B278" s="18" t="inlineStr">
        <is>
          <t>242004 MindBody Loan:MindBody Loan - MR</t>
        </is>
      </c>
      <c r="C278" s="19" t="n">
        <v>-13702.09</v>
      </c>
      <c r="D278" s="19" t="n">
        <v>-16941.59</v>
      </c>
      <c r="E278" s="19" t="n">
        <v>-11952.53</v>
      </c>
      <c r="F278" s="19" t="n">
        <v>-7646.27</v>
      </c>
    </row>
    <row r="279">
      <c r="B279" s="18" t="inlineStr">
        <is>
          <t>242004-1 MindBody Loan:MindBody Loan - MR:MindBody Contra Loan - MR</t>
        </is>
      </c>
      <c r="C279" s="19" t="n">
        <v>1366.75</v>
      </c>
      <c r="D279" s="19" t="n">
        <v>1366.75</v>
      </c>
      <c r="E279" s="19" t="n">
        <v>1366.75</v>
      </c>
      <c r="F279" s="19" t="n">
        <v>3416.87</v>
      </c>
    </row>
    <row r="280">
      <c r="B280" s="18" t="inlineStr">
        <is>
          <t>243000 Samson Loan</t>
        </is>
      </c>
      <c r="C280" s="19" t="n">
        <v>-34528.4</v>
      </c>
      <c r="D280" s="19" t="n">
        <v>-16392.04</v>
      </c>
      <c r="E280" s="19" t="n">
        <v>-34528.4</v>
      </c>
      <c r="F280" s="19" t="n">
        <v>-25460.22</v>
      </c>
    </row>
    <row r="281">
      <c r="B281" s="18" t="inlineStr">
        <is>
          <t>244000 Specialty Capital Loan</t>
        </is>
      </c>
      <c r="C281" s="19" t="n">
        <v>-29263.16</v>
      </c>
      <c r="D281" s="19" t="n">
        <v>-22513.16</v>
      </c>
      <c r="E281" s="19" t="n">
        <v>-30328.95</v>
      </c>
      <c r="F281" s="19" t="n">
        <v>-22513.16</v>
      </c>
    </row>
    <row r="282">
      <c r="B282" s="18" t="inlineStr">
        <is>
          <t>251000 Due to Cricket</t>
        </is>
      </c>
      <c r="C282" s="19" t="n">
        <v>0</v>
      </c>
      <c r="D282" s="19" t="n">
        <v>0</v>
      </c>
      <c r="E282" s="19" t="n">
        <v>0</v>
      </c>
      <c r="F282" s="19" t="n">
        <v>0</v>
      </c>
    </row>
    <row r="283">
      <c r="B283" s="18" t="inlineStr">
        <is>
          <t>Adjustments to reconcile Net Income to Net Cash provided by operations:</t>
        </is>
      </c>
      <c r="C283" s="19" t="n">
        <v>0</v>
      </c>
      <c r="D283" s="19" t="n">
        <v>0</v>
      </c>
      <c r="E283" s="19" t="n">
        <v>0</v>
      </c>
      <c r="F283" s="19" t="n">
        <v>0</v>
      </c>
    </row>
    <row r="284">
      <c r="B284" s="18" t="inlineStr">
        <is>
          <t>Due to Khary</t>
        </is>
      </c>
      <c r="C284" s="19" t="n">
        <v>0</v>
      </c>
      <c r="D284" s="19" t="n">
        <v>0</v>
      </c>
      <c r="E284" s="19" t="n">
        <v>98333.33</v>
      </c>
      <c r="F284" s="19" t="n">
        <v>78333.33</v>
      </c>
    </row>
    <row r="285">
      <c r="B285" s="18" t="inlineStr">
        <is>
          <t>FINANCING ACTIVITIES</t>
        </is>
      </c>
      <c r="C285" s="19" t="n">
        <v>0</v>
      </c>
      <c r="D285" s="19" t="n">
        <v>0</v>
      </c>
      <c r="E285" s="19" t="n">
        <v>0</v>
      </c>
      <c r="F285" s="19" t="n">
        <v>0</v>
      </c>
    </row>
    <row r="286">
      <c r="B286" s="18" t="inlineStr">
        <is>
          <t>INVESTING ACTIVITIES</t>
        </is>
      </c>
      <c r="C286" s="19" t="n">
        <v>0</v>
      </c>
      <c r="D286" s="19" t="n">
        <v>0</v>
      </c>
      <c r="E286" s="19" t="n">
        <v>0</v>
      </c>
      <c r="F286" s="19" t="n">
        <v>0</v>
      </c>
    </row>
    <row r="287">
      <c r="B287" s="18" t="inlineStr">
        <is>
          <t>Net Income</t>
        </is>
      </c>
      <c r="C287" s="19" t="n">
        <v>36458.4</v>
      </c>
      <c r="D287" s="19" t="n">
        <v>16644.92</v>
      </c>
      <c r="E287" s="19" t="n">
        <v>-15019.9</v>
      </c>
      <c r="F287" s="19" t="n">
        <v>-9525.799999999999</v>
      </c>
    </row>
    <row r="288">
      <c r="B288" s="18" t="inlineStr">
        <is>
          <t>Net cash increase for period</t>
        </is>
      </c>
      <c r="C288" s="19" t="n">
        <v>-113205.89</v>
      </c>
      <c r="D288" s="19" t="n">
        <v>74292.54999999996</v>
      </c>
      <c r="E288" s="19" t="n">
        <v>-23551.64000000002</v>
      </c>
      <c r="F288" s="19" t="n">
        <v>236213.43</v>
      </c>
    </row>
    <row r="289">
      <c r="B289" s="18" t="inlineStr">
        <is>
          <t>Net cash provided by financing activities</t>
        </is>
      </c>
      <c r="C289" s="19" t="n">
        <v>-120768.38</v>
      </c>
      <c r="D289" s="19" t="n">
        <v>-121030.88</v>
      </c>
      <c r="E289" s="19" t="n">
        <v>-86368.46000000001</v>
      </c>
      <c r="F289" s="19" t="n">
        <v>-122674.53</v>
      </c>
    </row>
    <row r="290">
      <c r="B290" s="18" t="inlineStr">
        <is>
          <t>Net cash provided by investing activities</t>
        </is>
      </c>
      <c r="C290" s="19" t="n">
        <v>-17810.67</v>
      </c>
      <c r="D290" s="19" t="n">
        <v>-4597.1</v>
      </c>
      <c r="E290" s="19" t="n">
        <v>-24075</v>
      </c>
      <c r="F290" s="19" t="n">
        <v>-1035.5</v>
      </c>
    </row>
    <row r="291">
      <c r="B291" s="18" t="inlineStr">
        <is>
          <t>Net cash provided by operating activities</t>
        </is>
      </c>
      <c r="C291" s="19" t="n">
        <v>25373.15999999997</v>
      </c>
      <c r="D291" s="19" t="n">
        <v>199920.53</v>
      </c>
      <c r="E291" s="19" t="n">
        <v>86891.81999999999</v>
      </c>
      <c r="F291" s="19" t="n">
        <v>359923.46</v>
      </c>
    </row>
    <row r="292">
      <c r="B292" s="18" t="inlineStr">
        <is>
          <t>OPERATING ACTIVITIES</t>
        </is>
      </c>
      <c r="C292" s="19" t="n">
        <v>0</v>
      </c>
      <c r="D292" s="19" t="n">
        <v>0</v>
      </c>
      <c r="E292" s="19" t="n">
        <v>0</v>
      </c>
      <c r="F292" s="19" t="n">
        <v>0</v>
      </c>
    </row>
    <row r="293">
      <c r="B293" s="18" t="inlineStr">
        <is>
          <t>Total Adjustments to reconcile Net Income to Net Cash provided by operations:</t>
        </is>
      </c>
      <c r="C293" s="19" t="n">
        <v>-11085.24000000002</v>
      </c>
      <c r="D293" s="19" t="n">
        <v>183275.61</v>
      </c>
      <c r="E293" s="19" t="n">
        <v>101911.72</v>
      </c>
      <c r="F293" s="19" t="n">
        <v>369449.26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2026-05-27T03:59:43Z</dcterms:created>
  <dcterms:modified xmlns:dcterms="http://purl.org/dc/terms/" xmlns:xsi="http://www.w3.org/2001/XMLSchema-instance" xsi:type="dcterms:W3CDTF">2026-06-30T22:23:43Z</dcterms:modified>
  <cp:lastModifiedBy>Jason Grunfeld</cp:lastModifiedBy>
</cp:coreProperties>
</file>