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1360" windowWidth="38400" windowHeight="21000" tabRatio="600" firstSheet="0" activeTab="7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ales Forecast" sheetId="5" state="visible" r:id="rId5"/>
    <sheet xmlns:r="http://schemas.openxmlformats.org/officeDocument/2006/relationships" name="Cash, Debt &amp; Equity" sheetId="6" state="visible" r:id="rId6"/>
    <sheet xmlns:r="http://schemas.openxmlformats.org/officeDocument/2006/relationships" name="Cash Flow Forecast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All Studios Summary" sheetId="9" state="visible" r:id="rId9"/>
    <sheet xmlns:r="http://schemas.openxmlformats.org/officeDocument/2006/relationships" name="BK P&amp;L" sheetId="10" state="visible" r:id="rId10"/>
    <sheet xmlns:r="http://schemas.openxmlformats.org/officeDocument/2006/relationships" name="CC P&amp;L" sheetId="11" state="visible" r:id="rId11"/>
    <sheet xmlns:r="http://schemas.openxmlformats.org/officeDocument/2006/relationships" name="DN P&amp;L" sheetId="12" state="visible" r:id="rId12"/>
    <sheet xmlns:r="http://schemas.openxmlformats.org/officeDocument/2006/relationships" name="LF P&amp;L" sheetId="13" state="visible" r:id="rId13"/>
    <sheet xmlns:r="http://schemas.openxmlformats.org/officeDocument/2006/relationships" name="MR P&amp;L" sheetId="14" state="visible" r:id="rId14"/>
    <sheet xmlns:r="http://schemas.openxmlformats.org/officeDocument/2006/relationships" name="OP P&amp;L" sheetId="15" state="visible" r:id="rId15"/>
    <sheet xmlns:r="http://schemas.openxmlformats.org/officeDocument/2006/relationships" name="PH P&amp;L" sheetId="16" state="visible" r:id="rId16"/>
    <sheet xmlns:r="http://schemas.openxmlformats.org/officeDocument/2006/relationships" name="RH P&amp;L" sheetId="17" state="visible" r:id="rId17"/>
    <sheet xmlns:r="http://schemas.openxmlformats.org/officeDocument/2006/relationships" name="SB P&amp;L" sheetId="18" state="visible" r:id="rId18"/>
    <sheet xmlns:r="http://schemas.openxmlformats.org/officeDocument/2006/relationships" name="SM P&amp;L" sheetId="19" state="visible" r:id="rId19"/>
    <sheet xmlns:r="http://schemas.openxmlformats.org/officeDocument/2006/relationships" name="WP P&amp;L" sheetId="20" state="visible" r:id="rId20"/>
    <sheet xmlns:r="http://schemas.openxmlformats.org/officeDocument/2006/relationships" name="WW P&amp;L" sheetId="21" state="visible" r:id="rId21"/>
    <sheet xmlns:r="http://schemas.openxmlformats.org/officeDocument/2006/relationships" name="HO P&amp;L" sheetId="22" state="visible" r:id="rId22"/>
    <sheet xmlns:r="http://schemas.openxmlformats.org/officeDocument/2006/relationships" name="CapEx" sheetId="23" state="visible" r:id="rId23"/>
    <sheet xmlns:r="http://schemas.openxmlformats.org/officeDocument/2006/relationships" name="QBO Actual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Red]\(#,##0\);&quot;-&quot;"/>
    <numFmt numFmtId="165" formatCode="0.0%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</fonts>
  <fills count="22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64" fontId="17" fillId="21" borderId="9" pivotButton="0" quotePrefix="0" xfId="0"/>
    <xf numFmtId="164" fontId="15" fillId="21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7" fontId="11" fillId="6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Summary!$B$6</f>
              <strCache>
                <ptCount val="1"/>
                <pt idx="0">
                  <v>Total Sales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Summary!$D$5:$AM$5</f>
              <strCache>
                <ptCount val="36"/>
                <pt idx="0">
                  <v>Jan 2026 (A)</v>
                </pt>
                <pt idx="1">
                  <v>Feb 2026 (A)</v>
                </pt>
                <pt idx="2">
                  <v>Mar 2026 (A)</v>
                </pt>
                <pt idx="3">
                  <v>Apr 2026 (A)</v>
                </pt>
                <pt idx="4">
                  <v>May 2026 (A)</v>
                </pt>
                <pt idx="5">
                  <v>Jun 2026</v>
                </pt>
                <pt idx="6">
                  <v>Jul 2026</v>
                </pt>
                <pt idx="7">
                  <v>Aug 2026</v>
                </pt>
                <pt idx="8">
                  <v>Sep 2026</v>
                </pt>
                <pt idx="9">
                  <v>Oct 2026</v>
                </pt>
                <pt idx="10">
                  <v>Nov 2026</v>
                </pt>
                <pt idx="11">
                  <v>Dec 2026</v>
                </pt>
                <pt idx="12">
                  <v>Jan 2027</v>
                </pt>
                <pt idx="13">
                  <v>Feb 2027</v>
                </pt>
                <pt idx="14">
                  <v>Mar 2027</v>
                </pt>
                <pt idx="15">
                  <v>Apr 2027</v>
                </pt>
                <pt idx="16">
                  <v>May 2027</v>
                </pt>
                <pt idx="17">
                  <v>Jun 2027</v>
                </pt>
                <pt idx="18">
                  <v>Jul 2027</v>
                </pt>
                <pt idx="19">
                  <v>Aug 2027</v>
                </pt>
                <pt idx="20">
                  <v>Sep 2027</v>
                </pt>
                <pt idx="21">
                  <v>Oct 2027</v>
                </pt>
                <pt idx="22">
                  <v>Nov 2027</v>
                </pt>
                <pt idx="23">
                  <v>Dec 2027</v>
                </pt>
                <pt idx="24">
                  <v>Jan 2028</v>
                </pt>
                <pt idx="25">
                  <v>Feb 2028</v>
                </pt>
                <pt idx="26">
                  <v>Mar 2028</v>
                </pt>
                <pt idx="27">
                  <v>Apr 2028</v>
                </pt>
                <pt idx="28">
                  <v>May 2028</v>
                </pt>
                <pt idx="29">
                  <v>Jun 2028</v>
                </pt>
                <pt idx="30">
                  <v>Jul 2028</v>
                </pt>
                <pt idx="31">
                  <v>Aug 2028</v>
                </pt>
                <pt idx="32">
                  <v>Sep 2028</v>
                </pt>
                <pt idx="33">
                  <v>Oct 2028</v>
                </pt>
                <pt idx="34">
                  <v>Nov 2028</v>
                </pt>
                <pt idx="35">
                  <v>Dec 2028</v>
                </pt>
              </strCache>
            </strRef>
          </cat>
          <val>
            <numRef>
              <f>Summary!$D$6:$AM$6</f>
              <numCache>
                <formatCode>#,##0;[Red]\(#,##0\);"-"</formatCode>
                <ptCount val="36"/>
                <pt idx="0">
                  <v>957299</v>
                </pt>
                <pt idx="1">
                  <v>1026838</v>
                </pt>
                <pt idx="2">
                  <v>879272</v>
                </pt>
                <pt idx="3">
                  <v>1034960</v>
                </pt>
                <pt idx="4">
                  <v>799442</v>
                </pt>
                <pt idx="5">
                  <v>944500</v>
                </pt>
                <pt idx="6">
                  <v>976250</v>
                </pt>
                <pt idx="7">
                  <v>1077000</v>
                </pt>
                <pt idx="8">
                  <v>1006250</v>
                </pt>
                <pt idx="9">
                  <v>1105000</v>
                </pt>
                <pt idx="10">
                  <v>1181050</v>
                </pt>
                <pt idx="11">
                  <v>1143900</v>
                </pt>
                <pt idx="12">
                  <v>1139851.65</v>
                </pt>
                <pt idx="13">
                  <v>1242498.2</v>
                </pt>
                <pt idx="14">
                  <v>1076458.1</v>
                </pt>
                <pt idx="15">
                  <v>1298170.2</v>
                </pt>
                <pt idx="16">
                  <v>1018763.05</v>
                </pt>
                <pt idx="17">
                  <v>1090495</v>
                </pt>
                <pt idx="18">
                  <v>1120618.5</v>
                </pt>
                <pt idx="19">
                  <v>1261895</v>
                </pt>
                <pt idx="20">
                  <v>1163674.5</v>
                </pt>
                <pt idx="21">
                  <v>1245877</v>
                </pt>
                <pt idx="22">
                  <v>1320081.5</v>
                </pt>
                <pt idx="23">
                  <v>1277825</v>
                </pt>
                <pt idx="24">
                  <v>1196844.23</v>
                </pt>
                <pt idx="25">
                  <v>1304623.1</v>
                </pt>
                <pt idx="26">
                  <v>1130281.01</v>
                </pt>
                <pt idx="27">
                  <v>1363078.71</v>
                </pt>
                <pt idx="28">
                  <v>1069701.21</v>
                </pt>
                <pt idx="29">
                  <v>1145019.75</v>
                </pt>
                <pt idx="30">
                  <v>1176649.42</v>
                </pt>
                <pt idx="31">
                  <v>1324989.75</v>
                </pt>
                <pt idx="32">
                  <v>1221858.22</v>
                </pt>
                <pt idx="33">
                  <v>1308170.85</v>
                </pt>
                <pt idx="34">
                  <v>1386085.57</v>
                </pt>
                <pt idx="35">
                  <v>1341716.25</v>
                </pt>
              </numCache>
            </numRef>
          </val>
          <smooth val="0"/>
        </ser>
        <ser>
          <idx val="1"/>
          <order val="1"/>
          <tx>
            <strRef>
              <f>Summary!$B$22</f>
              <strCache>
                <ptCount val="1"/>
                <pt idx="0">
                  <v>Total EBITDA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Summary!$D$22:$AM$22</f>
              <numCache>
                <formatCode>#,##0;[Red]\(#,##0\);"-"</formatCode>
                <ptCount val="36"/>
                <pt idx="0">
                  <v>99364.31999999998</v>
                </pt>
                <pt idx="1">
                  <v>84748.39999999999</v>
                </pt>
                <pt idx="2">
                  <v>48151.76000000004</v>
                </pt>
                <pt idx="3">
                  <v>53560.54000000002</v>
                </pt>
                <pt idx="4">
                  <v>73731.53999999998</v>
                </pt>
                <pt idx="5">
                  <v>-25222.47573908042</v>
                </pt>
                <pt idx="6">
                  <v>31141.7107396512</v>
                </pt>
                <pt idx="7">
                  <v>46314.17881018866</v>
                </pt>
                <pt idx="8">
                  <v>57240.14539031967</v>
                </pt>
                <pt idx="9">
                  <v>62124.14377419653</v>
                </pt>
                <pt idx="10">
                  <v>90313.09610846307</v>
                </pt>
                <pt idx="11">
                  <v>112932.4962717111</v>
                </pt>
                <pt idx="12">
                  <v>123143.0352385</v>
                </pt>
                <pt idx="13">
                  <v>161222.1613147161</v>
                </pt>
                <pt idx="14">
                  <v>140648.054234208</v>
                </pt>
                <pt idx="15">
                  <v>159596.1625646944</v>
                </pt>
                <pt idx="16">
                  <v>138972.1426902943</v>
                </pt>
                <pt idx="17">
                  <v>97131.13195783933</v>
                </pt>
                <pt idx="18">
                  <v>118427.2841071044</v>
                </pt>
                <pt idx="19">
                  <v>151652.5118553428</v>
                </pt>
                <pt idx="20">
                  <v>171119.2867642241</v>
                </pt>
                <pt idx="21">
                  <v>183851.4232574248</v>
                </pt>
                <pt idx="22">
                  <v>206185.2248247575</v>
                </pt>
                <pt idx="23">
                  <v>223354.3891903128</v>
                </pt>
                <pt idx="24">
                  <v>218828.6074441359</v>
                </pt>
                <pt idx="25">
                  <v>234915.0790300003</v>
                </pt>
                <pt idx="26">
                  <v>204664.444439943</v>
                </pt>
                <pt idx="27">
                  <v>220738.4698983979</v>
                </pt>
                <pt idx="28">
                  <v>196368.6638486851</v>
                </pt>
                <pt idx="29">
                  <v>150247.4431134812</v>
                </pt>
                <pt idx="30">
                  <v>167919.5675327684</v>
                </pt>
                <pt idx="31">
                  <v>204186.7157217719</v>
                </pt>
                <pt idx="32">
                  <v>223880.877988263</v>
                </pt>
                <pt idx="33">
                  <v>237587.8592870935</v>
                </pt>
                <pt idx="34">
                  <v>261718.849806299</v>
                </pt>
                <pt idx="35">
                  <v>279874.4907916234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9611647"/>
        <axId val="169608511"/>
      </lineChart>
      <catAx>
        <axId val="16961164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9608511"/>
        <crosses val="autoZero"/>
        <auto val="1"/>
        <lblAlgn val="ctr"/>
        <lblOffset val="100"/>
        <noMultiLvlLbl val="0"/>
      </catAx>
      <valAx>
        <axId val="1696085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961164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Sales By Studio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Summary!$C$43</f>
              <strCache>
                <ptCount val="1"/>
                <pt idx="0">
                  <v>Berkeley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Summary!$D$43:$F$43</f>
              <numCache>
                <formatCode>#,##0;[Red]\(#,##0\);"-"</formatCode>
                <ptCount val="3"/>
                <pt idx="0">
                  <v>1440319</v>
                </pt>
                <pt idx="1">
                  <v>1512548.1</v>
                </pt>
                <pt idx="2">
                  <v>1588175.5</v>
                </pt>
              </numCache>
            </numRef>
          </val>
        </ser>
        <ser>
          <idx val="1"/>
          <order val="1"/>
          <tx>
            <strRef>
              <f>Summary!$C$44</f>
              <strCache>
                <ptCount val="1"/>
                <pt idx="0">
                  <v>Culver City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Summary!$D$44:$F$44</f>
              <numCache>
                <formatCode>#,##0;[Red]\(#,##0\);"-"</formatCode>
                <ptCount val="3"/>
                <pt idx="0">
                  <v>606180</v>
                </pt>
                <pt idx="1">
                  <v>1004191</v>
                </pt>
                <pt idx="2">
                  <v>1054400.55</v>
                </pt>
              </numCache>
            </numRef>
          </val>
        </ser>
        <ser>
          <idx val="2"/>
          <order val="2"/>
          <tx>
            <strRef>
              <f>Summary!$C$45</f>
              <strCache>
                <ptCount val="1"/>
                <pt idx="0">
                  <v>Danville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Summary!$D$45:$F$45</f>
              <numCache>
                <formatCode>#,##0;[Red]\(#,##0\);"-"</formatCode>
                <ptCount val="3"/>
                <pt idx="0">
                  <v>280633</v>
                </pt>
                <pt idx="1">
                  <v>572000</v>
                </pt>
                <pt idx="2">
                  <v>600600</v>
                </pt>
              </numCache>
            </numRef>
          </val>
        </ser>
        <ser>
          <idx val="3"/>
          <order val="3"/>
          <tx>
            <strRef>
              <f>Summary!$C$46</f>
              <strCache>
                <ptCount val="1"/>
                <pt idx="0">
                  <v>Lafayette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Summary!$D$46:$F$46</f>
              <numCache>
                <formatCode>#,##0;[Red]\(#,##0\);"-"</formatCode>
                <ptCount val="3"/>
                <pt idx="0">
                  <v>1085422</v>
                </pt>
                <pt idx="1">
                  <v>1140508.95</v>
                </pt>
                <pt idx="2">
                  <v>1197534.39</v>
                </pt>
              </numCache>
            </numRef>
          </val>
        </ser>
        <ser>
          <idx val="4"/>
          <order val="4"/>
          <tx>
            <strRef>
              <f>Summary!$C$47</f>
              <strCache>
                <ptCount val="1"/>
                <pt idx="0">
                  <v>Marin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Summary!$D$47:$F$47</f>
              <numCache>
                <formatCode>#,##0;[Red]\(#,##0\);"-"</formatCode>
                <ptCount val="3"/>
                <pt idx="0">
                  <v>1273916</v>
                </pt>
                <pt idx="1">
                  <v>1338196.65</v>
                </pt>
                <pt idx="2">
                  <v>1405106.48</v>
                </pt>
              </numCache>
            </numRef>
          </val>
        </ser>
        <ser>
          <idx val="5"/>
          <order val="5"/>
          <tx>
            <strRef>
              <f>Summary!$C$48</f>
              <strCache>
                <ptCount val="1"/>
                <pt idx="0">
                  <v>Ocean Park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Summary!$D$48:$F$48</f>
              <numCache>
                <formatCode>#,##0;[Red]\(#,##0\);"-"</formatCode>
                <ptCount val="3"/>
                <pt idx="0">
                  <v>787034</v>
                </pt>
                <pt idx="1">
                  <v>826472.85</v>
                </pt>
                <pt idx="2">
                  <v>867796.49</v>
                </pt>
              </numCache>
            </numRef>
          </val>
        </ser>
        <ser>
          <idx val="6"/>
          <order val="6"/>
          <tx>
            <strRef>
              <f>Summary!$C$49</f>
              <strCache>
                <ptCount val="1"/>
                <pt idx="0">
                  <v>Presidio Heights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Summary!$D$49:$F$49</f>
              <numCache>
                <formatCode>#,##0;[Red]\(#,##0\);"-"</formatCode>
                <ptCount val="3"/>
                <pt idx="0">
                  <v>1608651</v>
                </pt>
                <pt idx="1">
                  <v>1691298</v>
                </pt>
                <pt idx="2">
                  <v>1775862.91</v>
                </pt>
              </numCache>
            </numRef>
          </val>
        </ser>
        <ser>
          <idx val="7"/>
          <order val="7"/>
          <tx>
            <strRef>
              <f>Summary!$C$50</f>
              <strCache>
                <ptCount val="1"/>
                <pt idx="0">
                  <v>Russian Hill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Summary!$D$50:$F$50</f>
              <numCache>
                <formatCode>#,##0;[Red]\(#,##0\);"-"</formatCode>
                <ptCount val="3"/>
                <pt idx="0">
                  <v>1027973</v>
                </pt>
                <pt idx="1">
                  <v>1080872.1</v>
                </pt>
                <pt idx="2">
                  <v>1134915.7</v>
                </pt>
              </numCache>
            </numRef>
          </val>
        </ser>
        <ser>
          <idx val="8"/>
          <order val="8"/>
          <tx>
            <strRef>
              <f>Summary!$C$51</f>
              <strCache>
                <ptCount val="1"/>
                <pt idx="0">
                  <v>Santa Barbara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Summary!$D$51:$F$51</f>
              <numCache>
                <formatCode>#,##0;[Red]\(#,##0\);"-"</formatCode>
                <ptCount val="3"/>
                <pt idx="0">
                  <v>342970</v>
                </pt>
                <pt idx="1">
                  <v>727044</v>
                </pt>
                <pt idx="2">
                  <v>763396.2</v>
                </pt>
              </numCache>
            </numRef>
          </val>
        </ser>
        <ser>
          <idx val="9"/>
          <order val="9"/>
          <tx>
            <strRef>
              <f>Summary!$C$52</f>
              <strCache>
                <ptCount val="1"/>
                <pt idx="0">
                  <v>Santa Monica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80000"/>
                <a:lumOff val="2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Summary!$D$52:$F$52</f>
              <numCache>
                <formatCode>#,##0;[Red]\(#,##0\);"-"</formatCode>
                <ptCount val="3"/>
                <pt idx="0">
                  <v>2353949</v>
                </pt>
                <pt idx="1">
                  <v>2472359.4</v>
                </pt>
                <pt idx="2">
                  <v>2595977.37</v>
                </pt>
              </numCache>
            </numRef>
          </val>
        </ser>
        <ser>
          <idx val="10"/>
          <order val="10"/>
          <tx>
            <strRef>
              <f>Summary!$C$53</f>
              <strCache>
                <ptCount val="1"/>
                <pt idx="0">
                  <v>West Portal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Summary!$D$53:$F$53</f>
              <numCache>
                <formatCode>#,##0;[Red]\(#,##0\);"-"</formatCode>
                <ptCount val="3"/>
                <pt idx="0">
                  <v>507266</v>
                </pt>
                <pt idx="1">
                  <v>1032286</v>
                </pt>
                <pt idx="2">
                  <v>1083900.3</v>
                </pt>
              </numCache>
            </numRef>
          </val>
        </ser>
        <ser>
          <idx val="11"/>
          <order val="11"/>
          <tx>
            <strRef>
              <f>Summary!$C$54</f>
              <strCache>
                <ptCount val="1"/>
                <pt idx="0">
                  <v>Westwood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Summary!$D$54:$F$54</f>
              <numCache>
                <formatCode>#,##0;[Red]\(#,##0\);"-"</formatCode>
                <ptCount val="3"/>
                <pt idx="0">
                  <v>817448</v>
                </pt>
                <pt idx="1">
                  <v>858430.65</v>
                </pt>
                <pt idx="2">
                  <v>901352.1799999999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1629759"/>
        <axId val="671636479"/>
      </barChart>
      <catAx>
        <axId val="671629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71636479"/>
        <crosses val="autoZero"/>
        <auto val="1"/>
        <lblAlgn val="ctr"/>
        <lblOffset val="100"/>
        <noMultiLvlLbl val="0"/>
      </catAx>
      <valAx>
        <axId val="671636479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crossAx val="67162975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EBITDA By Studio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Summary!$C$58</f>
              <strCache>
                <ptCount val="1"/>
                <pt idx="0">
                  <v>Berkeley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Summary!$D$58:$F$58</f>
              <numCache>
                <formatCode>#,##0;[Red]\(#,##0\);"-"</formatCode>
                <ptCount val="3"/>
                <pt idx="0">
                  <v>535549.1728143473</v>
                </pt>
                <pt idx="1">
                  <v>685585.1563481616</v>
                </pt>
                <pt idx="2">
                  <v>752919.0786734817</v>
                </pt>
              </numCache>
            </numRef>
          </val>
        </ser>
        <ser>
          <idx val="1"/>
          <order val="1"/>
          <tx>
            <strRef>
              <f>Summary!$C$59</f>
              <strCache>
                <ptCount val="1"/>
                <pt idx="0">
                  <v>Culver City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Summary!$D$59:$F$59</f>
              <numCache>
                <formatCode>#,##0;[Red]\(#,##0\);"-"</formatCode>
                <ptCount val="3"/>
                <pt idx="0">
                  <v>69764.79571522912</v>
                </pt>
                <pt idx="1">
                  <v>355741.081062226</v>
                </pt>
                <pt idx="2">
                  <v>437887.2981851126</v>
                </pt>
              </numCache>
            </numRef>
          </val>
        </ser>
        <ser>
          <idx val="2"/>
          <order val="2"/>
          <tx>
            <strRef>
              <f>Summary!$C$60</f>
              <strCache>
                <ptCount val="1"/>
                <pt idx="0">
                  <v>Danville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Summary!$D$60:$F$60</f>
              <numCache>
                <formatCode>#,##0;[Red]\(#,##0\);"-"</formatCode>
                <ptCount val="3"/>
                <pt idx="0">
                  <v>-125138.1858031821</v>
                </pt>
                <pt idx="1">
                  <v>54670.48255607997</v>
                </pt>
                <pt idx="2">
                  <v>106816.593325896</v>
                </pt>
              </numCache>
            </numRef>
          </val>
        </ser>
        <ser>
          <idx val="3"/>
          <order val="3"/>
          <tx>
            <strRef>
              <f>Summary!$C$61</f>
              <strCache>
                <ptCount val="1"/>
                <pt idx="0">
                  <v>Lafayette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Summary!$D$61:$F$61</f>
              <numCache>
                <formatCode>#,##0;[Red]\(#,##0\);"-"</formatCode>
                <ptCount val="3"/>
                <pt idx="0">
                  <v>453148.6613279546</v>
                </pt>
                <pt idx="1">
                  <v>392341.9707872476</v>
                </pt>
                <pt idx="2">
                  <v>443127.91351443</v>
                </pt>
              </numCache>
            </numRef>
          </val>
        </ser>
        <ser>
          <idx val="4"/>
          <order val="4"/>
          <tx>
            <strRef>
              <f>Summary!$C$62</f>
              <strCache>
                <ptCount val="1"/>
                <pt idx="0">
                  <v>Marin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Summary!$D$62:$F$62</f>
              <numCache>
                <formatCode>#,##0;[Red]\(#,##0\);"-"</formatCode>
                <ptCount val="3"/>
                <pt idx="0">
                  <v>284667.4096005503</v>
                </pt>
                <pt idx="1">
                  <v>403795.0246902168</v>
                </pt>
                <pt idx="2">
                  <v>463388.4736604539</v>
                </pt>
              </numCache>
            </numRef>
          </val>
        </ser>
        <ser>
          <idx val="5"/>
          <order val="5"/>
          <tx>
            <strRef>
              <f>Summary!$C$63</f>
              <strCache>
                <ptCount val="1"/>
                <pt idx="0">
                  <v>Ocean Park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Summary!$D$63:$F$63</f>
              <numCache>
                <formatCode>#,##0;[Red]\(#,##0\);"-"</formatCode>
                <ptCount val="3"/>
                <pt idx="0">
                  <v>60728.88796215988</v>
                </pt>
                <pt idx="1">
                  <v>92332.31887934983</v>
                </pt>
                <pt idx="2">
                  <v>129150.8828656304</v>
                </pt>
              </numCache>
            </numRef>
          </val>
        </ser>
        <ser>
          <idx val="6"/>
          <order val="6"/>
          <tx>
            <strRef>
              <f>Summary!$C$64</f>
              <strCache>
                <ptCount val="1"/>
                <pt idx="0">
                  <v>Presidio Heights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Summary!$D$64:$F$64</f>
              <numCache>
                <formatCode>#,##0;[Red]\(#,##0\);"-"</formatCode>
                <ptCount val="3"/>
                <pt idx="0">
                  <v>865346.3564395066</v>
                </pt>
                <pt idx="1">
                  <v>773746.4624038305</v>
                </pt>
                <pt idx="2">
                  <v>849071.5233063938</v>
                </pt>
              </numCache>
            </numRef>
          </val>
        </ser>
        <ser>
          <idx val="7"/>
          <order val="7"/>
          <tx>
            <strRef>
              <f>Summary!$C$65</f>
              <strCache>
                <ptCount val="1"/>
                <pt idx="0">
                  <v>Russian Hill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Summary!$D$65:$F$65</f>
              <numCache>
                <formatCode>#,##0;[Red]\(#,##0\);"-"</formatCode>
                <ptCount val="3"/>
                <pt idx="0">
                  <v>240949.7331279516</v>
                </pt>
                <pt idx="1">
                  <v>316404.0778388571</v>
                </pt>
                <pt idx="2">
                  <v>364557.2821843941</v>
                </pt>
              </numCache>
            </numRef>
          </val>
        </ser>
        <ser>
          <idx val="8"/>
          <order val="8"/>
          <tx>
            <strRef>
              <f>Summary!$C$66</f>
              <strCache>
                <ptCount val="1"/>
                <pt idx="0">
                  <v>Santa Barbara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Summary!$D$66:$F$66</f>
              <numCache>
                <formatCode>#,##0;[Red]\(#,##0\);"-"</formatCode>
                <ptCount val="3"/>
                <pt idx="0">
                  <v>-297662.2072621018</v>
                </pt>
                <pt idx="1">
                  <v>16926.86649492634</v>
                </pt>
                <pt idx="2">
                  <v>81972.63095384114</v>
                </pt>
              </numCache>
            </numRef>
          </val>
        </ser>
        <ser>
          <idx val="9"/>
          <order val="9"/>
          <tx>
            <strRef>
              <f>Summary!$C$67</f>
              <strCache>
                <ptCount val="1"/>
                <pt idx="0">
                  <v>Santa Monica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Summary!$D$67:$F$67</f>
              <numCache>
                <formatCode>#,##0;[Red]\(#,##0\);"-"</formatCode>
                <ptCount val="3"/>
                <pt idx="0">
                  <v>648786.1094791787</v>
                </pt>
                <pt idx="1">
                  <v>644029.5205391628</v>
                </pt>
                <pt idx="2">
                  <v>754136.5335018511</v>
                </pt>
              </numCache>
            </numRef>
          </val>
        </ser>
        <ser>
          <idx val="10"/>
          <order val="10"/>
          <tx>
            <strRef>
              <f>Summary!$C$68</f>
              <strCache>
                <ptCount val="1"/>
                <pt idx="0">
                  <v>West Portal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Summary!$D$68:$F$68</f>
              <numCache>
                <formatCode>#,##0;[Red]\(#,##0\);"-"</formatCode>
                <ptCount val="3"/>
                <pt idx="0">
                  <v>-98566.37221989728</v>
                </pt>
                <pt idx="1">
                  <v>142732.5977989885</v>
                </pt>
                <pt idx="2">
                  <v>186118.5671429197</v>
                </pt>
              </numCache>
            </numRef>
          </val>
        </ser>
        <ser>
          <idx val="11"/>
          <order val="11"/>
          <tx>
            <strRef>
              <f>Summary!$C$69</f>
              <strCache>
                <ptCount val="1"/>
                <pt idx="0">
                  <v>Westwood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80000"/>
                <a:lumOff val="2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Summary!$D$69:$F$69</f>
              <numCache>
                <formatCode>#,##0;[Red]\(#,##0\);"-"</formatCode>
                <ptCount val="3"/>
                <pt idx="0">
                  <v>-61424.48582624682</v>
                </pt>
                <pt idx="1">
                  <v>-19184.11139962863</v>
                </pt>
                <pt idx="2">
                  <v>19034.33158805791</v>
                </pt>
              </numCache>
            </numRef>
          </val>
        </ser>
        <ser>
          <idx val="12"/>
          <order val="12"/>
          <tx>
            <strRef>
              <f>Summary!$C$70</f>
              <strCache>
                <ptCount val="1"/>
                <pt idx="0">
                  <v>Head Office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Summary!$D$70:$F$70</f>
              <numCache>
                <formatCode>#,##0;[Red]\(#,##0\);"-"</formatCode>
                <ptCount val="3"/>
                <pt idx="0">
                  <v>-1841750.02</v>
                </pt>
                <pt idx="1">
                  <v>-1983818.64</v>
                </pt>
                <pt idx="2">
                  <v>-1987250.039999999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1629759"/>
        <axId val="671636479"/>
      </barChart>
      <catAx>
        <axId val="671629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b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71636479"/>
        <crosses val="autoZero"/>
        <auto val="1"/>
        <lblAlgn val="ctr"/>
        <lblOffset val="100"/>
        <noMultiLvlLbl val="0"/>
      </catAx>
      <valAx>
        <axId val="671636479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crossAx val="67162975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1</col>
      <colOff>63500</colOff>
      <row>73</row>
      <rowOff>38100</rowOff>
    </from>
    <to>
      <col>20</col>
      <colOff>393700</colOff>
      <row>97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450850</colOff>
      <row>98</row>
      <rowOff>127000</rowOff>
    </from>
    <to>
      <col>12</col>
      <colOff>50800</colOff>
      <row>144</row>
      <rowOff>101600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698500</colOff>
      <row>98</row>
      <rowOff>139700</rowOff>
    </from>
    <to>
      <col>25</col>
      <colOff>450850</colOff>
      <row>144</row>
      <rowOff>95250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25"/>
  <sheetViews>
    <sheetView showGridLines="0" topLeftCell="B1" workbookViewId="0">
      <selection activeCell="B1" sqref="B1"/>
    </sheetView>
  </sheetViews>
  <sheetFormatPr baseColWidth="10" defaultColWidth="8.83203125" defaultRowHeight="15"/>
  <cols>
    <col hidden="1" width="2" customWidth="1" style="89" min="1" max="1"/>
    <col width="90" customWidth="1" style="89" min="2" max="2"/>
    <col width="70" customWidth="1" style="89" min="3" max="3"/>
  </cols>
  <sheetData>
    <row r="1"/>
    <row r="2" ht="31" customHeight="1" s="89">
      <c r="B2" s="1" t="inlineStr">
        <is>
          <t>Mighty Pilates</t>
        </is>
      </c>
    </row>
    <row r="3" ht="24" customHeight="1" s="89">
      <c r="B3" s="2" t="inlineStr">
        <is>
          <t>Financial Model</t>
        </is>
      </c>
    </row>
    <row r="4"/>
    <row r="5">
      <c r="B5" s="3" t="inlineStr">
        <is>
          <t>Last refreshed: June 23, 2026</t>
        </is>
      </c>
    </row>
    <row r="6"/>
    <row r="7">
      <c r="B7" s="4" t="inlineStr">
        <is>
          <t>Tab Guide</t>
        </is>
      </c>
    </row>
    <row r="8"/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0"/>
    <row r="21"/>
    <row r="22">
      <c r="B22" s="4" t="inlineStr">
        <is>
          <t>Conventions</t>
        </is>
      </c>
    </row>
    <row r="23"/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C43"/>
  <sheetViews>
    <sheetView showGridLines="0" topLeftCell="B1" workbookViewId="0">
      <selection activeCell="B2" sqref="B2"/>
    </sheetView>
  </sheetViews>
  <sheetFormatPr baseColWidth="10" defaultColWidth="8.83203125" defaultRowHeight="15"/>
  <cols>
    <col hidden="1" width="13" customWidth="1" style="89" min="1" max="1"/>
    <col width="30" customWidth="1" style="89" min="2" max="2"/>
    <col width="100" customWidth="1" style="89" min="3" max="3"/>
  </cols>
  <sheetData>
    <row r="1"/>
    <row r="2" ht="21" customHeight="1" s="89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4"/>
    <row r="5" ht="16" customHeight="1" s="89">
      <c r="B5" s="58" t="inlineStr">
        <is>
          <t>Tab Roles</t>
        </is>
      </c>
      <c r="C5" s="59" t="n"/>
    </row>
    <row r="6" ht="15" customHeight="1" s="89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89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89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89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89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89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89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89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89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89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89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7"/>
    <row r="18" ht="16" customHeight="1" s="89">
      <c r="B18" s="58" t="inlineStr">
        <is>
          <t>Cell Conventions</t>
        </is>
      </c>
      <c r="C18" s="59" t="n"/>
    </row>
    <row r="19" ht="15" customHeight="1" s="89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89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89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89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89">
      <c r="B23" s="60" t="inlineStr">
        <is>
          <t>Bold green fill</t>
        </is>
      </c>
      <c r="C23" s="61" t="inlineStr">
        <is>
          <t>Key KPI (EBITDA, ending cash).</t>
        </is>
      </c>
    </row>
    <row r="24"/>
    <row r="25" ht="16" customHeight="1" s="89">
      <c r="B25" s="58" t="inlineStr">
        <is>
          <t>Value Flow</t>
        </is>
      </c>
      <c r="C25" s="59" t="n"/>
    </row>
    <row r="26" ht="45" customHeight="1" s="89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89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89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29"/>
    <row r="30" ht="16" customHeight="1" s="89">
      <c r="B30" s="58" t="inlineStr">
        <is>
          <t>Hidden Helpers — DO NOT DELETE</t>
        </is>
      </c>
      <c r="C30" s="59" t="n"/>
    </row>
    <row r="31" ht="45" customHeight="1" s="89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89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3"/>
    <row r="34" ht="16" customHeight="1" s="89">
      <c r="B34" s="58" t="inlineStr">
        <is>
          <t>Monthly Update Procedure (when QBO closes new month)</t>
        </is>
      </c>
      <c r="C34" s="59" t="n"/>
    </row>
    <row r="35" ht="30" customHeight="1" s="89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89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89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89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39"/>
    <row r="40" ht="16" customHeight="1" s="89">
      <c r="B40" s="58" t="inlineStr">
        <is>
          <t>Streamlit Source Repo</t>
        </is>
      </c>
      <c r="C40" s="59" t="n"/>
    </row>
    <row r="41" ht="15" customHeight="1" s="89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89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89">
      <c r="B43" s="60" t="inlineStr">
        <is>
          <t>Local files</t>
        </is>
      </c>
      <c r="C43" s="61" t="inlineStr">
        <is>
          <t>/Users/chandlerclemons/mighty-pilates/dashboard/data/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B2A4A"/>
    <outlinePr summaryBelow="1" summaryRight="1"/>
    <pageSetUpPr/>
  </sheetPr>
  <dimension ref="A1:AY125"/>
  <sheetViews>
    <sheetView showGridLines="0" topLeftCell="B7" zoomScale="130" zoomScaleNormal="130" workbookViewId="0">
      <selection activeCell="H6" sqref="H6"/>
    </sheetView>
  </sheetViews>
  <sheetFormatPr baseColWidth="10" defaultColWidth="8.83203125" defaultRowHeight="15"/>
  <cols>
    <col hidden="1" width="2" customWidth="1" style="89" min="1" max="1"/>
    <col width="24" customWidth="1" style="89" min="2" max="2"/>
    <col width="22" customWidth="1" style="89" min="3" max="3"/>
    <col width="11" customWidth="1" style="89" min="4" max="39"/>
  </cols>
  <sheetData>
    <row r="1"/>
    <row r="2" ht="21" customHeight="1" s="89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" customHeight="1" s="89">
      <c r="B4" s="10" t="inlineStr">
        <is>
          <t>Monthly Total Session Sales by Studio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Metric</t>
        </is>
      </c>
      <c r="C5" s="12" t="inlineStr">
        <is>
          <t>Studio</t>
        </is>
      </c>
      <c r="D5" t="inlineStr">
        <is>
          <t>Jan 2025 (A)</t>
        </is>
      </c>
      <c r="E5" t="inlineStr">
        <is>
          <t>Feb 2025 (A)</t>
        </is>
      </c>
      <c r="F5" t="inlineStr">
        <is>
          <t>Mar 2025 (A)</t>
        </is>
      </c>
      <c r="G5" t="inlineStr">
        <is>
          <t>Apr 2025 (A)</t>
        </is>
      </c>
      <c r="H5" t="inlineStr">
        <is>
          <t>May 2025 (A)</t>
        </is>
      </c>
      <c r="I5" t="inlineStr">
        <is>
          <t>Jun 2025 (A)</t>
        </is>
      </c>
      <c r="J5" t="inlineStr">
        <is>
          <t>Jul 2025 (A)</t>
        </is>
      </c>
      <c r="K5" t="inlineStr">
        <is>
          <t>Aug 2025 (A)</t>
        </is>
      </c>
      <c r="L5" t="inlineStr">
        <is>
          <t>Sep 2025 (A)</t>
        </is>
      </c>
      <c r="M5" t="inlineStr">
        <is>
          <t>Oct 2025 (A)</t>
        </is>
      </c>
      <c r="N5" t="inlineStr">
        <is>
          <t>Nov 2025 (A)</t>
        </is>
      </c>
      <c r="O5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Total Sales</t>
        </is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</row>
    <row r="7">
      <c r="C7" s="18" t="inlineStr">
        <is>
          <t>Berkeley</t>
        </is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</row>
    <row r="8">
      <c r="C8" s="18" t="inlineStr">
        <is>
          <t>Culver City</t>
        </is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</row>
    <row r="9">
      <c r="C9" s="18" t="inlineStr">
        <is>
          <t>Danville</t>
        </is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</row>
    <row r="10">
      <c r="C10" s="18" t="inlineStr">
        <is>
          <t>Lafayette</t>
        </is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</row>
    <row r="11">
      <c r="C11" s="18" t="inlineStr">
        <is>
          <t>Marin</t>
        </is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</row>
    <row r="12">
      <c r="C12" s="18" t="inlineStr">
        <is>
          <t>Ocean Park</t>
        </is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</row>
    <row r="13">
      <c r="C13" s="18" t="inlineStr">
        <is>
          <t>Presidio Heights</t>
        </is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</row>
    <row r="14">
      <c r="C14" s="18" t="inlineStr">
        <is>
          <t>Russian Hill</t>
        </is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</row>
    <row r="15">
      <c r="C15" s="18" t="inlineStr">
        <is>
          <t>Santa Barbara</t>
        </is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</row>
    <row r="16">
      <c r="C16" s="18" t="inlineStr">
        <is>
          <t>Santa Monica</t>
        </is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</row>
    <row r="17">
      <c r="C17" s="18" t="inlineStr">
        <is>
          <t>West Portal</t>
        </is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</row>
    <row r="18">
      <c r="C18" s="18" t="inlineStr">
        <is>
          <t>Westwood</t>
        </is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</row>
    <row r="19">
      <c r="C19" s="39" t="inlineStr">
        <is>
          <t>Head Office</t>
        </is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 ht="16" customHeight="1" s="89"/>
    <row r="21" ht="16" customHeight="1" s="89">
      <c r="B21" s="10" t="inlineStr">
        <is>
          <t>Monthly EBITDA by Studio</t>
        </is>
      </c>
      <c r="C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</row>
    <row r="22">
      <c r="B22" s="15" t="inlineStr">
        <is>
          <t>Total EBITDA</t>
        </is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</row>
    <row r="23">
      <c r="C23" s="18" t="inlineStr">
        <is>
          <t>Berkeley</t>
        </is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</row>
    <row r="24">
      <c r="C24" s="18" t="inlineStr">
        <is>
          <t>Culver City</t>
        </is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</row>
    <row r="25">
      <c r="C25" s="18" t="inlineStr">
        <is>
          <t>Danville</t>
        </is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</row>
    <row r="26">
      <c r="C26" s="18" t="inlineStr">
        <is>
          <t>Lafayette</t>
        </is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</row>
    <row r="27">
      <c r="C27" s="18" t="inlineStr">
        <is>
          <t>Marin</t>
        </is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</row>
    <row r="28">
      <c r="C28" s="18" t="inlineStr">
        <is>
          <t>Ocean Park</t>
        </is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</row>
    <row r="29">
      <c r="C29" s="18" t="inlineStr">
        <is>
          <t>Presidio Heights</t>
        </is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</row>
    <row r="30">
      <c r="C30" s="18" t="inlineStr">
        <is>
          <t>Russian Hill</t>
        </is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</row>
    <row r="31">
      <c r="C31" s="18" t="inlineStr">
        <is>
          <t>Santa Barbara</t>
        </is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</row>
    <row r="32">
      <c r="C32" s="18" t="inlineStr">
        <is>
          <t>Santa Monica</t>
        </is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</row>
    <row r="33">
      <c r="C33" s="18" t="inlineStr">
        <is>
          <t>West Portal</t>
        </is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</row>
    <row r="34">
      <c r="C34" s="18" t="inlineStr">
        <is>
          <t>Westwood</t>
        </is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</row>
    <row r="35" ht="16" customHeight="1" s="89">
      <c r="C35" s="39" t="inlineStr">
        <is>
          <t>Head Office</t>
        </is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</row>
    <row r="36"/>
    <row r="37" ht="16" customHeight="1" s="89">
      <c r="B37" t="inlineStr">
        <is>
          <t>Total Add Backs</t>
        </is>
      </c>
      <c r="C37" s="39" t="n"/>
      <c r="P37" s="40">
        <f>'P&amp;L'!P38</f>
        <v/>
      </c>
      <c r="Q37" s="40">
        <f>'P&amp;L'!Q38</f>
        <v/>
      </c>
      <c r="R37" s="40">
        <f>'P&amp;L'!R38</f>
        <v/>
      </c>
      <c r="S37" s="40">
        <f>'P&amp;L'!S38</f>
        <v/>
      </c>
      <c r="T37" s="40" t="n">
        <v>16815.41</v>
      </c>
      <c r="U37" s="41">
        <f>'P&amp;L'!U38</f>
        <v/>
      </c>
      <c r="V37" s="41">
        <f>'P&amp;L'!V38</f>
        <v/>
      </c>
      <c r="W37" s="41">
        <f>'P&amp;L'!W38</f>
        <v/>
      </c>
      <c r="X37" s="41">
        <f>'P&amp;L'!X38</f>
        <v/>
      </c>
      <c r="Y37" s="41">
        <f>'P&amp;L'!Y38</f>
        <v/>
      </c>
      <c r="Z37" s="41">
        <f>'P&amp;L'!Z38</f>
        <v/>
      </c>
      <c r="AA37" s="41">
        <f>'P&amp;L'!AA38</f>
        <v/>
      </c>
      <c r="AB37" s="41">
        <f>'P&amp;L'!AB38</f>
        <v/>
      </c>
      <c r="AC37" s="41">
        <f>'P&amp;L'!AC38</f>
        <v/>
      </c>
      <c r="AD37" s="41">
        <f>'P&amp;L'!AD38</f>
        <v/>
      </c>
      <c r="AE37" s="41">
        <f>'P&amp;L'!AE38</f>
        <v/>
      </c>
      <c r="AF37" s="41">
        <f>'P&amp;L'!AF38</f>
        <v/>
      </c>
      <c r="AG37" s="41">
        <f>'P&amp;L'!AG38</f>
        <v/>
      </c>
      <c r="AH37" s="41">
        <f>'P&amp;L'!AH38</f>
        <v/>
      </c>
      <c r="AI37" s="41">
        <f>'P&amp;L'!AI38</f>
        <v/>
      </c>
      <c r="AJ37" s="41">
        <f>'P&amp;L'!AJ38</f>
        <v/>
      </c>
      <c r="AK37" s="41">
        <f>'P&amp;L'!AK38</f>
        <v/>
      </c>
      <c r="AL37" s="41">
        <f>'P&amp;L'!AL38</f>
        <v/>
      </c>
      <c r="AM37" s="41">
        <f>'P&amp;L'!AM38</f>
        <v/>
      </c>
      <c r="AN37" s="41">
        <f>'P&amp;L'!AN38</f>
        <v/>
      </c>
      <c r="AO37" s="41">
        <f>'P&amp;L'!AO38</f>
        <v/>
      </c>
      <c r="AP37" s="41">
        <f>'P&amp;L'!AP38</f>
        <v/>
      </c>
      <c r="AQ37" s="41">
        <f>'P&amp;L'!AQ38</f>
        <v/>
      </c>
      <c r="AR37" s="41">
        <f>'P&amp;L'!AR38</f>
        <v/>
      </c>
      <c r="AS37" s="41">
        <f>'P&amp;L'!AS38</f>
        <v/>
      </c>
      <c r="AT37" s="41">
        <f>'P&amp;L'!AT38</f>
        <v/>
      </c>
      <c r="AU37" s="41">
        <f>'P&amp;L'!AU38</f>
        <v/>
      </c>
      <c r="AV37" s="41">
        <f>'P&amp;L'!AV38</f>
        <v/>
      </c>
      <c r="AW37" s="41">
        <f>'P&amp;L'!AW38</f>
        <v/>
      </c>
      <c r="AX37" s="41">
        <f>'P&amp;L'!AX38</f>
        <v/>
      </c>
      <c r="AY37" s="41">
        <f>'P&amp;L'!AY38</f>
        <v/>
      </c>
    </row>
    <row r="38">
      <c r="B38" s="15" t="inlineStr">
        <is>
          <t>Total Adj-EBITDA</t>
        </is>
      </c>
      <c r="P38" s="16">
        <f>'P&amp;L'!P39</f>
        <v/>
      </c>
      <c r="Q38" s="16">
        <f>'P&amp;L'!Q39</f>
        <v/>
      </c>
      <c r="R38" s="16">
        <f>'P&amp;L'!R39</f>
        <v/>
      </c>
      <c r="S38" s="16">
        <f>'P&amp;L'!S39</f>
        <v/>
      </c>
      <c r="T38" s="16">
        <f>'P&amp;L'!T39</f>
        <v/>
      </c>
      <c r="U38" s="17">
        <f>'P&amp;L'!U39</f>
        <v/>
      </c>
      <c r="V38" s="17">
        <f>'P&amp;L'!V39</f>
        <v/>
      </c>
      <c r="W38" s="17">
        <f>'P&amp;L'!W39</f>
        <v/>
      </c>
      <c r="X38" s="17">
        <f>'P&amp;L'!X39</f>
        <v/>
      </c>
      <c r="Y38" s="17">
        <f>'P&amp;L'!Y39</f>
        <v/>
      </c>
      <c r="Z38" s="17">
        <f>'P&amp;L'!Z39</f>
        <v/>
      </c>
      <c r="AA38" s="17">
        <f>'P&amp;L'!AA39</f>
        <v/>
      </c>
      <c r="AB38" s="17">
        <f>'P&amp;L'!AB39</f>
        <v/>
      </c>
      <c r="AC38" s="17">
        <f>'P&amp;L'!AC39</f>
        <v/>
      </c>
      <c r="AD38" s="17">
        <f>'P&amp;L'!AD39</f>
        <v/>
      </c>
      <c r="AE38" s="17">
        <f>'P&amp;L'!AE39</f>
        <v/>
      </c>
      <c r="AF38" s="17">
        <f>'P&amp;L'!AF39</f>
        <v/>
      </c>
      <c r="AG38" s="17">
        <f>'P&amp;L'!AG39</f>
        <v/>
      </c>
      <c r="AH38" s="17">
        <f>'P&amp;L'!AH39</f>
        <v/>
      </c>
      <c r="AI38" s="17">
        <f>'P&amp;L'!AI39</f>
        <v/>
      </c>
      <c r="AJ38" s="17">
        <f>'P&amp;L'!AJ39</f>
        <v/>
      </c>
      <c r="AK38" s="17">
        <f>'P&amp;L'!AK39</f>
        <v/>
      </c>
      <c r="AL38" s="17">
        <f>'P&amp;L'!AL39</f>
        <v/>
      </c>
      <c r="AM38" s="17">
        <f>'P&amp;L'!AM39</f>
        <v/>
      </c>
      <c r="AN38" s="17">
        <f>'P&amp;L'!AN39</f>
        <v/>
      </c>
      <c r="AO38" s="17">
        <f>'P&amp;L'!AO39</f>
        <v/>
      </c>
      <c r="AP38" s="17">
        <f>'P&amp;L'!AP39</f>
        <v/>
      </c>
      <c r="AQ38" s="17">
        <f>'P&amp;L'!AQ39</f>
        <v/>
      </c>
      <c r="AR38" s="17">
        <f>'P&amp;L'!AR39</f>
        <v/>
      </c>
      <c r="AS38" s="17">
        <f>'P&amp;L'!AS39</f>
        <v/>
      </c>
      <c r="AT38" s="17">
        <f>'P&amp;L'!AT39</f>
        <v/>
      </c>
      <c r="AU38" s="17">
        <f>'P&amp;L'!AU39</f>
        <v/>
      </c>
      <c r="AV38" s="17">
        <f>'P&amp;L'!AV39</f>
        <v/>
      </c>
      <c r="AW38" s="17">
        <f>'P&amp;L'!AW39</f>
        <v/>
      </c>
      <c r="AX38" s="17">
        <f>'P&amp;L'!AX39</f>
        <v/>
      </c>
      <c r="AY38" s="17">
        <f>'P&amp;L'!AY39</f>
        <v/>
      </c>
    </row>
    <row r="39"/>
    <row r="40" ht="16" customHeight="1" s="89">
      <c r="B40" s="10" t="inlineStr">
        <is>
          <t>Annual Summary</t>
        </is>
      </c>
      <c r="C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B41" s="14" t="inlineStr">
        <is>
          <t>Metric</t>
        </is>
      </c>
      <c r="C41" s="14" t="inlineStr">
        <is>
          <t>Studio</t>
        </is>
      </c>
      <c r="P41" s="14" t="inlineStr">
        <is>
          <t>2026</t>
        </is>
      </c>
      <c r="Q41" s="14" t="inlineStr">
        <is>
          <t>2027</t>
        </is>
      </c>
      <c r="R41" s="14" t="inlineStr">
        <is>
          <t>2028</t>
        </is>
      </c>
      <c r="S41" s="14" t="inlineStr">
        <is>
          <t>2027 YoY</t>
        </is>
      </c>
      <c r="T41" s="14" t="inlineStr">
        <is>
          <t>2028 YoY</t>
        </is>
      </c>
    </row>
    <row r="42">
      <c r="B42" s="15" t="inlineStr">
        <is>
          <t>Total Sales</t>
        </is>
      </c>
      <c r="P42" s="17">
        <f>SUM(P43:P55)</f>
        <v/>
      </c>
      <c r="Q42" s="17">
        <f>SUM(Q43:Q55)</f>
        <v/>
      </c>
      <c r="R42" s="17">
        <f>SUM(R43:R55)</f>
        <v/>
      </c>
      <c r="S42" s="21">
        <f>IFERROR((Q42-P42)/P42,0)</f>
        <v/>
      </c>
      <c r="T42" s="21">
        <f>IFERROR((R42-Q42)/Q42,0)</f>
        <v/>
      </c>
    </row>
    <row r="43">
      <c r="C43" s="18" t="inlineStr">
        <is>
          <t>Berkeley</t>
        </is>
      </c>
      <c r="P43" s="20">
        <f>SUM('Sales Forecast'!P6:AA6)</f>
        <v/>
      </c>
      <c r="Q43" s="20">
        <f>SUM('Sales Forecast'!AB6:AM6)</f>
        <v/>
      </c>
      <c r="R43" s="20">
        <f>SUM('Sales Forecast'!AN6:AY6)</f>
        <v/>
      </c>
      <c r="S43" s="22">
        <f>IFERROR((Q41-P41)/P41,0)</f>
        <v/>
      </c>
      <c r="T43" s="22">
        <f>IFERROR((R41-Q41)/Q41,0)</f>
        <v/>
      </c>
    </row>
    <row r="44">
      <c r="C44" s="18" t="inlineStr">
        <is>
          <t>Culver City</t>
        </is>
      </c>
      <c r="P44" s="20">
        <f>SUM('Sales Forecast'!P7:AA7)</f>
        <v/>
      </c>
      <c r="Q44" s="20">
        <f>SUM('Sales Forecast'!AB7:AM7)</f>
        <v/>
      </c>
      <c r="R44" s="20">
        <f>SUM('Sales Forecast'!AN7:AY7)</f>
        <v/>
      </c>
      <c r="S44" s="22">
        <f>IFERROR((Q42-P42)/P42,0)</f>
        <v/>
      </c>
      <c r="T44" s="22">
        <f>IFERROR((R42-Q42)/Q42,0)</f>
        <v/>
      </c>
    </row>
    <row r="45">
      <c r="C45" s="18" t="inlineStr">
        <is>
          <t>Danville</t>
        </is>
      </c>
      <c r="P45" s="20">
        <f>SUM('Sales Forecast'!P8:AA8)</f>
        <v/>
      </c>
      <c r="Q45" s="20">
        <f>SUM('Sales Forecast'!AB8:AM8)</f>
        <v/>
      </c>
      <c r="R45" s="20">
        <f>SUM('Sales Forecast'!AN8:AY8)</f>
        <v/>
      </c>
      <c r="S45" s="22">
        <f>IFERROR((Q43-P43)/P43,0)</f>
        <v/>
      </c>
      <c r="T45" s="22">
        <f>IFERROR((R43-Q43)/Q43,0)</f>
        <v/>
      </c>
    </row>
    <row r="46">
      <c r="C46" s="18" t="inlineStr">
        <is>
          <t>Lafayette</t>
        </is>
      </c>
      <c r="P46" s="20">
        <f>SUM('Sales Forecast'!P9:AA9)</f>
        <v/>
      </c>
      <c r="Q46" s="20">
        <f>SUM('Sales Forecast'!AB9:AM9)</f>
        <v/>
      </c>
      <c r="R46" s="20">
        <f>SUM('Sales Forecast'!AN9:AY9)</f>
        <v/>
      </c>
      <c r="S46" s="22">
        <f>IFERROR((Q44-P44)/P44,0)</f>
        <v/>
      </c>
      <c r="T46" s="22">
        <f>IFERROR((R44-Q44)/Q44,0)</f>
        <v/>
      </c>
    </row>
    <row r="47">
      <c r="C47" s="18" t="inlineStr">
        <is>
          <t>Marin</t>
        </is>
      </c>
      <c r="P47" s="20">
        <f>SUM('Sales Forecast'!P10:AA10)</f>
        <v/>
      </c>
      <c r="Q47" s="20">
        <f>SUM('Sales Forecast'!AB10:AM10)</f>
        <v/>
      </c>
      <c r="R47" s="20">
        <f>SUM('Sales Forecast'!AN10:AY10)</f>
        <v/>
      </c>
      <c r="S47" s="22">
        <f>IFERROR((Q45-P45)/P45,0)</f>
        <v/>
      </c>
      <c r="T47" s="22">
        <f>IFERROR((R45-Q45)/Q45,0)</f>
        <v/>
      </c>
    </row>
    <row r="48">
      <c r="C48" s="18" t="inlineStr">
        <is>
          <t>Ocean Park</t>
        </is>
      </c>
      <c r="P48" s="20">
        <f>SUM('Sales Forecast'!P11:AA11)</f>
        <v/>
      </c>
      <c r="Q48" s="20">
        <f>SUM('Sales Forecast'!AB11:AM11)</f>
        <v/>
      </c>
      <c r="R48" s="20">
        <f>SUM('Sales Forecast'!AN11:AY11)</f>
        <v/>
      </c>
      <c r="S48" s="22">
        <f>IFERROR((Q46-P46)/P46,0)</f>
        <v/>
      </c>
      <c r="T48" s="22">
        <f>IFERROR((R46-Q46)/Q46,0)</f>
        <v/>
      </c>
    </row>
    <row r="49">
      <c r="C49" s="18" t="inlineStr">
        <is>
          <t>Presidio Heights</t>
        </is>
      </c>
      <c r="P49" s="20">
        <f>SUM('Sales Forecast'!P12:AA12)</f>
        <v/>
      </c>
      <c r="Q49" s="20">
        <f>SUM('Sales Forecast'!AB12:AM12)</f>
        <v/>
      </c>
      <c r="R49" s="20">
        <f>SUM('Sales Forecast'!AN12:AY12)</f>
        <v/>
      </c>
      <c r="S49" s="22">
        <f>IFERROR((Q47-P47)/P47,0)</f>
        <v/>
      </c>
      <c r="T49" s="22">
        <f>IFERROR((R47-Q47)/Q47,0)</f>
        <v/>
      </c>
    </row>
    <row r="50">
      <c r="C50" s="18" t="inlineStr">
        <is>
          <t>Russian Hill</t>
        </is>
      </c>
      <c r="P50" s="20">
        <f>SUM('Sales Forecast'!P13:AA13)</f>
        <v/>
      </c>
      <c r="Q50" s="20">
        <f>SUM('Sales Forecast'!AB13:AM13)</f>
        <v/>
      </c>
      <c r="R50" s="20">
        <f>SUM('Sales Forecast'!AN13:AY13)</f>
        <v/>
      </c>
      <c r="S50" s="22">
        <f>IFERROR((Q48-P48)/P48,0)</f>
        <v/>
      </c>
      <c r="T50" s="22">
        <f>IFERROR((R48-Q48)/Q48,0)</f>
        <v/>
      </c>
    </row>
    <row r="51">
      <c r="C51" s="18" t="inlineStr">
        <is>
          <t>Santa Barbara</t>
        </is>
      </c>
      <c r="P51" s="20">
        <f>SUM('Sales Forecast'!P14:AA14)</f>
        <v/>
      </c>
      <c r="Q51" s="20">
        <f>SUM('Sales Forecast'!AB14:AM14)</f>
        <v/>
      </c>
      <c r="R51" s="20">
        <f>SUM('Sales Forecast'!AN14:AY14)</f>
        <v/>
      </c>
      <c r="S51" s="22">
        <f>IFERROR((Q49-P49)/P49,0)</f>
        <v/>
      </c>
      <c r="T51" s="22">
        <f>IFERROR((R49-Q49)/Q49,0)</f>
        <v/>
      </c>
    </row>
    <row r="52">
      <c r="C52" s="18" t="inlineStr">
        <is>
          <t>Santa Monica</t>
        </is>
      </c>
      <c r="P52" s="20">
        <f>SUM('Sales Forecast'!P15:AA15)</f>
        <v/>
      </c>
      <c r="Q52" s="20">
        <f>SUM('Sales Forecast'!AB15:AM15)</f>
        <v/>
      </c>
      <c r="R52" s="20">
        <f>SUM('Sales Forecast'!AN15:AY15)</f>
        <v/>
      </c>
      <c r="S52" s="22">
        <f>IFERROR((Q50-P50)/P50,0)</f>
        <v/>
      </c>
      <c r="T52" s="22">
        <f>IFERROR((R50-Q50)/Q50,0)</f>
        <v/>
      </c>
    </row>
    <row r="53">
      <c r="C53" s="18" t="inlineStr">
        <is>
          <t>West Portal</t>
        </is>
      </c>
      <c r="P53" s="20">
        <f>SUM('Sales Forecast'!P16:AA16)</f>
        <v/>
      </c>
      <c r="Q53" s="20">
        <f>SUM('Sales Forecast'!AB16:AM16)</f>
        <v/>
      </c>
      <c r="R53" s="20">
        <f>SUM('Sales Forecast'!AN16:AY16)</f>
        <v/>
      </c>
      <c r="S53" s="22">
        <f>IFERROR((Q51-P51)/P51,0)</f>
        <v/>
      </c>
      <c r="T53" s="22">
        <f>IFERROR((R51-Q51)/Q51,0)</f>
        <v/>
      </c>
    </row>
    <row r="54">
      <c r="C54" s="18" t="inlineStr">
        <is>
          <t>Westwood</t>
        </is>
      </c>
      <c r="P54" s="20">
        <f>SUM('Sales Forecast'!P17:AA17)</f>
        <v/>
      </c>
      <c r="Q54" s="20">
        <f>SUM('Sales Forecast'!AB17:AM17)</f>
        <v/>
      </c>
      <c r="R54" s="20">
        <f>SUM('Sales Forecast'!AN17:AY17)</f>
        <v/>
      </c>
      <c r="S54" s="22">
        <f>IFERROR((Q52-P52)/P52,0)</f>
        <v/>
      </c>
      <c r="T54" s="22">
        <f>IFERROR((R52-Q52)/Q52,0)</f>
        <v/>
      </c>
    </row>
    <row r="55">
      <c r="C55" s="18" t="inlineStr">
        <is>
          <t>Head Office</t>
        </is>
      </c>
      <c r="P55" s="20" t="n">
        <v>0</v>
      </c>
      <c r="Q55" s="20" t="n">
        <v>0</v>
      </c>
      <c r="R55" s="20" t="n">
        <v>0</v>
      </c>
      <c r="S55" s="22">
        <f>IFERROR((Q55-P55)/P55,0)</f>
        <v/>
      </c>
      <c r="T55" s="22">
        <f>IFERROR((R55-Q55)/Q55,0)</f>
        <v/>
      </c>
    </row>
    <row r="56"/>
    <row r="57">
      <c r="B57" s="15" t="inlineStr">
        <is>
          <t>Total EBITDA</t>
        </is>
      </c>
      <c r="P57" s="23">
        <f>SUM(P58:P70)</f>
        <v/>
      </c>
      <c r="Q57" s="23">
        <f>SUM(Q58:Q70)</f>
        <v/>
      </c>
      <c r="R57" s="23">
        <f>SUM(R58:R70)</f>
        <v/>
      </c>
      <c r="S57" s="21">
        <f>IFERROR((Q57-P57)/P57,0)</f>
        <v/>
      </c>
      <c r="T57" s="21">
        <f>IFERROR((R57-Q57)/Q57,0)</f>
        <v/>
      </c>
    </row>
    <row r="58">
      <c r="C58" s="18" t="inlineStr">
        <is>
          <t>Berkeley</t>
        </is>
      </c>
      <c r="P58" s="20">
        <f>SUM(P23:AA23)</f>
        <v/>
      </c>
      <c r="Q58" s="20">
        <f>SUM(AB23:AM23)</f>
        <v/>
      </c>
      <c r="R58" s="20">
        <f>SUM(AN23:AY23)</f>
        <v/>
      </c>
      <c r="S58" s="22">
        <f>IFERROR((Q58-P58)/P58,0)</f>
        <v/>
      </c>
      <c r="T58" s="22">
        <f>IFERROR((R58-Q58)/Q58,0)</f>
        <v/>
      </c>
    </row>
    <row r="59">
      <c r="C59" s="18" t="inlineStr">
        <is>
          <t>Culver City</t>
        </is>
      </c>
      <c r="P59" s="20">
        <f>SUM(P24:AA24)</f>
        <v/>
      </c>
      <c r="Q59" s="20">
        <f>SUM(AB24:AM24)</f>
        <v/>
      </c>
      <c r="R59" s="20">
        <f>SUM(AN24:AY24)</f>
        <v/>
      </c>
      <c r="S59" s="22">
        <f>IFERROR((Q59-P59)/P59,0)</f>
        <v/>
      </c>
      <c r="T59" s="22">
        <f>IFERROR((R59-Q59)/Q59,0)</f>
        <v/>
      </c>
    </row>
    <row r="60">
      <c r="C60" s="18" t="inlineStr">
        <is>
          <t>Danville</t>
        </is>
      </c>
      <c r="P60" s="20">
        <f>SUM(P25:AA25)</f>
        <v/>
      </c>
      <c r="Q60" s="20">
        <f>SUM(AB25:AM25)</f>
        <v/>
      </c>
      <c r="R60" s="20">
        <f>SUM(AN25:AY25)</f>
        <v/>
      </c>
      <c r="S60" s="22">
        <f>IFERROR((Q60-P60)/P60,0)</f>
        <v/>
      </c>
      <c r="T60" s="22">
        <f>IFERROR((R60-Q60)/Q60,0)</f>
        <v/>
      </c>
    </row>
    <row r="61">
      <c r="C61" s="18" t="inlineStr">
        <is>
          <t>Lafayette</t>
        </is>
      </c>
      <c r="P61" s="20">
        <f>SUM(P26:AA26)</f>
        <v/>
      </c>
      <c r="Q61" s="20">
        <f>SUM(AB26:AM26)</f>
        <v/>
      </c>
      <c r="R61" s="20">
        <f>SUM(AN26:AY26)</f>
        <v/>
      </c>
      <c r="S61" s="22">
        <f>IFERROR((Q61-P61)/P61,0)</f>
        <v/>
      </c>
      <c r="T61" s="22">
        <f>IFERROR((R61-Q61)/Q61,0)</f>
        <v/>
      </c>
    </row>
    <row r="62">
      <c r="C62" s="18" t="inlineStr">
        <is>
          <t>Marin</t>
        </is>
      </c>
      <c r="P62" s="20">
        <f>SUM(P27:AA27)</f>
        <v/>
      </c>
      <c r="Q62" s="20">
        <f>SUM(AB27:AM27)</f>
        <v/>
      </c>
      <c r="R62" s="20">
        <f>SUM(AN27:AY27)</f>
        <v/>
      </c>
      <c r="S62" s="22">
        <f>IFERROR((Q62-P62)/P62,0)</f>
        <v/>
      </c>
      <c r="T62" s="22">
        <f>IFERROR((R62-Q62)/Q62,0)</f>
        <v/>
      </c>
    </row>
    <row r="63">
      <c r="C63" s="18" t="inlineStr">
        <is>
          <t>Ocean Park</t>
        </is>
      </c>
      <c r="P63" s="20">
        <f>SUM(P28:AA28)</f>
        <v/>
      </c>
      <c r="Q63" s="20">
        <f>SUM(AB28:AM28)</f>
        <v/>
      </c>
      <c r="R63" s="20">
        <f>SUM(AN28:AY28)</f>
        <v/>
      </c>
      <c r="S63" s="22">
        <f>IFERROR((Q63-P63)/P63,0)</f>
        <v/>
      </c>
      <c r="T63" s="22">
        <f>IFERROR((R63-Q63)/Q63,0)</f>
        <v/>
      </c>
    </row>
    <row r="64">
      <c r="C64" s="18" t="inlineStr">
        <is>
          <t>Presidio Heights</t>
        </is>
      </c>
      <c r="P64" s="20">
        <f>SUM(P29:AA29)</f>
        <v/>
      </c>
      <c r="Q64" s="20">
        <f>SUM(AB29:AM29)</f>
        <v/>
      </c>
      <c r="R64" s="20">
        <f>SUM(AN29:AY29)</f>
        <v/>
      </c>
      <c r="S64" s="22">
        <f>IFERROR((Q64-P64)/P64,0)</f>
        <v/>
      </c>
      <c r="T64" s="22">
        <f>IFERROR((R64-Q64)/Q64,0)</f>
        <v/>
      </c>
    </row>
    <row r="65">
      <c r="C65" s="18" t="inlineStr">
        <is>
          <t>Russian Hill</t>
        </is>
      </c>
      <c r="P65" s="20">
        <f>SUM(P30:AA30)</f>
        <v/>
      </c>
      <c r="Q65" s="20">
        <f>SUM(AB30:AM30)</f>
        <v/>
      </c>
      <c r="R65" s="20">
        <f>SUM(AN30:AY30)</f>
        <v/>
      </c>
      <c r="S65" s="22">
        <f>IFERROR((Q65-P65)/P65,0)</f>
        <v/>
      </c>
      <c r="T65" s="22">
        <f>IFERROR((R65-Q65)/Q65,0)</f>
        <v/>
      </c>
    </row>
    <row r="66">
      <c r="C66" s="18" t="inlineStr">
        <is>
          <t>Santa Barbara</t>
        </is>
      </c>
      <c r="P66" s="20">
        <f>SUM(P31:AA31)</f>
        <v/>
      </c>
      <c r="Q66" s="20">
        <f>SUM(AB31:AM31)</f>
        <v/>
      </c>
      <c r="R66" s="20">
        <f>SUM(AN31:AY31)</f>
        <v/>
      </c>
      <c r="S66" s="22">
        <f>IFERROR((Q66-P66)/P66,0)</f>
        <v/>
      </c>
      <c r="T66" s="22">
        <f>IFERROR((R66-Q66)/Q66,0)</f>
        <v/>
      </c>
    </row>
    <row r="67">
      <c r="C67" s="18" t="inlineStr">
        <is>
          <t>Santa Monica</t>
        </is>
      </c>
      <c r="P67" s="20">
        <f>SUM(P32:AA32)</f>
        <v/>
      </c>
      <c r="Q67" s="20">
        <f>SUM(AB32:AM32)</f>
        <v/>
      </c>
      <c r="R67" s="20">
        <f>SUM(AN32:AY32)</f>
        <v/>
      </c>
      <c r="S67" s="22">
        <f>IFERROR((Q67-P67)/P67,0)</f>
        <v/>
      </c>
      <c r="T67" s="22">
        <f>IFERROR((R67-Q67)/Q67,0)</f>
        <v/>
      </c>
    </row>
    <row r="68">
      <c r="C68" s="18" t="inlineStr">
        <is>
          <t>West Portal</t>
        </is>
      </c>
      <c r="P68" s="20">
        <f>SUM(P33:AA33)</f>
        <v/>
      </c>
      <c r="Q68" s="20">
        <f>SUM(AB33:AM33)</f>
        <v/>
      </c>
      <c r="R68" s="20">
        <f>SUM(AN33:AY33)</f>
        <v/>
      </c>
      <c r="S68" s="22">
        <f>IFERROR((Q68-P68)/P68,0)</f>
        <v/>
      </c>
      <c r="T68" s="22">
        <f>IFERROR((R68-Q68)/Q68,0)</f>
        <v/>
      </c>
    </row>
    <row r="69">
      <c r="C69" s="18" t="inlineStr">
        <is>
          <t>Westwood</t>
        </is>
      </c>
      <c r="P69" s="20">
        <f>SUM(P34:AA34)</f>
        <v/>
      </c>
      <c r="Q69" s="20">
        <f>SUM(AB34:AM34)</f>
        <v/>
      </c>
      <c r="R69" s="20">
        <f>SUM(AN34:AY34)</f>
        <v/>
      </c>
      <c r="S69" s="22">
        <f>IFERROR((Q69-P69)/P69,0)</f>
        <v/>
      </c>
      <c r="T69" s="22">
        <f>IFERROR((R69-Q69)/Q69,0)</f>
        <v/>
      </c>
    </row>
    <row r="70">
      <c r="C70" s="18" t="inlineStr">
        <is>
          <t>Head Office</t>
        </is>
      </c>
      <c r="P70" s="20">
        <f>SUM('HO P&amp;L'!P36:AA36)</f>
        <v/>
      </c>
      <c r="Q70" s="20">
        <f>SUM('HO P&amp;L'!AB36:AM36)</f>
        <v/>
      </c>
      <c r="R70" s="20">
        <f>SUM('HO P&amp;L'!AN36:AY36)</f>
        <v/>
      </c>
      <c r="S70" s="22">
        <f>IFERROR((Q70-P70)/P70,0)</f>
        <v/>
      </c>
      <c r="T70" s="22">
        <f>IFERROR((R70-Q70)/Q70,0)</f>
        <v/>
      </c>
    </row>
    <row r="71">
      <c r="C71" s="18" t="n"/>
      <c r="P71" s="76" t="n"/>
      <c r="Q71" s="76" t="n"/>
      <c r="R71" s="76" t="n"/>
      <c r="S71" s="77" t="n"/>
      <c r="T71" s="77" t="n"/>
    </row>
    <row r="72">
      <c r="B72" s="15" t="inlineStr">
        <is>
          <t>Total Adj-EBITDA</t>
        </is>
      </c>
      <c r="P72" s="79">
        <f>SUM(P38:AA38)</f>
        <v/>
      </c>
      <c r="Q72" s="80">
        <f>SUM(AB38:AM38)</f>
        <v/>
      </c>
      <c r="R72" s="80">
        <f>SUM(AN38:AY38)</f>
        <v/>
      </c>
      <c r="S72" s="81">
        <f>IFERROR((Q72-P72)/P72,0)</f>
        <v/>
      </c>
      <c r="T72" s="82">
        <f>IFERROR((R72-Q72)/Q72,0)</f>
        <v/>
      </c>
    </row>
    <row r="73">
      <c r="B73" s="15" t="n"/>
      <c r="P73" s="78" t="n"/>
      <c r="Q73" s="78" t="n"/>
      <c r="R73" s="78" t="n"/>
      <c r="S73" s="78" t="n"/>
      <c r="T73" s="78" t="n"/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  <c r="AR124" s="24" t="n"/>
      <c r="AS124" s="24" t="n"/>
      <c r="AT124" s="24" t="n"/>
      <c r="AU124" s="24" t="n"/>
      <c r="AV124" s="24" t="n"/>
      <c r="AW124" s="24" t="n"/>
      <c r="AX124" s="24" t="n"/>
      <c r="AY124" s="24" t="n"/>
    </row>
    <row r="125"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D966"/>
    <outlinePr summaryBelow="1" summaryRight="1"/>
    <pageSetUpPr/>
  </sheetPr>
  <dimension ref="A1:J51"/>
  <sheetViews>
    <sheetView showGridLines="0" topLeftCell="B1" workbookViewId="0">
      <selection activeCell="A1" sqref="A1"/>
    </sheetView>
  </sheetViews>
  <sheetFormatPr baseColWidth="10" defaultColWidth="8.83203125" defaultRowHeight="15"/>
  <cols>
    <col hidden="1" width="2" customWidth="1" style="89" min="1" max="1"/>
    <col width="36" customWidth="1" style="89" min="2" max="2"/>
    <col width="14" customWidth="1" style="89" min="3" max="9"/>
    <col width="18" customWidth="1" style="89" min="10" max="10"/>
  </cols>
  <sheetData>
    <row r="1"/>
    <row r="2" ht="21" customHeight="1" s="89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4"/>
    <row r="5" ht="16" customHeight="1" s="89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9"/>
    <row r="10" ht="16" customHeight="1" s="89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5"/>
    <row r="16" ht="16" customHeight="1" s="89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88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88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88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88" t="inlineStr">
        <is>
          <t>Cost of goods sold as % of revenue (retail).</t>
        </is>
      </c>
    </row>
    <row r="21"/>
    <row r="22" ht="16" customHeight="1" s="89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88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88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88" t="inlineStr">
        <is>
          <t>5% YoY assumed for 2028 (applied to 2027 seasonal pattern)</t>
        </is>
      </c>
    </row>
    <row r="26"/>
    <row r="27" ht="16" customHeight="1" s="89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7"/>
    <row r="38" ht="16" customHeight="1" s="89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D966"/>
    <outlinePr summaryBelow="1" summaryRight="1"/>
    <pageSetUpPr/>
  </sheetPr>
  <dimension ref="A1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N24" sqref="N24"/>
    </sheetView>
  </sheetViews>
  <sheetFormatPr baseColWidth="10" defaultColWidth="8.83203125" defaultRowHeight="15"/>
  <cols>
    <col hidden="1" width="2" customWidth="1" style="89" min="1" max="1"/>
    <col width="8" customWidth="1" style="89" min="2" max="2"/>
    <col width="22" customWidth="1" style="89" min="3" max="3"/>
    <col width="11" customWidth="1" style="89" min="4" max="39"/>
  </cols>
  <sheetData>
    <row r="1"/>
    <row r="2" ht="21" customHeight="1" s="89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" customHeight="1" s="89">
      <c r="B4" s="10" t="inlineStr">
        <is>
          <t>Per-Studio Monthly Sales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90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t="n">
        <v>102263.72</v>
      </c>
      <c r="E6" t="n">
        <v>108290.08</v>
      </c>
      <c r="F6" t="n">
        <v>118514.77</v>
      </c>
      <c r="G6" t="n">
        <v>113589.27</v>
      </c>
      <c r="H6" t="n">
        <v>119796.34</v>
      </c>
      <c r="I6" t="n">
        <v>114548.96</v>
      </c>
      <c r="J6" t="n">
        <v>115924.45</v>
      </c>
      <c r="K6" t="n">
        <v>121824.66</v>
      </c>
      <c r="L6" t="n">
        <v>127769.46</v>
      </c>
      <c r="M6" t="n">
        <v>112372.51</v>
      </c>
      <c r="N6" t="n">
        <v>125447.68</v>
      </c>
      <c r="O6" t="n">
        <v>122215.2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-593</v>
      </c>
      <c r="L7" t="n">
        <v>5189.14</v>
      </c>
      <c r="M7" t="n">
        <v>27904.72</v>
      </c>
      <c r="N7" t="n">
        <v>26313.91</v>
      </c>
      <c r="O7" t="n">
        <v>31865.36000000001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t="n">
        <v>0</v>
      </c>
      <c r="E8" t="n">
        <v>0</v>
      </c>
      <c r="F8" t="n">
        <v>0</v>
      </c>
      <c r="G8" t="n">
        <v>-41</v>
      </c>
      <c r="H8" t="n">
        <v>-1587.55</v>
      </c>
      <c r="I8" t="n">
        <v>6400.960000000001</v>
      </c>
      <c r="J8" t="n">
        <v>10873.68</v>
      </c>
      <c r="K8" t="n">
        <v>16910.99</v>
      </c>
      <c r="L8" t="n">
        <v>12236.8</v>
      </c>
      <c r="M8" t="n">
        <v>13862.23</v>
      </c>
      <c r="N8" t="n">
        <v>16979.5</v>
      </c>
      <c r="O8" t="n">
        <v>17774.24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t="n">
        <v>84917.64</v>
      </c>
      <c r="E9" t="n">
        <v>87714.89</v>
      </c>
      <c r="F9" t="n">
        <v>95273.07000000001</v>
      </c>
      <c r="G9" t="n">
        <v>83842.64999999999</v>
      </c>
      <c r="H9" t="n">
        <v>102916.12</v>
      </c>
      <c r="I9" t="n">
        <v>90516.06</v>
      </c>
      <c r="J9" t="n">
        <v>81871.39999999999</v>
      </c>
      <c r="K9" t="n">
        <v>86069.17000000001</v>
      </c>
      <c r="L9" t="n">
        <v>86278.31</v>
      </c>
      <c r="M9" t="n">
        <v>82816.69</v>
      </c>
      <c r="N9" t="n">
        <v>88360.34</v>
      </c>
      <c r="O9" t="n">
        <v>97868.23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t="n">
        <v>15363.68</v>
      </c>
      <c r="E10" t="n">
        <v>13623.89</v>
      </c>
      <c r="F10" t="n">
        <v>17561.05</v>
      </c>
      <c r="G10" t="n">
        <v>17301.51</v>
      </c>
      <c r="H10" t="n">
        <v>50403.35000000001</v>
      </c>
      <c r="I10" t="n">
        <v>77670.00999999999</v>
      </c>
      <c r="J10" t="n">
        <v>81210.12</v>
      </c>
      <c r="K10" t="n">
        <v>87074.56999999999</v>
      </c>
      <c r="L10" t="n">
        <v>106901.68</v>
      </c>
      <c r="M10" t="n">
        <v>94929.2</v>
      </c>
      <c r="N10" t="n">
        <v>113680.3</v>
      </c>
      <c r="O10" t="n">
        <v>113277.53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t="n">
        <v>0</v>
      </c>
      <c r="E11" t="n">
        <v>75</v>
      </c>
      <c r="F11" t="n">
        <v>-770</v>
      </c>
      <c r="G11" t="n">
        <v>12609.02</v>
      </c>
      <c r="H11" t="n">
        <v>40940.40999999999</v>
      </c>
      <c r="I11" t="n">
        <v>48387</v>
      </c>
      <c r="J11" t="n">
        <v>57029.26999999999</v>
      </c>
      <c r="K11" t="n">
        <v>61238.17000000001</v>
      </c>
      <c r="L11" t="n">
        <v>56299.56999999999</v>
      </c>
      <c r="M11" t="n">
        <v>55206.21</v>
      </c>
      <c r="N11" t="n">
        <v>55795.78000000001</v>
      </c>
      <c r="O11" t="n">
        <v>60611.86000000001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t="n">
        <v>213465.61</v>
      </c>
      <c r="E12" t="n">
        <v>214391.55</v>
      </c>
      <c r="F12" t="n">
        <v>250059.09</v>
      </c>
      <c r="G12" t="n">
        <v>225172.86</v>
      </c>
      <c r="H12" t="n">
        <v>217319.45</v>
      </c>
      <c r="I12" t="n">
        <v>168863.04</v>
      </c>
      <c r="J12" t="n">
        <v>141383.59</v>
      </c>
      <c r="K12" t="n">
        <v>159578.75</v>
      </c>
      <c r="L12" t="n">
        <v>158576.93</v>
      </c>
      <c r="M12" t="n">
        <v>140949.3799999999</v>
      </c>
      <c r="N12" t="n">
        <v>156577.57</v>
      </c>
      <c r="O12" t="n">
        <v>135509.79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t="n">
        <v>570.7</v>
      </c>
      <c r="E13" t="n">
        <v>15527.63</v>
      </c>
      <c r="F13" t="n">
        <v>52352.26</v>
      </c>
      <c r="G13" t="n">
        <v>60194.73</v>
      </c>
      <c r="H13" t="n">
        <v>72190.72</v>
      </c>
      <c r="I13" t="n">
        <v>76768.03000000001</v>
      </c>
      <c r="J13" t="n">
        <v>68332.76000000001</v>
      </c>
      <c r="K13" t="n">
        <v>70395.31999999999</v>
      </c>
      <c r="L13" t="n">
        <v>81266.28999999999</v>
      </c>
      <c r="M13" t="n">
        <v>79286.40000000001</v>
      </c>
      <c r="N13" t="n">
        <v>76953.28999999999</v>
      </c>
      <c r="O13" t="n">
        <v>80511.05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3292.969999999999</v>
      </c>
      <c r="O14" t="n">
        <v>9928.329999999998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t="n">
        <v>148311.18</v>
      </c>
      <c r="E15" t="n">
        <v>176032.84</v>
      </c>
      <c r="F15" t="n">
        <v>214257.96</v>
      </c>
      <c r="G15" t="n">
        <v>206935.56</v>
      </c>
      <c r="H15" t="n">
        <v>197266.94</v>
      </c>
      <c r="I15" t="n">
        <v>195239.45</v>
      </c>
      <c r="J15" t="n">
        <v>199014.62</v>
      </c>
      <c r="K15" t="n">
        <v>210396.36</v>
      </c>
      <c r="L15" t="n">
        <v>181180.69</v>
      </c>
      <c r="M15" t="n">
        <v>181590.51</v>
      </c>
      <c r="N15" t="n">
        <v>176158.72</v>
      </c>
      <c r="O15" t="n">
        <v>200819.21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t="n">
        <v>64463.02999999999</v>
      </c>
      <c r="E17" t="n">
        <v>79792.51000000001</v>
      </c>
      <c r="F17" t="n">
        <v>97840.41</v>
      </c>
      <c r="G17" t="n">
        <v>83903.77</v>
      </c>
      <c r="H17" t="n">
        <v>78473.75</v>
      </c>
      <c r="I17" t="n">
        <v>74619.28</v>
      </c>
      <c r="J17" t="n">
        <v>89249.84</v>
      </c>
      <c r="K17" t="n">
        <v>69295.19</v>
      </c>
      <c r="L17" t="n">
        <v>61491.32000000001</v>
      </c>
      <c r="M17" t="n">
        <v>72451.08</v>
      </c>
      <c r="N17" t="n">
        <v>63966.4</v>
      </c>
      <c r="O17" t="n">
        <v>73183.51000000001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>
        <f>SUM(D6:D17)</f>
        <v/>
      </c>
      <c r="E18">
        <f>SUM(E6:E17)</f>
        <v/>
      </c>
      <c r="F18">
        <f>SUM(F6:F17)</f>
        <v/>
      </c>
      <c r="G18">
        <f>SUM(G6:G17)</f>
        <v/>
      </c>
      <c r="H18">
        <f>SUM(H6:H17)</f>
        <v/>
      </c>
      <c r="I18">
        <f>SUM(I6:I17)</f>
        <v/>
      </c>
      <c r="J18">
        <f>SUM(J6:J17)</f>
        <v/>
      </c>
      <c r="K18">
        <f>SUM(K6:K17)</f>
        <v/>
      </c>
      <c r="L18">
        <f>SUM(L6:L17)</f>
        <v/>
      </c>
      <c r="M18">
        <f>SUM(M6:M17)</f>
        <v/>
      </c>
      <c r="N18">
        <f>SUM(N6:N17)</f>
        <v/>
      </c>
      <c r="O18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19"/>
    <row r="20" ht="16" customHeight="1" s="89">
      <c r="B20" s="10" t="inlineStr">
        <is>
          <t>Annual Summary</t>
        </is>
      </c>
      <c r="C20" s="11" t="n"/>
      <c r="P20" s="11" t="n"/>
      <c r="Q20" s="11" t="n"/>
      <c r="R20" s="11" t="n"/>
      <c r="S20" s="11" t="n"/>
      <c r="T20" s="11" t="n"/>
    </row>
    <row r="21">
      <c r="B21" s="14" t="inlineStr">
        <is>
          <t>Code</t>
        </is>
      </c>
      <c r="C21" s="14" t="inlineStr">
        <is>
          <t>Studio</t>
        </is>
      </c>
      <c r="P21" s="14" t="inlineStr">
        <is>
          <t>2026</t>
        </is>
      </c>
      <c r="Q21" s="14" t="inlineStr">
        <is>
          <t>2027</t>
        </is>
      </c>
      <c r="R21" s="14" t="inlineStr">
        <is>
          <t>2028</t>
        </is>
      </c>
      <c r="S21" s="14" t="inlineStr">
        <is>
          <t>2027 YoY</t>
        </is>
      </c>
      <c r="T21" s="14" t="inlineStr">
        <is>
          <t>2028 YoY</t>
        </is>
      </c>
    </row>
    <row r="22">
      <c r="B22" s="15" t="inlineStr">
        <is>
          <t>BK</t>
        </is>
      </c>
      <c r="C22" s="18" t="inlineStr">
        <is>
          <t>Berkeley</t>
        </is>
      </c>
      <c r="P22" s="20">
        <f>SUM(P6:AA6)</f>
        <v/>
      </c>
      <c r="Q22" s="20">
        <f>SUM(AB6:AM6)</f>
        <v/>
      </c>
      <c r="R22" s="20">
        <f>SUM(AN6:AY6)</f>
        <v/>
      </c>
      <c r="S22" s="22">
        <f>IFERROR((Q22-P22)/P22,0)</f>
        <v/>
      </c>
      <c r="T22" s="22">
        <f>IFERROR((R22-Q22)/Q22,0)</f>
        <v/>
      </c>
    </row>
    <row r="23">
      <c r="B23" s="15" t="inlineStr">
        <is>
          <t>CC</t>
        </is>
      </c>
      <c r="C23" s="18" t="inlineStr">
        <is>
          <t>Culver City</t>
        </is>
      </c>
      <c r="P23" s="20">
        <f>SUM(P7:AA7)</f>
        <v/>
      </c>
      <c r="Q23" s="20">
        <f>SUM(AB7:AM7)</f>
        <v/>
      </c>
      <c r="R23" s="20">
        <f>SUM(AN7:AY7)</f>
        <v/>
      </c>
      <c r="S23" s="22">
        <f>IFERROR((Q23-P23)/P23,0)</f>
        <v/>
      </c>
      <c r="T23" s="22">
        <f>IFERROR((R23-Q23)/Q23,0)</f>
        <v/>
      </c>
    </row>
    <row r="24">
      <c r="B24" s="15" t="inlineStr">
        <is>
          <t>DN</t>
        </is>
      </c>
      <c r="C24" s="18" t="inlineStr">
        <is>
          <t>Danville</t>
        </is>
      </c>
      <c r="P24" s="20">
        <f>SUM(P8:AA8)</f>
        <v/>
      </c>
      <c r="Q24" s="20">
        <f>SUM(AB8:AM8)</f>
        <v/>
      </c>
      <c r="R24" s="20">
        <f>SUM(AN8:AY8)</f>
        <v/>
      </c>
      <c r="S24" s="22">
        <f>IFERROR((Q24-P24)/P24,0)</f>
        <v/>
      </c>
      <c r="T24" s="22">
        <f>IFERROR((R24-Q24)/Q24,0)</f>
        <v/>
      </c>
    </row>
    <row r="25">
      <c r="B25" s="15" t="inlineStr">
        <is>
          <t>LF</t>
        </is>
      </c>
      <c r="C25" s="18" t="inlineStr">
        <is>
          <t>Lafayette</t>
        </is>
      </c>
      <c r="P25" s="20">
        <f>SUM(P9:AA9)</f>
        <v/>
      </c>
      <c r="Q25" s="20">
        <f>SUM(AB9:AM9)</f>
        <v/>
      </c>
      <c r="R25" s="20">
        <f>SUM(AN9:AY9)</f>
        <v/>
      </c>
      <c r="S25" s="22">
        <f>IFERROR((Q25-P25)/P25,0)</f>
        <v/>
      </c>
      <c r="T25" s="22">
        <f>IFERROR((R25-Q25)/Q25,0)</f>
        <v/>
      </c>
    </row>
    <row r="26">
      <c r="B26" s="15" t="inlineStr">
        <is>
          <t>MR</t>
        </is>
      </c>
      <c r="C26" s="18" t="inlineStr">
        <is>
          <t>Marin</t>
        </is>
      </c>
      <c r="P26" s="20">
        <f>SUM(P10:AA10)</f>
        <v/>
      </c>
      <c r="Q26" s="20">
        <f>SUM(AB10:AM10)</f>
        <v/>
      </c>
      <c r="R26" s="20">
        <f>SUM(AN10:AY10)</f>
        <v/>
      </c>
      <c r="S26" s="22">
        <f>IFERROR((Q26-P26)/P26,0)</f>
        <v/>
      </c>
      <c r="T26" s="22">
        <f>IFERROR((R26-Q26)/Q26,0)</f>
        <v/>
      </c>
    </row>
    <row r="27">
      <c r="B27" s="15" t="inlineStr">
        <is>
          <t>OP</t>
        </is>
      </c>
      <c r="C27" s="18" t="inlineStr">
        <is>
          <t>Ocean Park</t>
        </is>
      </c>
      <c r="P27" s="20">
        <f>SUM(P11:AA11)</f>
        <v/>
      </c>
      <c r="Q27" s="20">
        <f>SUM(AB11:AM11)</f>
        <v/>
      </c>
      <c r="R27" s="20">
        <f>SUM(AN11:AY11)</f>
        <v/>
      </c>
      <c r="S27" s="22">
        <f>IFERROR((Q27-P27)/P27,0)</f>
        <v/>
      </c>
      <c r="T27" s="22">
        <f>IFERROR((R27-Q27)/Q27,0)</f>
        <v/>
      </c>
    </row>
    <row r="28">
      <c r="B28" s="15" t="inlineStr">
        <is>
          <t>PH</t>
        </is>
      </c>
      <c r="C28" s="18" t="inlineStr">
        <is>
          <t>Presidio Heights</t>
        </is>
      </c>
      <c r="P28" s="20">
        <f>SUM(P12:AA12)</f>
        <v/>
      </c>
      <c r="Q28" s="20">
        <f>SUM(AB12:AM12)</f>
        <v/>
      </c>
      <c r="R28" s="20">
        <f>SUM(AN12:AY12)</f>
        <v/>
      </c>
      <c r="S28" s="22">
        <f>IFERROR((Q28-P28)/P28,0)</f>
        <v/>
      </c>
      <c r="T28" s="22">
        <f>IFERROR((R28-Q28)/Q28,0)</f>
        <v/>
      </c>
    </row>
    <row r="29">
      <c r="B29" s="15" t="inlineStr">
        <is>
          <t>RH</t>
        </is>
      </c>
      <c r="C29" s="18" t="inlineStr">
        <is>
          <t>Russian Hill</t>
        </is>
      </c>
      <c r="P29" s="20">
        <f>SUM(P13:AA13)</f>
        <v/>
      </c>
      <c r="Q29" s="20">
        <f>SUM(AB13:AM13)</f>
        <v/>
      </c>
      <c r="R29" s="20">
        <f>SUM(AN13:AY13)</f>
        <v/>
      </c>
      <c r="S29" s="22">
        <f>IFERROR((Q29-P29)/P29,0)</f>
        <v/>
      </c>
      <c r="T29" s="22">
        <f>IFERROR((R29-Q29)/Q29,0)</f>
        <v/>
      </c>
    </row>
    <row r="30">
      <c r="B30" s="15" t="inlineStr">
        <is>
          <t>SB</t>
        </is>
      </c>
      <c r="C30" s="18" t="inlineStr">
        <is>
          <t>Santa Barbara</t>
        </is>
      </c>
      <c r="P30" s="20">
        <f>SUM(P14:AA14)</f>
        <v/>
      </c>
      <c r="Q30" s="20">
        <f>SUM(AB14:AM14)</f>
        <v/>
      </c>
      <c r="R30" s="20">
        <f>SUM(AN14:AY14)</f>
        <v/>
      </c>
      <c r="S30" s="22">
        <f>IFERROR((Q30-P30)/P30,0)</f>
        <v/>
      </c>
      <c r="T30" s="22">
        <f>IFERROR((R30-Q30)/Q30,0)</f>
        <v/>
      </c>
    </row>
    <row r="31">
      <c r="B31" s="15" t="inlineStr">
        <is>
          <t>SM</t>
        </is>
      </c>
      <c r="C31" s="18" t="inlineStr">
        <is>
          <t>Santa Monica</t>
        </is>
      </c>
      <c r="P31" s="20">
        <f>SUM(P15:AA15)</f>
        <v/>
      </c>
      <c r="Q31" s="20">
        <f>SUM(AB15:AM15)</f>
        <v/>
      </c>
      <c r="R31" s="20">
        <f>SUM(AN15:AY15)</f>
        <v/>
      </c>
      <c r="S31" s="22">
        <f>IFERROR((Q31-P31)/P31,0)</f>
        <v/>
      </c>
      <c r="T31" s="22">
        <f>IFERROR((R31-Q31)/Q31,0)</f>
        <v/>
      </c>
    </row>
    <row r="32">
      <c r="B32" s="15" t="inlineStr">
        <is>
          <t>WP</t>
        </is>
      </c>
      <c r="C32" s="18" t="inlineStr">
        <is>
          <t>West Portal</t>
        </is>
      </c>
      <c r="P32" s="20">
        <f>SUM(P16:AA16)</f>
        <v/>
      </c>
      <c r="Q32" s="20">
        <f>SUM(AB16:AM16)</f>
        <v/>
      </c>
      <c r="R32" s="20">
        <f>SUM(AN16:AY16)</f>
        <v/>
      </c>
      <c r="S32" s="22">
        <f>IFERROR((Q32-P32)/P32,0)</f>
        <v/>
      </c>
      <c r="T32" s="22">
        <f>IFERROR((R32-Q32)/Q32,0)</f>
        <v/>
      </c>
    </row>
    <row r="33">
      <c r="B33" s="15" t="inlineStr">
        <is>
          <t>WW</t>
        </is>
      </c>
      <c r="C33" s="18" t="inlineStr">
        <is>
          <t>Westwood</t>
        </is>
      </c>
      <c r="P33" s="20">
        <f>SUM(P17:AA17)</f>
        <v/>
      </c>
      <c r="Q33" s="20">
        <f>SUM(AB17:AM17)</f>
        <v/>
      </c>
      <c r="R33" s="20">
        <f>SUM(AN17:AY17)</f>
        <v/>
      </c>
      <c r="S33" s="22">
        <f>IFERROR((Q33-P33)/P33,0)</f>
        <v/>
      </c>
      <c r="T33" s="22">
        <f>IFERROR((R33-Q33)/Q33,0)</f>
        <v/>
      </c>
    </row>
    <row r="34">
      <c r="B34" s="32" t="inlineStr">
        <is>
          <t>TOTAL</t>
        </is>
      </c>
      <c r="C34" s="32" t="inlineStr">
        <is>
          <t>All Studios</t>
        </is>
      </c>
      <c r="P34" s="17">
        <f>SUM(P22:P33)</f>
        <v/>
      </c>
      <c r="Q34" s="17">
        <f>SUM(Q22:Q33)</f>
        <v/>
      </c>
      <c r="R34" s="17">
        <f>SUM(R22:R33)</f>
        <v/>
      </c>
      <c r="S34" s="29">
        <f>IFERROR((Q34-P34)/P34,0)</f>
        <v/>
      </c>
      <c r="T34" s="29">
        <f>IFERROR((R34-Q34)/Q34,0)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 hidden="1" s="89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89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89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89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89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89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89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89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89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89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89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89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89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89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0" customWidth="1" style="89" min="2" max="2"/>
    <col width="12" customWidth="1" style="89" min="3" max="39"/>
  </cols>
  <sheetData>
    <row r="1"/>
    <row r="2" ht="21" customHeight="1" s="89">
      <c r="B2" s="9" t="inlineStr">
        <is>
          <t>Cash, Debt &amp; Equity</t>
        </is>
      </c>
    </row>
    <row r="3"/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" customHeight="1" s="89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Forecast'!P38</f>
        <v/>
      </c>
      <c r="Q6" s="36">
        <f>'Cash Flow Forecast'!Q38</f>
        <v/>
      </c>
      <c r="R6" s="36">
        <f>'Cash Flow Forecast'!R38</f>
        <v/>
      </c>
      <c r="S6" s="36">
        <f>'Cash Flow Forecast'!S38</f>
        <v/>
      </c>
      <c r="T6" s="36">
        <f>'Cash Flow Forecast'!T38</f>
        <v/>
      </c>
      <c r="U6" s="36">
        <f>'Cash Flow Forecast'!U38</f>
        <v/>
      </c>
      <c r="V6" s="36">
        <f>'Cash Flow Forecast'!V38</f>
        <v/>
      </c>
      <c r="W6" s="36">
        <f>'Cash Flow Forecast'!W38</f>
        <v/>
      </c>
      <c r="X6" s="36">
        <f>'Cash Flow Forecast'!X38</f>
        <v/>
      </c>
      <c r="Y6" s="36">
        <f>'Cash Flow Forecast'!Y38</f>
        <v/>
      </c>
      <c r="Z6" s="36">
        <f>'Cash Flow Forecast'!Z38</f>
        <v/>
      </c>
      <c r="AA6" s="36">
        <f>'Cash Flow Forecast'!AA38</f>
        <v/>
      </c>
      <c r="AB6" s="36">
        <f>'Cash Flow Forecast'!AB38</f>
        <v/>
      </c>
      <c r="AC6" s="36">
        <f>'Cash Flow Forecast'!AC38</f>
        <v/>
      </c>
      <c r="AD6" s="36">
        <f>'Cash Flow Forecast'!AD38</f>
        <v/>
      </c>
      <c r="AE6" s="36">
        <f>'Cash Flow Forecast'!AE38</f>
        <v/>
      </c>
      <c r="AF6" s="36">
        <f>'Cash Flow Forecast'!AF38</f>
        <v/>
      </c>
      <c r="AG6" s="36">
        <f>'Cash Flow Forecast'!AG38</f>
        <v/>
      </c>
      <c r="AH6" s="36">
        <f>'Cash Flow Forecast'!AH38</f>
        <v/>
      </c>
      <c r="AI6" s="36">
        <f>'Cash Flow Forecast'!AI38</f>
        <v/>
      </c>
      <c r="AJ6" s="36">
        <f>'Cash Flow Forecast'!AJ38</f>
        <v/>
      </c>
      <c r="AK6" s="36">
        <f>'Cash Flow Forecast'!AK38</f>
        <v/>
      </c>
      <c r="AL6" s="36">
        <f>'Cash Flow Forecast'!AL38</f>
        <v/>
      </c>
      <c r="AM6" s="36">
        <f>'Cash Flow Forecast'!AM38</f>
        <v/>
      </c>
      <c r="AN6" s="36">
        <f>'Cash Flow Forecast'!AN38</f>
        <v/>
      </c>
      <c r="AO6" s="36">
        <f>'Cash Flow Forecast'!AO38</f>
        <v/>
      </c>
      <c r="AP6" s="36">
        <f>'Cash Flow Forecast'!AP38</f>
        <v/>
      </c>
      <c r="AQ6" s="36">
        <f>'Cash Flow Forecast'!AQ38</f>
        <v/>
      </c>
      <c r="AR6" s="36">
        <f>'Cash Flow Forecast'!AR38</f>
        <v/>
      </c>
      <c r="AS6" s="36">
        <f>'Cash Flow Forecast'!AS38</f>
        <v/>
      </c>
      <c r="AT6" s="36">
        <f>'Cash Flow Forecast'!AT38</f>
        <v/>
      </c>
      <c r="AU6" s="36">
        <f>'Cash Flow Forecast'!AU38</f>
        <v/>
      </c>
      <c r="AV6" s="36">
        <f>'Cash Flow Forecast'!AV38</f>
        <v/>
      </c>
      <c r="AW6" s="36">
        <f>'Cash Flow Forecast'!AW38</f>
        <v/>
      </c>
      <c r="AX6" s="36">
        <f>'Cash Flow Forecast'!AX38</f>
        <v/>
      </c>
      <c r="AY6" s="36">
        <f>'Cash Flow Forecast'!AY38</f>
        <v/>
      </c>
    </row>
    <row r="7"/>
    <row r="8" ht="16" customHeight="1" s="89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7"/>
    <row r="18" ht="16" customHeight="1" s="89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7"/>
    <row r="28" ht="16" customHeight="1" s="89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Y3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M43" sqref="M43"/>
    </sheetView>
  </sheetViews>
  <sheetFormatPr baseColWidth="10" defaultColWidth="8.83203125" defaultRowHeight="15"/>
  <cols>
    <col hidden="1" width="2" customWidth="1" style="89" min="1" max="1"/>
    <col width="30" customWidth="1" style="89" min="2" max="2"/>
    <col width="12" customWidth="1" style="89" min="3" max="39"/>
  </cols>
  <sheetData>
    <row r="1"/>
    <row r="2" ht="21" customHeight="1" s="89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" customHeight="1" s="89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8"/>
    <row r="9" ht="16" customHeight="1" s="89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 t="n">
        <v>147113.46</v>
      </c>
      <c r="Q10" s="19" t="n">
        <v>146344.65</v>
      </c>
      <c r="R10" s="19" t="n">
        <v>147382.66</v>
      </c>
      <c r="S10" s="19" t="n">
        <v>148059.43</v>
      </c>
      <c r="T10" s="31" t="n">
        <v>147112.25</v>
      </c>
      <c r="U10" s="31" t="n">
        <v>147112.25</v>
      </c>
      <c r="V10" s="31" t="n">
        <v>147112.25</v>
      </c>
      <c r="W10" s="31" t="n">
        <v>147112.25</v>
      </c>
      <c r="X10" s="31" t="n">
        <v>147112.25</v>
      </c>
      <c r="Y10" s="31" t="n">
        <v>147112.25</v>
      </c>
      <c r="Z10" s="31" t="n">
        <v>147112.25</v>
      </c>
      <c r="AA10" s="31" t="n">
        <v>147112.25</v>
      </c>
      <c r="AB10" s="31" t="n">
        <v>151525.62</v>
      </c>
      <c r="AC10" s="31" t="n">
        <v>151525.62</v>
      </c>
      <c r="AD10" s="31" t="n">
        <v>151525.62</v>
      </c>
      <c r="AE10" s="31" t="n">
        <v>151525.62</v>
      </c>
      <c r="AF10" s="31" t="n">
        <v>151525.62</v>
      </c>
      <c r="AG10" s="31" t="n">
        <v>151525.62</v>
      </c>
      <c r="AH10" s="31" t="n">
        <v>151525.62</v>
      </c>
      <c r="AI10" s="31" t="n">
        <v>151525.62</v>
      </c>
      <c r="AJ10" s="31" t="n">
        <v>151525.62</v>
      </c>
      <c r="AK10" s="31" t="n">
        <v>151525.62</v>
      </c>
      <c r="AL10" s="31" t="n">
        <v>151525.62</v>
      </c>
      <c r="AM10" s="31" t="n">
        <v>151525.62</v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 t="n">
        <v>681232.98</v>
      </c>
      <c r="Q11" s="19" t="n">
        <v>590412.0599999999</v>
      </c>
      <c r="R11" s="19" t="n">
        <v>628953.8100000001</v>
      </c>
      <c r="S11" s="19" t="n">
        <v>576480.9800000001</v>
      </c>
      <c r="T11" s="31" t="n">
        <v>598615.6099999999</v>
      </c>
      <c r="U11" s="31" t="n">
        <v>598615.6099999999</v>
      </c>
      <c r="V11" s="31" t="n">
        <v>598615.6099999999</v>
      </c>
      <c r="W11" s="31" t="n">
        <v>598615.6099999999</v>
      </c>
      <c r="X11" s="31" t="n">
        <v>598615.6099999999</v>
      </c>
      <c r="Y11" s="31" t="n">
        <v>598615.6099999999</v>
      </c>
      <c r="Z11" s="31" t="n">
        <v>598615.6099999999</v>
      </c>
      <c r="AA11" s="31" t="n">
        <v>598615.6099999999</v>
      </c>
      <c r="AB11" s="31" t="n">
        <v>622560.2300000001</v>
      </c>
      <c r="AC11" s="31" t="n">
        <v>622560.2300000001</v>
      </c>
      <c r="AD11" s="31" t="n">
        <v>622560.2300000001</v>
      </c>
      <c r="AE11" s="31" t="n">
        <v>622560.2300000001</v>
      </c>
      <c r="AF11" s="31" t="n">
        <v>622560.2300000001</v>
      </c>
      <c r="AG11" s="31" t="n">
        <v>622560.2300000001</v>
      </c>
      <c r="AH11" s="31" t="n">
        <v>622560.2300000001</v>
      </c>
      <c r="AI11" s="31" t="n">
        <v>622560.2300000001</v>
      </c>
      <c r="AJ11" s="31" t="n">
        <v>622560.2300000001</v>
      </c>
      <c r="AK11" s="31" t="n">
        <v>622560.2300000001</v>
      </c>
      <c r="AL11" s="31" t="n">
        <v>622560.2300000001</v>
      </c>
      <c r="AM11" s="31" t="n">
        <v>622560.2300000001</v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 t="n">
        <v>7087.42</v>
      </c>
      <c r="Q12" s="19" t="n">
        <v>9973.09</v>
      </c>
      <c r="R12" s="19" t="n">
        <v>7034.72</v>
      </c>
      <c r="S12" s="19" t="n">
        <v>7270.22</v>
      </c>
      <c r="T12" s="31" t="n">
        <v>8720.110000000001</v>
      </c>
      <c r="U12" s="31" t="n">
        <v>8720.110000000001</v>
      </c>
      <c r="V12" s="31" t="n">
        <v>8720.110000000001</v>
      </c>
      <c r="W12" s="31" t="n">
        <v>8720.110000000001</v>
      </c>
      <c r="X12" s="31" t="n">
        <v>8720.110000000001</v>
      </c>
      <c r="Y12" s="31" t="n">
        <v>8720.110000000001</v>
      </c>
      <c r="Z12" s="31" t="n">
        <v>8720.110000000001</v>
      </c>
      <c r="AA12" s="31" t="n">
        <v>8720.110000000001</v>
      </c>
      <c r="AB12" s="31" t="n">
        <v>9043.820000000002</v>
      </c>
      <c r="AC12" s="31" t="n">
        <v>9043.820000000002</v>
      </c>
      <c r="AD12" s="31" t="n">
        <v>9043.820000000002</v>
      </c>
      <c r="AE12" s="31" t="n">
        <v>9043.820000000002</v>
      </c>
      <c r="AF12" s="31" t="n">
        <v>9043.820000000002</v>
      </c>
      <c r="AG12" s="31" t="n">
        <v>9043.820000000002</v>
      </c>
      <c r="AH12" s="31" t="n">
        <v>9043.820000000002</v>
      </c>
      <c r="AI12" s="31" t="n">
        <v>9043.820000000002</v>
      </c>
      <c r="AJ12" s="31" t="n">
        <v>9043.820000000002</v>
      </c>
      <c r="AK12" s="31" t="n">
        <v>9043.820000000002</v>
      </c>
      <c r="AL12" s="31" t="n">
        <v>9043.820000000002</v>
      </c>
      <c r="AM12" s="31" t="n">
        <v>9043.820000000002</v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 t="n">
        <v>27740.18</v>
      </c>
      <c r="Q13" s="19" t="n">
        <v>27007.49</v>
      </c>
      <c r="R13" s="19" t="n">
        <v>16681.8</v>
      </c>
      <c r="S13" s="19" t="n">
        <v>5975.58</v>
      </c>
      <c r="T13" s="31" t="n">
        <v>16948.9</v>
      </c>
      <c r="U13" s="31" t="n">
        <v>16948.9</v>
      </c>
      <c r="V13" s="31" t="n">
        <v>16948.9</v>
      </c>
      <c r="W13" s="31" t="n">
        <v>16948.9</v>
      </c>
      <c r="X13" s="31" t="n">
        <v>16948.9</v>
      </c>
      <c r="Y13" s="31" t="n">
        <v>16948.9</v>
      </c>
      <c r="Z13" s="31" t="n">
        <v>16948.9</v>
      </c>
      <c r="AA13" s="31" t="n">
        <v>16948.9</v>
      </c>
      <c r="AB13" s="31" t="n">
        <v>17626.86</v>
      </c>
      <c r="AC13" s="31" t="n">
        <v>17626.86</v>
      </c>
      <c r="AD13" s="31" t="n">
        <v>17626.86</v>
      </c>
      <c r="AE13" s="31" t="n">
        <v>17626.86</v>
      </c>
      <c r="AF13" s="31" t="n">
        <v>17626.86</v>
      </c>
      <c r="AG13" s="31" t="n">
        <v>17626.86</v>
      </c>
      <c r="AH13" s="31" t="n">
        <v>17626.86</v>
      </c>
      <c r="AI13" s="31" t="n">
        <v>17626.86</v>
      </c>
      <c r="AJ13" s="31" t="n">
        <v>17626.86</v>
      </c>
      <c r="AK13" s="31" t="n">
        <v>17626.86</v>
      </c>
      <c r="AL13" s="31" t="n">
        <v>17626.86</v>
      </c>
      <c r="AM13" s="31" t="n">
        <v>17626.86</v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 t="n">
        <v>32760.80999999999</v>
      </c>
      <c r="Q14" s="19" t="n">
        <v>38409.23</v>
      </c>
      <c r="R14" s="19" t="n">
        <v>33297.16</v>
      </c>
      <c r="S14" s="19" t="n">
        <v>28817.49</v>
      </c>
      <c r="T14" s="31" t="n">
        <v>37431.59</v>
      </c>
      <c r="U14" s="31" t="n">
        <v>37431.59</v>
      </c>
      <c r="V14" s="31" t="n">
        <v>37431.59</v>
      </c>
      <c r="W14" s="31" t="n">
        <v>37431.59</v>
      </c>
      <c r="X14" s="31" t="n">
        <v>37431.59</v>
      </c>
      <c r="Y14" s="31" t="n">
        <v>37431.59</v>
      </c>
      <c r="Z14" s="31" t="n">
        <v>37431.59</v>
      </c>
      <c r="AA14" s="31" t="n">
        <v>37431.59</v>
      </c>
      <c r="AB14" s="31" t="n">
        <v>38928.85000000001</v>
      </c>
      <c r="AC14" s="31" t="n">
        <v>38928.85000000001</v>
      </c>
      <c r="AD14" s="31" t="n">
        <v>38928.85000000001</v>
      </c>
      <c r="AE14" s="31" t="n">
        <v>38928.85000000001</v>
      </c>
      <c r="AF14" s="31" t="n">
        <v>38928.85000000001</v>
      </c>
      <c r="AG14" s="31" t="n">
        <v>38928.85000000001</v>
      </c>
      <c r="AH14" s="31" t="n">
        <v>38928.85000000001</v>
      </c>
      <c r="AI14" s="31" t="n">
        <v>38928.85000000001</v>
      </c>
      <c r="AJ14" s="31" t="n">
        <v>38928.85000000001</v>
      </c>
      <c r="AK14" s="31" t="n">
        <v>38928.85000000001</v>
      </c>
      <c r="AL14" s="31" t="n">
        <v>38928.85000000001</v>
      </c>
      <c r="AM14" s="31" t="n">
        <v>38928.85000000001</v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 t="n">
        <v>42733.79</v>
      </c>
      <c r="Q15" s="19" t="n">
        <v>24202.3</v>
      </c>
      <c r="R15" s="19" t="n">
        <v>22556.84</v>
      </c>
      <c r="S15" s="19" t="n">
        <v>25366</v>
      </c>
      <c r="T15" s="31" t="n">
        <v>24041.72</v>
      </c>
      <c r="U15" s="31" t="n">
        <v>24041.72</v>
      </c>
      <c r="V15" s="31" t="n">
        <v>24041.72</v>
      </c>
      <c r="W15" s="31" t="n">
        <v>24041.72</v>
      </c>
      <c r="X15" s="31" t="n">
        <v>24041.72</v>
      </c>
      <c r="Y15" s="31" t="n">
        <v>24041.72</v>
      </c>
      <c r="Z15" s="31" t="n">
        <v>24041.72</v>
      </c>
      <c r="AA15" s="31" t="n">
        <v>24041.72</v>
      </c>
      <c r="AB15" s="31" t="n">
        <v>25003.37</v>
      </c>
      <c r="AC15" s="31" t="n">
        <v>25003.37</v>
      </c>
      <c r="AD15" s="31" t="n">
        <v>25003.37</v>
      </c>
      <c r="AE15" s="31" t="n">
        <v>25003.37</v>
      </c>
      <c r="AF15" s="31" t="n">
        <v>25003.37</v>
      </c>
      <c r="AG15" s="31" t="n">
        <v>25003.37</v>
      </c>
      <c r="AH15" s="31" t="n">
        <v>25003.37</v>
      </c>
      <c r="AI15" s="31" t="n">
        <v>25003.37</v>
      </c>
      <c r="AJ15" s="31" t="n">
        <v>25003.37</v>
      </c>
      <c r="AK15" s="31" t="n">
        <v>25003.37</v>
      </c>
      <c r="AL15" s="31" t="n">
        <v>25003.37</v>
      </c>
      <c r="AM15" s="31" t="n">
        <v>25003.37</v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 t="n">
        <v>6819.030000000001</v>
      </c>
      <c r="Q16" s="19" t="n">
        <v>3543.33</v>
      </c>
      <c r="R16" s="19" t="n">
        <v>6002.360000000001</v>
      </c>
      <c r="S16" s="19" t="n">
        <v>2789.61</v>
      </c>
      <c r="T16" s="31" t="n">
        <v>4111.78</v>
      </c>
      <c r="U16" s="31" t="n">
        <v>4111.78</v>
      </c>
      <c r="V16" s="31" t="n">
        <v>4111.78</v>
      </c>
      <c r="W16" s="31" t="n">
        <v>4111.78</v>
      </c>
      <c r="X16" s="31" t="n">
        <v>4111.78</v>
      </c>
      <c r="Y16" s="31" t="n">
        <v>4111.78</v>
      </c>
      <c r="Z16" s="31" t="n">
        <v>4111.78</v>
      </c>
      <c r="AA16" s="31" t="n">
        <v>4111.78</v>
      </c>
      <c r="AB16" s="31" t="n">
        <v>4276.25</v>
      </c>
      <c r="AC16" s="31" t="n">
        <v>4276.25</v>
      </c>
      <c r="AD16" s="31" t="n">
        <v>4276.25</v>
      </c>
      <c r="AE16" s="31" t="n">
        <v>4276.25</v>
      </c>
      <c r="AF16" s="31" t="n">
        <v>4276.25</v>
      </c>
      <c r="AG16" s="31" t="n">
        <v>4276.25</v>
      </c>
      <c r="AH16" s="31" t="n">
        <v>4276.25</v>
      </c>
      <c r="AI16" s="31" t="n">
        <v>4276.25</v>
      </c>
      <c r="AJ16" s="31" t="n">
        <v>4276.25</v>
      </c>
      <c r="AK16" s="31" t="n">
        <v>4276.25</v>
      </c>
      <c r="AL16" s="31" t="n">
        <v>4276.25</v>
      </c>
      <c r="AM16" s="31" t="n">
        <v>4276.25</v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 t="n">
        <v>65117.3</v>
      </c>
      <c r="Q17" s="19" t="n">
        <v>67419.25999999999</v>
      </c>
      <c r="R17" s="19" t="n">
        <v>61727.36</v>
      </c>
      <c r="S17" s="19" t="n">
        <v>65364.98000000001</v>
      </c>
      <c r="T17" s="20">
        <f>T7*(Assumptions!$C$19+Assumptions!$C$20)</f>
        <v/>
      </c>
      <c r="U17" s="20">
        <f>U7*(Assumptions!$C$19+Assumptions!$C$20)</f>
        <v/>
      </c>
      <c r="V17" s="20">
        <f>V7*(Assumptions!$C$19+Assumptions!$C$20)</f>
        <v/>
      </c>
      <c r="W17" s="20">
        <f>W7*(Assumptions!$C$19+Assumptions!$C$20)</f>
        <v/>
      </c>
      <c r="X17" s="20">
        <f>X7*(Assumptions!$C$19+Assumptions!$C$20)</f>
        <v/>
      </c>
      <c r="Y17" s="20">
        <f>Y7*(Assumptions!$C$19+Assumptions!$C$20)</f>
        <v/>
      </c>
      <c r="Z17" s="20">
        <f>Z7*(Assumptions!$C$19+Assumptions!$C$20)</f>
        <v/>
      </c>
      <c r="AA17" s="20">
        <f>AA7*(Assumptions!$C$19+Assumptions!$C$20)</f>
        <v/>
      </c>
      <c r="AB17" s="20">
        <f>AB7*(Assumptions!$C$19+Assumptions!$C$20)</f>
        <v/>
      </c>
      <c r="AC17" s="20">
        <f>AC7*(Assumptions!$C$19+Assumptions!$C$20)</f>
        <v/>
      </c>
      <c r="AD17" s="20">
        <f>AD7*(Assumptions!$C$19+Assumptions!$C$20)</f>
        <v/>
      </c>
      <c r="AE17" s="20">
        <f>AE7*(Assumptions!$C$19+Assumptions!$C$20)</f>
        <v/>
      </c>
      <c r="AF17" s="20">
        <f>AF7*(Assumptions!$C$19+Assumptions!$C$20)</f>
        <v/>
      </c>
      <c r="AG17" s="20">
        <f>AG7*(Assumptions!$C$19+Assumptions!$C$20)</f>
        <v/>
      </c>
      <c r="AH17" s="20">
        <f>AH7*(Assumptions!$C$19+Assumptions!$C$20)</f>
        <v/>
      </c>
      <c r="AI17" s="20">
        <f>AI7*(Assumptions!$C$19+Assumptions!$C$20)</f>
        <v/>
      </c>
      <c r="AJ17" s="20">
        <f>AJ7*(Assumptions!$C$19+Assumptions!$C$20)</f>
        <v/>
      </c>
      <c r="AK17" s="20">
        <f>AK7*(Assumptions!$C$19+Assumptions!$C$20)</f>
        <v/>
      </c>
      <c r="AL17" s="20">
        <f>AL7*(Assumptions!$C$19+Assumptions!$C$20)</f>
        <v/>
      </c>
      <c r="AM17" s="20">
        <f>AM7*(Assumptions!$C$19+Assumptions!$C$20)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 t="n">
        <v>3673</v>
      </c>
      <c r="Q19" s="19" t="n">
        <v>8816</v>
      </c>
      <c r="R19" s="19" t="n">
        <v>3673</v>
      </c>
      <c r="S19" s="19" t="n">
        <v>3673</v>
      </c>
      <c r="T19" s="31" t="n">
        <v>5387.33</v>
      </c>
      <c r="U19" s="31" t="n">
        <v>5387.33</v>
      </c>
      <c r="V19" s="31" t="n">
        <v>5387.33</v>
      </c>
      <c r="W19" s="31" t="n">
        <v>5387.33</v>
      </c>
      <c r="X19" s="31" t="n">
        <v>5387.33</v>
      </c>
      <c r="Y19" s="31" t="n">
        <v>5387.33</v>
      </c>
      <c r="Z19" s="31" t="n">
        <v>5387.33</v>
      </c>
      <c r="AA19" s="31" t="n">
        <v>5387.33</v>
      </c>
      <c r="AB19" s="31" t="n">
        <v>5602.82</v>
      </c>
      <c r="AC19" s="31" t="n">
        <v>5602.82</v>
      </c>
      <c r="AD19" s="31" t="n">
        <v>5602.82</v>
      </c>
      <c r="AE19" s="31" t="n">
        <v>5602.82</v>
      </c>
      <c r="AF19" s="31" t="n">
        <v>5602.82</v>
      </c>
      <c r="AG19" s="31" t="n">
        <v>5602.82</v>
      </c>
      <c r="AH19" s="31" t="n">
        <v>5602.82</v>
      </c>
      <c r="AI19" s="31" t="n">
        <v>5602.82</v>
      </c>
      <c r="AJ19" s="31" t="n">
        <v>5602.82</v>
      </c>
      <c r="AK19" s="31" t="n">
        <v>5602.82</v>
      </c>
      <c r="AL19" s="31" t="n">
        <v>5602.82</v>
      </c>
      <c r="AM19" s="31" t="n">
        <v>5602.82</v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5" t="inlineStr">
        <is>
          <t>Total Operating Expenses</t>
        </is>
      </c>
      <c r="P20" s="17">
        <f>SUM(P10:P19)</f>
        <v/>
      </c>
      <c r="Q20" s="17">
        <f>SUM(Q10:Q19)</f>
        <v/>
      </c>
      <c r="R20" s="17">
        <f>SUM(R10:R19)</f>
        <v/>
      </c>
      <c r="S20" s="17">
        <f>SUM(S10:S19)</f>
        <v/>
      </c>
      <c r="T20" s="17">
        <f>SUM(T10:T19)</f>
        <v/>
      </c>
      <c r="U20" s="17">
        <f>SUM(U10:U19)</f>
        <v/>
      </c>
      <c r="V20" s="17">
        <f>SUM(V10:V19)</f>
        <v/>
      </c>
      <c r="W20" s="17">
        <f>SUM(W10:W19)</f>
        <v/>
      </c>
      <c r="X20" s="17">
        <f>SUM(X10:X19)</f>
        <v/>
      </c>
      <c r="Y20" s="17">
        <f>SUM(Y10:Y19)</f>
        <v/>
      </c>
      <c r="Z20" s="17">
        <f>SUM(Z10:Z19)</f>
        <v/>
      </c>
      <c r="AA20" s="17">
        <f>SUM(AA10:AA19)</f>
        <v/>
      </c>
      <c r="AB20" s="17">
        <f>SUM(AB10:AB19)</f>
        <v/>
      </c>
      <c r="AC20" s="17">
        <f>SUM(AC10:AC19)</f>
        <v/>
      </c>
      <c r="AD20" s="17">
        <f>SUM(AD10:AD19)</f>
        <v/>
      </c>
      <c r="AE20" s="17">
        <f>SUM(AE10:AE19)</f>
        <v/>
      </c>
      <c r="AF20" s="17">
        <f>SUM(AF10:AF19)</f>
        <v/>
      </c>
      <c r="AG20" s="17">
        <f>SUM(AG10:AG19)</f>
        <v/>
      </c>
      <c r="AH20" s="17">
        <f>SUM(AH10:AH19)</f>
        <v/>
      </c>
      <c r="AI20" s="17">
        <f>SUM(AI10:AI19)</f>
        <v/>
      </c>
      <c r="AJ20" s="17">
        <f>SUM(AJ10:AJ19)</f>
        <v/>
      </c>
      <c r="AK20" s="17">
        <f>SUM(AK10:AK19)</f>
        <v/>
      </c>
      <c r="AL20" s="17">
        <f>SUM(AL10:AL19)</f>
        <v/>
      </c>
      <c r="AM20" s="17">
        <f>SUM(AM10:AM19)</f>
        <v/>
      </c>
      <c r="AN20" s="17">
        <f>SUM(AN10:AN19)</f>
        <v/>
      </c>
      <c r="AO20" s="17">
        <f>SUM(AO10:AO19)</f>
        <v/>
      </c>
      <c r="AP20" s="17">
        <f>SUM(AP10:AP19)</f>
        <v/>
      </c>
      <c r="AQ20" s="17">
        <f>SUM(AQ10:AQ19)</f>
        <v/>
      </c>
      <c r="AR20" s="17">
        <f>SUM(AR10:AR19)</f>
        <v/>
      </c>
      <c r="AS20" s="17">
        <f>SUM(AS10:AS19)</f>
        <v/>
      </c>
      <c r="AT20" s="17">
        <f>SUM(AT10:AT19)</f>
        <v/>
      </c>
      <c r="AU20" s="17">
        <f>SUM(AU10:AU19)</f>
        <v/>
      </c>
      <c r="AV20" s="17">
        <f>SUM(AV10:AV19)</f>
        <v/>
      </c>
      <c r="AW20" s="17">
        <f>SUM(AW10:AW19)</f>
        <v/>
      </c>
      <c r="AX20" s="17">
        <f>SUM(AX10:AX19)</f>
        <v/>
      </c>
      <c r="AY20" s="17">
        <f>SUM(AY10:AY19)</f>
        <v/>
      </c>
    </row>
    <row r="21">
      <c r="B21" s="15" t="inlineStr">
        <is>
          <t>Net Cash from Operations</t>
        </is>
      </c>
      <c r="P21" s="36">
        <f>P7-P20</f>
        <v/>
      </c>
      <c r="Q21" s="36">
        <f>Q7-Q20</f>
        <v/>
      </c>
      <c r="R21" s="36">
        <f>R7-R20</f>
        <v/>
      </c>
      <c r="S21" s="36">
        <f>S7-S20</f>
        <v/>
      </c>
      <c r="T21" s="36">
        <f>T7-T20</f>
        <v/>
      </c>
      <c r="U21" s="36">
        <f>U7-U20</f>
        <v/>
      </c>
      <c r="V21" s="36">
        <f>V7-V20</f>
        <v/>
      </c>
      <c r="W21" s="36">
        <f>W7-W20</f>
        <v/>
      </c>
      <c r="X21" s="36">
        <f>X7-X20</f>
        <v/>
      </c>
      <c r="Y21" s="36">
        <f>Y7-Y20</f>
        <v/>
      </c>
      <c r="Z21" s="36">
        <f>Z7-Z20</f>
        <v/>
      </c>
      <c r="AA21" s="36">
        <f>AA7-AA20</f>
        <v/>
      </c>
      <c r="AB21" s="36">
        <f>AB7-AB20</f>
        <v/>
      </c>
      <c r="AC21" s="36">
        <f>AC7-AC20</f>
        <v/>
      </c>
      <c r="AD21" s="36">
        <f>AD7-AD20</f>
        <v/>
      </c>
      <c r="AE21" s="36">
        <f>AE7-AE20</f>
        <v/>
      </c>
      <c r="AF21" s="36">
        <f>AF7-AF20</f>
        <v/>
      </c>
      <c r="AG21" s="36">
        <f>AG7-AG20</f>
        <v/>
      </c>
      <c r="AH21" s="36">
        <f>AH7-AH20</f>
        <v/>
      </c>
      <c r="AI21" s="36">
        <f>AI7-AI20</f>
        <v/>
      </c>
      <c r="AJ21" s="36">
        <f>AJ7-AJ20</f>
        <v/>
      </c>
      <c r="AK21" s="36">
        <f>AK7-AK20</f>
        <v/>
      </c>
      <c r="AL21" s="36">
        <f>AL7-AL20</f>
        <v/>
      </c>
      <c r="AM21" s="36">
        <f>AM7-AM20</f>
        <v/>
      </c>
      <c r="AN21" s="36">
        <f>AN7-AN20</f>
        <v/>
      </c>
      <c r="AO21" s="36">
        <f>AO7-AO20</f>
        <v/>
      </c>
      <c r="AP21" s="36">
        <f>AP7-AP20</f>
        <v/>
      </c>
      <c r="AQ21" s="36">
        <f>AQ7-AQ20</f>
        <v/>
      </c>
      <c r="AR21" s="36">
        <f>AR7-AR20</f>
        <v/>
      </c>
      <c r="AS21" s="36">
        <f>AS7-AS20</f>
        <v/>
      </c>
      <c r="AT21" s="36">
        <f>AT7-AT20</f>
        <v/>
      </c>
      <c r="AU21" s="36">
        <f>AU7-AU20</f>
        <v/>
      </c>
      <c r="AV21" s="36">
        <f>AV7-AV20</f>
        <v/>
      </c>
      <c r="AW21" s="36">
        <f>AW7-AW20</f>
        <v/>
      </c>
      <c r="AX21" s="36">
        <f>AX7-AX20</f>
        <v/>
      </c>
      <c r="AY21" s="36">
        <f>AY7-AY20</f>
        <v/>
      </c>
    </row>
    <row r="22"/>
    <row r="23" ht="16" customHeight="1" s="89">
      <c r="B23" s="10" t="inlineStr">
        <is>
          <t>INVESTING ACTIVITIES</t>
        </is>
      </c>
      <c r="C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Equipment &amp; Furniture</t>
        </is>
      </c>
      <c r="P24" s="19" t="n">
        <v>0</v>
      </c>
      <c r="Q24" s="19" t="n">
        <v>2497.4</v>
      </c>
      <c r="R24" s="19" t="n">
        <v>0</v>
      </c>
      <c r="S24" s="19" t="n">
        <v>0</v>
      </c>
      <c r="T24" s="31" t="n">
        <v>0</v>
      </c>
      <c r="U24" s="31" t="n">
        <v>0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A24" s="31" t="n">
        <v>0</v>
      </c>
      <c r="AB24" s="31" t="n">
        <v>0</v>
      </c>
      <c r="AC24" s="31" t="n">
        <v>0</v>
      </c>
      <c r="AD24" s="31" t="n">
        <v>0</v>
      </c>
      <c r="AE24" s="31" t="n">
        <v>0</v>
      </c>
      <c r="AF24" s="31" t="n">
        <v>0</v>
      </c>
      <c r="AG24" s="31" t="n">
        <v>0</v>
      </c>
      <c r="AH24" s="31" t="n">
        <v>0</v>
      </c>
      <c r="AI24" s="31" t="n">
        <v>0</v>
      </c>
      <c r="AJ24" s="31" t="n">
        <v>0</v>
      </c>
      <c r="AK24" s="31" t="n">
        <v>0</v>
      </c>
      <c r="AL24" s="31" t="n">
        <v>0</v>
      </c>
      <c r="AM24" s="31" t="n">
        <v>0</v>
      </c>
      <c r="AN24" s="31" t="n">
        <v>0</v>
      </c>
      <c r="AO24" s="31" t="n">
        <v>0</v>
      </c>
      <c r="AP24" s="31" t="n">
        <v>0</v>
      </c>
      <c r="AQ24" s="31" t="n">
        <v>0</v>
      </c>
      <c r="AR24" s="31" t="n">
        <v>0</v>
      </c>
      <c r="AS24" s="31" t="n">
        <v>0</v>
      </c>
      <c r="AT24" s="31" t="n">
        <v>0</v>
      </c>
      <c r="AU24" s="31" t="n">
        <v>0</v>
      </c>
      <c r="AV24" s="31" t="n">
        <v>0</v>
      </c>
      <c r="AW24" s="31" t="n">
        <v>0</v>
      </c>
      <c r="AX24" s="31" t="n">
        <v>0</v>
      </c>
      <c r="AY24" s="31" t="n">
        <v>0</v>
      </c>
    </row>
    <row r="25">
      <c r="B25" s="18" t="inlineStr">
        <is>
          <t>Leasehold Improvements</t>
        </is>
      </c>
      <c r="P25" s="19" t="n">
        <v>-17810.67</v>
      </c>
      <c r="Q25" s="19" t="n">
        <v>-7094.5</v>
      </c>
      <c r="R25" s="19" t="n">
        <v>-24075</v>
      </c>
      <c r="S25" s="19" t="n">
        <v>-1035.5</v>
      </c>
      <c r="T25" s="31" t="n">
        <v>0</v>
      </c>
      <c r="U25" s="31" t="n">
        <v>0</v>
      </c>
      <c r="V25" s="31" t="n">
        <v>-275000</v>
      </c>
      <c r="W25" s="31" t="n">
        <v>-160000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  <c r="AN25" s="31" t="n">
        <v>0</v>
      </c>
      <c r="AO25" s="31" t="n">
        <v>0</v>
      </c>
      <c r="AP25" s="31" t="n">
        <v>0</v>
      </c>
      <c r="AQ25" s="31" t="n">
        <v>0</v>
      </c>
      <c r="AR25" s="31" t="n">
        <v>0</v>
      </c>
      <c r="AS25" s="31" t="n">
        <v>0</v>
      </c>
      <c r="AT25" s="31" t="n">
        <v>0</v>
      </c>
      <c r="AU25" s="31" t="n">
        <v>0</v>
      </c>
      <c r="AV25" s="31" t="n">
        <v>0</v>
      </c>
      <c r="AW25" s="31" t="n">
        <v>0</v>
      </c>
      <c r="AX25" s="31" t="n">
        <v>0</v>
      </c>
      <c r="AY25" s="31" t="n">
        <v>0</v>
      </c>
    </row>
    <row r="26">
      <c r="B26" s="18" t="inlineStr">
        <is>
          <t>Deposits</t>
        </is>
      </c>
      <c r="P26" s="19" t="n">
        <v>0</v>
      </c>
      <c r="Q26" s="19" t="n">
        <v>0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5" t="inlineStr">
        <is>
          <t>Net Investing</t>
        </is>
      </c>
      <c r="P27" s="17">
        <f>SUM(P24:P26)</f>
        <v/>
      </c>
      <c r="Q27" s="17">
        <f>SUM(Q24:Q26)</f>
        <v/>
      </c>
      <c r="R27" s="17">
        <f>SUM(R24:R26)</f>
        <v/>
      </c>
      <c r="S27" s="17">
        <f>SUM(S24:S26)</f>
        <v/>
      </c>
      <c r="T27" s="17">
        <f>SUM(T24:T26)</f>
        <v/>
      </c>
      <c r="U27" s="17">
        <f>SUM(U24:U26)</f>
        <v/>
      </c>
      <c r="V27" s="17">
        <f>SUM(V24:V26)</f>
        <v/>
      </c>
      <c r="W27" s="17">
        <f>SUM(W24:W26)</f>
        <v/>
      </c>
      <c r="X27" s="17">
        <f>SUM(X24:X26)</f>
        <v/>
      </c>
      <c r="Y27" s="17">
        <f>SUM(Y24:Y26)</f>
        <v/>
      </c>
      <c r="Z27" s="17">
        <f>SUM(Z24:Z26)</f>
        <v/>
      </c>
      <c r="AA27" s="17">
        <f>SUM(AA24:AA26)</f>
        <v/>
      </c>
      <c r="AB27" s="17">
        <f>SUM(AB24:AB26)</f>
        <v/>
      </c>
      <c r="AC27" s="17">
        <f>SUM(AC24:AC26)</f>
        <v/>
      </c>
      <c r="AD27" s="17">
        <f>SUM(AD24:AD26)</f>
        <v/>
      </c>
      <c r="AE27" s="17">
        <f>SUM(AE24:AE26)</f>
        <v/>
      </c>
      <c r="AF27" s="17">
        <f>SUM(AF24:AF26)</f>
        <v/>
      </c>
      <c r="AG27" s="17">
        <f>SUM(AG24:AG26)</f>
        <v/>
      </c>
      <c r="AH27" s="17">
        <f>SUM(AH24:AH26)</f>
        <v/>
      </c>
      <c r="AI27" s="17">
        <f>SUM(AI24:AI26)</f>
        <v/>
      </c>
      <c r="AJ27" s="17">
        <f>SUM(AJ24:AJ26)</f>
        <v/>
      </c>
      <c r="AK27" s="17">
        <f>SUM(AK24:AK26)</f>
        <v/>
      </c>
      <c r="AL27" s="17">
        <f>SUM(AL24:AL26)</f>
        <v/>
      </c>
      <c r="AM27" s="17">
        <f>SUM(AM24:AM26)</f>
        <v/>
      </c>
      <c r="AN27" s="17">
        <f>SUM(AN24:AN26)</f>
        <v/>
      </c>
      <c r="AO27" s="17">
        <f>SUM(AO24:AO26)</f>
        <v/>
      </c>
      <c r="AP27" s="17">
        <f>SUM(AP24:AP26)</f>
        <v/>
      </c>
      <c r="AQ27" s="17">
        <f>SUM(AQ24:AQ26)</f>
        <v/>
      </c>
      <c r="AR27" s="17">
        <f>SUM(AR24:AR26)</f>
        <v/>
      </c>
      <c r="AS27" s="17">
        <f>SUM(AS24:AS26)</f>
        <v/>
      </c>
      <c r="AT27" s="17">
        <f>SUM(AT24:AT26)</f>
        <v/>
      </c>
      <c r="AU27" s="17">
        <f>SUM(AU24:AU26)</f>
        <v/>
      </c>
      <c r="AV27" s="17">
        <f>SUM(AV24:AV26)</f>
        <v/>
      </c>
      <c r="AW27" s="17">
        <f>SUM(AW24:AW26)</f>
        <v/>
      </c>
      <c r="AX27" s="17">
        <f>SUM(AX24:AX26)</f>
        <v/>
      </c>
      <c r="AY27" s="17">
        <f>SUM(AY24:AY26)</f>
        <v/>
      </c>
    </row>
    <row r="28"/>
    <row r="29" ht="16" customHeight="1" s="89">
      <c r="B29" s="10" t="inlineStr">
        <is>
          <t>FINANCING ACTIVITIES</t>
        </is>
      </c>
      <c r="C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Loan Proceeds</t>
        </is>
      </c>
      <c r="P30" s="19" t="n">
        <v>9059.380000000001</v>
      </c>
      <c r="Q30" s="19" t="n">
        <v>9059.380000000001</v>
      </c>
      <c r="R30" s="19" t="n">
        <v>9059.380000000001</v>
      </c>
      <c r="S30" s="19" t="n">
        <v>12507.09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  <c r="AF30" s="31" t="n">
        <v>0</v>
      </c>
      <c r="AG30" s="31" t="n">
        <v>0</v>
      </c>
      <c r="AH30" s="31" t="n">
        <v>0</v>
      </c>
      <c r="AI30" s="31" t="n">
        <v>0</v>
      </c>
      <c r="AJ30" s="31" t="n">
        <v>0</v>
      </c>
      <c r="AK30" s="31" t="n">
        <v>0</v>
      </c>
      <c r="AL30" s="31" t="n">
        <v>0</v>
      </c>
      <c r="AM30" s="31" t="n">
        <v>0</v>
      </c>
      <c r="AN30" s="31" t="n">
        <v>0</v>
      </c>
      <c r="AO30" s="31" t="n">
        <v>0</v>
      </c>
      <c r="AP30" s="31" t="n">
        <v>0</v>
      </c>
      <c r="AQ30" s="31" t="n">
        <v>0</v>
      </c>
      <c r="AR30" s="31" t="n">
        <v>0</v>
      </c>
      <c r="AS30" s="31" t="n">
        <v>0</v>
      </c>
      <c r="AT30" s="31" t="n">
        <v>0</v>
      </c>
      <c r="AU30" s="31" t="n">
        <v>0</v>
      </c>
      <c r="AV30" s="31" t="n">
        <v>0</v>
      </c>
      <c r="AW30" s="31" t="n">
        <v>0</v>
      </c>
      <c r="AX30" s="31" t="n">
        <v>0</v>
      </c>
      <c r="AY30" s="31" t="n">
        <v>0</v>
      </c>
    </row>
    <row r="31">
      <c r="B31" s="18" t="inlineStr">
        <is>
          <t>Loan Repayments</t>
        </is>
      </c>
      <c r="P31" s="19" t="n">
        <v>-132128.24</v>
      </c>
      <c r="Q31" s="19" t="n">
        <v>-122128.76</v>
      </c>
      <c r="R31" s="19" t="n">
        <v>-132834.5</v>
      </c>
      <c r="S31" s="19" t="n">
        <v>-114793.66</v>
      </c>
      <c r="T31" s="20">
        <f>-'Cash, Debt &amp; Equity'!T26</f>
        <v/>
      </c>
      <c r="U31" s="20">
        <f>-'Cash, Debt &amp; Equity'!U26</f>
        <v/>
      </c>
      <c r="V31" s="20">
        <f>-'Cash, Debt &amp; Equity'!V26</f>
        <v/>
      </c>
      <c r="W31" s="20">
        <f>-'Cash, Debt &amp; Equity'!W26</f>
        <v/>
      </c>
      <c r="X31" s="20">
        <f>-'Cash, Debt &amp; Equity'!X26</f>
        <v/>
      </c>
      <c r="Y31" s="20">
        <f>-'Cash, Debt &amp; Equity'!Y26</f>
        <v/>
      </c>
      <c r="Z31" s="20">
        <f>-'Cash, Debt &amp; Equity'!Z26</f>
        <v/>
      </c>
      <c r="AA31" s="20">
        <f>-'Cash, Debt &amp; Equity'!AA26</f>
        <v/>
      </c>
      <c r="AB31" s="20">
        <f>-'Cash, Debt &amp; Equity'!AB26</f>
        <v/>
      </c>
      <c r="AC31" s="20">
        <f>-'Cash, Debt &amp; Equity'!AC26</f>
        <v/>
      </c>
      <c r="AD31" s="20">
        <f>-'Cash, Debt &amp; Equity'!AD26</f>
        <v/>
      </c>
      <c r="AE31" s="20">
        <f>-'Cash, Debt &amp; Equity'!AE26</f>
        <v/>
      </c>
      <c r="AF31" s="20">
        <f>-'Cash, Debt &amp; Equity'!AF26</f>
        <v/>
      </c>
      <c r="AG31" s="20">
        <f>-'Cash, Debt &amp; Equity'!AG26</f>
        <v/>
      </c>
      <c r="AH31" s="20">
        <f>-'Cash, Debt &amp; Equity'!AH26</f>
        <v/>
      </c>
      <c r="AI31" s="20">
        <f>-'Cash, Debt &amp; Equity'!AI26</f>
        <v/>
      </c>
      <c r="AJ31" s="20">
        <f>-'Cash, Debt &amp; Equity'!AJ26</f>
        <v/>
      </c>
      <c r="AK31" s="20">
        <f>-'Cash, Debt &amp; Equity'!AK26</f>
        <v/>
      </c>
      <c r="AL31" s="20">
        <f>-'Cash, Debt &amp; Equity'!AL26</f>
        <v/>
      </c>
      <c r="AM31" s="20">
        <f>-'Cash, Debt &amp; Equity'!AM26</f>
        <v/>
      </c>
      <c r="AN31" s="20">
        <f>-'Cash, Debt &amp; Equity'!AN26</f>
        <v/>
      </c>
      <c r="AO31" s="20">
        <f>-'Cash, Debt &amp; Equity'!AO26</f>
        <v/>
      </c>
      <c r="AP31" s="20">
        <f>-'Cash, Debt &amp; Equity'!AP26</f>
        <v/>
      </c>
      <c r="AQ31" s="20">
        <f>-'Cash, Debt &amp; Equity'!AQ26</f>
        <v/>
      </c>
      <c r="AR31" s="20">
        <f>-'Cash, Debt &amp; Equity'!AR26</f>
        <v/>
      </c>
      <c r="AS31" s="20">
        <f>-'Cash, Debt &amp; Equity'!AS26</f>
        <v/>
      </c>
      <c r="AT31" s="20">
        <f>-'Cash, Debt &amp; Equity'!AT26</f>
        <v/>
      </c>
      <c r="AU31" s="20">
        <f>-'Cash, Debt &amp; Equity'!AU26</f>
        <v/>
      </c>
      <c r="AV31" s="20">
        <f>-'Cash, Debt &amp; Equity'!AV26</f>
        <v/>
      </c>
      <c r="AW31" s="20">
        <f>-'Cash, Debt &amp; Equity'!AW26</f>
        <v/>
      </c>
      <c r="AX31" s="20">
        <f>-'Cash, Debt &amp; Equity'!AX26</f>
        <v/>
      </c>
      <c r="AY31" s="20">
        <f>-'Cash, Debt &amp; Equity'!AY26</f>
        <v/>
      </c>
    </row>
    <row r="32">
      <c r="B32" s="18" t="inlineStr">
        <is>
          <t>Intercompany / Owner Contributions</t>
        </is>
      </c>
      <c r="P32" s="19" t="n">
        <v>0</v>
      </c>
      <c r="Q32" s="19" t="n">
        <v>0</v>
      </c>
      <c r="R32" s="19" t="n">
        <v>133333.33</v>
      </c>
      <c r="S32" s="19" t="n">
        <v>78333.33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-100000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5" t="inlineStr">
        <is>
          <t>Net Financing</t>
        </is>
      </c>
      <c r="P33" s="17">
        <f>SUM(P30:P32)</f>
        <v/>
      </c>
      <c r="Q33" s="17">
        <f>SUM(Q30:Q32)</f>
        <v/>
      </c>
      <c r="R33" s="17">
        <f>SUM(R30:R32)</f>
        <v/>
      </c>
      <c r="S33" s="17">
        <f>SUM(S30:S32)</f>
        <v/>
      </c>
      <c r="T33" s="17">
        <f>SUM(T30:T32)</f>
        <v/>
      </c>
      <c r="U33" s="17">
        <f>SUM(U30:U32)</f>
        <v/>
      </c>
      <c r="V33" s="17">
        <f>SUM(V30:V32)</f>
        <v/>
      </c>
      <c r="W33" s="17">
        <f>SUM(W30:W32)</f>
        <v/>
      </c>
      <c r="X33" s="17">
        <f>SUM(X30:X32)</f>
        <v/>
      </c>
      <c r="Y33" s="17">
        <f>SUM(Y30:Y32)</f>
        <v/>
      </c>
      <c r="Z33" s="17">
        <f>SUM(Z30:Z32)</f>
        <v/>
      </c>
      <c r="AA33" s="17">
        <f>SUM(AA30:AA32)</f>
        <v/>
      </c>
      <c r="AB33" s="17">
        <f>SUM(AB30:AB32)</f>
        <v/>
      </c>
      <c r="AC33" s="17">
        <f>SUM(AC30:AC32)</f>
        <v/>
      </c>
      <c r="AD33" s="17">
        <f>SUM(AD30:AD32)</f>
        <v/>
      </c>
      <c r="AE33" s="17">
        <f>SUM(AE30:AE32)</f>
        <v/>
      </c>
      <c r="AF33" s="17">
        <f>SUM(AF30:AF32)</f>
        <v/>
      </c>
      <c r="AG33" s="17">
        <f>SUM(AG30:AG32)</f>
        <v/>
      </c>
      <c r="AH33" s="17">
        <f>SUM(AH30:AH32)</f>
        <v/>
      </c>
      <c r="AI33" s="17">
        <f>SUM(AI30:AI32)</f>
        <v/>
      </c>
      <c r="AJ33" s="17">
        <f>SUM(AJ30:AJ32)</f>
        <v/>
      </c>
      <c r="AK33" s="17">
        <f>SUM(AK30:AK32)</f>
        <v/>
      </c>
      <c r="AL33" s="17">
        <f>SUM(AL30:AL32)</f>
        <v/>
      </c>
      <c r="AM33" s="17">
        <f>SUM(AM30:AM32)</f>
        <v/>
      </c>
      <c r="AN33" s="17">
        <f>SUM(AN30:AN32)</f>
        <v/>
      </c>
      <c r="AO33" s="17">
        <f>SUM(AO30:AO32)</f>
        <v/>
      </c>
      <c r="AP33" s="17">
        <f>SUM(AP30:AP32)</f>
        <v/>
      </c>
      <c r="AQ33" s="17">
        <f>SUM(AQ30:AQ32)</f>
        <v/>
      </c>
      <c r="AR33" s="17">
        <f>SUM(AR30:AR32)</f>
        <v/>
      </c>
      <c r="AS33" s="17">
        <f>SUM(AS30:AS32)</f>
        <v/>
      </c>
      <c r="AT33" s="17">
        <f>SUM(AT30:AT32)</f>
        <v/>
      </c>
      <c r="AU33" s="17">
        <f>SUM(AU30:AU32)</f>
        <v/>
      </c>
      <c r="AV33" s="17">
        <f>SUM(AV30:AV32)</f>
        <v/>
      </c>
      <c r="AW33" s="17">
        <f>SUM(AW30:AW32)</f>
        <v/>
      </c>
      <c r="AX33" s="17">
        <f>SUM(AX30:AX32)</f>
        <v/>
      </c>
      <c r="AY33" s="17">
        <f>SUM(AY30:AY32)</f>
        <v/>
      </c>
    </row>
    <row r="34"/>
    <row r="35" ht="16" customHeight="1" s="89">
      <c r="B35" s="10" t="inlineStr">
        <is>
          <t>NET CHANGE IN CASH</t>
        </is>
      </c>
      <c r="C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5" t="inlineStr">
        <is>
          <t>Net Change in Cash</t>
        </is>
      </c>
      <c r="P36" s="36">
        <f>P21+P27+P33</f>
        <v/>
      </c>
      <c r="Q36" s="36">
        <f>Q21+Q27+Q33</f>
        <v/>
      </c>
      <c r="R36" s="36">
        <f>R21+R27+R33</f>
        <v/>
      </c>
      <c r="S36" s="36">
        <f>S21+S27+S33</f>
        <v/>
      </c>
      <c r="T36" s="36">
        <f>T21+T27+T33</f>
        <v/>
      </c>
      <c r="U36" s="36">
        <f>U21+U27+U33</f>
        <v/>
      </c>
      <c r="V36" s="36">
        <f>V21+V27+V33</f>
        <v/>
      </c>
      <c r="W36" s="36">
        <f>W21+W27+W33</f>
        <v/>
      </c>
      <c r="X36" s="36">
        <f>X21+X27+X33</f>
        <v/>
      </c>
      <c r="Y36" s="36">
        <f>Y21+Y27+Y33</f>
        <v/>
      </c>
      <c r="Z36" s="36">
        <f>Z21+Z27+Z33</f>
        <v/>
      </c>
      <c r="AA36" s="36">
        <f>AA21+AA27+AA33</f>
        <v/>
      </c>
      <c r="AB36" s="36">
        <f>AB21+AB27+AB33</f>
        <v/>
      </c>
      <c r="AC36" s="36">
        <f>AC21+AC27+AC33</f>
        <v/>
      </c>
      <c r="AD36" s="36">
        <f>AD21+AD27+AD33</f>
        <v/>
      </c>
      <c r="AE36" s="36">
        <f>AE21+AE27+AE33</f>
        <v/>
      </c>
      <c r="AF36" s="36">
        <f>AF21+AF27+AF33</f>
        <v/>
      </c>
      <c r="AG36" s="36">
        <f>AG21+AG27+AG33</f>
        <v/>
      </c>
      <c r="AH36" s="36">
        <f>AH21+AH27+AH33</f>
        <v/>
      </c>
      <c r="AI36" s="36">
        <f>AI21+AI27+AI33</f>
        <v/>
      </c>
      <c r="AJ36" s="36">
        <f>AJ21+AJ27+AJ33</f>
        <v/>
      </c>
      <c r="AK36" s="36">
        <f>AK21+AK27+AK33</f>
        <v/>
      </c>
      <c r="AL36" s="36">
        <f>AL21+AL27+AL33</f>
        <v/>
      </c>
      <c r="AM36" s="36">
        <f>AM21+AM27+AM33</f>
        <v/>
      </c>
      <c r="AN36" s="36">
        <f>AN21+AN27+AN33</f>
        <v/>
      </c>
      <c r="AO36" s="36">
        <f>AO21+AO27+AO33</f>
        <v/>
      </c>
      <c r="AP36" s="36">
        <f>AP21+AP27+AP33</f>
        <v/>
      </c>
      <c r="AQ36" s="36">
        <f>AQ21+AQ27+AQ33</f>
        <v/>
      </c>
      <c r="AR36" s="36">
        <f>AR21+AR27+AR33</f>
        <v/>
      </c>
      <c r="AS36" s="36">
        <f>AS21+AS27+AS33</f>
        <v/>
      </c>
      <c r="AT36" s="36">
        <f>AT21+AT27+AT33</f>
        <v/>
      </c>
      <c r="AU36" s="36">
        <f>AU21+AU27+AU33</f>
        <v/>
      </c>
      <c r="AV36" s="36">
        <f>AV21+AV27+AV33</f>
        <v/>
      </c>
      <c r="AW36" s="36">
        <f>AW21+AW27+AW33</f>
        <v/>
      </c>
      <c r="AX36" s="36">
        <f>AX21+AX27+AX33</f>
        <v/>
      </c>
      <c r="AY36" s="36">
        <f>AY21+AY27+AY33</f>
        <v/>
      </c>
    </row>
    <row r="37">
      <c r="B37" s="18" t="inlineStr">
        <is>
          <t>Beginning Cash Balance</t>
        </is>
      </c>
      <c r="P37" s="19">
        <f>P38-P36</f>
        <v/>
      </c>
      <c r="Q37" s="19">
        <f>P38</f>
        <v/>
      </c>
      <c r="R37" s="19">
        <f>Q38</f>
        <v/>
      </c>
      <c r="S37" s="19">
        <f>R38</f>
        <v/>
      </c>
      <c r="T37" s="20">
        <f>S38</f>
        <v/>
      </c>
      <c r="U37" s="20">
        <f>T38</f>
        <v/>
      </c>
      <c r="V37" s="20">
        <f>U38</f>
        <v/>
      </c>
      <c r="W37" s="20">
        <f>V38</f>
        <v/>
      </c>
      <c r="X37" s="20">
        <f>W38</f>
        <v/>
      </c>
      <c r="Y37" s="20">
        <f>X38</f>
        <v/>
      </c>
      <c r="Z37" s="20">
        <f>Y38</f>
        <v/>
      </c>
      <c r="AA37" s="20">
        <f>Z38</f>
        <v/>
      </c>
      <c r="AB37" s="20">
        <f>AA38</f>
        <v/>
      </c>
      <c r="AC37" s="20">
        <f>AB38</f>
        <v/>
      </c>
      <c r="AD37" s="20">
        <f>AC38</f>
        <v/>
      </c>
      <c r="AE37" s="20">
        <f>AD38</f>
        <v/>
      </c>
      <c r="AF37" s="20">
        <f>AE38</f>
        <v/>
      </c>
      <c r="AG37" s="20">
        <f>AF38</f>
        <v/>
      </c>
      <c r="AH37" s="20">
        <f>AG38</f>
        <v/>
      </c>
      <c r="AI37" s="20">
        <f>AH38</f>
        <v/>
      </c>
      <c r="AJ37" s="20">
        <f>AI38</f>
        <v/>
      </c>
      <c r="AK37" s="20">
        <f>AJ38</f>
        <v/>
      </c>
      <c r="AL37" s="20">
        <f>AK38</f>
        <v/>
      </c>
      <c r="AM37" s="20">
        <f>AL38</f>
        <v/>
      </c>
      <c r="AN37" s="20">
        <f>AM38</f>
        <v/>
      </c>
      <c r="AO37" s="20">
        <f>AN38</f>
        <v/>
      </c>
      <c r="AP37" s="20">
        <f>AO38</f>
        <v/>
      </c>
      <c r="AQ37" s="20">
        <f>AP38</f>
        <v/>
      </c>
      <c r="AR37" s="20">
        <f>AQ38</f>
        <v/>
      </c>
      <c r="AS37" s="20">
        <f>AR38</f>
        <v/>
      </c>
      <c r="AT37" s="20">
        <f>AS38</f>
        <v/>
      </c>
      <c r="AU37" s="20">
        <f>AT38</f>
        <v/>
      </c>
      <c r="AV37" s="20">
        <f>AU38</f>
        <v/>
      </c>
      <c r="AW37" s="20">
        <f>AV38</f>
        <v/>
      </c>
      <c r="AX37" s="20">
        <f>AW38</f>
        <v/>
      </c>
      <c r="AY37" s="20">
        <f>AX38</f>
        <v/>
      </c>
    </row>
    <row r="38">
      <c r="B38" s="15" t="inlineStr">
        <is>
          <t>Ending Cash Balance</t>
        </is>
      </c>
      <c r="P38" s="65" t="n">
        <v>187021.69</v>
      </c>
      <c r="Q38" s="65" t="n">
        <v>261314.24</v>
      </c>
      <c r="R38" s="65" t="n">
        <v>237762.6</v>
      </c>
      <c r="S38" s="65" t="n">
        <v>473976.03</v>
      </c>
      <c r="T38" s="36">
        <f>T37+T36</f>
        <v/>
      </c>
      <c r="U38" s="36">
        <f>U37+U36</f>
        <v/>
      </c>
      <c r="V38" s="36">
        <f>V37+V36</f>
        <v/>
      </c>
      <c r="W38" s="36">
        <f>W37+W36</f>
        <v/>
      </c>
      <c r="X38" s="36">
        <f>X37+X36</f>
        <v/>
      </c>
      <c r="Y38" s="36">
        <f>Y37+Y36</f>
        <v/>
      </c>
      <c r="Z38" s="36">
        <f>Z37+Z36</f>
        <v/>
      </c>
      <c r="AA38" s="36">
        <f>AA37+AA36</f>
        <v/>
      </c>
      <c r="AB38" s="36">
        <f>AB37+AB36</f>
        <v/>
      </c>
      <c r="AC38" s="36">
        <f>AC37+AC36</f>
        <v/>
      </c>
      <c r="AD38" s="36">
        <f>AD37+AD36</f>
        <v/>
      </c>
      <c r="AE38" s="36">
        <f>AE37+AE36</f>
        <v/>
      </c>
      <c r="AF38" s="36">
        <f>AF37+AF36</f>
        <v/>
      </c>
      <c r="AG38" s="36">
        <f>AG37+AG36</f>
        <v/>
      </c>
      <c r="AH38" s="36">
        <f>AH37+AH36</f>
        <v/>
      </c>
      <c r="AI38" s="36">
        <f>AI37+AI36</f>
        <v/>
      </c>
      <c r="AJ38" s="36">
        <f>AJ37+AJ36</f>
        <v/>
      </c>
      <c r="AK38" s="36">
        <f>AK37+AK36</f>
        <v/>
      </c>
      <c r="AL38" s="36">
        <f>AL37+AL36</f>
        <v/>
      </c>
      <c r="AM38" s="36">
        <f>AM37+AM36</f>
        <v/>
      </c>
      <c r="AN38" s="36">
        <f>AN37+AN36</f>
        <v/>
      </c>
      <c r="AO38" s="36">
        <f>AO37+AO36</f>
        <v/>
      </c>
      <c r="AP38" s="36">
        <f>AP37+AP36</f>
        <v/>
      </c>
      <c r="AQ38" s="36">
        <f>AQ37+AQ36</f>
        <v/>
      </c>
      <c r="AR38" s="36">
        <f>AR37+AR36</f>
        <v/>
      </c>
      <c r="AS38" s="36">
        <f>AS37+AS36</f>
        <v/>
      </c>
      <c r="AT38" s="36">
        <f>AT37+AT36</f>
        <v/>
      </c>
      <c r="AU38" s="36">
        <f>AU37+AU36</f>
        <v/>
      </c>
      <c r="AV38" s="36">
        <f>AV37+AV36</f>
        <v/>
      </c>
      <c r="AW38" s="36">
        <f>AW37+AW36</f>
        <v/>
      </c>
      <c r="AX38" s="36">
        <f>AX37+AX36</f>
        <v/>
      </c>
      <c r="AY38" s="36">
        <f>AY37+AY36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AY39"/>
  <sheetViews>
    <sheetView showGridLines="0"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27" sqref="I27"/>
    </sheetView>
  </sheetViews>
  <sheetFormatPr baseColWidth="10" defaultColWidth="8.83203125" defaultRowHeight="15"/>
  <cols>
    <col hidden="1" width="2" customWidth="1" style="89" min="1" max="1"/>
    <col width="30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" customHeight="1" s="89">
      <c r="B4" s="10" t="inlineStr">
        <is>
          <t>Monthly P&amp;L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t="n">
        <v>444458.84</v>
      </c>
      <c r="E6" t="n">
        <v>541393.7599999999</v>
      </c>
      <c r="F6" t="n">
        <v>704822.0399999999</v>
      </c>
      <c r="G6" t="n">
        <v>684557.5900000001</v>
      </c>
      <c r="H6" t="n">
        <v>741695.3900000001</v>
      </c>
      <c r="I6" t="n">
        <v>732460.21</v>
      </c>
      <c r="J6" t="n">
        <v>728344.66</v>
      </c>
      <c r="K6" t="n">
        <v>718819.7200000002</v>
      </c>
      <c r="L6" t="n">
        <v>720323.37</v>
      </c>
      <c r="M6" t="n">
        <v>736168.7400000001</v>
      </c>
      <c r="N6" t="n">
        <v>706551.9899999999</v>
      </c>
      <c r="O6" t="n">
        <v>690895.8200000001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t="n">
        <v>75237.94</v>
      </c>
      <c r="E7" t="n">
        <v>109399.17</v>
      </c>
      <c r="F7" t="n">
        <v>140651.46</v>
      </c>
      <c r="G7" t="n">
        <v>149516.51</v>
      </c>
      <c r="H7" t="n">
        <v>181344.3</v>
      </c>
      <c r="I7" t="n">
        <v>149213.5</v>
      </c>
      <c r="J7" t="n">
        <v>157965.23</v>
      </c>
      <c r="K7" t="n">
        <v>206864.97</v>
      </c>
      <c r="L7" t="n">
        <v>213185.16</v>
      </c>
      <c r="M7" t="n">
        <v>179766.24</v>
      </c>
      <c r="N7" t="n">
        <v>238121.51</v>
      </c>
      <c r="O7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t="n">
        <v>20273</v>
      </c>
      <c r="E8" t="n">
        <v>19453.92</v>
      </c>
      <c r="F8" t="n">
        <v>17164.03</v>
      </c>
      <c r="G8" t="n">
        <v>18478</v>
      </c>
      <c r="H8" t="n">
        <v>19384</v>
      </c>
      <c r="I8" t="n">
        <v>28826</v>
      </c>
      <c r="J8" t="n">
        <v>20010</v>
      </c>
      <c r="K8" t="n">
        <v>19175</v>
      </c>
      <c r="L8" t="n">
        <v>19247.98</v>
      </c>
      <c r="M8" t="n">
        <v>19640</v>
      </c>
      <c r="N8" t="n">
        <v>21643.2</v>
      </c>
      <c r="O8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 t="n">
        <v>16653.27</v>
      </c>
      <c r="V8" s="20" t="n">
        <v>16653.27</v>
      </c>
      <c r="W8" s="20" t="n">
        <v>16653.27</v>
      </c>
      <c r="X8" s="20" t="n">
        <v>16653.27</v>
      </c>
      <c r="Y8" s="20" t="n">
        <v>16653.27</v>
      </c>
      <c r="Z8" s="20" t="n">
        <v>16653.27</v>
      </c>
      <c r="AA8" s="20" t="n">
        <v>16653.27</v>
      </c>
      <c r="AB8" s="20" t="n">
        <v>16653.27</v>
      </c>
      <c r="AC8" s="20" t="n">
        <v>16653.27</v>
      </c>
      <c r="AD8" s="20" t="n">
        <v>16653.27</v>
      </c>
      <c r="AE8" s="20" t="n">
        <v>16653.27</v>
      </c>
      <c r="AF8" s="20" t="n">
        <v>16653.27</v>
      </c>
      <c r="AG8" s="20" t="n">
        <v>16653.27</v>
      </c>
      <c r="AH8" s="20" t="n">
        <v>16653.27</v>
      </c>
      <c r="AI8" s="20" t="n">
        <v>16653.27</v>
      </c>
      <c r="AJ8" s="20" t="n">
        <v>16653.27</v>
      </c>
      <c r="AK8" s="20" t="n">
        <v>16653.27</v>
      </c>
      <c r="AL8" s="20" t="n">
        <v>16653.27</v>
      </c>
      <c r="AM8" s="20" t="n">
        <v>16653.27</v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t="n">
        <v>-16377.01</v>
      </c>
      <c r="E9" t="n">
        <v>-10335.55</v>
      </c>
      <c r="F9" t="n">
        <v>-14180.05</v>
      </c>
      <c r="G9" t="n">
        <v>-17645.51</v>
      </c>
      <c r="H9" t="n">
        <v>-12735.29</v>
      </c>
      <c r="I9" t="n">
        <v>-10897.91</v>
      </c>
      <c r="J9" t="n">
        <v>-13385.21</v>
      </c>
      <c r="K9" t="n">
        <v>-12377.04</v>
      </c>
      <c r="L9" t="n">
        <v>-18282.51</v>
      </c>
      <c r="M9" t="n">
        <v>-22049.66</v>
      </c>
      <c r="N9" t="n">
        <v>-15320.98</v>
      </c>
      <c r="O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t="n">
        <v>-73972.55</v>
      </c>
      <c r="E10" t="n">
        <v>-63470.28</v>
      </c>
      <c r="F10" t="n">
        <v>-69852.24000000001</v>
      </c>
      <c r="G10" t="n">
        <v>-68577.95</v>
      </c>
      <c r="H10" t="n">
        <v>-75810.5</v>
      </c>
      <c r="I10" t="n">
        <v>-59569.88</v>
      </c>
      <c r="J10" t="n">
        <v>-56128.38</v>
      </c>
      <c r="K10" t="n">
        <v>-56204.78</v>
      </c>
      <c r="L10" t="n">
        <v>-59582.4</v>
      </c>
      <c r="M10" t="n">
        <v>-54374.17</v>
      </c>
      <c r="N10" t="n">
        <v>-48649.06</v>
      </c>
      <c r="O10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t="n">
        <v>629355.5600000001</v>
      </c>
      <c r="E11" t="n">
        <v>695448.3899999999</v>
      </c>
      <c r="F11" t="n">
        <v>845088.6099999999</v>
      </c>
      <c r="G11" t="n">
        <v>803508.3700000001</v>
      </c>
      <c r="H11" t="n">
        <v>877719.53</v>
      </c>
      <c r="I11" t="n">
        <v>853012.7899999999</v>
      </c>
      <c r="J11" t="n">
        <v>844889.7300000001</v>
      </c>
      <c r="K11" t="n">
        <v>882190.1800000002</v>
      </c>
      <c r="L11" t="n">
        <v>877190.1899999999</v>
      </c>
      <c r="M11" t="n">
        <v>861368.9300000001</v>
      </c>
      <c r="N11" t="n">
        <v>903526.46</v>
      </c>
      <c r="O11" t="n">
        <v>943564.3100000001</v>
      </c>
      <c r="P11" s="35" t="n">
        <v>1082861.84</v>
      </c>
      <c r="Q11" s="35" t="n">
        <v>969453.09</v>
      </c>
      <c r="R11" s="35" t="n">
        <v>946910.6399999999</v>
      </c>
      <c r="S11" s="35" t="n">
        <v>887877.7</v>
      </c>
      <c r="T11" s="85" t="n">
        <v>918006.51</v>
      </c>
      <c r="U11" s="17">
        <f>U6+U7+U8+U9+U10</f>
        <v/>
      </c>
      <c r="V11" s="17">
        <f>V6+V7+V8+V9+V10</f>
        <v/>
      </c>
      <c r="W11" s="17">
        <f>W6+W7+W8+W9+W10</f>
        <v/>
      </c>
      <c r="X11" s="17">
        <f>X6+X7+X8+X9+X10</f>
        <v/>
      </c>
      <c r="Y11" s="17">
        <f>Y6+Y7+Y8+Y9+Y10</f>
        <v/>
      </c>
      <c r="Z11" s="17">
        <f>Z6+Z7+Z8+Z9+Z10</f>
        <v/>
      </c>
      <c r="AA11" s="17">
        <f>AA6+AA7+AA8+AA9+AA10</f>
        <v/>
      </c>
      <c r="AB11" s="17">
        <f>AB6+AB7+AB8+AB9+AB10</f>
        <v/>
      </c>
      <c r="AC11" s="17">
        <f>AC6+AC7+AC8+AC9+AC10</f>
        <v/>
      </c>
      <c r="AD11" s="17">
        <f>AD6+AD7+AD8+AD9+AD10</f>
        <v/>
      </c>
      <c r="AE11" s="17">
        <f>AE6+AE7+AE8+AE9+AE10</f>
        <v/>
      </c>
      <c r="AF11" s="17">
        <f>AF6+AF7+AF8+AF9+AF10</f>
        <v/>
      </c>
      <c r="AG11" s="17">
        <f>AG6+AG7+AG8+AG9+AG10</f>
        <v/>
      </c>
      <c r="AH11" s="17">
        <f>AH6+AH7+AH8+AH9+AH10</f>
        <v/>
      </c>
      <c r="AI11" s="17">
        <f>AI6+AI7+AI8+AI9+AI10</f>
        <v/>
      </c>
      <c r="AJ11" s="17">
        <f>AJ6+AJ7+AJ8+AJ9+AJ10</f>
        <v/>
      </c>
      <c r="AK11" s="17">
        <f>AK6+AK7+AK8+AK9+AK10</f>
        <v/>
      </c>
      <c r="AL11" s="17">
        <f>AL6+AL7+AL8+AL9+AL10</f>
        <v/>
      </c>
      <c r="AM11" s="17">
        <f>AM6+AM7+AM8+AM9+AM10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t="n">
        <v>587714.4</v>
      </c>
      <c r="E13" t="n">
        <v>664601.9699999999</v>
      </c>
      <c r="F13" t="n">
        <v>810233.7899999999</v>
      </c>
      <c r="G13" t="n">
        <v>766400.5500000002</v>
      </c>
      <c r="H13" t="n">
        <v>846558.9</v>
      </c>
      <c r="I13" t="n">
        <v>817869.2799999999</v>
      </c>
      <c r="J13" t="n">
        <v>811691.7000000001</v>
      </c>
      <c r="K13" t="n">
        <v>847262.5500000002</v>
      </c>
      <c r="L13" t="n">
        <v>844736.5299999999</v>
      </c>
      <c r="M13" t="n">
        <v>829313.1900000001</v>
      </c>
      <c r="N13" t="n">
        <v>869551.3999999999</v>
      </c>
      <c r="O13" t="n">
        <v>888842.6200000001</v>
      </c>
      <c r="P13" s="35" t="n">
        <v>1044851.99</v>
      </c>
      <c r="Q13" s="35" t="n">
        <v>930956.0599999999</v>
      </c>
      <c r="R13" s="35" t="n">
        <v>911950.1099999999</v>
      </c>
      <c r="S13" s="35" t="n">
        <v>850941.21</v>
      </c>
      <c r="T13" s="85" t="n">
        <v>890917.8500000001</v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t="n">
        <v>19034.32</v>
      </c>
      <c r="E14" t="n">
        <v>17063.4</v>
      </c>
      <c r="F14" t="n">
        <v>25178.17</v>
      </c>
      <c r="G14" t="n">
        <v>17943.65</v>
      </c>
      <c r="H14" t="n">
        <v>25913.01</v>
      </c>
      <c r="I14" t="n">
        <v>34869.84</v>
      </c>
      <c r="J14" t="n">
        <v>23544.8</v>
      </c>
      <c r="K14" t="n">
        <v>25878.64</v>
      </c>
      <c r="L14" t="n">
        <v>30151.1</v>
      </c>
      <c r="M14" t="n">
        <v>31586.11</v>
      </c>
      <c r="N14" t="n">
        <v>40588.79</v>
      </c>
      <c r="O14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t="n">
        <v>419319.36</v>
      </c>
      <c r="E15" t="n">
        <v>423621.65</v>
      </c>
      <c r="F15" t="n">
        <v>479539.11</v>
      </c>
      <c r="G15" t="n">
        <v>456441.26</v>
      </c>
      <c r="H15" t="n">
        <v>558270.3199999999</v>
      </c>
      <c r="I15" t="n">
        <v>533362.29</v>
      </c>
      <c r="J15" t="n">
        <v>551786.76</v>
      </c>
      <c r="K15" t="n">
        <v>563606.75</v>
      </c>
      <c r="L15" t="n">
        <v>576144.9400000001</v>
      </c>
      <c r="M15" t="n">
        <v>597447.0900000001</v>
      </c>
      <c r="N15" t="n">
        <v>566914.0099999999</v>
      </c>
      <c r="O15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t="n">
        <v>14252.66</v>
      </c>
      <c r="E16" t="n">
        <v>8816.290000000001</v>
      </c>
      <c r="F16" t="n">
        <v>10929.2</v>
      </c>
      <c r="G16" t="n">
        <v>12816.7</v>
      </c>
      <c r="H16" t="n">
        <v>13026.09</v>
      </c>
      <c r="I16" t="n">
        <v>12037.55</v>
      </c>
      <c r="J16" t="n">
        <v>10467.78</v>
      </c>
      <c r="K16" t="n">
        <v>14382.58</v>
      </c>
      <c r="L16" t="n">
        <v>12170.58</v>
      </c>
      <c r="M16" t="n">
        <v>13845.85</v>
      </c>
      <c r="N16" t="n">
        <v>13927.97</v>
      </c>
      <c r="O16" t="n">
        <v>15405.24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t="n">
        <v>12762.86</v>
      </c>
      <c r="E17" t="n">
        <v>6986.62</v>
      </c>
      <c r="F17" t="n">
        <v>6754.780000000001</v>
      </c>
      <c r="G17" t="n">
        <v>2824.89</v>
      </c>
      <c r="H17" t="n">
        <v>14193.46</v>
      </c>
      <c r="I17" t="n">
        <v>28217.6</v>
      </c>
      <c r="J17" t="n">
        <v>16267.87</v>
      </c>
      <c r="K17" t="n">
        <v>22546.69</v>
      </c>
      <c r="L17" t="n">
        <v>25022.6</v>
      </c>
      <c r="M17" t="n">
        <v>59823.54</v>
      </c>
      <c r="N17" t="n">
        <v>47681.74</v>
      </c>
      <c r="O17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t="n">
        <v>3290.78</v>
      </c>
      <c r="E18" t="n">
        <v>5292.9</v>
      </c>
      <c r="F18" t="n">
        <v>4950.780000000001</v>
      </c>
      <c r="G18" t="n">
        <v>5342.61</v>
      </c>
      <c r="H18" t="n">
        <v>5724.639999999999</v>
      </c>
      <c r="I18" t="n">
        <v>5320.05</v>
      </c>
      <c r="J18" t="n">
        <v>5193.56</v>
      </c>
      <c r="K18" t="n">
        <v>7807.630000000001</v>
      </c>
      <c r="L18" t="n">
        <v>8276.280000000001</v>
      </c>
      <c r="M18" t="n">
        <v>8293.940000000001</v>
      </c>
      <c r="N18" t="n">
        <v>9023.459999999999</v>
      </c>
      <c r="O18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t="n">
        <v>109746.49</v>
      </c>
      <c r="E19" t="n">
        <v>96893.54000000002</v>
      </c>
      <c r="F19" t="n">
        <v>108142.11</v>
      </c>
      <c r="G19" t="n">
        <v>115917.92</v>
      </c>
      <c r="H19" t="n">
        <v>114881.56</v>
      </c>
      <c r="I19" t="n">
        <v>116880.2</v>
      </c>
      <c r="J19" t="n">
        <v>119885.67</v>
      </c>
      <c r="K19" t="n">
        <v>130853.31</v>
      </c>
      <c r="L19" t="n">
        <v>139047</v>
      </c>
      <c r="M19" t="n">
        <v>145628.28</v>
      </c>
      <c r="N19" t="n">
        <v>161382.55</v>
      </c>
      <c r="O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62" t="inlineStr">
        <is>
          <t>HO Other (Util+Fin)</t>
        </is>
      </c>
      <c r="P20" s="63" t="n">
        <v>0</v>
      </c>
      <c r="Q20" s="63" t="n">
        <v>0</v>
      </c>
      <c r="R20" s="63" t="n">
        <v>0</v>
      </c>
      <c r="S20" s="63" t="n">
        <v>0</v>
      </c>
      <c r="T20" s="63" t="n">
        <v>1193.14</v>
      </c>
      <c r="U20" s="63" t="n">
        <v>1193.14</v>
      </c>
      <c r="V20" s="63" t="n">
        <v>1193.14</v>
      </c>
      <c r="W20" s="63" t="n">
        <v>1193.14</v>
      </c>
      <c r="X20" s="63" t="n">
        <v>1193.14</v>
      </c>
      <c r="Y20" s="63" t="n">
        <v>1193.14</v>
      </c>
      <c r="Z20" s="63" t="n">
        <v>1193.14</v>
      </c>
      <c r="AA20" s="63" t="n">
        <v>1193.14</v>
      </c>
      <c r="AB20" s="63" t="n">
        <v>1193.14</v>
      </c>
      <c r="AC20" s="63" t="n">
        <v>1193.14</v>
      </c>
      <c r="AD20" s="63" t="n">
        <v>1193.14</v>
      </c>
      <c r="AE20" s="63" t="n">
        <v>1193.14</v>
      </c>
      <c r="AF20" s="63" t="n">
        <v>1193.14</v>
      </c>
      <c r="AG20" s="63" t="n">
        <v>1193.14</v>
      </c>
      <c r="AH20" s="63" t="n">
        <v>1193.14</v>
      </c>
      <c r="AI20" s="63" t="n">
        <v>1193.14</v>
      </c>
      <c r="AJ20" s="63" t="n">
        <v>1193.14</v>
      </c>
      <c r="AK20" s="63" t="n">
        <v>1193.14</v>
      </c>
      <c r="AL20" s="63" t="n">
        <v>1193.14</v>
      </c>
      <c r="AM20" s="63" t="n">
        <v>1193.14</v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t="n">
        <v>598853.02</v>
      </c>
      <c r="E21" t="n">
        <v>591281.7700000001</v>
      </c>
      <c r="F21" t="n">
        <v>661491.5999999999</v>
      </c>
      <c r="G21" t="n">
        <v>644054.36</v>
      </c>
      <c r="H21" t="n">
        <v>760286.5799999998</v>
      </c>
      <c r="I21" t="n">
        <v>785644.3100000003</v>
      </c>
      <c r="J21" t="n">
        <v>759734.3800000004</v>
      </c>
      <c r="K21" t="n">
        <v>802009.51</v>
      </c>
      <c r="L21" t="n">
        <v>834091.6900000001</v>
      </c>
      <c r="M21" t="n">
        <v>910855.6799999998</v>
      </c>
      <c r="N21" t="n">
        <v>885287.7299999997</v>
      </c>
      <c r="O21" t="n">
        <v>893553.72</v>
      </c>
      <c r="P21" s="35" t="n">
        <v>945487.6700000002</v>
      </c>
      <c r="Q21" s="35" t="n">
        <v>846207.66</v>
      </c>
      <c r="R21" s="35" t="n">
        <v>863798.3500000001</v>
      </c>
      <c r="S21" s="35" t="n">
        <v>797830.6700000002</v>
      </c>
      <c r="T21" s="85" t="n">
        <v>817186.3100000001</v>
      </c>
      <c r="U21" s="17">
        <f>U14+U15+U16+U17+U18+U19+U20</f>
        <v/>
      </c>
      <c r="V21" s="17">
        <f>V14+V15+V16+V17+V18+V19+V20</f>
        <v/>
      </c>
      <c r="W21" s="17">
        <f>W14+W15+W16+W17+W18+W19+W20</f>
        <v/>
      </c>
      <c r="X21" s="17">
        <f>X14+X15+X16+X17+X18+X19+X20</f>
        <v/>
      </c>
      <c r="Y21" s="17">
        <f>Y14+Y15+Y16+Y17+Y18+Y19+Y20</f>
        <v/>
      </c>
      <c r="Z21" s="17">
        <f>Z14+Z15+Z16+Z17+Z18+Z19+Z20</f>
        <v/>
      </c>
      <c r="AA21" s="17">
        <f>AA14+AA15+AA16+AA17+AA18+AA19+AA20</f>
        <v/>
      </c>
      <c r="AB21" s="17">
        <f>AB14+AB15+AB16+AB17+AB18+AB19+AB20</f>
        <v/>
      </c>
      <c r="AC21" s="17">
        <f>AC14+AC15+AC16+AC17+AC18+AC19+AC20</f>
        <v/>
      </c>
      <c r="AD21" s="17">
        <f>AD14+AD15+AD16+AD17+AD18+AD19+AD20</f>
        <v/>
      </c>
      <c r="AE21" s="17">
        <f>AE14+AE15+AE16+AE17+AE18+AE19+AE20</f>
        <v/>
      </c>
      <c r="AF21" s="17">
        <f>AF14+AF15+AF16+AF17+AF18+AF19+AF20</f>
        <v/>
      </c>
      <c r="AG21" s="17">
        <f>AG14+AG15+AG16+AG17+AG18+AG19+AG20</f>
        <v/>
      </c>
      <c r="AH21" s="17">
        <f>AH14+AH15+AH16+AH17+AH18+AH19+AH20</f>
        <v/>
      </c>
      <c r="AI21" s="17">
        <f>AI14+AI15+AI16+AI17+AI18+AI19+AI20</f>
        <v/>
      </c>
      <c r="AJ21" s="17">
        <f>AJ14+AJ15+AJ16+AJ17+AJ18+AJ19+AJ20</f>
        <v/>
      </c>
      <c r="AK21" s="17">
        <f>AK14+AK15+AK16+AK17+AK18+AK19+AK20</f>
        <v/>
      </c>
      <c r="AL21" s="17">
        <f>AL14+AL15+AL16+AL17+AL18+AL19+AL20</f>
        <v/>
      </c>
      <c r="AM21" s="17">
        <f>AM14+AM15+AM16+AM17+AM18+AM19+AM20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t="n">
        <v>-11138.62</v>
      </c>
      <c r="E22" t="n">
        <v>73320.19999999972</v>
      </c>
      <c r="F22" t="n">
        <v>148742.1900000001</v>
      </c>
      <c r="G22" t="n">
        <v>122346.1900000002</v>
      </c>
      <c r="H22" t="n">
        <v>86272.32000000018</v>
      </c>
      <c r="I22" t="n">
        <v>32224.96999999962</v>
      </c>
      <c r="J22" t="n">
        <v>51957.31999999971</v>
      </c>
      <c r="K22" t="n">
        <v>45253.04000000015</v>
      </c>
      <c r="L22" t="n">
        <v>10644.83999999985</v>
      </c>
      <c r="M22" t="n">
        <v>-81542.48999999976</v>
      </c>
      <c r="N22" t="n">
        <v>-15736.32999999984</v>
      </c>
      <c r="O22" t="n">
        <v>-4711.09999999986</v>
      </c>
      <c r="P22" s="35" t="n">
        <v>99364.31999999996</v>
      </c>
      <c r="Q22" s="35" t="n">
        <v>84748.39999999991</v>
      </c>
      <c r="R22" s="35" t="n">
        <v>48151.75999999989</v>
      </c>
      <c r="S22" s="35" t="n">
        <v>53110.5399999998</v>
      </c>
      <c r="T22" s="85" t="n">
        <v>73731.54000000004</v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t="n">
        <v>15294.91</v>
      </c>
      <c r="E23" t="n">
        <v>17544.5</v>
      </c>
      <c r="F23" t="n">
        <v>17656.42</v>
      </c>
      <c r="G23" t="n">
        <v>19776.91</v>
      </c>
      <c r="H23" t="n">
        <v>19918.2</v>
      </c>
      <c r="I23" t="n">
        <v>23461.73</v>
      </c>
      <c r="J23" t="n">
        <v>23564.06</v>
      </c>
      <c r="K23" t="n">
        <v>24731.79</v>
      </c>
      <c r="L23" t="n">
        <v>28257.89</v>
      </c>
      <c r="M23" t="n">
        <v>30554.12</v>
      </c>
      <c r="N23" t="n">
        <v>31457.54</v>
      </c>
      <c r="O23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 t="n">
        <v>30882.44</v>
      </c>
      <c r="V23" s="20" t="n">
        <v>30882.44</v>
      </c>
      <c r="W23" s="20" t="n">
        <v>30882.44</v>
      </c>
      <c r="X23" s="20" t="n">
        <v>30882.44</v>
      </c>
      <c r="Y23" s="20" t="n">
        <v>30882.44</v>
      </c>
      <c r="Z23" s="20" t="n">
        <v>30882.44</v>
      </c>
      <c r="AA23" s="20" t="n">
        <v>30882.44</v>
      </c>
      <c r="AB23" s="20" t="n">
        <v>30882.44</v>
      </c>
      <c r="AC23" s="20" t="n">
        <v>30882.44</v>
      </c>
      <c r="AD23" s="20" t="n">
        <v>30882.44</v>
      </c>
      <c r="AE23" s="20" t="n">
        <v>30882.44</v>
      </c>
      <c r="AF23" s="20" t="n">
        <v>30882.44</v>
      </c>
      <c r="AG23" s="20" t="n">
        <v>30882.44</v>
      </c>
      <c r="AH23" s="20" t="n">
        <v>30882.44</v>
      </c>
      <c r="AI23" s="20" t="n">
        <v>30882.44</v>
      </c>
      <c r="AJ23" s="20" t="n">
        <v>30882.44</v>
      </c>
      <c r="AK23" s="20" t="n">
        <v>30882.44</v>
      </c>
      <c r="AL23" s="20" t="n">
        <v>30882.44</v>
      </c>
      <c r="AM23" s="20" t="n">
        <v>30882.44</v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14026</f>
        <v/>
      </c>
      <c r="V24" s="20">
        <f>14026</f>
        <v/>
      </c>
      <c r="W24" s="20">
        <f>14026</f>
        <v/>
      </c>
      <c r="X24" s="20">
        <f>14026</f>
        <v/>
      </c>
      <c r="Y24" s="20">
        <f>14026</f>
        <v/>
      </c>
      <c r="Z24" s="20">
        <f>14026</f>
        <v/>
      </c>
      <c r="AA24" s="20">
        <f>14026</f>
        <v/>
      </c>
      <c r="AB24" s="20">
        <f>14026</f>
        <v/>
      </c>
      <c r="AC24" s="20">
        <f>14026</f>
        <v/>
      </c>
      <c r="AD24" s="20">
        <f>14026</f>
        <v/>
      </c>
      <c r="AE24" s="20">
        <f>14026</f>
        <v/>
      </c>
      <c r="AF24" s="20">
        <f>14026</f>
        <v/>
      </c>
      <c r="AG24" s="20">
        <f>14026</f>
        <v/>
      </c>
      <c r="AH24" s="20">
        <f>14026</f>
        <v/>
      </c>
      <c r="AI24" s="20">
        <f>14026</f>
        <v/>
      </c>
      <c r="AJ24" s="20">
        <f>14026</f>
        <v/>
      </c>
      <c r="AK24" s="20">
        <f>14026</f>
        <v/>
      </c>
      <c r="AL24" s="20">
        <f>14026</f>
        <v/>
      </c>
      <c r="AM24" s="20">
        <f>14026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t="n">
        <v>0</v>
      </c>
      <c r="E25" t="n">
        <v>9041.24</v>
      </c>
      <c r="F25" t="n">
        <v>1700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11790</v>
      </c>
      <c r="N25" t="n">
        <v>0</v>
      </c>
      <c r="O25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 t="n">
        <v>266.67</v>
      </c>
      <c r="V25" s="20" t="n">
        <v>266.67</v>
      </c>
      <c r="W25" s="20" t="n">
        <v>266.67</v>
      </c>
      <c r="X25" s="20" t="n">
        <v>266.67</v>
      </c>
      <c r="Y25" s="20" t="n">
        <v>266.67</v>
      </c>
      <c r="Z25" s="20" t="n">
        <v>266.67</v>
      </c>
      <c r="AA25" s="20" t="n">
        <v>266.67</v>
      </c>
      <c r="AB25" s="20" t="n">
        <v>266.67</v>
      </c>
      <c r="AC25" s="20" t="n">
        <v>266.67</v>
      </c>
      <c r="AD25" s="20" t="n">
        <v>266.67</v>
      </c>
      <c r="AE25" s="20" t="n">
        <v>266.67</v>
      </c>
      <c r="AF25" s="20" t="n">
        <v>266.67</v>
      </c>
      <c r="AG25" s="20" t="n">
        <v>266.67</v>
      </c>
      <c r="AH25" s="20" t="n">
        <v>266.67</v>
      </c>
      <c r="AI25" s="20" t="n">
        <v>266.67</v>
      </c>
      <c r="AJ25" s="20" t="n">
        <v>266.67</v>
      </c>
      <c r="AK25" s="20" t="n">
        <v>266.67</v>
      </c>
      <c r="AL25" s="20" t="n">
        <v>266.67</v>
      </c>
      <c r="AM25" s="20" t="n">
        <v>266.67</v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t="n">
        <v>3356.51</v>
      </c>
      <c r="E26" t="n">
        <v>3526.51</v>
      </c>
      <c r="F26" t="n">
        <v>3441.51</v>
      </c>
      <c r="G26" t="n">
        <v>3807.51</v>
      </c>
      <c r="H26" t="n">
        <v>3441.51</v>
      </c>
      <c r="I26" t="n">
        <v>4369.71</v>
      </c>
      <c r="J26" t="n">
        <v>8502.450000000001</v>
      </c>
      <c r="K26" t="n">
        <v>3441.51</v>
      </c>
      <c r="L26" t="n">
        <v>3441.51</v>
      </c>
      <c r="M26" t="n">
        <v>5926.47</v>
      </c>
      <c r="N26" t="n">
        <v>3441.51</v>
      </c>
      <c r="O26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3673</v>
      </c>
      <c r="V26" s="20" t="n">
        <v>3673</v>
      </c>
      <c r="W26" s="20" t="n">
        <v>3673</v>
      </c>
      <c r="X26" s="20" t="n">
        <v>3673</v>
      </c>
      <c r="Y26" s="20" t="n">
        <v>3673</v>
      </c>
      <c r="Z26" s="20" t="n">
        <v>3673</v>
      </c>
      <c r="AA26" s="20" t="n">
        <v>3673</v>
      </c>
      <c r="AB26" s="20" t="n">
        <v>3673</v>
      </c>
      <c r="AC26" s="20" t="n">
        <v>3673</v>
      </c>
      <c r="AD26" s="20" t="n">
        <v>3673</v>
      </c>
      <c r="AE26" s="20" t="n">
        <v>3673</v>
      </c>
      <c r="AF26" s="20" t="n">
        <v>3673</v>
      </c>
      <c r="AG26" s="20" t="n">
        <v>3673</v>
      </c>
      <c r="AH26" s="20" t="n">
        <v>3673</v>
      </c>
      <c r="AI26" s="20" t="n">
        <v>3673</v>
      </c>
      <c r="AJ26" s="20" t="n">
        <v>3673</v>
      </c>
      <c r="AK26" s="20" t="n">
        <v>3673</v>
      </c>
      <c r="AL26" s="20" t="n">
        <v>3673</v>
      </c>
      <c r="AM26" s="20" t="n">
        <v>3673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t="n">
        <v>18651.42</v>
      </c>
      <c r="E27" t="n">
        <v>30112.25</v>
      </c>
      <c r="F27" t="n">
        <v>22797.93</v>
      </c>
      <c r="G27" t="n">
        <v>24384.42</v>
      </c>
      <c r="H27" t="n">
        <v>23359.71</v>
      </c>
      <c r="I27" t="n">
        <v>27831.44</v>
      </c>
      <c r="J27" t="n">
        <v>32066.51</v>
      </c>
      <c r="K27" t="n">
        <v>28173.3</v>
      </c>
      <c r="L27" t="n">
        <v>46144.4</v>
      </c>
      <c r="M27" t="n">
        <v>56646.6</v>
      </c>
      <c r="N27" t="n">
        <v>53770.93</v>
      </c>
      <c r="O27" t="n">
        <v>41660.09</v>
      </c>
      <c r="P27" s="35" t="n">
        <v>62905.92</v>
      </c>
      <c r="Q27" s="35" t="n">
        <v>68103.48</v>
      </c>
      <c r="R27" s="35" t="n">
        <v>63171.66</v>
      </c>
      <c r="S27" s="35" t="n">
        <v>62636.34</v>
      </c>
      <c r="T27" s="85" t="n">
        <v>64262.28</v>
      </c>
      <c r="U27" s="17">
        <f>U23+U24+U25+U26</f>
        <v/>
      </c>
      <c r="V27" s="17">
        <f>V23+V24+V25+V26</f>
        <v/>
      </c>
      <c r="W27" s="17">
        <f>W23+W24+W25+W26</f>
        <v/>
      </c>
      <c r="X27" s="17">
        <f>X23+X24+X25+X26</f>
        <v/>
      </c>
      <c r="Y27" s="17">
        <f>Y23+Y24+Y25+Y26</f>
        <v/>
      </c>
      <c r="Z27" s="17">
        <f>Z23+Z24+Z25+Z26</f>
        <v/>
      </c>
      <c r="AA27" s="17">
        <f>AA23+AA24+AA25+AA26</f>
        <v/>
      </c>
      <c r="AB27" s="17">
        <f>AB23+AB24+AB25+AB26</f>
        <v/>
      </c>
      <c r="AC27" s="17">
        <f>AC23+AC24+AC25+AC26</f>
        <v/>
      </c>
      <c r="AD27" s="17">
        <f>AD23+AD24+AD25+AD26</f>
        <v/>
      </c>
      <c r="AE27" s="17">
        <f>AE23+AE24+AE25+AE26</f>
        <v/>
      </c>
      <c r="AF27" s="17">
        <f>AF23+AF24+AF25+AF26</f>
        <v/>
      </c>
      <c r="AG27" s="17">
        <f>AG23+AG24+AG25+AG26</f>
        <v/>
      </c>
      <c r="AH27" s="17">
        <f>AH23+AH24+AH25+AH26</f>
        <v/>
      </c>
      <c r="AI27" s="17">
        <f>AI23+AI24+AI25+AI26</f>
        <v/>
      </c>
      <c r="AJ27" s="17">
        <f>AJ23+AJ24+AJ25+AJ26</f>
        <v/>
      </c>
      <c r="AK27" s="17">
        <f>AK23+AK24+AK25+AK26</f>
        <v/>
      </c>
      <c r="AL27" s="17">
        <f>AL23+AL24+AL25+AL26</f>
        <v/>
      </c>
      <c r="AM27" s="17">
        <f>AM23+AM24+AM25+AM26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t="n">
        <v>-29790.03999999999</v>
      </c>
      <c r="E28" t="n">
        <v>43207.94999999972</v>
      </c>
      <c r="F28" t="n">
        <v>125944.2600000001</v>
      </c>
      <c r="G28" t="n">
        <v>97961.77000000018</v>
      </c>
      <c r="H28" t="n">
        <v>62912.61000000018</v>
      </c>
      <c r="I28" t="n">
        <v>4393.529999999624</v>
      </c>
      <c r="J28" t="n">
        <v>19890.80999999971</v>
      </c>
      <c r="K28" t="n">
        <v>17079.74000000015</v>
      </c>
      <c r="L28" t="n">
        <v>-35499.56000000015</v>
      </c>
      <c r="M28" t="n">
        <v>-138189.0899999998</v>
      </c>
      <c r="N28" t="n">
        <v>-69507.25999999983</v>
      </c>
      <c r="O28" t="n">
        <v>-46371.18999999986</v>
      </c>
      <c r="P28" s="35" t="n">
        <v>36458.39999999995</v>
      </c>
      <c r="Q28" s="35" t="n">
        <v>16644.91999999991</v>
      </c>
      <c r="R28" s="35" t="n">
        <v>-15019.90000000011</v>
      </c>
      <c r="S28" s="35" t="n">
        <v>-9525.800000000192</v>
      </c>
      <c r="T28" s="85" t="n">
        <v>9469.260000000038</v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29"/>
    <row r="30" ht="16" customHeight="1" s="89">
      <c r="B30" s="66" t="inlineStr">
        <is>
          <t>ADJUSTED EBITDA RECONCILIATION</t>
        </is>
      </c>
      <c r="C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A1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22" customWidth="1" style="89" min="2" max="2"/>
    <col width="14" customWidth="1" style="89" min="3" max="3"/>
    <col width="12" customWidth="1" style="89" min="4" max="39"/>
  </cols>
  <sheetData>
    <row r="1"/>
    <row r="2" ht="21" customHeight="1" s="89">
      <c r="B2" s="9" t="inlineStr">
        <is>
          <t>All Studios — Summary</t>
        </is>
      </c>
    </row>
    <row r="3"/>
    <row r="4">
      <c r="B4" s="12" t="inlineStr">
        <is>
          <t>Studio / Metric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" customHeight="1" s="89">
      <c r="B5" s="10" t="inlineStr">
        <is>
          <t>Berkeley (BK)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0"/>
    <row r="11" ht="16" customHeight="1" s="89">
      <c r="B11" s="10" t="inlineStr">
        <is>
          <t>Culver City (CC)</t>
        </is>
      </c>
      <c r="C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6"/>
    <row r="17" ht="16" customHeight="1" s="89">
      <c r="B17" s="10" t="inlineStr">
        <is>
          <t>Danville (DN)</t>
        </is>
      </c>
      <c r="C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2"/>
    <row r="23" ht="16" customHeight="1" s="89">
      <c r="B23" s="10" t="inlineStr">
        <is>
          <t>Lafayette (LF)</t>
        </is>
      </c>
      <c r="C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8"/>
    <row r="29" ht="16" customHeight="1" s="89">
      <c r="B29" s="10" t="inlineStr">
        <is>
          <t>Marin (MR)</t>
        </is>
      </c>
      <c r="C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4"/>
    <row r="35" ht="16" customHeight="1" s="89">
      <c r="B35" s="10" t="inlineStr">
        <is>
          <t>Ocean Park (OP)</t>
        </is>
      </c>
      <c r="C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0"/>
    <row r="41" ht="16" customHeight="1" s="89">
      <c r="B41" s="10" t="inlineStr">
        <is>
          <t>Presidio Heights (PH)</t>
        </is>
      </c>
      <c r="C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6"/>
    <row r="47" ht="16" customHeight="1" s="89">
      <c r="B47" s="10" t="inlineStr">
        <is>
          <t>Russian Hill (RH)</t>
        </is>
      </c>
      <c r="C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2"/>
    <row r="53" ht="16" customHeight="1" s="89">
      <c r="B53" s="10" t="inlineStr">
        <is>
          <t>Santa Barbara (SB)</t>
        </is>
      </c>
      <c r="C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8"/>
    <row r="59" ht="16" customHeight="1" s="89">
      <c r="B59" s="10" t="inlineStr">
        <is>
          <t>Santa Monica (SM)</t>
        </is>
      </c>
      <c r="C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4"/>
    <row r="65" ht="16" customHeight="1" s="89">
      <c r="B65" s="10" t="inlineStr">
        <is>
          <t>West Portal (WP)</t>
        </is>
      </c>
      <c r="C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0"/>
    <row r="71" ht="16" customHeight="1" s="89">
      <c r="B71" s="10" t="inlineStr">
        <is>
          <t>Westwood (WW)</t>
        </is>
      </c>
      <c r="C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42" activePane="bottomRight" state="frozen"/>
      <selection pane="topRight" activeCell="A1" sqref="A1"/>
      <selection pane="bottomLeft" activeCell="A1" sqref="A1"/>
      <selection pane="bottomRight" activeCell="H50" sqref="H50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Berkeley (BK)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48512.85</v>
      </c>
      <c r="E7" t="n">
        <v>54342.24</v>
      </c>
      <c r="F7" t="n">
        <v>64934.84</v>
      </c>
      <c r="G7" t="n">
        <v>59274.01</v>
      </c>
      <c r="H7" t="n">
        <v>61380.05</v>
      </c>
      <c r="I7" t="n">
        <v>59220.81</v>
      </c>
      <c r="J7" t="n">
        <v>60156.33</v>
      </c>
      <c r="K7" t="n">
        <v>65762.10000000001</v>
      </c>
      <c r="L7" t="n">
        <v>63020.69</v>
      </c>
      <c r="M7" t="n">
        <v>62222.95</v>
      </c>
      <c r="N7" t="n">
        <v>58675.46</v>
      </c>
      <c r="O7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t="n">
        <v>3365</v>
      </c>
      <c r="E8" t="n">
        <v>5164</v>
      </c>
      <c r="F8" t="n">
        <v>6259.32</v>
      </c>
      <c r="G8" t="n">
        <v>7063.11</v>
      </c>
      <c r="H8" t="n">
        <v>6195.11</v>
      </c>
      <c r="I8" t="n">
        <v>4351.11</v>
      </c>
      <c r="J8" t="n">
        <v>4420.26</v>
      </c>
      <c r="K8" t="n">
        <v>6743.11</v>
      </c>
      <c r="L8" t="n">
        <v>6140</v>
      </c>
      <c r="M8" t="n">
        <v>3768.5</v>
      </c>
      <c r="N8" t="n">
        <v>5134</v>
      </c>
      <c r="O8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t="n">
        <v>28443.58</v>
      </c>
      <c r="E9" t="n">
        <v>27468.5</v>
      </c>
      <c r="F9" t="n">
        <v>27758.08</v>
      </c>
      <c r="G9" t="n">
        <v>30356.52</v>
      </c>
      <c r="H9" t="n">
        <v>29776.53</v>
      </c>
      <c r="I9" t="n">
        <v>29108.34</v>
      </c>
      <c r="J9" t="n">
        <v>28187.52</v>
      </c>
      <c r="K9" t="n">
        <v>27520.95</v>
      </c>
      <c r="L9" t="n">
        <v>26184.97</v>
      </c>
      <c r="M9" t="n">
        <v>24804.33</v>
      </c>
      <c r="N9" t="n">
        <v>26840.92</v>
      </c>
      <c r="O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t="n">
        <v>640</v>
      </c>
      <c r="E10" t="n">
        <v>320</v>
      </c>
      <c r="F10" t="n">
        <v>0</v>
      </c>
      <c r="G10" t="n">
        <v>0</v>
      </c>
      <c r="H10" t="n">
        <v>1280</v>
      </c>
      <c r="I10" t="n">
        <v>2320</v>
      </c>
      <c r="J10" t="n">
        <v>5457.5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t="n">
        <v>0</v>
      </c>
      <c r="E11" t="n">
        <v>14</v>
      </c>
      <c r="F11" t="n">
        <v>25.8</v>
      </c>
      <c r="G11" t="n">
        <v>65.59999999999999</v>
      </c>
      <c r="H11" t="n">
        <v>23.6</v>
      </c>
      <c r="I11" t="n">
        <v>73</v>
      </c>
      <c r="J11" t="n">
        <v>59</v>
      </c>
      <c r="K11" t="n">
        <v>132</v>
      </c>
      <c r="L11" t="n">
        <v>115</v>
      </c>
      <c r="M11" t="n">
        <v>23.6</v>
      </c>
      <c r="N11" t="n">
        <v>23.6</v>
      </c>
      <c r="O11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44.66</v>
      </c>
      <c r="K12" t="n">
        <v>52.54</v>
      </c>
      <c r="L12" t="n">
        <v>52.54</v>
      </c>
      <c r="M12" t="n">
        <v>0</v>
      </c>
      <c r="N12" t="n">
        <v>149.74</v>
      </c>
      <c r="O12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t="n">
        <v>80961.42999999999</v>
      </c>
      <c r="E13" t="n">
        <v>87308.73999999999</v>
      </c>
      <c r="F13" t="n">
        <v>98978.03999999999</v>
      </c>
      <c r="G13" t="n">
        <v>96759.24000000001</v>
      </c>
      <c r="H13" t="n">
        <v>98655.28999999999</v>
      </c>
      <c r="I13" t="n">
        <v>95073.25999999999</v>
      </c>
      <c r="J13" t="n">
        <v>98325.27</v>
      </c>
      <c r="K13" t="n">
        <v>100210.7</v>
      </c>
      <c r="L13" t="n">
        <v>95513.2</v>
      </c>
      <c r="M13" t="n">
        <v>90819.38</v>
      </c>
      <c r="N13" t="n">
        <v>90823.72000000002</v>
      </c>
      <c r="O13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t="n">
        <v>10480.79</v>
      </c>
      <c r="E14" t="n">
        <v>16179.03</v>
      </c>
      <c r="F14" t="n">
        <v>20305.86</v>
      </c>
      <c r="G14" t="n">
        <v>20513.48</v>
      </c>
      <c r="H14" t="n">
        <v>23721.52</v>
      </c>
      <c r="I14" t="n">
        <v>17938.2</v>
      </c>
      <c r="J14" t="n">
        <v>14764.55</v>
      </c>
      <c r="K14" t="n">
        <v>15127.93</v>
      </c>
      <c r="L14" t="n">
        <v>32901.88</v>
      </c>
      <c r="M14" t="n">
        <v>22861.69</v>
      </c>
      <c r="N14" t="n">
        <v>31868.08</v>
      </c>
      <c r="O14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t="n">
        <v>495</v>
      </c>
      <c r="E15" t="n">
        <v>3040</v>
      </c>
      <c r="F15" t="n">
        <v>2615</v>
      </c>
      <c r="G15" t="n">
        <v>1345</v>
      </c>
      <c r="H15" t="n">
        <v>1185</v>
      </c>
      <c r="I15" t="n">
        <v>3540</v>
      </c>
      <c r="J15" t="n">
        <v>2208</v>
      </c>
      <c r="K15" t="n">
        <v>2677.5</v>
      </c>
      <c r="L15" t="n">
        <v>1750</v>
      </c>
      <c r="M15" t="n">
        <v>1282</v>
      </c>
      <c r="N15" t="n">
        <v>3100</v>
      </c>
      <c r="O15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47.2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35.4</v>
      </c>
      <c r="N16" t="n">
        <v>0</v>
      </c>
      <c r="O16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t="n">
        <v>10975.79</v>
      </c>
      <c r="E17" t="n">
        <v>19219.03</v>
      </c>
      <c r="F17" t="n">
        <v>22920.86</v>
      </c>
      <c r="G17" t="n">
        <v>21905.68</v>
      </c>
      <c r="H17" t="n">
        <v>24906.52</v>
      </c>
      <c r="I17" t="n">
        <v>23158.2</v>
      </c>
      <c r="J17" t="n">
        <v>19237.55</v>
      </c>
      <c r="K17" t="n">
        <v>25185.43</v>
      </c>
      <c r="L17" t="n">
        <v>34651.88</v>
      </c>
      <c r="M17" t="n">
        <v>24429.09</v>
      </c>
      <c r="N17" t="n">
        <v>38110.08</v>
      </c>
      <c r="O17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t="n">
        <v>3473</v>
      </c>
      <c r="E18" t="n">
        <v>2711</v>
      </c>
      <c r="F18" t="n">
        <v>2259</v>
      </c>
      <c r="G18" t="n">
        <v>2631</v>
      </c>
      <c r="H18" t="n">
        <v>2405</v>
      </c>
      <c r="I18" t="n">
        <v>4161</v>
      </c>
      <c r="J18" t="n">
        <v>2652</v>
      </c>
      <c r="K18" t="n">
        <v>2867</v>
      </c>
      <c r="L18" t="n">
        <v>2571</v>
      </c>
      <c r="M18" t="n">
        <v>1868</v>
      </c>
      <c r="N18" t="n">
        <v>1688</v>
      </c>
      <c r="O18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t="n">
        <v>-3038</v>
      </c>
      <c r="E19" t="n">
        <v>-3570</v>
      </c>
      <c r="F19" t="n">
        <v>-4134</v>
      </c>
      <c r="G19" t="n">
        <v>-6153</v>
      </c>
      <c r="H19" t="n">
        <v>-2902</v>
      </c>
      <c r="I19" t="n">
        <v>-1475.01</v>
      </c>
      <c r="J19" t="n">
        <v>-1196</v>
      </c>
      <c r="K19" t="n">
        <v>-914.01</v>
      </c>
      <c r="L19" t="n">
        <v>-1970</v>
      </c>
      <c r="M19" t="n">
        <v>-1215</v>
      </c>
      <c r="N19" t="n">
        <v>-1510</v>
      </c>
      <c r="O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t="n">
        <v>-7378.7</v>
      </c>
      <c r="E20" t="n">
        <v>-4533.12</v>
      </c>
      <c r="F20" t="n">
        <v>-6389.54</v>
      </c>
      <c r="G20" t="n">
        <v>-5172.1</v>
      </c>
      <c r="H20" t="n">
        <v>-5087.8</v>
      </c>
      <c r="I20" t="n">
        <v>-7287.54</v>
      </c>
      <c r="J20" t="n">
        <v>-3691.2</v>
      </c>
      <c r="K20" t="n">
        <v>-5800.96</v>
      </c>
      <c r="L20" t="n">
        <v>-3071.62</v>
      </c>
      <c r="M20" t="n">
        <v>-3528.96</v>
      </c>
      <c r="N20" t="n">
        <v>-3664.12</v>
      </c>
      <c r="O20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t="n">
        <v>102263.72</v>
      </c>
      <c r="E21" t="n">
        <v>108290.08</v>
      </c>
      <c r="F21" t="n">
        <v>118514.77</v>
      </c>
      <c r="G21" t="n">
        <v>113589.27</v>
      </c>
      <c r="H21" t="n">
        <v>119796.34</v>
      </c>
      <c r="I21" t="n">
        <v>114548.96</v>
      </c>
      <c r="J21" t="n">
        <v>115924.45</v>
      </c>
      <c r="K21" t="n">
        <v>121824.66</v>
      </c>
      <c r="L21" t="n">
        <v>127769.46</v>
      </c>
      <c r="M21" t="n">
        <v>112372.51</v>
      </c>
      <c r="N21" t="n">
        <v>125447.68</v>
      </c>
      <c r="O21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1635</v>
      </c>
      <c r="E23" t="n">
        <v>1240.75</v>
      </c>
      <c r="F23" t="n">
        <v>1097.25</v>
      </c>
      <c r="G23" t="n">
        <v>1298.5</v>
      </c>
      <c r="H23" t="n">
        <v>1160.5</v>
      </c>
      <c r="I23" t="n">
        <v>1974.75</v>
      </c>
      <c r="J23" t="n">
        <v>1301</v>
      </c>
      <c r="K23" t="n">
        <v>1424.5</v>
      </c>
      <c r="L23" t="n">
        <v>1231</v>
      </c>
      <c r="M23" t="n">
        <v>896.5</v>
      </c>
      <c r="N23" t="n">
        <v>836.5</v>
      </c>
      <c r="O23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3612.09</v>
      </c>
      <c r="E24" t="n">
        <v>3333.58</v>
      </c>
      <c r="F24" t="n">
        <v>3314.08</v>
      </c>
      <c r="G24" t="n">
        <v>3895.12</v>
      </c>
      <c r="H24" t="n">
        <v>2604.04</v>
      </c>
      <c r="I24" t="n">
        <v>2902.85</v>
      </c>
      <c r="J24" t="n">
        <v>2543.4</v>
      </c>
      <c r="K24" t="n">
        <v>3738.8</v>
      </c>
      <c r="L24" t="n">
        <v>2974.49</v>
      </c>
      <c r="M24" t="n">
        <v>2918.1</v>
      </c>
      <c r="N24" t="n">
        <v>2598.16</v>
      </c>
      <c r="O24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5247.09</v>
      </c>
      <c r="E25" t="n">
        <v>4574.33</v>
      </c>
      <c r="F25" t="n">
        <v>4411.33</v>
      </c>
      <c r="G25" t="n">
        <v>5193.62</v>
      </c>
      <c r="H25" t="n">
        <v>3764.54</v>
      </c>
      <c r="I25" t="n">
        <v>4877.6</v>
      </c>
      <c r="J25" t="n">
        <v>3844.4</v>
      </c>
      <c r="K25" t="n">
        <v>5163.3</v>
      </c>
      <c r="L25" t="n">
        <v>4205.49</v>
      </c>
      <c r="M25" t="n">
        <v>3814.6</v>
      </c>
      <c r="N25" t="n">
        <v>3434.66</v>
      </c>
      <c r="O2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97016.63</v>
      </c>
      <c r="E26" t="n">
        <v>103715.75</v>
      </c>
      <c r="F26" t="n">
        <v>114103.44</v>
      </c>
      <c r="G26" t="n">
        <v>108395.65</v>
      </c>
      <c r="H26" t="n">
        <v>116031.8</v>
      </c>
      <c r="I26" t="n">
        <v>109671.36</v>
      </c>
      <c r="J26" t="n">
        <v>112080.05</v>
      </c>
      <c r="K26" t="n">
        <v>116661.36</v>
      </c>
      <c r="L26" t="n">
        <v>123563.97</v>
      </c>
      <c r="M26" t="n">
        <v>108557.91</v>
      </c>
      <c r="N26" t="n">
        <v>122013.02</v>
      </c>
      <c r="O26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1300</v>
      </c>
      <c r="E28" t="n">
        <v>300</v>
      </c>
      <c r="F28" t="n">
        <v>0</v>
      </c>
      <c r="G28" t="n">
        <v>0</v>
      </c>
      <c r="H28" t="n">
        <v>0</v>
      </c>
      <c r="I28" t="n">
        <v>2407.42</v>
      </c>
      <c r="J28" t="n">
        <v>300</v>
      </c>
      <c r="K28" t="n">
        <v>0</v>
      </c>
      <c r="L28" t="n">
        <v>0</v>
      </c>
      <c r="M28" t="n">
        <v>0</v>
      </c>
      <c r="N28" t="n">
        <v>890.91</v>
      </c>
      <c r="O28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1300</v>
      </c>
      <c r="E33" t="n">
        <v>300</v>
      </c>
      <c r="F33" t="n">
        <v>0</v>
      </c>
      <c r="G33" t="n">
        <v>0</v>
      </c>
      <c r="H33" t="n">
        <v>0</v>
      </c>
      <c r="I33" t="n">
        <v>2407.42</v>
      </c>
      <c r="J33" t="n">
        <v>300</v>
      </c>
      <c r="K33" t="n">
        <v>0</v>
      </c>
      <c r="L33" t="n">
        <v>0</v>
      </c>
      <c r="M33" t="n">
        <v>0</v>
      </c>
      <c r="N33" t="n">
        <v>890.91</v>
      </c>
      <c r="O33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34343.42</v>
      </c>
      <c r="E34" t="n">
        <v>35495.95</v>
      </c>
      <c r="F34" t="n">
        <v>36875.91</v>
      </c>
      <c r="G34" t="n">
        <v>31272.57</v>
      </c>
      <c r="H34" t="n">
        <v>35386.68</v>
      </c>
      <c r="I34" t="n">
        <v>34209.55</v>
      </c>
      <c r="J34" t="n">
        <v>33486.1</v>
      </c>
      <c r="K34" t="n">
        <v>36620.89</v>
      </c>
      <c r="L34" t="n">
        <v>34907.82</v>
      </c>
      <c r="M34" t="n">
        <v>35061.25</v>
      </c>
      <c r="N34" t="n">
        <v>34827.27</v>
      </c>
      <c r="O34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t="n">
        <v>5601.59</v>
      </c>
      <c r="E35" t="n">
        <v>4241.17</v>
      </c>
      <c r="F35" t="n">
        <v>4058.89</v>
      </c>
      <c r="G35" t="n">
        <v>3607.45</v>
      </c>
      <c r="H35" t="n">
        <v>3918.25</v>
      </c>
      <c r="I35" t="n">
        <v>3681.89</v>
      </c>
      <c r="J35" t="n">
        <v>3764.68</v>
      </c>
      <c r="K35" t="n">
        <v>4102.57</v>
      </c>
      <c r="L35" t="n">
        <v>3992.68</v>
      </c>
      <c r="M35" t="n">
        <v>3965.95</v>
      </c>
      <c r="N35" t="n">
        <v>4189.02</v>
      </c>
      <c r="O35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t="n">
        <v>1318.33</v>
      </c>
      <c r="E36" t="n">
        <v>1778.42</v>
      </c>
      <c r="F36" t="n">
        <v>7.8</v>
      </c>
      <c r="G36" t="n">
        <v>-899.08</v>
      </c>
      <c r="H36" t="n">
        <v>-1369.81</v>
      </c>
      <c r="I36" t="n">
        <v>319.78</v>
      </c>
      <c r="J36" t="n">
        <v>1066.69</v>
      </c>
      <c r="K36" t="n">
        <v>1575.46</v>
      </c>
      <c r="L36" t="n">
        <v>1590.26</v>
      </c>
      <c r="M36" t="n">
        <v>2472.71</v>
      </c>
      <c r="N36" t="n">
        <v>774.91</v>
      </c>
      <c r="O36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t="n">
        <v>862.9299999999999</v>
      </c>
      <c r="E37" t="n">
        <v>334.34</v>
      </c>
      <c r="F37" t="n">
        <v>331.49</v>
      </c>
      <c r="G37" t="n">
        <v>463.71</v>
      </c>
      <c r="H37" t="n">
        <v>345.74</v>
      </c>
      <c r="I37" t="n">
        <v>342.89</v>
      </c>
      <c r="J37" t="n">
        <v>342.89</v>
      </c>
      <c r="K37" t="n">
        <v>518.61</v>
      </c>
      <c r="L37" t="n">
        <v>351.44</v>
      </c>
      <c r="M37" t="n">
        <v>351.44</v>
      </c>
      <c r="N37" t="n">
        <v>357.14</v>
      </c>
      <c r="O37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t="n">
        <v>55306.44</v>
      </c>
      <c r="E38" t="n">
        <v>51485.18999999999</v>
      </c>
      <c r="F38" t="n">
        <v>56435.60000000001</v>
      </c>
      <c r="G38" t="n">
        <v>47706.41</v>
      </c>
      <c r="H38" t="n">
        <v>53233.19</v>
      </c>
      <c r="I38" t="n">
        <v>50750.47</v>
      </c>
      <c r="J38" t="n">
        <v>50784.82</v>
      </c>
      <c r="K38" t="n">
        <v>55687.65</v>
      </c>
      <c r="L38" t="n">
        <v>52430.8</v>
      </c>
      <c r="M38" t="n">
        <v>52739.82</v>
      </c>
      <c r="N38" t="n">
        <v>51997.08</v>
      </c>
      <c r="O38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789.62</v>
      </c>
      <c r="E39" t="n">
        <v>837.5</v>
      </c>
      <c r="F39" t="n">
        <v>595.3</v>
      </c>
      <c r="G39" t="n">
        <v>1222.24</v>
      </c>
      <c r="H39" t="n">
        <v>1287.99</v>
      </c>
      <c r="I39" t="n">
        <v>1042.77</v>
      </c>
      <c r="J39" t="n">
        <v>707.99</v>
      </c>
      <c r="K39" t="n">
        <v>1705.78</v>
      </c>
      <c r="L39" t="n">
        <v>626.99</v>
      </c>
      <c r="M39" t="n">
        <v>736.08</v>
      </c>
      <c r="N39" t="n">
        <v>831.09</v>
      </c>
      <c r="O3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t="n">
        <v>239.07</v>
      </c>
      <c r="E40" t="n">
        <v>239.07</v>
      </c>
      <c r="F40" t="n">
        <v>239.07</v>
      </c>
      <c r="G40" t="n">
        <v>239.07</v>
      </c>
      <c r="H40" t="n">
        <v>239.07</v>
      </c>
      <c r="I40" t="n">
        <v>239.07</v>
      </c>
      <c r="J40" t="n">
        <v>239.07</v>
      </c>
      <c r="K40" t="n">
        <v>239.07</v>
      </c>
      <c r="L40" t="n">
        <v>239.07</v>
      </c>
      <c r="M40" t="n">
        <v>451.07</v>
      </c>
      <c r="N40" t="n">
        <v>451.07</v>
      </c>
      <c r="O40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t="n">
        <v>0</v>
      </c>
      <c r="E43" t="n">
        <v>0</v>
      </c>
      <c r="F43" t="n">
        <v>220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321.75</v>
      </c>
      <c r="E44" t="n">
        <v>143</v>
      </c>
      <c r="F44" t="n">
        <v>225.5</v>
      </c>
      <c r="G44" t="n">
        <v>45.5</v>
      </c>
      <c r="H44" t="n">
        <v>2095.5</v>
      </c>
      <c r="I44" t="n">
        <v>45.5</v>
      </c>
      <c r="J44" t="n">
        <v>45.5</v>
      </c>
      <c r="K44" t="n">
        <v>951.75</v>
      </c>
      <c r="L44" t="n">
        <v>52.5</v>
      </c>
      <c r="M44" t="n">
        <v>0</v>
      </c>
      <c r="N44" t="n">
        <v>154.54</v>
      </c>
      <c r="O44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t="n">
        <v>0</v>
      </c>
      <c r="E45" t="n">
        <v>0</v>
      </c>
      <c r="F45" t="n">
        <v>0</v>
      </c>
      <c r="G45" t="n">
        <v>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479.1</v>
      </c>
      <c r="K46" t="n">
        <v>479.1</v>
      </c>
      <c r="L46" t="n">
        <v>479.1</v>
      </c>
      <c r="M46" t="n">
        <v>481</v>
      </c>
      <c r="N46" t="n">
        <v>481</v>
      </c>
      <c r="O46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t="n">
        <v>321.75</v>
      </c>
      <c r="E47" t="n">
        <v>143</v>
      </c>
      <c r="F47" t="n">
        <v>445.5</v>
      </c>
      <c r="G47" t="n">
        <v>120.5</v>
      </c>
      <c r="H47" t="n">
        <v>2095.5</v>
      </c>
      <c r="I47" t="n">
        <v>45.5</v>
      </c>
      <c r="J47" t="n">
        <v>524.6</v>
      </c>
      <c r="K47" t="n">
        <v>1430.85</v>
      </c>
      <c r="L47" t="n">
        <v>531.6</v>
      </c>
      <c r="M47" t="n">
        <v>481</v>
      </c>
      <c r="N47" t="n">
        <v>635.54</v>
      </c>
      <c r="O47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t="n">
        <v>0</v>
      </c>
      <c r="E49" t="n">
        <v>0</v>
      </c>
      <c r="F49" t="n">
        <v>93.28</v>
      </c>
      <c r="G49" t="n">
        <v>96.02</v>
      </c>
      <c r="H49" t="n">
        <v>0</v>
      </c>
      <c r="I49" t="n">
        <v>17.77</v>
      </c>
      <c r="J49" t="n">
        <v>0</v>
      </c>
      <c r="K49" t="n">
        <v>114.05</v>
      </c>
      <c r="L49" t="n">
        <v>280.75</v>
      </c>
      <c r="M49" t="n">
        <v>72.09</v>
      </c>
      <c r="N49" t="n">
        <v>357.66</v>
      </c>
      <c r="O4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t="n">
        <v>107.21</v>
      </c>
      <c r="E53" t="n">
        <v>107.34</v>
      </c>
      <c r="F53" t="n">
        <v>107.34</v>
      </c>
      <c r="G53" t="n">
        <v>107.34</v>
      </c>
      <c r="H53" t="n">
        <v>107.12</v>
      </c>
      <c r="I53" t="n">
        <v>192.37</v>
      </c>
      <c r="J53" t="n">
        <v>107.12</v>
      </c>
      <c r="K53" t="n">
        <v>107.12</v>
      </c>
      <c r="L53" t="n">
        <v>107.12</v>
      </c>
      <c r="M53" t="n">
        <v>109.65</v>
      </c>
      <c r="N53" t="n">
        <v>109.7</v>
      </c>
      <c r="O53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t="n">
        <v>107.21</v>
      </c>
      <c r="E56" t="n">
        <v>107.34</v>
      </c>
      <c r="F56" t="n">
        <v>107.34</v>
      </c>
      <c r="G56" t="n">
        <v>107.34</v>
      </c>
      <c r="H56" t="n">
        <v>107.12</v>
      </c>
      <c r="I56" t="n">
        <v>192.37</v>
      </c>
      <c r="J56" t="n">
        <v>107.12</v>
      </c>
      <c r="K56" t="n">
        <v>107.12</v>
      </c>
      <c r="L56" t="n">
        <v>107.12</v>
      </c>
      <c r="M56" t="n">
        <v>109.65</v>
      </c>
      <c r="N56" t="n">
        <v>109.7</v>
      </c>
      <c r="O56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6916.2</v>
      </c>
      <c r="E57" t="n">
        <v>6916.2</v>
      </c>
      <c r="F57" t="n">
        <v>6916.2</v>
      </c>
      <c r="G57" t="n">
        <v>6916.2</v>
      </c>
      <c r="H57" t="n">
        <v>6916.2</v>
      </c>
      <c r="I57" t="n">
        <v>6916.2</v>
      </c>
      <c r="J57" t="n">
        <v>6916.2</v>
      </c>
      <c r="K57" t="n">
        <v>6916.2</v>
      </c>
      <c r="L57" t="n">
        <v>6916.2</v>
      </c>
      <c r="M57" t="n">
        <v>6916.2</v>
      </c>
      <c r="N57" t="n">
        <v>6916.2</v>
      </c>
      <c r="O57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t="n">
        <v>0</v>
      </c>
      <c r="E58" t="n">
        <v>0</v>
      </c>
      <c r="F58" t="n">
        <v>31.99</v>
      </c>
      <c r="G58" t="n">
        <v>31.99</v>
      </c>
      <c r="H58" t="n">
        <v>31.99</v>
      </c>
      <c r="I58" t="n">
        <v>31.99</v>
      </c>
      <c r="J58" t="n">
        <v>31.99</v>
      </c>
      <c r="K58" t="n">
        <v>31.99</v>
      </c>
      <c r="L58" t="n">
        <v>31.99</v>
      </c>
      <c r="M58" t="n">
        <v>31.99</v>
      </c>
      <c r="N58" t="n">
        <v>31.99</v>
      </c>
      <c r="O58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t="n">
        <v>98.68000000000001</v>
      </c>
      <c r="E59" t="n">
        <v>0</v>
      </c>
      <c r="F59" t="n">
        <v>0</v>
      </c>
      <c r="G59" t="n">
        <v>0</v>
      </c>
      <c r="H59" t="n">
        <v>155.45</v>
      </c>
      <c r="I59" t="n">
        <v>122.39</v>
      </c>
      <c r="J59" t="n">
        <v>418.3</v>
      </c>
      <c r="K59" t="n">
        <v>93.40000000000001</v>
      </c>
      <c r="L59" t="n">
        <v>83.79000000000001</v>
      </c>
      <c r="M59" t="n">
        <v>199.79</v>
      </c>
      <c r="N59" t="n">
        <v>913.28</v>
      </c>
      <c r="O5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t="n">
        <v>7602.49</v>
      </c>
      <c r="E60" t="n">
        <v>1203.41</v>
      </c>
      <c r="F60" t="n">
        <v>1203.41</v>
      </c>
      <c r="G60" t="n">
        <v>1203.41</v>
      </c>
      <c r="H60" t="n">
        <v>1203.41</v>
      </c>
      <c r="I60" t="n">
        <v>1203.41</v>
      </c>
      <c r="J60" t="n">
        <v>1203.41</v>
      </c>
      <c r="K60" t="n">
        <v>1203.41</v>
      </c>
      <c r="L60" t="n">
        <v>1203.41</v>
      </c>
      <c r="M60" t="n">
        <v>1203.41</v>
      </c>
      <c r="N60" t="n">
        <v>1203.41</v>
      </c>
      <c r="O60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t="n">
        <v>14871.04</v>
      </c>
      <c r="E61" t="n">
        <v>8119.61</v>
      </c>
      <c r="F61" t="n">
        <v>8151.599999999999</v>
      </c>
      <c r="G61" t="n">
        <v>8151.599999999999</v>
      </c>
      <c r="H61" t="n">
        <v>8457.049999999999</v>
      </c>
      <c r="I61" t="n">
        <v>8373.99</v>
      </c>
      <c r="J61" t="n">
        <v>8569.9</v>
      </c>
      <c r="K61" t="n">
        <v>8805.07</v>
      </c>
      <c r="L61" t="n">
        <v>8235.389999999999</v>
      </c>
      <c r="M61" t="n">
        <v>8351.389999999999</v>
      </c>
      <c r="N61" t="n">
        <v>9064.879999999999</v>
      </c>
      <c r="O61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75219.97</v>
      </c>
      <c r="E62" t="n">
        <v>63462.61999999998</v>
      </c>
      <c r="F62" t="n">
        <v>66987.79000000001</v>
      </c>
      <c r="G62" t="n">
        <v>58845.51999999999</v>
      </c>
      <c r="H62" t="n">
        <v>67706.89999999999</v>
      </c>
      <c r="I62" t="n">
        <v>64765.81</v>
      </c>
      <c r="J62" t="n">
        <v>66366.42999999999</v>
      </c>
      <c r="K62" t="n">
        <v>68959.91</v>
      </c>
      <c r="L62" t="n">
        <v>63501.45</v>
      </c>
      <c r="M62" t="n">
        <v>63626.39</v>
      </c>
      <c r="N62" t="n">
        <v>65482.4</v>
      </c>
      <c r="O62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21796.65999999999</v>
      </c>
      <c r="E63" t="n">
        <v>40253.13</v>
      </c>
      <c r="F63" t="n">
        <v>47115.65000000001</v>
      </c>
      <c r="G63" t="n">
        <v>49550.13</v>
      </c>
      <c r="H63" t="n">
        <v>48324.90000000002</v>
      </c>
      <c r="I63" t="n">
        <v>44905.55</v>
      </c>
      <c r="J63" t="n">
        <v>45713.62000000002</v>
      </c>
      <c r="K63" t="n">
        <v>47701.45</v>
      </c>
      <c r="L63" t="n">
        <v>60062.51999999999</v>
      </c>
      <c r="M63" t="n">
        <v>44931.51999999999</v>
      </c>
      <c r="N63" t="n">
        <v>56530.62000000002</v>
      </c>
      <c r="O63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1842.1</v>
      </c>
      <c r="E65" t="n">
        <v>1850.23</v>
      </c>
      <c r="F65" t="n">
        <v>1850.23</v>
      </c>
      <c r="G65" t="n">
        <v>1853.38</v>
      </c>
      <c r="H65" t="n">
        <v>1855.96</v>
      </c>
      <c r="I65" t="n">
        <v>1855.96</v>
      </c>
      <c r="J65" t="n">
        <v>1855.96</v>
      </c>
      <c r="K65" t="n">
        <v>1855.96</v>
      </c>
      <c r="L65" t="n">
        <v>1882.97</v>
      </c>
      <c r="M65" t="n">
        <v>1882.97</v>
      </c>
      <c r="N65" t="n">
        <v>1882.97</v>
      </c>
      <c r="O65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>
        <f>U69*0.929227</f>
        <v/>
      </c>
      <c r="V65" s="20">
        <f>V69*0.929227</f>
        <v/>
      </c>
      <c r="W65" s="20">
        <f>W69*0.929227</f>
        <v/>
      </c>
      <c r="X65" s="20">
        <f>X69*0.929227</f>
        <v/>
      </c>
      <c r="Y65" s="20">
        <f>Y69*0.929227</f>
        <v/>
      </c>
      <c r="Z65" s="20">
        <f>Z69*0.929227</f>
        <v/>
      </c>
      <c r="AA65" s="20">
        <f>AA69*0.929227</f>
        <v/>
      </c>
      <c r="AB65" s="20">
        <f>AB69*0.929227</f>
        <v/>
      </c>
      <c r="AC65" s="20">
        <f>AC69*0.929227</f>
        <v/>
      </c>
      <c r="AD65" s="20">
        <f>AD69*0.929227</f>
        <v/>
      </c>
      <c r="AE65" s="20">
        <f>AE69*0.929227</f>
        <v/>
      </c>
      <c r="AF65" s="20">
        <f>AF69*0.929227</f>
        <v/>
      </c>
      <c r="AG65" s="20">
        <f>AG69*0.929227</f>
        <v/>
      </c>
      <c r="AH65" s="20">
        <f>AH69*0.929227</f>
        <v/>
      </c>
      <c r="AI65" s="20">
        <f>AI69*0.929227</f>
        <v/>
      </c>
      <c r="AJ65" s="20">
        <f>AJ69*0.929227</f>
        <v/>
      </c>
      <c r="AK65" s="20">
        <f>AK69*0.929227</f>
        <v/>
      </c>
      <c r="AL65" s="20">
        <f>AL69*0.929227</f>
        <v/>
      </c>
      <c r="AM65" s="20">
        <f>AM69*0.929227</f>
        <v/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>
        <f>U69*0.070773</f>
        <v/>
      </c>
      <c r="V67" s="20">
        <f>V69*0.070773</f>
        <v/>
      </c>
      <c r="W67" s="20">
        <f>W69*0.070773</f>
        <v/>
      </c>
      <c r="X67" s="20">
        <f>X69*0.070773</f>
        <v/>
      </c>
      <c r="Y67" s="20">
        <f>Y69*0.070773</f>
        <v/>
      </c>
      <c r="Z67" s="20">
        <f>Z69*0.070773</f>
        <v/>
      </c>
      <c r="AA67" s="20">
        <f>AA69*0.070773</f>
        <v/>
      </c>
      <c r="AB67" s="20">
        <f>AB69*0.070773</f>
        <v/>
      </c>
      <c r="AC67" s="20">
        <f>AC69*0.070773</f>
        <v/>
      </c>
      <c r="AD67" s="20">
        <f>AD69*0.070773</f>
        <v/>
      </c>
      <c r="AE67" s="20">
        <f>AE69*0.070773</f>
        <v/>
      </c>
      <c r="AF67" s="20">
        <f>AF69*0.070773</f>
        <v/>
      </c>
      <c r="AG67" s="20">
        <f>AG69*0.070773</f>
        <v/>
      </c>
      <c r="AH67" s="20">
        <f>AH69*0.070773</f>
        <v/>
      </c>
      <c r="AI67" s="20">
        <f>AI69*0.070773</f>
        <v/>
      </c>
      <c r="AJ67" s="20">
        <f>AJ69*0.070773</f>
        <v/>
      </c>
      <c r="AK67" s="20">
        <f>AK69*0.070773</f>
        <v/>
      </c>
      <c r="AL67" s="20">
        <f>AL69*0.070773</f>
        <v/>
      </c>
      <c r="AM67" s="20">
        <f>AM69*0.070773</f>
        <v/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t="n">
        <v>0</v>
      </c>
      <c r="E68" t="n">
        <v>0</v>
      </c>
      <c r="F68" t="n">
        <v>0</v>
      </c>
      <c r="G68" t="n">
        <v>366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1842.1</v>
      </c>
      <c r="E69" t="n">
        <v>1850.23</v>
      </c>
      <c r="F69" t="n">
        <v>1850.23</v>
      </c>
      <c r="G69" t="n">
        <v>2219.38</v>
      </c>
      <c r="H69" t="n">
        <v>1855.96</v>
      </c>
      <c r="I69" t="n">
        <v>1855.96</v>
      </c>
      <c r="J69" t="n">
        <v>1855.96</v>
      </c>
      <c r="K69" t="n">
        <v>1855.96</v>
      </c>
      <c r="L69" t="n">
        <v>1882.97</v>
      </c>
      <c r="M69" t="n">
        <v>1882.97</v>
      </c>
      <c r="N69" t="n">
        <v>1882.97</v>
      </c>
      <c r="O69" t="n">
        <v>1483.6</v>
      </c>
      <c r="P69" s="35" t="n">
        <v>1833.55</v>
      </c>
      <c r="Q69" s="35" t="n">
        <v>2392.15</v>
      </c>
      <c r="R69" s="35" t="n">
        <v>1833.55</v>
      </c>
      <c r="S69" s="35" t="n">
        <v>1833.55</v>
      </c>
      <c r="T69" s="85" t="n">
        <v>1833.55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19954.55999999999</v>
      </c>
      <c r="E70" t="n">
        <v>38402.9</v>
      </c>
      <c r="F70" t="n">
        <v>45265.42000000001</v>
      </c>
      <c r="G70" t="n">
        <v>47330.75000000001</v>
      </c>
      <c r="H70" t="n">
        <v>46468.94000000002</v>
      </c>
      <c r="I70" t="n">
        <v>43049.59</v>
      </c>
      <c r="J70" t="n">
        <v>43857.66000000003</v>
      </c>
      <c r="K70" t="n">
        <v>45845.49</v>
      </c>
      <c r="L70" t="n">
        <v>58179.54999999999</v>
      </c>
      <c r="M70" t="n">
        <v>43048.54999999999</v>
      </c>
      <c r="N70" t="n">
        <v>54647.65000000002</v>
      </c>
      <c r="O70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Culver City (CC)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</v>
      </c>
      <c r="L7" t="n">
        <v>7077.37</v>
      </c>
      <c r="M7" t="n">
        <v>16280.87</v>
      </c>
      <c r="N7" t="n">
        <v>14326</v>
      </c>
      <c r="O7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415</v>
      </c>
      <c r="M8" t="n">
        <v>945</v>
      </c>
      <c r="N8" t="n">
        <v>860</v>
      </c>
      <c r="O8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4370.27</v>
      </c>
      <c r="M9" t="n">
        <v>10831.25</v>
      </c>
      <c r="N9" t="n">
        <v>12060.69</v>
      </c>
      <c r="O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</v>
      </c>
      <c r="L13" t="n">
        <v>11862.64</v>
      </c>
      <c r="M13" t="n">
        <v>28057.12</v>
      </c>
      <c r="N13" t="n">
        <v>27246.69</v>
      </c>
      <c r="O13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251.2</v>
      </c>
      <c r="M14" t="n">
        <v>1268.4</v>
      </c>
      <c r="N14" t="n">
        <v>4314.82</v>
      </c>
      <c r="O14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595</v>
      </c>
      <c r="N15" t="n">
        <v>675</v>
      </c>
      <c r="O15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251.2</v>
      </c>
      <c r="M17" t="n">
        <v>1863.4</v>
      </c>
      <c r="N17" t="n">
        <v>4989.82</v>
      </c>
      <c r="O17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1068</v>
      </c>
      <c r="M18" t="n">
        <v>1968</v>
      </c>
      <c r="N18" t="n">
        <v>1402</v>
      </c>
      <c r="O18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-1110</v>
      </c>
      <c r="O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-635</v>
      </c>
      <c r="L20" t="n">
        <v>-7992.7</v>
      </c>
      <c r="M20" t="n">
        <v>-3983.8</v>
      </c>
      <c r="N20" t="n">
        <v>-6214.6</v>
      </c>
      <c r="O20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-593</v>
      </c>
      <c r="L21" t="n">
        <v>5189.14</v>
      </c>
      <c r="M21" t="n">
        <v>27904.72</v>
      </c>
      <c r="N21" t="n">
        <v>26313.91</v>
      </c>
      <c r="O21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523.5</v>
      </c>
      <c r="M23" t="n">
        <v>966.1</v>
      </c>
      <c r="N23" t="n">
        <v>696</v>
      </c>
      <c r="O23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1.41</v>
      </c>
      <c r="K24" t="n">
        <v>27.12</v>
      </c>
      <c r="L24" t="n">
        <v>586.97</v>
      </c>
      <c r="M24" t="n">
        <v>1101.43</v>
      </c>
      <c r="N24" t="n">
        <v>667.92</v>
      </c>
      <c r="O24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1.41</v>
      </c>
      <c r="K25" t="n">
        <v>27.12</v>
      </c>
      <c r="L25" t="n">
        <v>1110.47</v>
      </c>
      <c r="M25" t="n">
        <v>2067.53</v>
      </c>
      <c r="N25" t="n">
        <v>1363.92</v>
      </c>
      <c r="O2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-1.41</v>
      </c>
      <c r="K26" t="n">
        <v>-620.12</v>
      </c>
      <c r="L26" t="n">
        <v>4078.67</v>
      </c>
      <c r="M26" t="n">
        <v>25837.19000000001</v>
      </c>
      <c r="N26" t="n">
        <v>24949.99000000001</v>
      </c>
      <c r="O26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2508.98</v>
      </c>
      <c r="L28" t="n">
        <v>2301.77</v>
      </c>
      <c r="M28" t="n">
        <v>2373.48</v>
      </c>
      <c r="N28" t="n">
        <v>3126.18</v>
      </c>
      <c r="O28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1370.24</v>
      </c>
      <c r="M30" t="n">
        <v>189.72</v>
      </c>
      <c r="N30" t="n">
        <v>0</v>
      </c>
      <c r="O30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2508.98</v>
      </c>
      <c r="L33" t="n">
        <v>3672.01</v>
      </c>
      <c r="M33" t="n">
        <v>2875.47</v>
      </c>
      <c r="N33" t="n">
        <v>3126.18</v>
      </c>
      <c r="O33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1885.71</v>
      </c>
      <c r="L34" t="n">
        <v>15103.08</v>
      </c>
      <c r="M34" t="n">
        <v>23363.57</v>
      </c>
      <c r="N34" t="n">
        <v>21188.67</v>
      </c>
      <c r="O34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221.57</v>
      </c>
      <c r="L35" t="n">
        <v>1916.96</v>
      </c>
      <c r="M35" t="n">
        <v>2799.78</v>
      </c>
      <c r="N35" t="n">
        <v>2538.32</v>
      </c>
      <c r="O35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360</v>
      </c>
      <c r="N36" t="n">
        <v>160</v>
      </c>
      <c r="O36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683.48</v>
      </c>
      <c r="M37" t="n">
        <v>618.5599999999999</v>
      </c>
      <c r="N37" t="n">
        <v>635.6799999999999</v>
      </c>
      <c r="O37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2107.28</v>
      </c>
      <c r="L38" t="n">
        <v>23080.28</v>
      </c>
      <c r="M38" t="n">
        <v>31197.11</v>
      </c>
      <c r="N38" t="n">
        <v>27596.68</v>
      </c>
      <c r="O38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1228</v>
      </c>
      <c r="L39" t="n">
        <v>956.25</v>
      </c>
      <c r="M39" t="n">
        <v>769.89</v>
      </c>
      <c r="N39" t="n">
        <v>791.49</v>
      </c>
      <c r="O3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363.58</v>
      </c>
      <c r="L40" t="n">
        <v>1526.84</v>
      </c>
      <c r="M40" t="n">
        <v>2684.45</v>
      </c>
      <c r="N40" t="n">
        <v>107.45</v>
      </c>
      <c r="O40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800</v>
      </c>
      <c r="L44" t="n">
        <v>29.87</v>
      </c>
      <c r="M44" t="n">
        <v>0</v>
      </c>
      <c r="N44" t="n">
        <v>154.54</v>
      </c>
      <c r="O44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481</v>
      </c>
      <c r="N46" t="n">
        <v>1093.5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800</v>
      </c>
      <c r="L47" t="n">
        <v>29.87</v>
      </c>
      <c r="M47" t="n">
        <v>481</v>
      </c>
      <c r="N47" t="n">
        <v>1248.04</v>
      </c>
      <c r="O47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150.32</v>
      </c>
      <c r="K49" t="n">
        <v>0</v>
      </c>
      <c r="L49" t="n">
        <v>1160.57</v>
      </c>
      <c r="M49" t="n">
        <v>276.56</v>
      </c>
      <c r="N49" t="n">
        <v>178.87</v>
      </c>
      <c r="O4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1342.56</v>
      </c>
      <c r="M51" t="n">
        <v>330.08</v>
      </c>
      <c r="N51" t="n">
        <v>331.87</v>
      </c>
      <c r="O51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118.37</v>
      </c>
      <c r="N53" t="n">
        <v>118.38</v>
      </c>
      <c r="O53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77.98</v>
      </c>
      <c r="O55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1342.56</v>
      </c>
      <c r="M56" t="n">
        <v>448.45</v>
      </c>
      <c r="N56" t="n">
        <v>649.47</v>
      </c>
      <c r="O56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8122.98</v>
      </c>
      <c r="N57" t="n">
        <v>8122.98</v>
      </c>
      <c r="O57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550.55</v>
      </c>
      <c r="M59" t="n">
        <v>69.3</v>
      </c>
      <c r="N59" t="n">
        <v>447.51</v>
      </c>
      <c r="O5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1505.17</v>
      </c>
      <c r="M61" t="n">
        <v>8192.279999999999</v>
      </c>
      <c r="N61" t="n">
        <v>8570.49</v>
      </c>
      <c r="O61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9139.65</v>
      </c>
      <c r="J62" t="n">
        <v>2529.94</v>
      </c>
      <c r="K62" t="n">
        <v>9485.01</v>
      </c>
      <c r="L62" t="n">
        <v>46744.09999999999</v>
      </c>
      <c r="M62" t="n">
        <v>55681.87</v>
      </c>
      <c r="N62" t="n">
        <v>45333.77</v>
      </c>
      <c r="O62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-9139.65</v>
      </c>
      <c r="J63" t="n">
        <v>-2531.349999999999</v>
      </c>
      <c r="K63" t="n">
        <v>-10105.13</v>
      </c>
      <c r="L63" t="n">
        <v>-42665.42999999999</v>
      </c>
      <c r="M63" t="n">
        <v>-29844.67999999999</v>
      </c>
      <c r="N63" t="n">
        <v>-20383.77999999999</v>
      </c>
      <c r="O63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1124.68</v>
      </c>
      <c r="L65" t="n">
        <v>4074.81</v>
      </c>
      <c r="M65" t="n">
        <v>4445.85</v>
      </c>
      <c r="N65" t="n">
        <v>4441.57</v>
      </c>
      <c r="O65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>
        <f>U69*0.979862</f>
        <v/>
      </c>
      <c r="V65" s="20">
        <f>V69*0.979862</f>
        <v/>
      </c>
      <c r="W65" s="20">
        <f>W69*0.979862</f>
        <v/>
      </c>
      <c r="X65" s="20">
        <f>X69*0.979862</f>
        <v/>
      </c>
      <c r="Y65" s="20">
        <f>Y69*0.979862</f>
        <v/>
      </c>
      <c r="Z65" s="20">
        <f>Z69*0.979862</f>
        <v/>
      </c>
      <c r="AA65" s="20">
        <f>AA69*0.979862</f>
        <v/>
      </c>
      <c r="AB65" s="20">
        <f>AB69*0.979862</f>
        <v/>
      </c>
      <c r="AC65" s="20">
        <f>AC69*0.979862</f>
        <v/>
      </c>
      <c r="AD65" s="20">
        <f>AD69*0.979862</f>
        <v/>
      </c>
      <c r="AE65" s="20">
        <f>AE69*0.979862</f>
        <v/>
      </c>
      <c r="AF65" s="20">
        <f>AF69*0.979862</f>
        <v/>
      </c>
      <c r="AG65" s="20">
        <f>AG69*0.979862</f>
        <v/>
      </c>
      <c r="AH65" s="20">
        <f>AH69*0.979862</f>
        <v/>
      </c>
      <c r="AI65" s="20">
        <f>AI69*0.979862</f>
        <v/>
      </c>
      <c r="AJ65" s="20">
        <f>AJ69*0.979862</f>
        <v/>
      </c>
      <c r="AK65" s="20">
        <f>AK69*0.979862</f>
        <v/>
      </c>
      <c r="AL65" s="20">
        <f>AL69*0.979862</f>
        <v/>
      </c>
      <c r="AM65" s="20">
        <f>AM69*0.979862</f>
        <v/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>
        <f>U69*0.020138</f>
        <v/>
      </c>
      <c r="V67" s="20">
        <f>V69*0.020138</f>
        <v/>
      </c>
      <c r="W67" s="20">
        <f>W69*0.020138</f>
        <v/>
      </c>
      <c r="X67" s="20">
        <f>X69*0.020138</f>
        <v/>
      </c>
      <c r="Y67" s="20">
        <f>Y69*0.020138</f>
        <v/>
      </c>
      <c r="Z67" s="20">
        <f>Z69*0.020138</f>
        <v/>
      </c>
      <c r="AA67" s="20">
        <f>AA69*0.020138</f>
        <v/>
      </c>
      <c r="AB67" s="20">
        <f>AB69*0.020138</f>
        <v/>
      </c>
      <c r="AC67" s="20">
        <f>AC69*0.020138</f>
        <v/>
      </c>
      <c r="AD67" s="20">
        <f>AD69*0.020138</f>
        <v/>
      </c>
      <c r="AE67" s="20">
        <f>AE69*0.020138</f>
        <v/>
      </c>
      <c r="AF67" s="20">
        <f>AF69*0.020138</f>
        <v/>
      </c>
      <c r="AG67" s="20">
        <f>AG69*0.020138</f>
        <v/>
      </c>
      <c r="AH67" s="20">
        <f>AH69*0.020138</f>
        <v/>
      </c>
      <c r="AI67" s="20">
        <f>AI69*0.020138</f>
        <v/>
      </c>
      <c r="AJ67" s="20">
        <f>AJ69*0.020138</f>
        <v/>
      </c>
      <c r="AK67" s="20">
        <f>AK69*0.020138</f>
        <v/>
      </c>
      <c r="AL67" s="20">
        <f>AL69*0.020138</f>
        <v/>
      </c>
      <c r="AM67" s="20">
        <f>AM69*0.020138</f>
        <v/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1468.84</v>
      </c>
      <c r="N68" t="n">
        <v>0</v>
      </c>
      <c r="O68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1124.68</v>
      </c>
      <c r="L69" t="n">
        <v>4074.81</v>
      </c>
      <c r="M69" t="n">
        <v>5914.690000000001</v>
      </c>
      <c r="N69" t="n">
        <v>4441.57</v>
      </c>
      <c r="O69" t="n">
        <v>1465.71</v>
      </c>
      <c r="P69" s="35" t="n">
        <v>4691.67</v>
      </c>
      <c r="Q69" s="35" t="n">
        <v>5077.36</v>
      </c>
      <c r="R69" s="35" t="n">
        <v>4691.67</v>
      </c>
      <c r="S69" s="35" t="n">
        <v>4691.67</v>
      </c>
      <c r="T69" s="85" t="n">
        <v>4691.67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-9139.65</v>
      </c>
      <c r="J70" t="n">
        <v>-2531.349999999999</v>
      </c>
      <c r="K70" t="n">
        <v>-11229.81</v>
      </c>
      <c r="L70" t="n">
        <v>-46740.23999999999</v>
      </c>
      <c r="M70" t="n">
        <v>-35759.36999999999</v>
      </c>
      <c r="N70" t="n">
        <v>-24825.34999999999</v>
      </c>
      <c r="O70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Danville (DN)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4682.08</v>
      </c>
      <c r="J7" t="n">
        <v>9092.889999999999</v>
      </c>
      <c r="K7" t="n">
        <v>9461.98</v>
      </c>
      <c r="L7" t="n">
        <v>9645.77</v>
      </c>
      <c r="M7" t="n">
        <v>9782.799999999999</v>
      </c>
      <c r="N7" t="n">
        <v>8901.01</v>
      </c>
      <c r="O7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195</v>
      </c>
      <c r="K8" t="n">
        <v>0</v>
      </c>
      <c r="L8" t="n">
        <v>340</v>
      </c>
      <c r="M8" t="n">
        <v>345</v>
      </c>
      <c r="N8" t="n">
        <v>390</v>
      </c>
      <c r="O8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2163.02</v>
      </c>
      <c r="J9" t="n">
        <v>3892.93</v>
      </c>
      <c r="K9" t="n">
        <v>4512.7</v>
      </c>
      <c r="L9" t="n">
        <v>4015.15</v>
      </c>
      <c r="M9" t="n">
        <v>3752.59</v>
      </c>
      <c r="N9" t="n">
        <v>4624.94</v>
      </c>
      <c r="O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t="n">
        <v>0</v>
      </c>
      <c r="E11" t="n">
        <v>0</v>
      </c>
      <c r="F11" t="n">
        <v>0</v>
      </c>
      <c r="G11" t="n">
        <v>0</v>
      </c>
      <c r="H11" t="n">
        <v>35.45</v>
      </c>
      <c r="I11" t="n">
        <v>782.29</v>
      </c>
      <c r="J11" t="n">
        <v>1351.63</v>
      </c>
      <c r="K11" t="n">
        <v>876.91</v>
      </c>
      <c r="L11" t="n">
        <v>355.21</v>
      </c>
      <c r="M11" t="n">
        <v>303.51</v>
      </c>
      <c r="N11" t="n">
        <v>0</v>
      </c>
      <c r="O11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t="n">
        <v>0</v>
      </c>
      <c r="E13" t="n">
        <v>0</v>
      </c>
      <c r="F13" t="n">
        <v>0</v>
      </c>
      <c r="G13" t="n">
        <v>0</v>
      </c>
      <c r="H13" t="n">
        <v>35.45</v>
      </c>
      <c r="I13" t="n">
        <v>7627.39</v>
      </c>
      <c r="J13" t="n">
        <v>14532.45</v>
      </c>
      <c r="K13" t="n">
        <v>14851.59</v>
      </c>
      <c r="L13" t="n">
        <v>14356.13</v>
      </c>
      <c r="M13" t="n">
        <v>14183.9</v>
      </c>
      <c r="N13" t="n">
        <v>13915.95</v>
      </c>
      <c r="O13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t="n">
        <v>0</v>
      </c>
      <c r="E14" t="n">
        <v>0</v>
      </c>
      <c r="F14" t="n">
        <v>0</v>
      </c>
      <c r="G14" t="n">
        <v>0</v>
      </c>
      <c r="H14" t="n">
        <v>42</v>
      </c>
      <c r="I14" t="n">
        <v>68.47</v>
      </c>
      <c r="J14" t="n">
        <v>884.9299999999999</v>
      </c>
      <c r="K14" t="n">
        <v>2563.2</v>
      </c>
      <c r="L14" t="n">
        <v>2945.07</v>
      </c>
      <c r="M14" t="n">
        <v>3639.53</v>
      </c>
      <c r="N14" t="n">
        <v>4154.15</v>
      </c>
      <c r="O14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375</v>
      </c>
      <c r="K15" t="n">
        <v>0</v>
      </c>
      <c r="L15" t="n">
        <v>0</v>
      </c>
      <c r="M15" t="n">
        <v>460</v>
      </c>
      <c r="N15" t="n">
        <v>0</v>
      </c>
      <c r="O15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t="n">
        <v>0</v>
      </c>
      <c r="E17" t="n">
        <v>0</v>
      </c>
      <c r="F17" t="n">
        <v>0</v>
      </c>
      <c r="G17" t="n">
        <v>0</v>
      </c>
      <c r="H17" t="n">
        <v>42</v>
      </c>
      <c r="I17" t="n">
        <v>68.47</v>
      </c>
      <c r="J17" t="n">
        <v>1259.93</v>
      </c>
      <c r="K17" t="n">
        <v>2563.2</v>
      </c>
      <c r="L17" t="n">
        <v>2945.07</v>
      </c>
      <c r="M17" t="n">
        <v>4099.530000000001</v>
      </c>
      <c r="N17" t="n">
        <v>4154.15</v>
      </c>
      <c r="O17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1358</v>
      </c>
      <c r="J18" t="n">
        <v>1060</v>
      </c>
      <c r="K18" t="n">
        <v>1032</v>
      </c>
      <c r="L18" t="n">
        <v>686</v>
      </c>
      <c r="M18" t="n">
        <v>954</v>
      </c>
      <c r="N18" t="n">
        <v>687.2</v>
      </c>
      <c r="O18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-89</v>
      </c>
      <c r="J19" t="n">
        <v>-133</v>
      </c>
      <c r="K19" t="n">
        <v>-542</v>
      </c>
      <c r="L19" t="n">
        <v>-685</v>
      </c>
      <c r="M19" t="n">
        <v>-245</v>
      </c>
      <c r="N19" t="n">
        <v>-99</v>
      </c>
      <c r="O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t="n">
        <v>0</v>
      </c>
      <c r="E20" t="n">
        <v>0</v>
      </c>
      <c r="F20" t="n">
        <v>0</v>
      </c>
      <c r="G20" t="n">
        <v>-41</v>
      </c>
      <c r="H20" t="n">
        <v>-1665</v>
      </c>
      <c r="I20" t="n">
        <v>-2563.9</v>
      </c>
      <c r="J20" t="n">
        <v>-5845.7</v>
      </c>
      <c r="K20" t="n">
        <v>-993.8</v>
      </c>
      <c r="L20" t="n">
        <v>-5065.4</v>
      </c>
      <c r="M20" t="n">
        <v>-5130.2</v>
      </c>
      <c r="N20" t="n">
        <v>-1678.8</v>
      </c>
      <c r="O20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t="n">
        <v>0</v>
      </c>
      <c r="E21" t="n">
        <v>0</v>
      </c>
      <c r="F21" t="n">
        <v>0</v>
      </c>
      <c r="G21" t="n">
        <v>-41</v>
      </c>
      <c r="H21" t="n">
        <v>-1587.55</v>
      </c>
      <c r="I21" t="n">
        <v>6400.960000000001</v>
      </c>
      <c r="J21" t="n">
        <v>10873.68</v>
      </c>
      <c r="K21" t="n">
        <v>16910.99</v>
      </c>
      <c r="L21" t="n">
        <v>12236.8</v>
      </c>
      <c r="M21" t="n">
        <v>13862.23</v>
      </c>
      <c r="N21" t="n">
        <v>16979.5</v>
      </c>
      <c r="O21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640</v>
      </c>
      <c r="J23" t="n">
        <v>508</v>
      </c>
      <c r="K23" t="n">
        <v>514.5</v>
      </c>
      <c r="L23" t="n">
        <v>336</v>
      </c>
      <c r="M23" t="n">
        <v>465.25</v>
      </c>
      <c r="N23" t="n">
        <v>341</v>
      </c>
      <c r="O23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0</v>
      </c>
      <c r="E24" t="n">
        <v>0</v>
      </c>
      <c r="F24" t="n">
        <v>0</v>
      </c>
      <c r="G24" t="n">
        <v>3.12</v>
      </c>
      <c r="H24" t="n">
        <v>52.42</v>
      </c>
      <c r="I24" t="n">
        <v>183.17</v>
      </c>
      <c r="J24" t="n">
        <v>489.7</v>
      </c>
      <c r="K24" t="n">
        <v>494.47</v>
      </c>
      <c r="L24" t="n">
        <v>593.58</v>
      </c>
      <c r="M24" t="n">
        <v>438.93</v>
      </c>
      <c r="N24" t="n">
        <v>438.23</v>
      </c>
      <c r="O24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0</v>
      </c>
      <c r="E25" t="n">
        <v>0</v>
      </c>
      <c r="F25" t="n">
        <v>0</v>
      </c>
      <c r="G25" t="n">
        <v>3.12</v>
      </c>
      <c r="H25" t="n">
        <v>52.42</v>
      </c>
      <c r="I25" t="n">
        <v>823.17</v>
      </c>
      <c r="J25" t="n">
        <v>997.7</v>
      </c>
      <c r="K25" t="n">
        <v>1008.97</v>
      </c>
      <c r="L25" t="n">
        <v>929.58</v>
      </c>
      <c r="M25" t="n">
        <v>904.1799999999999</v>
      </c>
      <c r="N25" t="n">
        <v>779.23</v>
      </c>
      <c r="O2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0</v>
      </c>
      <c r="E26" t="n">
        <v>0</v>
      </c>
      <c r="F26" t="n">
        <v>0</v>
      </c>
      <c r="G26" t="n">
        <v>-44.12</v>
      </c>
      <c r="H26" t="n">
        <v>-1639.97</v>
      </c>
      <c r="I26" t="n">
        <v>5577.790000000001</v>
      </c>
      <c r="J26" t="n">
        <v>9875.98</v>
      </c>
      <c r="K26" t="n">
        <v>15902.02</v>
      </c>
      <c r="L26" t="n">
        <v>11307.22</v>
      </c>
      <c r="M26" t="n">
        <v>12958.05</v>
      </c>
      <c r="N26" t="n">
        <v>16200.27</v>
      </c>
      <c r="O26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0</v>
      </c>
      <c r="E28" t="n">
        <v>0</v>
      </c>
      <c r="F28" t="n">
        <v>0</v>
      </c>
      <c r="G28" t="n">
        <v>539.55</v>
      </c>
      <c r="H28" t="n">
        <v>3058.85</v>
      </c>
      <c r="I28" t="n">
        <v>2836.13</v>
      </c>
      <c r="J28" t="n">
        <v>2599.12</v>
      </c>
      <c r="K28" t="n">
        <v>2256.05</v>
      </c>
      <c r="L28" t="n">
        <v>2130.06</v>
      </c>
      <c r="M28" t="n">
        <v>2563.52</v>
      </c>
      <c r="N28" t="n">
        <v>3025.04</v>
      </c>
      <c r="O28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103.29</v>
      </c>
      <c r="K30" t="n">
        <v>1201.21</v>
      </c>
      <c r="L30" t="n">
        <v>742</v>
      </c>
      <c r="M30" t="n">
        <v>3237.5</v>
      </c>
      <c r="N30" t="n">
        <v>700</v>
      </c>
      <c r="O30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0</v>
      </c>
      <c r="E33" t="n">
        <v>0</v>
      </c>
      <c r="F33" t="n">
        <v>0</v>
      </c>
      <c r="G33" t="n">
        <v>539.55</v>
      </c>
      <c r="H33" t="n">
        <v>3058.85</v>
      </c>
      <c r="I33" t="n">
        <v>2836.13</v>
      </c>
      <c r="J33" t="n">
        <v>2702.41</v>
      </c>
      <c r="K33" t="n">
        <v>3457.26</v>
      </c>
      <c r="L33" t="n">
        <v>3872.06</v>
      </c>
      <c r="M33" t="n">
        <v>5801.02</v>
      </c>
      <c r="N33" t="n">
        <v>3725.04</v>
      </c>
      <c r="O33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0</v>
      </c>
      <c r="E34" t="n">
        <v>0</v>
      </c>
      <c r="F34" t="n">
        <v>0</v>
      </c>
      <c r="G34" t="n">
        <v>0</v>
      </c>
      <c r="H34" t="n">
        <v>3401.11</v>
      </c>
      <c r="I34" t="n">
        <v>20660.61</v>
      </c>
      <c r="J34" t="n">
        <v>21304.96</v>
      </c>
      <c r="K34" t="n">
        <v>20929.99</v>
      </c>
      <c r="L34" t="n">
        <v>18278.29</v>
      </c>
      <c r="M34" t="n">
        <v>16454.66</v>
      </c>
      <c r="N34" t="n">
        <v>14345.18</v>
      </c>
      <c r="O34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t="n">
        <v>0</v>
      </c>
      <c r="E35" t="n">
        <v>0</v>
      </c>
      <c r="F35" t="n">
        <v>0</v>
      </c>
      <c r="G35" t="n">
        <v>0</v>
      </c>
      <c r="H35" t="n">
        <v>399.67</v>
      </c>
      <c r="I35" t="n">
        <v>2418.71</v>
      </c>
      <c r="J35" t="n">
        <v>2224.9</v>
      </c>
      <c r="K35" t="n">
        <v>2153.46</v>
      </c>
      <c r="L35" t="n">
        <v>1799</v>
      </c>
      <c r="M35" t="n">
        <v>1709.63</v>
      </c>
      <c r="N35" t="n">
        <v>1489.94</v>
      </c>
      <c r="O35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</v>
      </c>
      <c r="K36" t="n">
        <v>485.49</v>
      </c>
      <c r="L36" t="n">
        <v>602.49</v>
      </c>
      <c r="M36" t="n">
        <v>80</v>
      </c>
      <c r="N36" t="n">
        <v>40</v>
      </c>
      <c r="O36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t="n">
        <v>0</v>
      </c>
      <c r="E37" t="n">
        <v>0</v>
      </c>
      <c r="F37" t="n">
        <v>0</v>
      </c>
      <c r="G37" t="n">
        <v>0</v>
      </c>
      <c r="H37" t="n">
        <v>135.96</v>
      </c>
      <c r="I37" t="n">
        <v>304.32</v>
      </c>
      <c r="J37" t="n">
        <v>357.52</v>
      </c>
      <c r="K37" t="n">
        <v>532.48</v>
      </c>
      <c r="L37" t="n">
        <v>178.76</v>
      </c>
      <c r="M37" t="n">
        <v>517.08</v>
      </c>
      <c r="N37" t="n">
        <v>404.72</v>
      </c>
      <c r="O37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t="n">
        <v>0</v>
      </c>
      <c r="E38" t="n">
        <v>0</v>
      </c>
      <c r="F38" t="n">
        <v>0</v>
      </c>
      <c r="G38" t="n">
        <v>0</v>
      </c>
      <c r="H38" t="n">
        <v>3936.74</v>
      </c>
      <c r="I38" t="n">
        <v>23622.21</v>
      </c>
      <c r="J38" t="n">
        <v>24612.38</v>
      </c>
      <c r="K38" t="n">
        <v>24687.85</v>
      </c>
      <c r="L38" t="n">
        <v>21756.9</v>
      </c>
      <c r="M38" t="n">
        <v>19813.41</v>
      </c>
      <c r="N38" t="n">
        <v>18039.47</v>
      </c>
      <c r="O38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0</v>
      </c>
      <c r="E39" t="n">
        <v>132.98</v>
      </c>
      <c r="F39" t="n">
        <v>0</v>
      </c>
      <c r="G39" t="n">
        <v>0</v>
      </c>
      <c r="H39" t="n">
        <v>1998.8</v>
      </c>
      <c r="I39" t="n">
        <v>1389.1</v>
      </c>
      <c r="J39" t="n">
        <v>791</v>
      </c>
      <c r="K39" t="n">
        <v>1743.79</v>
      </c>
      <c r="L39" t="n">
        <v>668</v>
      </c>
      <c r="M39" t="n">
        <v>777.09</v>
      </c>
      <c r="N39" t="n">
        <v>798.84</v>
      </c>
      <c r="O3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t="n">
        <v>0</v>
      </c>
      <c r="E40" t="n">
        <v>0</v>
      </c>
      <c r="F40" t="n">
        <v>0</v>
      </c>
      <c r="G40" t="n">
        <v>198.67</v>
      </c>
      <c r="H40" t="n">
        <v>198.67</v>
      </c>
      <c r="I40" t="n">
        <v>198.67</v>
      </c>
      <c r="J40" t="n">
        <v>198.67</v>
      </c>
      <c r="K40" t="n">
        <v>-15.85</v>
      </c>
      <c r="L40" t="n">
        <v>198.67</v>
      </c>
      <c r="M40" t="n">
        <v>476.27</v>
      </c>
      <c r="N40" t="n">
        <v>476.27</v>
      </c>
      <c r="O40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t="n">
        <v>0</v>
      </c>
      <c r="E43" t="n">
        <v>0</v>
      </c>
      <c r="F43" t="n">
        <v>2286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2086.25</v>
      </c>
      <c r="L44" t="n">
        <v>0</v>
      </c>
      <c r="M44" t="n">
        <v>0</v>
      </c>
      <c r="N44" t="n">
        <v>154.54</v>
      </c>
      <c r="O44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479.1</v>
      </c>
      <c r="K46" t="n">
        <v>479.1</v>
      </c>
      <c r="L46" t="n">
        <v>479.1</v>
      </c>
      <c r="M46" t="n">
        <v>481</v>
      </c>
      <c r="N46" t="n">
        <v>481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t="n">
        <v>0</v>
      </c>
      <c r="E47" t="n">
        <v>0</v>
      </c>
      <c r="F47" t="n">
        <v>2286</v>
      </c>
      <c r="G47" t="n">
        <v>0</v>
      </c>
      <c r="H47" t="n">
        <v>0</v>
      </c>
      <c r="I47" t="n">
        <v>0</v>
      </c>
      <c r="J47" t="n">
        <v>479.1</v>
      </c>
      <c r="K47" t="n">
        <v>2565.35</v>
      </c>
      <c r="L47" t="n">
        <v>479.1</v>
      </c>
      <c r="M47" t="n">
        <v>481</v>
      </c>
      <c r="N47" t="n">
        <v>635.54</v>
      </c>
      <c r="O47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573.11</v>
      </c>
      <c r="J49" t="n">
        <v>79.2</v>
      </c>
      <c r="K49" t="n">
        <v>204.06</v>
      </c>
      <c r="L49" t="n">
        <v>120.17</v>
      </c>
      <c r="M49" t="n">
        <v>145.52</v>
      </c>
      <c r="N49" t="n">
        <v>99.41</v>
      </c>
      <c r="O4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269.79</v>
      </c>
      <c r="J51" t="n">
        <v>134.22</v>
      </c>
      <c r="K51" t="n">
        <v>465.62</v>
      </c>
      <c r="L51" t="n">
        <v>356.93</v>
      </c>
      <c r="M51" t="n">
        <v>433.26</v>
      </c>
      <c r="N51" t="n">
        <v>163.79</v>
      </c>
      <c r="O51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288.29</v>
      </c>
      <c r="J53" t="n">
        <v>0</v>
      </c>
      <c r="K53" t="n">
        <v>137.27</v>
      </c>
      <c r="L53" t="n">
        <v>100.75</v>
      </c>
      <c r="M53" t="n">
        <v>105.77</v>
      </c>
      <c r="N53" t="n">
        <v>105.81</v>
      </c>
      <c r="O53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362.25</v>
      </c>
      <c r="J55" t="n">
        <v>0</v>
      </c>
      <c r="K55" t="n">
        <v>362.25</v>
      </c>
      <c r="L55" t="n">
        <v>362.25</v>
      </c>
      <c r="M55" t="n">
        <v>362.25</v>
      </c>
      <c r="N55" t="n">
        <v>362.25</v>
      </c>
      <c r="O55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1232.4</v>
      </c>
      <c r="J56" t="n">
        <v>296.34</v>
      </c>
      <c r="K56" t="n">
        <v>1127.26</v>
      </c>
      <c r="L56" t="n">
        <v>982.05</v>
      </c>
      <c r="M56" t="n">
        <v>1063.4</v>
      </c>
      <c r="N56" t="n">
        <v>793.97</v>
      </c>
      <c r="O56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0</v>
      </c>
      <c r="E57" t="n">
        <v>0</v>
      </c>
      <c r="F57" t="n">
        <v>0</v>
      </c>
      <c r="G57" t="n">
        <v>5932.56</v>
      </c>
      <c r="H57" t="n">
        <v>5932.56</v>
      </c>
      <c r="I57" t="n">
        <v>5932.56</v>
      </c>
      <c r="J57" t="n">
        <v>5932.56</v>
      </c>
      <c r="K57" t="n">
        <v>5932.56</v>
      </c>
      <c r="L57" t="n">
        <v>5932.56</v>
      </c>
      <c r="M57" t="n">
        <v>5932.56</v>
      </c>
      <c r="N57" t="n">
        <v>5932.56</v>
      </c>
      <c r="O57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58.71</v>
      </c>
      <c r="K59" t="n">
        <v>164.01</v>
      </c>
      <c r="L59" t="n">
        <v>0</v>
      </c>
      <c r="M59" t="n">
        <v>-492</v>
      </c>
      <c r="N59" t="n">
        <v>116.26</v>
      </c>
      <c r="O5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t="n">
        <v>-198.25</v>
      </c>
      <c r="E60" t="n">
        <v>-198.25</v>
      </c>
      <c r="F60" t="n">
        <v>-198.25</v>
      </c>
      <c r="G60" t="n">
        <v>-198.25</v>
      </c>
      <c r="H60" t="n">
        <v>-198.25</v>
      </c>
      <c r="I60" t="n">
        <v>-198.25</v>
      </c>
      <c r="J60" t="n">
        <v>3455.84</v>
      </c>
      <c r="K60" t="n">
        <v>2038.95</v>
      </c>
      <c r="L60" t="n">
        <v>2038.95</v>
      </c>
      <c r="M60" t="n">
        <v>2038.95</v>
      </c>
      <c r="N60" t="n">
        <v>2038.95</v>
      </c>
      <c r="O60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t="n">
        <v>-198.25</v>
      </c>
      <c r="E61" t="n">
        <v>-198.25</v>
      </c>
      <c r="F61" t="n">
        <v>-198.25</v>
      </c>
      <c r="G61" t="n">
        <v>5734.31</v>
      </c>
      <c r="H61" t="n">
        <v>5734.31</v>
      </c>
      <c r="I61" t="n">
        <v>6653.77</v>
      </c>
      <c r="J61" t="n">
        <v>9447.110000000001</v>
      </c>
      <c r="K61" t="n">
        <v>8135.52</v>
      </c>
      <c r="L61" t="n">
        <v>7971.51</v>
      </c>
      <c r="M61" t="n">
        <v>7479.51</v>
      </c>
      <c r="N61" t="n">
        <v>8157.77</v>
      </c>
      <c r="O61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-198.25</v>
      </c>
      <c r="E62" t="n">
        <v>-65.27000000000001</v>
      </c>
      <c r="F62" t="n">
        <v>2166.64</v>
      </c>
      <c r="G62" t="n">
        <v>6472.530000000001</v>
      </c>
      <c r="H62" t="n">
        <v>19271.13</v>
      </c>
      <c r="I62" t="n">
        <v>52525.63</v>
      </c>
      <c r="J62" t="n">
        <v>40882.53</v>
      </c>
      <c r="K62" t="n">
        <v>43592.21000000001</v>
      </c>
      <c r="L62" t="n">
        <v>37327.79</v>
      </c>
      <c r="M62" t="n">
        <v>36358.13</v>
      </c>
      <c r="N62" t="n">
        <v>33124.05</v>
      </c>
      <c r="O62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198.25</v>
      </c>
      <c r="E63" t="n">
        <v>65.27000000000001</v>
      </c>
      <c r="F63" t="n">
        <v>-2166.64</v>
      </c>
      <c r="G63" t="n">
        <v>-6516.650000000001</v>
      </c>
      <c r="H63" t="n">
        <v>-20911.1</v>
      </c>
      <c r="I63" t="n">
        <v>-46947.84</v>
      </c>
      <c r="J63" t="n">
        <v>-31006.55</v>
      </c>
      <c r="K63" t="n">
        <v>-27690.19</v>
      </c>
      <c r="L63" t="n">
        <v>-26020.57</v>
      </c>
      <c r="M63" t="n">
        <v>-23400.08000000001</v>
      </c>
      <c r="N63" t="n">
        <v>-16923.78</v>
      </c>
      <c r="O63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3539.61</v>
      </c>
      <c r="J65" t="n">
        <v>3629.04</v>
      </c>
      <c r="K65" t="n">
        <v>3519.23</v>
      </c>
      <c r="L65" t="n">
        <v>3552.17</v>
      </c>
      <c r="M65" t="n">
        <v>3587.95</v>
      </c>
      <c r="N65" t="n">
        <v>3599.54</v>
      </c>
      <c r="O65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>
        <f>U69*0.986539</f>
        <v/>
      </c>
      <c r="V65" s="20">
        <f>V69*0.986539</f>
        <v/>
      </c>
      <c r="W65" s="20">
        <f>W69*0.986539</f>
        <v/>
      </c>
      <c r="X65" s="20">
        <f>X69*0.986539</f>
        <v/>
      </c>
      <c r="Y65" s="20">
        <f>Y69*0.986539</f>
        <v/>
      </c>
      <c r="Z65" s="20">
        <f>Z69*0.986539</f>
        <v/>
      </c>
      <c r="AA65" s="20">
        <f>AA69*0.986539</f>
        <v/>
      </c>
      <c r="AB65" s="20">
        <f>AB69*0.986539</f>
        <v/>
      </c>
      <c r="AC65" s="20">
        <f>AC69*0.986539</f>
        <v/>
      </c>
      <c r="AD65" s="20">
        <f>AD69*0.986539</f>
        <v/>
      </c>
      <c r="AE65" s="20">
        <f>AE69*0.986539</f>
        <v/>
      </c>
      <c r="AF65" s="20">
        <f>AF69*0.986539</f>
        <v/>
      </c>
      <c r="AG65" s="20">
        <f>AG69*0.986539</f>
        <v/>
      </c>
      <c r="AH65" s="20">
        <f>AH69*0.986539</f>
        <v/>
      </c>
      <c r="AI65" s="20">
        <f>AI69*0.986539</f>
        <v/>
      </c>
      <c r="AJ65" s="20">
        <f>AJ69*0.986539</f>
        <v/>
      </c>
      <c r="AK65" s="20">
        <f>AK69*0.986539</f>
        <v/>
      </c>
      <c r="AL65" s="20">
        <f>AL69*0.986539</f>
        <v/>
      </c>
      <c r="AM65" s="20">
        <f>AM69*0.986539</f>
        <v/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>
        <f>U69*0.013461</f>
        <v/>
      </c>
      <c r="V67" s="20">
        <f>V69*0.013461</f>
        <v/>
      </c>
      <c r="W67" s="20">
        <f>W69*0.013461</f>
        <v/>
      </c>
      <c r="X67" s="20">
        <f>X69*0.013461</f>
        <v/>
      </c>
      <c r="Y67" s="20">
        <f>Y69*0.013461</f>
        <v/>
      </c>
      <c r="Z67" s="20">
        <f>Z69*0.013461</f>
        <v/>
      </c>
      <c r="AA67" s="20">
        <f>AA69*0.013461</f>
        <v/>
      </c>
      <c r="AB67" s="20">
        <f>AB69*0.013461</f>
        <v/>
      </c>
      <c r="AC67" s="20">
        <f>AC69*0.013461</f>
        <v/>
      </c>
      <c r="AD67" s="20">
        <f>AD69*0.013461</f>
        <v/>
      </c>
      <c r="AE67" s="20">
        <f>AE69*0.013461</f>
        <v/>
      </c>
      <c r="AF67" s="20">
        <f>AF69*0.013461</f>
        <v/>
      </c>
      <c r="AG67" s="20">
        <f>AG69*0.013461</f>
        <v/>
      </c>
      <c r="AH67" s="20">
        <f>AH69*0.013461</f>
        <v/>
      </c>
      <c r="AI67" s="20">
        <f>AI69*0.013461</f>
        <v/>
      </c>
      <c r="AJ67" s="20">
        <f>AJ69*0.013461</f>
        <v/>
      </c>
      <c r="AK67" s="20">
        <f>AK69*0.013461</f>
        <v/>
      </c>
      <c r="AL67" s="20">
        <f>AL69*0.013461</f>
        <v/>
      </c>
      <c r="AM67" s="20">
        <f>AM69*0.013461</f>
        <v/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3539.61</v>
      </c>
      <c r="J69" t="n">
        <v>3629.04</v>
      </c>
      <c r="K69" t="n">
        <v>3519.23</v>
      </c>
      <c r="L69" t="n">
        <v>3552.17</v>
      </c>
      <c r="M69" t="n">
        <v>3587.95</v>
      </c>
      <c r="N69" t="n">
        <v>3599.54</v>
      </c>
      <c r="O69" t="n">
        <v>5647.2</v>
      </c>
      <c r="P69" s="35" t="n">
        <v>3615.45</v>
      </c>
      <c r="Q69" s="35" t="n">
        <v>3812.78</v>
      </c>
      <c r="R69" s="35" t="n">
        <v>3615.45</v>
      </c>
      <c r="S69" s="35" t="n">
        <v>3615.45</v>
      </c>
      <c r="T69" s="85" t="n">
        <v>3615.45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198.25</v>
      </c>
      <c r="E70" t="n">
        <v>65.27000000000001</v>
      </c>
      <c r="F70" t="n">
        <v>-2166.64</v>
      </c>
      <c r="G70" t="n">
        <v>-6516.650000000001</v>
      </c>
      <c r="H70" t="n">
        <v>-20911.1</v>
      </c>
      <c r="I70" t="n">
        <v>-50487.45</v>
      </c>
      <c r="J70" t="n">
        <v>-34635.59</v>
      </c>
      <c r="K70" t="n">
        <v>-31209.42</v>
      </c>
      <c r="L70" t="n">
        <v>-29572.74</v>
      </c>
      <c r="M70" t="n">
        <v>-26988.03000000001</v>
      </c>
      <c r="N70" t="n">
        <v>-20523.32</v>
      </c>
      <c r="O70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Lafayette (LF)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43151.82</v>
      </c>
      <c r="E7" t="n">
        <v>47419.54</v>
      </c>
      <c r="F7" t="n">
        <v>57007.59</v>
      </c>
      <c r="G7" t="n">
        <v>55456.25</v>
      </c>
      <c r="H7" t="n">
        <v>62450.75</v>
      </c>
      <c r="I7" t="n">
        <v>58847.59</v>
      </c>
      <c r="J7" t="n">
        <v>52441.82</v>
      </c>
      <c r="K7" t="n">
        <v>52783.33</v>
      </c>
      <c r="L7" t="n">
        <v>51328.58</v>
      </c>
      <c r="M7" t="n">
        <v>53566.52</v>
      </c>
      <c r="N7" t="n">
        <v>54483</v>
      </c>
      <c r="O7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t="n">
        <v>2925</v>
      </c>
      <c r="E8" t="n">
        <v>4200</v>
      </c>
      <c r="F8" t="n">
        <v>3960</v>
      </c>
      <c r="G8" t="n">
        <v>3712.5</v>
      </c>
      <c r="H8" t="n">
        <v>4219.17</v>
      </c>
      <c r="I8" t="n">
        <v>4000</v>
      </c>
      <c r="J8" t="n">
        <v>3325</v>
      </c>
      <c r="K8" t="n">
        <v>3845</v>
      </c>
      <c r="L8" t="n">
        <v>3405</v>
      </c>
      <c r="M8" t="n">
        <v>3235</v>
      </c>
      <c r="N8" t="n">
        <v>2105</v>
      </c>
      <c r="O8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t="n">
        <v>11286.93</v>
      </c>
      <c r="E9" t="n">
        <v>9719.469999999999</v>
      </c>
      <c r="F9" t="n">
        <v>12905.89</v>
      </c>
      <c r="G9" t="n">
        <v>12576.41</v>
      </c>
      <c r="H9" t="n">
        <v>12618.59</v>
      </c>
      <c r="I9" t="n">
        <v>10385.23</v>
      </c>
      <c r="J9" t="n">
        <v>10921.08</v>
      </c>
      <c r="K9" t="n">
        <v>11454.02</v>
      </c>
      <c r="L9" t="n">
        <v>11685.34</v>
      </c>
      <c r="M9" t="n">
        <v>11581.92</v>
      </c>
      <c r="N9" t="n">
        <v>11538.37</v>
      </c>
      <c r="O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t="n">
        <v>0</v>
      </c>
      <c r="E10" t="n">
        <v>0</v>
      </c>
      <c r="F10" t="n">
        <v>0</v>
      </c>
      <c r="G10" t="n">
        <v>500</v>
      </c>
      <c r="H10" t="n">
        <v>0</v>
      </c>
      <c r="I10" t="n">
        <v>4950</v>
      </c>
      <c r="J10" t="n">
        <v>66.67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t="n">
        <v>0</v>
      </c>
      <c r="E11" t="n">
        <v>39.8</v>
      </c>
      <c r="F11" t="n">
        <v>14</v>
      </c>
      <c r="G11" t="n">
        <v>0</v>
      </c>
      <c r="H11" t="n">
        <v>14</v>
      </c>
      <c r="I11" t="n">
        <v>309</v>
      </c>
      <c r="J11" t="n">
        <v>0</v>
      </c>
      <c r="K11" t="n">
        <v>275.8</v>
      </c>
      <c r="L11" t="n">
        <v>11.8</v>
      </c>
      <c r="M11" t="n">
        <v>14</v>
      </c>
      <c r="N11" t="n">
        <v>39.8</v>
      </c>
      <c r="O11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t="n">
        <v>1003.83</v>
      </c>
      <c r="E12" t="n">
        <v>867.91</v>
      </c>
      <c r="F12" t="n">
        <v>777.3</v>
      </c>
      <c r="G12" t="n">
        <v>1119.61</v>
      </c>
      <c r="H12" t="n">
        <v>810.02</v>
      </c>
      <c r="I12" t="n">
        <v>1119.61</v>
      </c>
      <c r="J12" t="n">
        <v>1258.05</v>
      </c>
      <c r="K12" t="n">
        <v>867.91</v>
      </c>
      <c r="L12" t="n">
        <v>1060.81</v>
      </c>
      <c r="M12" t="n">
        <v>860.36</v>
      </c>
      <c r="N12" t="n">
        <v>1016.87</v>
      </c>
      <c r="O12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t="n">
        <v>58367.58</v>
      </c>
      <c r="E13" t="n">
        <v>62246.72000000001</v>
      </c>
      <c r="F13" t="n">
        <v>74664.78</v>
      </c>
      <c r="G13" t="n">
        <v>73364.77</v>
      </c>
      <c r="H13" t="n">
        <v>80112.53</v>
      </c>
      <c r="I13" t="n">
        <v>79611.42999999999</v>
      </c>
      <c r="J13" t="n">
        <v>68012.62</v>
      </c>
      <c r="K13" t="n">
        <v>69226.06000000001</v>
      </c>
      <c r="L13" t="n">
        <v>67491.53</v>
      </c>
      <c r="M13" t="n">
        <v>69257.8</v>
      </c>
      <c r="N13" t="n">
        <v>69183.03999999999</v>
      </c>
      <c r="O13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t="n">
        <v>9291.620000000001</v>
      </c>
      <c r="E14" t="n">
        <v>15252.61</v>
      </c>
      <c r="F14" t="n">
        <v>14273.32</v>
      </c>
      <c r="G14" t="n">
        <v>12002.23</v>
      </c>
      <c r="H14" t="n">
        <v>24288.08</v>
      </c>
      <c r="I14" t="n">
        <v>12711.39</v>
      </c>
      <c r="J14" t="n">
        <v>13629.15</v>
      </c>
      <c r="K14" t="n">
        <v>14900.47</v>
      </c>
      <c r="L14" t="n">
        <v>21340.38</v>
      </c>
      <c r="M14" t="n">
        <v>15733.55</v>
      </c>
      <c r="N14" t="n">
        <v>21841</v>
      </c>
      <c r="O14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t="n">
        <v>450</v>
      </c>
      <c r="E15" t="n">
        <v>955</v>
      </c>
      <c r="F15" t="n">
        <v>3300</v>
      </c>
      <c r="G15" t="n">
        <v>1585</v>
      </c>
      <c r="H15" t="n">
        <v>1095</v>
      </c>
      <c r="I15" t="n">
        <v>913.33</v>
      </c>
      <c r="J15" t="n">
        <v>1625</v>
      </c>
      <c r="K15" t="n">
        <v>640</v>
      </c>
      <c r="L15" t="n">
        <v>720</v>
      </c>
      <c r="M15" t="n">
        <v>1335</v>
      </c>
      <c r="N15" t="n">
        <v>1210</v>
      </c>
      <c r="O15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47.2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23.6</v>
      </c>
      <c r="M16" t="n">
        <v>0</v>
      </c>
      <c r="N16" t="n">
        <v>0</v>
      </c>
      <c r="O16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t="n">
        <v>9741.620000000001</v>
      </c>
      <c r="E17" t="n">
        <v>16207.61</v>
      </c>
      <c r="F17" t="n">
        <v>17620.52</v>
      </c>
      <c r="G17" t="n">
        <v>13587.23</v>
      </c>
      <c r="H17" t="n">
        <v>25383.08</v>
      </c>
      <c r="I17" t="n">
        <v>13624.72</v>
      </c>
      <c r="J17" t="n">
        <v>17434.15</v>
      </c>
      <c r="K17" t="n">
        <v>20720.47</v>
      </c>
      <c r="L17" t="n">
        <v>22083.98</v>
      </c>
      <c r="M17" t="n">
        <v>17068.55</v>
      </c>
      <c r="N17" t="n">
        <v>23551</v>
      </c>
      <c r="O17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t="n">
        <v>1876</v>
      </c>
      <c r="E18" t="n">
        <v>2143</v>
      </c>
      <c r="F18" t="n">
        <v>1703</v>
      </c>
      <c r="G18" t="n">
        <v>2050</v>
      </c>
      <c r="H18" t="n">
        <v>2044</v>
      </c>
      <c r="I18" t="n">
        <v>1890</v>
      </c>
      <c r="J18" t="n">
        <v>1336</v>
      </c>
      <c r="K18" t="n">
        <v>996</v>
      </c>
      <c r="L18" t="n">
        <v>1757</v>
      </c>
      <c r="M18" t="n">
        <v>1649</v>
      </c>
      <c r="N18" t="n">
        <v>1241</v>
      </c>
      <c r="O18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t="n">
        <v>-3594</v>
      </c>
      <c r="E19" t="n">
        <v>-295</v>
      </c>
      <c r="F19" t="n">
        <v>-636</v>
      </c>
      <c r="G19" t="n">
        <v>-610</v>
      </c>
      <c r="H19" t="n">
        <v>-311.01</v>
      </c>
      <c r="I19" t="n">
        <v>-524</v>
      </c>
      <c r="J19" t="n">
        <v>-1346.01</v>
      </c>
      <c r="K19" t="n">
        <v>-1098.01</v>
      </c>
      <c r="L19" t="n">
        <v>-1554</v>
      </c>
      <c r="M19" t="n">
        <v>-885</v>
      </c>
      <c r="N19" t="n">
        <v>-1542</v>
      </c>
      <c r="O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t="n">
        <v>-7484.26</v>
      </c>
      <c r="E20" t="n">
        <v>-5545.16</v>
      </c>
      <c r="F20" t="n">
        <v>-5798.36</v>
      </c>
      <c r="G20" t="n">
        <v>-8259.959999999999</v>
      </c>
      <c r="H20" t="n">
        <v>-7102.98</v>
      </c>
      <c r="I20" t="n">
        <v>-4693.92</v>
      </c>
      <c r="J20" t="n">
        <v>-4233.36</v>
      </c>
      <c r="K20" t="n">
        <v>-4134.52</v>
      </c>
      <c r="L20" t="n">
        <v>-3938.2</v>
      </c>
      <c r="M20" t="n">
        <v>-4537.16</v>
      </c>
      <c r="N20" t="n">
        <v>-4159.5</v>
      </c>
      <c r="O20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t="n">
        <v>84917.64</v>
      </c>
      <c r="E21" t="n">
        <v>87714.89</v>
      </c>
      <c r="F21" t="n">
        <v>95273.07000000001</v>
      </c>
      <c r="G21" t="n">
        <v>83842.64999999999</v>
      </c>
      <c r="H21" t="n">
        <v>102916.12</v>
      </c>
      <c r="I21" t="n">
        <v>90516.06</v>
      </c>
      <c r="J21" t="n">
        <v>81871.39999999999</v>
      </c>
      <c r="K21" t="n">
        <v>86069.17000000001</v>
      </c>
      <c r="L21" t="n">
        <v>86278.31</v>
      </c>
      <c r="M21" t="n">
        <v>82816.69</v>
      </c>
      <c r="N21" t="n">
        <v>88360.34</v>
      </c>
      <c r="O21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868</v>
      </c>
      <c r="E23" t="n">
        <v>1006</v>
      </c>
      <c r="F23" t="n">
        <v>757.5</v>
      </c>
      <c r="G23" t="n">
        <v>988.5</v>
      </c>
      <c r="H23" t="n">
        <v>943</v>
      </c>
      <c r="I23" t="n">
        <v>786</v>
      </c>
      <c r="J23" t="n">
        <v>652</v>
      </c>
      <c r="K23" t="n">
        <v>494.6</v>
      </c>
      <c r="L23" t="n">
        <v>779.85</v>
      </c>
      <c r="M23" t="n">
        <v>813.6</v>
      </c>
      <c r="N23" t="n">
        <v>612.35</v>
      </c>
      <c r="O23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2780.1</v>
      </c>
      <c r="E24" t="n">
        <v>2587.14</v>
      </c>
      <c r="F24" t="n">
        <v>2646.78</v>
      </c>
      <c r="G24" t="n">
        <v>3783.05</v>
      </c>
      <c r="H24" t="n">
        <v>2303.02</v>
      </c>
      <c r="I24" t="n">
        <v>2415.42</v>
      </c>
      <c r="J24" t="n">
        <v>2043.91</v>
      </c>
      <c r="K24" t="n">
        <v>2963.76</v>
      </c>
      <c r="L24" t="n">
        <v>1918.86</v>
      </c>
      <c r="M24" t="n">
        <v>2196.94</v>
      </c>
      <c r="N24" t="n">
        <v>2544.83</v>
      </c>
      <c r="O24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3648.1</v>
      </c>
      <c r="E25" t="n">
        <v>3593.14</v>
      </c>
      <c r="F25" t="n">
        <v>3404.28</v>
      </c>
      <c r="G25" t="n">
        <v>4771.55</v>
      </c>
      <c r="H25" t="n">
        <v>3246.02</v>
      </c>
      <c r="I25" t="n">
        <v>3201.42</v>
      </c>
      <c r="J25" t="n">
        <v>2695.91</v>
      </c>
      <c r="K25" t="n">
        <v>3458.36</v>
      </c>
      <c r="L25" t="n">
        <v>2698.71</v>
      </c>
      <c r="M25" t="n">
        <v>3010.54</v>
      </c>
      <c r="N25" t="n">
        <v>3157.18</v>
      </c>
      <c r="O2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81269.53999999999</v>
      </c>
      <c r="E26" t="n">
        <v>84121.75</v>
      </c>
      <c r="F26" t="n">
        <v>91868.78999999999</v>
      </c>
      <c r="G26" t="n">
        <v>79071.09999999999</v>
      </c>
      <c r="H26" t="n">
        <v>99670.10000000001</v>
      </c>
      <c r="I26" t="n">
        <v>87314.64</v>
      </c>
      <c r="J26" t="n">
        <v>79175.48999999999</v>
      </c>
      <c r="K26" t="n">
        <v>82610.81000000001</v>
      </c>
      <c r="L26" t="n">
        <v>83579.59999999999</v>
      </c>
      <c r="M26" t="n">
        <v>79806.15000000001</v>
      </c>
      <c r="N26" t="n">
        <v>85203.16</v>
      </c>
      <c r="O26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0</v>
      </c>
      <c r="E28" t="n">
        <v>300</v>
      </c>
      <c r="F28" t="n">
        <v>0</v>
      </c>
      <c r="G28" t="n">
        <v>0</v>
      </c>
      <c r="H28" t="n">
        <v>779.53</v>
      </c>
      <c r="I28" t="n">
        <v>5394.25</v>
      </c>
      <c r="J28" t="n">
        <v>2830.72</v>
      </c>
      <c r="K28" t="n">
        <v>3687.29</v>
      </c>
      <c r="L28" t="n">
        <v>2385.33</v>
      </c>
      <c r="M28" t="n">
        <v>2405.57</v>
      </c>
      <c r="N28" t="n">
        <v>3314.58</v>
      </c>
      <c r="O28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0</v>
      </c>
      <c r="E30" t="n">
        <v>107.64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3000</v>
      </c>
      <c r="O30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0</v>
      </c>
      <c r="E33" t="n">
        <v>407.64</v>
      </c>
      <c r="F33" t="n">
        <v>0</v>
      </c>
      <c r="G33" t="n">
        <v>0</v>
      </c>
      <c r="H33" t="n">
        <v>779.53</v>
      </c>
      <c r="I33" t="n">
        <v>5620.85</v>
      </c>
      <c r="J33" t="n">
        <v>2830.72</v>
      </c>
      <c r="K33" t="n">
        <v>3687.29</v>
      </c>
      <c r="L33" t="n">
        <v>2385.33</v>
      </c>
      <c r="M33" t="n">
        <v>2405.57</v>
      </c>
      <c r="N33" t="n">
        <v>6314.58</v>
      </c>
      <c r="O33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29944.54</v>
      </c>
      <c r="E34" t="n">
        <v>26611.32</v>
      </c>
      <c r="F34" t="n">
        <v>27934.63</v>
      </c>
      <c r="G34" t="n">
        <v>24698.53</v>
      </c>
      <c r="H34" t="n">
        <v>30351.55</v>
      </c>
      <c r="I34" t="n">
        <v>32716.72</v>
      </c>
      <c r="J34" t="n">
        <v>37248.57</v>
      </c>
      <c r="K34" t="n">
        <v>35381.9</v>
      </c>
      <c r="L34" t="n">
        <v>51842.92</v>
      </c>
      <c r="M34" t="n">
        <v>36586.07</v>
      </c>
      <c r="N34" t="n">
        <v>34746.63</v>
      </c>
      <c r="O34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t="n">
        <v>4485.5</v>
      </c>
      <c r="E35" t="n">
        <v>3456.78</v>
      </c>
      <c r="F35" t="n">
        <v>3436.32</v>
      </c>
      <c r="G35" t="n">
        <v>2833.52</v>
      </c>
      <c r="H35" t="n">
        <v>3415.37</v>
      </c>
      <c r="I35" t="n">
        <v>3375.32</v>
      </c>
      <c r="J35" t="n">
        <v>3803.23</v>
      </c>
      <c r="K35" t="n">
        <v>3476.16</v>
      </c>
      <c r="L35" t="n">
        <v>5147.97</v>
      </c>
      <c r="M35" t="n">
        <v>3575.57</v>
      </c>
      <c r="N35" t="n">
        <v>3408.19</v>
      </c>
      <c r="O35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t="n">
        <v>40</v>
      </c>
      <c r="E36" t="n">
        <v>-47.67</v>
      </c>
      <c r="F36" t="n">
        <v>420.7</v>
      </c>
      <c r="G36" t="n">
        <v>-1124.4</v>
      </c>
      <c r="H36" t="n">
        <v>-1332.33</v>
      </c>
      <c r="I36" t="n">
        <v>-1207.57</v>
      </c>
      <c r="J36" t="n">
        <v>785.1900000000001</v>
      </c>
      <c r="K36" t="n">
        <v>-882.28</v>
      </c>
      <c r="L36" t="n">
        <v>-720.7</v>
      </c>
      <c r="M36" t="n">
        <v>-86.95</v>
      </c>
      <c r="N36" t="n">
        <v>-5.36</v>
      </c>
      <c r="O36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t="n">
        <v>1024.36</v>
      </c>
      <c r="E37" t="n">
        <v>529.7</v>
      </c>
      <c r="F37" t="n">
        <v>522.12</v>
      </c>
      <c r="G37" t="n">
        <v>529.7</v>
      </c>
      <c r="H37" t="n">
        <v>522.12</v>
      </c>
      <c r="I37" t="n">
        <v>541.05</v>
      </c>
      <c r="J37" t="n">
        <v>537.27</v>
      </c>
      <c r="K37" t="n">
        <v>802.11</v>
      </c>
      <c r="L37" t="n">
        <v>548.63</v>
      </c>
      <c r="M37" t="n">
        <v>548.63</v>
      </c>
      <c r="N37" t="n">
        <v>560</v>
      </c>
      <c r="O37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t="n">
        <v>44101.21</v>
      </c>
      <c r="E38" t="n">
        <v>38460.88</v>
      </c>
      <c r="F38" t="n">
        <v>40762.14</v>
      </c>
      <c r="G38" t="n">
        <v>34270.26999999999</v>
      </c>
      <c r="H38" t="n">
        <v>42400.06</v>
      </c>
      <c r="I38" t="n">
        <v>42574.16</v>
      </c>
      <c r="J38" t="n">
        <v>48436.8</v>
      </c>
      <c r="K38" t="n">
        <v>45545.54000000001</v>
      </c>
      <c r="L38" t="n">
        <v>66065.75</v>
      </c>
      <c r="M38" t="n">
        <v>46613.52</v>
      </c>
      <c r="N38" t="n">
        <v>44835.13</v>
      </c>
      <c r="O38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773.87</v>
      </c>
      <c r="E39" t="n">
        <v>803.91</v>
      </c>
      <c r="F39" t="n">
        <v>593.3</v>
      </c>
      <c r="G39" t="n">
        <v>1237.3</v>
      </c>
      <c r="H39" t="n">
        <v>1228</v>
      </c>
      <c r="I39" t="n">
        <v>430.5</v>
      </c>
      <c r="J39" t="n">
        <v>854.87</v>
      </c>
      <c r="K39" t="n">
        <v>1719.77</v>
      </c>
      <c r="L39" t="n">
        <v>625.99</v>
      </c>
      <c r="M39" t="n">
        <v>735.08</v>
      </c>
      <c r="N39" t="n">
        <v>735.08</v>
      </c>
      <c r="O3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t="n">
        <v>204.93</v>
      </c>
      <c r="E40" t="n">
        <v>204.93</v>
      </c>
      <c r="F40" t="n">
        <v>204.93</v>
      </c>
      <c r="G40" t="n">
        <v>204.93</v>
      </c>
      <c r="H40" t="n">
        <v>204.93</v>
      </c>
      <c r="I40" t="n">
        <v>204.93</v>
      </c>
      <c r="J40" t="n">
        <v>204.93</v>
      </c>
      <c r="K40" t="n">
        <v>204.93</v>
      </c>
      <c r="L40" t="n">
        <v>204.93</v>
      </c>
      <c r="M40" t="n">
        <v>356.16</v>
      </c>
      <c r="N40" t="n">
        <v>356.16</v>
      </c>
      <c r="O40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127.5</v>
      </c>
      <c r="E44" t="n">
        <v>2047</v>
      </c>
      <c r="F44" t="n">
        <v>135</v>
      </c>
      <c r="G44" t="n">
        <v>22.5</v>
      </c>
      <c r="H44" t="n">
        <v>1272.5</v>
      </c>
      <c r="I44" t="n">
        <v>0</v>
      </c>
      <c r="J44" t="n">
        <v>0</v>
      </c>
      <c r="K44" t="n">
        <v>906.25</v>
      </c>
      <c r="L44" t="n">
        <v>0</v>
      </c>
      <c r="M44" t="n">
        <v>0</v>
      </c>
      <c r="N44" t="n">
        <v>154.54</v>
      </c>
      <c r="O44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564</v>
      </c>
      <c r="H46" t="n">
        <v>0</v>
      </c>
      <c r="I46" t="n">
        <v>0</v>
      </c>
      <c r="J46" t="n">
        <v>479.1</v>
      </c>
      <c r="K46" t="n">
        <v>479.1</v>
      </c>
      <c r="L46" t="n">
        <v>479.1</v>
      </c>
      <c r="M46" t="n">
        <v>481</v>
      </c>
      <c r="N46" t="n">
        <v>481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t="n">
        <v>127.5</v>
      </c>
      <c r="E47" t="n">
        <v>2047</v>
      </c>
      <c r="F47" t="n">
        <v>135</v>
      </c>
      <c r="G47" t="n">
        <v>586.5</v>
      </c>
      <c r="H47" t="n">
        <v>1272.5</v>
      </c>
      <c r="I47" t="n">
        <v>0</v>
      </c>
      <c r="J47" t="n">
        <v>479.1</v>
      </c>
      <c r="K47" t="n">
        <v>1385.35</v>
      </c>
      <c r="L47" t="n">
        <v>479.1</v>
      </c>
      <c r="M47" t="n">
        <v>481</v>
      </c>
      <c r="N47" t="n">
        <v>635.54</v>
      </c>
      <c r="O47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t="n">
        <v>0</v>
      </c>
      <c r="E49" t="n">
        <v>44.04</v>
      </c>
      <c r="F49" t="n">
        <v>38.61</v>
      </c>
      <c r="G49" t="n">
        <v>0</v>
      </c>
      <c r="H49" t="n">
        <v>193.63</v>
      </c>
      <c r="I49" t="n">
        <v>12.5</v>
      </c>
      <c r="J49" t="n">
        <v>0</v>
      </c>
      <c r="K49" t="n">
        <v>32.09</v>
      </c>
      <c r="L49" t="n">
        <v>296.49</v>
      </c>
      <c r="M49" t="n">
        <v>47.71</v>
      </c>
      <c r="N49" t="n">
        <v>0</v>
      </c>
      <c r="O4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495.07</v>
      </c>
      <c r="E51" t="n">
        <v>495.07</v>
      </c>
      <c r="F51" t="n">
        <v>510.48</v>
      </c>
      <c r="G51" t="n">
        <v>407.22</v>
      </c>
      <c r="H51" t="n">
        <v>422.2</v>
      </c>
      <c r="I51" t="n">
        <v>542.4400000000001</v>
      </c>
      <c r="J51" t="n">
        <v>584.33</v>
      </c>
      <c r="K51" t="n">
        <v>605.97</v>
      </c>
      <c r="L51" t="n">
        <v>1140.1</v>
      </c>
      <c r="M51" t="n">
        <v>552.11</v>
      </c>
      <c r="N51" t="n">
        <v>442.93</v>
      </c>
      <c r="O51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t="n">
        <v>69.75</v>
      </c>
      <c r="E53" t="n">
        <v>69.75</v>
      </c>
      <c r="F53" t="n">
        <v>66.97</v>
      </c>
      <c r="G53" t="n">
        <v>66.95999999999999</v>
      </c>
      <c r="H53" t="n">
        <v>66.75</v>
      </c>
      <c r="I53" t="n">
        <v>66.75</v>
      </c>
      <c r="J53" t="n">
        <v>66.73999999999999</v>
      </c>
      <c r="K53" t="n">
        <v>66.73999999999999</v>
      </c>
      <c r="L53" t="n">
        <v>67.06999999999999</v>
      </c>
      <c r="M53" t="n">
        <v>67.09999999999999</v>
      </c>
      <c r="N53" t="n">
        <v>49.1</v>
      </c>
      <c r="O53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390.15</v>
      </c>
      <c r="O54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t="n">
        <v>0</v>
      </c>
      <c r="E55" t="n">
        <v>362.25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t="n">
        <v>705.65</v>
      </c>
      <c r="E56" t="n">
        <v>1178.46</v>
      </c>
      <c r="F56" t="n">
        <v>715.8900000000001</v>
      </c>
      <c r="G56" t="n">
        <v>767.48</v>
      </c>
      <c r="H56" t="n">
        <v>792.45</v>
      </c>
      <c r="I56" t="n">
        <v>912.6900000000001</v>
      </c>
      <c r="J56" t="n">
        <v>954.5700000000001</v>
      </c>
      <c r="K56" t="n">
        <v>976.21</v>
      </c>
      <c r="L56" t="n">
        <v>1510.67</v>
      </c>
      <c r="M56" t="n">
        <v>922.71</v>
      </c>
      <c r="N56" t="n">
        <v>1185.68</v>
      </c>
      <c r="O56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7977.11</v>
      </c>
      <c r="E57" t="n">
        <v>7977.11</v>
      </c>
      <c r="F57" t="n">
        <v>7977.11</v>
      </c>
      <c r="G57" t="n">
        <v>7977.11</v>
      </c>
      <c r="H57" t="n">
        <v>7977.11</v>
      </c>
      <c r="I57" t="n">
        <v>7977.11</v>
      </c>
      <c r="J57" t="n">
        <v>7977.11</v>
      </c>
      <c r="K57" t="n">
        <v>7977.11</v>
      </c>
      <c r="L57" t="n">
        <v>7977.11</v>
      </c>
      <c r="M57" t="n">
        <v>7977.11</v>
      </c>
      <c r="N57" t="n">
        <v>7977.11</v>
      </c>
      <c r="O57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18.84</v>
      </c>
      <c r="E59" t="n">
        <v>0</v>
      </c>
      <c r="F59" t="n">
        <v>83</v>
      </c>
      <c r="G59" t="n">
        <v>0</v>
      </c>
      <c r="H59" t="n">
        <v>208.54</v>
      </c>
      <c r="I59" t="n">
        <v>32.44</v>
      </c>
      <c r="J59" t="n">
        <v>57.56</v>
      </c>
      <c r="K59" t="n">
        <v>148.23</v>
      </c>
      <c r="L59" t="n">
        <v>120.44</v>
      </c>
      <c r="M59" t="n">
        <v>179.17</v>
      </c>
      <c r="N59" t="n">
        <v>65.73999999999999</v>
      </c>
      <c r="O5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t="n">
        <v>8445.57</v>
      </c>
      <c r="E60" t="n">
        <v>2889.56</v>
      </c>
      <c r="F60" t="n">
        <v>2889.56</v>
      </c>
      <c r="G60" t="n">
        <v>2889.56</v>
      </c>
      <c r="H60" t="n">
        <v>3082.94</v>
      </c>
      <c r="I60" t="n">
        <v>2889.56</v>
      </c>
      <c r="J60" t="n">
        <v>2889.56</v>
      </c>
      <c r="K60" t="n">
        <v>3238.93</v>
      </c>
      <c r="L60" t="n">
        <v>2889.56</v>
      </c>
      <c r="M60" t="n">
        <v>2889.56</v>
      </c>
      <c r="N60" t="n">
        <v>2889.56</v>
      </c>
      <c r="O60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t="n">
        <v>16441.52</v>
      </c>
      <c r="E61" t="n">
        <v>10866.67</v>
      </c>
      <c r="F61" t="n">
        <v>10949.67</v>
      </c>
      <c r="G61" t="n">
        <v>11061.51</v>
      </c>
      <c r="H61" t="n">
        <v>11268.59</v>
      </c>
      <c r="I61" t="n">
        <v>10899.11</v>
      </c>
      <c r="J61" t="n">
        <v>10924.23</v>
      </c>
      <c r="K61" t="n">
        <v>11750.48</v>
      </c>
      <c r="L61" t="n">
        <v>10987.11</v>
      </c>
      <c r="M61" t="n">
        <v>11045.84</v>
      </c>
      <c r="N61" t="n">
        <v>10932.41</v>
      </c>
      <c r="O61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63363.81</v>
      </c>
      <c r="E62" t="n">
        <v>55183.9</v>
      </c>
      <c r="F62" t="n">
        <v>54273.73</v>
      </c>
      <c r="G62" t="n">
        <v>48952.3</v>
      </c>
      <c r="H62" t="n">
        <v>58679.31</v>
      </c>
      <c r="I62" t="n">
        <v>61128.18</v>
      </c>
      <c r="J62" t="n">
        <v>64992.52</v>
      </c>
      <c r="K62" t="n">
        <v>66587.66</v>
      </c>
      <c r="L62" t="n">
        <v>83147.96000000001</v>
      </c>
      <c r="M62" t="n">
        <v>63262.3</v>
      </c>
      <c r="N62" t="n">
        <v>65438.67</v>
      </c>
      <c r="O62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17905.73</v>
      </c>
      <c r="E63" t="n">
        <v>28937.85</v>
      </c>
      <c r="F63" t="n">
        <v>37595.06000000001</v>
      </c>
      <c r="G63" t="n">
        <v>30118.8</v>
      </c>
      <c r="H63" t="n">
        <v>40990.79000000001</v>
      </c>
      <c r="I63" t="n">
        <v>26186.46</v>
      </c>
      <c r="J63" t="n">
        <v>14182.96999999999</v>
      </c>
      <c r="K63" t="n">
        <v>16023.15000000001</v>
      </c>
      <c r="L63" t="n">
        <v>431.6399999999849</v>
      </c>
      <c r="M63" t="n">
        <v>16543.85000000001</v>
      </c>
      <c r="N63" t="n">
        <v>19764.49000000001</v>
      </c>
      <c r="O63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5752.95</v>
      </c>
      <c r="E65" t="n">
        <v>5752.95</v>
      </c>
      <c r="F65" t="n">
        <v>5752.95</v>
      </c>
      <c r="G65" t="n">
        <v>5752.95</v>
      </c>
      <c r="H65" t="n">
        <v>5755.1</v>
      </c>
      <c r="I65" t="n">
        <v>5755.1</v>
      </c>
      <c r="J65" t="n">
        <v>5755.1</v>
      </c>
      <c r="K65" t="n">
        <v>5755.1</v>
      </c>
      <c r="L65" t="n">
        <v>5755.1</v>
      </c>
      <c r="M65" t="n">
        <v>5755.1</v>
      </c>
      <c r="N65" t="n">
        <v>5755.1</v>
      </c>
      <c r="O65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>
        <f>U69*0.724626</f>
        <v/>
      </c>
      <c r="V65" s="20">
        <f>V69*0.724626</f>
        <v/>
      </c>
      <c r="W65" s="20">
        <f>W69*0.724626</f>
        <v/>
      </c>
      <c r="X65" s="20">
        <f>X69*0.724626</f>
        <v/>
      </c>
      <c r="Y65" s="20">
        <f>Y69*0.724626</f>
        <v/>
      </c>
      <c r="Z65" s="20">
        <f>Z69*0.724626</f>
        <v/>
      </c>
      <c r="AA65" s="20">
        <f>AA69*0.724626</f>
        <v/>
      </c>
      <c r="AB65" s="20">
        <f>AB69*0.724626</f>
        <v/>
      </c>
      <c r="AC65" s="20">
        <f>AC69*0.724626</f>
        <v/>
      </c>
      <c r="AD65" s="20">
        <f>AD69*0.724626</f>
        <v/>
      </c>
      <c r="AE65" s="20">
        <f>AE69*0.724626</f>
        <v/>
      </c>
      <c r="AF65" s="20">
        <f>AF69*0.724626</f>
        <v/>
      </c>
      <c r="AG65" s="20">
        <f>AG69*0.724626</f>
        <v/>
      </c>
      <c r="AH65" s="20">
        <f>AH69*0.724626</f>
        <v/>
      </c>
      <c r="AI65" s="20">
        <f>AI69*0.724626</f>
        <v/>
      </c>
      <c r="AJ65" s="20">
        <f>AJ69*0.724626</f>
        <v/>
      </c>
      <c r="AK65" s="20">
        <f>AK69*0.724626</f>
        <v/>
      </c>
      <c r="AL65" s="20">
        <f>AL69*0.724626</f>
        <v/>
      </c>
      <c r="AM65" s="20">
        <f>AM69*0.724626</f>
        <v/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>
        <f>U69*0.015924</f>
        <v/>
      </c>
      <c r="V67" s="20">
        <f>V69*0.015924</f>
        <v/>
      </c>
      <c r="W67" s="20">
        <f>W69*0.015924</f>
        <v/>
      </c>
      <c r="X67" s="20">
        <f>X69*0.015924</f>
        <v/>
      </c>
      <c r="Y67" s="20">
        <f>Y69*0.015924</f>
        <v/>
      </c>
      <c r="Z67" s="20">
        <f>Z69*0.015924</f>
        <v/>
      </c>
      <c r="AA67" s="20">
        <f>AA69*0.015924</f>
        <v/>
      </c>
      <c r="AB67" s="20">
        <f>AB69*0.015924</f>
        <v/>
      </c>
      <c r="AC67" s="20">
        <f>AC69*0.015924</f>
        <v/>
      </c>
      <c r="AD67" s="20">
        <f>AD69*0.015924</f>
        <v/>
      </c>
      <c r="AE67" s="20">
        <f>AE69*0.015924</f>
        <v/>
      </c>
      <c r="AF67" s="20">
        <f>AF69*0.015924</f>
        <v/>
      </c>
      <c r="AG67" s="20">
        <f>AG69*0.015924</f>
        <v/>
      </c>
      <c r="AH67" s="20">
        <f>AH69*0.015924</f>
        <v/>
      </c>
      <c r="AI67" s="20">
        <f>AI69*0.015924</f>
        <v/>
      </c>
      <c r="AJ67" s="20">
        <f>AJ69*0.015924</f>
        <v/>
      </c>
      <c r="AK67" s="20">
        <f>AK69*0.015924</f>
        <v/>
      </c>
      <c r="AL67" s="20">
        <f>AL69*0.015924</f>
        <v/>
      </c>
      <c r="AM67" s="20">
        <f>AM69*0.015924</f>
        <v/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1016.12</v>
      </c>
      <c r="N68" t="n">
        <v>0</v>
      </c>
      <c r="O68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5752.95</v>
      </c>
      <c r="E69" t="n">
        <v>5752.95</v>
      </c>
      <c r="F69" t="n">
        <v>5752.95</v>
      </c>
      <c r="G69" t="n">
        <v>5752.95</v>
      </c>
      <c r="H69" t="n">
        <v>5755.1</v>
      </c>
      <c r="I69" t="n">
        <v>5755.1</v>
      </c>
      <c r="J69" t="n">
        <v>5755.1</v>
      </c>
      <c r="K69" t="n">
        <v>5755.1</v>
      </c>
      <c r="L69" t="n">
        <v>5755.1</v>
      </c>
      <c r="M69" t="n">
        <v>8168.85</v>
      </c>
      <c r="N69" t="n">
        <v>7152.73</v>
      </c>
      <c r="O69" t="n">
        <v>-4232.47</v>
      </c>
      <c r="P69" s="35" t="n">
        <v>6276.940000000001</v>
      </c>
      <c r="Q69" s="35" t="n">
        <v>6705.830000000001</v>
      </c>
      <c r="R69" s="35" t="n">
        <v>6276.940000000001</v>
      </c>
      <c r="S69" s="35" t="n">
        <v>7674.530000000001</v>
      </c>
      <c r="T69" s="85" t="n">
        <v>4879.31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12152.78</v>
      </c>
      <c r="E70" t="n">
        <v>23184.9</v>
      </c>
      <c r="F70" t="n">
        <v>31842.11000000001</v>
      </c>
      <c r="G70" t="n">
        <v>24365.84999999999</v>
      </c>
      <c r="H70" t="n">
        <v>35235.69000000001</v>
      </c>
      <c r="I70" t="n">
        <v>20431.36</v>
      </c>
      <c r="J70" t="n">
        <v>8427.869999999986</v>
      </c>
      <c r="K70" t="n">
        <v>10268.05000000001</v>
      </c>
      <c r="L70" t="n">
        <v>-5323.460000000015</v>
      </c>
      <c r="M70" t="n">
        <v>8375.000000000005</v>
      </c>
      <c r="N70" t="n">
        <v>12611.76000000001</v>
      </c>
      <c r="O70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Marin (MR)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41</v>
      </c>
      <c r="E7" t="n">
        <v>0</v>
      </c>
      <c r="F7" t="n">
        <v>0</v>
      </c>
      <c r="G7" t="n">
        <v>2253.89</v>
      </c>
      <c r="H7" t="n">
        <v>28861.02</v>
      </c>
      <c r="I7" t="n">
        <v>43872.6</v>
      </c>
      <c r="J7" t="n">
        <v>43488.24</v>
      </c>
      <c r="K7" t="n">
        <v>48689.39</v>
      </c>
      <c r="L7" t="n">
        <v>52237.45</v>
      </c>
      <c r="M7" t="n">
        <v>52310.79</v>
      </c>
      <c r="N7" t="n">
        <v>52232.59</v>
      </c>
      <c r="O7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t="n">
        <v>0</v>
      </c>
      <c r="E8" t="n">
        <v>0</v>
      </c>
      <c r="F8" t="n">
        <v>0</v>
      </c>
      <c r="G8" t="n">
        <v>1482</v>
      </c>
      <c r="H8" t="n">
        <v>3928</v>
      </c>
      <c r="I8" t="n">
        <v>6650</v>
      </c>
      <c r="J8" t="n">
        <v>9431</v>
      </c>
      <c r="K8" t="n">
        <v>10491.11</v>
      </c>
      <c r="L8" t="n">
        <v>11501.74</v>
      </c>
      <c r="M8" t="n">
        <v>12151.47</v>
      </c>
      <c r="N8" t="n">
        <v>9104.370000000001</v>
      </c>
      <c r="O8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t="n">
        <v>14810.8</v>
      </c>
      <c r="E9" t="n">
        <v>13784.12</v>
      </c>
      <c r="F9" t="n">
        <v>15759.03</v>
      </c>
      <c r="G9" t="n">
        <v>12950.11</v>
      </c>
      <c r="H9" t="n">
        <v>15157.7</v>
      </c>
      <c r="I9" t="n">
        <v>13042.36</v>
      </c>
      <c r="J9" t="n">
        <v>13417.1</v>
      </c>
      <c r="K9" t="n">
        <v>13646.89</v>
      </c>
      <c r="L9" t="n">
        <v>13218.05</v>
      </c>
      <c r="M9" t="n">
        <v>14113.32</v>
      </c>
      <c r="N9" t="n">
        <v>13727.82</v>
      </c>
      <c r="O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t="n">
        <v>0</v>
      </c>
      <c r="E10" t="n">
        <v>0</v>
      </c>
      <c r="F10" t="n">
        <v>0</v>
      </c>
      <c r="G10" t="n">
        <v>0</v>
      </c>
      <c r="H10" t="n">
        <v>960</v>
      </c>
      <c r="I10" t="n">
        <v>1000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241.29</v>
      </c>
      <c r="J11" t="n">
        <v>101.45</v>
      </c>
      <c r="K11" t="n">
        <v>57.59</v>
      </c>
      <c r="L11" t="n">
        <v>54.07</v>
      </c>
      <c r="M11" t="n">
        <v>16.13</v>
      </c>
      <c r="N11" t="n">
        <v>22.86</v>
      </c>
      <c r="O11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t="n">
        <v>511.88</v>
      </c>
      <c r="E12" t="n">
        <v>436.77</v>
      </c>
      <c r="F12" t="n">
        <v>612.02</v>
      </c>
      <c r="G12" t="n">
        <v>642.61</v>
      </c>
      <c r="H12" t="n">
        <v>556.4</v>
      </c>
      <c r="I12" t="n">
        <v>798.4299999999999</v>
      </c>
      <c r="J12" t="n">
        <v>575.87</v>
      </c>
      <c r="K12" t="n">
        <v>826.23</v>
      </c>
      <c r="L12" t="n">
        <v>826.25</v>
      </c>
      <c r="M12" t="n">
        <v>333.84</v>
      </c>
      <c r="N12" t="n">
        <v>445.12</v>
      </c>
      <c r="O12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t="n">
        <v>15363.68</v>
      </c>
      <c r="E13" t="n">
        <v>14220.89</v>
      </c>
      <c r="F13" t="n">
        <v>16371.05</v>
      </c>
      <c r="G13" t="n">
        <v>17328.61</v>
      </c>
      <c r="H13" t="n">
        <v>49463.12</v>
      </c>
      <c r="I13" t="n">
        <v>65604.67999999999</v>
      </c>
      <c r="J13" t="n">
        <v>67013.65999999999</v>
      </c>
      <c r="K13" t="n">
        <v>73711.20999999999</v>
      </c>
      <c r="L13" t="n">
        <v>77837.56</v>
      </c>
      <c r="M13" t="n">
        <v>78925.55</v>
      </c>
      <c r="N13" t="n">
        <v>75532.75999999999</v>
      </c>
      <c r="O13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t="n">
        <v>0</v>
      </c>
      <c r="E14" t="n">
        <v>0</v>
      </c>
      <c r="F14" t="n">
        <v>1190</v>
      </c>
      <c r="G14" t="n">
        <v>780</v>
      </c>
      <c r="H14" t="n">
        <v>6079.59</v>
      </c>
      <c r="I14" t="n">
        <v>16686.83</v>
      </c>
      <c r="J14" t="n">
        <v>15403.58</v>
      </c>
      <c r="K14" t="n">
        <v>15353.83</v>
      </c>
      <c r="L14" t="n">
        <v>30305.34</v>
      </c>
      <c r="M14" t="n">
        <v>19086.85</v>
      </c>
      <c r="N14" t="n">
        <v>28614.27</v>
      </c>
      <c r="O14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t="n">
        <v>0</v>
      </c>
      <c r="E15" t="n">
        <v>0</v>
      </c>
      <c r="F15" t="n">
        <v>0</v>
      </c>
      <c r="G15" t="n">
        <v>660</v>
      </c>
      <c r="H15" t="n">
        <v>75</v>
      </c>
      <c r="I15" t="n">
        <v>2090</v>
      </c>
      <c r="J15" t="n">
        <v>1671</v>
      </c>
      <c r="K15" t="n">
        <v>2879</v>
      </c>
      <c r="L15" t="n">
        <v>2865.32</v>
      </c>
      <c r="M15" t="n">
        <v>4048</v>
      </c>
      <c r="N15" t="n">
        <v>5166</v>
      </c>
      <c r="O15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t="n">
        <v>0</v>
      </c>
      <c r="E17" t="n">
        <v>0</v>
      </c>
      <c r="F17" t="n">
        <v>1190</v>
      </c>
      <c r="G17" t="n">
        <v>1440</v>
      </c>
      <c r="H17" t="n">
        <v>6154.59</v>
      </c>
      <c r="I17" t="n">
        <v>18776.83</v>
      </c>
      <c r="J17" t="n">
        <v>17074.58</v>
      </c>
      <c r="K17" t="n">
        <v>18232.83</v>
      </c>
      <c r="L17" t="n">
        <v>33170.66</v>
      </c>
      <c r="M17" t="n">
        <v>23134.85</v>
      </c>
      <c r="N17" t="n">
        <v>38820.27</v>
      </c>
      <c r="O17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t="n">
        <v>0</v>
      </c>
      <c r="E18" t="n">
        <v>0</v>
      </c>
      <c r="F18" t="n">
        <v>0</v>
      </c>
      <c r="G18" t="n">
        <v>334</v>
      </c>
      <c r="H18" t="n">
        <v>1653</v>
      </c>
      <c r="I18" t="n">
        <v>2621</v>
      </c>
      <c r="J18" t="n">
        <v>2456</v>
      </c>
      <c r="K18" t="n">
        <v>2240</v>
      </c>
      <c r="L18" t="n">
        <v>2159.98</v>
      </c>
      <c r="M18" t="n">
        <v>2223</v>
      </c>
      <c r="N18" t="n">
        <v>3442</v>
      </c>
      <c r="O18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t="n">
        <v>0</v>
      </c>
      <c r="E19" t="n">
        <v>-597</v>
      </c>
      <c r="F19" t="n">
        <v>0</v>
      </c>
      <c r="G19" t="n">
        <v>-522.5</v>
      </c>
      <c r="H19" t="n">
        <v>-1576</v>
      </c>
      <c r="I19" t="n">
        <v>-1138</v>
      </c>
      <c r="J19" t="n">
        <v>-1174</v>
      </c>
      <c r="K19" t="n">
        <v>-2434.01</v>
      </c>
      <c r="L19" t="n">
        <v>-3460</v>
      </c>
      <c r="M19" t="n">
        <v>-5552</v>
      </c>
      <c r="N19" t="n">
        <v>-996.01</v>
      </c>
      <c r="O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t="n">
        <v>0</v>
      </c>
      <c r="E20" t="n">
        <v>0</v>
      </c>
      <c r="F20" t="n">
        <v>0</v>
      </c>
      <c r="G20" t="n">
        <v>-1278.6</v>
      </c>
      <c r="H20" t="n">
        <v>-5291.36</v>
      </c>
      <c r="I20" t="n">
        <v>-8194.5</v>
      </c>
      <c r="J20" t="n">
        <v>-4160.12</v>
      </c>
      <c r="K20" t="n">
        <v>-4675.46</v>
      </c>
      <c r="L20" t="n">
        <v>-2806.52</v>
      </c>
      <c r="M20" t="n">
        <v>-3802.2</v>
      </c>
      <c r="N20" t="n">
        <v>-3118.72</v>
      </c>
      <c r="O20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t="n">
        <v>15363.68</v>
      </c>
      <c r="E21" t="n">
        <v>13623.89</v>
      </c>
      <c r="F21" t="n">
        <v>17561.05</v>
      </c>
      <c r="G21" t="n">
        <v>17301.51</v>
      </c>
      <c r="H21" t="n">
        <v>50403.35000000001</v>
      </c>
      <c r="I21" t="n">
        <v>77670.00999999999</v>
      </c>
      <c r="J21" t="n">
        <v>81210.12</v>
      </c>
      <c r="K21" t="n">
        <v>87074.56999999999</v>
      </c>
      <c r="L21" t="n">
        <v>106901.68</v>
      </c>
      <c r="M21" t="n">
        <v>94929.2</v>
      </c>
      <c r="N21" t="n">
        <v>113680.3</v>
      </c>
      <c r="O21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0</v>
      </c>
      <c r="E23" t="n">
        <v>0</v>
      </c>
      <c r="F23" t="n">
        <v>0</v>
      </c>
      <c r="G23" t="n">
        <v>148</v>
      </c>
      <c r="H23" t="n">
        <v>722</v>
      </c>
      <c r="I23" t="n">
        <v>1152</v>
      </c>
      <c r="J23" t="n">
        <v>1039.25</v>
      </c>
      <c r="K23" t="n">
        <v>826</v>
      </c>
      <c r="L23" t="n">
        <v>903</v>
      </c>
      <c r="M23" t="n">
        <v>901</v>
      </c>
      <c r="N23" t="n">
        <v>1580.5</v>
      </c>
      <c r="O23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4862.31</v>
      </c>
      <c r="E24" t="n">
        <v>3411.93</v>
      </c>
      <c r="F24" t="n">
        <v>4208.5</v>
      </c>
      <c r="G24" t="n">
        <v>5619.07</v>
      </c>
      <c r="H24" t="n">
        <v>4090.87</v>
      </c>
      <c r="I24" t="n">
        <v>4312.04</v>
      </c>
      <c r="J24" t="n">
        <v>3932.73</v>
      </c>
      <c r="K24" t="n">
        <v>5432.74</v>
      </c>
      <c r="L24" t="n">
        <v>4004.01</v>
      </c>
      <c r="M24" t="n">
        <v>4248.85</v>
      </c>
      <c r="N24" t="n">
        <v>2602.26</v>
      </c>
      <c r="O24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4862.31</v>
      </c>
      <c r="E25" t="n">
        <v>3411.93</v>
      </c>
      <c r="F25" t="n">
        <v>4208.5</v>
      </c>
      <c r="G25" t="n">
        <v>5767.07</v>
      </c>
      <c r="H25" t="n">
        <v>4812.87</v>
      </c>
      <c r="I25" t="n">
        <v>5464.04</v>
      </c>
      <c r="J25" t="n">
        <v>4971.98</v>
      </c>
      <c r="K25" t="n">
        <v>6258.74</v>
      </c>
      <c r="L25" t="n">
        <v>4907.01</v>
      </c>
      <c r="M25" t="n">
        <v>5149.85</v>
      </c>
      <c r="N25" t="n">
        <v>4182.76</v>
      </c>
      <c r="O2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10501.37</v>
      </c>
      <c r="E26" t="n">
        <v>10211.96</v>
      </c>
      <c r="F26" t="n">
        <v>13352.55</v>
      </c>
      <c r="G26" t="n">
        <v>11534.44</v>
      </c>
      <c r="H26" t="n">
        <v>45590.48</v>
      </c>
      <c r="I26" t="n">
        <v>72205.97</v>
      </c>
      <c r="J26" t="n">
        <v>76238.14</v>
      </c>
      <c r="K26" t="n">
        <v>80815.82999999999</v>
      </c>
      <c r="L26" t="n">
        <v>101994.67</v>
      </c>
      <c r="M26" t="n">
        <v>89779.34999999999</v>
      </c>
      <c r="N26" t="n">
        <v>109497.54</v>
      </c>
      <c r="O26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0</v>
      </c>
      <c r="E28" t="n">
        <v>300</v>
      </c>
      <c r="F28" t="n">
        <v>0</v>
      </c>
      <c r="G28" t="n">
        <v>0</v>
      </c>
      <c r="H28" t="n">
        <v>0</v>
      </c>
      <c r="I28" t="n">
        <v>3050</v>
      </c>
      <c r="J28" t="n">
        <v>300</v>
      </c>
      <c r="K28" t="n">
        <v>1083.33</v>
      </c>
      <c r="L28" t="n">
        <v>2274.45</v>
      </c>
      <c r="M28" t="n">
        <v>2513.09</v>
      </c>
      <c r="N28" t="n">
        <v>3262.57</v>
      </c>
      <c r="O28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0</v>
      </c>
      <c r="E30" t="n">
        <v>0</v>
      </c>
      <c r="F30" t="n">
        <v>0</v>
      </c>
      <c r="G30" t="n">
        <v>0</v>
      </c>
      <c r="H30" t="n">
        <v>122.35</v>
      </c>
      <c r="I30" t="n">
        <v>0</v>
      </c>
      <c r="J30" t="n">
        <v>0</v>
      </c>
      <c r="K30" t="n">
        <v>109.69</v>
      </c>
      <c r="L30" t="n">
        <v>0</v>
      </c>
      <c r="M30" t="n">
        <v>0</v>
      </c>
      <c r="N30" t="n">
        <v>0</v>
      </c>
      <c r="O30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0</v>
      </c>
      <c r="E33" t="n">
        <v>300</v>
      </c>
      <c r="F33" t="n">
        <v>0</v>
      </c>
      <c r="G33" t="n">
        <v>0</v>
      </c>
      <c r="H33" t="n">
        <v>122.35</v>
      </c>
      <c r="I33" t="n">
        <v>3050</v>
      </c>
      <c r="J33" t="n">
        <v>300</v>
      </c>
      <c r="K33" t="n">
        <v>1193.02</v>
      </c>
      <c r="L33" t="n">
        <v>2274.45</v>
      </c>
      <c r="M33" t="n">
        <v>2513.09</v>
      </c>
      <c r="N33" t="n">
        <v>3262.57</v>
      </c>
      <c r="O33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33192.43</v>
      </c>
      <c r="E34" t="n">
        <v>30022.01</v>
      </c>
      <c r="F34" t="n">
        <v>39422.6</v>
      </c>
      <c r="G34" t="n">
        <v>35338.46</v>
      </c>
      <c r="H34" t="n">
        <v>36528.19</v>
      </c>
      <c r="I34" t="n">
        <v>32952.35</v>
      </c>
      <c r="J34" t="n">
        <v>34758.69</v>
      </c>
      <c r="K34" t="n">
        <v>35609.26</v>
      </c>
      <c r="L34" t="n">
        <v>20787.67</v>
      </c>
      <c r="M34" t="n">
        <v>41410.95</v>
      </c>
      <c r="N34" t="n">
        <v>34017.92</v>
      </c>
      <c r="O34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t="n">
        <v>5050.15</v>
      </c>
      <c r="E35" t="n">
        <v>3793.11</v>
      </c>
      <c r="F35" t="n">
        <v>4458.8</v>
      </c>
      <c r="G35" t="n">
        <v>3762.66</v>
      </c>
      <c r="H35" t="n">
        <v>3996.17</v>
      </c>
      <c r="I35" t="n">
        <v>3656.38</v>
      </c>
      <c r="J35" t="n">
        <v>3815.03</v>
      </c>
      <c r="K35" t="n">
        <v>3728.36</v>
      </c>
      <c r="L35" t="n">
        <v>2095.35</v>
      </c>
      <c r="M35" t="n">
        <v>4374.39</v>
      </c>
      <c r="N35" t="n">
        <v>3788</v>
      </c>
      <c r="O35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t="n">
        <v>934.54</v>
      </c>
      <c r="E36" t="n">
        <v>1100.9</v>
      </c>
      <c r="F36" t="n">
        <v>1039.58</v>
      </c>
      <c r="G36" t="n">
        <v>1590.02</v>
      </c>
      <c r="H36" t="n">
        <v>1087.54</v>
      </c>
      <c r="I36" t="n">
        <v>579.71</v>
      </c>
      <c r="J36" t="n">
        <v>469.46</v>
      </c>
      <c r="K36" t="n">
        <v>469.46</v>
      </c>
      <c r="L36" t="n">
        <v>511.46</v>
      </c>
      <c r="M36" t="n">
        <v>434.46</v>
      </c>
      <c r="N36" t="n">
        <v>80</v>
      </c>
      <c r="O36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t="n">
        <v>1275.79</v>
      </c>
      <c r="E37" t="n">
        <v>586.17</v>
      </c>
      <c r="F37" t="n">
        <v>563.67</v>
      </c>
      <c r="G37" t="n">
        <v>578.67</v>
      </c>
      <c r="H37" t="n">
        <v>586.17</v>
      </c>
      <c r="I37" t="n">
        <v>616.17</v>
      </c>
      <c r="J37" t="n">
        <v>604.92</v>
      </c>
      <c r="K37" t="n">
        <v>907.38</v>
      </c>
      <c r="L37" t="n">
        <v>612.42</v>
      </c>
      <c r="M37" t="n">
        <v>604.92</v>
      </c>
      <c r="N37" t="n">
        <v>597.42</v>
      </c>
      <c r="O37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t="n">
        <v>50159.92000000001</v>
      </c>
      <c r="E38" t="n">
        <v>43062.48</v>
      </c>
      <c r="F38" t="n">
        <v>54430.84</v>
      </c>
      <c r="G38" t="n">
        <v>48397.78</v>
      </c>
      <c r="H38" t="n">
        <v>51810.01</v>
      </c>
      <c r="I38" t="n">
        <v>46404.53999999999</v>
      </c>
      <c r="J38" t="n">
        <v>48413.25999999999</v>
      </c>
      <c r="K38" t="n">
        <v>49354.3</v>
      </c>
      <c r="L38" t="n">
        <v>28680.30999999999</v>
      </c>
      <c r="M38" t="n">
        <v>55639.53999999999</v>
      </c>
      <c r="N38" t="n">
        <v>47061.35999999999</v>
      </c>
      <c r="O38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1456.64</v>
      </c>
      <c r="E39" t="n">
        <v>593.3</v>
      </c>
      <c r="F39" t="n">
        <v>1189.6</v>
      </c>
      <c r="G39" t="n">
        <v>1207.3</v>
      </c>
      <c r="H39" t="n">
        <v>1228</v>
      </c>
      <c r="I39" t="n">
        <v>430.5</v>
      </c>
      <c r="J39" t="n">
        <v>747.79</v>
      </c>
      <c r="K39" t="n">
        <v>1689.79</v>
      </c>
      <c r="L39" t="n">
        <v>614</v>
      </c>
      <c r="M39" t="n">
        <v>723.09</v>
      </c>
      <c r="N39" t="n">
        <v>723.09</v>
      </c>
      <c r="O3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t="n">
        <v>252.85</v>
      </c>
      <c r="E40" t="n">
        <v>252.85</v>
      </c>
      <c r="F40" t="n">
        <v>252.85</v>
      </c>
      <c r="G40" t="n">
        <v>252.85</v>
      </c>
      <c r="H40" t="n">
        <v>252.85</v>
      </c>
      <c r="I40" t="n">
        <v>252.85</v>
      </c>
      <c r="J40" t="n">
        <v>252.85</v>
      </c>
      <c r="K40" t="n">
        <v>252.85</v>
      </c>
      <c r="L40" t="n">
        <v>252.85</v>
      </c>
      <c r="M40" t="n">
        <v>452.46</v>
      </c>
      <c r="N40" t="n">
        <v>452.46</v>
      </c>
      <c r="O40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0</v>
      </c>
      <c r="E44" t="n">
        <v>0</v>
      </c>
      <c r="F44" t="n">
        <v>0</v>
      </c>
      <c r="G44" t="n">
        <v>36</v>
      </c>
      <c r="H44" t="n">
        <v>1250</v>
      </c>
      <c r="I44" t="n">
        <v>0</v>
      </c>
      <c r="J44" t="n">
        <v>0</v>
      </c>
      <c r="K44" t="n">
        <v>906.25</v>
      </c>
      <c r="L44" t="n">
        <v>0</v>
      </c>
      <c r="M44" t="n">
        <v>0</v>
      </c>
      <c r="N44" t="n">
        <v>154.54</v>
      </c>
      <c r="O44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479.1</v>
      </c>
      <c r="K46" t="n">
        <v>479.1</v>
      </c>
      <c r="L46" t="n">
        <v>479.1</v>
      </c>
      <c r="M46" t="n">
        <v>481</v>
      </c>
      <c r="N46" t="n">
        <v>481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t="n">
        <v>0</v>
      </c>
      <c r="E47" t="n">
        <v>0</v>
      </c>
      <c r="F47" t="n">
        <v>0</v>
      </c>
      <c r="G47" t="n">
        <v>36</v>
      </c>
      <c r="H47" t="n">
        <v>1250</v>
      </c>
      <c r="I47" t="n">
        <v>0</v>
      </c>
      <c r="J47" t="n">
        <v>479.1</v>
      </c>
      <c r="K47" t="n">
        <v>1385.35</v>
      </c>
      <c r="L47" t="n">
        <v>479.1</v>
      </c>
      <c r="M47" t="n">
        <v>481</v>
      </c>
      <c r="N47" t="n">
        <v>635.54</v>
      </c>
      <c r="O47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t="n">
        <v>190.53</v>
      </c>
      <c r="E49" t="n">
        <v>511.56</v>
      </c>
      <c r="F49" t="n">
        <v>100</v>
      </c>
      <c r="G49" t="n">
        <v>0</v>
      </c>
      <c r="H49" t="n">
        <v>121.21</v>
      </c>
      <c r="I49" t="n">
        <v>100</v>
      </c>
      <c r="J49" t="n">
        <v>0</v>
      </c>
      <c r="K49" t="n">
        <v>0</v>
      </c>
      <c r="L49" t="n">
        <v>301.2</v>
      </c>
      <c r="M49" t="n">
        <v>0</v>
      </c>
      <c r="N49" t="n">
        <v>375.32</v>
      </c>
      <c r="O4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85.59999999999999</v>
      </c>
      <c r="M53" t="n">
        <v>85.59999999999999</v>
      </c>
      <c r="N53" t="n">
        <v>229.21</v>
      </c>
      <c r="O53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t="n">
        <v>85.59999999999999</v>
      </c>
      <c r="E56" t="n">
        <v>85.59999999999999</v>
      </c>
      <c r="F56" t="n">
        <v>85.59999999999999</v>
      </c>
      <c r="G56" t="n">
        <v>85.59999999999999</v>
      </c>
      <c r="H56" t="n">
        <v>85.59999999999999</v>
      </c>
      <c r="I56" t="n">
        <v>85.59999999999999</v>
      </c>
      <c r="J56" t="n">
        <v>85.59999999999999</v>
      </c>
      <c r="K56" t="n">
        <v>85.59999999999999</v>
      </c>
      <c r="L56" t="n">
        <v>85.59999999999999</v>
      </c>
      <c r="M56" t="n">
        <v>85.59999999999999</v>
      </c>
      <c r="N56" t="n">
        <v>229.21</v>
      </c>
      <c r="O56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12632.81</v>
      </c>
      <c r="E57" t="n">
        <v>12632.81</v>
      </c>
      <c r="F57" t="n">
        <v>12632.81</v>
      </c>
      <c r="G57" t="n">
        <v>12632.81</v>
      </c>
      <c r="H57" t="n">
        <v>12632.81</v>
      </c>
      <c r="I57" t="n">
        <v>12632.81</v>
      </c>
      <c r="J57" t="n">
        <v>12632.81</v>
      </c>
      <c r="K57" t="n">
        <v>12632.81</v>
      </c>
      <c r="L57" t="n">
        <v>12632.81</v>
      </c>
      <c r="M57" t="n">
        <v>12632.81</v>
      </c>
      <c r="N57" t="n">
        <v>12632.81</v>
      </c>
      <c r="O57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0</v>
      </c>
      <c r="E59" t="n">
        <v>0</v>
      </c>
      <c r="F59" t="n">
        <v>200</v>
      </c>
      <c r="G59" t="n">
        <v>389</v>
      </c>
      <c r="H59" t="n">
        <v>95.70999999999999</v>
      </c>
      <c r="I59" t="n">
        <v>589.58</v>
      </c>
      <c r="J59" t="n">
        <v>246.07</v>
      </c>
      <c r="K59" t="n">
        <v>365.53</v>
      </c>
      <c r="L59" t="n">
        <v>263.08</v>
      </c>
      <c r="M59" t="n">
        <v>285.79</v>
      </c>
      <c r="N59" t="n">
        <v>579.77</v>
      </c>
      <c r="O5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335</v>
      </c>
      <c r="O60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t="n">
        <v>12632.81</v>
      </c>
      <c r="E61" t="n">
        <v>12632.81</v>
      </c>
      <c r="F61" t="n">
        <v>12832.81</v>
      </c>
      <c r="G61" t="n">
        <v>13021.81</v>
      </c>
      <c r="H61" t="n">
        <v>12728.52</v>
      </c>
      <c r="I61" t="n">
        <v>13547.39</v>
      </c>
      <c r="J61" t="n">
        <v>12878.88</v>
      </c>
      <c r="K61" t="n">
        <v>14501.79</v>
      </c>
      <c r="L61" t="n">
        <v>13510.89</v>
      </c>
      <c r="M61" t="n">
        <v>12918.6</v>
      </c>
      <c r="N61" t="n">
        <v>13547.58</v>
      </c>
      <c r="O61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66535.75999999999</v>
      </c>
      <c r="E62" t="n">
        <v>59601.66</v>
      </c>
      <c r="F62" t="n">
        <v>70536.41</v>
      </c>
      <c r="G62" t="n">
        <v>64426.59</v>
      </c>
      <c r="H62" t="n">
        <v>68082.12</v>
      </c>
      <c r="I62" t="n">
        <v>64646.90999999999</v>
      </c>
      <c r="J62" t="n">
        <v>63635.20999999999</v>
      </c>
      <c r="K62" t="n">
        <v>68840.59</v>
      </c>
      <c r="L62" t="n">
        <v>48053.75999999998</v>
      </c>
      <c r="M62" t="n">
        <v>74028.64</v>
      </c>
      <c r="N62" t="n">
        <v>66627.58999999998</v>
      </c>
      <c r="O62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-56034.39</v>
      </c>
      <c r="E63" t="n">
        <v>-49389.7</v>
      </c>
      <c r="F63" t="n">
        <v>-57183.86</v>
      </c>
      <c r="G63" t="n">
        <v>-52892.14999999999</v>
      </c>
      <c r="H63" t="n">
        <v>-22491.63999999999</v>
      </c>
      <c r="I63" t="n">
        <v>7559.060000000012</v>
      </c>
      <c r="J63" t="n">
        <v>12602.93000000001</v>
      </c>
      <c r="K63" t="n">
        <v>11975.23999999999</v>
      </c>
      <c r="L63" t="n">
        <v>53940.91000000002</v>
      </c>
      <c r="M63" t="n">
        <v>15750.70999999999</v>
      </c>
      <c r="N63" t="n">
        <v>42869.95000000003</v>
      </c>
      <c r="O63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2839.96</v>
      </c>
      <c r="E65" t="n">
        <v>2857.96</v>
      </c>
      <c r="F65" t="n">
        <v>2857.96</v>
      </c>
      <c r="G65" t="n">
        <v>2857.96</v>
      </c>
      <c r="H65" t="n">
        <v>2860.18</v>
      </c>
      <c r="I65" t="n">
        <v>2860.18</v>
      </c>
      <c r="J65" t="n">
        <v>2860.18</v>
      </c>
      <c r="K65" t="n">
        <v>2860.18</v>
      </c>
      <c r="L65" t="n">
        <v>2860.18</v>
      </c>
      <c r="M65" t="n">
        <v>2860.18</v>
      </c>
      <c r="N65" t="n">
        <v>2860.18</v>
      </c>
      <c r="O65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>
        <f>U69*0.573916</f>
        <v/>
      </c>
      <c r="V65" s="20">
        <f>V69*0.573916</f>
        <v/>
      </c>
      <c r="W65" s="20">
        <f>W69*0.573916</f>
        <v/>
      </c>
      <c r="X65" s="20">
        <f>X69*0.573916</f>
        <v/>
      </c>
      <c r="Y65" s="20">
        <f>Y69*0.573916</f>
        <v/>
      </c>
      <c r="Z65" s="20">
        <f>Z69*0.573916</f>
        <v/>
      </c>
      <c r="AA65" s="20">
        <f>AA69*0.573916</f>
        <v/>
      </c>
      <c r="AB65" s="20">
        <f>AB69*0.573916</f>
        <v/>
      </c>
      <c r="AC65" s="20">
        <f>AC69*0.573916</f>
        <v/>
      </c>
      <c r="AD65" s="20">
        <f>AD69*0.573916</f>
        <v/>
      </c>
      <c r="AE65" s="20">
        <f>AE69*0.573916</f>
        <v/>
      </c>
      <c r="AF65" s="20">
        <f>AF69*0.573916</f>
        <v/>
      </c>
      <c r="AG65" s="20">
        <f>AG69*0.573916</f>
        <v/>
      </c>
      <c r="AH65" s="20">
        <f>AH69*0.573916</f>
        <v/>
      </c>
      <c r="AI65" s="20">
        <f>AI69*0.573916</f>
        <v/>
      </c>
      <c r="AJ65" s="20">
        <f>AJ69*0.573916</f>
        <v/>
      </c>
      <c r="AK65" s="20">
        <f>AK69*0.573916</f>
        <v/>
      </c>
      <c r="AL65" s="20">
        <f>AL69*0.573916</f>
        <v/>
      </c>
      <c r="AM65" s="20">
        <f>AM69*0.573916</f>
        <v/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>
        <f>U69*0.030529</f>
        <v/>
      </c>
      <c r="V67" s="20">
        <f>V69*0.030529</f>
        <v/>
      </c>
      <c r="W67" s="20">
        <f>W69*0.030529</f>
        <v/>
      </c>
      <c r="X67" s="20">
        <f>X69*0.030529</f>
        <v/>
      </c>
      <c r="Y67" s="20">
        <f>Y69*0.030529</f>
        <v/>
      </c>
      <c r="Z67" s="20">
        <f>Z69*0.030529</f>
        <v/>
      </c>
      <c r="AA67" s="20">
        <f>AA69*0.030529</f>
        <v/>
      </c>
      <c r="AB67" s="20">
        <f>AB69*0.030529</f>
        <v/>
      </c>
      <c r="AC67" s="20">
        <f>AC69*0.030529</f>
        <v/>
      </c>
      <c r="AD67" s="20">
        <f>AD69*0.030529</f>
        <v/>
      </c>
      <c r="AE67" s="20">
        <f>AE69*0.030529</f>
        <v/>
      </c>
      <c r="AF67" s="20">
        <f>AF69*0.030529</f>
        <v/>
      </c>
      <c r="AG67" s="20">
        <f>AG69*0.030529</f>
        <v/>
      </c>
      <c r="AH67" s="20">
        <f>AH69*0.030529</f>
        <v/>
      </c>
      <c r="AI67" s="20">
        <f>AI69*0.030529</f>
        <v/>
      </c>
      <c r="AJ67" s="20">
        <f>AJ69*0.030529</f>
        <v/>
      </c>
      <c r="AK67" s="20">
        <f>AK69*0.030529</f>
        <v/>
      </c>
      <c r="AL67" s="20">
        <f>AL69*0.030529</f>
        <v/>
      </c>
      <c r="AM67" s="20">
        <f>AM69*0.030529</f>
        <v/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2839.96</v>
      </c>
      <c r="E69" t="n">
        <v>2857.96</v>
      </c>
      <c r="F69" t="n">
        <v>2857.96</v>
      </c>
      <c r="G69" t="n">
        <v>2857.96</v>
      </c>
      <c r="H69" t="n">
        <v>2860.18</v>
      </c>
      <c r="I69" t="n">
        <v>2860.18</v>
      </c>
      <c r="J69" t="n">
        <v>2860.18</v>
      </c>
      <c r="K69" t="n">
        <v>2860.18</v>
      </c>
      <c r="L69" t="n">
        <v>2860.18</v>
      </c>
      <c r="M69" t="n">
        <v>3543.56</v>
      </c>
      <c r="N69" t="n">
        <v>4226.93</v>
      </c>
      <c r="O69" t="n">
        <v>2491.5</v>
      </c>
      <c r="P69" s="35" t="n">
        <v>4093.43</v>
      </c>
      <c r="Q69" s="35" t="n">
        <v>4673.61</v>
      </c>
      <c r="R69" s="35" t="n">
        <v>4093.43</v>
      </c>
      <c r="S69" s="35" t="n">
        <v>6143.549999999999</v>
      </c>
      <c r="T69" s="85" t="n">
        <v>2726.68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-58874.35</v>
      </c>
      <c r="E70" t="n">
        <v>-52247.66</v>
      </c>
      <c r="F70" t="n">
        <v>-60041.82</v>
      </c>
      <c r="G70" t="n">
        <v>-55750.10999999999</v>
      </c>
      <c r="H70" t="n">
        <v>-25351.81999999999</v>
      </c>
      <c r="I70" t="n">
        <v>4698.880000000012</v>
      </c>
      <c r="J70" t="n">
        <v>9742.750000000007</v>
      </c>
      <c r="K70" t="n">
        <v>9115.05999999999</v>
      </c>
      <c r="L70" t="n">
        <v>51080.73000000002</v>
      </c>
      <c r="M70" t="n">
        <v>12207.14999999999</v>
      </c>
      <c r="N70" t="n">
        <v>38643.02000000003</v>
      </c>
      <c r="O70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Ocean Park (OP)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0</v>
      </c>
      <c r="E7" t="n">
        <v>75</v>
      </c>
      <c r="F7" t="n">
        <v>70</v>
      </c>
      <c r="G7" t="n">
        <v>13776.77</v>
      </c>
      <c r="H7" t="n">
        <v>27877.3</v>
      </c>
      <c r="I7" t="n">
        <v>27699.66</v>
      </c>
      <c r="J7" t="n">
        <v>32751.01</v>
      </c>
      <c r="K7" t="n">
        <v>30364.82</v>
      </c>
      <c r="L7" t="n">
        <v>28592.1</v>
      </c>
      <c r="M7" t="n">
        <v>28413.88</v>
      </c>
      <c r="N7" t="n">
        <v>28743.73</v>
      </c>
      <c r="O7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t="n">
        <v>0</v>
      </c>
      <c r="E8" t="n">
        <v>0</v>
      </c>
      <c r="F8" t="n">
        <v>0</v>
      </c>
      <c r="G8" t="n">
        <v>1610</v>
      </c>
      <c r="H8" t="n">
        <v>4055</v>
      </c>
      <c r="I8" t="n">
        <v>5105</v>
      </c>
      <c r="J8" t="n">
        <v>5975</v>
      </c>
      <c r="K8" t="n">
        <v>7076.88</v>
      </c>
      <c r="L8" t="n">
        <v>5585</v>
      </c>
      <c r="M8" t="n">
        <v>4211.67</v>
      </c>
      <c r="N8" t="n">
        <v>4114.37</v>
      </c>
      <c r="O8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t="n">
        <v>0</v>
      </c>
      <c r="E9" t="n">
        <v>0</v>
      </c>
      <c r="F9" t="n">
        <v>0</v>
      </c>
      <c r="G9" t="n">
        <v>8128.28</v>
      </c>
      <c r="H9" t="n">
        <v>13624.22</v>
      </c>
      <c r="I9" t="n">
        <v>15749.1</v>
      </c>
      <c r="J9" t="n">
        <v>18156.56</v>
      </c>
      <c r="K9" t="n">
        <v>18214.66</v>
      </c>
      <c r="L9" t="n">
        <v>16575.67</v>
      </c>
      <c r="M9" t="n">
        <v>17352.08</v>
      </c>
      <c r="N9" t="n">
        <v>16819.48</v>
      </c>
      <c r="O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t="n">
        <v>0</v>
      </c>
      <c r="E10" t="n">
        <v>0</v>
      </c>
      <c r="F10" t="n">
        <v>0</v>
      </c>
      <c r="G10" t="n">
        <v>0</v>
      </c>
      <c r="H10" t="n">
        <v>320</v>
      </c>
      <c r="I10" t="n">
        <v>500</v>
      </c>
      <c r="J10" t="n">
        <v>2013.33</v>
      </c>
      <c r="K10" t="n">
        <v>600</v>
      </c>
      <c r="L10" t="n">
        <v>0</v>
      </c>
      <c r="M10" t="n">
        <v>0</v>
      </c>
      <c r="N10" t="n">
        <v>0</v>
      </c>
      <c r="O10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</v>
      </c>
      <c r="O11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t="n">
        <v>0</v>
      </c>
      <c r="E12" t="n">
        <v>0</v>
      </c>
      <c r="F12" t="n">
        <v>0</v>
      </c>
      <c r="G12" t="n">
        <v>27.82</v>
      </c>
      <c r="H12" t="n">
        <v>111.28</v>
      </c>
      <c r="I12" t="n">
        <v>166.92</v>
      </c>
      <c r="J12" t="n">
        <v>139.1</v>
      </c>
      <c r="K12" t="n">
        <v>139.1</v>
      </c>
      <c r="L12" t="n">
        <v>242.03</v>
      </c>
      <c r="M12" t="n">
        <v>158.57</v>
      </c>
      <c r="N12" t="n">
        <v>166.92</v>
      </c>
      <c r="O12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t="n">
        <v>0</v>
      </c>
      <c r="E13" t="n">
        <v>75</v>
      </c>
      <c r="F13" t="n">
        <v>70</v>
      </c>
      <c r="G13" t="n">
        <v>23542.87</v>
      </c>
      <c r="H13" t="n">
        <v>45987.8</v>
      </c>
      <c r="I13" t="n">
        <v>49220.68</v>
      </c>
      <c r="J13" t="n">
        <v>59034.99999999999</v>
      </c>
      <c r="K13" t="n">
        <v>56395.46</v>
      </c>
      <c r="L13" t="n">
        <v>50994.8</v>
      </c>
      <c r="M13" t="n">
        <v>50136.2</v>
      </c>
      <c r="N13" t="n">
        <v>49858.5</v>
      </c>
      <c r="O13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t="n">
        <v>0</v>
      </c>
      <c r="E14" t="n">
        <v>0</v>
      </c>
      <c r="F14" t="n">
        <v>0</v>
      </c>
      <c r="G14" t="n">
        <v>99</v>
      </c>
      <c r="H14" t="n">
        <v>3800.92</v>
      </c>
      <c r="I14" t="n">
        <v>4451.12</v>
      </c>
      <c r="J14" t="n">
        <v>6788.27</v>
      </c>
      <c r="K14" t="n">
        <v>9331.309999999999</v>
      </c>
      <c r="L14" t="n">
        <v>7508.05</v>
      </c>
      <c r="M14" t="n">
        <v>8204.91</v>
      </c>
      <c r="N14" t="n">
        <v>8263.42</v>
      </c>
      <c r="O14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t="n">
        <v>0</v>
      </c>
      <c r="E15" t="n">
        <v>0</v>
      </c>
      <c r="F15" t="n">
        <v>0</v>
      </c>
      <c r="G15" t="n">
        <v>0</v>
      </c>
      <c r="H15" t="n">
        <v>510</v>
      </c>
      <c r="I15" t="n">
        <v>1460</v>
      </c>
      <c r="J15" t="n">
        <v>620</v>
      </c>
      <c r="K15" t="n">
        <v>380</v>
      </c>
      <c r="L15" t="n">
        <v>1003.13</v>
      </c>
      <c r="M15" t="n">
        <v>1730</v>
      </c>
      <c r="N15" t="n">
        <v>2243.96</v>
      </c>
      <c r="O15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t="n">
        <v>0</v>
      </c>
      <c r="E17" t="n">
        <v>0</v>
      </c>
      <c r="F17" t="n">
        <v>0</v>
      </c>
      <c r="G17" t="n">
        <v>99</v>
      </c>
      <c r="H17" t="n">
        <v>4310.92</v>
      </c>
      <c r="I17" t="n">
        <v>5911.12</v>
      </c>
      <c r="J17" t="n">
        <v>7408.27</v>
      </c>
      <c r="K17" t="n">
        <v>9711.309999999999</v>
      </c>
      <c r="L17" t="n">
        <v>8511.18</v>
      </c>
      <c r="M17" t="n">
        <v>9934.91</v>
      </c>
      <c r="N17" t="n">
        <v>10507.38</v>
      </c>
      <c r="O17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t="n">
        <v>0</v>
      </c>
      <c r="E18" t="n">
        <v>0</v>
      </c>
      <c r="F18" t="n">
        <v>0</v>
      </c>
      <c r="G18" t="n">
        <v>2130</v>
      </c>
      <c r="H18" t="n">
        <v>2650</v>
      </c>
      <c r="I18" t="n">
        <v>2234</v>
      </c>
      <c r="J18" t="n">
        <v>2434</v>
      </c>
      <c r="K18" t="n">
        <v>2400</v>
      </c>
      <c r="L18" t="n">
        <v>1329</v>
      </c>
      <c r="M18" t="n">
        <v>1182</v>
      </c>
      <c r="N18" t="n">
        <v>2195</v>
      </c>
      <c r="O18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t="n">
        <v>0</v>
      </c>
      <c r="E19" t="n">
        <v>0</v>
      </c>
      <c r="F19" t="n">
        <v>0</v>
      </c>
      <c r="G19" t="n">
        <v>0</v>
      </c>
      <c r="H19" t="n">
        <v>-219.01</v>
      </c>
      <c r="I19" t="n">
        <v>-846</v>
      </c>
      <c r="J19" t="n">
        <v>-697</v>
      </c>
      <c r="K19" t="n">
        <v>0</v>
      </c>
      <c r="L19" t="n">
        <v>-245.01</v>
      </c>
      <c r="M19" t="n">
        <v>-509</v>
      </c>
      <c r="N19" t="n">
        <v>-1612</v>
      </c>
      <c r="O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t="n">
        <v>0</v>
      </c>
      <c r="E20" t="n">
        <v>0</v>
      </c>
      <c r="F20" t="n">
        <v>-840</v>
      </c>
      <c r="G20" t="n">
        <v>-13162.85</v>
      </c>
      <c r="H20" t="n">
        <v>-11789.3</v>
      </c>
      <c r="I20" t="n">
        <v>-8132.8</v>
      </c>
      <c r="J20" t="n">
        <v>-11151</v>
      </c>
      <c r="K20" t="n">
        <v>-7268.6</v>
      </c>
      <c r="L20" t="n">
        <v>-4290.4</v>
      </c>
      <c r="M20" t="n">
        <v>-5537.9</v>
      </c>
      <c r="N20" t="n">
        <v>-5153.1</v>
      </c>
      <c r="O20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t="n">
        <v>0</v>
      </c>
      <c r="E21" t="n">
        <v>75</v>
      </c>
      <c r="F21" t="n">
        <v>-770</v>
      </c>
      <c r="G21" t="n">
        <v>12609.02</v>
      </c>
      <c r="H21" t="n">
        <v>40940.40999999999</v>
      </c>
      <c r="I21" t="n">
        <v>48387</v>
      </c>
      <c r="J21" t="n">
        <v>57029.26999999999</v>
      </c>
      <c r="K21" t="n">
        <v>61238.17000000001</v>
      </c>
      <c r="L21" t="n">
        <v>56299.56999999999</v>
      </c>
      <c r="M21" t="n">
        <v>55206.21</v>
      </c>
      <c r="N21" t="n">
        <v>55795.78000000001</v>
      </c>
      <c r="O21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0</v>
      </c>
      <c r="E23" t="n">
        <v>0</v>
      </c>
      <c r="F23" t="n">
        <v>0</v>
      </c>
      <c r="G23" t="n">
        <v>961</v>
      </c>
      <c r="H23" t="n">
        <v>1153.25</v>
      </c>
      <c r="I23" t="n">
        <v>855</v>
      </c>
      <c r="J23" t="n">
        <v>1077</v>
      </c>
      <c r="K23" t="n">
        <v>1059.75</v>
      </c>
      <c r="L23" t="n">
        <v>594.75</v>
      </c>
      <c r="M23" t="n">
        <v>540.5</v>
      </c>
      <c r="N23" t="n">
        <v>940</v>
      </c>
      <c r="O23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0</v>
      </c>
      <c r="E24" t="n">
        <v>0</v>
      </c>
      <c r="F24" t="n">
        <v>9.359999999999999</v>
      </c>
      <c r="G24" t="n">
        <v>724.24</v>
      </c>
      <c r="H24" t="n">
        <v>953.4</v>
      </c>
      <c r="I24" t="n">
        <v>1344.54</v>
      </c>
      <c r="J24" t="n">
        <v>1510.61</v>
      </c>
      <c r="K24" t="n">
        <v>1497.09</v>
      </c>
      <c r="L24" t="n">
        <v>1372.01</v>
      </c>
      <c r="M24" t="n">
        <v>1207.66</v>
      </c>
      <c r="N24" t="n">
        <v>1492.23</v>
      </c>
      <c r="O24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0</v>
      </c>
      <c r="E25" t="n">
        <v>0</v>
      </c>
      <c r="F25" t="n">
        <v>9.359999999999999</v>
      </c>
      <c r="G25" t="n">
        <v>1685.24</v>
      </c>
      <c r="H25" t="n">
        <v>2106.65</v>
      </c>
      <c r="I25" t="n">
        <v>2199.54</v>
      </c>
      <c r="J25" t="n">
        <v>2587.61</v>
      </c>
      <c r="K25" t="n">
        <v>2556.84</v>
      </c>
      <c r="L25" t="n">
        <v>1966.76</v>
      </c>
      <c r="M25" t="n">
        <v>1748.16</v>
      </c>
      <c r="N25" t="n">
        <v>2432.23</v>
      </c>
      <c r="O2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0</v>
      </c>
      <c r="E26" t="n">
        <v>75</v>
      </c>
      <c r="F26" t="n">
        <v>-779.36</v>
      </c>
      <c r="G26" t="n">
        <v>10923.78</v>
      </c>
      <c r="H26" t="n">
        <v>38833.75999999999</v>
      </c>
      <c r="I26" t="n">
        <v>46187.46</v>
      </c>
      <c r="J26" t="n">
        <v>54441.65999999999</v>
      </c>
      <c r="K26" t="n">
        <v>58681.33</v>
      </c>
      <c r="L26" t="n">
        <v>54332.80999999999</v>
      </c>
      <c r="M26" t="n">
        <v>53458.05</v>
      </c>
      <c r="N26" t="n">
        <v>53363.55</v>
      </c>
      <c r="O26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0</v>
      </c>
      <c r="E28" t="n">
        <v>0</v>
      </c>
      <c r="F28" t="n">
        <v>1725.84</v>
      </c>
      <c r="G28" t="n">
        <v>2925.87</v>
      </c>
      <c r="H28" t="n">
        <v>1641.09</v>
      </c>
      <c r="I28" t="n">
        <v>5557.44</v>
      </c>
      <c r="J28" t="n">
        <v>3065.41</v>
      </c>
      <c r="K28" t="n">
        <v>4177.75</v>
      </c>
      <c r="L28" t="n">
        <v>2780.35</v>
      </c>
      <c r="M28" t="n">
        <v>2878.99</v>
      </c>
      <c r="N28" t="n">
        <v>3452.7</v>
      </c>
      <c r="O28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0</v>
      </c>
      <c r="E30" t="n">
        <v>0</v>
      </c>
      <c r="F30" t="n">
        <v>0</v>
      </c>
      <c r="G30" t="n">
        <v>0</v>
      </c>
      <c r="H30" t="n">
        <v>144.63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0</v>
      </c>
      <c r="E33" t="n">
        <v>0</v>
      </c>
      <c r="F33" t="n">
        <v>1725.84</v>
      </c>
      <c r="G33" t="n">
        <v>2925.87</v>
      </c>
      <c r="H33" t="n">
        <v>1785.72</v>
      </c>
      <c r="I33" t="n">
        <v>5557.44</v>
      </c>
      <c r="J33" t="n">
        <v>3065.41</v>
      </c>
      <c r="K33" t="n">
        <v>4177.75</v>
      </c>
      <c r="L33" t="n">
        <v>2780.35</v>
      </c>
      <c r="M33" t="n">
        <v>2878.99</v>
      </c>
      <c r="N33" t="n">
        <v>3452.7</v>
      </c>
      <c r="O33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0</v>
      </c>
      <c r="E34" t="n">
        <v>1127.14</v>
      </c>
      <c r="F34" t="n">
        <v>3090.03</v>
      </c>
      <c r="G34" t="n">
        <v>20278.52</v>
      </c>
      <c r="H34" t="n">
        <v>33057.68</v>
      </c>
      <c r="I34" t="n">
        <v>34887.56</v>
      </c>
      <c r="J34" t="n">
        <v>36645.33</v>
      </c>
      <c r="K34" t="n">
        <v>36152.79</v>
      </c>
      <c r="L34" t="n">
        <v>33589.98</v>
      </c>
      <c r="M34" t="n">
        <v>33415.57</v>
      </c>
      <c r="N34" t="n">
        <v>30722.44</v>
      </c>
      <c r="O34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t="n">
        <v>0</v>
      </c>
      <c r="E35" t="n">
        <v>132.44</v>
      </c>
      <c r="F35" t="n">
        <v>363.09</v>
      </c>
      <c r="G35" t="n">
        <v>2648.05</v>
      </c>
      <c r="H35" t="n">
        <v>4135.13</v>
      </c>
      <c r="I35" t="n">
        <v>4325.51</v>
      </c>
      <c r="J35" t="n">
        <v>4447.71</v>
      </c>
      <c r="K35" t="n">
        <v>4220.95</v>
      </c>
      <c r="L35" t="n">
        <v>3771.52</v>
      </c>
      <c r="M35" t="n">
        <v>3570.24</v>
      </c>
      <c r="N35" t="n">
        <v>3282.15</v>
      </c>
      <c r="O35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t="n">
        <v>0</v>
      </c>
      <c r="E36" t="n">
        <v>0</v>
      </c>
      <c r="F36" t="n">
        <v>0</v>
      </c>
      <c r="G36" t="n">
        <v>0</v>
      </c>
      <c r="H36" t="n">
        <v>40</v>
      </c>
      <c r="I36" t="n">
        <v>-287</v>
      </c>
      <c r="J36" t="n">
        <v>-388.25</v>
      </c>
      <c r="K36" t="n">
        <v>-428.26</v>
      </c>
      <c r="L36" t="n">
        <v>-118.15</v>
      </c>
      <c r="M36" t="n">
        <v>-22.76</v>
      </c>
      <c r="N36" t="n">
        <v>72.34</v>
      </c>
      <c r="O36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t="n">
        <v>0</v>
      </c>
      <c r="E37" t="n">
        <v>234.56</v>
      </c>
      <c r="F37" t="n">
        <v>451.12</v>
      </c>
      <c r="G37" t="n">
        <v>543.12</v>
      </c>
      <c r="H37" t="n">
        <v>647.12</v>
      </c>
      <c r="I37" t="n">
        <v>32</v>
      </c>
      <c r="J37" t="n">
        <v>32</v>
      </c>
      <c r="K37" t="n">
        <v>32</v>
      </c>
      <c r="L37" t="n">
        <v>32</v>
      </c>
      <c r="M37" t="n">
        <v>691.12</v>
      </c>
      <c r="N37" t="n">
        <v>691.12</v>
      </c>
      <c r="O37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t="n">
        <v>0</v>
      </c>
      <c r="E38" t="n">
        <v>2494.14</v>
      </c>
      <c r="F38" t="n">
        <v>7729.530000000001</v>
      </c>
      <c r="G38" t="n">
        <v>29320.21</v>
      </c>
      <c r="H38" t="n">
        <v>44883.52</v>
      </c>
      <c r="I38" t="n">
        <v>45170.51</v>
      </c>
      <c r="J38" t="n">
        <v>47957.17</v>
      </c>
      <c r="K38" t="n">
        <v>46692.41</v>
      </c>
      <c r="L38" t="n">
        <v>43187.29</v>
      </c>
      <c r="M38" t="n">
        <v>43174.38</v>
      </c>
      <c r="N38" t="n">
        <v>39921.24</v>
      </c>
      <c r="O38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0</v>
      </c>
      <c r="E39" t="n">
        <v>0</v>
      </c>
      <c r="F39" t="n">
        <v>2346.58</v>
      </c>
      <c r="G39" t="n">
        <v>1165</v>
      </c>
      <c r="H39" t="n">
        <v>1239.99</v>
      </c>
      <c r="I39" t="n">
        <v>1351.25</v>
      </c>
      <c r="J39" t="n">
        <v>704.99</v>
      </c>
      <c r="K39" t="n">
        <v>1847.15</v>
      </c>
      <c r="L39" t="n">
        <v>625.99</v>
      </c>
      <c r="M39" t="n">
        <v>743.48</v>
      </c>
      <c r="N39" t="n">
        <v>881</v>
      </c>
      <c r="O3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583.98</v>
      </c>
      <c r="M40" t="n">
        <v>306.16</v>
      </c>
      <c r="N40" t="n">
        <v>306.16</v>
      </c>
      <c r="O40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0</v>
      </c>
      <c r="E44" t="n">
        <v>0</v>
      </c>
      <c r="F44" t="n">
        <v>0</v>
      </c>
      <c r="G44" t="n">
        <v>850</v>
      </c>
      <c r="H44" t="n">
        <v>320</v>
      </c>
      <c r="I44" t="n">
        <v>0</v>
      </c>
      <c r="J44" t="n">
        <v>0</v>
      </c>
      <c r="K44" t="n">
        <v>1706.25</v>
      </c>
      <c r="L44" t="n">
        <v>0</v>
      </c>
      <c r="M44" t="n">
        <v>0</v>
      </c>
      <c r="N44" t="n">
        <v>154.54</v>
      </c>
      <c r="O44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479.1</v>
      </c>
      <c r="K46" t="n">
        <v>879.1</v>
      </c>
      <c r="L46" t="n">
        <v>479.1</v>
      </c>
      <c r="M46" t="n">
        <v>481</v>
      </c>
      <c r="N46" t="n">
        <v>481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t="n">
        <v>0</v>
      </c>
      <c r="E47" t="n">
        <v>0</v>
      </c>
      <c r="F47" t="n">
        <v>0</v>
      </c>
      <c r="G47" t="n">
        <v>850</v>
      </c>
      <c r="H47" t="n">
        <v>320</v>
      </c>
      <c r="I47" t="n">
        <v>0</v>
      </c>
      <c r="J47" t="n">
        <v>479.1</v>
      </c>
      <c r="K47" t="n">
        <v>2585.35</v>
      </c>
      <c r="L47" t="n">
        <v>479.1</v>
      </c>
      <c r="M47" t="n">
        <v>481</v>
      </c>
      <c r="N47" t="n">
        <v>635.54</v>
      </c>
      <c r="O47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t="n">
        <v>0</v>
      </c>
      <c r="E49" t="n">
        <v>0</v>
      </c>
      <c r="F49" t="n">
        <v>0</v>
      </c>
      <c r="G49" t="n">
        <v>262.32</v>
      </c>
      <c r="H49" t="n">
        <v>1700.75</v>
      </c>
      <c r="I49" t="n">
        <v>16.54</v>
      </c>
      <c r="J49" t="n">
        <v>244.89</v>
      </c>
      <c r="K49" t="n">
        <v>34.66</v>
      </c>
      <c r="L49" t="n">
        <v>185.79</v>
      </c>
      <c r="M49" t="n">
        <v>112.74</v>
      </c>
      <c r="N49" t="n">
        <v>108.89</v>
      </c>
      <c r="O4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0</v>
      </c>
      <c r="E51" t="n">
        <v>0</v>
      </c>
      <c r="F51" t="n">
        <v>202.24</v>
      </c>
      <c r="G51" t="n">
        <v>0</v>
      </c>
      <c r="H51" t="n">
        <v>848.61</v>
      </c>
      <c r="I51" t="n">
        <v>711.88</v>
      </c>
      <c r="J51" t="n">
        <v>639.22</v>
      </c>
      <c r="K51" t="n">
        <v>604.61</v>
      </c>
      <c r="L51" t="n">
        <v>670.6799999999999</v>
      </c>
      <c r="M51" t="n">
        <v>424.72</v>
      </c>
      <c r="N51" t="n">
        <v>321.89</v>
      </c>
      <c r="O51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t="n">
        <v>0</v>
      </c>
      <c r="E53" t="n">
        <v>115.38</v>
      </c>
      <c r="F53" t="n">
        <v>115.46</v>
      </c>
      <c r="G53" t="n">
        <v>115.46</v>
      </c>
      <c r="H53" t="n">
        <v>115.45</v>
      </c>
      <c r="I53" t="n">
        <v>115.23</v>
      </c>
      <c r="J53" t="n">
        <v>115.23</v>
      </c>
      <c r="K53" t="n">
        <v>115.2</v>
      </c>
      <c r="L53" t="n">
        <v>115.2</v>
      </c>
      <c r="M53" t="n">
        <v>118.6</v>
      </c>
      <c r="N53" t="n">
        <v>283.81</v>
      </c>
      <c r="O53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t="n">
        <v>0</v>
      </c>
      <c r="E54" t="n">
        <v>0</v>
      </c>
      <c r="F54" t="n">
        <v>469</v>
      </c>
      <c r="G54" t="n">
        <v>431.6</v>
      </c>
      <c r="H54" t="n">
        <v>738.59</v>
      </c>
      <c r="I54" t="n">
        <v>207.67</v>
      </c>
      <c r="J54" t="n">
        <v>102.4</v>
      </c>
      <c r="K54" t="n">
        <v>325.4</v>
      </c>
      <c r="L54" t="n">
        <v>0</v>
      </c>
      <c r="M54" t="n">
        <v>345.31</v>
      </c>
      <c r="N54" t="n">
        <v>345.31</v>
      </c>
      <c r="O54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t="n">
        <v>0</v>
      </c>
      <c r="E56" t="n">
        <v>115.38</v>
      </c>
      <c r="F56" t="n">
        <v>996.9400000000001</v>
      </c>
      <c r="G56" t="n">
        <v>653.3</v>
      </c>
      <c r="H56" t="n">
        <v>1808.89</v>
      </c>
      <c r="I56" t="n">
        <v>1141.02</v>
      </c>
      <c r="J56" t="n">
        <v>963.09</v>
      </c>
      <c r="K56" t="n">
        <v>1151.45</v>
      </c>
      <c r="L56" t="n">
        <v>892.12</v>
      </c>
      <c r="M56" t="n">
        <v>994.87</v>
      </c>
      <c r="N56" t="n">
        <v>1057.25</v>
      </c>
      <c r="O56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0</v>
      </c>
      <c r="E57" t="n">
        <v>1950.89</v>
      </c>
      <c r="F57" t="n">
        <v>12524.29</v>
      </c>
      <c r="G57" t="n">
        <v>12524.29</v>
      </c>
      <c r="H57" t="n">
        <v>12524.29</v>
      </c>
      <c r="I57" t="n">
        <v>12524.29</v>
      </c>
      <c r="J57" t="n">
        <v>12524.29</v>
      </c>
      <c r="K57" t="n">
        <v>12524.29</v>
      </c>
      <c r="L57" t="n">
        <v>12524.29</v>
      </c>
      <c r="M57" t="n">
        <v>12524.29</v>
      </c>
      <c r="N57" t="n">
        <v>12524.29</v>
      </c>
      <c r="O57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0</v>
      </c>
      <c r="E59" t="n">
        <v>0</v>
      </c>
      <c r="F59" t="n">
        <v>0</v>
      </c>
      <c r="G59" t="n">
        <v>0</v>
      </c>
      <c r="H59" t="n">
        <v>22.09</v>
      </c>
      <c r="I59" t="n">
        <v>70.17</v>
      </c>
      <c r="J59" t="n">
        <v>89.42</v>
      </c>
      <c r="K59" t="n">
        <v>322.12</v>
      </c>
      <c r="L59" t="n">
        <v>26.56</v>
      </c>
      <c r="M59" t="n">
        <v>679.5700000000001</v>
      </c>
      <c r="N59" t="n">
        <v>480.04</v>
      </c>
      <c r="O5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t="n">
        <v>0</v>
      </c>
      <c r="E61" t="n">
        <v>1950.89</v>
      </c>
      <c r="F61" t="n">
        <v>12524.29</v>
      </c>
      <c r="G61" t="n">
        <v>12524.29</v>
      </c>
      <c r="H61" t="n">
        <v>12783.1</v>
      </c>
      <c r="I61" t="n">
        <v>13225.22</v>
      </c>
      <c r="J61" t="n">
        <v>12613.71</v>
      </c>
      <c r="K61" t="n">
        <v>12867.43</v>
      </c>
      <c r="L61" t="n">
        <v>12681.96</v>
      </c>
      <c r="M61" t="n">
        <v>13203.86</v>
      </c>
      <c r="N61" t="n">
        <v>13004.33</v>
      </c>
      <c r="O61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719.87</v>
      </c>
      <c r="E62" t="n">
        <v>5189.830000000001</v>
      </c>
      <c r="F62" t="n">
        <v>27247.86</v>
      </c>
      <c r="G62" t="n">
        <v>59138.26</v>
      </c>
      <c r="H62" t="n">
        <v>68713.60000000001</v>
      </c>
      <c r="I62" t="n">
        <v>68926.75</v>
      </c>
      <c r="J62" t="n">
        <v>68220.29999999999</v>
      </c>
      <c r="K62" t="n">
        <v>73220.25</v>
      </c>
      <c r="L62" t="n">
        <v>63893.45</v>
      </c>
      <c r="M62" t="n">
        <v>64195.18</v>
      </c>
      <c r="N62" t="n">
        <v>61639.17</v>
      </c>
      <c r="O62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-719.87</v>
      </c>
      <c r="E63" t="n">
        <v>-5114.830000000001</v>
      </c>
      <c r="F63" t="n">
        <v>-28027.22</v>
      </c>
      <c r="G63" t="n">
        <v>-48214.48</v>
      </c>
      <c r="H63" t="n">
        <v>-29879.84000000002</v>
      </c>
      <c r="I63" t="n">
        <v>-22739.29</v>
      </c>
      <c r="J63" t="n">
        <v>-13778.64</v>
      </c>
      <c r="K63" t="n">
        <v>-14538.92</v>
      </c>
      <c r="L63" t="n">
        <v>-9560.640000000009</v>
      </c>
      <c r="M63" t="n">
        <v>-10737.13</v>
      </c>
      <c r="N63" t="n">
        <v>-8275.619999999995</v>
      </c>
      <c r="O63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0</v>
      </c>
      <c r="E65" t="n">
        <v>0</v>
      </c>
      <c r="F65" t="n">
        <v>0</v>
      </c>
      <c r="G65" t="n">
        <v>2084.22</v>
      </c>
      <c r="H65" t="n">
        <v>2089.47</v>
      </c>
      <c r="I65" t="n">
        <v>2112.72</v>
      </c>
      <c r="J65" t="n">
        <v>2062.49</v>
      </c>
      <c r="K65" t="n">
        <v>2104.17</v>
      </c>
      <c r="L65" t="n">
        <v>2105.9</v>
      </c>
      <c r="M65" t="n">
        <v>2095.37</v>
      </c>
      <c r="N65" t="n">
        <v>2105.9</v>
      </c>
      <c r="O65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>
        <f>U69*1</f>
        <v/>
      </c>
      <c r="V65" s="20">
        <f>V69*1</f>
        <v/>
      </c>
      <c r="W65" s="20">
        <f>W69*1</f>
        <v/>
      </c>
      <c r="X65" s="20">
        <f>X69*1</f>
        <v/>
      </c>
      <c r="Y65" s="20">
        <f>Y69*1</f>
        <v/>
      </c>
      <c r="Z65" s="20">
        <f>Z69*1</f>
        <v/>
      </c>
      <c r="AA65" s="20">
        <f>AA69*1</f>
        <v/>
      </c>
      <c r="AB65" s="20">
        <f>AB69*1</f>
        <v/>
      </c>
      <c r="AC65" s="20">
        <f>AC69*1</f>
        <v/>
      </c>
      <c r="AD65" s="20">
        <f>AD69*1</f>
        <v/>
      </c>
      <c r="AE65" s="20">
        <f>AE69*1</f>
        <v/>
      </c>
      <c r="AF65" s="20">
        <f>AF69*1</f>
        <v/>
      </c>
      <c r="AG65" s="20">
        <f>AG69*1</f>
        <v/>
      </c>
      <c r="AH65" s="20">
        <f>AH69*1</f>
        <v/>
      </c>
      <c r="AI65" s="20">
        <f>AI69*1</f>
        <v/>
      </c>
      <c r="AJ65" s="20">
        <f>AJ69*1</f>
        <v/>
      </c>
      <c r="AK65" s="20">
        <f>AK69*1</f>
        <v/>
      </c>
      <c r="AL65" s="20">
        <f>AL69*1</f>
        <v/>
      </c>
      <c r="AM65" s="20">
        <f>AM69*1</f>
        <v/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0</v>
      </c>
      <c r="E69" t="n">
        <v>0</v>
      </c>
      <c r="F69" t="n">
        <v>0</v>
      </c>
      <c r="G69" t="n">
        <v>2084.22</v>
      </c>
      <c r="H69" t="n">
        <v>2089.47</v>
      </c>
      <c r="I69" t="n">
        <v>2112.72</v>
      </c>
      <c r="J69" t="n">
        <v>2062.49</v>
      </c>
      <c r="K69" t="n">
        <v>2104.17</v>
      </c>
      <c r="L69" t="n">
        <v>2105.9</v>
      </c>
      <c r="M69" t="n">
        <v>2095.37</v>
      </c>
      <c r="N69" t="n">
        <v>2105.9</v>
      </c>
      <c r="O69" t="n">
        <v>2023.81</v>
      </c>
      <c r="P69" s="35" t="n">
        <v>1996.64</v>
      </c>
      <c r="Q69" s="35" t="n">
        <v>1996.64</v>
      </c>
      <c r="R69" s="35" t="n">
        <v>1996.64</v>
      </c>
      <c r="S69" s="35" t="n">
        <v>1996.64</v>
      </c>
      <c r="T69" s="85" t="n">
        <v>1996.64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-719.87</v>
      </c>
      <c r="E70" t="n">
        <v>-5114.830000000001</v>
      </c>
      <c r="F70" t="n">
        <v>-28027.22</v>
      </c>
      <c r="G70" t="n">
        <v>-50298.7</v>
      </c>
      <c r="H70" t="n">
        <v>-31969.31000000002</v>
      </c>
      <c r="I70" t="n">
        <v>-24852.01</v>
      </c>
      <c r="J70" t="n">
        <v>-15841.13</v>
      </c>
      <c r="K70" t="n">
        <v>-16643.09</v>
      </c>
      <c r="L70" t="n">
        <v>-11666.54000000001</v>
      </c>
      <c r="M70" t="n">
        <v>-12832.5</v>
      </c>
      <c r="N70" t="n">
        <v>-10381.52</v>
      </c>
      <c r="O70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Presidio Heights (PH)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108612.82</v>
      </c>
      <c r="E7" t="n">
        <v>121396.9</v>
      </c>
      <c r="F7" t="n">
        <v>145502.53</v>
      </c>
      <c r="G7" t="n">
        <v>135243.93</v>
      </c>
      <c r="H7" t="n">
        <v>121180.99</v>
      </c>
      <c r="I7" t="n">
        <v>107394.6</v>
      </c>
      <c r="J7" t="n">
        <v>81107.35000000001</v>
      </c>
      <c r="K7" t="n">
        <v>89385.37</v>
      </c>
      <c r="L7" t="n">
        <v>91441.91</v>
      </c>
      <c r="M7" t="n">
        <v>92019.48</v>
      </c>
      <c r="N7" t="n">
        <v>86227.21000000001</v>
      </c>
      <c r="O7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t="n">
        <v>14430.5</v>
      </c>
      <c r="E8" t="n">
        <v>16687.5</v>
      </c>
      <c r="F8" t="n">
        <v>21714</v>
      </c>
      <c r="G8" t="n">
        <v>22889</v>
      </c>
      <c r="H8" t="n">
        <v>15965</v>
      </c>
      <c r="I8" t="n">
        <v>11290</v>
      </c>
      <c r="J8" t="n">
        <v>7310.22</v>
      </c>
      <c r="K8" t="n">
        <v>8288.469999999999</v>
      </c>
      <c r="L8" t="n">
        <v>8184.83</v>
      </c>
      <c r="M8" t="n">
        <v>9139.110000000001</v>
      </c>
      <c r="N8" t="n">
        <v>5071</v>
      </c>
      <c r="O8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t="n">
        <v>6706.19</v>
      </c>
      <c r="E9" t="n">
        <v>7881.09</v>
      </c>
      <c r="F9" t="n">
        <v>10700.77</v>
      </c>
      <c r="G9" t="n">
        <v>11779.51</v>
      </c>
      <c r="H9" t="n">
        <v>9311.790000000001</v>
      </c>
      <c r="I9" t="n">
        <v>11135.65</v>
      </c>
      <c r="J9" t="n">
        <v>10157.26</v>
      </c>
      <c r="K9" t="n">
        <v>12755.06</v>
      </c>
      <c r="L9" t="n">
        <v>13514.07</v>
      </c>
      <c r="M9" t="n">
        <v>14586.96</v>
      </c>
      <c r="N9" t="n">
        <v>15677.31</v>
      </c>
      <c r="O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t="n">
        <v>2240</v>
      </c>
      <c r="E10" t="n">
        <v>960</v>
      </c>
      <c r="F10" t="n">
        <v>0</v>
      </c>
      <c r="G10" t="n">
        <v>0</v>
      </c>
      <c r="H10" t="n">
        <v>320</v>
      </c>
      <c r="I10" t="n">
        <v>1500</v>
      </c>
      <c r="J10" t="n">
        <v>4080</v>
      </c>
      <c r="K10" t="n">
        <v>640</v>
      </c>
      <c r="L10" t="n">
        <v>320</v>
      </c>
      <c r="M10" t="n">
        <v>160</v>
      </c>
      <c r="N10" t="n">
        <v>0</v>
      </c>
      <c r="O10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t="n">
        <v>1196.41</v>
      </c>
      <c r="E11" t="n">
        <v>934.02</v>
      </c>
      <c r="F11" t="n">
        <v>971</v>
      </c>
      <c r="G11" t="n">
        <v>790.86</v>
      </c>
      <c r="H11" t="n">
        <v>779.6</v>
      </c>
      <c r="I11" t="n">
        <v>747.34</v>
      </c>
      <c r="J11" t="n">
        <v>774.02</v>
      </c>
      <c r="K11" t="n">
        <v>930.26</v>
      </c>
      <c r="L11" t="n">
        <v>623.0599999999999</v>
      </c>
      <c r="M11" t="n">
        <v>446.54</v>
      </c>
      <c r="N11" t="n">
        <v>424.05</v>
      </c>
      <c r="O11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t="n">
        <v>2706.85</v>
      </c>
      <c r="E12" t="n">
        <v>2826.44</v>
      </c>
      <c r="F12" t="n">
        <v>3686.01</v>
      </c>
      <c r="G12" t="n">
        <v>2840.33</v>
      </c>
      <c r="H12" t="n">
        <v>2094.79</v>
      </c>
      <c r="I12" t="n">
        <v>2278.41</v>
      </c>
      <c r="J12" t="n">
        <v>2092.04</v>
      </c>
      <c r="K12" t="n">
        <v>2592.8</v>
      </c>
      <c r="L12" t="n">
        <v>2041.96</v>
      </c>
      <c r="M12" t="n">
        <v>2172.73</v>
      </c>
      <c r="N12" t="n">
        <v>2061.45</v>
      </c>
      <c r="O12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t="n">
        <v>135892.77</v>
      </c>
      <c r="E13" t="n">
        <v>150685.95</v>
      </c>
      <c r="F13" t="n">
        <v>182574.31</v>
      </c>
      <c r="G13" t="n">
        <v>173543.63</v>
      </c>
      <c r="H13" t="n">
        <v>149652.17</v>
      </c>
      <c r="I13" t="n">
        <v>134346</v>
      </c>
      <c r="J13" t="n">
        <v>105520.89</v>
      </c>
      <c r="K13" t="n">
        <v>114591.96</v>
      </c>
      <c r="L13" t="n">
        <v>116125.83</v>
      </c>
      <c r="M13" t="n">
        <v>118524.82</v>
      </c>
      <c r="N13" t="n">
        <v>109461.02</v>
      </c>
      <c r="O13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t="n">
        <v>26052.42</v>
      </c>
      <c r="E14" t="n">
        <v>33426.68</v>
      </c>
      <c r="F14" t="n">
        <v>42033.67</v>
      </c>
      <c r="G14" t="n">
        <v>39838.56</v>
      </c>
      <c r="H14" t="n">
        <v>56368.79</v>
      </c>
      <c r="I14" t="n">
        <v>21114.07</v>
      </c>
      <c r="J14" t="n">
        <v>19741.14</v>
      </c>
      <c r="K14" t="n">
        <v>20496.73</v>
      </c>
      <c r="L14" t="n">
        <v>48446.86</v>
      </c>
      <c r="M14" t="n">
        <v>23971.63</v>
      </c>
      <c r="N14" t="n">
        <v>43753.14</v>
      </c>
      <c r="O14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t="n">
        <v>2297</v>
      </c>
      <c r="E15" t="n">
        <v>5063</v>
      </c>
      <c r="F15" t="n">
        <v>5768</v>
      </c>
      <c r="G15" t="n">
        <v>7109</v>
      </c>
      <c r="H15" t="n">
        <v>4954</v>
      </c>
      <c r="I15" t="n">
        <v>2964</v>
      </c>
      <c r="J15" t="n">
        <v>2042.11</v>
      </c>
      <c r="K15" t="n">
        <v>2230.5</v>
      </c>
      <c r="L15" t="n">
        <v>838</v>
      </c>
      <c r="M15" t="n">
        <v>4985</v>
      </c>
      <c r="N15" t="n">
        <v>5215</v>
      </c>
      <c r="O15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t="n">
        <v>28349.42</v>
      </c>
      <c r="E17" t="n">
        <v>38489.68</v>
      </c>
      <c r="F17" t="n">
        <v>47801.67</v>
      </c>
      <c r="G17" t="n">
        <v>46947.56</v>
      </c>
      <c r="H17" t="n">
        <v>61322.79</v>
      </c>
      <c r="I17" t="n">
        <v>27078.07</v>
      </c>
      <c r="J17" t="n">
        <v>37223.25</v>
      </c>
      <c r="K17" t="n">
        <v>46087.23</v>
      </c>
      <c r="L17" t="n">
        <v>49284.86</v>
      </c>
      <c r="M17" t="n">
        <v>29756.63</v>
      </c>
      <c r="N17" t="n">
        <v>49468.14</v>
      </c>
      <c r="O17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t="n">
        <v>4902</v>
      </c>
      <c r="E18" t="n">
        <v>5269</v>
      </c>
      <c r="F18" t="n">
        <v>4583.03</v>
      </c>
      <c r="G18" t="n">
        <v>3785</v>
      </c>
      <c r="H18" t="n">
        <v>3612</v>
      </c>
      <c r="I18" t="n">
        <v>5066</v>
      </c>
      <c r="J18" t="n">
        <v>1728</v>
      </c>
      <c r="K18" t="n">
        <v>2013</v>
      </c>
      <c r="L18" t="n">
        <v>2656</v>
      </c>
      <c r="M18" t="n">
        <v>2412</v>
      </c>
      <c r="N18" t="n">
        <v>4019</v>
      </c>
      <c r="O18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t="n">
        <v>-8170</v>
      </c>
      <c r="E19" t="n">
        <v>-4404</v>
      </c>
      <c r="F19" t="n">
        <v>-2952.57</v>
      </c>
      <c r="G19" t="n">
        <v>-7293.01</v>
      </c>
      <c r="H19" t="n">
        <v>-1757.01</v>
      </c>
      <c r="I19" t="n">
        <v>-664</v>
      </c>
      <c r="J19" t="n">
        <v>-2238</v>
      </c>
      <c r="K19" t="n">
        <v>-1878</v>
      </c>
      <c r="L19" t="n">
        <v>-3656</v>
      </c>
      <c r="M19" t="n">
        <v>-6118.26</v>
      </c>
      <c r="N19" t="n">
        <v>-2754.9</v>
      </c>
      <c r="O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t="n">
        <v>-26234.94</v>
      </c>
      <c r="E20" t="n">
        <v>-16481.1</v>
      </c>
      <c r="F20" t="n">
        <v>-13539.94</v>
      </c>
      <c r="G20" t="n">
        <v>-9717.4</v>
      </c>
      <c r="H20" t="n">
        <v>-8531.459999999999</v>
      </c>
      <c r="I20" t="n">
        <v>-4593.62</v>
      </c>
      <c r="J20" t="n">
        <v>-5591.3</v>
      </c>
      <c r="K20" t="n">
        <v>-4636.24</v>
      </c>
      <c r="L20" t="n">
        <v>-6926.26</v>
      </c>
      <c r="M20" t="n">
        <v>-4991.98</v>
      </c>
      <c r="N20" t="n">
        <v>-4037.52</v>
      </c>
      <c r="O20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t="n">
        <v>213465.61</v>
      </c>
      <c r="E21" t="n">
        <v>214391.55</v>
      </c>
      <c r="F21" t="n">
        <v>250059.09</v>
      </c>
      <c r="G21" t="n">
        <v>225172.86</v>
      </c>
      <c r="H21" t="n">
        <v>217319.45</v>
      </c>
      <c r="I21" t="n">
        <v>168863.04</v>
      </c>
      <c r="J21" t="n">
        <v>141383.59</v>
      </c>
      <c r="K21" t="n">
        <v>159578.75</v>
      </c>
      <c r="L21" t="n">
        <v>158576.93</v>
      </c>
      <c r="M21" t="n">
        <v>140949.3799999999</v>
      </c>
      <c r="N21" t="n">
        <v>156577.57</v>
      </c>
      <c r="O21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2206</v>
      </c>
      <c r="E23" t="n">
        <v>2445.25</v>
      </c>
      <c r="F23" t="n">
        <v>2083.25</v>
      </c>
      <c r="G23" t="n">
        <v>1763.25</v>
      </c>
      <c r="H23" t="n">
        <v>1421</v>
      </c>
      <c r="I23" t="n">
        <v>2156.5</v>
      </c>
      <c r="J23" t="n">
        <v>756.5</v>
      </c>
      <c r="K23" t="n">
        <v>1047.75</v>
      </c>
      <c r="L23" t="n">
        <v>1133</v>
      </c>
      <c r="M23" t="n">
        <v>1057</v>
      </c>
      <c r="N23" t="n">
        <v>1830</v>
      </c>
      <c r="O23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4213.5</v>
      </c>
      <c r="E24" t="n">
        <v>3350.43</v>
      </c>
      <c r="F24" t="n">
        <v>3273.36</v>
      </c>
      <c r="G24" t="n">
        <v>4750.86</v>
      </c>
      <c r="H24" t="n">
        <v>2092.9</v>
      </c>
      <c r="I24" t="n">
        <v>1897.33</v>
      </c>
      <c r="J24" t="n">
        <v>1592.6</v>
      </c>
      <c r="K24" t="n">
        <v>3066.33</v>
      </c>
      <c r="L24" t="n">
        <v>2059.69</v>
      </c>
      <c r="M24" t="n">
        <v>2259.66</v>
      </c>
      <c r="N24" t="n">
        <v>3398.29</v>
      </c>
      <c r="O24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6419.5</v>
      </c>
      <c r="E25" t="n">
        <v>5795.68</v>
      </c>
      <c r="F25" t="n">
        <v>5356.610000000001</v>
      </c>
      <c r="G25" t="n">
        <v>6514.11</v>
      </c>
      <c r="H25" t="n">
        <v>3513.9</v>
      </c>
      <c r="I25" t="n">
        <v>4053.83</v>
      </c>
      <c r="J25" t="n">
        <v>2349.1</v>
      </c>
      <c r="K25" t="n">
        <v>4114.08</v>
      </c>
      <c r="L25" t="n">
        <v>3192.69</v>
      </c>
      <c r="M25" t="n">
        <v>3316.66</v>
      </c>
      <c r="N25" t="n">
        <v>5228.29</v>
      </c>
      <c r="O2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207046.11</v>
      </c>
      <c r="E26" t="n">
        <v>208595.87</v>
      </c>
      <c r="F26" t="n">
        <v>244702.48</v>
      </c>
      <c r="G26" t="n">
        <v>218658.75</v>
      </c>
      <c r="H26" t="n">
        <v>213805.55</v>
      </c>
      <c r="I26" t="n">
        <v>164809.21</v>
      </c>
      <c r="J26" t="n">
        <v>139034.49</v>
      </c>
      <c r="K26" t="n">
        <v>155464.67</v>
      </c>
      <c r="L26" t="n">
        <v>155384.24</v>
      </c>
      <c r="M26" t="n">
        <v>137632.7199999999</v>
      </c>
      <c r="N26" t="n">
        <v>151349.28</v>
      </c>
      <c r="O26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250.14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590.91</v>
      </c>
      <c r="O28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0</v>
      </c>
      <c r="E30" t="n">
        <v>165.85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53.77</v>
      </c>
      <c r="L30" t="n">
        <v>0</v>
      </c>
      <c r="M30" t="n">
        <v>0</v>
      </c>
      <c r="N30" t="n">
        <v>0</v>
      </c>
      <c r="O30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250.14</v>
      </c>
      <c r="E33" t="n">
        <v>165.85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53.77</v>
      </c>
      <c r="L33" t="n">
        <v>0</v>
      </c>
      <c r="M33" t="n">
        <v>0</v>
      </c>
      <c r="N33" t="n">
        <v>590.91</v>
      </c>
      <c r="O33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39011.93</v>
      </c>
      <c r="E34" t="n">
        <v>43231.25</v>
      </c>
      <c r="F34" t="n">
        <v>46837.73</v>
      </c>
      <c r="G34" t="n">
        <v>38461.64</v>
      </c>
      <c r="H34" t="n">
        <v>49715.14</v>
      </c>
      <c r="I34" t="n">
        <v>40100.86</v>
      </c>
      <c r="J34" t="n">
        <v>36729.13</v>
      </c>
      <c r="K34" t="n">
        <v>38467.03</v>
      </c>
      <c r="L34" t="n">
        <v>37781.83</v>
      </c>
      <c r="M34" t="n">
        <v>36504.73</v>
      </c>
      <c r="N34" t="n">
        <v>33195.92</v>
      </c>
      <c r="O34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t="n">
        <v>6202.34</v>
      </c>
      <c r="E35" t="n">
        <v>5541.8</v>
      </c>
      <c r="F35" t="n">
        <v>5351.31</v>
      </c>
      <c r="G35" t="n">
        <v>4316.35</v>
      </c>
      <c r="H35" t="n">
        <v>5139.92</v>
      </c>
      <c r="I35" t="n">
        <v>4107.59</v>
      </c>
      <c r="J35" t="n">
        <v>3840.85</v>
      </c>
      <c r="K35" t="n">
        <v>4197.13</v>
      </c>
      <c r="L35" t="n">
        <v>4156.01</v>
      </c>
      <c r="M35" t="n">
        <v>4162.24</v>
      </c>
      <c r="N35" t="n">
        <v>3828.3</v>
      </c>
      <c r="O35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t="n">
        <v>1240.91</v>
      </c>
      <c r="E36" t="n">
        <v>1290.55</v>
      </c>
      <c r="F36" t="n">
        <v>464.54</v>
      </c>
      <c r="G36" t="n">
        <v>1074.23</v>
      </c>
      <c r="H36" t="n">
        <v>19.78</v>
      </c>
      <c r="I36" t="n">
        <v>-20.77</v>
      </c>
      <c r="J36" t="n">
        <v>301.98</v>
      </c>
      <c r="K36" t="n">
        <v>346.53</v>
      </c>
      <c r="L36" t="n">
        <v>672.59</v>
      </c>
      <c r="M36" t="n">
        <v>346.52</v>
      </c>
      <c r="N36" t="n">
        <v>1374.15</v>
      </c>
      <c r="O36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t="n">
        <v>1096.03</v>
      </c>
      <c r="E37" t="n">
        <v>612.42</v>
      </c>
      <c r="F37" t="n">
        <v>627.42</v>
      </c>
      <c r="G37" t="n">
        <v>864.63</v>
      </c>
      <c r="H37" t="n">
        <v>657.42</v>
      </c>
      <c r="I37" t="n">
        <v>638.67</v>
      </c>
      <c r="J37" t="n">
        <v>634.92</v>
      </c>
      <c r="K37" t="n">
        <v>926.13</v>
      </c>
      <c r="L37" t="n">
        <v>653.67</v>
      </c>
      <c r="M37" t="n">
        <v>631.17</v>
      </c>
      <c r="N37" t="n">
        <v>608.67</v>
      </c>
      <c r="O37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t="n">
        <v>61216.94000000001</v>
      </c>
      <c r="E38" t="n">
        <v>62617.39000000001</v>
      </c>
      <c r="F38" t="n">
        <v>66100.58</v>
      </c>
      <c r="G38" t="n">
        <v>55622.66</v>
      </c>
      <c r="H38" t="n">
        <v>67472.92</v>
      </c>
      <c r="I38" t="n">
        <v>53714.84</v>
      </c>
      <c r="J38" t="n">
        <v>49314.21999999999</v>
      </c>
      <c r="K38" t="n">
        <v>53420.82999999999</v>
      </c>
      <c r="L38" t="n">
        <v>53061.2</v>
      </c>
      <c r="M38" t="n">
        <v>52567.04</v>
      </c>
      <c r="N38" t="n">
        <v>48593.18</v>
      </c>
      <c r="O38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1341.92</v>
      </c>
      <c r="E39" t="n">
        <v>2947.82</v>
      </c>
      <c r="F39" t="n">
        <v>-251.18</v>
      </c>
      <c r="G39" t="n">
        <v>680.4</v>
      </c>
      <c r="H39" t="n">
        <v>2414</v>
      </c>
      <c r="I39" t="n">
        <v>1617.36</v>
      </c>
      <c r="J39" t="n">
        <v>2888.86</v>
      </c>
      <c r="K39" t="n">
        <v>-2634.45</v>
      </c>
      <c r="L39" t="n">
        <v>2458.59</v>
      </c>
      <c r="M39" t="n">
        <v>2550.88</v>
      </c>
      <c r="N39" t="n">
        <v>3479.33</v>
      </c>
      <c r="O3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t="n">
        <v>516.29</v>
      </c>
      <c r="E40" t="n">
        <v>293.32</v>
      </c>
      <c r="F40" t="n">
        <v>293.32</v>
      </c>
      <c r="G40" t="n">
        <v>293.32</v>
      </c>
      <c r="H40" t="n">
        <v>293.32</v>
      </c>
      <c r="I40" t="n">
        <v>293.32</v>
      </c>
      <c r="J40" t="n">
        <v>293.32</v>
      </c>
      <c r="K40" t="n">
        <v>293.32</v>
      </c>
      <c r="L40" t="n">
        <v>293.32</v>
      </c>
      <c r="M40" t="n">
        <v>449.43</v>
      </c>
      <c r="N40" t="n">
        <v>449.43</v>
      </c>
      <c r="O40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t="n">
        <v>0</v>
      </c>
      <c r="E43" t="n">
        <v>0</v>
      </c>
      <c r="F43" t="n">
        <v>0</v>
      </c>
      <c r="G43" t="n">
        <v>165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959.25</v>
      </c>
      <c r="E44" t="n">
        <v>1542</v>
      </c>
      <c r="F44" t="n">
        <v>769.5</v>
      </c>
      <c r="G44" t="n">
        <v>103.5</v>
      </c>
      <c r="H44" t="n">
        <v>1520</v>
      </c>
      <c r="I44" t="n">
        <v>0</v>
      </c>
      <c r="J44" t="n">
        <v>1049.95</v>
      </c>
      <c r="K44" t="n">
        <v>2208.25</v>
      </c>
      <c r="L44" t="n">
        <v>0</v>
      </c>
      <c r="M44" t="n">
        <v>0</v>
      </c>
      <c r="N44" t="n">
        <v>154.54</v>
      </c>
      <c r="O44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t="n">
        <v>0</v>
      </c>
      <c r="E45" t="n">
        <v>0</v>
      </c>
      <c r="F45" t="n">
        <v>178.16</v>
      </c>
      <c r="G45" t="n">
        <v>0</v>
      </c>
      <c r="H45" t="n">
        <v>0</v>
      </c>
      <c r="I45" t="n">
        <v>0</v>
      </c>
      <c r="J45" t="n">
        <v>0</v>
      </c>
      <c r="K45" t="n">
        <v>75</v>
      </c>
      <c r="L45" t="n">
        <v>0</v>
      </c>
      <c r="M45" t="n">
        <v>0</v>
      </c>
      <c r="N45" t="n">
        <v>0</v>
      </c>
      <c r="O45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</v>
      </c>
      <c r="J46" t="n">
        <v>479.1</v>
      </c>
      <c r="K46" t="n">
        <v>479.1</v>
      </c>
      <c r="L46" t="n">
        <v>479.1</v>
      </c>
      <c r="M46" t="n">
        <v>871</v>
      </c>
      <c r="N46" t="n">
        <v>840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t="n">
        <v>959.25</v>
      </c>
      <c r="E47" t="n">
        <v>1542</v>
      </c>
      <c r="F47" t="n">
        <v>947.66</v>
      </c>
      <c r="G47" t="n">
        <v>268.5</v>
      </c>
      <c r="H47" t="n">
        <v>1520</v>
      </c>
      <c r="I47" t="n">
        <v>330</v>
      </c>
      <c r="J47" t="n">
        <v>1529.05</v>
      </c>
      <c r="K47" t="n">
        <v>2762.35</v>
      </c>
      <c r="L47" t="n">
        <v>479.1</v>
      </c>
      <c r="M47" t="n">
        <v>871</v>
      </c>
      <c r="N47" t="n">
        <v>994.54</v>
      </c>
      <c r="O47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t="n">
        <v>0</v>
      </c>
      <c r="E49" t="n">
        <v>45.4</v>
      </c>
      <c r="F49" t="n">
        <v>53.45</v>
      </c>
      <c r="G49" t="n">
        <v>40.45</v>
      </c>
      <c r="H49" t="n">
        <v>65.95</v>
      </c>
      <c r="I49" t="n">
        <v>65.76000000000001</v>
      </c>
      <c r="J49" t="n">
        <v>7.09</v>
      </c>
      <c r="K49" t="n">
        <v>219.62</v>
      </c>
      <c r="L49" t="n">
        <v>260.33</v>
      </c>
      <c r="M49" t="n">
        <v>164.32</v>
      </c>
      <c r="N49" t="n">
        <v>303.65</v>
      </c>
      <c r="O4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0</v>
      </c>
      <c r="E51" t="n">
        <v>0</v>
      </c>
      <c r="F51" t="n">
        <v>174.71</v>
      </c>
      <c r="G51" t="n">
        <v>510.22</v>
      </c>
      <c r="H51" t="n">
        <v>191.31</v>
      </c>
      <c r="I51" t="n">
        <v>0</v>
      </c>
      <c r="J51" t="n">
        <v>228.06</v>
      </c>
      <c r="K51" t="n">
        <v>213.87</v>
      </c>
      <c r="L51" t="n">
        <v>273.58</v>
      </c>
      <c r="M51" t="n">
        <v>546.91</v>
      </c>
      <c r="N51" t="n">
        <v>238.6</v>
      </c>
      <c r="O51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t="n">
        <v>111.29</v>
      </c>
      <c r="E53" t="n">
        <v>605.0700000000001</v>
      </c>
      <c r="F53" t="n">
        <v>0</v>
      </c>
      <c r="G53" t="n">
        <v>193.05</v>
      </c>
      <c r="H53" t="n">
        <v>193.02</v>
      </c>
      <c r="I53" t="n">
        <v>0</v>
      </c>
      <c r="J53" t="n">
        <v>192.37</v>
      </c>
      <c r="K53" t="n">
        <v>192.41</v>
      </c>
      <c r="L53" t="n">
        <v>192.41</v>
      </c>
      <c r="M53" t="n">
        <v>193.82</v>
      </c>
      <c r="N53" t="n">
        <v>158.92</v>
      </c>
      <c r="O53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t="n">
        <v>56.25</v>
      </c>
      <c r="E55" t="n">
        <v>453.05</v>
      </c>
      <c r="F55" t="n">
        <v>181.6</v>
      </c>
      <c r="G55" t="n">
        <v>362.25</v>
      </c>
      <c r="H55" t="n">
        <v>362.25</v>
      </c>
      <c r="I55" t="n">
        <v>0</v>
      </c>
      <c r="J55" t="n">
        <v>474.05</v>
      </c>
      <c r="K55" t="n">
        <v>91.8</v>
      </c>
      <c r="L55" t="n">
        <v>90.8</v>
      </c>
      <c r="M55" t="n">
        <v>90.8</v>
      </c>
      <c r="N55" t="n">
        <v>102.05</v>
      </c>
      <c r="O55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t="n">
        <v>384.54</v>
      </c>
      <c r="E56" t="n">
        <v>1265.12</v>
      </c>
      <c r="F56" t="n">
        <v>563.3100000000001</v>
      </c>
      <c r="G56" t="n">
        <v>1272.52</v>
      </c>
      <c r="H56" t="n">
        <v>953.58</v>
      </c>
      <c r="I56" t="n">
        <v>219.95</v>
      </c>
      <c r="J56" t="n">
        <v>1088.53</v>
      </c>
      <c r="K56" t="n">
        <v>705.0799999999999</v>
      </c>
      <c r="L56" t="n">
        <v>763.79</v>
      </c>
      <c r="M56" t="n">
        <v>1038.53</v>
      </c>
      <c r="N56" t="n">
        <v>706.5699999999999</v>
      </c>
      <c r="O56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7779.68</v>
      </c>
      <c r="E57" t="n">
        <v>7779.68</v>
      </c>
      <c r="F57" t="n">
        <v>7779.68</v>
      </c>
      <c r="G57" t="n">
        <v>7779.68</v>
      </c>
      <c r="H57" t="n">
        <v>7779.68</v>
      </c>
      <c r="I57" t="n">
        <v>7779.68</v>
      </c>
      <c r="J57" t="n">
        <v>7779.68</v>
      </c>
      <c r="K57" t="n">
        <v>7784.68</v>
      </c>
      <c r="L57" t="n">
        <v>7779.68</v>
      </c>
      <c r="M57" t="n">
        <v>7779.68</v>
      </c>
      <c r="N57" t="n">
        <v>7779.68</v>
      </c>
      <c r="O57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t="n">
        <v>90</v>
      </c>
      <c r="E58" t="n">
        <v>0</v>
      </c>
      <c r="F58" t="n">
        <v>0</v>
      </c>
      <c r="G58" t="n">
        <v>0</v>
      </c>
      <c r="H58" t="n">
        <v>0</v>
      </c>
      <c r="I58" t="n">
        <v>139.05</v>
      </c>
      <c r="J58" t="n">
        <v>0</v>
      </c>
      <c r="K58" t="n">
        <v>0</v>
      </c>
      <c r="L58" t="n">
        <v>139.05</v>
      </c>
      <c r="M58" t="n">
        <v>150</v>
      </c>
      <c r="N58" t="n">
        <v>0</v>
      </c>
      <c r="O58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t="n">
        <v>1143.39</v>
      </c>
      <c r="E59" t="n">
        <v>218.74</v>
      </c>
      <c r="F59" t="n">
        <v>0</v>
      </c>
      <c r="G59" t="n">
        <v>0</v>
      </c>
      <c r="H59" t="n">
        <v>677.28</v>
      </c>
      <c r="I59" t="n">
        <v>240.79</v>
      </c>
      <c r="J59" t="n">
        <v>365.67</v>
      </c>
      <c r="K59" t="n">
        <v>250.97</v>
      </c>
      <c r="L59" t="n">
        <v>88.65000000000001</v>
      </c>
      <c r="M59" t="n">
        <v>258.59</v>
      </c>
      <c r="N59" t="n">
        <v>695.3</v>
      </c>
      <c r="O5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t="n">
        <v>10103.07</v>
      </c>
      <c r="E61" t="n">
        <v>8004.16</v>
      </c>
      <c r="F61" t="n">
        <v>7779.68</v>
      </c>
      <c r="G61" t="n">
        <v>7845.820000000001</v>
      </c>
      <c r="H61" t="n">
        <v>8456.960000000001</v>
      </c>
      <c r="I61" t="n">
        <v>8159.52</v>
      </c>
      <c r="J61" t="n">
        <v>8176.84</v>
      </c>
      <c r="K61" t="n">
        <v>9136.49</v>
      </c>
      <c r="L61" t="n">
        <v>8022.34</v>
      </c>
      <c r="M61" t="n">
        <v>8188.27</v>
      </c>
      <c r="N61" t="n">
        <v>8614.98</v>
      </c>
      <c r="O61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75921.37</v>
      </c>
      <c r="E62" t="n">
        <v>79440.69</v>
      </c>
      <c r="F62" t="n">
        <v>79065.82000000001</v>
      </c>
      <c r="G62" t="n">
        <v>68641.91999999998</v>
      </c>
      <c r="H62" t="n">
        <v>83957.43000000002</v>
      </c>
      <c r="I62" t="n">
        <v>66136.11</v>
      </c>
      <c r="J62" t="n">
        <v>65843.14999999999</v>
      </c>
      <c r="K62" t="n">
        <v>66498.7</v>
      </c>
      <c r="L62" t="n">
        <v>67920.92</v>
      </c>
      <c r="M62" t="n">
        <v>67563.75</v>
      </c>
      <c r="N62" t="n">
        <v>66103.8</v>
      </c>
      <c r="O62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131124.74</v>
      </c>
      <c r="E63" t="n">
        <v>129155.18</v>
      </c>
      <c r="F63" t="n">
        <v>165636.66</v>
      </c>
      <c r="G63" t="n">
        <v>150016.83</v>
      </c>
      <c r="H63" t="n">
        <v>129848.12</v>
      </c>
      <c r="I63" t="n">
        <v>98673.10000000002</v>
      </c>
      <c r="J63" t="n">
        <v>73191.34000000003</v>
      </c>
      <c r="K63" t="n">
        <v>88965.97000000002</v>
      </c>
      <c r="L63" t="n">
        <v>87463.31999999999</v>
      </c>
      <c r="M63" t="n">
        <v>70068.96999999994</v>
      </c>
      <c r="N63" t="n">
        <v>85245.48</v>
      </c>
      <c r="O63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661.33</v>
      </c>
      <c r="E65" t="n">
        <v>661.33</v>
      </c>
      <c r="F65" t="n">
        <v>661.33</v>
      </c>
      <c r="G65" t="n">
        <v>663.3200000000001</v>
      </c>
      <c r="H65" t="n">
        <v>669.97</v>
      </c>
      <c r="I65" t="n">
        <v>669.97</v>
      </c>
      <c r="J65" t="n">
        <v>669.97</v>
      </c>
      <c r="K65" t="n">
        <v>720.3099999999999</v>
      </c>
      <c r="L65" t="n">
        <v>809.14</v>
      </c>
      <c r="M65" t="n">
        <v>809.14</v>
      </c>
      <c r="N65" t="n">
        <v>809.04</v>
      </c>
      <c r="O65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>
        <f>U69*0.218701</f>
        <v/>
      </c>
      <c r="V65" s="20">
        <f>V69*0.218701</f>
        <v/>
      </c>
      <c r="W65" s="20">
        <f>W69*0.218701</f>
        <v/>
      </c>
      <c r="X65" s="20">
        <f>X69*0.218701</f>
        <v/>
      </c>
      <c r="Y65" s="20">
        <f>Y69*0.218701</f>
        <v/>
      </c>
      <c r="Z65" s="20">
        <f>Z69*0.218701</f>
        <v/>
      </c>
      <c r="AA65" s="20">
        <f>AA69*0.218701</f>
        <v/>
      </c>
      <c r="AB65" s="20">
        <f>AB69*0.218701</f>
        <v/>
      </c>
      <c r="AC65" s="20">
        <f>AC69*0.218701</f>
        <v/>
      </c>
      <c r="AD65" s="20">
        <f>AD69*0.218701</f>
        <v/>
      </c>
      <c r="AE65" s="20">
        <f>AE69*0.218701</f>
        <v/>
      </c>
      <c r="AF65" s="20">
        <f>AF69*0.218701</f>
        <v/>
      </c>
      <c r="AG65" s="20">
        <f>AG69*0.218701</f>
        <v/>
      </c>
      <c r="AH65" s="20">
        <f>AH69*0.218701</f>
        <v/>
      </c>
      <c r="AI65" s="20">
        <f>AI69*0.218701</f>
        <v/>
      </c>
      <c r="AJ65" s="20">
        <f>AJ69*0.218701</f>
        <v/>
      </c>
      <c r="AK65" s="20">
        <f>AK69*0.218701</f>
        <v/>
      </c>
      <c r="AL65" s="20">
        <f>AL69*0.218701</f>
        <v/>
      </c>
      <c r="AM65" s="20">
        <f>AM69*0.218701</f>
        <v/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>
        <f>U69*0.055555</f>
        <v/>
      </c>
      <c r="V67" s="20">
        <f>V69*0.055555</f>
        <v/>
      </c>
      <c r="W67" s="20">
        <f>W69*0.055555</f>
        <v/>
      </c>
      <c r="X67" s="20">
        <f>X69*0.055555</f>
        <v/>
      </c>
      <c r="Y67" s="20">
        <f>Y69*0.055555</f>
        <v/>
      </c>
      <c r="Z67" s="20">
        <f>Z69*0.055555</f>
        <v/>
      </c>
      <c r="AA67" s="20">
        <f>AA69*0.055555</f>
        <v/>
      </c>
      <c r="AB67" s="20">
        <f>AB69*0.055555</f>
        <v/>
      </c>
      <c r="AC67" s="20">
        <f>AC69*0.055555</f>
        <v/>
      </c>
      <c r="AD67" s="20">
        <f>AD69*0.055555</f>
        <v/>
      </c>
      <c r="AE67" s="20">
        <f>AE69*0.055555</f>
        <v/>
      </c>
      <c r="AF67" s="20">
        <f>AF69*0.055555</f>
        <v/>
      </c>
      <c r="AG67" s="20">
        <f>AG69*0.055555</f>
        <v/>
      </c>
      <c r="AH67" s="20">
        <f>AH69*0.055555</f>
        <v/>
      </c>
      <c r="AI67" s="20">
        <f>AI69*0.055555</f>
        <v/>
      </c>
      <c r="AJ67" s="20">
        <f>AJ69*0.055555</f>
        <v/>
      </c>
      <c r="AK67" s="20">
        <f>AK69*0.055555</f>
        <v/>
      </c>
      <c r="AL67" s="20">
        <f>AL69*0.055555</f>
        <v/>
      </c>
      <c r="AM67" s="20">
        <f>AM69*0.055555</f>
        <v/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661.33</v>
      </c>
      <c r="E69" t="n">
        <v>661.33</v>
      </c>
      <c r="F69" t="n">
        <v>661.33</v>
      </c>
      <c r="G69" t="n">
        <v>663.3200000000001</v>
      </c>
      <c r="H69" t="n">
        <v>669.97</v>
      </c>
      <c r="I69" t="n">
        <v>669.97</v>
      </c>
      <c r="J69" t="n">
        <v>669.97</v>
      </c>
      <c r="K69" t="n">
        <v>720.3099999999999</v>
      </c>
      <c r="L69" t="n">
        <v>809.14</v>
      </c>
      <c r="M69" t="n">
        <v>3214.14</v>
      </c>
      <c r="N69" t="n">
        <v>3214.04</v>
      </c>
      <c r="O69" t="n">
        <v>2881.07</v>
      </c>
      <c r="P69" s="35" t="n">
        <v>3129.74</v>
      </c>
      <c r="Q69" s="35" t="n">
        <v>3866.14</v>
      </c>
      <c r="R69" s="35" t="n">
        <v>3129.74</v>
      </c>
      <c r="S69" s="35" t="n">
        <v>3129.74</v>
      </c>
      <c r="T69" s="85" t="n">
        <v>3129.74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130463.41</v>
      </c>
      <c r="E70" t="n">
        <v>128493.85</v>
      </c>
      <c r="F70" t="n">
        <v>164975.33</v>
      </c>
      <c r="G70" t="n">
        <v>149353.51</v>
      </c>
      <c r="H70" t="n">
        <v>129178.15</v>
      </c>
      <c r="I70" t="n">
        <v>98003.13000000002</v>
      </c>
      <c r="J70" t="n">
        <v>72521.37000000002</v>
      </c>
      <c r="K70" t="n">
        <v>88245.66000000002</v>
      </c>
      <c r="L70" t="n">
        <v>86654.17999999999</v>
      </c>
      <c r="M70" t="n">
        <v>66854.82999999994</v>
      </c>
      <c r="N70" t="n">
        <v>82031.44</v>
      </c>
      <c r="O70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Russian Hill (RH)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271</v>
      </c>
      <c r="E7" t="n">
        <v>10630.24</v>
      </c>
      <c r="F7" t="n">
        <v>29542.02</v>
      </c>
      <c r="G7" t="n">
        <v>33972.62</v>
      </c>
      <c r="H7" t="n">
        <v>38226.56</v>
      </c>
      <c r="I7" t="n">
        <v>40958.7</v>
      </c>
      <c r="J7" t="n">
        <v>33901.19</v>
      </c>
      <c r="K7" t="n">
        <v>35892.01</v>
      </c>
      <c r="L7" t="n">
        <v>35337.18</v>
      </c>
      <c r="M7" t="n">
        <v>37835.57</v>
      </c>
      <c r="N7" t="n">
        <v>34452</v>
      </c>
      <c r="O7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t="n">
        <v>0</v>
      </c>
      <c r="E8" t="n">
        <v>732</v>
      </c>
      <c r="F8" t="n">
        <v>2362</v>
      </c>
      <c r="G8" t="n">
        <v>2188.33</v>
      </c>
      <c r="H8" t="n">
        <v>3460</v>
      </c>
      <c r="I8" t="n">
        <v>2633.5</v>
      </c>
      <c r="J8" t="n">
        <v>3515.5</v>
      </c>
      <c r="K8" t="n">
        <v>1979</v>
      </c>
      <c r="L8" t="n">
        <v>2228.17</v>
      </c>
      <c r="M8" t="n">
        <v>2250</v>
      </c>
      <c r="N8" t="n">
        <v>2295</v>
      </c>
      <c r="O8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t="n">
        <v>0</v>
      </c>
      <c r="E9" t="n">
        <v>6368.29</v>
      </c>
      <c r="F9" t="n">
        <v>17552.29</v>
      </c>
      <c r="G9" t="n">
        <v>17518.21</v>
      </c>
      <c r="H9" t="n">
        <v>18132.15</v>
      </c>
      <c r="I9" t="n">
        <v>19927.9</v>
      </c>
      <c r="J9" t="n">
        <v>23760.04</v>
      </c>
      <c r="K9" t="n">
        <v>23569.44</v>
      </c>
      <c r="L9" t="n">
        <v>24748.67</v>
      </c>
      <c r="M9" t="n">
        <v>28887.5</v>
      </c>
      <c r="N9" t="n">
        <v>26043.88</v>
      </c>
      <c r="O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t="n">
        <v>0</v>
      </c>
      <c r="E10" t="n">
        <v>0</v>
      </c>
      <c r="F10" t="n">
        <v>0</v>
      </c>
      <c r="G10" t="n">
        <v>0</v>
      </c>
      <c r="H10" t="n">
        <v>320</v>
      </c>
      <c r="I10" t="n">
        <v>895.83</v>
      </c>
      <c r="J10" t="n">
        <v>2075.83</v>
      </c>
      <c r="K10" t="n">
        <v>1197.5</v>
      </c>
      <c r="L10" t="n">
        <v>0</v>
      </c>
      <c r="M10" t="n">
        <v>0</v>
      </c>
      <c r="N10" t="n">
        <v>0</v>
      </c>
      <c r="O10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t="n">
        <v>0</v>
      </c>
      <c r="E11" t="n">
        <v>1.07</v>
      </c>
      <c r="F11" t="n">
        <v>31.48</v>
      </c>
      <c r="G11" t="n">
        <v>21.6</v>
      </c>
      <c r="H11" t="n">
        <v>36.23</v>
      </c>
      <c r="I11" t="n">
        <v>335.49</v>
      </c>
      <c r="J11" t="n">
        <v>75.38</v>
      </c>
      <c r="K11" t="n">
        <v>84.73</v>
      </c>
      <c r="L11" t="n">
        <v>96.98999999999999</v>
      </c>
      <c r="M11" t="n">
        <v>109.26</v>
      </c>
      <c r="N11" t="n">
        <v>109.35</v>
      </c>
      <c r="O11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t="n">
        <v>0</v>
      </c>
      <c r="E12" t="n">
        <v>0</v>
      </c>
      <c r="F12" t="n">
        <v>52.54</v>
      </c>
      <c r="G12" t="n">
        <v>1318.76</v>
      </c>
      <c r="H12" t="n">
        <v>1389.69</v>
      </c>
      <c r="I12" t="n">
        <v>1132.24</v>
      </c>
      <c r="J12" t="n">
        <v>1266.22</v>
      </c>
      <c r="K12" t="n">
        <v>1450.11</v>
      </c>
      <c r="L12" t="n">
        <v>1875.71</v>
      </c>
      <c r="M12" t="n">
        <v>1523.66</v>
      </c>
      <c r="N12" t="n">
        <v>1113.88</v>
      </c>
      <c r="O12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t="n">
        <v>271</v>
      </c>
      <c r="E13" t="n">
        <v>17731.6</v>
      </c>
      <c r="F13" t="n">
        <v>49540.33</v>
      </c>
      <c r="G13" t="n">
        <v>55019.52</v>
      </c>
      <c r="H13" t="n">
        <v>61564.63</v>
      </c>
      <c r="I13" t="n">
        <v>65883.66</v>
      </c>
      <c r="J13" t="n">
        <v>64594.16</v>
      </c>
      <c r="K13" t="n">
        <v>64172.79</v>
      </c>
      <c r="L13" t="n">
        <v>64286.71999999999</v>
      </c>
      <c r="M13" t="n">
        <v>70605.99000000001</v>
      </c>
      <c r="N13" t="n">
        <v>64014.11</v>
      </c>
      <c r="O13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t="n">
        <v>441</v>
      </c>
      <c r="E14" t="n">
        <v>1214.33</v>
      </c>
      <c r="F14" t="n">
        <v>4505.3</v>
      </c>
      <c r="G14" t="n">
        <v>7182.11</v>
      </c>
      <c r="H14" t="n">
        <v>15494.36</v>
      </c>
      <c r="I14" t="n">
        <v>10148.57</v>
      </c>
      <c r="J14" t="n">
        <v>9132.299999999999</v>
      </c>
      <c r="K14" t="n">
        <v>11937.13</v>
      </c>
      <c r="L14" t="n">
        <v>18860.57</v>
      </c>
      <c r="M14" t="n">
        <v>10262.21</v>
      </c>
      <c r="N14" t="n">
        <v>14434.12</v>
      </c>
      <c r="O14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t="n">
        <v>0</v>
      </c>
      <c r="E15" t="n">
        <v>525</v>
      </c>
      <c r="F15" t="n">
        <v>1647.33</v>
      </c>
      <c r="G15" t="n">
        <v>1265</v>
      </c>
      <c r="H15" t="n">
        <v>1528.33</v>
      </c>
      <c r="I15" t="n">
        <v>665</v>
      </c>
      <c r="J15" t="n">
        <v>564</v>
      </c>
      <c r="K15" t="n">
        <v>1175</v>
      </c>
      <c r="L15" t="n">
        <v>1312.5</v>
      </c>
      <c r="M15" t="n">
        <v>810</v>
      </c>
      <c r="N15" t="n">
        <v>96.67</v>
      </c>
      <c r="O15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t="n">
        <v>441</v>
      </c>
      <c r="E17" t="n">
        <v>1739.33</v>
      </c>
      <c r="F17" t="n">
        <v>6152.63</v>
      </c>
      <c r="G17" t="n">
        <v>8447.110000000001</v>
      </c>
      <c r="H17" t="n">
        <v>17022.69</v>
      </c>
      <c r="I17" t="n">
        <v>10813.57</v>
      </c>
      <c r="J17" t="n">
        <v>9696.299999999999</v>
      </c>
      <c r="K17" t="n">
        <v>13112.13</v>
      </c>
      <c r="L17" t="n">
        <v>20173.07</v>
      </c>
      <c r="M17" t="n">
        <v>11572.21</v>
      </c>
      <c r="N17" t="n">
        <v>14530.79</v>
      </c>
      <c r="O17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t="n">
        <v>0</v>
      </c>
      <c r="E18" t="n">
        <v>1784</v>
      </c>
      <c r="F18" t="n">
        <v>2823</v>
      </c>
      <c r="G18" t="n">
        <v>3282</v>
      </c>
      <c r="H18" t="n">
        <v>2151</v>
      </c>
      <c r="I18" t="n">
        <v>6248</v>
      </c>
      <c r="J18" t="n">
        <v>2458</v>
      </c>
      <c r="K18" t="n">
        <v>2181</v>
      </c>
      <c r="L18" t="n">
        <v>2252</v>
      </c>
      <c r="M18" t="n">
        <v>2571</v>
      </c>
      <c r="N18" t="n">
        <v>2098</v>
      </c>
      <c r="O18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t="n">
        <v>0</v>
      </c>
      <c r="E19" t="n">
        <v>-291</v>
      </c>
      <c r="F19" t="n">
        <v>-924</v>
      </c>
      <c r="G19" t="n">
        <v>-1852</v>
      </c>
      <c r="H19" t="n">
        <v>-588</v>
      </c>
      <c r="I19" t="n">
        <v>-695</v>
      </c>
      <c r="J19" t="n">
        <v>-1928</v>
      </c>
      <c r="K19" t="n">
        <v>-1685</v>
      </c>
      <c r="L19" t="n">
        <v>-199</v>
      </c>
      <c r="M19" t="n">
        <v>-500</v>
      </c>
      <c r="N19" t="n">
        <v>-789.01</v>
      </c>
      <c r="O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t="n">
        <v>-141.3</v>
      </c>
      <c r="E20" t="n">
        <v>-5436.3</v>
      </c>
      <c r="F20" t="n">
        <v>-5239.7</v>
      </c>
      <c r="G20" t="n">
        <v>-4701.9</v>
      </c>
      <c r="H20" t="n">
        <v>-7959.6</v>
      </c>
      <c r="I20" t="n">
        <v>-5482.2</v>
      </c>
      <c r="J20" t="n">
        <v>-6487.7</v>
      </c>
      <c r="K20" t="n">
        <v>-7385.6</v>
      </c>
      <c r="L20" t="n">
        <v>-5246.5</v>
      </c>
      <c r="M20" t="n">
        <v>-4962.8</v>
      </c>
      <c r="N20" t="n">
        <v>-2900.6</v>
      </c>
      <c r="O20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t="n">
        <v>570.7</v>
      </c>
      <c r="E21" t="n">
        <v>15527.63</v>
      </c>
      <c r="F21" t="n">
        <v>52352.26</v>
      </c>
      <c r="G21" t="n">
        <v>60194.73</v>
      </c>
      <c r="H21" t="n">
        <v>72190.72</v>
      </c>
      <c r="I21" t="n">
        <v>76768.03000000001</v>
      </c>
      <c r="J21" t="n">
        <v>68332.76000000001</v>
      </c>
      <c r="K21" t="n">
        <v>70395.31999999999</v>
      </c>
      <c r="L21" t="n">
        <v>81266.28999999999</v>
      </c>
      <c r="M21" t="n">
        <v>79286.40000000001</v>
      </c>
      <c r="N21" t="n">
        <v>76953.28999999999</v>
      </c>
      <c r="O21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0</v>
      </c>
      <c r="E23" t="n">
        <v>786</v>
      </c>
      <c r="F23" t="n">
        <v>1294.75</v>
      </c>
      <c r="G23" t="n">
        <v>1386.75</v>
      </c>
      <c r="H23" t="n">
        <v>965.25</v>
      </c>
      <c r="I23" t="n">
        <v>2348.5</v>
      </c>
      <c r="J23" t="n">
        <v>1113</v>
      </c>
      <c r="K23" t="n">
        <v>986.25</v>
      </c>
      <c r="L23" t="n">
        <v>899</v>
      </c>
      <c r="M23" t="n">
        <v>1153.25</v>
      </c>
      <c r="N23" t="n">
        <v>966.5</v>
      </c>
      <c r="O23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218.17</v>
      </c>
      <c r="E24" t="n">
        <v>768.1900000000001</v>
      </c>
      <c r="F24" t="n">
        <v>1307.11</v>
      </c>
      <c r="G24" t="n">
        <v>2108.55</v>
      </c>
      <c r="H24" t="n">
        <v>1646.28</v>
      </c>
      <c r="I24" t="n">
        <v>1714.02</v>
      </c>
      <c r="J24" t="n">
        <v>1722.71</v>
      </c>
      <c r="K24" t="n">
        <v>2310.19</v>
      </c>
      <c r="L24" t="n">
        <v>1768.01</v>
      </c>
      <c r="M24" t="n">
        <v>1601.16</v>
      </c>
      <c r="N24" t="n">
        <v>1801.64</v>
      </c>
      <c r="O24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218.17</v>
      </c>
      <c r="E25" t="n">
        <v>1554.19</v>
      </c>
      <c r="F25" t="n">
        <v>2601.86</v>
      </c>
      <c r="G25" t="n">
        <v>3495.3</v>
      </c>
      <c r="H25" t="n">
        <v>2611.53</v>
      </c>
      <c r="I25" t="n">
        <v>4062.52</v>
      </c>
      <c r="J25" t="n">
        <v>2835.71</v>
      </c>
      <c r="K25" t="n">
        <v>3296.44</v>
      </c>
      <c r="L25" t="n">
        <v>2667.01</v>
      </c>
      <c r="M25" t="n">
        <v>2754.41</v>
      </c>
      <c r="N25" t="n">
        <v>2768.14</v>
      </c>
      <c r="O2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352.5300000000001</v>
      </c>
      <c r="E26" t="n">
        <v>13973.44</v>
      </c>
      <c r="F26" t="n">
        <v>49750.4</v>
      </c>
      <c r="G26" t="n">
        <v>56699.43</v>
      </c>
      <c r="H26" t="n">
        <v>69579.19</v>
      </c>
      <c r="I26" t="n">
        <v>72705.51000000001</v>
      </c>
      <c r="J26" t="n">
        <v>65497.05000000001</v>
      </c>
      <c r="K26" t="n">
        <v>67098.87999999999</v>
      </c>
      <c r="L26" t="n">
        <v>78599.28</v>
      </c>
      <c r="M26" t="n">
        <v>76531.99000000001</v>
      </c>
      <c r="N26" t="n">
        <v>74185.14999999999</v>
      </c>
      <c r="O26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2237.32</v>
      </c>
      <c r="E28" t="n">
        <v>3903.63</v>
      </c>
      <c r="F28" t="n">
        <v>5460.79</v>
      </c>
      <c r="G28" t="n">
        <v>4535.14</v>
      </c>
      <c r="H28" t="n">
        <v>5051.01</v>
      </c>
      <c r="I28" t="n">
        <v>5177.1</v>
      </c>
      <c r="J28" t="n">
        <v>2566.3</v>
      </c>
      <c r="K28" t="n">
        <v>2616.38</v>
      </c>
      <c r="L28" t="n">
        <v>1443.61</v>
      </c>
      <c r="M28" t="n">
        <v>1431.07</v>
      </c>
      <c r="N28" t="n">
        <v>2961.52</v>
      </c>
      <c r="O28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167.69</v>
      </c>
      <c r="E30" t="n">
        <v>0</v>
      </c>
      <c r="F30" t="n">
        <v>0</v>
      </c>
      <c r="G30" t="n">
        <v>1250</v>
      </c>
      <c r="H30" t="n">
        <v>233.64</v>
      </c>
      <c r="I30" t="n">
        <v>0</v>
      </c>
      <c r="J30" t="n">
        <v>0</v>
      </c>
      <c r="K30" t="n">
        <v>53.77</v>
      </c>
      <c r="L30" t="n">
        <v>0</v>
      </c>
      <c r="M30" t="n">
        <v>0</v>
      </c>
      <c r="N30" t="n">
        <v>0</v>
      </c>
      <c r="O30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2405.01</v>
      </c>
      <c r="E33" t="n">
        <v>3903.63</v>
      </c>
      <c r="F33" t="n">
        <v>5460.79</v>
      </c>
      <c r="G33" t="n">
        <v>5785.14</v>
      </c>
      <c r="H33" t="n">
        <v>5284.650000000001</v>
      </c>
      <c r="I33" t="n">
        <v>5177.1</v>
      </c>
      <c r="J33" t="n">
        <v>2566.3</v>
      </c>
      <c r="K33" t="n">
        <v>2670.15</v>
      </c>
      <c r="L33" t="n">
        <v>1443.61</v>
      </c>
      <c r="M33" t="n">
        <v>1431.07</v>
      </c>
      <c r="N33" t="n">
        <v>2961.52</v>
      </c>
      <c r="O33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14416.61</v>
      </c>
      <c r="E34" t="n">
        <v>23414.83</v>
      </c>
      <c r="F34" t="n">
        <v>27532.36</v>
      </c>
      <c r="G34" t="n">
        <v>25779.65</v>
      </c>
      <c r="H34" t="n">
        <v>33773.74</v>
      </c>
      <c r="I34" t="n">
        <v>30440.53</v>
      </c>
      <c r="J34" t="n">
        <v>32556.12</v>
      </c>
      <c r="K34" t="n">
        <v>33022.65</v>
      </c>
      <c r="L34" t="n">
        <v>34124.43</v>
      </c>
      <c r="M34" t="n">
        <v>36305.58</v>
      </c>
      <c r="N34" t="n">
        <v>35456.06</v>
      </c>
      <c r="O34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t="n">
        <v>1635.07</v>
      </c>
      <c r="E35" t="n">
        <v>2484.08</v>
      </c>
      <c r="F35" t="n">
        <v>3416.27</v>
      </c>
      <c r="G35" t="n">
        <v>3196.86</v>
      </c>
      <c r="H35" t="n">
        <v>3908.34</v>
      </c>
      <c r="I35" t="n">
        <v>3588.65</v>
      </c>
      <c r="J35" t="n">
        <v>3782.5</v>
      </c>
      <c r="K35" t="n">
        <v>3705.71</v>
      </c>
      <c r="L35" t="n">
        <v>3606.75</v>
      </c>
      <c r="M35" t="n">
        <v>3914.62</v>
      </c>
      <c r="N35" t="n">
        <v>3933.01</v>
      </c>
      <c r="O35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t="n">
        <v>0</v>
      </c>
      <c r="E36" t="n">
        <v>-58.72</v>
      </c>
      <c r="F36" t="n">
        <v>-435.19</v>
      </c>
      <c r="G36" t="n">
        <v>-100.61</v>
      </c>
      <c r="H36" t="n">
        <v>-77.18000000000001</v>
      </c>
      <c r="I36" t="n">
        <v>375.23</v>
      </c>
      <c r="J36" t="n">
        <v>453.95</v>
      </c>
      <c r="K36" t="n">
        <v>514.95</v>
      </c>
      <c r="L36" t="n">
        <v>930.95</v>
      </c>
      <c r="M36" t="n">
        <v>507.56</v>
      </c>
      <c r="N36" t="n">
        <v>181.33</v>
      </c>
      <c r="O36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t="n">
        <v>287.52</v>
      </c>
      <c r="E37" t="n">
        <v>241.2</v>
      </c>
      <c r="F37" t="n">
        <v>270</v>
      </c>
      <c r="G37" t="n">
        <v>284.4</v>
      </c>
      <c r="H37" t="n">
        <v>284.4</v>
      </c>
      <c r="I37" t="n">
        <v>307.44</v>
      </c>
      <c r="J37" t="n">
        <v>290.16</v>
      </c>
      <c r="K37" t="n">
        <v>461.16</v>
      </c>
      <c r="L37" t="n">
        <v>324.72</v>
      </c>
      <c r="M37" t="n">
        <v>324.72</v>
      </c>
      <c r="N37" t="n">
        <v>327.6</v>
      </c>
      <c r="O37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t="n">
        <v>16472.41</v>
      </c>
      <c r="E38" t="n">
        <v>28760.39</v>
      </c>
      <c r="F38" t="n">
        <v>38078.95999999999</v>
      </c>
      <c r="G38" t="n">
        <v>36352.9</v>
      </c>
      <c r="H38" t="n">
        <v>45804.82000000001</v>
      </c>
      <c r="I38" t="n">
        <v>42141.91</v>
      </c>
      <c r="J38" t="n">
        <v>45065.03000000001</v>
      </c>
      <c r="K38" t="n">
        <v>45138.34</v>
      </c>
      <c r="L38" t="n">
        <v>45932.79</v>
      </c>
      <c r="M38" t="n">
        <v>49501.47</v>
      </c>
      <c r="N38" t="n">
        <v>47583.18</v>
      </c>
      <c r="O38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593.29</v>
      </c>
      <c r="E39" t="n">
        <v>610.28</v>
      </c>
      <c r="F39" t="n">
        <v>593.29</v>
      </c>
      <c r="G39" t="n">
        <v>1223.29</v>
      </c>
      <c r="H39" t="n">
        <v>1243</v>
      </c>
      <c r="I39" t="n">
        <v>545.5</v>
      </c>
      <c r="J39" t="n">
        <v>821.99</v>
      </c>
      <c r="K39" t="n">
        <v>1846.77</v>
      </c>
      <c r="L39" t="n">
        <v>725.99</v>
      </c>
      <c r="M39" t="n">
        <v>835.08</v>
      </c>
      <c r="N39" t="n">
        <v>897.76</v>
      </c>
      <c r="O3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t="n">
        <v>286.23</v>
      </c>
      <c r="E40" t="n">
        <v>286.23</v>
      </c>
      <c r="F40" t="n">
        <v>286.23</v>
      </c>
      <c r="G40" t="n">
        <v>286.23</v>
      </c>
      <c r="H40" t="n">
        <v>286.23</v>
      </c>
      <c r="I40" t="n">
        <v>286.23</v>
      </c>
      <c r="J40" t="n">
        <v>286.23</v>
      </c>
      <c r="K40" t="n">
        <v>286.23</v>
      </c>
      <c r="L40" t="n">
        <v>286.23</v>
      </c>
      <c r="M40" t="n">
        <v>410.11</v>
      </c>
      <c r="N40" t="n">
        <v>410.11</v>
      </c>
      <c r="O40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0</v>
      </c>
      <c r="E44" t="n">
        <v>0</v>
      </c>
      <c r="F44" t="n">
        <v>0</v>
      </c>
      <c r="G44" t="n">
        <v>0</v>
      </c>
      <c r="H44" t="n">
        <v>1250</v>
      </c>
      <c r="I44" t="n">
        <v>0</v>
      </c>
      <c r="J44" t="n">
        <v>0</v>
      </c>
      <c r="K44" t="n">
        <v>1306.25</v>
      </c>
      <c r="L44" t="n">
        <v>0</v>
      </c>
      <c r="M44" t="n">
        <v>0</v>
      </c>
      <c r="N44" t="n">
        <v>154.54</v>
      </c>
      <c r="O44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600</v>
      </c>
      <c r="G46" t="n">
        <v>0</v>
      </c>
      <c r="H46" t="n">
        <v>750</v>
      </c>
      <c r="I46" t="n">
        <v>0</v>
      </c>
      <c r="J46" t="n">
        <v>479.1</v>
      </c>
      <c r="K46" t="n">
        <v>479.1</v>
      </c>
      <c r="L46" t="n">
        <v>1561.44</v>
      </c>
      <c r="M46" t="n">
        <v>481</v>
      </c>
      <c r="N46" t="n">
        <v>2194.86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t="n">
        <v>0</v>
      </c>
      <c r="E47" t="n">
        <v>0</v>
      </c>
      <c r="F47" t="n">
        <v>600</v>
      </c>
      <c r="G47" t="n">
        <v>0</v>
      </c>
      <c r="H47" t="n">
        <v>2000</v>
      </c>
      <c r="I47" t="n">
        <v>0</v>
      </c>
      <c r="J47" t="n">
        <v>479.1</v>
      </c>
      <c r="K47" t="n">
        <v>1785.35</v>
      </c>
      <c r="L47" t="n">
        <v>1561.44</v>
      </c>
      <c r="M47" t="n">
        <v>481</v>
      </c>
      <c r="N47" t="n">
        <v>2349.4</v>
      </c>
      <c r="O47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t="n">
        <v>0</v>
      </c>
      <c r="E49" t="n">
        <v>1014.51</v>
      </c>
      <c r="F49" t="n">
        <v>528.79</v>
      </c>
      <c r="G49" t="n">
        <v>122.82</v>
      </c>
      <c r="H49" t="n">
        <v>10.61</v>
      </c>
      <c r="I49" t="n">
        <v>20.86</v>
      </c>
      <c r="J49" t="n">
        <v>98.34</v>
      </c>
      <c r="K49" t="n">
        <v>56.55</v>
      </c>
      <c r="L49" t="n">
        <v>113.76</v>
      </c>
      <c r="M49" t="n">
        <v>93.73</v>
      </c>
      <c r="N49" t="n">
        <v>13.08</v>
      </c>
      <c r="O4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0</v>
      </c>
      <c r="E51" t="n">
        <v>51.55</v>
      </c>
      <c r="F51" t="n">
        <v>578.36</v>
      </c>
      <c r="G51" t="n">
        <v>601.12</v>
      </c>
      <c r="H51" t="n">
        <v>327.54</v>
      </c>
      <c r="I51" t="n">
        <v>329.37</v>
      </c>
      <c r="J51" t="n">
        <v>333.85</v>
      </c>
      <c r="K51" t="n">
        <v>411.25</v>
      </c>
      <c r="L51" t="n">
        <v>425.71</v>
      </c>
      <c r="M51" t="n">
        <v>623.85</v>
      </c>
      <c r="N51" t="n">
        <v>620.1799999999999</v>
      </c>
      <c r="O51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111.69</v>
      </c>
      <c r="J53" t="n">
        <v>111.69</v>
      </c>
      <c r="K53" t="n">
        <v>111.69</v>
      </c>
      <c r="L53" t="n">
        <v>111.69</v>
      </c>
      <c r="M53" t="n">
        <v>111.69</v>
      </c>
      <c r="N53" t="n">
        <v>111.7</v>
      </c>
      <c r="O53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t="n">
        <v>55.86</v>
      </c>
      <c r="E54" t="n">
        <v>0</v>
      </c>
      <c r="F54" t="n">
        <v>82.5</v>
      </c>
      <c r="G54" t="n">
        <v>144.5</v>
      </c>
      <c r="H54" t="n">
        <v>79.84999999999999</v>
      </c>
      <c r="I54" t="n">
        <v>79.84</v>
      </c>
      <c r="J54" t="n">
        <v>79.84999999999999</v>
      </c>
      <c r="K54" t="n">
        <v>119.11</v>
      </c>
      <c r="L54" t="n">
        <v>210.02</v>
      </c>
      <c r="M54" t="n">
        <v>219.66</v>
      </c>
      <c r="N54" t="n">
        <v>204.02</v>
      </c>
      <c r="O54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t="n">
        <v>0</v>
      </c>
      <c r="E55" t="n">
        <v>425</v>
      </c>
      <c r="F55" t="n">
        <v>15</v>
      </c>
      <c r="G55" t="n">
        <v>0</v>
      </c>
      <c r="H55" t="n">
        <v>0</v>
      </c>
      <c r="I55" t="n">
        <v>276.78</v>
      </c>
      <c r="J55" t="n">
        <v>90.8</v>
      </c>
      <c r="K55" t="n">
        <v>90.8</v>
      </c>
      <c r="L55" t="n">
        <v>90.8</v>
      </c>
      <c r="M55" t="n">
        <v>258.52</v>
      </c>
      <c r="N55" t="n">
        <v>204.1</v>
      </c>
      <c r="O55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t="n">
        <v>55.86</v>
      </c>
      <c r="E56" t="n">
        <v>576.55</v>
      </c>
      <c r="F56" t="n">
        <v>675.86</v>
      </c>
      <c r="G56" t="n">
        <v>745.62</v>
      </c>
      <c r="H56" t="n">
        <v>407.39</v>
      </c>
      <c r="I56" t="n">
        <v>797.6799999999999</v>
      </c>
      <c r="J56" t="n">
        <v>616.1899999999999</v>
      </c>
      <c r="K56" t="n">
        <v>732.85</v>
      </c>
      <c r="L56" t="n">
        <v>838.2199999999999</v>
      </c>
      <c r="M56" t="n">
        <v>1213.72</v>
      </c>
      <c r="N56" t="n">
        <v>1140</v>
      </c>
      <c r="O56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9241.09</v>
      </c>
      <c r="E57" t="n">
        <v>9241.09</v>
      </c>
      <c r="F57" t="n">
        <v>9241.09</v>
      </c>
      <c r="G57" t="n">
        <v>9241.09</v>
      </c>
      <c r="H57" t="n">
        <v>9241.09</v>
      </c>
      <c r="I57" t="n">
        <v>9241.09</v>
      </c>
      <c r="J57" t="n">
        <v>9241.09</v>
      </c>
      <c r="K57" t="n">
        <v>9241.09</v>
      </c>
      <c r="L57" t="n">
        <v>9241.09</v>
      </c>
      <c r="M57" t="n">
        <v>9241.09</v>
      </c>
      <c r="N57" t="n">
        <v>9241.09</v>
      </c>
      <c r="O57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t="n">
        <v>314.93</v>
      </c>
      <c r="E58" t="n">
        <v>0</v>
      </c>
      <c r="F58" t="n">
        <v>139.05</v>
      </c>
      <c r="G58" t="n">
        <v>150</v>
      </c>
      <c r="H58" t="n">
        <v>0</v>
      </c>
      <c r="I58" t="n">
        <v>0</v>
      </c>
      <c r="J58" t="n">
        <v>150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121.44</v>
      </c>
      <c r="J59" t="n">
        <v>163.26</v>
      </c>
      <c r="K59" t="n">
        <v>134.12</v>
      </c>
      <c r="L59" t="n">
        <v>0</v>
      </c>
      <c r="M59" t="n">
        <v>0</v>
      </c>
      <c r="N59" t="n">
        <v>358.19</v>
      </c>
      <c r="O5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t="n">
        <v>9556.02</v>
      </c>
      <c r="E61" t="n">
        <v>9760.309999999999</v>
      </c>
      <c r="F61" t="n">
        <v>9640.139999999999</v>
      </c>
      <c r="G61" t="n">
        <v>9525.940000000001</v>
      </c>
      <c r="H61" t="n">
        <v>9291.08</v>
      </c>
      <c r="I61" t="n">
        <v>9362.530000000001</v>
      </c>
      <c r="J61" t="n">
        <v>9554.35</v>
      </c>
      <c r="K61" t="n">
        <v>9375.209999999999</v>
      </c>
      <c r="L61" t="n">
        <v>9664.09</v>
      </c>
      <c r="M61" t="n">
        <v>9241.09</v>
      </c>
      <c r="N61" t="n">
        <v>9599.280000000001</v>
      </c>
      <c r="O61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30083.98</v>
      </c>
      <c r="E62" t="n">
        <v>50452.71000000001</v>
      </c>
      <c r="F62" t="n">
        <v>59006.35</v>
      </c>
      <c r="G62" t="n">
        <v>57596.11000000001</v>
      </c>
      <c r="H62" t="n">
        <v>65880.51000000001</v>
      </c>
      <c r="I62" t="n">
        <v>59913.13</v>
      </c>
      <c r="J62" t="n">
        <v>61447.35000000001</v>
      </c>
      <c r="K62" t="n">
        <v>63909.04</v>
      </c>
      <c r="L62" t="n">
        <v>62408.84000000001</v>
      </c>
      <c r="M62" t="n">
        <v>64961.23000000001</v>
      </c>
      <c r="N62" t="n">
        <v>66684.20000000001</v>
      </c>
      <c r="O62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-29731.45</v>
      </c>
      <c r="E63" t="n">
        <v>-36479.27</v>
      </c>
      <c r="F63" t="n">
        <v>-9255.949999999995</v>
      </c>
      <c r="G63" t="n">
        <v>-896.6800000000076</v>
      </c>
      <c r="H63" t="n">
        <v>3698.679999999993</v>
      </c>
      <c r="I63" t="n">
        <v>12792.38</v>
      </c>
      <c r="J63" t="n">
        <v>4049.700000000005</v>
      </c>
      <c r="K63" t="n">
        <v>3189.839999999989</v>
      </c>
      <c r="L63" t="n">
        <v>16190.43999999999</v>
      </c>
      <c r="M63" t="n">
        <v>11570.76</v>
      </c>
      <c r="N63" t="n">
        <v>7500.949999999983</v>
      </c>
      <c r="O63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0</v>
      </c>
      <c r="E65" t="n">
        <v>2222.08</v>
      </c>
      <c r="F65" t="n">
        <v>2272.52</v>
      </c>
      <c r="G65" t="n">
        <v>2278.09</v>
      </c>
      <c r="H65" t="n">
        <v>2374.86</v>
      </c>
      <c r="I65" t="n">
        <v>2374.86</v>
      </c>
      <c r="J65" t="n">
        <v>2402.5</v>
      </c>
      <c r="K65" t="n">
        <v>2402.5</v>
      </c>
      <c r="L65" t="n">
        <v>2402.5</v>
      </c>
      <c r="M65" t="n">
        <v>2433.63</v>
      </c>
      <c r="N65" t="n">
        <v>2433.63</v>
      </c>
      <c r="O65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>
        <f>U69*1.102403</f>
        <v/>
      </c>
      <c r="V65" s="20">
        <f>V69*1.102403</f>
        <v/>
      </c>
      <c r="W65" s="20">
        <f>W69*1.102403</f>
        <v/>
      </c>
      <c r="X65" s="20">
        <f>X69*1.102403</f>
        <v/>
      </c>
      <c r="Y65" s="20">
        <f>Y69*1.102403</f>
        <v/>
      </c>
      <c r="Z65" s="20">
        <f>Z69*1.102403</f>
        <v/>
      </c>
      <c r="AA65" s="20">
        <f>AA69*1.102403</f>
        <v/>
      </c>
      <c r="AB65" s="20">
        <f>AB69*1.102403</f>
        <v/>
      </c>
      <c r="AC65" s="20">
        <f>AC69*1.102403</f>
        <v/>
      </c>
      <c r="AD65" s="20">
        <f>AD69*1.102403</f>
        <v/>
      </c>
      <c r="AE65" s="20">
        <f>AE69*1.102403</f>
        <v/>
      </c>
      <c r="AF65" s="20">
        <f>AF69*1.102403</f>
        <v/>
      </c>
      <c r="AG65" s="20">
        <f>AG69*1.102403</f>
        <v/>
      </c>
      <c r="AH65" s="20">
        <f>AH69*1.102403</f>
        <v/>
      </c>
      <c r="AI65" s="20">
        <f>AI69*1.102403</f>
        <v/>
      </c>
      <c r="AJ65" s="20">
        <f>AJ69*1.102403</f>
        <v/>
      </c>
      <c r="AK65" s="20">
        <f>AK69*1.102403</f>
        <v/>
      </c>
      <c r="AL65" s="20">
        <f>AL69*1.102403</f>
        <v/>
      </c>
      <c r="AM65" s="20">
        <f>AM69*1.102403</f>
        <v/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>
        <f>U69*0.056829</f>
        <v/>
      </c>
      <c r="V67" s="20">
        <f>V69*0.056829</f>
        <v/>
      </c>
      <c r="W67" s="20">
        <f>W69*0.056829</f>
        <v/>
      </c>
      <c r="X67" s="20">
        <f>X69*0.056829</f>
        <v/>
      </c>
      <c r="Y67" s="20">
        <f>Y69*0.056829</f>
        <v/>
      </c>
      <c r="Z67" s="20">
        <f>Z69*0.056829</f>
        <v/>
      </c>
      <c r="AA67" s="20">
        <f>AA69*0.056829</f>
        <v/>
      </c>
      <c r="AB67" s="20">
        <f>AB69*0.056829</f>
        <v/>
      </c>
      <c r="AC67" s="20">
        <f>AC69*0.056829</f>
        <v/>
      </c>
      <c r="AD67" s="20">
        <f>AD69*0.056829</f>
        <v/>
      </c>
      <c r="AE67" s="20">
        <f>AE69*0.056829</f>
        <v/>
      </c>
      <c r="AF67" s="20">
        <f>AF69*0.056829</f>
        <v/>
      </c>
      <c r="AG67" s="20">
        <f>AG69*0.056829</f>
        <v/>
      </c>
      <c r="AH67" s="20">
        <f>AH69*0.056829</f>
        <v/>
      </c>
      <c r="AI67" s="20">
        <f>AI69*0.056829</f>
        <v/>
      </c>
      <c r="AJ67" s="20">
        <f>AJ69*0.056829</f>
        <v/>
      </c>
      <c r="AK67" s="20">
        <f>AK69*0.056829</f>
        <v/>
      </c>
      <c r="AL67" s="20">
        <f>AL69*0.056829</f>
        <v/>
      </c>
      <c r="AM67" s="20">
        <f>AM69*0.056829</f>
        <v/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0</v>
      </c>
      <c r="E69" t="n">
        <v>2222.08</v>
      </c>
      <c r="F69" t="n">
        <v>2272.52</v>
      </c>
      <c r="G69" t="n">
        <v>2278.09</v>
      </c>
      <c r="H69" t="n">
        <v>2374.86</v>
      </c>
      <c r="I69" t="n">
        <v>2374.86</v>
      </c>
      <c r="J69" t="n">
        <v>2402.5</v>
      </c>
      <c r="K69" t="n">
        <v>2402.5</v>
      </c>
      <c r="L69" t="n">
        <v>2402.5</v>
      </c>
      <c r="M69" t="n">
        <v>2433.63</v>
      </c>
      <c r="N69" t="n">
        <v>2433.63</v>
      </c>
      <c r="O69" t="n">
        <v>8606.440000000001</v>
      </c>
      <c r="P69" s="35" t="n">
        <v>2812.47</v>
      </c>
      <c r="Q69" s="35" t="n">
        <v>3392.4</v>
      </c>
      <c r="R69" s="35" t="n">
        <v>2812.47</v>
      </c>
      <c r="S69" s="35" t="n">
        <v>-1187.53</v>
      </c>
      <c r="T69" s="85" t="n">
        <v>2812.47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-29731.45</v>
      </c>
      <c r="E70" t="n">
        <v>-38701.35000000001</v>
      </c>
      <c r="F70" t="n">
        <v>-11528.47</v>
      </c>
      <c r="G70" t="n">
        <v>-3174.770000000008</v>
      </c>
      <c r="H70" t="n">
        <v>1323.819999999993</v>
      </c>
      <c r="I70" t="n">
        <v>10417.52</v>
      </c>
      <c r="J70" t="n">
        <v>1647.200000000004</v>
      </c>
      <c r="K70" t="n">
        <v>787.3399999999892</v>
      </c>
      <c r="L70" t="n">
        <v>13787.93999999999</v>
      </c>
      <c r="M70" t="n">
        <v>9137.129999999994</v>
      </c>
      <c r="N70" t="n">
        <v>5067.319999999982</v>
      </c>
      <c r="O70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Santa Barbara (SB)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4306.67</v>
      </c>
      <c r="O7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420</v>
      </c>
      <c r="O8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2731.9</v>
      </c>
      <c r="O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7458.57</v>
      </c>
      <c r="O13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271</v>
      </c>
      <c r="O14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271</v>
      </c>
      <c r="O17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1197</v>
      </c>
      <c r="O18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-5633.6</v>
      </c>
      <c r="O20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3292.969999999999</v>
      </c>
      <c r="O21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608.5</v>
      </c>
      <c r="O23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28.72</v>
      </c>
      <c r="N24" t="n">
        <v>326.76</v>
      </c>
      <c r="O24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28.72</v>
      </c>
      <c r="N25" t="n">
        <v>935.26</v>
      </c>
      <c r="O2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-28.72</v>
      </c>
      <c r="N26" t="n">
        <v>2357.709999999999</v>
      </c>
      <c r="O26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720.71</v>
      </c>
      <c r="N28" t="n">
        <v>3133.53</v>
      </c>
      <c r="O28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720.71</v>
      </c>
      <c r="N33" t="n">
        <v>3133.53</v>
      </c>
      <c r="O33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3018.56</v>
      </c>
      <c r="N34" t="n">
        <v>18465.6</v>
      </c>
      <c r="O34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260.7</v>
      </c>
      <c r="N35" t="n">
        <v>1817.19</v>
      </c>
      <c r="O35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240</v>
      </c>
      <c r="O36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3279.26</v>
      </c>
      <c r="N38" t="n">
        <v>20522.79</v>
      </c>
      <c r="O38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1121.62</v>
      </c>
      <c r="N39" t="n">
        <v>734.0599999999999</v>
      </c>
      <c r="O3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1400</v>
      </c>
      <c r="N46" t="n">
        <v>0</v>
      </c>
      <c r="O46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1400</v>
      </c>
      <c r="N47" t="n">
        <v>0</v>
      </c>
      <c r="O47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1634.81</v>
      </c>
      <c r="O4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1048.75</v>
      </c>
      <c r="O51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1048.75</v>
      </c>
      <c r="O56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9580.110000000001</v>
      </c>
      <c r="L57" t="n">
        <v>9580.110000000001</v>
      </c>
      <c r="M57" t="n">
        <v>9580.110000000001</v>
      </c>
      <c r="N57" t="n">
        <v>9580.110000000001</v>
      </c>
      <c r="O57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276.86</v>
      </c>
      <c r="L59" t="n">
        <v>0</v>
      </c>
      <c r="M59" t="n">
        <v>129.5</v>
      </c>
      <c r="N59" t="n">
        <v>1357.96</v>
      </c>
      <c r="O5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580</v>
      </c>
      <c r="M60" t="n">
        <v>580</v>
      </c>
      <c r="N60" t="n">
        <v>1480</v>
      </c>
      <c r="O60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9856.969999999999</v>
      </c>
      <c r="L61" t="n">
        <v>10160.11</v>
      </c>
      <c r="M61" t="n">
        <v>10289.61</v>
      </c>
      <c r="N61" t="n">
        <v>21144.15</v>
      </c>
      <c r="O61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11875.72</v>
      </c>
      <c r="L62" t="n">
        <v>10160.11</v>
      </c>
      <c r="M62" t="n">
        <v>23932.64</v>
      </c>
      <c r="N62" t="n">
        <v>66186.74999999999</v>
      </c>
      <c r="O62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-11875.72</v>
      </c>
      <c r="L63" t="n">
        <v>-10160.11</v>
      </c>
      <c r="M63" t="n">
        <v>-23961.36</v>
      </c>
      <c r="N63" t="n">
        <v>-63829.03999999999</v>
      </c>
      <c r="O63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30.06</v>
      </c>
      <c r="L65" t="n">
        <v>28.29</v>
      </c>
      <c r="M65" t="n">
        <v>1226.85</v>
      </c>
      <c r="N65" t="n">
        <v>1989.31</v>
      </c>
      <c r="O65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>
        <f>U69*0.98922</f>
        <v/>
      </c>
      <c r="V65" s="20">
        <f>V69*0.98922</f>
        <v/>
      </c>
      <c r="W65" s="20">
        <f>W69*0.98922</f>
        <v/>
      </c>
      <c r="X65" s="20">
        <f>X69*0.98922</f>
        <v/>
      </c>
      <c r="Y65" s="20">
        <f>Y69*0.98922</f>
        <v/>
      </c>
      <c r="Z65" s="20">
        <f>Z69*0.98922</f>
        <v/>
      </c>
      <c r="AA65" s="20">
        <f>AA69*0.98922</f>
        <v/>
      </c>
      <c r="AB65" s="20">
        <f>AB69*0.98922</f>
        <v/>
      </c>
      <c r="AC65" s="20">
        <f>AC69*0.98922</f>
        <v/>
      </c>
      <c r="AD65" s="20">
        <f>AD69*0.98922</f>
        <v/>
      </c>
      <c r="AE65" s="20">
        <f>AE69*0.98922</f>
        <v/>
      </c>
      <c r="AF65" s="20">
        <f>AF69*0.98922</f>
        <v/>
      </c>
      <c r="AG65" s="20">
        <f>AG69*0.98922</f>
        <v/>
      </c>
      <c r="AH65" s="20">
        <f>AH69*0.98922</f>
        <v/>
      </c>
      <c r="AI65" s="20">
        <f>AI69*0.98922</f>
        <v/>
      </c>
      <c r="AJ65" s="20">
        <f>AJ69*0.98922</f>
        <v/>
      </c>
      <c r="AK65" s="20">
        <f>AK69*0.98922</f>
        <v/>
      </c>
      <c r="AL65" s="20">
        <f>AL69*0.98922</f>
        <v/>
      </c>
      <c r="AM65" s="20">
        <f>AM69*0.98922</f>
        <v/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>
        <f>U69*0.01078</f>
        <v/>
      </c>
      <c r="V67" s="20">
        <f>V69*0.01078</f>
        <v/>
      </c>
      <c r="W67" s="20">
        <f>W69*0.01078</f>
        <v/>
      </c>
      <c r="X67" s="20">
        <f>X69*0.01078</f>
        <v/>
      </c>
      <c r="Y67" s="20">
        <f>Y69*0.01078</f>
        <v/>
      </c>
      <c r="Z67" s="20">
        <f>Z69*0.01078</f>
        <v/>
      </c>
      <c r="AA67" s="20">
        <f>AA69*0.01078</f>
        <v/>
      </c>
      <c r="AB67" s="20">
        <f>AB69*0.01078</f>
        <v/>
      </c>
      <c r="AC67" s="20">
        <f>AC69*0.01078</f>
        <v/>
      </c>
      <c r="AD67" s="20">
        <f>AD69*0.01078</f>
        <v/>
      </c>
      <c r="AE67" s="20">
        <f>AE69*0.01078</f>
        <v/>
      </c>
      <c r="AF67" s="20">
        <f>AF69*0.01078</f>
        <v/>
      </c>
      <c r="AG67" s="20">
        <f>AG69*0.01078</f>
        <v/>
      </c>
      <c r="AH67" s="20">
        <f>AH69*0.01078</f>
        <v/>
      </c>
      <c r="AI67" s="20">
        <f>AI69*0.01078</f>
        <v/>
      </c>
      <c r="AJ67" s="20">
        <f>AJ69*0.01078</f>
        <v/>
      </c>
      <c r="AK67" s="20">
        <f>AK69*0.01078</f>
        <v/>
      </c>
      <c r="AL67" s="20">
        <f>AL69*0.01078</f>
        <v/>
      </c>
      <c r="AM67" s="20">
        <f>AM69*0.01078</f>
        <v/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30.06</v>
      </c>
      <c r="L69" t="n">
        <v>28.29</v>
      </c>
      <c r="M69" t="n">
        <v>1226.85</v>
      </c>
      <c r="N69" t="n">
        <v>1989.31</v>
      </c>
      <c r="O69" t="n">
        <v>3449.56</v>
      </c>
      <c r="P69" s="35" t="n">
        <v>2506.58</v>
      </c>
      <c r="Q69" s="35" t="n">
        <v>2592.41</v>
      </c>
      <c r="R69" s="35" t="n">
        <v>2483.89</v>
      </c>
      <c r="S69" s="35" t="n">
        <v>2483.89</v>
      </c>
      <c r="T69" s="85" t="n">
        <v>2483.89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-11905.78</v>
      </c>
      <c r="L70" t="n">
        <v>-10188.4</v>
      </c>
      <c r="M70" t="n">
        <v>-25188.21</v>
      </c>
      <c r="N70" t="n">
        <v>-65818.34999999999</v>
      </c>
      <c r="O70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Santa Monica (SM)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63861.73</v>
      </c>
      <c r="E7" t="n">
        <v>88519.98</v>
      </c>
      <c r="F7" t="n">
        <v>116011.96</v>
      </c>
      <c r="G7" t="n">
        <v>113833.57</v>
      </c>
      <c r="H7" t="n">
        <v>124274.42</v>
      </c>
      <c r="I7" t="n">
        <v>112730.42</v>
      </c>
      <c r="J7" t="n">
        <v>114836.51</v>
      </c>
      <c r="K7" t="n">
        <v>111118.52</v>
      </c>
      <c r="L7" t="n">
        <v>103318.27</v>
      </c>
      <c r="M7" t="n">
        <v>102927.2</v>
      </c>
      <c r="N7" t="n">
        <v>97463.25</v>
      </c>
      <c r="O7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t="n">
        <v>10900.55</v>
      </c>
      <c r="E8" t="n">
        <v>17202.29</v>
      </c>
      <c r="F8" t="n">
        <v>21696.15</v>
      </c>
      <c r="G8" t="n">
        <v>24598.8</v>
      </c>
      <c r="H8" t="n">
        <v>27490.19</v>
      </c>
      <c r="I8" t="n">
        <v>23870.59</v>
      </c>
      <c r="J8" t="n">
        <v>28434.63</v>
      </c>
      <c r="K8" t="n">
        <v>24879.75</v>
      </c>
      <c r="L8" t="n">
        <v>25947.49</v>
      </c>
      <c r="M8" t="n">
        <v>25431.67</v>
      </c>
      <c r="N8" t="n">
        <v>21504.27</v>
      </c>
      <c r="O8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t="n">
        <v>20534.79</v>
      </c>
      <c r="E9" t="n">
        <v>22835.1</v>
      </c>
      <c r="F9" t="n">
        <v>23993.39</v>
      </c>
      <c r="G9" t="n">
        <v>22401.08</v>
      </c>
      <c r="H9" t="n">
        <v>21566.27</v>
      </c>
      <c r="I9" t="n">
        <v>20792.19</v>
      </c>
      <c r="J9" t="n">
        <v>21919.17</v>
      </c>
      <c r="K9" t="n">
        <v>22205.14</v>
      </c>
      <c r="L9" t="n">
        <v>21434.06</v>
      </c>
      <c r="M9" t="n">
        <v>20869.61</v>
      </c>
      <c r="N9" t="n">
        <v>21268.78</v>
      </c>
      <c r="O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t="n">
        <v>3815</v>
      </c>
      <c r="E10" t="n">
        <v>6750</v>
      </c>
      <c r="F10" t="n">
        <v>21687.25</v>
      </c>
      <c r="G10" t="n">
        <v>6557.08</v>
      </c>
      <c r="H10" t="n">
        <v>6727.68</v>
      </c>
      <c r="I10" t="n">
        <v>6112.5</v>
      </c>
      <c r="J10" t="n">
        <v>6669.64</v>
      </c>
      <c r="K10" t="n">
        <v>5387.02</v>
      </c>
      <c r="L10" t="n">
        <v>7395.6</v>
      </c>
      <c r="M10" t="n">
        <v>3674.17</v>
      </c>
      <c r="N10" t="n">
        <v>2940</v>
      </c>
      <c r="O10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t="n">
        <v>343.6</v>
      </c>
      <c r="E11" t="n">
        <v>441.6</v>
      </c>
      <c r="F11" t="n">
        <v>1813</v>
      </c>
      <c r="G11" t="n">
        <v>516.37</v>
      </c>
      <c r="H11" t="n">
        <v>401.5</v>
      </c>
      <c r="I11" t="n">
        <v>1599.73</v>
      </c>
      <c r="J11" t="n">
        <v>250.5</v>
      </c>
      <c r="K11" t="n">
        <v>147.5</v>
      </c>
      <c r="L11" t="n">
        <v>1497.9</v>
      </c>
      <c r="M11" t="n">
        <v>866.83</v>
      </c>
      <c r="N11" t="n">
        <v>312.33</v>
      </c>
      <c r="O11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t="n">
        <v>893.01</v>
      </c>
      <c r="E12" t="n">
        <v>792.85</v>
      </c>
      <c r="F12" t="n">
        <v>1282.47</v>
      </c>
      <c r="G12" t="n">
        <v>1861.09</v>
      </c>
      <c r="H12" t="n">
        <v>1560.67</v>
      </c>
      <c r="I12" t="n">
        <v>1619.08</v>
      </c>
      <c r="J12" t="n">
        <v>1377.05</v>
      </c>
      <c r="K12" t="n">
        <v>753.91</v>
      </c>
      <c r="L12" t="n">
        <v>1318.62</v>
      </c>
      <c r="M12" t="n">
        <v>1207.36</v>
      </c>
      <c r="N12" t="n">
        <v>1349.23</v>
      </c>
      <c r="O12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t="n">
        <v>100348.68</v>
      </c>
      <c r="E13" t="n">
        <v>136541.82</v>
      </c>
      <c r="F13" t="n">
        <v>186484.22</v>
      </c>
      <c r="G13" t="n">
        <v>169767.99</v>
      </c>
      <c r="H13" t="n">
        <v>182020.73</v>
      </c>
      <c r="I13" t="n">
        <v>166724.51</v>
      </c>
      <c r="J13" t="n">
        <v>173487.5</v>
      </c>
      <c r="K13" t="n">
        <v>164491.84</v>
      </c>
      <c r="L13" t="n">
        <v>160911.94</v>
      </c>
      <c r="M13" t="n">
        <v>154976.84</v>
      </c>
      <c r="N13" t="n">
        <v>144837.86</v>
      </c>
      <c r="O13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t="n">
        <v>17910.11</v>
      </c>
      <c r="E14" t="n">
        <v>23310.99</v>
      </c>
      <c r="F14" t="n">
        <v>30057</v>
      </c>
      <c r="G14" t="n">
        <v>39005.34</v>
      </c>
      <c r="H14" t="n">
        <v>25811.6</v>
      </c>
      <c r="I14" t="n">
        <v>31929.59</v>
      </c>
      <c r="J14" t="n">
        <v>28851.77</v>
      </c>
      <c r="K14" t="n">
        <v>45003.91</v>
      </c>
      <c r="L14" t="n">
        <v>25869.51</v>
      </c>
      <c r="M14" t="n">
        <v>34510.81</v>
      </c>
      <c r="N14" t="n">
        <v>31246.89</v>
      </c>
      <c r="O14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t="n">
        <v>2335</v>
      </c>
      <c r="E15" t="n">
        <v>1635.33</v>
      </c>
      <c r="F15" t="n">
        <v>3855.83</v>
      </c>
      <c r="G15" t="n">
        <v>3283.89</v>
      </c>
      <c r="H15" t="n">
        <v>2358.75</v>
      </c>
      <c r="I15" t="n">
        <v>3018.36</v>
      </c>
      <c r="J15" t="n">
        <v>6146.62</v>
      </c>
      <c r="K15" t="n">
        <v>3875</v>
      </c>
      <c r="L15" t="n">
        <v>4356.25</v>
      </c>
      <c r="M15" t="n">
        <v>4130</v>
      </c>
      <c r="N15" t="n">
        <v>6116.46</v>
      </c>
      <c r="O15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t="n">
        <v>20245.11</v>
      </c>
      <c r="E17" t="n">
        <v>25066.32</v>
      </c>
      <c r="F17" t="n">
        <v>33912.83</v>
      </c>
      <c r="G17" t="n">
        <v>42289.23</v>
      </c>
      <c r="H17" t="n">
        <v>29970.35</v>
      </c>
      <c r="I17" t="n">
        <v>35427.95</v>
      </c>
      <c r="J17" t="n">
        <v>34998.39</v>
      </c>
      <c r="K17" t="n">
        <v>57572.42000000001</v>
      </c>
      <c r="L17" t="n">
        <v>31070.76</v>
      </c>
      <c r="M17" t="n">
        <v>42200.81</v>
      </c>
      <c r="N17" t="n">
        <v>38683.35</v>
      </c>
      <c r="O17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t="n">
        <v>3870</v>
      </c>
      <c r="E18" t="n">
        <v>4207</v>
      </c>
      <c r="F18" t="n">
        <v>3294</v>
      </c>
      <c r="G18" t="n">
        <v>2111</v>
      </c>
      <c r="H18" t="n">
        <v>2753</v>
      </c>
      <c r="I18" t="n">
        <v>3514</v>
      </c>
      <c r="J18" t="n">
        <v>3095</v>
      </c>
      <c r="K18" t="n">
        <v>3080</v>
      </c>
      <c r="L18" t="n">
        <v>2906</v>
      </c>
      <c r="M18" t="n">
        <v>2358</v>
      </c>
      <c r="N18" t="n">
        <v>2439</v>
      </c>
      <c r="O18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t="n">
        <v>-1190.01</v>
      </c>
      <c r="E19" t="n">
        <v>-1120.55</v>
      </c>
      <c r="F19" t="n">
        <v>-3615.48</v>
      </c>
      <c r="G19" t="n">
        <v>-650</v>
      </c>
      <c r="H19" t="n">
        <v>-3512.26</v>
      </c>
      <c r="I19" t="n">
        <v>-2185.9</v>
      </c>
      <c r="J19" t="n">
        <v>-3189.2</v>
      </c>
      <c r="K19" t="n">
        <v>-3826.01</v>
      </c>
      <c r="L19" t="n">
        <v>-2791.5</v>
      </c>
      <c r="M19" t="n">
        <v>-5972.4</v>
      </c>
      <c r="N19" t="n">
        <v>-3589.56</v>
      </c>
      <c r="O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t="n">
        <v>-21472.45</v>
      </c>
      <c r="E20" t="n">
        <v>-20640.9</v>
      </c>
      <c r="F20" t="n">
        <v>-24928.8</v>
      </c>
      <c r="G20" t="n">
        <v>-16974.31</v>
      </c>
      <c r="H20" t="n">
        <v>-19575</v>
      </c>
      <c r="I20" t="n">
        <v>-11665.8</v>
      </c>
      <c r="J20" t="n">
        <v>-11236.45</v>
      </c>
      <c r="K20" t="n">
        <v>-12583.6</v>
      </c>
      <c r="L20" t="n">
        <v>-11473.3</v>
      </c>
      <c r="M20" t="n">
        <v>-12466.45</v>
      </c>
      <c r="N20" t="n">
        <v>-6846.1</v>
      </c>
      <c r="O20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t="n">
        <v>148311.18</v>
      </c>
      <c r="E21" t="n">
        <v>176032.84</v>
      </c>
      <c r="F21" t="n">
        <v>214257.96</v>
      </c>
      <c r="G21" t="n">
        <v>206935.56</v>
      </c>
      <c r="H21" t="n">
        <v>197266.94</v>
      </c>
      <c r="I21" t="n">
        <v>195239.45</v>
      </c>
      <c r="J21" t="n">
        <v>199014.62</v>
      </c>
      <c r="K21" t="n">
        <v>210396.36</v>
      </c>
      <c r="L21" t="n">
        <v>181180.69</v>
      </c>
      <c r="M21" t="n">
        <v>181590.51</v>
      </c>
      <c r="N21" t="n">
        <v>176158.72</v>
      </c>
      <c r="O21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1819.5</v>
      </c>
      <c r="E23" t="n">
        <v>1954.75</v>
      </c>
      <c r="F23" t="n">
        <v>1496.25</v>
      </c>
      <c r="G23" t="n">
        <v>986</v>
      </c>
      <c r="H23" t="n">
        <v>1320.5</v>
      </c>
      <c r="I23" t="n">
        <v>1591.25</v>
      </c>
      <c r="J23" t="n">
        <v>1491</v>
      </c>
      <c r="K23" t="n">
        <v>1458.55</v>
      </c>
      <c r="L23" t="n">
        <v>1286.8</v>
      </c>
      <c r="M23" t="n">
        <v>1124.6</v>
      </c>
      <c r="N23" t="n">
        <v>1175.3</v>
      </c>
      <c r="O23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4882.96</v>
      </c>
      <c r="E24" t="n">
        <v>6308.44</v>
      </c>
      <c r="F24" t="n">
        <v>9774.799999999999</v>
      </c>
      <c r="G24" t="n">
        <v>5902.22</v>
      </c>
      <c r="H24" t="n">
        <v>6597.41</v>
      </c>
      <c r="I24" t="n">
        <v>5960.23</v>
      </c>
      <c r="J24" t="n">
        <v>7919.8</v>
      </c>
      <c r="K24" t="n">
        <v>5068.26</v>
      </c>
      <c r="L24" t="n">
        <v>6402.91</v>
      </c>
      <c r="M24" t="n">
        <v>5212.33</v>
      </c>
      <c r="N24" t="n">
        <v>5997.67</v>
      </c>
      <c r="O24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6702.46</v>
      </c>
      <c r="E25" t="n">
        <v>8263.189999999999</v>
      </c>
      <c r="F25" t="n">
        <v>11271.05</v>
      </c>
      <c r="G25" t="n">
        <v>6888.22</v>
      </c>
      <c r="H25" t="n">
        <v>7917.91</v>
      </c>
      <c r="I25" t="n">
        <v>7551.48</v>
      </c>
      <c r="J25" t="n">
        <v>9410.799999999999</v>
      </c>
      <c r="K25" t="n">
        <v>6526.81</v>
      </c>
      <c r="L25" t="n">
        <v>7689.71</v>
      </c>
      <c r="M25" t="n">
        <v>6336.93</v>
      </c>
      <c r="N25" t="n">
        <v>7172.97</v>
      </c>
      <c r="O2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141608.72</v>
      </c>
      <c r="E26" t="n">
        <v>167769.65</v>
      </c>
      <c r="F26" t="n">
        <v>202986.91</v>
      </c>
      <c r="G26" t="n">
        <v>200047.34</v>
      </c>
      <c r="H26" t="n">
        <v>189349.03</v>
      </c>
      <c r="I26" t="n">
        <v>187687.97</v>
      </c>
      <c r="J26" t="n">
        <v>189603.82</v>
      </c>
      <c r="K26" t="n">
        <v>203869.55</v>
      </c>
      <c r="L26" t="n">
        <v>173490.98</v>
      </c>
      <c r="M26" t="n">
        <v>175253.58</v>
      </c>
      <c r="N26" t="n">
        <v>168985.75</v>
      </c>
      <c r="O26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590.91</v>
      </c>
      <c r="O28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53.64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53.64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590.91</v>
      </c>
      <c r="O33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58337.32</v>
      </c>
      <c r="E34" t="n">
        <v>60902.68</v>
      </c>
      <c r="F34" t="n">
        <v>73049.28999999999</v>
      </c>
      <c r="G34" t="n">
        <v>69131.69</v>
      </c>
      <c r="H34" t="n">
        <v>89216.22</v>
      </c>
      <c r="I34" t="n">
        <v>69880.00999999999</v>
      </c>
      <c r="J34" t="n">
        <v>77847.63</v>
      </c>
      <c r="K34" t="n">
        <v>75567.75</v>
      </c>
      <c r="L34" t="n">
        <v>77121.36</v>
      </c>
      <c r="M34" t="n">
        <v>76688.77</v>
      </c>
      <c r="N34" t="n">
        <v>66281.64</v>
      </c>
      <c r="O34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t="n">
        <v>9169.91</v>
      </c>
      <c r="E35" t="n">
        <v>8321.59</v>
      </c>
      <c r="F35" t="n">
        <v>8649.07</v>
      </c>
      <c r="G35" t="n">
        <v>7638.21</v>
      </c>
      <c r="H35" t="n">
        <v>9215.889999999999</v>
      </c>
      <c r="I35" t="n">
        <v>7557.03</v>
      </c>
      <c r="J35" t="n">
        <v>7865.98</v>
      </c>
      <c r="K35" t="n">
        <v>7514.09</v>
      </c>
      <c r="L35" t="n">
        <v>7429.54</v>
      </c>
      <c r="M35" t="n">
        <v>7459.99</v>
      </c>
      <c r="N35" t="n">
        <v>6405.47</v>
      </c>
      <c r="O35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t="n">
        <v>826.02</v>
      </c>
      <c r="E36" t="n">
        <v>311.99</v>
      </c>
      <c r="F36" t="n">
        <v>44.96</v>
      </c>
      <c r="G36" t="n">
        <v>220</v>
      </c>
      <c r="H36" t="n">
        <v>235</v>
      </c>
      <c r="I36" t="n">
        <v>365</v>
      </c>
      <c r="J36" t="n">
        <v>278</v>
      </c>
      <c r="K36" t="n">
        <v>198</v>
      </c>
      <c r="L36" t="n">
        <v>440</v>
      </c>
      <c r="M36" t="n">
        <v>280</v>
      </c>
      <c r="N36" t="n">
        <v>120</v>
      </c>
      <c r="O36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t="n">
        <v>1728.36</v>
      </c>
      <c r="E37" t="n">
        <v>1326.17</v>
      </c>
      <c r="F37" t="n">
        <v>842.83</v>
      </c>
      <c r="G37" t="n">
        <v>680.66</v>
      </c>
      <c r="H37" t="n">
        <v>690.86</v>
      </c>
      <c r="I37" t="n">
        <v>680.66</v>
      </c>
      <c r="J37" t="n">
        <v>859.83</v>
      </c>
      <c r="K37" t="n">
        <v>1017.59</v>
      </c>
      <c r="L37" t="n">
        <v>694.26</v>
      </c>
      <c r="M37" t="n">
        <v>667.0599999999999</v>
      </c>
      <c r="N37" t="n">
        <v>656.86</v>
      </c>
      <c r="O37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t="n">
        <v>87727.52</v>
      </c>
      <c r="E38" t="n">
        <v>89743.09000000001</v>
      </c>
      <c r="F38" t="n">
        <v>103464.03</v>
      </c>
      <c r="G38" t="n">
        <v>96213.46000000001</v>
      </c>
      <c r="H38" t="n">
        <v>119427.03</v>
      </c>
      <c r="I38" t="n">
        <v>95846.8</v>
      </c>
      <c r="J38" t="n">
        <v>103876.39</v>
      </c>
      <c r="K38" t="n">
        <v>99425.88999999998</v>
      </c>
      <c r="L38" t="n">
        <v>99128.25999999999</v>
      </c>
      <c r="M38" t="n">
        <v>99382.08</v>
      </c>
      <c r="N38" t="n">
        <v>84838.09999999999</v>
      </c>
      <c r="O38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1758.39</v>
      </c>
      <c r="E39" t="n">
        <v>701.9400000000001</v>
      </c>
      <c r="F39" t="n">
        <v>1958.83</v>
      </c>
      <c r="G39" t="n">
        <v>1254.24</v>
      </c>
      <c r="H39" t="n">
        <v>1390.3</v>
      </c>
      <c r="I39" t="n">
        <v>726.25</v>
      </c>
      <c r="J39" t="n">
        <v>768.99</v>
      </c>
      <c r="K39" t="n">
        <v>1761.77</v>
      </c>
      <c r="L39" t="n">
        <v>646</v>
      </c>
      <c r="M39" t="n">
        <v>979.59</v>
      </c>
      <c r="N39" t="n">
        <v>1115.08</v>
      </c>
      <c r="O3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t="n">
        <v>300.66</v>
      </c>
      <c r="E40" t="n">
        <v>300.66</v>
      </c>
      <c r="F40" t="n">
        <v>300.66</v>
      </c>
      <c r="G40" t="n">
        <v>300.66</v>
      </c>
      <c r="H40" t="n">
        <v>300.66</v>
      </c>
      <c r="I40" t="n">
        <v>300.66</v>
      </c>
      <c r="J40" t="n">
        <v>300.66</v>
      </c>
      <c r="K40" t="n">
        <v>300.66</v>
      </c>
      <c r="L40" t="n">
        <v>300.66</v>
      </c>
      <c r="M40" t="n">
        <v>596.3200000000001</v>
      </c>
      <c r="N40" t="n">
        <v>596.3200000000001</v>
      </c>
      <c r="O40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t="n">
        <v>0</v>
      </c>
      <c r="E43" t="n">
        <v>0</v>
      </c>
      <c r="F43" t="n">
        <v>0</v>
      </c>
      <c r="G43" t="n">
        <v>0</v>
      </c>
      <c r="H43" t="n">
        <v>500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0</v>
      </c>
      <c r="E44" t="n">
        <v>0</v>
      </c>
      <c r="F44" t="n">
        <v>0</v>
      </c>
      <c r="G44" t="n">
        <v>0</v>
      </c>
      <c r="H44" t="n">
        <v>1250</v>
      </c>
      <c r="I44" t="n">
        <v>49.5</v>
      </c>
      <c r="J44" t="n">
        <v>49.5</v>
      </c>
      <c r="K44" t="n">
        <v>49.5</v>
      </c>
      <c r="L44" t="n">
        <v>57.5</v>
      </c>
      <c r="M44" t="n">
        <v>0</v>
      </c>
      <c r="N44" t="n">
        <v>154.54</v>
      </c>
      <c r="O44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t="n">
        <v>1915.6</v>
      </c>
      <c r="E45" t="n">
        <v>512.95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285.5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479.1</v>
      </c>
      <c r="K46" t="n">
        <v>479.1</v>
      </c>
      <c r="L46" t="n">
        <v>479.1</v>
      </c>
      <c r="M46" t="n">
        <v>861</v>
      </c>
      <c r="N46" t="n">
        <v>481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t="n">
        <v>2201.1</v>
      </c>
      <c r="E47" t="n">
        <v>512.95</v>
      </c>
      <c r="F47" t="n">
        <v>0</v>
      </c>
      <c r="G47" t="n">
        <v>0</v>
      </c>
      <c r="H47" t="n">
        <v>1750</v>
      </c>
      <c r="I47" t="n">
        <v>49.5</v>
      </c>
      <c r="J47" t="n">
        <v>528.6</v>
      </c>
      <c r="K47" t="n">
        <v>528.6</v>
      </c>
      <c r="L47" t="n">
        <v>536.6</v>
      </c>
      <c r="M47" t="n">
        <v>861</v>
      </c>
      <c r="N47" t="n">
        <v>635.54</v>
      </c>
      <c r="O47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t="n">
        <v>47.56</v>
      </c>
      <c r="E49" t="n">
        <v>151.46</v>
      </c>
      <c r="F49" t="n">
        <v>173.85</v>
      </c>
      <c r="G49" t="n">
        <v>62.56</v>
      </c>
      <c r="H49" t="n">
        <v>47.07</v>
      </c>
      <c r="I49" t="n">
        <v>274.46</v>
      </c>
      <c r="J49" t="n">
        <v>2280.03</v>
      </c>
      <c r="K49" t="n">
        <v>293.72</v>
      </c>
      <c r="L49" t="n">
        <v>424.37</v>
      </c>
      <c r="M49" t="n">
        <v>433.94</v>
      </c>
      <c r="N49" t="n">
        <v>11.06</v>
      </c>
      <c r="O4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666.23</v>
      </c>
      <c r="E51" t="n">
        <v>563.42</v>
      </c>
      <c r="F51" t="n">
        <v>516.21</v>
      </c>
      <c r="G51" t="n">
        <v>501.94</v>
      </c>
      <c r="H51" t="n">
        <v>610.24</v>
      </c>
      <c r="I51" t="n">
        <v>0</v>
      </c>
      <c r="J51" t="n">
        <v>866.09</v>
      </c>
      <c r="K51" t="n">
        <v>821.25</v>
      </c>
      <c r="L51" t="n">
        <v>1194.78</v>
      </c>
      <c r="M51" t="n">
        <v>847.88</v>
      </c>
      <c r="N51" t="n">
        <v>511.01</v>
      </c>
      <c r="O51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t="n">
        <v>277.5</v>
      </c>
      <c r="E53" t="n">
        <v>0</v>
      </c>
      <c r="F53" t="n">
        <v>192.41</v>
      </c>
      <c r="G53" t="n">
        <v>143.07</v>
      </c>
      <c r="H53" t="n">
        <v>143.07</v>
      </c>
      <c r="I53" t="n">
        <v>0</v>
      </c>
      <c r="J53" t="n">
        <v>0</v>
      </c>
      <c r="K53" t="n">
        <v>0</v>
      </c>
      <c r="L53" t="n">
        <v>0</v>
      </c>
      <c r="M53" t="n">
        <v>214</v>
      </c>
      <c r="N53" t="n">
        <v>161.85</v>
      </c>
      <c r="O53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t="n">
        <v>0</v>
      </c>
      <c r="E54" t="n">
        <v>95.67</v>
      </c>
      <c r="F54" t="n">
        <v>95.66</v>
      </c>
      <c r="G54" t="n">
        <v>83.69</v>
      </c>
      <c r="H54" t="n">
        <v>83.68000000000001</v>
      </c>
      <c r="I54" t="n">
        <v>94.79000000000001</v>
      </c>
      <c r="J54" t="n">
        <v>94.79000000000001</v>
      </c>
      <c r="K54" t="n">
        <v>0</v>
      </c>
      <c r="L54" t="n">
        <v>0</v>
      </c>
      <c r="M54" t="n">
        <v>0</v>
      </c>
      <c r="N54" t="n">
        <v>229.43</v>
      </c>
      <c r="O54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t="n">
        <v>0</v>
      </c>
      <c r="E55" t="n">
        <v>574</v>
      </c>
      <c r="F55" t="n">
        <v>362.25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t="n">
        <v>1064.97</v>
      </c>
      <c r="E56" t="n">
        <v>1233.09</v>
      </c>
      <c r="F56" t="n">
        <v>1166.53</v>
      </c>
      <c r="G56" t="n">
        <v>728.7</v>
      </c>
      <c r="H56" t="n">
        <v>836.99</v>
      </c>
      <c r="I56" t="n">
        <v>94.79000000000001</v>
      </c>
      <c r="J56" t="n">
        <v>960.88</v>
      </c>
      <c r="K56" t="n">
        <v>942.49</v>
      </c>
      <c r="L56" t="n">
        <v>1316.02</v>
      </c>
      <c r="M56" t="n">
        <v>1203.13</v>
      </c>
      <c r="N56" t="n">
        <v>1043.54</v>
      </c>
      <c r="O56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15582.52</v>
      </c>
      <c r="E57" t="n">
        <v>15582.52</v>
      </c>
      <c r="F57" t="n">
        <v>15582.52</v>
      </c>
      <c r="G57" t="n">
        <v>15582.52</v>
      </c>
      <c r="H57" t="n">
        <v>15582.52</v>
      </c>
      <c r="I57" t="n">
        <v>15582.52</v>
      </c>
      <c r="J57" t="n">
        <v>15582.52</v>
      </c>
      <c r="K57" t="n">
        <v>15582.52</v>
      </c>
      <c r="L57" t="n">
        <v>15582.52</v>
      </c>
      <c r="M57" t="n">
        <v>15582.52</v>
      </c>
      <c r="N57" t="n">
        <v>15582.52</v>
      </c>
      <c r="O57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700</v>
      </c>
      <c r="E59" t="n">
        <v>1314.97</v>
      </c>
      <c r="F59" t="n">
        <v>0</v>
      </c>
      <c r="G59" t="n">
        <v>1765.21</v>
      </c>
      <c r="H59" t="n">
        <v>1212.27</v>
      </c>
      <c r="I59" t="n">
        <v>2109.7</v>
      </c>
      <c r="J59" t="n">
        <v>1976.84</v>
      </c>
      <c r="K59" t="n">
        <v>1147.41</v>
      </c>
      <c r="L59" t="n">
        <v>643.53</v>
      </c>
      <c r="M59" t="n">
        <v>1102.11</v>
      </c>
      <c r="N59" t="n">
        <v>924.95</v>
      </c>
      <c r="O5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t="n">
        <v>7605.49</v>
      </c>
      <c r="E60" t="n">
        <v>7265.05</v>
      </c>
      <c r="F60" t="n">
        <v>7866.22</v>
      </c>
      <c r="G60" t="n">
        <v>9238.219999999999</v>
      </c>
      <c r="H60" t="n">
        <v>7265.05</v>
      </c>
      <c r="I60" t="n">
        <v>7265.05</v>
      </c>
      <c r="J60" t="n">
        <v>7627.65</v>
      </c>
      <c r="K60" t="n">
        <v>8053.72</v>
      </c>
      <c r="L60" t="n">
        <v>7648.88</v>
      </c>
      <c r="M60" t="n">
        <v>7648.88</v>
      </c>
      <c r="N60" t="n">
        <v>7648.88</v>
      </c>
      <c r="O60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t="n">
        <v>23888.01</v>
      </c>
      <c r="E61" t="n">
        <v>24162.54</v>
      </c>
      <c r="F61" t="n">
        <v>23448.74</v>
      </c>
      <c r="G61" t="n">
        <v>26585.95</v>
      </c>
      <c r="H61" t="n">
        <v>24059.84</v>
      </c>
      <c r="I61" t="n">
        <v>24957.27</v>
      </c>
      <c r="J61" t="n">
        <v>25910.47</v>
      </c>
      <c r="K61" t="n">
        <v>24783.65</v>
      </c>
      <c r="L61" t="n">
        <v>23874.93</v>
      </c>
      <c r="M61" t="n">
        <v>24371.9</v>
      </c>
      <c r="N61" t="n">
        <v>24156.35</v>
      </c>
      <c r="O61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118754.59</v>
      </c>
      <c r="E62" t="n">
        <v>119657.58</v>
      </c>
      <c r="F62" t="n">
        <v>133513.63</v>
      </c>
      <c r="G62" t="n">
        <v>127748.94</v>
      </c>
      <c r="H62" t="n">
        <v>150434.04</v>
      </c>
      <c r="I62" t="n">
        <v>130305.44</v>
      </c>
      <c r="J62" t="n">
        <v>139357.7</v>
      </c>
      <c r="K62" t="n">
        <v>129397.84</v>
      </c>
      <c r="L62" t="n">
        <v>128812.84</v>
      </c>
      <c r="M62" t="n">
        <v>130390.29</v>
      </c>
      <c r="N62" t="n">
        <v>113447.97</v>
      </c>
      <c r="O62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22854.13</v>
      </c>
      <c r="E63" t="n">
        <v>48112.07000000001</v>
      </c>
      <c r="F63" t="n">
        <v>69473.27999999997</v>
      </c>
      <c r="G63" t="n">
        <v>72298.39999999999</v>
      </c>
      <c r="H63" t="n">
        <v>38914.98999999993</v>
      </c>
      <c r="I63" t="n">
        <v>57382.53000000003</v>
      </c>
      <c r="J63" t="n">
        <v>50246.12</v>
      </c>
      <c r="K63" t="n">
        <v>74471.71000000002</v>
      </c>
      <c r="L63" t="n">
        <v>44678.14000000004</v>
      </c>
      <c r="M63" t="n">
        <v>44863.28999999995</v>
      </c>
      <c r="N63" t="n">
        <v>55537.78</v>
      </c>
      <c r="O63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1930.47</v>
      </c>
      <c r="E65" t="n">
        <v>1926.7</v>
      </c>
      <c r="F65" t="n">
        <v>1926.7</v>
      </c>
      <c r="G65" t="n">
        <v>1936.47</v>
      </c>
      <c r="H65" t="n">
        <v>1957.26</v>
      </c>
      <c r="I65" t="n">
        <v>1964.48</v>
      </c>
      <c r="J65" t="n">
        <v>1985.01</v>
      </c>
      <c r="K65" t="n">
        <v>1985.01</v>
      </c>
      <c r="L65" t="n">
        <v>1985.01</v>
      </c>
      <c r="M65" t="n">
        <v>1985.01</v>
      </c>
      <c r="N65" t="n">
        <v>1985.01</v>
      </c>
      <c r="O65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>
        <f>U69*0.355901</f>
        <v/>
      </c>
      <c r="V65" s="20">
        <f>V69*0.355901</f>
        <v/>
      </c>
      <c r="W65" s="20">
        <f>W69*0.355901</f>
        <v/>
      </c>
      <c r="X65" s="20">
        <f>X69*0.355901</f>
        <v/>
      </c>
      <c r="Y65" s="20">
        <f>Y69*0.355901</f>
        <v/>
      </c>
      <c r="Z65" s="20">
        <f>Z69*0.355901</f>
        <v/>
      </c>
      <c r="AA65" s="20">
        <f>AA69*0.355901</f>
        <v/>
      </c>
      <c r="AB65" s="20">
        <f>AB69*0.355901</f>
        <v/>
      </c>
      <c r="AC65" s="20">
        <f>AC69*0.355901</f>
        <v/>
      </c>
      <c r="AD65" s="20">
        <f>AD69*0.355901</f>
        <v/>
      </c>
      <c r="AE65" s="20">
        <f>AE69*0.355901</f>
        <v/>
      </c>
      <c r="AF65" s="20">
        <f>AF69*0.355901</f>
        <v/>
      </c>
      <c r="AG65" s="20">
        <f>AG69*0.355901</f>
        <v/>
      </c>
      <c r="AH65" s="20">
        <f>AH69*0.355901</f>
        <v/>
      </c>
      <c r="AI65" s="20">
        <f>AI69*0.355901</f>
        <v/>
      </c>
      <c r="AJ65" s="20">
        <f>AJ69*0.355901</f>
        <v/>
      </c>
      <c r="AK65" s="20">
        <f>AK69*0.355901</f>
        <v/>
      </c>
      <c r="AL65" s="20">
        <f>AL69*0.355901</f>
        <v/>
      </c>
      <c r="AM65" s="20">
        <f>AM69*0.355901</f>
        <v/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>
        <f>U69*0.041513</f>
        <v/>
      </c>
      <c r="V67" s="20">
        <f>V69*0.041513</f>
        <v/>
      </c>
      <c r="W67" s="20">
        <f>W69*0.041513</f>
        <v/>
      </c>
      <c r="X67" s="20">
        <f>X69*0.041513</f>
        <v/>
      </c>
      <c r="Y67" s="20">
        <f>Y69*0.041513</f>
        <v/>
      </c>
      <c r="Z67" s="20">
        <f>Z69*0.041513</f>
        <v/>
      </c>
      <c r="AA67" s="20">
        <f>AA69*0.041513</f>
        <v/>
      </c>
      <c r="AB67" s="20">
        <f>AB69*0.041513</f>
        <v/>
      </c>
      <c r="AC67" s="20">
        <f>AC69*0.041513</f>
        <v/>
      </c>
      <c r="AD67" s="20">
        <f>AD69*0.041513</f>
        <v/>
      </c>
      <c r="AE67" s="20">
        <f>AE69*0.041513</f>
        <v/>
      </c>
      <c r="AF67" s="20">
        <f>AF69*0.041513</f>
        <v/>
      </c>
      <c r="AG67" s="20">
        <f>AG69*0.041513</f>
        <v/>
      </c>
      <c r="AH67" s="20">
        <f>AH69*0.041513</f>
        <v/>
      </c>
      <c r="AI67" s="20">
        <f>AI69*0.041513</f>
        <v/>
      </c>
      <c r="AJ67" s="20">
        <f>AJ69*0.041513</f>
        <v/>
      </c>
      <c r="AK67" s="20">
        <f>AK69*0.041513</f>
        <v/>
      </c>
      <c r="AL67" s="20">
        <f>AL69*0.041513</f>
        <v/>
      </c>
      <c r="AM67" s="20">
        <f>AM69*0.041513</f>
        <v/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928.2</v>
      </c>
      <c r="J68" t="n">
        <v>3161.09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1930.47</v>
      </c>
      <c r="E69" t="n">
        <v>1926.7</v>
      </c>
      <c r="F69" t="n">
        <v>1926.7</v>
      </c>
      <c r="G69" t="n">
        <v>1936.47</v>
      </c>
      <c r="H69" t="n">
        <v>1957.26</v>
      </c>
      <c r="I69" t="n">
        <v>2892.68</v>
      </c>
      <c r="J69" t="n">
        <v>5146.1</v>
      </c>
      <c r="K69" t="n">
        <v>1985.01</v>
      </c>
      <c r="L69" t="n">
        <v>3930.01</v>
      </c>
      <c r="M69" t="n">
        <v>5875.01</v>
      </c>
      <c r="N69" t="n">
        <v>5875.01</v>
      </c>
      <c r="O69" t="n">
        <v>9818.83</v>
      </c>
      <c r="P69" s="35" t="n">
        <v>6183.280000000001</v>
      </c>
      <c r="Q69" s="35" t="n">
        <v>7255.240000000001</v>
      </c>
      <c r="R69" s="35" t="n">
        <v>6183.280000000001</v>
      </c>
      <c r="S69" s="35" t="n">
        <v>6200.25</v>
      </c>
      <c r="T69" s="85" t="n">
        <v>4238.280000000001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20923.66</v>
      </c>
      <c r="E70" t="n">
        <v>46185.37000000001</v>
      </c>
      <c r="F70" t="n">
        <v>67546.57999999997</v>
      </c>
      <c r="G70" t="n">
        <v>70361.92999999999</v>
      </c>
      <c r="H70" t="n">
        <v>36957.72999999993</v>
      </c>
      <c r="I70" t="n">
        <v>54489.85000000003</v>
      </c>
      <c r="J70" t="n">
        <v>45100.02</v>
      </c>
      <c r="K70" t="n">
        <v>72486.70000000003</v>
      </c>
      <c r="L70" t="n">
        <v>40748.13000000004</v>
      </c>
      <c r="M70" t="n">
        <v>38988.27999999995</v>
      </c>
      <c r="N70" t="n">
        <v>49662.77</v>
      </c>
      <c r="O70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27" activePane="bottomRight" state="frozen"/>
      <selection pane="topRight" activeCell="A1" sqref="A1"/>
      <selection pane="bottomLeft" activeCell="A1" sqref="A1"/>
      <selection pane="bottomRight" activeCell="H53" sqref="H53:H55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West Portal (WP)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34.84</v>
      </c>
      <c r="O24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34.84</v>
      </c>
      <c r="O2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-34.84</v>
      </c>
      <c r="O26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2419.8</v>
      </c>
      <c r="O28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2419.8</v>
      </c>
      <c r="O33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221.84</v>
      </c>
      <c r="N39" t="n">
        <v>932.17</v>
      </c>
      <c r="O3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-329.09</v>
      </c>
      <c r="M40" t="n">
        <v>351.3</v>
      </c>
      <c r="N40" t="n">
        <v>351.3</v>
      </c>
      <c r="O40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5631.25</v>
      </c>
      <c r="O43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5631.25</v>
      </c>
      <c r="O47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290.95</v>
      </c>
      <c r="O56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10605.32</v>
      </c>
      <c r="M57" t="n">
        <v>10605.32</v>
      </c>
      <c r="N57" t="n">
        <v>10605.32</v>
      </c>
      <c r="O57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128.75</v>
      </c>
      <c r="N59" t="n">
        <v>0</v>
      </c>
      <c r="O5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10605.32</v>
      </c>
      <c r="M61" t="n">
        <v>10734.07</v>
      </c>
      <c r="N61" t="n">
        <v>11567.02</v>
      </c>
      <c r="O61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4462</v>
      </c>
      <c r="L62" t="n">
        <v>10626.23</v>
      </c>
      <c r="M62" t="n">
        <v>11307.21</v>
      </c>
      <c r="N62" t="n">
        <v>21192.49</v>
      </c>
      <c r="O62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-4462</v>
      </c>
      <c r="L63" t="n">
        <v>-10626.23</v>
      </c>
      <c r="M63" t="n">
        <v>-11307.21</v>
      </c>
      <c r="N63" t="n">
        <v>-21227.33</v>
      </c>
      <c r="O63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0</v>
      </c>
      <c r="E65" t="n">
        <v>0</v>
      </c>
      <c r="F65" t="n">
        <v>0</v>
      </c>
      <c r="G65" t="n">
        <v>0</v>
      </c>
      <c r="H65" t="n">
        <v>4.88</v>
      </c>
      <c r="I65" t="n">
        <v>4.88</v>
      </c>
      <c r="J65" t="n">
        <v>14.63</v>
      </c>
      <c r="K65" t="n">
        <v>42.21</v>
      </c>
      <c r="L65" t="n">
        <v>469.44</v>
      </c>
      <c r="M65" t="n">
        <v>635.23</v>
      </c>
      <c r="N65" t="n">
        <v>635.23</v>
      </c>
      <c r="O65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>
        <f>U69*1</f>
        <v/>
      </c>
      <c r="V65" s="20">
        <f>V69*1</f>
        <v/>
      </c>
      <c r="W65" s="20">
        <f>W69*1</f>
        <v/>
      </c>
      <c r="X65" s="20">
        <f>X69*1</f>
        <v/>
      </c>
      <c r="Y65" s="20">
        <f>Y69*1</f>
        <v/>
      </c>
      <c r="Z65" s="20">
        <f>Z69*1</f>
        <v/>
      </c>
      <c r="AA65" s="20">
        <f>AA69*1</f>
        <v/>
      </c>
      <c r="AB65" s="20">
        <f>AB69*1</f>
        <v/>
      </c>
      <c r="AC65" s="20">
        <f>AC69*1</f>
        <v/>
      </c>
      <c r="AD65" s="20">
        <f>AD69*1</f>
        <v/>
      </c>
      <c r="AE65" s="20">
        <f>AE69*1</f>
        <v/>
      </c>
      <c r="AF65" s="20">
        <f>AF69*1</f>
        <v/>
      </c>
      <c r="AG65" s="20">
        <f>AG69*1</f>
        <v/>
      </c>
      <c r="AH65" s="20">
        <f>AH69*1</f>
        <v/>
      </c>
      <c r="AI65" s="20">
        <f>AI69*1</f>
        <v/>
      </c>
      <c r="AJ65" s="20">
        <f>AJ69*1</f>
        <v/>
      </c>
      <c r="AK65" s="20">
        <f>AK69*1</f>
        <v/>
      </c>
      <c r="AL65" s="20">
        <f>AL69*1</f>
        <v/>
      </c>
      <c r="AM65" s="20">
        <f>AM69*1</f>
        <v/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t="n">
        <v>0</v>
      </c>
      <c r="E69" t="n">
        <v>0</v>
      </c>
      <c r="F69" t="n">
        <v>0</v>
      </c>
      <c r="G69" t="n">
        <v>0</v>
      </c>
      <c r="H69" t="n">
        <v>4.88</v>
      </c>
      <c r="I69" t="n">
        <v>4.88</v>
      </c>
      <c r="J69" t="n">
        <v>14.63</v>
      </c>
      <c r="K69" t="n">
        <v>42.21</v>
      </c>
      <c r="L69" t="n">
        <v>469.44</v>
      </c>
      <c r="M69" t="n">
        <v>635.23</v>
      </c>
      <c r="N69" t="n">
        <v>635.23</v>
      </c>
      <c r="O69" t="n">
        <v>-201.99</v>
      </c>
      <c r="P69" s="35" t="n">
        <v>772.58</v>
      </c>
      <c r="Q69" s="35" t="n">
        <v>826.9299999999999</v>
      </c>
      <c r="R69" s="35" t="n">
        <v>1038.11</v>
      </c>
      <c r="S69" s="35" t="n">
        <v>1038.11</v>
      </c>
      <c r="T69" s="85" t="n">
        <v>1038.11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0</v>
      </c>
      <c r="E70" t="n">
        <v>0</v>
      </c>
      <c r="F70" t="n">
        <v>0</v>
      </c>
      <c r="G70" t="n">
        <v>0</v>
      </c>
      <c r="H70" t="n">
        <v>-4.88</v>
      </c>
      <c r="I70" t="n">
        <v>-4.88</v>
      </c>
      <c r="J70" t="n">
        <v>-14.63</v>
      </c>
      <c r="K70" t="n">
        <v>-4504.21</v>
      </c>
      <c r="L70" t="n">
        <v>-11095.67</v>
      </c>
      <c r="M70" t="n">
        <v>-11942.44</v>
      </c>
      <c r="N70" t="n">
        <v>-21862.56</v>
      </c>
      <c r="O70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A1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2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9" t="inlineStr">
        <is>
          <t>Westwood (WW) — Profit &amp; Loss</t>
        </is>
      </c>
    </row>
    <row r="3"/>
    <row r="4" ht="16" customHeight="1" s="89">
      <c r="B4" s="10" t="inlineStr">
        <is>
          <t>Monthly P&amp;L (Detail)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" customHeight="1" s="89">
      <c r="B6" s="10" t="inlineStr">
        <is>
          <t>INCOME</t>
        </is>
      </c>
      <c r="C6" s="11" t="n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t="n">
        <v>32137.11</v>
      </c>
      <c r="E7" t="n">
        <v>41947.41</v>
      </c>
      <c r="F7" t="n">
        <v>44519.3</v>
      </c>
      <c r="G7" t="n">
        <v>45286.77</v>
      </c>
      <c r="H7" t="n">
        <v>42018.94</v>
      </c>
      <c r="I7" t="n">
        <v>36617.04</v>
      </c>
      <c r="J7" t="n">
        <v>41689.02</v>
      </c>
      <c r="K7" t="n">
        <v>36724.81</v>
      </c>
      <c r="L7" t="n">
        <v>34206.18</v>
      </c>
      <c r="M7" t="n">
        <v>38423.47</v>
      </c>
      <c r="N7" t="n">
        <v>33434.44</v>
      </c>
      <c r="O7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t="n">
        <v>3585</v>
      </c>
      <c r="E8" t="n">
        <v>7013.75</v>
      </c>
      <c r="F8" t="n">
        <v>7482.5</v>
      </c>
      <c r="G8" t="n">
        <v>5435</v>
      </c>
      <c r="H8" t="n">
        <v>6560</v>
      </c>
      <c r="I8" t="n">
        <v>6851.43</v>
      </c>
      <c r="J8" t="n">
        <v>6622.32</v>
      </c>
      <c r="K8" t="n">
        <v>6285.54</v>
      </c>
      <c r="L8" t="n">
        <v>5266.43</v>
      </c>
      <c r="M8" t="n">
        <v>5268</v>
      </c>
      <c r="N8" t="n">
        <v>3484.75</v>
      </c>
      <c r="O8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t="n">
        <v>16877.59</v>
      </c>
      <c r="E9" t="n">
        <v>22141.88</v>
      </c>
      <c r="F9" t="n">
        <v>25865.51</v>
      </c>
      <c r="G9" t="n">
        <v>24468.92</v>
      </c>
      <c r="H9" t="n">
        <v>21413.8</v>
      </c>
      <c r="I9" t="n">
        <v>18295.05</v>
      </c>
      <c r="J9" t="n">
        <v>15781.76</v>
      </c>
      <c r="K9" t="n">
        <v>17353.59</v>
      </c>
      <c r="L9" t="n">
        <v>14927.71</v>
      </c>
      <c r="M9" t="n">
        <v>16726.97</v>
      </c>
      <c r="N9" t="n">
        <v>17142.96</v>
      </c>
      <c r="O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t="n">
        <v>640</v>
      </c>
      <c r="E10" t="n">
        <v>1480</v>
      </c>
      <c r="F10" t="n">
        <v>18272</v>
      </c>
      <c r="G10" t="n">
        <v>0</v>
      </c>
      <c r="H10" t="n">
        <v>4140</v>
      </c>
      <c r="I10" t="n">
        <v>6500</v>
      </c>
      <c r="J10" t="n">
        <v>13540</v>
      </c>
      <c r="K10" t="n">
        <v>320</v>
      </c>
      <c r="L10" t="n">
        <v>6280</v>
      </c>
      <c r="M10" t="n">
        <v>0</v>
      </c>
      <c r="N10" t="n">
        <v>0</v>
      </c>
      <c r="O10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t="n">
        <v>14</v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14</v>
      </c>
      <c r="K11" t="n">
        <v>56</v>
      </c>
      <c r="L11" t="n">
        <v>0</v>
      </c>
      <c r="M11" t="n">
        <v>0</v>
      </c>
      <c r="N11" t="n">
        <v>0</v>
      </c>
      <c r="O11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t="n">
        <v>0</v>
      </c>
      <c r="E12" t="n">
        <v>0</v>
      </c>
      <c r="F12" t="n">
        <v>0</v>
      </c>
      <c r="G12" t="n">
        <v>26.27</v>
      </c>
      <c r="H12" t="n">
        <v>70.93000000000001</v>
      </c>
      <c r="I12" t="n">
        <v>105.08</v>
      </c>
      <c r="J12" t="n">
        <v>176.01</v>
      </c>
      <c r="K12" t="n">
        <v>386.17</v>
      </c>
      <c r="L12" t="n">
        <v>262.7</v>
      </c>
      <c r="M12" t="n">
        <v>262.7</v>
      </c>
      <c r="N12" t="n">
        <v>157.62</v>
      </c>
      <c r="O12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t="n">
        <v>53253.7</v>
      </c>
      <c r="E13" t="n">
        <v>72583.04000000001</v>
      </c>
      <c r="F13" t="n">
        <v>96139.31</v>
      </c>
      <c r="G13" t="n">
        <v>75230.96000000001</v>
      </c>
      <c r="H13" t="n">
        <v>74203.67</v>
      </c>
      <c r="I13" t="n">
        <v>68368.60000000001</v>
      </c>
      <c r="J13" t="n">
        <v>77823.11</v>
      </c>
      <c r="K13" t="n">
        <v>61126.11</v>
      </c>
      <c r="L13" t="n">
        <v>60943.02</v>
      </c>
      <c r="M13" t="n">
        <v>60681.14</v>
      </c>
      <c r="N13" t="n">
        <v>54219.77</v>
      </c>
      <c r="O13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t="n">
        <v>4839</v>
      </c>
      <c r="E14" t="n">
        <v>6272.2</v>
      </c>
      <c r="F14" t="n">
        <v>10426.7</v>
      </c>
      <c r="G14" t="n">
        <v>13423.2</v>
      </c>
      <c r="H14" t="n">
        <v>10291.36</v>
      </c>
      <c r="I14" t="n">
        <v>11899.57</v>
      </c>
      <c r="J14" t="n">
        <v>9913.809999999999</v>
      </c>
      <c r="K14" t="n">
        <v>12502.81</v>
      </c>
      <c r="L14" t="n">
        <v>9702.5</v>
      </c>
      <c r="M14" t="n">
        <v>11728.26</v>
      </c>
      <c r="N14" t="n">
        <v>10875.53</v>
      </c>
      <c r="O14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t="n">
        <v>166</v>
      </c>
      <c r="E15" t="n">
        <v>2245</v>
      </c>
      <c r="F15" t="n">
        <v>466.25</v>
      </c>
      <c r="G15" t="n">
        <v>1377.5</v>
      </c>
      <c r="H15" t="n">
        <v>1225</v>
      </c>
      <c r="I15" t="n">
        <v>2135</v>
      </c>
      <c r="J15" t="n">
        <v>1745</v>
      </c>
      <c r="K15" t="n">
        <v>857.14</v>
      </c>
      <c r="L15" t="n">
        <v>1180</v>
      </c>
      <c r="M15" t="n">
        <v>3338</v>
      </c>
      <c r="N15" t="n">
        <v>1280</v>
      </c>
      <c r="O15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t="n">
        <v>480</v>
      </c>
      <c r="E16" t="n">
        <v>160</v>
      </c>
      <c r="F16" t="n">
        <v>160</v>
      </c>
      <c r="G16" t="n">
        <v>0</v>
      </c>
      <c r="H16" t="n">
        <v>715</v>
      </c>
      <c r="I16" t="n">
        <v>320</v>
      </c>
      <c r="J16" t="n">
        <v>1440</v>
      </c>
      <c r="K16" t="n">
        <v>320</v>
      </c>
      <c r="L16" t="n">
        <v>160</v>
      </c>
      <c r="M16" t="n">
        <v>640</v>
      </c>
      <c r="N16" t="n">
        <v>1280</v>
      </c>
      <c r="O16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t="n">
        <v>5485</v>
      </c>
      <c r="E17" t="n">
        <v>8677.200000000001</v>
      </c>
      <c r="F17" t="n">
        <v>11052.95</v>
      </c>
      <c r="G17" t="n">
        <v>14800.7</v>
      </c>
      <c r="H17" t="n">
        <v>12231.36</v>
      </c>
      <c r="I17" t="n">
        <v>14354.57</v>
      </c>
      <c r="J17" t="n">
        <v>13632.81</v>
      </c>
      <c r="K17" t="n">
        <v>13679.95</v>
      </c>
      <c r="L17" t="n">
        <v>11042.5</v>
      </c>
      <c r="M17" t="n">
        <v>15706.26</v>
      </c>
      <c r="N17" t="n">
        <v>15035.53</v>
      </c>
      <c r="O17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t="n">
        <v>6152</v>
      </c>
      <c r="E18" t="n">
        <v>3339.92</v>
      </c>
      <c r="F18" t="n">
        <v>2502</v>
      </c>
      <c r="G18" t="n">
        <v>2155</v>
      </c>
      <c r="H18" t="n">
        <v>2116</v>
      </c>
      <c r="I18" t="n">
        <v>1734</v>
      </c>
      <c r="J18" t="n">
        <v>2791</v>
      </c>
      <c r="K18" t="n">
        <v>2366</v>
      </c>
      <c r="L18" t="n">
        <v>1863</v>
      </c>
      <c r="M18" t="n">
        <v>2455</v>
      </c>
      <c r="N18" t="n">
        <v>1235</v>
      </c>
      <c r="O18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t="n">
        <v>-385</v>
      </c>
      <c r="E19" t="n">
        <v>-58</v>
      </c>
      <c r="F19" t="n">
        <v>-1918</v>
      </c>
      <c r="G19" t="n">
        <v>-565</v>
      </c>
      <c r="H19" t="n">
        <v>-1870</v>
      </c>
      <c r="I19" t="n">
        <v>-3281</v>
      </c>
      <c r="J19" t="n">
        <v>-1484</v>
      </c>
      <c r="K19" t="n">
        <v>0</v>
      </c>
      <c r="L19" t="n">
        <v>-3722</v>
      </c>
      <c r="M19" t="n">
        <v>-1053</v>
      </c>
      <c r="N19" t="n">
        <v>-1318.5</v>
      </c>
      <c r="O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t="n">
        <v>-11260.9</v>
      </c>
      <c r="E20" t="n">
        <v>-10833.7</v>
      </c>
      <c r="F20" t="n">
        <v>-13115.9</v>
      </c>
      <c r="G20" t="n">
        <v>-9269.83</v>
      </c>
      <c r="H20" t="n">
        <v>-8808</v>
      </c>
      <c r="I20" t="n">
        <v>-6955.6</v>
      </c>
      <c r="J20" t="n">
        <v>-3731.55</v>
      </c>
      <c r="K20" t="n">
        <v>-8091</v>
      </c>
      <c r="L20" t="n">
        <v>-8771.5</v>
      </c>
      <c r="M20" t="n">
        <v>-5432.72</v>
      </c>
      <c r="N20" t="n">
        <v>-5242.4</v>
      </c>
      <c r="O20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t="n">
        <v>64463.02999999999</v>
      </c>
      <c r="E21" t="n">
        <v>79792.51000000001</v>
      </c>
      <c r="F21" t="n">
        <v>97840.41</v>
      </c>
      <c r="G21" t="n">
        <v>83903.77</v>
      </c>
      <c r="H21" t="n">
        <v>78473.75</v>
      </c>
      <c r="I21" t="n">
        <v>74619.28</v>
      </c>
      <c r="J21" t="n">
        <v>89249.84</v>
      </c>
      <c r="K21" t="n">
        <v>69295.19</v>
      </c>
      <c r="L21" t="n">
        <v>61491.32000000001</v>
      </c>
      <c r="M21" t="n">
        <v>72451.08</v>
      </c>
      <c r="N21" t="n">
        <v>63966.4</v>
      </c>
      <c r="O21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" customHeight="1" s="89">
      <c r="B22" s="10" t="inlineStr">
        <is>
          <t>COST OF GOODS SOLD</t>
        </is>
      </c>
      <c r="C22" s="11" t="n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t="n">
        <v>2799.5</v>
      </c>
      <c r="E23" t="n">
        <v>1557.5</v>
      </c>
      <c r="F23" t="n">
        <v>1159.5</v>
      </c>
      <c r="G23" t="n">
        <v>1021.25</v>
      </c>
      <c r="H23" t="n">
        <v>1015</v>
      </c>
      <c r="I23" t="n">
        <v>839</v>
      </c>
      <c r="J23" t="n">
        <v>1382</v>
      </c>
      <c r="K23" t="n">
        <v>1147.25</v>
      </c>
      <c r="L23" t="n">
        <v>933</v>
      </c>
      <c r="M23" t="n">
        <v>1188</v>
      </c>
      <c r="N23" t="n">
        <v>614</v>
      </c>
      <c r="O23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t="n">
        <v>2921.69</v>
      </c>
      <c r="E24" t="n">
        <v>2096.46</v>
      </c>
      <c r="F24" t="n">
        <v>2432.33</v>
      </c>
      <c r="G24" t="n">
        <v>1768.34</v>
      </c>
      <c r="H24" t="n">
        <v>2119.79</v>
      </c>
      <c r="I24" t="n">
        <v>2070.91</v>
      </c>
      <c r="J24" t="n">
        <v>2121.41</v>
      </c>
      <c r="K24" t="n">
        <v>1369.72</v>
      </c>
      <c r="L24" t="n">
        <v>2153.23</v>
      </c>
      <c r="M24" t="n">
        <v>1736.16</v>
      </c>
      <c r="N24" t="n">
        <v>1871.58</v>
      </c>
      <c r="O24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t="n">
        <v>5721.190000000001</v>
      </c>
      <c r="E25" t="n">
        <v>3653.96</v>
      </c>
      <c r="F25" t="n">
        <v>3591.83</v>
      </c>
      <c r="G25" t="n">
        <v>2789.59</v>
      </c>
      <c r="H25" t="n">
        <v>3134.79</v>
      </c>
      <c r="I25" t="n">
        <v>2909.91</v>
      </c>
      <c r="J25" t="n">
        <v>3503.41</v>
      </c>
      <c r="K25" t="n">
        <v>2516.97</v>
      </c>
      <c r="L25" t="n">
        <v>3086.23</v>
      </c>
      <c r="M25" t="n">
        <v>2924.16</v>
      </c>
      <c r="N25" t="n">
        <v>2485.58</v>
      </c>
      <c r="O2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t="n">
        <v>58741.83999999999</v>
      </c>
      <c r="E26" t="n">
        <v>76138.55</v>
      </c>
      <c r="F26" t="n">
        <v>94248.58</v>
      </c>
      <c r="G26" t="n">
        <v>81114.18000000001</v>
      </c>
      <c r="H26" t="n">
        <v>75338.96000000001</v>
      </c>
      <c r="I26" t="n">
        <v>71709.37</v>
      </c>
      <c r="J26" t="n">
        <v>85746.42999999999</v>
      </c>
      <c r="K26" t="n">
        <v>66778.22</v>
      </c>
      <c r="L26" t="n">
        <v>58405.09</v>
      </c>
      <c r="M26" t="n">
        <v>69526.92</v>
      </c>
      <c r="N26" t="n">
        <v>61480.82</v>
      </c>
      <c r="O26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" customHeight="1" s="89">
      <c r="B27" s="10" t="inlineStr">
        <is>
          <t>OPERATING EXPENSES</t>
        </is>
      </c>
      <c r="C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t="n">
        <v>5583.91</v>
      </c>
      <c r="E28" t="n">
        <v>4111.28</v>
      </c>
      <c r="F28" t="n">
        <v>5455.76</v>
      </c>
      <c r="G28" t="n">
        <v>4201.5</v>
      </c>
      <c r="H28" t="n">
        <v>5710.77</v>
      </c>
      <c r="I28" t="n">
        <v>5142.58</v>
      </c>
      <c r="J28" t="n">
        <v>2513.85</v>
      </c>
      <c r="K28" t="n">
        <v>3737.88</v>
      </c>
      <c r="L28" t="n">
        <v>2396.1</v>
      </c>
      <c r="M28" t="n">
        <v>2483.27</v>
      </c>
      <c r="N28" t="n">
        <v>3074.26</v>
      </c>
      <c r="O28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t="n">
        <v>0</v>
      </c>
      <c r="E30" t="n">
        <v>0</v>
      </c>
      <c r="F30" t="n">
        <v>0</v>
      </c>
      <c r="G30" t="n">
        <v>336.84</v>
      </c>
      <c r="H30" t="n">
        <v>238.02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t="n">
        <v>5583.91</v>
      </c>
      <c r="E33" t="n">
        <v>4111.28</v>
      </c>
      <c r="F33" t="n">
        <v>5455.76</v>
      </c>
      <c r="G33" t="n">
        <v>4538.34</v>
      </c>
      <c r="H33" t="n">
        <v>5948.790000000001</v>
      </c>
      <c r="I33" t="n">
        <v>5142.58</v>
      </c>
      <c r="J33" t="n">
        <v>2513.85</v>
      </c>
      <c r="K33" t="n">
        <v>3737.88</v>
      </c>
      <c r="L33" t="n">
        <v>2396.1</v>
      </c>
      <c r="M33" t="n">
        <v>2483.27</v>
      </c>
      <c r="N33" t="n">
        <v>3074.26</v>
      </c>
      <c r="O33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t="n">
        <v>27077.73</v>
      </c>
      <c r="E34" t="n">
        <v>32061.5</v>
      </c>
      <c r="F34" t="n">
        <v>37591.94</v>
      </c>
      <c r="G34" t="n">
        <v>32272.05</v>
      </c>
      <c r="H34" t="n">
        <v>35638.26</v>
      </c>
      <c r="I34" t="n">
        <v>33008.3</v>
      </c>
      <c r="J34" t="n">
        <v>33445.76</v>
      </c>
      <c r="K34" t="n">
        <v>34893.25</v>
      </c>
      <c r="L34" t="n">
        <v>34455.83</v>
      </c>
      <c r="M34" t="n">
        <v>34637.82</v>
      </c>
      <c r="N34" t="n">
        <v>27904.25</v>
      </c>
      <c r="O34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t="n">
        <v>4220.65</v>
      </c>
      <c r="E35" t="n">
        <v>4852.48</v>
      </c>
      <c r="F35" t="n">
        <v>4990.88</v>
      </c>
      <c r="G35" t="n">
        <v>3964.9</v>
      </c>
      <c r="H35" t="n">
        <v>4114.33</v>
      </c>
      <c r="I35" t="n">
        <v>3607.11</v>
      </c>
      <c r="J35" t="n">
        <v>3610.81</v>
      </c>
      <c r="K35" t="n">
        <v>3622.97</v>
      </c>
      <c r="L35" t="n">
        <v>3601.54</v>
      </c>
      <c r="M35" t="n">
        <v>3653.63</v>
      </c>
      <c r="N35" t="n">
        <v>3253.01</v>
      </c>
      <c r="O35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t="n">
        <v>353.07</v>
      </c>
      <c r="E36" t="n">
        <v>450.16</v>
      </c>
      <c r="F36" t="n">
        <v>447.54</v>
      </c>
      <c r="G36" t="n">
        <v>3061.35</v>
      </c>
      <c r="H36" t="n">
        <v>839.33</v>
      </c>
      <c r="I36" t="n">
        <v>1226.49</v>
      </c>
      <c r="J36" t="n">
        <v>172.52</v>
      </c>
      <c r="K36" t="n">
        <v>698.71</v>
      </c>
      <c r="L36" t="n">
        <v>889.77</v>
      </c>
      <c r="M36" t="n">
        <v>740.48</v>
      </c>
      <c r="N36" t="n">
        <v>711.2</v>
      </c>
      <c r="O36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t="n">
        <v>1642.89</v>
      </c>
      <c r="E37" t="n">
        <v>411.29</v>
      </c>
      <c r="F37" t="n">
        <v>428.39</v>
      </c>
      <c r="G37" t="n">
        <v>546.36</v>
      </c>
      <c r="H37" t="n">
        <v>419.84</v>
      </c>
      <c r="I37" t="n">
        <v>425.54</v>
      </c>
      <c r="J37" t="n">
        <v>534.96</v>
      </c>
      <c r="K37" t="n">
        <v>609.8099999999999</v>
      </c>
      <c r="L37" t="n">
        <v>650.08</v>
      </c>
      <c r="M37" t="n">
        <v>425.54</v>
      </c>
      <c r="N37" t="n">
        <v>641.53</v>
      </c>
      <c r="O37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t="n">
        <v>41686.02</v>
      </c>
      <c r="E38" t="n">
        <v>48516.96000000001</v>
      </c>
      <c r="F38" t="n">
        <v>53506.38</v>
      </c>
      <c r="G38" t="n">
        <v>48424.94</v>
      </c>
      <c r="H38" t="n">
        <v>49565.77</v>
      </c>
      <c r="I38" t="n">
        <v>43723.78000000001</v>
      </c>
      <c r="J38" t="n">
        <v>43425.73</v>
      </c>
      <c r="K38" t="n">
        <v>45404.95</v>
      </c>
      <c r="L38" t="n">
        <v>45501.65</v>
      </c>
      <c r="M38" t="n">
        <v>45520.52</v>
      </c>
      <c r="N38" t="n">
        <v>38773.28</v>
      </c>
      <c r="O38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t="n">
        <v>740.83</v>
      </c>
      <c r="E39" t="n">
        <v>694.22</v>
      </c>
      <c r="F39" t="n">
        <v>618.25</v>
      </c>
      <c r="G39" t="n">
        <v>1500.01</v>
      </c>
      <c r="H39" t="n">
        <v>1288.95</v>
      </c>
      <c r="I39" t="n">
        <v>486.45</v>
      </c>
      <c r="J39" t="n">
        <v>762.9400000000001</v>
      </c>
      <c r="K39" t="n">
        <v>1714.72</v>
      </c>
      <c r="L39" t="n">
        <v>645</v>
      </c>
      <c r="M39" t="n">
        <v>753.1</v>
      </c>
      <c r="N39" t="n">
        <v>777.6</v>
      </c>
      <c r="O3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t="n">
        <v>1804.29</v>
      </c>
      <c r="E40" t="n">
        <v>2018.29</v>
      </c>
      <c r="F40" t="n">
        <v>1911.29</v>
      </c>
      <c r="G40" t="n">
        <v>1911.29</v>
      </c>
      <c r="H40" t="n">
        <v>1911.29</v>
      </c>
      <c r="I40" t="n">
        <v>1911.29</v>
      </c>
      <c r="J40" t="n">
        <v>1911.29</v>
      </c>
      <c r="K40" t="n">
        <v>1911.29</v>
      </c>
      <c r="L40" t="n">
        <v>1911.29</v>
      </c>
      <c r="M40" t="n">
        <v>2269.41</v>
      </c>
      <c r="N40" t="n">
        <v>2269.41</v>
      </c>
      <c r="O40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>
        <f>D39+D40+D41</f>
        <v/>
      </c>
      <c r="E42">
        <f>E39+E40+E41</f>
        <v/>
      </c>
      <c r="F42">
        <f>F39+F40+F41</f>
        <v/>
      </c>
      <c r="G42">
        <f>G39+G40+G41</f>
        <v/>
      </c>
      <c r="H42">
        <f>H39+H40+H41</f>
        <v/>
      </c>
      <c r="I42">
        <f>I39+I40+I41</f>
        <v/>
      </c>
      <c r="J42">
        <f>J39+J40+J41</f>
        <v/>
      </c>
      <c r="K42">
        <f>K39+K40+K41</f>
        <v/>
      </c>
      <c r="L42">
        <f>L39+L40+L41</f>
        <v/>
      </c>
      <c r="M42">
        <f>M39+M40+M41</f>
        <v/>
      </c>
      <c r="N42">
        <f>N39+N40+N41</f>
        <v/>
      </c>
      <c r="O42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t="n">
        <v>321.75</v>
      </c>
      <c r="E44" t="n">
        <v>140.5</v>
      </c>
      <c r="F44" t="n">
        <v>248</v>
      </c>
      <c r="G44" t="n">
        <v>45.25</v>
      </c>
      <c r="H44" t="n">
        <v>1345</v>
      </c>
      <c r="I44" t="n">
        <v>45.5</v>
      </c>
      <c r="J44" t="n">
        <v>45.5</v>
      </c>
      <c r="K44" t="n">
        <v>951.75</v>
      </c>
      <c r="L44" t="n">
        <v>52.5</v>
      </c>
      <c r="M44" t="n">
        <v>162.5</v>
      </c>
      <c r="N44" t="n">
        <v>154.54</v>
      </c>
      <c r="O44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479.1</v>
      </c>
      <c r="K46" t="n">
        <v>479.1</v>
      </c>
      <c r="L46" t="n">
        <v>479.1</v>
      </c>
      <c r="M46" t="n">
        <v>743.5</v>
      </c>
      <c r="N46" t="n">
        <v>481</v>
      </c>
      <c r="O46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t="n">
        <v>321.75</v>
      </c>
      <c r="E47" t="n">
        <v>140.5</v>
      </c>
      <c r="F47" t="n">
        <v>248</v>
      </c>
      <c r="G47" t="n">
        <v>45.25</v>
      </c>
      <c r="H47" t="n">
        <v>1345</v>
      </c>
      <c r="I47" t="n">
        <v>45.5</v>
      </c>
      <c r="J47" t="n">
        <v>524.6</v>
      </c>
      <c r="K47" t="n">
        <v>1430.85</v>
      </c>
      <c r="L47" t="n">
        <v>531.6</v>
      </c>
      <c r="M47" t="n">
        <v>906</v>
      </c>
      <c r="N47" t="n">
        <v>635.54</v>
      </c>
      <c r="O47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t="n">
        <v>0</v>
      </c>
      <c r="E49" t="n">
        <v>72.86</v>
      </c>
      <c r="F49" t="n">
        <v>51.25</v>
      </c>
      <c r="G49" t="n">
        <v>156.68</v>
      </c>
      <c r="H49" t="n">
        <v>111.67</v>
      </c>
      <c r="I49" t="n">
        <v>0</v>
      </c>
      <c r="J49" t="n">
        <v>130.25</v>
      </c>
      <c r="K49" t="n">
        <v>0</v>
      </c>
      <c r="L49" t="n">
        <v>205.66</v>
      </c>
      <c r="M49" t="n">
        <v>88.48999999999999</v>
      </c>
      <c r="N49" t="n">
        <v>0</v>
      </c>
      <c r="O4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>
        <f>D48+D49</f>
        <v/>
      </c>
      <c r="E50">
        <f>E48+E49</f>
        <v/>
      </c>
      <c r="F50">
        <f>F48+F49</f>
        <v/>
      </c>
      <c r="G50">
        <f>G48+G49</f>
        <v/>
      </c>
      <c r="H50">
        <f>H48+H49</f>
        <v/>
      </c>
      <c r="I50">
        <f>I48+I49</f>
        <v/>
      </c>
      <c r="J50">
        <f>J48+J49</f>
        <v/>
      </c>
      <c r="K50">
        <f>K48+K49</f>
        <v/>
      </c>
      <c r="L50">
        <f>L48+L49</f>
        <v/>
      </c>
      <c r="M50">
        <f>M48+M49</f>
        <v/>
      </c>
      <c r="N50">
        <f>N48+N49</f>
        <v/>
      </c>
      <c r="O50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t="n">
        <v>634.51</v>
      </c>
      <c r="E51" t="n">
        <v>0</v>
      </c>
      <c r="F51" t="n">
        <v>0</v>
      </c>
      <c r="G51" t="n">
        <v>504.23</v>
      </c>
      <c r="H51" t="n">
        <v>303.91</v>
      </c>
      <c r="I51" t="n">
        <v>214.85</v>
      </c>
      <c r="J51" t="n">
        <v>0</v>
      </c>
      <c r="K51" t="n">
        <v>1498.15</v>
      </c>
      <c r="L51" t="n">
        <v>316.89</v>
      </c>
      <c r="M51" t="n">
        <v>633.78</v>
      </c>
      <c r="N51" t="n">
        <v>591.92</v>
      </c>
      <c r="O51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t="n">
        <v>131.2</v>
      </c>
      <c r="E53" t="n">
        <v>165.49</v>
      </c>
      <c r="F53" t="n">
        <v>229</v>
      </c>
      <c r="G53" t="n">
        <v>67.52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t="n">
        <v>0</v>
      </c>
      <c r="E54" t="n">
        <v>323.39</v>
      </c>
      <c r="F54" t="n">
        <v>167.83</v>
      </c>
      <c r="G54" t="n">
        <v>167.82</v>
      </c>
      <c r="H54" t="n">
        <v>186.23</v>
      </c>
      <c r="I54" t="n">
        <v>186.22</v>
      </c>
      <c r="J54" t="n">
        <v>0</v>
      </c>
      <c r="K54" t="n">
        <v>360.18</v>
      </c>
      <c r="L54" t="n">
        <v>0</v>
      </c>
      <c r="M54" t="n">
        <v>458.86</v>
      </c>
      <c r="N54" t="n">
        <v>0</v>
      </c>
      <c r="O54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t="n">
        <v>886.95</v>
      </c>
      <c r="E56" t="n">
        <v>610.12</v>
      </c>
      <c r="F56" t="n">
        <v>518.0700000000001</v>
      </c>
      <c r="G56" t="n">
        <v>860.8099999999999</v>
      </c>
      <c r="H56" t="n">
        <v>611.38</v>
      </c>
      <c r="I56" t="n">
        <v>522.3099999999999</v>
      </c>
      <c r="J56" t="n">
        <v>121.24</v>
      </c>
      <c r="K56" t="n">
        <v>1979.57</v>
      </c>
      <c r="L56" t="n">
        <v>438.13</v>
      </c>
      <c r="M56" t="n">
        <v>1213.88</v>
      </c>
      <c r="N56" t="n">
        <v>768.3699999999999</v>
      </c>
      <c r="O56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t="n">
        <v>19577.86</v>
      </c>
      <c r="E57" t="n">
        <v>19577.86</v>
      </c>
      <c r="F57" t="n">
        <v>19577.86</v>
      </c>
      <c r="G57" t="n">
        <v>19577.86</v>
      </c>
      <c r="H57" t="n">
        <v>19577.86</v>
      </c>
      <c r="I57" t="n">
        <v>19577.86</v>
      </c>
      <c r="J57" t="n">
        <v>19577.86</v>
      </c>
      <c r="K57" t="n">
        <v>19616.62</v>
      </c>
      <c r="L57" t="n">
        <v>19577.86</v>
      </c>
      <c r="M57" t="n">
        <v>19577.86</v>
      </c>
      <c r="N57" t="n">
        <v>19577.86</v>
      </c>
      <c r="O57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t="n">
        <v>0</v>
      </c>
      <c r="E58" t="n">
        <v>0</v>
      </c>
      <c r="F58" t="n">
        <v>185</v>
      </c>
      <c r="G58" t="n">
        <v>0</v>
      </c>
      <c r="H58" t="n">
        <v>587.5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t="n">
        <v>783.16</v>
      </c>
      <c r="E59" t="n">
        <v>128.11</v>
      </c>
      <c r="F59" t="n">
        <v>63</v>
      </c>
      <c r="G59" t="n">
        <v>0</v>
      </c>
      <c r="H59" t="n">
        <v>27.67</v>
      </c>
      <c r="I59" t="n">
        <v>234.71</v>
      </c>
      <c r="J59" t="n">
        <v>343.49</v>
      </c>
      <c r="K59" t="n">
        <v>68.45</v>
      </c>
      <c r="L59" t="n">
        <v>50.52</v>
      </c>
      <c r="M59" t="n">
        <v>145.17</v>
      </c>
      <c r="N59" t="n">
        <v>388.16</v>
      </c>
      <c r="O5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t="n">
        <v>1888.83</v>
      </c>
      <c r="E60" t="n">
        <v>1888.83</v>
      </c>
      <c r="F60" t="n">
        <v>3187.57</v>
      </c>
      <c r="G60" t="n">
        <v>1888.83</v>
      </c>
      <c r="H60" t="n">
        <v>1888.83</v>
      </c>
      <c r="I60" t="n">
        <v>1888.83</v>
      </c>
      <c r="J60" t="n">
        <v>1888.83</v>
      </c>
      <c r="K60" t="n">
        <v>1888.83</v>
      </c>
      <c r="L60" t="n">
        <v>1888.83</v>
      </c>
      <c r="M60" t="n">
        <v>1888.83</v>
      </c>
      <c r="N60" t="n">
        <v>1888.83</v>
      </c>
      <c r="O60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t="n">
        <v>22249.85</v>
      </c>
      <c r="E61" t="n">
        <v>21594.8</v>
      </c>
      <c r="F61" t="n">
        <v>23013.43</v>
      </c>
      <c r="G61" t="n">
        <v>21466.69</v>
      </c>
      <c r="H61" t="n">
        <v>22102.11</v>
      </c>
      <c r="I61" t="n">
        <v>21701.4</v>
      </c>
      <c r="J61" t="n">
        <v>21810.18</v>
      </c>
      <c r="K61" t="n">
        <v>21573.9</v>
      </c>
      <c r="L61" t="n">
        <v>21828.18</v>
      </c>
      <c r="M61" t="n">
        <v>21611.86</v>
      </c>
      <c r="N61" t="n">
        <v>22029.85</v>
      </c>
      <c r="O61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t="n">
        <v>74715.5</v>
      </c>
      <c r="E62" t="n">
        <v>79972.21000000002</v>
      </c>
      <c r="F62" t="n">
        <v>86871.42000000001</v>
      </c>
      <c r="G62" t="n">
        <v>80987.43000000001</v>
      </c>
      <c r="H62" t="n">
        <v>84089.39</v>
      </c>
      <c r="I62" t="n">
        <v>74296.08</v>
      </c>
      <c r="J62" t="n">
        <v>72219.26999999999</v>
      </c>
      <c r="K62" t="n">
        <v>78468.29999999999</v>
      </c>
      <c r="L62" t="n">
        <v>74380.94</v>
      </c>
      <c r="M62" t="n">
        <v>78501.21999999999</v>
      </c>
      <c r="N62" t="n">
        <v>70171.54999999999</v>
      </c>
      <c r="O62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t="n">
        <v>-15973.66000000001</v>
      </c>
      <c r="E63" t="n">
        <v>-3833.660000000018</v>
      </c>
      <c r="F63" t="n">
        <v>7377.159999999989</v>
      </c>
      <c r="G63" t="n">
        <v>126.75</v>
      </c>
      <c r="H63" t="n">
        <v>-8750.429999999993</v>
      </c>
      <c r="I63" t="n">
        <v>-2586.710000000006</v>
      </c>
      <c r="J63" t="n">
        <v>13527.16</v>
      </c>
      <c r="K63" t="n">
        <v>-11690.07999999999</v>
      </c>
      <c r="L63" t="n">
        <v>-15975.85</v>
      </c>
      <c r="M63" t="n">
        <v>-8974.299999999988</v>
      </c>
      <c r="N63" t="n">
        <v>-8690.729999999989</v>
      </c>
      <c r="O63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" customHeight="1" s="89">
      <c r="B64" s="10" t="inlineStr">
        <is>
          <t>OTHER</t>
        </is>
      </c>
      <c r="C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t="n">
        <v>1861.07</v>
      </c>
      <c r="E65" t="n">
        <v>1866.22</v>
      </c>
      <c r="F65" t="n">
        <v>1927.7</v>
      </c>
      <c r="G65" t="n">
        <v>1941.94</v>
      </c>
      <c r="H65" t="n">
        <v>1941.94</v>
      </c>
      <c r="I65" t="n">
        <v>1941.94</v>
      </c>
      <c r="J65" t="n">
        <v>1947.15</v>
      </c>
      <c r="K65" t="n">
        <v>1950.35</v>
      </c>
      <c r="L65" t="n">
        <v>1950.35</v>
      </c>
      <c r="M65" t="n">
        <v>1950.35</v>
      </c>
      <c r="N65" t="n">
        <v>1991.93</v>
      </c>
      <c r="O65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>
        <f>U69*0.319296</f>
        <v/>
      </c>
      <c r="V65" s="20">
        <f>V69*0.319296</f>
        <v/>
      </c>
      <c r="W65" s="20">
        <f>W69*0.319296</f>
        <v/>
      </c>
      <c r="X65" s="20">
        <f>X69*0.319296</f>
        <v/>
      </c>
      <c r="Y65" s="20">
        <f>Y69*0.319296</f>
        <v/>
      </c>
      <c r="Z65" s="20">
        <f>Z69*0.319296</f>
        <v/>
      </c>
      <c r="AA65" s="20">
        <f>AA69*0.319296</f>
        <v/>
      </c>
      <c r="AB65" s="20">
        <f>AB69*0.319296</f>
        <v/>
      </c>
      <c r="AC65" s="20">
        <f>AC69*0.319296</f>
        <v/>
      </c>
      <c r="AD65" s="20">
        <f>AD69*0.319296</f>
        <v/>
      </c>
      <c r="AE65" s="20">
        <f>AE69*0.319296</f>
        <v/>
      </c>
      <c r="AF65" s="20">
        <f>AF69*0.319296</f>
        <v/>
      </c>
      <c r="AG65" s="20">
        <f>AG69*0.319296</f>
        <v/>
      </c>
      <c r="AH65" s="20">
        <f>AH69*0.319296</f>
        <v/>
      </c>
      <c r="AI65" s="20">
        <f>AI69*0.319296</f>
        <v/>
      </c>
      <c r="AJ65" s="20">
        <f>AJ69*0.319296</f>
        <v/>
      </c>
      <c r="AK65" s="20">
        <f>AK69*0.319296</f>
        <v/>
      </c>
      <c r="AL65" s="20">
        <f>AL69*0.319296</f>
        <v/>
      </c>
      <c r="AM65" s="20">
        <f>AM69*0.319296</f>
        <v/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>
        <f>U69*0.022208</f>
        <v/>
      </c>
      <c r="V67" s="20">
        <f>V69*0.022208</f>
        <v/>
      </c>
      <c r="W67" s="20">
        <f>W69*0.022208</f>
        <v/>
      </c>
      <c r="X67" s="20">
        <f>X69*0.022208</f>
        <v/>
      </c>
      <c r="Y67" s="20">
        <f>Y69*0.022208</f>
        <v/>
      </c>
      <c r="Z67" s="20">
        <f>Z69*0.022208</f>
        <v/>
      </c>
      <c r="AA67" s="20">
        <f>AA69*0.022208</f>
        <v/>
      </c>
      <c r="AB67" s="20">
        <f>AB69*0.022208</f>
        <v/>
      </c>
      <c r="AC67" s="20">
        <f>AC69*0.022208</f>
        <v/>
      </c>
      <c r="AD67" s="20">
        <f>AD69*0.022208</f>
        <v/>
      </c>
      <c r="AE67" s="20">
        <f>AE69*0.022208</f>
        <v/>
      </c>
      <c r="AF67" s="20">
        <f>AF69*0.022208</f>
        <v/>
      </c>
      <c r="AG67" s="20">
        <f>AG69*0.022208</f>
        <v/>
      </c>
      <c r="AH67" s="20">
        <f>AH69*0.022208</f>
        <v/>
      </c>
      <c r="AI67" s="20">
        <f>AI69*0.022208</f>
        <v/>
      </c>
      <c r="AJ67" s="20">
        <f>AJ69*0.022208</f>
        <v/>
      </c>
      <c r="AK67" s="20">
        <f>AK69*0.022208</f>
        <v/>
      </c>
      <c r="AL67" s="20">
        <f>AL69*0.022208</f>
        <v/>
      </c>
      <c r="AM67" s="20">
        <f>AM69*0.022208</f>
        <v/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t="n">
        <v>3356.51</v>
      </c>
      <c r="E68" t="n">
        <v>3526.51</v>
      </c>
      <c r="F68" t="n">
        <v>3441.51</v>
      </c>
      <c r="G68" t="n">
        <v>3441.51</v>
      </c>
      <c r="H68" t="n">
        <v>3441.51</v>
      </c>
      <c r="I68" t="n">
        <v>3441.51</v>
      </c>
      <c r="J68" t="n">
        <v>5341.36</v>
      </c>
      <c r="K68" t="n">
        <v>3441.51</v>
      </c>
      <c r="L68" t="n">
        <v>3441.51</v>
      </c>
      <c r="M68" t="n">
        <v>3441.51</v>
      </c>
      <c r="N68" t="n">
        <v>3441.51</v>
      </c>
      <c r="O68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t="n">
        <v>5217.58</v>
      </c>
      <c r="E69" t="n">
        <v>5392.73</v>
      </c>
      <c r="F69" t="n">
        <v>5369.21</v>
      </c>
      <c r="G69" t="n">
        <v>5383.450000000001</v>
      </c>
      <c r="H69" t="n">
        <v>5383.450000000001</v>
      </c>
      <c r="I69" t="n">
        <v>5383.450000000001</v>
      </c>
      <c r="J69" t="n">
        <v>7288.51</v>
      </c>
      <c r="K69" t="n">
        <v>5391.860000000001</v>
      </c>
      <c r="L69" t="n">
        <v>5391.860000000001</v>
      </c>
      <c r="M69" t="n">
        <v>5391.860000000001</v>
      </c>
      <c r="N69" t="n">
        <v>4433.440000000001</v>
      </c>
      <c r="O69" t="n">
        <v>3242.35</v>
      </c>
      <c r="P69" s="35" t="n">
        <v>5453.99</v>
      </c>
      <c r="Q69" s="35" t="n">
        <v>5949.49</v>
      </c>
      <c r="R69" s="35" t="n">
        <v>5453.99</v>
      </c>
      <c r="S69" s="35" t="n">
        <v>5453.99</v>
      </c>
      <c r="T69" s="85" t="n">
        <v>5453.99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t="n">
        <v>-21191.24000000001</v>
      </c>
      <c r="E70" t="n">
        <v>-9226.390000000018</v>
      </c>
      <c r="F70" t="n">
        <v>2007.949999999989</v>
      </c>
      <c r="G70" t="n">
        <v>-5256.700000000001</v>
      </c>
      <c r="H70" t="n">
        <v>-14133.87999999999</v>
      </c>
      <c r="I70" t="n">
        <v>-7970.160000000007</v>
      </c>
      <c r="J70" t="n">
        <v>6238.650000000003</v>
      </c>
      <c r="K70" t="n">
        <v>-17081.93999999999</v>
      </c>
      <c r="L70" t="n">
        <v>-21367.71</v>
      </c>
      <c r="M70" t="n">
        <v>-14366.15999999999</v>
      </c>
      <c r="N70" t="n">
        <v>-13124.16999999999</v>
      </c>
      <c r="O70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A1:AY42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hidden="1" width="2" customWidth="1" style="89" min="1" max="1"/>
    <col width="34" customWidth="1" style="89" min="2" max="2"/>
    <col width="10" customWidth="1" style="89" min="3" max="3"/>
    <col width="12" customWidth="1" style="89" min="4" max="39"/>
  </cols>
  <sheetData>
    <row r="1"/>
    <row r="2" ht="21" customHeight="1" s="89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" customHeight="1" s="89">
      <c r="B4" s="44" t="inlineStr">
        <is>
          <t>Monthly P&amp;L (Overhead)</t>
        </is>
      </c>
      <c r="C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t="inlineStr">
        <is>
          <t>Jan 2025 (A)</t>
        </is>
      </c>
      <c r="E5" t="inlineStr">
        <is>
          <t>Feb 2025 (A)</t>
        </is>
      </c>
      <c r="F5" t="inlineStr">
        <is>
          <t>Mar 2025 (A)</t>
        </is>
      </c>
      <c r="G5" t="inlineStr">
        <is>
          <t>Apr 2025 (A)</t>
        </is>
      </c>
      <c r="H5" t="inlineStr">
        <is>
          <t>May 2025 (A)</t>
        </is>
      </c>
      <c r="I5" t="inlineStr">
        <is>
          <t>Jun 2025 (A)</t>
        </is>
      </c>
      <c r="J5" t="inlineStr">
        <is>
          <t>Jul 2025 (A)</t>
        </is>
      </c>
      <c r="K5" t="inlineStr">
        <is>
          <t>Aug 2025 (A)</t>
        </is>
      </c>
      <c r="L5" t="inlineStr">
        <is>
          <t>Sep 2025 (A)</t>
        </is>
      </c>
      <c r="M5" t="inlineStr">
        <is>
          <t>Oct 2025 (A)</t>
        </is>
      </c>
      <c r="N5" t="inlineStr">
        <is>
          <t>Nov 2025 (A)</t>
        </is>
      </c>
      <c r="O5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48" t="inlineStr">
        <is>
          <t>May 2026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" customHeight="1" s="89">
      <c r="B6" s="44" t="inlineStr">
        <is>
          <t>OPERATING EXPENSES</t>
        </is>
      </c>
      <c r="C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t="n">
        <v>5222.87</v>
      </c>
      <c r="E7" t="n">
        <v>3500</v>
      </c>
      <c r="F7" t="n">
        <v>8928.360000000001</v>
      </c>
      <c r="G7" t="n">
        <v>1654.75</v>
      </c>
      <c r="H7" t="n">
        <v>4571.34</v>
      </c>
      <c r="I7" t="n">
        <v>2578.32</v>
      </c>
      <c r="J7" t="n">
        <v>6766.11</v>
      </c>
      <c r="K7" t="n">
        <v>304.07</v>
      </c>
      <c r="L7" t="n">
        <v>8806.35</v>
      </c>
      <c r="M7" t="n">
        <v>7580</v>
      </c>
      <c r="N7" t="n">
        <v>4545.88</v>
      </c>
      <c r="O7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86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P8" s="40" t="n">
        <v>0</v>
      </c>
      <c r="Q8" s="40" t="n">
        <v>0</v>
      </c>
      <c r="R8" s="40" t="n">
        <v>0</v>
      </c>
      <c r="S8" s="40" t="n">
        <v>0</v>
      </c>
      <c r="T8" s="86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t="n">
        <v>0</v>
      </c>
      <c r="E9" t="n">
        <v>0</v>
      </c>
      <c r="F9" t="n">
        <v>1107.42</v>
      </c>
      <c r="G9" t="n">
        <v>0</v>
      </c>
      <c r="H9" t="n">
        <v>1218.03</v>
      </c>
      <c r="I9" t="n">
        <v>0</v>
      </c>
      <c r="J9" t="n">
        <v>0</v>
      </c>
      <c r="K9" t="n">
        <v>1588.47</v>
      </c>
      <c r="L9" t="n">
        <v>20.84</v>
      </c>
      <c r="M9" t="n">
        <v>396.92</v>
      </c>
      <c r="N9" t="n">
        <v>0</v>
      </c>
      <c r="O9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86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P10" s="40" t="n">
        <v>0</v>
      </c>
      <c r="Q10" s="40" t="n">
        <v>0</v>
      </c>
      <c r="R10" s="40" t="n">
        <v>0</v>
      </c>
      <c r="S10" s="40" t="n">
        <v>0</v>
      </c>
      <c r="T10" s="86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t="n">
        <v>4218.75</v>
      </c>
      <c r="E11" t="n">
        <v>4375</v>
      </c>
      <c r="F11" t="n">
        <v>2500</v>
      </c>
      <c r="G11" t="n">
        <v>2500</v>
      </c>
      <c r="H11" t="n">
        <v>3143.75</v>
      </c>
      <c r="I11" t="n">
        <v>2500</v>
      </c>
      <c r="J11" t="n">
        <v>2500</v>
      </c>
      <c r="K11" t="n">
        <v>2500</v>
      </c>
      <c r="L11" t="n">
        <v>2500</v>
      </c>
      <c r="M11" t="n">
        <v>2500</v>
      </c>
      <c r="N11" t="n">
        <v>2500</v>
      </c>
      <c r="O11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86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t="n">
        <v>9441.620000000001</v>
      </c>
      <c r="E12" t="n">
        <v>7875</v>
      </c>
      <c r="F12" t="n">
        <v>12535.78</v>
      </c>
      <c r="G12" t="n">
        <v>4154.75</v>
      </c>
      <c r="H12" t="n">
        <v>8933.119999999999</v>
      </c>
      <c r="I12" t="n">
        <v>5078.32</v>
      </c>
      <c r="J12" t="n">
        <v>9266.110000000001</v>
      </c>
      <c r="K12" t="n">
        <v>4392.54</v>
      </c>
      <c r="L12" t="n">
        <v>11327.19</v>
      </c>
      <c r="M12" t="n">
        <v>10476.92</v>
      </c>
      <c r="N12" t="n">
        <v>7045.88</v>
      </c>
      <c r="O1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87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t="n">
        <v>46604.9</v>
      </c>
      <c r="E13" t="n">
        <v>40553.62</v>
      </c>
      <c r="F13" t="n">
        <v>47993.76</v>
      </c>
      <c r="G13" t="n">
        <v>46363.05</v>
      </c>
      <c r="H13" t="n">
        <v>66787.03</v>
      </c>
      <c r="I13" t="n">
        <v>71896.64999999999</v>
      </c>
      <c r="J13" t="n">
        <v>72722.8</v>
      </c>
      <c r="K13" t="n">
        <v>71497.48</v>
      </c>
      <c r="L13" t="n">
        <v>74650.55</v>
      </c>
      <c r="M13" t="n">
        <v>74274.97</v>
      </c>
      <c r="N13" t="n">
        <v>75085.28999999999</v>
      </c>
      <c r="O13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86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t="n">
        <v>4557.48</v>
      </c>
      <c r="E14" t="n">
        <v>3823.52</v>
      </c>
      <c r="F14" t="n">
        <v>3987.9</v>
      </c>
      <c r="G14" t="n">
        <v>3454.02</v>
      </c>
      <c r="H14" t="n">
        <v>5002.82</v>
      </c>
      <c r="I14" t="n">
        <v>5522.13</v>
      </c>
      <c r="J14" t="n">
        <v>5773.53</v>
      </c>
      <c r="K14" t="n">
        <v>6141.48</v>
      </c>
      <c r="L14" t="n">
        <v>6340.75</v>
      </c>
      <c r="M14" t="n">
        <v>5695.16</v>
      </c>
      <c r="N14" t="n">
        <v>4643.07</v>
      </c>
      <c r="O14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86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t="n">
        <v>0</v>
      </c>
      <c r="E15" t="n">
        <v>-200.13</v>
      </c>
      <c r="F15" t="n">
        <v>-874.15</v>
      </c>
      <c r="G15" t="n">
        <v>-1650.62</v>
      </c>
      <c r="H15" t="n">
        <v>-1945.37</v>
      </c>
      <c r="I15" t="n">
        <v>-555.8</v>
      </c>
      <c r="J15" t="n">
        <v>-1397.68</v>
      </c>
      <c r="K15" t="n">
        <v>3027.07</v>
      </c>
      <c r="L15" t="n">
        <v>387.74</v>
      </c>
      <c r="M15" t="n">
        <v>347.38</v>
      </c>
      <c r="N15" t="n">
        <v>2459.78</v>
      </c>
      <c r="O15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86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t="n">
        <v>209.52</v>
      </c>
      <c r="E16" t="n">
        <v>187.92</v>
      </c>
      <c r="F16" t="n">
        <v>1734.88</v>
      </c>
      <c r="G16" t="n">
        <v>1522.77</v>
      </c>
      <c r="H16" t="n">
        <v>215.28</v>
      </c>
      <c r="I16" t="n">
        <v>1685.49</v>
      </c>
      <c r="J16" t="n">
        <v>1611.01</v>
      </c>
      <c r="K16" t="n">
        <v>1769.85</v>
      </c>
      <c r="L16" t="n">
        <v>1793.54</v>
      </c>
      <c r="M16" t="n">
        <v>3489.71</v>
      </c>
      <c r="N16" t="n">
        <v>758.72</v>
      </c>
      <c r="O16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86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t="n">
        <v>62648.89999999999</v>
      </c>
      <c r="E17" t="n">
        <v>58481.13</v>
      </c>
      <c r="F17" t="n">
        <v>59031.05</v>
      </c>
      <c r="G17" t="n">
        <v>60132.63</v>
      </c>
      <c r="H17" t="n">
        <v>79736.25999999998</v>
      </c>
      <c r="I17" t="n">
        <v>89413.07000000001</v>
      </c>
      <c r="J17" t="n">
        <v>89900.96000000001</v>
      </c>
      <c r="K17" t="n">
        <v>96141.71000000001</v>
      </c>
      <c r="L17" t="n">
        <v>97319.71000000001</v>
      </c>
      <c r="M17" t="n">
        <v>98018.94000000002</v>
      </c>
      <c r="N17" t="n">
        <v>97152.52</v>
      </c>
      <c r="O17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87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t="n">
        <v>6798.1</v>
      </c>
      <c r="E18" t="n">
        <v>1494.34</v>
      </c>
      <c r="F18" t="n">
        <v>3285.23</v>
      </c>
      <c r="G18" t="n">
        <v>3326.92</v>
      </c>
      <c r="H18" t="n">
        <v>-292.94</v>
      </c>
      <c r="I18" t="n">
        <v>4017.87</v>
      </c>
      <c r="J18" t="n">
        <v>1418.36</v>
      </c>
      <c r="K18" t="n">
        <v>1759.49</v>
      </c>
      <c r="L18" t="n">
        <v>3577.78</v>
      </c>
      <c r="M18" t="n">
        <v>2899.03</v>
      </c>
      <c r="N18" t="n">
        <v>1231.38</v>
      </c>
      <c r="O18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86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t="n">
        <v>0</v>
      </c>
      <c r="E19" t="n">
        <v>483.35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86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86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P21" s="40" t="n">
        <v>627.26</v>
      </c>
      <c r="Q21" s="40" t="n">
        <v>642.7</v>
      </c>
      <c r="R21" s="40" t="n">
        <v>313.17</v>
      </c>
      <c r="S21" s="40" t="n">
        <v>321.83</v>
      </c>
      <c r="T21" s="86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>
        <f>D19+D20+D21</f>
        <v/>
      </c>
      <c r="E22">
        <f>E19+E20+E21</f>
        <v/>
      </c>
      <c r="F22">
        <f>F19+F20+F21</f>
        <v/>
      </c>
      <c r="G22">
        <f>G19+G20+G21</f>
        <v/>
      </c>
      <c r="H22">
        <f>H19+H20+H21</f>
        <v/>
      </c>
      <c r="I22">
        <f>I19+I20+I21</f>
        <v/>
      </c>
      <c r="J22">
        <f>J19+J20+J21</f>
        <v/>
      </c>
      <c r="K22">
        <f>K19+K20+K21</f>
        <v/>
      </c>
      <c r="L22">
        <f>L19+L20+L21</f>
        <v/>
      </c>
      <c r="M22">
        <f>M19+M20+M21</f>
        <v/>
      </c>
      <c r="N22">
        <f>N19+N20+N21</f>
        <v/>
      </c>
      <c r="O2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3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2540</v>
      </c>
      <c r="N23" t="n">
        <v>0</v>
      </c>
      <c r="O23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86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t="n">
        <v>3000</v>
      </c>
      <c r="E24" t="n">
        <v>0</v>
      </c>
      <c r="F24" t="n">
        <v>0</v>
      </c>
      <c r="G24" t="n">
        <v>0</v>
      </c>
      <c r="H24" t="n">
        <v>0</v>
      </c>
      <c r="I24" t="n">
        <v>760</v>
      </c>
      <c r="J24" t="n">
        <v>0</v>
      </c>
      <c r="K24" t="n">
        <v>1700</v>
      </c>
      <c r="L24" t="n">
        <v>11470.95</v>
      </c>
      <c r="M24" t="n">
        <v>46756</v>
      </c>
      <c r="N24" t="n">
        <v>29843.1</v>
      </c>
      <c r="O24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86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t="n">
        <v>0</v>
      </c>
      <c r="E25" t="n">
        <v>868.67</v>
      </c>
      <c r="F25" t="n">
        <v>2092.62</v>
      </c>
      <c r="G25" t="n">
        <v>678.14</v>
      </c>
      <c r="H25" t="n">
        <v>2640.46</v>
      </c>
      <c r="I25" t="n">
        <v>3147.1</v>
      </c>
      <c r="J25" t="n">
        <v>2516.42</v>
      </c>
      <c r="K25" t="n">
        <v>3708.19</v>
      </c>
      <c r="L25" t="n">
        <v>2281.03</v>
      </c>
      <c r="M25" t="n">
        <v>2641.54</v>
      </c>
      <c r="N25" t="n">
        <v>2685.63</v>
      </c>
      <c r="O25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86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t="n">
        <v>5831.51</v>
      </c>
      <c r="E26" t="n">
        <v>1732.5</v>
      </c>
      <c r="F26" t="n">
        <v>0</v>
      </c>
      <c r="G26" t="n">
        <v>240</v>
      </c>
      <c r="H26" t="n">
        <v>0</v>
      </c>
      <c r="I26" t="n">
        <v>23840</v>
      </c>
      <c r="J26" t="n">
        <v>8249.1</v>
      </c>
      <c r="K26" t="n">
        <v>479.1</v>
      </c>
      <c r="L26" t="n">
        <v>5684.01</v>
      </c>
      <c r="M26" t="n">
        <v>481</v>
      </c>
      <c r="N26" t="n">
        <v>481</v>
      </c>
      <c r="O26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86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t="n">
        <v>8831.51</v>
      </c>
      <c r="E27" t="n">
        <v>2601.17</v>
      </c>
      <c r="F27" t="n">
        <v>2092.62</v>
      </c>
      <c r="G27" t="n">
        <v>918.14</v>
      </c>
      <c r="H27" t="n">
        <v>2640.46</v>
      </c>
      <c r="I27" t="n">
        <v>27747.1</v>
      </c>
      <c r="J27" t="n">
        <v>10765.52</v>
      </c>
      <c r="K27" t="n">
        <v>5887.290000000001</v>
      </c>
      <c r="L27" t="n">
        <v>19435.99</v>
      </c>
      <c r="M27" t="n">
        <v>52418.54</v>
      </c>
      <c r="N27" t="n">
        <v>33009.73</v>
      </c>
      <c r="O27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87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86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t="n">
        <v>175.46</v>
      </c>
      <c r="E29" t="n">
        <v>1090.72</v>
      </c>
      <c r="F29" t="n">
        <v>1456.61</v>
      </c>
      <c r="G29" t="n">
        <v>13.02</v>
      </c>
      <c r="H29" t="n">
        <v>255.81</v>
      </c>
      <c r="I29" t="n">
        <v>140.05</v>
      </c>
      <c r="J29" t="n">
        <v>297.99</v>
      </c>
      <c r="K29" t="n">
        <v>339.46</v>
      </c>
      <c r="L29" t="n">
        <v>152.42</v>
      </c>
      <c r="M29" t="n">
        <v>1248.47</v>
      </c>
      <c r="N29" t="n">
        <v>1142.38</v>
      </c>
      <c r="O29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86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>
        <f>D28+D29</f>
        <v/>
      </c>
      <c r="E30">
        <f>E28+E29</f>
        <v/>
      </c>
      <c r="F30">
        <f>F28+F29</f>
        <v/>
      </c>
      <c r="G30">
        <f>G28+G29</f>
        <v/>
      </c>
      <c r="H30">
        <f>H28+H29</f>
        <v/>
      </c>
      <c r="I30">
        <f>I28+I29</f>
        <v/>
      </c>
      <c r="J30">
        <f>J28+J29</f>
        <v/>
      </c>
      <c r="K30">
        <f>K28+K29</f>
        <v/>
      </c>
      <c r="L30">
        <f>L28+L29</f>
        <v/>
      </c>
      <c r="M30">
        <f>M28+M29</f>
        <v/>
      </c>
      <c r="N30">
        <f>N28+N29</f>
        <v/>
      </c>
      <c r="O30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3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P31" s="40" t="n">
        <v>0</v>
      </c>
      <c r="Q31" s="40" t="n">
        <v>0</v>
      </c>
      <c r="R31" s="40" t="n">
        <v>0</v>
      </c>
      <c r="S31" s="40" t="n">
        <v>0</v>
      </c>
      <c r="T31" s="86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t="n">
        <v>202.42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66.8</v>
      </c>
      <c r="L32" t="n">
        <v>0</v>
      </c>
      <c r="M32" t="n">
        <v>0</v>
      </c>
      <c r="N32" t="n">
        <v>993.46</v>
      </c>
      <c r="O3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87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P33" s="40" t="n">
        <v>0</v>
      </c>
      <c r="Q33" s="40" t="n">
        <v>0</v>
      </c>
      <c r="R33" s="40" t="n">
        <v>0</v>
      </c>
      <c r="S33" s="40" t="n">
        <v>0</v>
      </c>
      <c r="T33" s="86" t="n">
        <v>0</v>
      </c>
      <c r="U33" s="41" t="n">
        <v>5387.33</v>
      </c>
      <c r="V33" s="41" t="n">
        <v>5387.33</v>
      </c>
      <c r="W33" s="41" t="n">
        <v>5387.33</v>
      </c>
      <c r="X33" s="41" t="n">
        <v>5387.33</v>
      </c>
      <c r="Y33" s="41" t="n">
        <v>5387.33</v>
      </c>
      <c r="Z33" s="41" t="n">
        <v>5387.33</v>
      </c>
      <c r="AA33" s="41" t="n">
        <v>5387.33</v>
      </c>
      <c r="AB33" s="41" t="n">
        <v>5602.82</v>
      </c>
      <c r="AC33" s="41" t="n">
        <v>5602.82</v>
      </c>
      <c r="AD33" s="41" t="n">
        <v>5602.82</v>
      </c>
      <c r="AE33" s="41" t="n">
        <v>5602.82</v>
      </c>
      <c r="AF33" s="41" t="n">
        <v>5602.82</v>
      </c>
      <c r="AG33" s="41" t="n">
        <v>5602.82</v>
      </c>
      <c r="AH33" s="41" t="n">
        <v>5602.82</v>
      </c>
      <c r="AI33" s="41" t="n">
        <v>5602.82</v>
      </c>
      <c r="AJ33" s="41" t="n">
        <v>5602.82</v>
      </c>
      <c r="AK33" s="41" t="n">
        <v>5602.82</v>
      </c>
      <c r="AL33" s="41" t="n">
        <v>5602.82</v>
      </c>
      <c r="AM33" s="41" t="n">
        <v>5602.82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3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t="n">
        <v>93736.42</v>
      </c>
      <c r="E35" t="n">
        <v>78385.84000000001</v>
      </c>
      <c r="F35" t="n">
        <v>81821.95</v>
      </c>
      <c r="G35" t="n">
        <v>71244.76000000002</v>
      </c>
      <c r="H35" t="n">
        <v>93472.14999999998</v>
      </c>
      <c r="I35" t="n">
        <v>133860.62</v>
      </c>
      <c r="J35" t="n">
        <v>114239.98</v>
      </c>
      <c r="K35" t="n">
        <v>112568.03</v>
      </c>
      <c r="L35" t="n">
        <v>135055.3</v>
      </c>
      <c r="M35" t="n">
        <v>177046.83</v>
      </c>
      <c r="N35" t="n">
        <v>143855.32</v>
      </c>
      <c r="O35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87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t="n">
        <v>-102558.76</v>
      </c>
      <c r="E36" t="n">
        <v>-78385.84000000001</v>
      </c>
      <c r="F36" t="n">
        <v>-81821.95</v>
      </c>
      <c r="G36" t="n">
        <v>-71244.76000000002</v>
      </c>
      <c r="H36" t="n">
        <v>-93472.14999999998</v>
      </c>
      <c r="I36" t="n">
        <v>-133860.62</v>
      </c>
      <c r="J36" t="n">
        <v>-114239.98</v>
      </c>
      <c r="K36" t="n">
        <v>-112568.03</v>
      </c>
      <c r="L36" t="n">
        <v>-135055.3</v>
      </c>
      <c r="M36" t="n">
        <v>-177046.83</v>
      </c>
      <c r="N36" t="n">
        <v>-143855.32</v>
      </c>
      <c r="O36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87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" customHeight="1" s="89">
      <c r="B37" s="44" t="inlineStr">
        <is>
          <t>OTHER</t>
        </is>
      </c>
      <c r="C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t="n">
        <v>407.03</v>
      </c>
      <c r="E38" t="n">
        <v>407.03</v>
      </c>
      <c r="F38" t="n">
        <v>407.03</v>
      </c>
      <c r="G38" t="n">
        <v>408.58</v>
      </c>
      <c r="H38" t="n">
        <v>408.58</v>
      </c>
      <c r="I38" t="n">
        <v>382.03</v>
      </c>
      <c r="J38" t="n">
        <v>382.03</v>
      </c>
      <c r="K38" t="n">
        <v>382.03</v>
      </c>
      <c r="L38" t="n">
        <v>382.03</v>
      </c>
      <c r="M38" t="n">
        <v>886.49</v>
      </c>
      <c r="N38" t="n">
        <v>968.13</v>
      </c>
      <c r="O38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86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86" t="n">
        <v>0</v>
      </c>
      <c r="U39" s="41" t="n">
        <v>0</v>
      </c>
      <c r="V39" s="41" t="n">
        <v>0</v>
      </c>
      <c r="W39" s="41" t="n">
        <v>0</v>
      </c>
      <c r="X39" s="41" t="n">
        <v>0</v>
      </c>
      <c r="Y39" s="41" t="n">
        <v>0</v>
      </c>
      <c r="Z39" s="41" t="n">
        <v>0</v>
      </c>
      <c r="AA39" s="41" t="n">
        <v>0</v>
      </c>
      <c r="AB39" s="41" t="n">
        <v>0</v>
      </c>
      <c r="AC39" s="41" t="n">
        <v>0</v>
      </c>
      <c r="AD39" s="41" t="n">
        <v>0</v>
      </c>
      <c r="AE39" s="41" t="n">
        <v>0</v>
      </c>
      <c r="AF39" s="41" t="n">
        <v>0</v>
      </c>
      <c r="AG39" s="41" t="n">
        <v>0</v>
      </c>
      <c r="AH39" s="41" t="n">
        <v>0</v>
      </c>
      <c r="AI39" s="41" t="n">
        <v>0</v>
      </c>
      <c r="AJ39" s="41" t="n">
        <v>0</v>
      </c>
      <c r="AK39" s="41" t="n">
        <v>0</v>
      </c>
      <c r="AL39" s="41" t="n">
        <v>0</v>
      </c>
      <c r="AM39" s="41" t="n">
        <v>0</v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P40" s="40" t="n">
        <v>-22.9</v>
      </c>
      <c r="Q40" s="40" t="n">
        <v>0</v>
      </c>
      <c r="R40" s="40" t="n">
        <v>0</v>
      </c>
      <c r="S40" s="40" t="n">
        <v>0</v>
      </c>
      <c r="T40" s="86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t="n">
        <v>407.03</v>
      </c>
      <c r="E41" t="n">
        <v>9448.27</v>
      </c>
      <c r="F41" t="n">
        <v>2107.03</v>
      </c>
      <c r="G41" t="n">
        <v>1208.58</v>
      </c>
      <c r="H41" t="n">
        <v>408.58</v>
      </c>
      <c r="I41" t="n">
        <v>382.03</v>
      </c>
      <c r="J41" t="n">
        <v>382.03</v>
      </c>
      <c r="K41" t="n">
        <v>382.03</v>
      </c>
      <c r="L41" t="n">
        <v>12882.03</v>
      </c>
      <c r="M41" t="n">
        <v>12676.49</v>
      </c>
      <c r="N41" t="n">
        <v>11780.63</v>
      </c>
      <c r="O41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87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t="n">
        <v>-102965.79</v>
      </c>
      <c r="E42" t="n">
        <v>-87834.11000000002</v>
      </c>
      <c r="F42" t="n">
        <v>-83928.98</v>
      </c>
      <c r="G42" t="n">
        <v>-72453.34000000003</v>
      </c>
      <c r="H42" t="n">
        <v>-93880.72999999998</v>
      </c>
      <c r="I42" t="n">
        <v>-134242.65</v>
      </c>
      <c r="J42" t="n">
        <v>-114622.01</v>
      </c>
      <c r="K42" t="n">
        <v>-112950.06</v>
      </c>
      <c r="L42" t="n">
        <v>-147937.33</v>
      </c>
      <c r="M42" t="n">
        <v>-189723.32</v>
      </c>
      <c r="N42" t="n">
        <v>-155635.95</v>
      </c>
      <c r="O4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87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FFD966"/>
    <outlinePr summaryBelow="1" summaryRight="1"/>
    <pageSetUpPr/>
  </sheetPr>
  <dimension ref="A1:G15"/>
  <sheetViews>
    <sheetView showGridLines="0" topLeftCell="B1" workbookViewId="0">
      <selection activeCell="A1" sqref="A1"/>
    </sheetView>
  </sheetViews>
  <sheetFormatPr baseColWidth="10" defaultColWidth="8.83203125" defaultRowHeight="15"/>
  <cols>
    <col hidden="1" width="2" customWidth="1" style="89" min="1" max="1"/>
    <col width="30" customWidth="1" style="89" min="2" max="2"/>
    <col width="14" customWidth="1" style="89" min="3" max="3"/>
    <col width="16" customWidth="1" style="89" min="4" max="4"/>
    <col width="14" customWidth="1" style="89" min="5" max="7"/>
  </cols>
  <sheetData>
    <row r="1"/>
    <row r="2" ht="21" customHeight="1" s="89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" customHeight="1" s="89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D9D9D9"/>
    <outlinePr summaryBelow="1" summaryRight="1"/>
    <pageSetUpPr/>
  </sheetPr>
  <dimension ref="A1:H293"/>
  <sheetViews>
    <sheetView showGridLines="0" topLeftCell="B1" workbookViewId="0">
      <selection activeCell="A1" sqref="A1"/>
    </sheetView>
  </sheetViews>
  <sheetFormatPr baseColWidth="10" defaultColWidth="8.83203125" defaultRowHeight="15"/>
  <cols>
    <col hidden="1" width="2" customWidth="1" style="89" min="1" max="1"/>
    <col width="50" customWidth="1" style="89" min="2" max="2"/>
    <col width="14" customWidth="1" style="89" min="3" max="10"/>
  </cols>
  <sheetData>
    <row r="1"/>
    <row r="2" ht="21" customHeight="1" s="89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4"/>
    <row r="5" ht="16" customHeight="1" s="89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2"/>
    <row r="93"/>
    <row r="94" ht="16" customHeight="1" s="89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5"/>
    <row r="226"/>
    <row r="227" ht="16" customHeight="1" s="89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2026-06-23T21:14:05Z</dcterms:modified>
  <cp:lastModifiedBy>Chandler Clemons</cp:lastModifiedBy>
</cp:coreProperties>
</file>